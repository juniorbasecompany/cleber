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uario/Desktop/PROFISSIONAL/Faria/ADM/Financeiro/Metas/2026/1 - Alojamento/"/>
    </mc:Choice>
  </mc:AlternateContent>
  <xr:revisionPtr revIDLastSave="0" documentId="13_ncr:1_{6D7DD72A-DE94-DA4F-A977-85F1F5A0F460}" xr6:coauthVersionLast="47" xr6:coauthVersionMax="47" xr10:uidLastSave="{00000000-0000-0000-0000-000000000000}"/>
  <bookViews>
    <workbookView xWindow="0" yWindow="500" windowWidth="25600" windowHeight="14420" activeTab="2" xr2:uid="{1E8E13EF-4AB5-BB49-9FD1-81AEF114FE30}"/>
  </bookViews>
  <sheets>
    <sheet name="Modelo" sheetId="8" state="hidden" r:id="rId1"/>
    <sheet name="Simulador (5)" sheetId="6" state="hidden" r:id="rId2"/>
    <sheet name="Simulador" sheetId="9" r:id="rId3"/>
  </sheets>
  <externalReferences>
    <externalReference r:id="rId4"/>
    <externalReference r:id="rId5"/>
    <externalReference r:id="rId6"/>
  </externalReferences>
  <definedNames>
    <definedName name="_9_8_2009" localSheetId="0">#REF!</definedName>
    <definedName name="_9_8_2009" localSheetId="2">#REF!</definedName>
    <definedName name="_9_8_2009" localSheetId="1">#REF!</definedName>
    <definedName name="_9_8_2009">#REF!</definedName>
    <definedName name="AAAAAA" localSheetId="0">#REF!</definedName>
    <definedName name="AAAAAA" localSheetId="2">#REF!</definedName>
    <definedName name="AAAAAA" localSheetId="1">#REF!</definedName>
    <definedName name="AAAAAA">#REF!</definedName>
    <definedName name="Ativo" localSheetId="0">#REF!</definedName>
    <definedName name="Ativo" localSheetId="2">#REF!</definedName>
    <definedName name="Ativo" localSheetId="1">#REF!</definedName>
    <definedName name="Ativo">#REF!</definedName>
    <definedName name="CIFRAO">'[1]Entrada Dados - Relatório'!$F$7</definedName>
    <definedName name="cpRegistro">"Caixa de texto 111"</definedName>
    <definedName name="DRE" localSheetId="0">#REF!</definedName>
    <definedName name="DRE" localSheetId="2">#REF!</definedName>
    <definedName name="DRE" localSheetId="1">#REF!</definedName>
    <definedName name="DRE">#REF!</definedName>
    <definedName name="fcaixa" localSheetId="0">#REF!</definedName>
    <definedName name="fcaixa" localSheetId="2">#REF!</definedName>
    <definedName name="fcaixa" localSheetId="1">#REF!</definedName>
    <definedName name="fcaixa">#REF!</definedName>
    <definedName name="fimtituloverso" localSheetId="0">'[2]PTP crerscimento'!#REF!</definedName>
    <definedName name="fimtituloverso" localSheetId="2">'[2]PTP crerscimento'!#REF!</definedName>
    <definedName name="fimtituloverso" localSheetId="1">'[2]PTP crerscimento'!#REF!</definedName>
    <definedName name="fimtituloverso">'[2]PTP crerscimento'!#REF!</definedName>
    <definedName name="fimverso" localSheetId="0">'[2]PTP crerscimento'!#REF!</definedName>
    <definedName name="fimverso" localSheetId="2">'[2]PTP crerscimento'!#REF!</definedName>
    <definedName name="fimverso" localSheetId="1">'[2]PTP crerscimento'!#REF!</definedName>
    <definedName name="fimverso">'[2]PTP crerscimento'!#REF!</definedName>
    <definedName name="_xlnm.Recorder">[3]Plan1!$A$1:$A$65536</definedName>
    <definedName name="IND" localSheetId="0">#REF!</definedName>
    <definedName name="IND" localSheetId="2">#REF!</definedName>
    <definedName name="IND" localSheetId="1">#REF!</definedName>
    <definedName name="IND">#REF!</definedName>
    <definedName name="initituloverso" localSheetId="0">'[2]PTP crerscimento'!#REF!</definedName>
    <definedName name="initituloverso" localSheetId="2">'[2]PTP crerscimento'!#REF!</definedName>
    <definedName name="initituloverso" localSheetId="1">'[2]PTP crerscimento'!#REF!</definedName>
    <definedName name="initituloverso">'[2]PTP crerscimento'!#REF!</definedName>
    <definedName name="iniverso" localSheetId="0">'[2]PTP crerscimento'!#REF!</definedName>
    <definedName name="iniverso" localSheetId="2">'[2]PTP crerscimento'!#REF!</definedName>
    <definedName name="iniverso" localSheetId="1">'[2]PTP crerscimento'!#REF!</definedName>
    <definedName name="iniverso">'[2]PTP crerscimento'!#REF!</definedName>
    <definedName name="Passivo" localSheetId="0">#REF!</definedName>
    <definedName name="Passivo" localSheetId="2">#REF!</definedName>
    <definedName name="Passivo" localSheetId="1">#REF!</definedName>
    <definedName name="Passivo">#REF!</definedName>
    <definedName name="segura" localSheetId="0">#REF!</definedName>
    <definedName name="segura" localSheetId="2">#REF!</definedName>
    <definedName name="segura" localSheetId="1">#REF!</definedName>
    <definedName name="segura">#REF!</definedName>
    <definedName name="VPL" localSheetId="0">#REF!</definedName>
    <definedName name="VPL" localSheetId="2">#REF!</definedName>
    <definedName name="VPL" localSheetId="1">#REF!</definedName>
    <definedName name="VP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382" i="9" l="1"/>
  <c r="DD382" i="9"/>
  <c r="DC382" i="9"/>
  <c r="AQ7" i="9"/>
  <c r="DD685" i="9"/>
  <c r="DE685" i="9" s="1"/>
  <c r="AN4" i="9" l="1"/>
  <c r="AN7" i="9"/>
  <c r="AN8" i="9" s="1"/>
  <c r="AB5" i="9"/>
  <c r="P5" i="9" s="1"/>
  <c r="AA5" i="9"/>
  <c r="O5" i="9" s="1"/>
  <c r="DF685" i="9"/>
  <c r="DF684" i="9"/>
  <c r="DF683" i="9"/>
  <c r="DF682" i="9"/>
  <c r="DF681" i="9"/>
  <c r="DF680" i="9"/>
  <c r="DF679" i="9"/>
  <c r="DF678" i="9"/>
  <c r="DF677" i="9"/>
  <c r="DF676" i="9"/>
  <c r="DF675" i="9"/>
  <c r="DF674" i="9"/>
  <c r="DF673" i="9"/>
  <c r="DF672" i="9"/>
  <c r="AP7" i="9"/>
  <c r="AP8" i="9" s="1"/>
  <c r="AL7" i="9"/>
  <c r="AL8" i="9" s="1"/>
  <c r="AH7" i="9"/>
  <c r="AH8" i="9" s="1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CG5" i="9"/>
  <c r="CH5" i="9"/>
  <c r="CI5" i="9"/>
  <c r="CJ5" i="9"/>
  <c r="CK5" i="9"/>
  <c r="CL5" i="9"/>
  <c r="CM5" i="9"/>
  <c r="CN5" i="9"/>
  <c r="CO5" i="9"/>
  <c r="CP5" i="9"/>
  <c r="CQ5" i="9"/>
  <c r="CR5" i="9"/>
  <c r="CS5" i="9"/>
  <c r="CF5" i="9"/>
  <c r="CE5" i="9"/>
  <c r="CD5" i="9"/>
  <c r="CC5" i="9"/>
  <c r="CB5" i="9"/>
  <c r="CA5" i="9"/>
  <c r="BZ5" i="9"/>
  <c r="BY5" i="9"/>
  <c r="BX5" i="9"/>
  <c r="BW5" i="9"/>
  <c r="BV5" i="9"/>
  <c r="BU5" i="9"/>
  <c r="BD4" i="9"/>
  <c r="BC4" i="9"/>
  <c r="AE5" i="9"/>
  <c r="S5" i="9" s="1"/>
  <c r="X5" i="9"/>
  <c r="L5" i="9" s="1"/>
  <c r="W5" i="9"/>
  <c r="K5" i="9" s="1"/>
  <c r="AD5" i="9"/>
  <c r="R5" i="9" s="1"/>
  <c r="AC5" i="9"/>
  <c r="Q5" i="9" s="1"/>
  <c r="Z5" i="9"/>
  <c r="N5" i="9" s="1"/>
  <c r="Y5" i="9"/>
  <c r="M5" i="9" s="1"/>
  <c r="V5" i="9"/>
  <c r="J5" i="9" s="1"/>
  <c r="U5" i="9"/>
  <c r="I5" i="9" s="1"/>
  <c r="AJ7" i="9"/>
  <c r="AM7" i="9"/>
  <c r="AM8" i="9" s="1"/>
  <c r="AQ4" i="9"/>
  <c r="AM4" i="9"/>
  <c r="BQ4" i="9"/>
  <c r="BO4" i="9"/>
  <c r="BM4" i="9"/>
  <c r="BK4" i="9"/>
  <c r="BI4" i="9"/>
  <c r="BG4" i="9"/>
  <c r="BE4" i="9"/>
  <c r="BB4" i="9"/>
  <c r="AZ4" i="9"/>
  <c r="AY4" i="9"/>
  <c r="AX4" i="9"/>
  <c r="AW4" i="9"/>
  <c r="AV4" i="9"/>
  <c r="AU4" i="9"/>
  <c r="AT4" i="9"/>
  <c r="AS4" i="9"/>
  <c r="AJ4" i="9"/>
  <c r="AI4" i="9"/>
  <c r="AO4" i="9"/>
  <c r="AK4" i="9"/>
  <c r="AG4" i="9"/>
  <c r="AQ383" i="9" l="1"/>
  <c r="BT5" i="9"/>
  <c r="H8" i="9" l="1"/>
  <c r="G8" i="9"/>
  <c r="AN9" i="9" s="1"/>
  <c r="B8" i="9"/>
  <c r="D8" i="9" s="1"/>
  <c r="F8" i="9" s="1"/>
  <c r="AT7" i="9"/>
  <c r="AS7" i="9"/>
  <c r="AQ8" i="9"/>
  <c r="AJ8" i="9"/>
  <c r="AI7" i="9"/>
  <c r="AI8" i="9" s="1"/>
  <c r="AO7" i="9"/>
  <c r="AK7" i="9"/>
  <c r="AK8" i="9" s="1"/>
  <c r="AG7" i="9"/>
  <c r="AG8" i="9" l="1"/>
  <c r="DC7" i="9"/>
  <c r="AQ9" i="9"/>
  <c r="AP9" i="9"/>
  <c r="AH9" i="9"/>
  <c r="AL9" i="9"/>
  <c r="BA8" i="9"/>
  <c r="BI8" i="9"/>
  <c r="AZ8" i="9"/>
  <c r="BJ8" i="9"/>
  <c r="BC8" i="9"/>
  <c r="AX8" i="9"/>
  <c r="BH8" i="9"/>
  <c r="AU8" i="9"/>
  <c r="BF8" i="9"/>
  <c r="BP8" i="9"/>
  <c r="BN8" i="9"/>
  <c r="BQ8" i="9"/>
  <c r="BK8" i="9"/>
  <c r="BB8" i="9"/>
  <c r="BR8" i="9"/>
  <c r="AW8" i="9"/>
  <c r="AY8" i="9"/>
  <c r="AV8" i="9"/>
  <c r="BE8" i="9"/>
  <c r="BG8" i="9"/>
  <c r="BD8" i="9"/>
  <c r="BM8" i="9"/>
  <c r="BO8" i="9"/>
  <c r="BL8" i="9"/>
  <c r="G9" i="9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G326" i="9" s="1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G345" i="9" s="1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G362" i="9" s="1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73" i="9" s="1"/>
  <c r="G374" i="9" s="1"/>
  <c r="G375" i="9" s="1"/>
  <c r="G376" i="9" s="1"/>
  <c r="G377" i="9" s="1"/>
  <c r="G378" i="9" s="1"/>
  <c r="G379" i="9" s="1"/>
  <c r="G380" i="9" s="1"/>
  <c r="G381" i="9" s="1"/>
  <c r="G382" i="9" s="1"/>
  <c r="G383" i="9" s="1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G422" i="9" s="1"/>
  <c r="G423" i="9" s="1"/>
  <c r="G424" i="9" s="1"/>
  <c r="G425" i="9" s="1"/>
  <c r="G426" i="9" s="1"/>
  <c r="G427" i="9" s="1"/>
  <c r="G428" i="9" s="1"/>
  <c r="G429" i="9" s="1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 s="1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457" i="9" s="1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88" i="9" s="1"/>
  <c r="G489" i="9" s="1"/>
  <c r="G490" i="9" s="1"/>
  <c r="G491" i="9" s="1"/>
  <c r="G492" i="9" s="1"/>
  <c r="G493" i="9" s="1"/>
  <c r="G494" i="9" s="1"/>
  <c r="G495" i="9" s="1"/>
  <c r="G496" i="9" s="1"/>
  <c r="G497" i="9" s="1"/>
  <c r="G498" i="9" s="1"/>
  <c r="G499" i="9" s="1"/>
  <c r="G500" i="9" s="1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512" i="9" s="1"/>
  <c r="G513" i="9" s="1"/>
  <c r="G514" i="9" s="1"/>
  <c r="G515" i="9" s="1"/>
  <c r="G516" i="9" s="1"/>
  <c r="G517" i="9" s="1"/>
  <c r="G518" i="9" s="1"/>
  <c r="G519" i="9" s="1"/>
  <c r="G520" i="9" s="1"/>
  <c r="G521" i="9" s="1"/>
  <c r="G522" i="9" s="1"/>
  <c r="G523" i="9" s="1"/>
  <c r="G524" i="9" s="1"/>
  <c r="G525" i="9" s="1"/>
  <c r="G526" i="9" s="1"/>
  <c r="G527" i="9" s="1"/>
  <c r="G528" i="9" s="1"/>
  <c r="G529" i="9" s="1"/>
  <c r="G530" i="9" s="1"/>
  <c r="G531" i="9" s="1"/>
  <c r="G532" i="9" s="1"/>
  <c r="G533" i="9" s="1"/>
  <c r="G534" i="9" s="1"/>
  <c r="G535" i="9" s="1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 s="1"/>
  <c r="G559" i="9" s="1"/>
  <c r="G560" i="9" s="1"/>
  <c r="G561" i="9" s="1"/>
  <c r="G562" i="9" s="1"/>
  <c r="G563" i="9" s="1"/>
  <c r="G564" i="9" s="1"/>
  <c r="G565" i="9" s="1"/>
  <c r="G566" i="9" s="1"/>
  <c r="G567" i="9" s="1"/>
  <c r="G568" i="9" s="1"/>
  <c r="G569" i="9" s="1"/>
  <c r="G570" i="9" s="1"/>
  <c r="G571" i="9" s="1"/>
  <c r="G572" i="9" s="1"/>
  <c r="G573" i="9" s="1"/>
  <c r="G574" i="9" s="1"/>
  <c r="G575" i="9" s="1"/>
  <c r="G576" i="9" s="1"/>
  <c r="G577" i="9" s="1"/>
  <c r="G578" i="9" s="1"/>
  <c r="G579" i="9" s="1"/>
  <c r="G580" i="9" s="1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96" i="9" s="1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611" i="9" s="1"/>
  <c r="G612" i="9" s="1"/>
  <c r="G613" i="9" s="1"/>
  <c r="G614" i="9" s="1"/>
  <c r="G615" i="9" s="1"/>
  <c r="G616" i="9" s="1"/>
  <c r="G617" i="9" s="1"/>
  <c r="G618" i="9" s="1"/>
  <c r="G619" i="9" s="1"/>
  <c r="G620" i="9" s="1"/>
  <c r="G621" i="9" s="1"/>
  <c r="G622" i="9" s="1"/>
  <c r="G623" i="9" s="1"/>
  <c r="G624" i="9" s="1"/>
  <c r="G625" i="9" s="1"/>
  <c r="G626" i="9" s="1"/>
  <c r="G627" i="9" s="1"/>
  <c r="G628" i="9" s="1"/>
  <c r="G629" i="9" s="1"/>
  <c r="G630" i="9" s="1"/>
  <c r="G631" i="9" s="1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642" i="9" s="1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663" i="9" s="1"/>
  <c r="G664" i="9" s="1"/>
  <c r="G665" i="9" s="1"/>
  <c r="G666" i="9" s="1"/>
  <c r="G667" i="9" s="1"/>
  <c r="G668" i="9" s="1"/>
  <c r="G669" i="9" s="1"/>
  <c r="G670" i="9" s="1"/>
  <c r="G671" i="9" s="1"/>
  <c r="G672" i="9" s="1"/>
  <c r="G673" i="9" s="1"/>
  <c r="G674" i="9" s="1"/>
  <c r="G675" i="9" s="1"/>
  <c r="G676" i="9" s="1"/>
  <c r="G677" i="9" s="1"/>
  <c r="G678" i="9" s="1"/>
  <c r="G679" i="9" s="1"/>
  <c r="G680" i="9" s="1"/>
  <c r="G681" i="9" s="1"/>
  <c r="G682" i="9" s="1"/>
  <c r="G683" i="9" s="1"/>
  <c r="G684" i="9" s="1"/>
  <c r="G685" i="9" s="1"/>
  <c r="AM9" i="9"/>
  <c r="H9" i="9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54" i="9" s="1"/>
  <c r="H155" i="9" s="1"/>
  <c r="H156" i="9" s="1"/>
  <c r="H157" i="9" s="1"/>
  <c r="H158" i="9" s="1"/>
  <c r="H159" i="9" s="1"/>
  <c r="H160" i="9" s="1"/>
  <c r="H161" i="9" s="1"/>
  <c r="H162" i="9" s="1"/>
  <c r="H163" i="9" s="1"/>
  <c r="H164" i="9" s="1"/>
  <c r="H165" i="9" s="1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195" i="9" s="1"/>
  <c r="H196" i="9" s="1"/>
  <c r="H197" i="9" s="1"/>
  <c r="H198" i="9" s="1"/>
  <c r="H199" i="9" s="1"/>
  <c r="H200" i="9" s="1"/>
  <c r="H201" i="9" s="1"/>
  <c r="H202" i="9" s="1"/>
  <c r="H203" i="9" s="1"/>
  <c r="H204" i="9" s="1"/>
  <c r="H205" i="9" s="1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33" i="9" s="1"/>
  <c r="H234" i="9" s="1"/>
  <c r="H235" i="9" s="1"/>
  <c r="H236" i="9" s="1"/>
  <c r="H237" i="9" s="1"/>
  <c r="H238" i="9" s="1"/>
  <c r="H239" i="9" s="1"/>
  <c r="H240" i="9" s="1"/>
  <c r="H241" i="9" s="1"/>
  <c r="H242" i="9" s="1"/>
  <c r="H243" i="9" s="1"/>
  <c r="H244" i="9" s="1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74" i="9" s="1"/>
  <c r="H275" i="9" s="1"/>
  <c r="H276" i="9" s="1"/>
  <c r="H277" i="9" s="1"/>
  <c r="H278" i="9" s="1"/>
  <c r="H279" i="9" s="1"/>
  <c r="H280" i="9" s="1"/>
  <c r="H281" i="9" s="1"/>
  <c r="H282" i="9" s="1"/>
  <c r="H283" i="9" s="1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14" i="9" s="1"/>
  <c r="H315" i="9" s="1"/>
  <c r="H316" i="9" s="1"/>
  <c r="H317" i="9" s="1"/>
  <c r="H318" i="9" s="1"/>
  <c r="H319" i="9" s="1"/>
  <c r="H320" i="9" s="1"/>
  <c r="H321" i="9" s="1"/>
  <c r="H322" i="9" s="1"/>
  <c r="H323" i="9" s="1"/>
  <c r="H324" i="9" s="1"/>
  <c r="H325" i="9" s="1"/>
  <c r="H326" i="9" s="1"/>
  <c r="H327" i="9" s="1"/>
  <c r="H328" i="9" s="1"/>
  <c r="H329" i="9" s="1"/>
  <c r="H330" i="9" s="1"/>
  <c r="H331" i="9" s="1"/>
  <c r="H332" i="9" s="1"/>
  <c r="H333" i="9" s="1"/>
  <c r="H334" i="9" s="1"/>
  <c r="H335" i="9" s="1"/>
  <c r="H336" i="9" s="1"/>
  <c r="H337" i="9" s="1"/>
  <c r="H338" i="9" s="1"/>
  <c r="H339" i="9" s="1"/>
  <c r="H340" i="9" s="1"/>
  <c r="H341" i="9" s="1"/>
  <c r="H342" i="9" s="1"/>
  <c r="H343" i="9" s="1"/>
  <c r="H344" i="9" s="1"/>
  <c r="H345" i="9" s="1"/>
  <c r="H346" i="9" s="1"/>
  <c r="H347" i="9" s="1"/>
  <c r="H348" i="9" s="1"/>
  <c r="H349" i="9" s="1"/>
  <c r="H350" i="9" s="1"/>
  <c r="H351" i="9" s="1"/>
  <c r="H352" i="9" s="1"/>
  <c r="H353" i="9" s="1"/>
  <c r="H354" i="9" s="1"/>
  <c r="H355" i="9" s="1"/>
  <c r="H356" i="9" s="1"/>
  <c r="H357" i="9" s="1"/>
  <c r="H358" i="9" s="1"/>
  <c r="H359" i="9" s="1"/>
  <c r="H360" i="9" s="1"/>
  <c r="H361" i="9" s="1"/>
  <c r="H362" i="9" s="1"/>
  <c r="H363" i="9" s="1"/>
  <c r="H364" i="9" s="1"/>
  <c r="H365" i="9" s="1"/>
  <c r="H366" i="9" s="1"/>
  <c r="H367" i="9" s="1"/>
  <c r="H368" i="9" s="1"/>
  <c r="H369" i="9" s="1"/>
  <c r="H370" i="9" s="1"/>
  <c r="H371" i="9" s="1"/>
  <c r="H372" i="9" s="1"/>
  <c r="H373" i="9" s="1"/>
  <c r="H374" i="9" s="1"/>
  <c r="H375" i="9" s="1"/>
  <c r="H376" i="9" s="1"/>
  <c r="H377" i="9" s="1"/>
  <c r="H378" i="9" s="1"/>
  <c r="H379" i="9" s="1"/>
  <c r="H380" i="9" s="1"/>
  <c r="H381" i="9" s="1"/>
  <c r="H382" i="9" s="1"/>
  <c r="H383" i="9" s="1"/>
  <c r="H384" i="9" s="1"/>
  <c r="H385" i="9" s="1"/>
  <c r="H386" i="9" s="1"/>
  <c r="H387" i="9" s="1"/>
  <c r="H388" i="9" s="1"/>
  <c r="H389" i="9" s="1"/>
  <c r="H390" i="9" s="1"/>
  <c r="H391" i="9" s="1"/>
  <c r="H392" i="9" s="1"/>
  <c r="H393" i="9" s="1"/>
  <c r="H394" i="9" s="1"/>
  <c r="H395" i="9" s="1"/>
  <c r="H396" i="9" s="1"/>
  <c r="H397" i="9" s="1"/>
  <c r="H398" i="9" s="1"/>
  <c r="H399" i="9" s="1"/>
  <c r="H400" i="9" s="1"/>
  <c r="H401" i="9" s="1"/>
  <c r="H402" i="9" s="1"/>
  <c r="H403" i="9" s="1"/>
  <c r="H404" i="9" s="1"/>
  <c r="H405" i="9" s="1"/>
  <c r="H406" i="9" s="1"/>
  <c r="H407" i="9" s="1"/>
  <c r="H408" i="9" s="1"/>
  <c r="H409" i="9" s="1"/>
  <c r="H410" i="9" s="1"/>
  <c r="H411" i="9" s="1"/>
  <c r="H412" i="9" s="1"/>
  <c r="H413" i="9" s="1"/>
  <c r="H414" i="9" s="1"/>
  <c r="H415" i="9" s="1"/>
  <c r="H416" i="9" s="1"/>
  <c r="H417" i="9" s="1"/>
  <c r="H418" i="9" s="1"/>
  <c r="H419" i="9" s="1"/>
  <c r="H420" i="9" s="1"/>
  <c r="H421" i="9" s="1"/>
  <c r="H422" i="9" s="1"/>
  <c r="H423" i="9" s="1"/>
  <c r="H424" i="9" s="1"/>
  <c r="H425" i="9" s="1"/>
  <c r="H426" i="9" s="1"/>
  <c r="H427" i="9" s="1"/>
  <c r="H428" i="9" s="1"/>
  <c r="H429" i="9" s="1"/>
  <c r="H430" i="9" s="1"/>
  <c r="H431" i="9" s="1"/>
  <c r="H433" i="9" s="1"/>
  <c r="H434" i="9" s="1"/>
  <c r="H435" i="9" s="1"/>
  <c r="H436" i="9" s="1"/>
  <c r="H437" i="9" s="1"/>
  <c r="H438" i="9" s="1"/>
  <c r="H439" i="9" s="1"/>
  <c r="H440" i="9" s="1"/>
  <c r="H441" i="9" s="1"/>
  <c r="H442" i="9" s="1"/>
  <c r="H444" i="9" s="1"/>
  <c r="H445" i="9" s="1"/>
  <c r="H446" i="9" s="1"/>
  <c r="AG9" i="9"/>
  <c r="AK9" i="9"/>
  <c r="DD7" i="9" s="1"/>
  <c r="DE7" i="9" s="1"/>
  <c r="AI9" i="9"/>
  <c r="AJ9" i="9"/>
  <c r="AQ338" i="9"/>
  <c r="AS8" i="9"/>
  <c r="AT8" i="9"/>
  <c r="E8" i="9"/>
  <c r="B9" i="9"/>
  <c r="D9" i="9" s="1"/>
  <c r="B10" i="9" s="1"/>
  <c r="D10" i="9" s="1"/>
  <c r="AO8" i="9"/>
  <c r="AO9" i="9" s="1"/>
  <c r="DC8" i="9" l="1"/>
  <c r="AQ339" i="9"/>
  <c r="AQ10" i="9"/>
  <c r="DC9" i="9"/>
  <c r="AG10" i="9"/>
  <c r="AG11" i="9" s="1"/>
  <c r="AG12" i="9" s="1"/>
  <c r="AG13" i="9" s="1"/>
  <c r="AG14" i="9" s="1"/>
  <c r="AG15" i="9" s="1"/>
  <c r="AG16" i="9" s="1"/>
  <c r="AG17" i="9" s="1"/>
  <c r="AG18" i="9" s="1"/>
  <c r="AG19" i="9" s="1"/>
  <c r="AG20" i="9" s="1"/>
  <c r="AG21" i="9" s="1"/>
  <c r="AG22" i="9" s="1"/>
  <c r="AG23" i="9" s="1"/>
  <c r="AG24" i="9" s="1"/>
  <c r="AG25" i="9" s="1"/>
  <c r="AG26" i="9" s="1"/>
  <c r="AG27" i="9" s="1"/>
  <c r="AG28" i="9" s="1"/>
  <c r="AG29" i="9" s="1"/>
  <c r="AG30" i="9" s="1"/>
  <c r="AG31" i="9" s="1"/>
  <c r="AG32" i="9" s="1"/>
  <c r="AG33" i="9" s="1"/>
  <c r="AG34" i="9" s="1"/>
  <c r="AN10" i="9"/>
  <c r="AN11" i="9" s="1"/>
  <c r="AN12" i="9" s="1"/>
  <c r="AN13" i="9" s="1"/>
  <c r="AN14" i="9" s="1"/>
  <c r="AN15" i="9" s="1"/>
  <c r="AN16" i="9" s="1"/>
  <c r="AN17" i="9" s="1"/>
  <c r="AN18" i="9" s="1"/>
  <c r="AN19" i="9" s="1"/>
  <c r="AN20" i="9" s="1"/>
  <c r="AN21" i="9" s="1"/>
  <c r="AN22" i="9" s="1"/>
  <c r="AN23" i="9" s="1"/>
  <c r="AN24" i="9" s="1"/>
  <c r="AN25" i="9" s="1"/>
  <c r="AN26" i="9" s="1"/>
  <c r="AN27" i="9" s="1"/>
  <c r="AN28" i="9" s="1"/>
  <c r="AN29" i="9" s="1"/>
  <c r="AN30" i="9" s="1"/>
  <c r="AN31" i="9" s="1"/>
  <c r="AN32" i="9" s="1"/>
  <c r="AN33" i="9" s="1"/>
  <c r="AN34" i="9" s="1"/>
  <c r="AN35" i="9" s="1"/>
  <c r="AN36" i="9" s="1"/>
  <c r="AN37" i="9" s="1"/>
  <c r="AN38" i="9" s="1"/>
  <c r="AN39" i="9" s="1"/>
  <c r="AN40" i="9" s="1"/>
  <c r="AN41" i="9" s="1"/>
  <c r="AN42" i="9" s="1"/>
  <c r="AN43" i="9" s="1"/>
  <c r="AN44" i="9" s="1"/>
  <c r="AN45" i="9" s="1"/>
  <c r="AN46" i="9" s="1"/>
  <c r="AN47" i="9" s="1"/>
  <c r="AN48" i="9" s="1"/>
  <c r="AN49" i="9" s="1"/>
  <c r="AN50" i="9" s="1"/>
  <c r="AN51" i="9" s="1"/>
  <c r="AN52" i="9" s="1"/>
  <c r="AN53" i="9" s="1"/>
  <c r="AN54" i="9" s="1"/>
  <c r="AN55" i="9" s="1"/>
  <c r="AN56" i="9" s="1"/>
  <c r="AN57" i="9" s="1"/>
  <c r="AN58" i="9" s="1"/>
  <c r="AN59" i="9" s="1"/>
  <c r="AN60" i="9" s="1"/>
  <c r="AN61" i="9" s="1"/>
  <c r="AN62" i="9" s="1"/>
  <c r="AN63" i="9" s="1"/>
  <c r="AN64" i="9" s="1"/>
  <c r="AN65" i="9" s="1"/>
  <c r="AN66" i="9" s="1"/>
  <c r="AN67" i="9" s="1"/>
  <c r="AN68" i="9" s="1"/>
  <c r="AN69" i="9" s="1"/>
  <c r="AN70" i="9" s="1"/>
  <c r="AN71" i="9" s="1"/>
  <c r="AN72" i="9" s="1"/>
  <c r="AN73" i="9" s="1"/>
  <c r="AN74" i="9" s="1"/>
  <c r="AN75" i="9" s="1"/>
  <c r="AN76" i="9" s="1"/>
  <c r="AN77" i="9" s="1"/>
  <c r="AN78" i="9" s="1"/>
  <c r="AN79" i="9" s="1"/>
  <c r="AN80" i="9" s="1"/>
  <c r="AN81" i="9" s="1"/>
  <c r="AN82" i="9" s="1"/>
  <c r="AN83" i="9" s="1"/>
  <c r="AN84" i="9" s="1"/>
  <c r="AN85" i="9" s="1"/>
  <c r="AN86" i="9" s="1"/>
  <c r="AN87" i="9" s="1"/>
  <c r="AN88" i="9" s="1"/>
  <c r="AN89" i="9" s="1"/>
  <c r="AN90" i="9" s="1"/>
  <c r="AN91" i="9" s="1"/>
  <c r="AN92" i="9" s="1"/>
  <c r="AN93" i="9" s="1"/>
  <c r="AN94" i="9" s="1"/>
  <c r="AN95" i="9" s="1"/>
  <c r="AN96" i="9" s="1"/>
  <c r="AN97" i="9" s="1"/>
  <c r="AN98" i="9" s="1"/>
  <c r="AN99" i="9" s="1"/>
  <c r="AN100" i="9" s="1"/>
  <c r="AN101" i="9" s="1"/>
  <c r="AN102" i="9" s="1"/>
  <c r="AN103" i="9" s="1"/>
  <c r="AN104" i="9" s="1"/>
  <c r="AN105" i="9" s="1"/>
  <c r="AN106" i="9" s="1"/>
  <c r="AN107" i="9" s="1"/>
  <c r="AN108" i="9" s="1"/>
  <c r="AN109" i="9" s="1"/>
  <c r="AN110" i="9" s="1"/>
  <c r="AN111" i="9" s="1"/>
  <c r="AN112" i="9" s="1"/>
  <c r="AN113" i="9" s="1"/>
  <c r="AN114" i="9" s="1"/>
  <c r="AN115" i="9" s="1"/>
  <c r="AN116" i="9" s="1"/>
  <c r="AN117" i="9" s="1"/>
  <c r="AN118" i="9" s="1"/>
  <c r="AN119" i="9" s="1"/>
  <c r="AN120" i="9" s="1"/>
  <c r="AN121" i="9" s="1"/>
  <c r="AN122" i="9" s="1"/>
  <c r="AN123" i="9" s="1"/>
  <c r="AN124" i="9" s="1"/>
  <c r="AN125" i="9" s="1"/>
  <c r="AN126" i="9" s="1"/>
  <c r="AN127" i="9" s="1"/>
  <c r="AN128" i="9" s="1"/>
  <c r="AN129" i="9" s="1"/>
  <c r="AN130" i="9" s="1"/>
  <c r="AN131" i="9" s="1"/>
  <c r="AN132" i="9" s="1"/>
  <c r="AN133" i="9" s="1"/>
  <c r="AN134" i="9" s="1"/>
  <c r="AN135" i="9" s="1"/>
  <c r="AN136" i="9" s="1"/>
  <c r="AN137" i="9" s="1"/>
  <c r="AN138" i="9" s="1"/>
  <c r="AN139" i="9" s="1"/>
  <c r="AN140" i="9" s="1"/>
  <c r="AN141" i="9" s="1"/>
  <c r="AN142" i="9" s="1"/>
  <c r="AN143" i="9" s="1"/>
  <c r="AN144" i="9" s="1"/>
  <c r="AN145" i="9" s="1"/>
  <c r="AN146" i="9" s="1"/>
  <c r="AN147" i="9" s="1"/>
  <c r="AN148" i="9" s="1"/>
  <c r="AN149" i="9" s="1"/>
  <c r="AN150" i="9" s="1"/>
  <c r="AN151" i="9" s="1"/>
  <c r="AN152" i="9" s="1"/>
  <c r="AN153" i="9" s="1"/>
  <c r="AN154" i="9" s="1"/>
  <c r="AN155" i="9" s="1"/>
  <c r="AN156" i="9" s="1"/>
  <c r="AN157" i="9" s="1"/>
  <c r="AN158" i="9" s="1"/>
  <c r="AN159" i="9" s="1"/>
  <c r="AN160" i="9" s="1"/>
  <c r="AN161" i="9" s="1"/>
  <c r="AN162" i="9" s="1"/>
  <c r="AN163" i="9" s="1"/>
  <c r="AN164" i="9" s="1"/>
  <c r="AN165" i="9" s="1"/>
  <c r="AN166" i="9" s="1"/>
  <c r="AN167" i="9" s="1"/>
  <c r="AN168" i="9" s="1"/>
  <c r="AN169" i="9" s="1"/>
  <c r="AN170" i="9" s="1"/>
  <c r="AN171" i="9" s="1"/>
  <c r="AN172" i="9" s="1"/>
  <c r="AN173" i="9" s="1"/>
  <c r="AN174" i="9" s="1"/>
  <c r="AN175" i="9" s="1"/>
  <c r="AN176" i="9" s="1"/>
  <c r="AN177" i="9" s="1"/>
  <c r="AN178" i="9" s="1"/>
  <c r="AN179" i="9" s="1"/>
  <c r="AN180" i="9" s="1"/>
  <c r="AN181" i="9" s="1"/>
  <c r="AN182" i="9" s="1"/>
  <c r="AN183" i="9" s="1"/>
  <c r="AN184" i="9" s="1"/>
  <c r="AN185" i="9" s="1"/>
  <c r="AN186" i="9" s="1"/>
  <c r="AN187" i="9" s="1"/>
  <c r="AN188" i="9" s="1"/>
  <c r="AN189" i="9" s="1"/>
  <c r="AN190" i="9" s="1"/>
  <c r="AN191" i="9" s="1"/>
  <c r="AN192" i="9" s="1"/>
  <c r="AN193" i="9" s="1"/>
  <c r="AN194" i="9" s="1"/>
  <c r="AN195" i="9" s="1"/>
  <c r="AN196" i="9" s="1"/>
  <c r="AN197" i="9" s="1"/>
  <c r="AN198" i="9" s="1"/>
  <c r="AN199" i="9" s="1"/>
  <c r="AN200" i="9" s="1"/>
  <c r="AN201" i="9" s="1"/>
  <c r="AN202" i="9" s="1"/>
  <c r="AN203" i="9" s="1"/>
  <c r="AN204" i="9" s="1"/>
  <c r="AN205" i="9" s="1"/>
  <c r="AN206" i="9" s="1"/>
  <c r="AN207" i="9" s="1"/>
  <c r="AN208" i="9" s="1"/>
  <c r="AN209" i="9" s="1"/>
  <c r="AN210" i="9" s="1"/>
  <c r="AN211" i="9" s="1"/>
  <c r="AN212" i="9" s="1"/>
  <c r="AN213" i="9" s="1"/>
  <c r="AN214" i="9" s="1"/>
  <c r="AN215" i="9" s="1"/>
  <c r="AN216" i="9" s="1"/>
  <c r="AN217" i="9" s="1"/>
  <c r="AN218" i="9" s="1"/>
  <c r="AN219" i="9" s="1"/>
  <c r="AN220" i="9" s="1"/>
  <c r="AN221" i="9" s="1"/>
  <c r="AN222" i="9" s="1"/>
  <c r="AN223" i="9" s="1"/>
  <c r="AN224" i="9" s="1"/>
  <c r="AN225" i="9" s="1"/>
  <c r="AN226" i="9" s="1"/>
  <c r="AN227" i="9" s="1"/>
  <c r="AN228" i="9" s="1"/>
  <c r="AN229" i="9" s="1"/>
  <c r="AN230" i="9" s="1"/>
  <c r="AN231" i="9" s="1"/>
  <c r="AN232" i="9" s="1"/>
  <c r="AN233" i="9" s="1"/>
  <c r="AN234" i="9" s="1"/>
  <c r="AN235" i="9" s="1"/>
  <c r="AN236" i="9" s="1"/>
  <c r="AN237" i="9" s="1"/>
  <c r="AN238" i="9" s="1"/>
  <c r="AN239" i="9" s="1"/>
  <c r="AN240" i="9" s="1"/>
  <c r="AN241" i="9" s="1"/>
  <c r="AN242" i="9" s="1"/>
  <c r="AN243" i="9" s="1"/>
  <c r="AN244" i="9" s="1"/>
  <c r="AN245" i="9" s="1"/>
  <c r="AN246" i="9" s="1"/>
  <c r="AN247" i="9" s="1"/>
  <c r="AN248" i="9" s="1"/>
  <c r="AN249" i="9" s="1"/>
  <c r="AN250" i="9" s="1"/>
  <c r="AN251" i="9" s="1"/>
  <c r="AN252" i="9" s="1"/>
  <c r="AN253" i="9" s="1"/>
  <c r="AN254" i="9" s="1"/>
  <c r="AN255" i="9" s="1"/>
  <c r="AN256" i="9" s="1"/>
  <c r="AN257" i="9" s="1"/>
  <c r="AN258" i="9" s="1"/>
  <c r="AN259" i="9" s="1"/>
  <c r="AN260" i="9" s="1"/>
  <c r="AN261" i="9" s="1"/>
  <c r="AN262" i="9" s="1"/>
  <c r="AN263" i="9" s="1"/>
  <c r="AN264" i="9" s="1"/>
  <c r="AN265" i="9" s="1"/>
  <c r="AN266" i="9" s="1"/>
  <c r="AN267" i="9" s="1"/>
  <c r="AN268" i="9" s="1"/>
  <c r="AN269" i="9" s="1"/>
  <c r="AN270" i="9" s="1"/>
  <c r="AN271" i="9" s="1"/>
  <c r="AN272" i="9" s="1"/>
  <c r="AN273" i="9" s="1"/>
  <c r="AN274" i="9" s="1"/>
  <c r="AN275" i="9" s="1"/>
  <c r="AN276" i="9" s="1"/>
  <c r="AN277" i="9" s="1"/>
  <c r="AN278" i="9" s="1"/>
  <c r="AN279" i="9" s="1"/>
  <c r="AN280" i="9" s="1"/>
  <c r="AN281" i="9" s="1"/>
  <c r="AN282" i="9" s="1"/>
  <c r="AN283" i="9" s="1"/>
  <c r="AN284" i="9" s="1"/>
  <c r="AN285" i="9" s="1"/>
  <c r="AN286" i="9" s="1"/>
  <c r="AN287" i="9" s="1"/>
  <c r="AN288" i="9" s="1"/>
  <c r="AN289" i="9" s="1"/>
  <c r="AN290" i="9" s="1"/>
  <c r="AN291" i="9" s="1"/>
  <c r="AN292" i="9" s="1"/>
  <c r="AN293" i="9" s="1"/>
  <c r="AN294" i="9" s="1"/>
  <c r="AN295" i="9" s="1"/>
  <c r="AN296" i="9" s="1"/>
  <c r="AN297" i="9" s="1"/>
  <c r="AN298" i="9" s="1"/>
  <c r="AN299" i="9" s="1"/>
  <c r="AN300" i="9" s="1"/>
  <c r="AN301" i="9" s="1"/>
  <c r="AN302" i="9" s="1"/>
  <c r="AN303" i="9" s="1"/>
  <c r="AN304" i="9" s="1"/>
  <c r="AN305" i="9" s="1"/>
  <c r="AN306" i="9" s="1"/>
  <c r="AN307" i="9" s="1"/>
  <c r="AN308" i="9" s="1"/>
  <c r="AN309" i="9" s="1"/>
  <c r="AN310" i="9" s="1"/>
  <c r="AN311" i="9" s="1"/>
  <c r="AN312" i="9" s="1"/>
  <c r="AN313" i="9" s="1"/>
  <c r="AN314" i="9" s="1"/>
  <c r="AN315" i="9" s="1"/>
  <c r="AN316" i="9" s="1"/>
  <c r="AN317" i="9" s="1"/>
  <c r="AN318" i="9" s="1"/>
  <c r="AN319" i="9" s="1"/>
  <c r="AN320" i="9" s="1"/>
  <c r="AN321" i="9" s="1"/>
  <c r="AN322" i="9" s="1"/>
  <c r="AN323" i="9" s="1"/>
  <c r="AN324" i="9" s="1"/>
  <c r="AN325" i="9" s="1"/>
  <c r="AN326" i="9" s="1"/>
  <c r="AN327" i="9" s="1"/>
  <c r="AN328" i="9" s="1"/>
  <c r="AN329" i="9" s="1"/>
  <c r="AN330" i="9" s="1"/>
  <c r="AN331" i="9" s="1"/>
  <c r="AN332" i="9" s="1"/>
  <c r="AN333" i="9" s="1"/>
  <c r="AN334" i="9" s="1"/>
  <c r="AN335" i="9" s="1"/>
  <c r="AN336" i="9" s="1"/>
  <c r="AN337" i="9" s="1"/>
  <c r="AN338" i="9" s="1"/>
  <c r="AN339" i="9" s="1"/>
  <c r="AN340" i="9" s="1"/>
  <c r="AN341" i="9" s="1"/>
  <c r="AN342" i="9" s="1"/>
  <c r="AN343" i="9" s="1"/>
  <c r="AN344" i="9" s="1"/>
  <c r="AN345" i="9" s="1"/>
  <c r="AN346" i="9" s="1"/>
  <c r="AN347" i="9" s="1"/>
  <c r="AN348" i="9" s="1"/>
  <c r="AN349" i="9" s="1"/>
  <c r="AN350" i="9" s="1"/>
  <c r="AN351" i="9" s="1"/>
  <c r="AN352" i="9" s="1"/>
  <c r="AN353" i="9" s="1"/>
  <c r="AN354" i="9" s="1"/>
  <c r="AN355" i="9" s="1"/>
  <c r="AN356" i="9" s="1"/>
  <c r="AN357" i="9" s="1"/>
  <c r="AN358" i="9" s="1"/>
  <c r="AN359" i="9" s="1"/>
  <c r="AN360" i="9" s="1"/>
  <c r="AN361" i="9" s="1"/>
  <c r="AN362" i="9" s="1"/>
  <c r="AN363" i="9" s="1"/>
  <c r="AN364" i="9" s="1"/>
  <c r="AN365" i="9" s="1"/>
  <c r="AN366" i="9" s="1"/>
  <c r="AN367" i="9" s="1"/>
  <c r="AN368" i="9" s="1"/>
  <c r="AN369" i="9" s="1"/>
  <c r="AN370" i="9" s="1"/>
  <c r="AN371" i="9" s="1"/>
  <c r="AN372" i="9" s="1"/>
  <c r="AN373" i="9" s="1"/>
  <c r="AN374" i="9" s="1"/>
  <c r="AN375" i="9" s="1"/>
  <c r="AN376" i="9" s="1"/>
  <c r="AN377" i="9" s="1"/>
  <c r="AN378" i="9" s="1"/>
  <c r="AN379" i="9" s="1"/>
  <c r="AN380" i="9" s="1"/>
  <c r="AN381" i="9" s="1"/>
  <c r="AN382" i="9" s="1"/>
  <c r="AN383" i="9" s="1"/>
  <c r="AN384" i="9" s="1"/>
  <c r="AN385" i="9" s="1"/>
  <c r="AN386" i="9" s="1"/>
  <c r="AN387" i="9" s="1"/>
  <c r="AN388" i="9" s="1"/>
  <c r="AN389" i="9" s="1"/>
  <c r="AN390" i="9" s="1"/>
  <c r="AN391" i="9" s="1"/>
  <c r="AN392" i="9" s="1"/>
  <c r="AN393" i="9" s="1"/>
  <c r="AN394" i="9" s="1"/>
  <c r="AN395" i="9" s="1"/>
  <c r="AN396" i="9" s="1"/>
  <c r="AN397" i="9" s="1"/>
  <c r="AN398" i="9" s="1"/>
  <c r="AN399" i="9" s="1"/>
  <c r="AN400" i="9" s="1"/>
  <c r="AN401" i="9" s="1"/>
  <c r="AN402" i="9" s="1"/>
  <c r="AN403" i="9" s="1"/>
  <c r="AN404" i="9" s="1"/>
  <c r="AN405" i="9" s="1"/>
  <c r="AN406" i="9" s="1"/>
  <c r="AN407" i="9" s="1"/>
  <c r="AN408" i="9" s="1"/>
  <c r="AN409" i="9" s="1"/>
  <c r="AN410" i="9" s="1"/>
  <c r="AN411" i="9" s="1"/>
  <c r="AN412" i="9" s="1"/>
  <c r="AN413" i="9" s="1"/>
  <c r="AN414" i="9" s="1"/>
  <c r="AN415" i="9" s="1"/>
  <c r="AN416" i="9" s="1"/>
  <c r="AN417" i="9" s="1"/>
  <c r="AN418" i="9" s="1"/>
  <c r="AN419" i="9" s="1"/>
  <c r="AN420" i="9" s="1"/>
  <c r="AN421" i="9" s="1"/>
  <c r="AN422" i="9" s="1"/>
  <c r="AN423" i="9" s="1"/>
  <c r="AN424" i="9" s="1"/>
  <c r="AN425" i="9" s="1"/>
  <c r="AN426" i="9" s="1"/>
  <c r="AN427" i="9" s="1"/>
  <c r="AN428" i="9" s="1"/>
  <c r="AN429" i="9" s="1"/>
  <c r="AN430" i="9" s="1"/>
  <c r="AN431" i="9" s="1"/>
  <c r="AN432" i="9" s="1"/>
  <c r="AN433" i="9" s="1"/>
  <c r="AN434" i="9" s="1"/>
  <c r="AN435" i="9" s="1"/>
  <c r="AN436" i="9" s="1"/>
  <c r="AN437" i="9" s="1"/>
  <c r="AN438" i="9" s="1"/>
  <c r="AN439" i="9" s="1"/>
  <c r="AN440" i="9" s="1"/>
  <c r="AN441" i="9" s="1"/>
  <c r="AN442" i="9" s="1"/>
  <c r="AN443" i="9" s="1"/>
  <c r="AN444" i="9" s="1"/>
  <c r="AN445" i="9" s="1"/>
  <c r="AN446" i="9" s="1"/>
  <c r="AN447" i="9" s="1"/>
  <c r="AN448" i="9" s="1"/>
  <c r="AN449" i="9" s="1"/>
  <c r="AN450" i="9" s="1"/>
  <c r="AN451" i="9" s="1"/>
  <c r="AN452" i="9" s="1"/>
  <c r="AN453" i="9" s="1"/>
  <c r="AN454" i="9" s="1"/>
  <c r="AN455" i="9" s="1"/>
  <c r="AN456" i="9" s="1"/>
  <c r="AN457" i="9" s="1"/>
  <c r="AN458" i="9" s="1"/>
  <c r="AN459" i="9" s="1"/>
  <c r="AN460" i="9" s="1"/>
  <c r="AN461" i="9" s="1"/>
  <c r="AN462" i="9" s="1"/>
  <c r="AN463" i="9" s="1"/>
  <c r="AN464" i="9" s="1"/>
  <c r="AN465" i="9" s="1"/>
  <c r="AN466" i="9" s="1"/>
  <c r="AN467" i="9" s="1"/>
  <c r="AN468" i="9" s="1"/>
  <c r="AN469" i="9" s="1"/>
  <c r="AN470" i="9" s="1"/>
  <c r="AN471" i="9" s="1"/>
  <c r="AN472" i="9" s="1"/>
  <c r="AN473" i="9" s="1"/>
  <c r="AN474" i="9" s="1"/>
  <c r="AN475" i="9" s="1"/>
  <c r="AN476" i="9" s="1"/>
  <c r="AN477" i="9" s="1"/>
  <c r="AN478" i="9" s="1"/>
  <c r="AN479" i="9" s="1"/>
  <c r="AN480" i="9" s="1"/>
  <c r="AN481" i="9" s="1"/>
  <c r="AN482" i="9" s="1"/>
  <c r="AN483" i="9" s="1"/>
  <c r="AN484" i="9" s="1"/>
  <c r="AN485" i="9" s="1"/>
  <c r="AN486" i="9" s="1"/>
  <c r="AN487" i="9" s="1"/>
  <c r="AN488" i="9" s="1"/>
  <c r="AN489" i="9" s="1"/>
  <c r="AN490" i="9" s="1"/>
  <c r="AN491" i="9" s="1"/>
  <c r="AN492" i="9" s="1"/>
  <c r="AN493" i="9" s="1"/>
  <c r="AN494" i="9" s="1"/>
  <c r="AN495" i="9" s="1"/>
  <c r="AN496" i="9" s="1"/>
  <c r="AN497" i="9" s="1"/>
  <c r="AN498" i="9" s="1"/>
  <c r="AN499" i="9" s="1"/>
  <c r="AN500" i="9" s="1"/>
  <c r="AN501" i="9" s="1"/>
  <c r="AN502" i="9" s="1"/>
  <c r="AN503" i="9" s="1"/>
  <c r="AN504" i="9" s="1"/>
  <c r="AN505" i="9" s="1"/>
  <c r="AN506" i="9" s="1"/>
  <c r="AN507" i="9" s="1"/>
  <c r="AN508" i="9" s="1"/>
  <c r="AN509" i="9" s="1"/>
  <c r="AN510" i="9" s="1"/>
  <c r="AN511" i="9" s="1"/>
  <c r="AN512" i="9" s="1"/>
  <c r="AN513" i="9" s="1"/>
  <c r="AN514" i="9" s="1"/>
  <c r="AN515" i="9" s="1"/>
  <c r="AN516" i="9" s="1"/>
  <c r="AN517" i="9" s="1"/>
  <c r="AN518" i="9" s="1"/>
  <c r="AN519" i="9" s="1"/>
  <c r="AN520" i="9" s="1"/>
  <c r="AN521" i="9" s="1"/>
  <c r="AN522" i="9" s="1"/>
  <c r="AN523" i="9" s="1"/>
  <c r="AN524" i="9" s="1"/>
  <c r="AN525" i="9" s="1"/>
  <c r="AN526" i="9" s="1"/>
  <c r="AN527" i="9" s="1"/>
  <c r="AN528" i="9" s="1"/>
  <c r="AN529" i="9" s="1"/>
  <c r="AN530" i="9" s="1"/>
  <c r="AN531" i="9" s="1"/>
  <c r="AN532" i="9" s="1"/>
  <c r="AN533" i="9" s="1"/>
  <c r="AN534" i="9" s="1"/>
  <c r="AN535" i="9" s="1"/>
  <c r="AN536" i="9" s="1"/>
  <c r="AN537" i="9" s="1"/>
  <c r="AN538" i="9" s="1"/>
  <c r="AN539" i="9" s="1"/>
  <c r="AN540" i="9" s="1"/>
  <c r="AN541" i="9" s="1"/>
  <c r="AN542" i="9" s="1"/>
  <c r="AN543" i="9" s="1"/>
  <c r="AN544" i="9" s="1"/>
  <c r="AN545" i="9" s="1"/>
  <c r="AN546" i="9" s="1"/>
  <c r="AN547" i="9" s="1"/>
  <c r="AN548" i="9" s="1"/>
  <c r="AN549" i="9" s="1"/>
  <c r="AN550" i="9" s="1"/>
  <c r="AN551" i="9" s="1"/>
  <c r="AN552" i="9" s="1"/>
  <c r="AN553" i="9" s="1"/>
  <c r="AN554" i="9" s="1"/>
  <c r="AN555" i="9" s="1"/>
  <c r="AN556" i="9" s="1"/>
  <c r="AN557" i="9" s="1"/>
  <c r="AN558" i="9" s="1"/>
  <c r="AN559" i="9" s="1"/>
  <c r="AN560" i="9" s="1"/>
  <c r="AN561" i="9" s="1"/>
  <c r="AN562" i="9" s="1"/>
  <c r="AN563" i="9" s="1"/>
  <c r="AN564" i="9" s="1"/>
  <c r="AN565" i="9" s="1"/>
  <c r="AN566" i="9" s="1"/>
  <c r="AN567" i="9" s="1"/>
  <c r="AN568" i="9" s="1"/>
  <c r="AN569" i="9" s="1"/>
  <c r="AN570" i="9" s="1"/>
  <c r="AN571" i="9" s="1"/>
  <c r="AN572" i="9" s="1"/>
  <c r="AN573" i="9" s="1"/>
  <c r="AN574" i="9" s="1"/>
  <c r="AN575" i="9" s="1"/>
  <c r="AN576" i="9" s="1"/>
  <c r="AN577" i="9" s="1"/>
  <c r="AN578" i="9" s="1"/>
  <c r="AN579" i="9" s="1"/>
  <c r="AN580" i="9" s="1"/>
  <c r="AN581" i="9" s="1"/>
  <c r="AN582" i="9" s="1"/>
  <c r="AN583" i="9" s="1"/>
  <c r="AN584" i="9" s="1"/>
  <c r="AN585" i="9" s="1"/>
  <c r="AN586" i="9" s="1"/>
  <c r="AN587" i="9" s="1"/>
  <c r="AN588" i="9" s="1"/>
  <c r="AN589" i="9" s="1"/>
  <c r="AN590" i="9" s="1"/>
  <c r="AN591" i="9" s="1"/>
  <c r="AN592" i="9" s="1"/>
  <c r="AN593" i="9" s="1"/>
  <c r="AN594" i="9" s="1"/>
  <c r="AN595" i="9" s="1"/>
  <c r="AN596" i="9" s="1"/>
  <c r="AN597" i="9" s="1"/>
  <c r="AN598" i="9" s="1"/>
  <c r="AN599" i="9" s="1"/>
  <c r="AN600" i="9" s="1"/>
  <c r="AN601" i="9" s="1"/>
  <c r="AN602" i="9" s="1"/>
  <c r="AN603" i="9" s="1"/>
  <c r="AN604" i="9" s="1"/>
  <c r="AN605" i="9" s="1"/>
  <c r="AN606" i="9" s="1"/>
  <c r="AN607" i="9" s="1"/>
  <c r="AN608" i="9" s="1"/>
  <c r="AN609" i="9" s="1"/>
  <c r="AN610" i="9" s="1"/>
  <c r="AN611" i="9" s="1"/>
  <c r="AN612" i="9" s="1"/>
  <c r="AN613" i="9" s="1"/>
  <c r="AN614" i="9" s="1"/>
  <c r="AN615" i="9" s="1"/>
  <c r="AN616" i="9" s="1"/>
  <c r="AN617" i="9" s="1"/>
  <c r="AN618" i="9" s="1"/>
  <c r="AN619" i="9" s="1"/>
  <c r="AN620" i="9" s="1"/>
  <c r="AN621" i="9" s="1"/>
  <c r="AN622" i="9" s="1"/>
  <c r="AN623" i="9" s="1"/>
  <c r="AN624" i="9" s="1"/>
  <c r="AN625" i="9" s="1"/>
  <c r="AN626" i="9" s="1"/>
  <c r="AN627" i="9" s="1"/>
  <c r="AN628" i="9" s="1"/>
  <c r="AN629" i="9" s="1"/>
  <c r="AN630" i="9" s="1"/>
  <c r="AN631" i="9" s="1"/>
  <c r="AN632" i="9" s="1"/>
  <c r="AN633" i="9" s="1"/>
  <c r="AN634" i="9" s="1"/>
  <c r="AN635" i="9" s="1"/>
  <c r="AN636" i="9" s="1"/>
  <c r="AN637" i="9" s="1"/>
  <c r="AN638" i="9" s="1"/>
  <c r="AN639" i="9" s="1"/>
  <c r="AN640" i="9" s="1"/>
  <c r="AN641" i="9" s="1"/>
  <c r="AN642" i="9" s="1"/>
  <c r="AN643" i="9" s="1"/>
  <c r="AN644" i="9" s="1"/>
  <c r="AN645" i="9" s="1"/>
  <c r="AN646" i="9" s="1"/>
  <c r="AN647" i="9" s="1"/>
  <c r="AN648" i="9" s="1"/>
  <c r="AN649" i="9" s="1"/>
  <c r="AN650" i="9" s="1"/>
  <c r="AN651" i="9" s="1"/>
  <c r="AN652" i="9" s="1"/>
  <c r="AN653" i="9" s="1"/>
  <c r="AN654" i="9" s="1"/>
  <c r="AN655" i="9" s="1"/>
  <c r="AN656" i="9" s="1"/>
  <c r="AN657" i="9" s="1"/>
  <c r="AN658" i="9" s="1"/>
  <c r="AN659" i="9" s="1"/>
  <c r="AN660" i="9" s="1"/>
  <c r="AN661" i="9" s="1"/>
  <c r="AN662" i="9" s="1"/>
  <c r="AN663" i="9" s="1"/>
  <c r="AN664" i="9" s="1"/>
  <c r="AN665" i="9" s="1"/>
  <c r="AN666" i="9" s="1"/>
  <c r="AN667" i="9" s="1"/>
  <c r="AN668" i="9" s="1"/>
  <c r="AN669" i="9" s="1"/>
  <c r="AN670" i="9" s="1"/>
  <c r="AN671" i="9" s="1"/>
  <c r="AN672" i="9" s="1"/>
  <c r="AN673" i="9" s="1"/>
  <c r="AN674" i="9" s="1"/>
  <c r="AN675" i="9" s="1"/>
  <c r="AN676" i="9" s="1"/>
  <c r="AN677" i="9" s="1"/>
  <c r="AN678" i="9" s="1"/>
  <c r="AN679" i="9" s="1"/>
  <c r="AN680" i="9" s="1"/>
  <c r="AN681" i="9" s="1"/>
  <c r="AN682" i="9" s="1"/>
  <c r="AN683" i="9" s="1"/>
  <c r="AN684" i="9" s="1"/>
  <c r="AN685" i="9" s="1"/>
  <c r="BG9" i="9"/>
  <c r="BG10" i="9" s="1"/>
  <c r="BG11" i="9" s="1"/>
  <c r="BG12" i="9" s="1"/>
  <c r="BG13" i="9" s="1"/>
  <c r="BG14" i="9" s="1"/>
  <c r="BG15" i="9" s="1"/>
  <c r="BG16" i="9" s="1"/>
  <c r="BG17" i="9" s="1"/>
  <c r="BG18" i="9" s="1"/>
  <c r="BG19" i="9" s="1"/>
  <c r="BG20" i="9" s="1"/>
  <c r="BG21" i="9" s="1"/>
  <c r="BG22" i="9" s="1"/>
  <c r="BG23" i="9" s="1"/>
  <c r="BG24" i="9" s="1"/>
  <c r="BG25" i="9" s="1"/>
  <c r="BG26" i="9" s="1"/>
  <c r="BG27" i="9" s="1"/>
  <c r="BG28" i="9" s="1"/>
  <c r="BG29" i="9" s="1"/>
  <c r="BG30" i="9" s="1"/>
  <c r="BG31" i="9" s="1"/>
  <c r="BG32" i="9" s="1"/>
  <c r="BG33" i="9" s="1"/>
  <c r="BG34" i="9" s="1"/>
  <c r="BG35" i="9" s="1"/>
  <c r="BG36" i="9" s="1"/>
  <c r="BG37" i="9" s="1"/>
  <c r="BG38" i="9" s="1"/>
  <c r="BG39" i="9" s="1"/>
  <c r="BG40" i="9" s="1"/>
  <c r="BG41" i="9" s="1"/>
  <c r="BG42" i="9" s="1"/>
  <c r="BG43" i="9" s="1"/>
  <c r="BG44" i="9" s="1"/>
  <c r="BG45" i="9" s="1"/>
  <c r="BG46" i="9" s="1"/>
  <c r="BG47" i="9" s="1"/>
  <c r="BG48" i="9" s="1"/>
  <c r="BG49" i="9" s="1"/>
  <c r="BG50" i="9" s="1"/>
  <c r="BG51" i="9" s="1"/>
  <c r="BG52" i="9" s="1"/>
  <c r="BG53" i="9" s="1"/>
  <c r="BG54" i="9" s="1"/>
  <c r="BG55" i="9" s="1"/>
  <c r="BG56" i="9" s="1"/>
  <c r="BG57" i="9" s="1"/>
  <c r="BG58" i="9" s="1"/>
  <c r="BG59" i="9" s="1"/>
  <c r="BG60" i="9" s="1"/>
  <c r="BG61" i="9" s="1"/>
  <c r="BG62" i="9" s="1"/>
  <c r="BG63" i="9" s="1"/>
  <c r="BG64" i="9" s="1"/>
  <c r="BG65" i="9" s="1"/>
  <c r="BG66" i="9" s="1"/>
  <c r="BG67" i="9" s="1"/>
  <c r="BG68" i="9" s="1"/>
  <c r="BG69" i="9" s="1"/>
  <c r="BG70" i="9" s="1"/>
  <c r="BG71" i="9" s="1"/>
  <c r="BG72" i="9" s="1"/>
  <c r="BG73" i="9" s="1"/>
  <c r="BG74" i="9" s="1"/>
  <c r="BG75" i="9" s="1"/>
  <c r="BG76" i="9" s="1"/>
  <c r="BG77" i="9" s="1"/>
  <c r="BG78" i="9" s="1"/>
  <c r="BG79" i="9" s="1"/>
  <c r="BG80" i="9" s="1"/>
  <c r="BG81" i="9" s="1"/>
  <c r="BG82" i="9" s="1"/>
  <c r="BG83" i="9" s="1"/>
  <c r="BG84" i="9" s="1"/>
  <c r="BG85" i="9" s="1"/>
  <c r="BG86" i="9" s="1"/>
  <c r="BG87" i="9" s="1"/>
  <c r="BG88" i="9" s="1"/>
  <c r="BG89" i="9" s="1"/>
  <c r="BG90" i="9" s="1"/>
  <c r="BG91" i="9" s="1"/>
  <c r="BG92" i="9" s="1"/>
  <c r="BG93" i="9" s="1"/>
  <c r="BG94" i="9" s="1"/>
  <c r="BG95" i="9" s="1"/>
  <c r="BG96" i="9" s="1"/>
  <c r="BG97" i="9" s="1"/>
  <c r="BG98" i="9" s="1"/>
  <c r="BG99" i="9" s="1"/>
  <c r="BG100" i="9" s="1"/>
  <c r="BG101" i="9" s="1"/>
  <c r="BG102" i="9" s="1"/>
  <c r="BG103" i="9" s="1"/>
  <c r="BG104" i="9" s="1"/>
  <c r="BG105" i="9" s="1"/>
  <c r="BG106" i="9" s="1"/>
  <c r="BG107" i="9" s="1"/>
  <c r="BG108" i="9" s="1"/>
  <c r="BG109" i="9" s="1"/>
  <c r="BG110" i="9" s="1"/>
  <c r="BG111" i="9" s="1"/>
  <c r="BG112" i="9" s="1"/>
  <c r="BG113" i="9" s="1"/>
  <c r="BG114" i="9" s="1"/>
  <c r="BG115" i="9" s="1"/>
  <c r="BG116" i="9" s="1"/>
  <c r="BG117" i="9" s="1"/>
  <c r="BG118" i="9" s="1"/>
  <c r="BG119" i="9" s="1"/>
  <c r="BG120" i="9" s="1"/>
  <c r="BG121" i="9" s="1"/>
  <c r="BG122" i="9" s="1"/>
  <c r="BG123" i="9" s="1"/>
  <c r="BG124" i="9" s="1"/>
  <c r="BG125" i="9" s="1"/>
  <c r="BG126" i="9" s="1"/>
  <c r="BG127" i="9" s="1"/>
  <c r="BG128" i="9" s="1"/>
  <c r="BG129" i="9" s="1"/>
  <c r="BG130" i="9" s="1"/>
  <c r="BG131" i="9" s="1"/>
  <c r="BG132" i="9" s="1"/>
  <c r="BG133" i="9" s="1"/>
  <c r="BG134" i="9" s="1"/>
  <c r="BG135" i="9" s="1"/>
  <c r="BG136" i="9" s="1"/>
  <c r="BG137" i="9" s="1"/>
  <c r="BG138" i="9" s="1"/>
  <c r="BG139" i="9" s="1"/>
  <c r="BG140" i="9" s="1"/>
  <c r="BG141" i="9" s="1"/>
  <c r="BG142" i="9" s="1"/>
  <c r="BG143" i="9" s="1"/>
  <c r="BG144" i="9" s="1"/>
  <c r="BG145" i="9" s="1"/>
  <c r="BG146" i="9" s="1"/>
  <c r="BG147" i="9" s="1"/>
  <c r="BG148" i="9" s="1"/>
  <c r="BG149" i="9" s="1"/>
  <c r="BG150" i="9" s="1"/>
  <c r="BG151" i="9" s="1"/>
  <c r="BG152" i="9" s="1"/>
  <c r="BG153" i="9" s="1"/>
  <c r="BG154" i="9" s="1"/>
  <c r="BG155" i="9" s="1"/>
  <c r="BG156" i="9" s="1"/>
  <c r="BG157" i="9" s="1"/>
  <c r="BG158" i="9" s="1"/>
  <c r="BG159" i="9" s="1"/>
  <c r="BG160" i="9" s="1"/>
  <c r="BG161" i="9" s="1"/>
  <c r="BG162" i="9" s="1"/>
  <c r="BG163" i="9" s="1"/>
  <c r="BG164" i="9" s="1"/>
  <c r="BG165" i="9" s="1"/>
  <c r="BG166" i="9" s="1"/>
  <c r="BG167" i="9" s="1"/>
  <c r="BG168" i="9" s="1"/>
  <c r="BG169" i="9" s="1"/>
  <c r="BG170" i="9" s="1"/>
  <c r="BG171" i="9" s="1"/>
  <c r="BG172" i="9" s="1"/>
  <c r="BG173" i="9" s="1"/>
  <c r="BG174" i="9" s="1"/>
  <c r="BG175" i="9" s="1"/>
  <c r="BG176" i="9" s="1"/>
  <c r="BG177" i="9" s="1"/>
  <c r="BG178" i="9" s="1"/>
  <c r="BG179" i="9" s="1"/>
  <c r="BG180" i="9" s="1"/>
  <c r="BG181" i="9" s="1"/>
  <c r="BG182" i="9" s="1"/>
  <c r="BG183" i="9" s="1"/>
  <c r="BG184" i="9" s="1"/>
  <c r="BG185" i="9" s="1"/>
  <c r="BG186" i="9" s="1"/>
  <c r="BG187" i="9" s="1"/>
  <c r="BG188" i="9" s="1"/>
  <c r="BG189" i="9" s="1"/>
  <c r="BG190" i="9" s="1"/>
  <c r="BG191" i="9" s="1"/>
  <c r="BG192" i="9" s="1"/>
  <c r="BG193" i="9" s="1"/>
  <c r="BG194" i="9" s="1"/>
  <c r="BG195" i="9" s="1"/>
  <c r="BG196" i="9" s="1"/>
  <c r="BG197" i="9" s="1"/>
  <c r="BG198" i="9" s="1"/>
  <c r="BG199" i="9" s="1"/>
  <c r="BG200" i="9" s="1"/>
  <c r="BG201" i="9" s="1"/>
  <c r="BG202" i="9" s="1"/>
  <c r="BG203" i="9" s="1"/>
  <c r="BG204" i="9" s="1"/>
  <c r="BG205" i="9" s="1"/>
  <c r="BG206" i="9" s="1"/>
  <c r="BG207" i="9" s="1"/>
  <c r="BG208" i="9" s="1"/>
  <c r="BG209" i="9" s="1"/>
  <c r="BG210" i="9" s="1"/>
  <c r="BG211" i="9" s="1"/>
  <c r="BG212" i="9" s="1"/>
  <c r="BG213" i="9" s="1"/>
  <c r="BG214" i="9" s="1"/>
  <c r="BG215" i="9" s="1"/>
  <c r="BG216" i="9" s="1"/>
  <c r="BG217" i="9" s="1"/>
  <c r="BG218" i="9" s="1"/>
  <c r="BG219" i="9" s="1"/>
  <c r="BG220" i="9" s="1"/>
  <c r="BG221" i="9" s="1"/>
  <c r="BG222" i="9" s="1"/>
  <c r="BG223" i="9" s="1"/>
  <c r="BG224" i="9" s="1"/>
  <c r="BG225" i="9" s="1"/>
  <c r="BG226" i="9" s="1"/>
  <c r="BG227" i="9" s="1"/>
  <c r="BG228" i="9" s="1"/>
  <c r="BG229" i="9" s="1"/>
  <c r="BG230" i="9" s="1"/>
  <c r="BG231" i="9" s="1"/>
  <c r="BG232" i="9" s="1"/>
  <c r="BG233" i="9" s="1"/>
  <c r="BG234" i="9" s="1"/>
  <c r="BG235" i="9" s="1"/>
  <c r="BG236" i="9" s="1"/>
  <c r="BG237" i="9" s="1"/>
  <c r="BG238" i="9" s="1"/>
  <c r="BG239" i="9" s="1"/>
  <c r="BG240" i="9" s="1"/>
  <c r="BG241" i="9" s="1"/>
  <c r="BG242" i="9" s="1"/>
  <c r="BG243" i="9" s="1"/>
  <c r="BG244" i="9" s="1"/>
  <c r="BG245" i="9" s="1"/>
  <c r="BG246" i="9" s="1"/>
  <c r="BG247" i="9" s="1"/>
  <c r="BG248" i="9" s="1"/>
  <c r="BG249" i="9" s="1"/>
  <c r="BG250" i="9" s="1"/>
  <c r="BG251" i="9" s="1"/>
  <c r="BG252" i="9" s="1"/>
  <c r="BG253" i="9" s="1"/>
  <c r="BG254" i="9" s="1"/>
  <c r="BG255" i="9" s="1"/>
  <c r="BG256" i="9" s="1"/>
  <c r="BG257" i="9" s="1"/>
  <c r="BG258" i="9" s="1"/>
  <c r="BG259" i="9" s="1"/>
  <c r="BG260" i="9" s="1"/>
  <c r="BG261" i="9" s="1"/>
  <c r="BG262" i="9" s="1"/>
  <c r="BG263" i="9" s="1"/>
  <c r="BG264" i="9" s="1"/>
  <c r="BG265" i="9" s="1"/>
  <c r="BG266" i="9" s="1"/>
  <c r="BG267" i="9" s="1"/>
  <c r="BG268" i="9" s="1"/>
  <c r="BG269" i="9" s="1"/>
  <c r="BG270" i="9" s="1"/>
  <c r="BG271" i="9" s="1"/>
  <c r="BG272" i="9" s="1"/>
  <c r="BG273" i="9" s="1"/>
  <c r="BG274" i="9" s="1"/>
  <c r="BG275" i="9" s="1"/>
  <c r="BG276" i="9" s="1"/>
  <c r="BG277" i="9" s="1"/>
  <c r="BG278" i="9" s="1"/>
  <c r="BG279" i="9" s="1"/>
  <c r="BG280" i="9" s="1"/>
  <c r="BG281" i="9" s="1"/>
  <c r="BG282" i="9" s="1"/>
  <c r="BG283" i="9" s="1"/>
  <c r="BG284" i="9" s="1"/>
  <c r="BG285" i="9" s="1"/>
  <c r="BG286" i="9" s="1"/>
  <c r="BG287" i="9" s="1"/>
  <c r="BG288" i="9" s="1"/>
  <c r="BG289" i="9" s="1"/>
  <c r="BG290" i="9" s="1"/>
  <c r="BG291" i="9" s="1"/>
  <c r="BG292" i="9" s="1"/>
  <c r="BG293" i="9" s="1"/>
  <c r="BG294" i="9" s="1"/>
  <c r="BG295" i="9" s="1"/>
  <c r="BG296" i="9" s="1"/>
  <c r="BG297" i="9" s="1"/>
  <c r="BG298" i="9" s="1"/>
  <c r="BG299" i="9" s="1"/>
  <c r="BG300" i="9" s="1"/>
  <c r="BG301" i="9" s="1"/>
  <c r="BG302" i="9" s="1"/>
  <c r="BG303" i="9" s="1"/>
  <c r="BG304" i="9" s="1"/>
  <c r="BG305" i="9" s="1"/>
  <c r="BG306" i="9" s="1"/>
  <c r="BG307" i="9" s="1"/>
  <c r="BG308" i="9" s="1"/>
  <c r="BG309" i="9" s="1"/>
  <c r="BG310" i="9" s="1"/>
  <c r="BG311" i="9" s="1"/>
  <c r="BG312" i="9" s="1"/>
  <c r="BG313" i="9" s="1"/>
  <c r="BG314" i="9" s="1"/>
  <c r="BG315" i="9" s="1"/>
  <c r="BG316" i="9" s="1"/>
  <c r="BG317" i="9" s="1"/>
  <c r="BG318" i="9" s="1"/>
  <c r="BG319" i="9" s="1"/>
  <c r="BG320" i="9" s="1"/>
  <c r="BG321" i="9" s="1"/>
  <c r="BG322" i="9" s="1"/>
  <c r="BG323" i="9" s="1"/>
  <c r="BG324" i="9" s="1"/>
  <c r="BG325" i="9" s="1"/>
  <c r="BG326" i="9" s="1"/>
  <c r="BG327" i="9" s="1"/>
  <c r="BG328" i="9" s="1"/>
  <c r="BG329" i="9" s="1"/>
  <c r="BG330" i="9" s="1"/>
  <c r="BG331" i="9" s="1"/>
  <c r="BG332" i="9" s="1"/>
  <c r="BG333" i="9" s="1"/>
  <c r="BG334" i="9" s="1"/>
  <c r="BG335" i="9" s="1"/>
  <c r="BG336" i="9" s="1"/>
  <c r="BG337" i="9" s="1"/>
  <c r="BG338" i="9" s="1"/>
  <c r="BG339" i="9" s="1"/>
  <c r="BG340" i="9" s="1"/>
  <c r="BG341" i="9" s="1"/>
  <c r="BG342" i="9" s="1"/>
  <c r="BG343" i="9" s="1"/>
  <c r="BG344" i="9" s="1"/>
  <c r="BG345" i="9" s="1"/>
  <c r="BG346" i="9" s="1"/>
  <c r="BG347" i="9" s="1"/>
  <c r="BG348" i="9" s="1"/>
  <c r="BG349" i="9" s="1"/>
  <c r="BG350" i="9" s="1"/>
  <c r="BG351" i="9" s="1"/>
  <c r="BG352" i="9" s="1"/>
  <c r="BG353" i="9" s="1"/>
  <c r="BG354" i="9" s="1"/>
  <c r="BG355" i="9" s="1"/>
  <c r="BG356" i="9" s="1"/>
  <c r="BG357" i="9" s="1"/>
  <c r="BG358" i="9" s="1"/>
  <c r="BG359" i="9" s="1"/>
  <c r="BG360" i="9" s="1"/>
  <c r="BG361" i="9" s="1"/>
  <c r="BG362" i="9" s="1"/>
  <c r="BG363" i="9" s="1"/>
  <c r="BG364" i="9" s="1"/>
  <c r="BG365" i="9" s="1"/>
  <c r="BG366" i="9" s="1"/>
  <c r="BG367" i="9" s="1"/>
  <c r="BG368" i="9" s="1"/>
  <c r="BG369" i="9" s="1"/>
  <c r="BG370" i="9" s="1"/>
  <c r="BG371" i="9" s="1"/>
  <c r="BG372" i="9" s="1"/>
  <c r="BG373" i="9" s="1"/>
  <c r="BG374" i="9" s="1"/>
  <c r="BG375" i="9" s="1"/>
  <c r="BG376" i="9" s="1"/>
  <c r="BG377" i="9" s="1"/>
  <c r="BG378" i="9" s="1"/>
  <c r="BG379" i="9" s="1"/>
  <c r="BG380" i="9" s="1"/>
  <c r="BG381" i="9" s="1"/>
  <c r="BG382" i="9" s="1"/>
  <c r="BG383" i="9" s="1"/>
  <c r="BG384" i="9" s="1"/>
  <c r="BG385" i="9" s="1"/>
  <c r="BG386" i="9" s="1"/>
  <c r="BG387" i="9" s="1"/>
  <c r="BG388" i="9" s="1"/>
  <c r="BG389" i="9" s="1"/>
  <c r="BG390" i="9" s="1"/>
  <c r="BG391" i="9" s="1"/>
  <c r="BG392" i="9" s="1"/>
  <c r="BG393" i="9" s="1"/>
  <c r="BG394" i="9" s="1"/>
  <c r="BG395" i="9" s="1"/>
  <c r="BG396" i="9" s="1"/>
  <c r="BG397" i="9" s="1"/>
  <c r="BG398" i="9" s="1"/>
  <c r="BQ9" i="9"/>
  <c r="BQ10" i="9" s="1"/>
  <c r="BQ11" i="9" s="1"/>
  <c r="BQ12" i="9" s="1"/>
  <c r="BQ13" i="9" s="1"/>
  <c r="BQ14" i="9" s="1"/>
  <c r="BQ15" i="9" s="1"/>
  <c r="BQ16" i="9" s="1"/>
  <c r="BQ17" i="9" s="1"/>
  <c r="BQ18" i="9" s="1"/>
  <c r="BQ19" i="9" s="1"/>
  <c r="BQ20" i="9" s="1"/>
  <c r="BQ21" i="9" s="1"/>
  <c r="BQ22" i="9" s="1"/>
  <c r="BQ23" i="9" s="1"/>
  <c r="BQ24" i="9" s="1"/>
  <c r="BQ25" i="9" s="1"/>
  <c r="BQ26" i="9" s="1"/>
  <c r="BQ27" i="9" s="1"/>
  <c r="BQ28" i="9" s="1"/>
  <c r="BQ29" i="9" s="1"/>
  <c r="BQ30" i="9" s="1"/>
  <c r="BQ31" i="9" s="1"/>
  <c r="BQ32" i="9" s="1"/>
  <c r="BQ33" i="9" s="1"/>
  <c r="BQ34" i="9" s="1"/>
  <c r="BQ35" i="9" s="1"/>
  <c r="BQ36" i="9" s="1"/>
  <c r="BQ37" i="9" s="1"/>
  <c r="BQ38" i="9" s="1"/>
  <c r="BQ39" i="9" s="1"/>
  <c r="BQ40" i="9" s="1"/>
  <c r="BQ41" i="9" s="1"/>
  <c r="BQ42" i="9" s="1"/>
  <c r="BQ43" i="9" s="1"/>
  <c r="BQ44" i="9" s="1"/>
  <c r="BQ45" i="9" s="1"/>
  <c r="BQ46" i="9" s="1"/>
  <c r="BQ47" i="9" s="1"/>
  <c r="BQ48" i="9" s="1"/>
  <c r="BQ49" i="9" s="1"/>
  <c r="BQ50" i="9" s="1"/>
  <c r="BQ51" i="9" s="1"/>
  <c r="BQ52" i="9" s="1"/>
  <c r="BQ53" i="9" s="1"/>
  <c r="BQ54" i="9" s="1"/>
  <c r="BQ55" i="9" s="1"/>
  <c r="BQ56" i="9" s="1"/>
  <c r="BQ57" i="9" s="1"/>
  <c r="BQ58" i="9" s="1"/>
  <c r="BQ59" i="9" s="1"/>
  <c r="BQ60" i="9" s="1"/>
  <c r="BQ61" i="9" s="1"/>
  <c r="BQ62" i="9" s="1"/>
  <c r="BQ63" i="9" s="1"/>
  <c r="BQ64" i="9" s="1"/>
  <c r="BQ65" i="9" s="1"/>
  <c r="BQ66" i="9" s="1"/>
  <c r="BQ67" i="9" s="1"/>
  <c r="BQ68" i="9" s="1"/>
  <c r="BQ69" i="9" s="1"/>
  <c r="BQ70" i="9" s="1"/>
  <c r="BQ71" i="9" s="1"/>
  <c r="BQ72" i="9" s="1"/>
  <c r="BQ73" i="9" s="1"/>
  <c r="BQ74" i="9" s="1"/>
  <c r="BQ75" i="9" s="1"/>
  <c r="BQ76" i="9" s="1"/>
  <c r="BQ77" i="9" s="1"/>
  <c r="BQ78" i="9" s="1"/>
  <c r="BQ79" i="9" s="1"/>
  <c r="BQ80" i="9" s="1"/>
  <c r="BQ81" i="9" s="1"/>
  <c r="BQ82" i="9" s="1"/>
  <c r="BQ83" i="9" s="1"/>
  <c r="BQ84" i="9" s="1"/>
  <c r="BQ85" i="9" s="1"/>
  <c r="BQ86" i="9" s="1"/>
  <c r="BQ87" i="9" s="1"/>
  <c r="BQ88" i="9" s="1"/>
  <c r="BQ89" i="9" s="1"/>
  <c r="BQ90" i="9" s="1"/>
  <c r="BQ91" i="9" s="1"/>
  <c r="BQ92" i="9" s="1"/>
  <c r="BQ93" i="9" s="1"/>
  <c r="BQ94" i="9" s="1"/>
  <c r="BQ95" i="9" s="1"/>
  <c r="BQ96" i="9" s="1"/>
  <c r="BQ97" i="9" s="1"/>
  <c r="BQ98" i="9" s="1"/>
  <c r="BQ99" i="9" s="1"/>
  <c r="BQ100" i="9" s="1"/>
  <c r="BQ101" i="9" s="1"/>
  <c r="BQ102" i="9" s="1"/>
  <c r="BQ103" i="9" s="1"/>
  <c r="BQ104" i="9" s="1"/>
  <c r="BQ105" i="9" s="1"/>
  <c r="BQ106" i="9" s="1"/>
  <c r="BQ107" i="9" s="1"/>
  <c r="BQ108" i="9" s="1"/>
  <c r="BQ109" i="9" s="1"/>
  <c r="BQ110" i="9" s="1"/>
  <c r="BQ111" i="9" s="1"/>
  <c r="BQ112" i="9" s="1"/>
  <c r="BQ113" i="9" s="1"/>
  <c r="BQ114" i="9" s="1"/>
  <c r="BQ115" i="9" s="1"/>
  <c r="BQ116" i="9" s="1"/>
  <c r="BQ117" i="9" s="1"/>
  <c r="BQ118" i="9" s="1"/>
  <c r="BQ119" i="9" s="1"/>
  <c r="BQ120" i="9" s="1"/>
  <c r="BQ121" i="9" s="1"/>
  <c r="BQ122" i="9" s="1"/>
  <c r="BQ123" i="9" s="1"/>
  <c r="BQ124" i="9" s="1"/>
  <c r="BQ125" i="9" s="1"/>
  <c r="BQ126" i="9" s="1"/>
  <c r="BQ127" i="9" s="1"/>
  <c r="BQ128" i="9" s="1"/>
  <c r="BQ129" i="9" s="1"/>
  <c r="BQ130" i="9" s="1"/>
  <c r="BQ131" i="9" s="1"/>
  <c r="BQ132" i="9" s="1"/>
  <c r="BQ133" i="9" s="1"/>
  <c r="BQ134" i="9" s="1"/>
  <c r="BQ135" i="9" s="1"/>
  <c r="BQ136" i="9" s="1"/>
  <c r="BQ137" i="9" s="1"/>
  <c r="BQ138" i="9" s="1"/>
  <c r="BQ139" i="9" s="1"/>
  <c r="BQ140" i="9" s="1"/>
  <c r="BQ141" i="9" s="1"/>
  <c r="BQ142" i="9" s="1"/>
  <c r="BQ143" i="9" s="1"/>
  <c r="BQ144" i="9" s="1"/>
  <c r="BQ145" i="9" s="1"/>
  <c r="BQ146" i="9" s="1"/>
  <c r="BQ147" i="9" s="1"/>
  <c r="BQ148" i="9" s="1"/>
  <c r="BQ149" i="9" s="1"/>
  <c r="BQ150" i="9" s="1"/>
  <c r="BQ151" i="9" s="1"/>
  <c r="BQ152" i="9" s="1"/>
  <c r="BQ153" i="9" s="1"/>
  <c r="BQ154" i="9" s="1"/>
  <c r="BQ155" i="9" s="1"/>
  <c r="BQ156" i="9" s="1"/>
  <c r="BQ157" i="9" s="1"/>
  <c r="BQ158" i="9" s="1"/>
  <c r="BQ159" i="9" s="1"/>
  <c r="BQ160" i="9" s="1"/>
  <c r="BQ161" i="9" s="1"/>
  <c r="BQ162" i="9" s="1"/>
  <c r="BQ163" i="9" s="1"/>
  <c r="BQ164" i="9" s="1"/>
  <c r="BQ165" i="9" s="1"/>
  <c r="BQ166" i="9" s="1"/>
  <c r="BQ167" i="9" s="1"/>
  <c r="BQ168" i="9" s="1"/>
  <c r="BQ169" i="9" s="1"/>
  <c r="BQ170" i="9" s="1"/>
  <c r="BQ171" i="9" s="1"/>
  <c r="BQ172" i="9" s="1"/>
  <c r="BQ173" i="9" s="1"/>
  <c r="BQ174" i="9" s="1"/>
  <c r="BQ175" i="9" s="1"/>
  <c r="BQ176" i="9" s="1"/>
  <c r="BQ177" i="9" s="1"/>
  <c r="BQ178" i="9" s="1"/>
  <c r="BQ179" i="9" s="1"/>
  <c r="BQ180" i="9" s="1"/>
  <c r="BQ181" i="9" s="1"/>
  <c r="BQ182" i="9" s="1"/>
  <c r="BQ183" i="9" s="1"/>
  <c r="BQ184" i="9" s="1"/>
  <c r="BQ185" i="9" s="1"/>
  <c r="BQ186" i="9" s="1"/>
  <c r="BQ187" i="9" s="1"/>
  <c r="BQ188" i="9" s="1"/>
  <c r="BQ189" i="9" s="1"/>
  <c r="BQ190" i="9" s="1"/>
  <c r="BQ191" i="9" s="1"/>
  <c r="BQ192" i="9" s="1"/>
  <c r="BQ193" i="9" s="1"/>
  <c r="BQ194" i="9" s="1"/>
  <c r="BQ195" i="9" s="1"/>
  <c r="BQ196" i="9" s="1"/>
  <c r="BQ197" i="9" s="1"/>
  <c r="BQ198" i="9" s="1"/>
  <c r="BQ199" i="9" s="1"/>
  <c r="BQ200" i="9" s="1"/>
  <c r="BQ201" i="9" s="1"/>
  <c r="BQ202" i="9" s="1"/>
  <c r="BQ203" i="9" s="1"/>
  <c r="BQ204" i="9" s="1"/>
  <c r="BQ205" i="9" s="1"/>
  <c r="BQ206" i="9" s="1"/>
  <c r="BQ207" i="9" s="1"/>
  <c r="BQ208" i="9" s="1"/>
  <c r="BQ209" i="9" s="1"/>
  <c r="BQ210" i="9" s="1"/>
  <c r="BQ211" i="9" s="1"/>
  <c r="BQ212" i="9" s="1"/>
  <c r="BQ213" i="9" s="1"/>
  <c r="BQ214" i="9" s="1"/>
  <c r="BQ215" i="9" s="1"/>
  <c r="BQ216" i="9" s="1"/>
  <c r="BQ217" i="9" s="1"/>
  <c r="BQ218" i="9" s="1"/>
  <c r="BQ219" i="9" s="1"/>
  <c r="BQ220" i="9" s="1"/>
  <c r="BQ221" i="9" s="1"/>
  <c r="BQ222" i="9" s="1"/>
  <c r="BQ223" i="9" s="1"/>
  <c r="BQ224" i="9" s="1"/>
  <c r="BQ225" i="9" s="1"/>
  <c r="BQ226" i="9" s="1"/>
  <c r="BQ227" i="9" s="1"/>
  <c r="BQ228" i="9" s="1"/>
  <c r="BQ229" i="9" s="1"/>
  <c r="BQ230" i="9" s="1"/>
  <c r="BQ231" i="9" s="1"/>
  <c r="BQ232" i="9" s="1"/>
  <c r="BQ233" i="9" s="1"/>
  <c r="BQ234" i="9" s="1"/>
  <c r="BQ235" i="9" s="1"/>
  <c r="BQ236" i="9" s="1"/>
  <c r="BQ237" i="9" s="1"/>
  <c r="BQ238" i="9" s="1"/>
  <c r="BQ239" i="9" s="1"/>
  <c r="BQ240" i="9" s="1"/>
  <c r="BQ241" i="9" s="1"/>
  <c r="BQ242" i="9" s="1"/>
  <c r="BQ243" i="9" s="1"/>
  <c r="BQ244" i="9" s="1"/>
  <c r="BQ245" i="9" s="1"/>
  <c r="BQ246" i="9" s="1"/>
  <c r="BQ247" i="9" s="1"/>
  <c r="BQ248" i="9" s="1"/>
  <c r="BQ249" i="9" s="1"/>
  <c r="BQ250" i="9" s="1"/>
  <c r="BQ251" i="9" s="1"/>
  <c r="BQ252" i="9" s="1"/>
  <c r="BQ253" i="9" s="1"/>
  <c r="BQ254" i="9" s="1"/>
  <c r="BQ255" i="9" s="1"/>
  <c r="BQ256" i="9" s="1"/>
  <c r="BQ257" i="9" s="1"/>
  <c r="BQ258" i="9" s="1"/>
  <c r="BQ259" i="9" s="1"/>
  <c r="BQ260" i="9" s="1"/>
  <c r="BQ261" i="9" s="1"/>
  <c r="BQ262" i="9" s="1"/>
  <c r="BQ263" i="9" s="1"/>
  <c r="BQ264" i="9" s="1"/>
  <c r="BQ265" i="9" s="1"/>
  <c r="BQ266" i="9" s="1"/>
  <c r="BQ267" i="9" s="1"/>
  <c r="BQ268" i="9" s="1"/>
  <c r="BQ269" i="9" s="1"/>
  <c r="BQ270" i="9" s="1"/>
  <c r="BQ271" i="9" s="1"/>
  <c r="BQ272" i="9" s="1"/>
  <c r="BQ273" i="9" s="1"/>
  <c r="BQ274" i="9" s="1"/>
  <c r="BQ275" i="9" s="1"/>
  <c r="BQ276" i="9" s="1"/>
  <c r="BQ277" i="9" s="1"/>
  <c r="BQ278" i="9" s="1"/>
  <c r="BQ279" i="9" s="1"/>
  <c r="BQ280" i="9" s="1"/>
  <c r="BQ281" i="9" s="1"/>
  <c r="BQ282" i="9" s="1"/>
  <c r="BQ283" i="9" s="1"/>
  <c r="BQ284" i="9" s="1"/>
  <c r="BQ285" i="9" s="1"/>
  <c r="BQ286" i="9" s="1"/>
  <c r="BQ287" i="9" s="1"/>
  <c r="BQ288" i="9" s="1"/>
  <c r="BQ289" i="9" s="1"/>
  <c r="BQ290" i="9" s="1"/>
  <c r="BQ291" i="9" s="1"/>
  <c r="BQ292" i="9" s="1"/>
  <c r="BQ293" i="9" s="1"/>
  <c r="BQ294" i="9" s="1"/>
  <c r="BQ295" i="9" s="1"/>
  <c r="BQ296" i="9" s="1"/>
  <c r="BQ297" i="9" s="1"/>
  <c r="BQ298" i="9" s="1"/>
  <c r="BQ299" i="9" s="1"/>
  <c r="BQ300" i="9" s="1"/>
  <c r="BQ301" i="9" s="1"/>
  <c r="BQ302" i="9" s="1"/>
  <c r="BQ303" i="9" s="1"/>
  <c r="BQ304" i="9" s="1"/>
  <c r="BQ305" i="9" s="1"/>
  <c r="BQ306" i="9" s="1"/>
  <c r="BQ307" i="9" s="1"/>
  <c r="BQ308" i="9" s="1"/>
  <c r="BQ309" i="9" s="1"/>
  <c r="BQ310" i="9" s="1"/>
  <c r="BQ311" i="9" s="1"/>
  <c r="BQ312" i="9" s="1"/>
  <c r="BQ313" i="9" s="1"/>
  <c r="BQ314" i="9" s="1"/>
  <c r="BQ315" i="9" s="1"/>
  <c r="BQ316" i="9" s="1"/>
  <c r="BQ317" i="9" s="1"/>
  <c r="BQ318" i="9" s="1"/>
  <c r="BQ319" i="9" s="1"/>
  <c r="BQ320" i="9" s="1"/>
  <c r="BQ321" i="9" s="1"/>
  <c r="BQ322" i="9" s="1"/>
  <c r="BQ323" i="9" s="1"/>
  <c r="BQ324" i="9" s="1"/>
  <c r="BQ325" i="9" s="1"/>
  <c r="BQ326" i="9" s="1"/>
  <c r="BQ327" i="9" s="1"/>
  <c r="BQ328" i="9" s="1"/>
  <c r="BQ329" i="9" s="1"/>
  <c r="BQ330" i="9" s="1"/>
  <c r="BQ331" i="9" s="1"/>
  <c r="BQ332" i="9" s="1"/>
  <c r="BQ333" i="9" s="1"/>
  <c r="BQ334" i="9" s="1"/>
  <c r="BQ335" i="9" s="1"/>
  <c r="BQ336" i="9" s="1"/>
  <c r="BQ337" i="9" s="1"/>
  <c r="BQ338" i="9" s="1"/>
  <c r="BQ339" i="9" s="1"/>
  <c r="BQ340" i="9" s="1"/>
  <c r="BQ341" i="9" s="1"/>
  <c r="BQ342" i="9" s="1"/>
  <c r="BQ343" i="9" s="1"/>
  <c r="BQ344" i="9" s="1"/>
  <c r="BQ345" i="9" s="1"/>
  <c r="BQ346" i="9" s="1"/>
  <c r="BQ347" i="9" s="1"/>
  <c r="BQ348" i="9" s="1"/>
  <c r="BQ349" i="9" s="1"/>
  <c r="BQ350" i="9" s="1"/>
  <c r="BQ351" i="9" s="1"/>
  <c r="BQ352" i="9" s="1"/>
  <c r="BQ353" i="9" s="1"/>
  <c r="BQ354" i="9" s="1"/>
  <c r="BQ355" i="9" s="1"/>
  <c r="BQ356" i="9" s="1"/>
  <c r="BQ357" i="9" s="1"/>
  <c r="BQ358" i="9" s="1"/>
  <c r="BQ359" i="9" s="1"/>
  <c r="BQ360" i="9" s="1"/>
  <c r="BQ361" i="9" s="1"/>
  <c r="BQ362" i="9" s="1"/>
  <c r="BQ363" i="9" s="1"/>
  <c r="BQ364" i="9" s="1"/>
  <c r="BQ365" i="9" s="1"/>
  <c r="BQ366" i="9" s="1"/>
  <c r="BQ367" i="9" s="1"/>
  <c r="BQ368" i="9" s="1"/>
  <c r="BQ369" i="9" s="1"/>
  <c r="BQ370" i="9" s="1"/>
  <c r="BQ371" i="9" s="1"/>
  <c r="BQ372" i="9" s="1"/>
  <c r="BQ373" i="9" s="1"/>
  <c r="BQ374" i="9" s="1"/>
  <c r="BQ375" i="9" s="1"/>
  <c r="BQ376" i="9" s="1"/>
  <c r="H447" i="9"/>
  <c r="H448" i="9" s="1"/>
  <c r="H449" i="9" s="1"/>
  <c r="H451" i="9" s="1"/>
  <c r="H452" i="9" s="1"/>
  <c r="H453" i="9" s="1"/>
  <c r="H454" i="9" s="1"/>
  <c r="H455" i="9" s="1"/>
  <c r="H456" i="9" s="1"/>
  <c r="H457" i="9" s="1"/>
  <c r="H458" i="9" s="1"/>
  <c r="H459" i="9" s="1"/>
  <c r="H460" i="9" s="1"/>
  <c r="H461" i="9" s="1"/>
  <c r="H463" i="9" s="1"/>
  <c r="H464" i="9" s="1"/>
  <c r="H465" i="9" s="1"/>
  <c r="H466" i="9" s="1"/>
  <c r="H467" i="9" s="1"/>
  <c r="H468" i="9" s="1"/>
  <c r="H469" i="9" s="1"/>
  <c r="H470" i="9" s="1"/>
  <c r="H471" i="9" s="1"/>
  <c r="H472" i="9" s="1"/>
  <c r="H473" i="9" s="1"/>
  <c r="H474" i="9" s="1"/>
  <c r="H475" i="9" s="1"/>
  <c r="H476" i="9" s="1"/>
  <c r="H477" i="9" s="1"/>
  <c r="H478" i="9" s="1"/>
  <c r="H479" i="9" s="1"/>
  <c r="H480" i="9" s="1"/>
  <c r="H481" i="9" s="1"/>
  <c r="H482" i="9" s="1"/>
  <c r="H483" i="9" s="1"/>
  <c r="H484" i="9" s="1"/>
  <c r="H485" i="9" s="1"/>
  <c r="H486" i="9" s="1"/>
  <c r="H487" i="9" s="1"/>
  <c r="H488" i="9" s="1"/>
  <c r="H489" i="9" s="1"/>
  <c r="H490" i="9" s="1"/>
  <c r="H491" i="9" s="1"/>
  <c r="H492" i="9" s="1"/>
  <c r="H493" i="9" s="1"/>
  <c r="H494" i="9" s="1"/>
  <c r="H495" i="9" s="1"/>
  <c r="H496" i="9" s="1"/>
  <c r="H497" i="9" s="1"/>
  <c r="H498" i="9" s="1"/>
  <c r="H499" i="9" s="1"/>
  <c r="H500" i="9" s="1"/>
  <c r="H501" i="9" s="1"/>
  <c r="H502" i="9" s="1"/>
  <c r="H503" i="9" s="1"/>
  <c r="H504" i="9" s="1"/>
  <c r="H505" i="9" s="1"/>
  <c r="H506" i="9" s="1"/>
  <c r="H507" i="9" s="1"/>
  <c r="H508" i="9" s="1"/>
  <c r="H509" i="9" s="1"/>
  <c r="H510" i="9" s="1"/>
  <c r="H511" i="9" s="1"/>
  <c r="H512" i="9" s="1"/>
  <c r="H513" i="9" s="1"/>
  <c r="H514" i="9" s="1"/>
  <c r="H515" i="9" s="1"/>
  <c r="H516" i="9" s="1"/>
  <c r="H517" i="9" s="1"/>
  <c r="H518" i="9" s="1"/>
  <c r="H519" i="9" s="1"/>
  <c r="H520" i="9" s="1"/>
  <c r="H521" i="9" s="1"/>
  <c r="H522" i="9" s="1"/>
  <c r="H523" i="9" s="1"/>
  <c r="H524" i="9" s="1"/>
  <c r="H525" i="9" s="1"/>
  <c r="H526" i="9" s="1"/>
  <c r="H527" i="9" s="1"/>
  <c r="H528" i="9" s="1"/>
  <c r="H529" i="9" s="1"/>
  <c r="H530" i="9" s="1"/>
  <c r="H531" i="9" s="1"/>
  <c r="H532" i="9" s="1"/>
  <c r="H533" i="9" s="1"/>
  <c r="H534" i="9" s="1"/>
  <c r="H535" i="9" s="1"/>
  <c r="H536" i="9" s="1"/>
  <c r="H537" i="9" s="1"/>
  <c r="H538" i="9" s="1"/>
  <c r="H539" i="9" s="1"/>
  <c r="H540" i="9" s="1"/>
  <c r="H541" i="9" s="1"/>
  <c r="H542" i="9" s="1"/>
  <c r="H543" i="9" s="1"/>
  <c r="H544" i="9" s="1"/>
  <c r="H545" i="9" s="1"/>
  <c r="H546" i="9" s="1"/>
  <c r="H547" i="9" s="1"/>
  <c r="H548" i="9" s="1"/>
  <c r="H549" i="9" s="1"/>
  <c r="H550" i="9" s="1"/>
  <c r="H551" i="9" s="1"/>
  <c r="H552" i="9" s="1"/>
  <c r="H553" i="9" s="1"/>
  <c r="H554" i="9" s="1"/>
  <c r="H555" i="9" s="1"/>
  <c r="H556" i="9" s="1"/>
  <c r="H557" i="9" s="1"/>
  <c r="H558" i="9" s="1"/>
  <c r="H559" i="9" s="1"/>
  <c r="H560" i="9" s="1"/>
  <c r="H561" i="9" s="1"/>
  <c r="H562" i="9" s="1"/>
  <c r="H563" i="9" s="1"/>
  <c r="H564" i="9" s="1"/>
  <c r="H565" i="9" s="1"/>
  <c r="H566" i="9" s="1"/>
  <c r="H567" i="9" s="1"/>
  <c r="H568" i="9" s="1"/>
  <c r="H569" i="9" s="1"/>
  <c r="H570" i="9" s="1"/>
  <c r="H571" i="9" s="1"/>
  <c r="H572" i="9" s="1"/>
  <c r="H573" i="9" s="1"/>
  <c r="H574" i="9" s="1"/>
  <c r="H575" i="9" s="1"/>
  <c r="H576" i="9" s="1"/>
  <c r="H577" i="9" s="1"/>
  <c r="H578" i="9" s="1"/>
  <c r="H579" i="9" s="1"/>
  <c r="H580" i="9" s="1"/>
  <c r="H581" i="9" s="1"/>
  <c r="H582" i="9" s="1"/>
  <c r="H583" i="9" s="1"/>
  <c r="H584" i="9" s="1"/>
  <c r="H585" i="9" s="1"/>
  <c r="H586" i="9" s="1"/>
  <c r="H587" i="9" s="1"/>
  <c r="H588" i="9" s="1"/>
  <c r="H589" i="9" s="1"/>
  <c r="H590" i="9" s="1"/>
  <c r="H591" i="9" s="1"/>
  <c r="H592" i="9" s="1"/>
  <c r="H593" i="9" s="1"/>
  <c r="H594" i="9" s="1"/>
  <c r="H595" i="9" s="1"/>
  <c r="H596" i="9" s="1"/>
  <c r="H597" i="9" s="1"/>
  <c r="H598" i="9" s="1"/>
  <c r="H599" i="9" s="1"/>
  <c r="H600" i="9" s="1"/>
  <c r="H601" i="9" s="1"/>
  <c r="H602" i="9" s="1"/>
  <c r="H603" i="9" s="1"/>
  <c r="H604" i="9" s="1"/>
  <c r="H605" i="9" s="1"/>
  <c r="H606" i="9" s="1"/>
  <c r="H607" i="9" s="1"/>
  <c r="H608" i="9" s="1"/>
  <c r="H609" i="9" s="1"/>
  <c r="H610" i="9" s="1"/>
  <c r="H611" i="9" s="1"/>
  <c r="H612" i="9" s="1"/>
  <c r="H613" i="9" s="1"/>
  <c r="H614" i="9" s="1"/>
  <c r="H615" i="9" s="1"/>
  <c r="H616" i="9" s="1"/>
  <c r="H617" i="9" s="1"/>
  <c r="H618" i="9" s="1"/>
  <c r="H619" i="9" s="1"/>
  <c r="H620" i="9" s="1"/>
  <c r="H621" i="9" s="1"/>
  <c r="H622" i="9" s="1"/>
  <c r="H623" i="9" s="1"/>
  <c r="H624" i="9" s="1"/>
  <c r="H625" i="9" s="1"/>
  <c r="H626" i="9" s="1"/>
  <c r="H627" i="9" s="1"/>
  <c r="H628" i="9" s="1"/>
  <c r="H629" i="9" s="1"/>
  <c r="H630" i="9" s="1"/>
  <c r="H631" i="9" s="1"/>
  <c r="H632" i="9" s="1"/>
  <c r="H633" i="9" s="1"/>
  <c r="H634" i="9" s="1"/>
  <c r="H635" i="9" s="1"/>
  <c r="H636" i="9" s="1"/>
  <c r="H637" i="9" s="1"/>
  <c r="H638" i="9" s="1"/>
  <c r="H639" i="9" s="1"/>
  <c r="H640" i="9" s="1"/>
  <c r="H641" i="9" s="1"/>
  <c r="H642" i="9" s="1"/>
  <c r="H643" i="9" s="1"/>
  <c r="H644" i="9" s="1"/>
  <c r="H645" i="9" s="1"/>
  <c r="H646" i="9" s="1"/>
  <c r="H647" i="9" s="1"/>
  <c r="H648" i="9" s="1"/>
  <c r="H649" i="9" s="1"/>
  <c r="H650" i="9" s="1"/>
  <c r="H651" i="9" s="1"/>
  <c r="H652" i="9" s="1"/>
  <c r="H653" i="9" s="1"/>
  <c r="H654" i="9" s="1"/>
  <c r="H655" i="9" s="1"/>
  <c r="H656" i="9" s="1"/>
  <c r="H657" i="9" s="1"/>
  <c r="H658" i="9" s="1"/>
  <c r="H659" i="9" s="1"/>
  <c r="H660" i="9" s="1"/>
  <c r="H661" i="9" s="1"/>
  <c r="H662" i="9" s="1"/>
  <c r="H663" i="9" s="1"/>
  <c r="H664" i="9" s="1"/>
  <c r="H665" i="9" s="1"/>
  <c r="H666" i="9" s="1"/>
  <c r="H667" i="9" s="1"/>
  <c r="H668" i="9" s="1"/>
  <c r="H669" i="9" s="1"/>
  <c r="H670" i="9" s="1"/>
  <c r="H671" i="9" s="1"/>
  <c r="H672" i="9" s="1"/>
  <c r="H673" i="9" s="1"/>
  <c r="H674" i="9" s="1"/>
  <c r="H675" i="9" s="1"/>
  <c r="H676" i="9" s="1"/>
  <c r="H677" i="9" s="1"/>
  <c r="H678" i="9" s="1"/>
  <c r="H679" i="9" s="1"/>
  <c r="H680" i="9" s="1"/>
  <c r="H681" i="9" s="1"/>
  <c r="H682" i="9" s="1"/>
  <c r="H683" i="9" s="1"/>
  <c r="H684" i="9" s="1"/>
  <c r="H685" i="9" s="1"/>
  <c r="BD9" i="9"/>
  <c r="BD10" i="9" s="1"/>
  <c r="BD11" i="9" s="1"/>
  <c r="BD12" i="9" s="1"/>
  <c r="BD13" i="9" s="1"/>
  <c r="BD14" i="9" s="1"/>
  <c r="BD15" i="9" s="1"/>
  <c r="BD16" i="9" s="1"/>
  <c r="BD17" i="9" s="1"/>
  <c r="BD18" i="9" s="1"/>
  <c r="BD19" i="9" s="1"/>
  <c r="BD20" i="9" s="1"/>
  <c r="BD21" i="9" s="1"/>
  <c r="BD22" i="9" s="1"/>
  <c r="BD23" i="9" s="1"/>
  <c r="BD24" i="9" s="1"/>
  <c r="BD25" i="9" s="1"/>
  <c r="BD26" i="9" s="1"/>
  <c r="BD27" i="9" s="1"/>
  <c r="BD28" i="9" s="1"/>
  <c r="BD29" i="9" s="1"/>
  <c r="BD30" i="9" s="1"/>
  <c r="BD31" i="9" s="1"/>
  <c r="BD32" i="9" s="1"/>
  <c r="BD33" i="9" s="1"/>
  <c r="BD34" i="9" s="1"/>
  <c r="BD35" i="9" s="1"/>
  <c r="BD36" i="9" s="1"/>
  <c r="BD37" i="9" s="1"/>
  <c r="BD38" i="9" s="1"/>
  <c r="BD39" i="9" s="1"/>
  <c r="BD40" i="9" s="1"/>
  <c r="BD41" i="9" s="1"/>
  <c r="BD42" i="9" s="1"/>
  <c r="BD43" i="9" s="1"/>
  <c r="BD44" i="9" s="1"/>
  <c r="BD45" i="9" s="1"/>
  <c r="BD46" i="9" s="1"/>
  <c r="BD47" i="9" s="1"/>
  <c r="BD48" i="9" s="1"/>
  <c r="BD49" i="9" s="1"/>
  <c r="BD50" i="9" s="1"/>
  <c r="BD51" i="9" s="1"/>
  <c r="BD52" i="9" s="1"/>
  <c r="BD53" i="9" s="1"/>
  <c r="BD54" i="9" s="1"/>
  <c r="BD55" i="9" s="1"/>
  <c r="BD56" i="9" s="1"/>
  <c r="BD57" i="9" s="1"/>
  <c r="BD58" i="9" s="1"/>
  <c r="BD59" i="9" s="1"/>
  <c r="BD60" i="9" s="1"/>
  <c r="BD61" i="9" s="1"/>
  <c r="BD62" i="9" s="1"/>
  <c r="BD63" i="9" s="1"/>
  <c r="BD64" i="9" s="1"/>
  <c r="BD65" i="9" s="1"/>
  <c r="BD66" i="9" s="1"/>
  <c r="BD67" i="9" s="1"/>
  <c r="BD68" i="9" s="1"/>
  <c r="BD69" i="9" s="1"/>
  <c r="BD70" i="9" s="1"/>
  <c r="BD71" i="9" s="1"/>
  <c r="BD72" i="9" s="1"/>
  <c r="BD73" i="9" s="1"/>
  <c r="BD74" i="9" s="1"/>
  <c r="BD75" i="9" s="1"/>
  <c r="BD76" i="9" s="1"/>
  <c r="BD77" i="9" s="1"/>
  <c r="BD78" i="9" s="1"/>
  <c r="BD79" i="9" s="1"/>
  <c r="BD80" i="9" s="1"/>
  <c r="BD81" i="9" s="1"/>
  <c r="BD82" i="9" s="1"/>
  <c r="BD83" i="9" s="1"/>
  <c r="BD84" i="9" s="1"/>
  <c r="BD85" i="9" s="1"/>
  <c r="BD86" i="9" s="1"/>
  <c r="BD87" i="9" s="1"/>
  <c r="BD88" i="9" s="1"/>
  <c r="BD89" i="9" s="1"/>
  <c r="BD90" i="9" s="1"/>
  <c r="BD91" i="9" s="1"/>
  <c r="BD92" i="9" s="1"/>
  <c r="BD93" i="9" s="1"/>
  <c r="BD94" i="9" s="1"/>
  <c r="BD95" i="9" s="1"/>
  <c r="BD96" i="9" s="1"/>
  <c r="BD97" i="9" s="1"/>
  <c r="BD98" i="9" s="1"/>
  <c r="BD99" i="9" s="1"/>
  <c r="BD100" i="9" s="1"/>
  <c r="BD101" i="9" s="1"/>
  <c r="BD102" i="9" s="1"/>
  <c r="BD103" i="9" s="1"/>
  <c r="BD104" i="9" s="1"/>
  <c r="BD105" i="9" s="1"/>
  <c r="BD106" i="9" s="1"/>
  <c r="BD107" i="9" s="1"/>
  <c r="BD108" i="9" s="1"/>
  <c r="BD109" i="9" s="1"/>
  <c r="BD110" i="9" s="1"/>
  <c r="BD111" i="9" s="1"/>
  <c r="BD112" i="9" s="1"/>
  <c r="BD113" i="9" s="1"/>
  <c r="BD114" i="9" s="1"/>
  <c r="BD115" i="9" s="1"/>
  <c r="BD116" i="9" s="1"/>
  <c r="BD117" i="9" s="1"/>
  <c r="BD118" i="9" s="1"/>
  <c r="BD119" i="9" s="1"/>
  <c r="BD120" i="9" s="1"/>
  <c r="BD121" i="9" s="1"/>
  <c r="BD122" i="9" s="1"/>
  <c r="BD123" i="9" s="1"/>
  <c r="BD124" i="9" s="1"/>
  <c r="BD125" i="9" s="1"/>
  <c r="BD126" i="9" s="1"/>
  <c r="BD127" i="9" s="1"/>
  <c r="BD128" i="9" s="1"/>
  <c r="BD129" i="9" s="1"/>
  <c r="BD130" i="9" s="1"/>
  <c r="BD131" i="9" s="1"/>
  <c r="BD132" i="9" s="1"/>
  <c r="BD133" i="9" s="1"/>
  <c r="BD134" i="9" s="1"/>
  <c r="BD135" i="9" s="1"/>
  <c r="BD136" i="9" s="1"/>
  <c r="BD137" i="9" s="1"/>
  <c r="BD138" i="9" s="1"/>
  <c r="BD139" i="9" s="1"/>
  <c r="BD140" i="9" s="1"/>
  <c r="BD141" i="9" s="1"/>
  <c r="BD142" i="9" s="1"/>
  <c r="BD143" i="9" s="1"/>
  <c r="BD144" i="9" s="1"/>
  <c r="BD145" i="9" s="1"/>
  <c r="BD146" i="9" s="1"/>
  <c r="BD147" i="9" s="1"/>
  <c r="BD148" i="9" s="1"/>
  <c r="BD149" i="9" s="1"/>
  <c r="BD150" i="9" s="1"/>
  <c r="BD151" i="9" s="1"/>
  <c r="BD152" i="9" s="1"/>
  <c r="BD153" i="9" s="1"/>
  <c r="BD154" i="9" s="1"/>
  <c r="BD155" i="9" s="1"/>
  <c r="BD156" i="9" s="1"/>
  <c r="BD157" i="9" s="1"/>
  <c r="BD158" i="9" s="1"/>
  <c r="BD159" i="9" s="1"/>
  <c r="BD160" i="9" s="1"/>
  <c r="BD161" i="9" s="1"/>
  <c r="BD162" i="9" s="1"/>
  <c r="BD163" i="9" s="1"/>
  <c r="BD164" i="9" s="1"/>
  <c r="BD165" i="9" s="1"/>
  <c r="BD166" i="9" s="1"/>
  <c r="BD167" i="9" s="1"/>
  <c r="BD168" i="9" s="1"/>
  <c r="BD169" i="9" s="1"/>
  <c r="BD170" i="9" s="1"/>
  <c r="BD171" i="9" s="1"/>
  <c r="BD172" i="9" s="1"/>
  <c r="BD173" i="9" s="1"/>
  <c r="BD174" i="9" s="1"/>
  <c r="BD175" i="9" s="1"/>
  <c r="BD176" i="9" s="1"/>
  <c r="BD177" i="9" s="1"/>
  <c r="BD178" i="9" s="1"/>
  <c r="BD179" i="9" s="1"/>
  <c r="BD180" i="9" s="1"/>
  <c r="BD181" i="9" s="1"/>
  <c r="BD182" i="9" s="1"/>
  <c r="BD183" i="9" s="1"/>
  <c r="BD184" i="9" s="1"/>
  <c r="BD185" i="9" s="1"/>
  <c r="BD186" i="9" s="1"/>
  <c r="BD187" i="9" s="1"/>
  <c r="BD188" i="9" s="1"/>
  <c r="BD189" i="9" s="1"/>
  <c r="BD190" i="9" s="1"/>
  <c r="BD191" i="9" s="1"/>
  <c r="BD192" i="9" s="1"/>
  <c r="BD193" i="9" s="1"/>
  <c r="BD194" i="9" s="1"/>
  <c r="BD195" i="9" s="1"/>
  <c r="BD196" i="9" s="1"/>
  <c r="BD197" i="9" s="1"/>
  <c r="BD198" i="9" s="1"/>
  <c r="BD199" i="9" s="1"/>
  <c r="BD200" i="9" s="1"/>
  <c r="BD201" i="9" s="1"/>
  <c r="BD202" i="9" s="1"/>
  <c r="BD203" i="9" s="1"/>
  <c r="BD204" i="9" s="1"/>
  <c r="BD205" i="9" s="1"/>
  <c r="BD206" i="9" s="1"/>
  <c r="BD207" i="9" s="1"/>
  <c r="BD208" i="9" s="1"/>
  <c r="BD209" i="9" s="1"/>
  <c r="BD210" i="9" s="1"/>
  <c r="BD211" i="9" s="1"/>
  <c r="BD212" i="9" s="1"/>
  <c r="BD213" i="9" s="1"/>
  <c r="BD214" i="9" s="1"/>
  <c r="BD215" i="9" s="1"/>
  <c r="BD216" i="9" s="1"/>
  <c r="BD217" i="9" s="1"/>
  <c r="BD218" i="9" s="1"/>
  <c r="BD219" i="9" s="1"/>
  <c r="BD220" i="9" s="1"/>
  <c r="BD221" i="9" s="1"/>
  <c r="BD222" i="9" s="1"/>
  <c r="BD223" i="9" s="1"/>
  <c r="BD224" i="9" s="1"/>
  <c r="BD225" i="9" s="1"/>
  <c r="BD226" i="9" s="1"/>
  <c r="BD227" i="9" s="1"/>
  <c r="BD228" i="9" s="1"/>
  <c r="BD229" i="9" s="1"/>
  <c r="BD230" i="9" s="1"/>
  <c r="BD231" i="9" s="1"/>
  <c r="BD232" i="9" s="1"/>
  <c r="BD233" i="9" s="1"/>
  <c r="BD234" i="9" s="1"/>
  <c r="BD235" i="9" s="1"/>
  <c r="BD236" i="9" s="1"/>
  <c r="BD237" i="9" s="1"/>
  <c r="BD238" i="9" s="1"/>
  <c r="BD239" i="9" s="1"/>
  <c r="BD240" i="9" s="1"/>
  <c r="BD241" i="9" s="1"/>
  <c r="BD242" i="9" s="1"/>
  <c r="BD243" i="9" s="1"/>
  <c r="BD244" i="9" s="1"/>
  <c r="BD245" i="9" s="1"/>
  <c r="BD246" i="9" s="1"/>
  <c r="BD247" i="9" s="1"/>
  <c r="BD248" i="9" s="1"/>
  <c r="BD249" i="9" s="1"/>
  <c r="BD250" i="9" s="1"/>
  <c r="BD251" i="9" s="1"/>
  <c r="BD252" i="9" s="1"/>
  <c r="BD253" i="9" s="1"/>
  <c r="BD254" i="9" s="1"/>
  <c r="BD255" i="9" s="1"/>
  <c r="BD256" i="9" s="1"/>
  <c r="BD257" i="9" s="1"/>
  <c r="BD258" i="9" s="1"/>
  <c r="BD259" i="9" s="1"/>
  <c r="BD260" i="9" s="1"/>
  <c r="BD261" i="9" s="1"/>
  <c r="BD262" i="9" s="1"/>
  <c r="BD263" i="9" s="1"/>
  <c r="BD264" i="9" s="1"/>
  <c r="BD265" i="9" s="1"/>
  <c r="BD266" i="9" s="1"/>
  <c r="BD267" i="9" s="1"/>
  <c r="BD268" i="9" s="1"/>
  <c r="BD269" i="9" s="1"/>
  <c r="BD270" i="9" s="1"/>
  <c r="BD271" i="9" s="1"/>
  <c r="BD272" i="9" s="1"/>
  <c r="BD273" i="9" s="1"/>
  <c r="BD274" i="9" s="1"/>
  <c r="BD275" i="9" s="1"/>
  <c r="BD276" i="9" s="1"/>
  <c r="BD277" i="9" s="1"/>
  <c r="BD278" i="9" s="1"/>
  <c r="BD279" i="9" s="1"/>
  <c r="BD280" i="9" s="1"/>
  <c r="BD281" i="9" s="1"/>
  <c r="BD282" i="9" s="1"/>
  <c r="BD283" i="9" s="1"/>
  <c r="BD284" i="9" s="1"/>
  <c r="BD285" i="9" s="1"/>
  <c r="BD286" i="9" s="1"/>
  <c r="BD287" i="9" s="1"/>
  <c r="BD288" i="9" s="1"/>
  <c r="BD289" i="9" s="1"/>
  <c r="BD290" i="9" s="1"/>
  <c r="BD291" i="9" s="1"/>
  <c r="BD292" i="9" s="1"/>
  <c r="BD293" i="9" s="1"/>
  <c r="BD294" i="9" s="1"/>
  <c r="BD295" i="9" s="1"/>
  <c r="BD296" i="9" s="1"/>
  <c r="BD297" i="9" s="1"/>
  <c r="BD298" i="9" s="1"/>
  <c r="BD299" i="9" s="1"/>
  <c r="BD300" i="9" s="1"/>
  <c r="BD301" i="9" s="1"/>
  <c r="BD302" i="9" s="1"/>
  <c r="BD303" i="9" s="1"/>
  <c r="BD304" i="9" s="1"/>
  <c r="BD305" i="9" s="1"/>
  <c r="BD306" i="9" s="1"/>
  <c r="BD307" i="9" s="1"/>
  <c r="BD308" i="9" s="1"/>
  <c r="BD309" i="9" s="1"/>
  <c r="BD310" i="9" s="1"/>
  <c r="BD311" i="9" s="1"/>
  <c r="BD312" i="9" s="1"/>
  <c r="BD313" i="9" s="1"/>
  <c r="BD314" i="9" s="1"/>
  <c r="BD315" i="9" s="1"/>
  <c r="BD316" i="9" s="1"/>
  <c r="BD317" i="9" s="1"/>
  <c r="BD318" i="9" s="1"/>
  <c r="BD319" i="9" s="1"/>
  <c r="BD320" i="9" s="1"/>
  <c r="BD321" i="9" s="1"/>
  <c r="BD322" i="9" s="1"/>
  <c r="BD323" i="9" s="1"/>
  <c r="BD324" i="9" s="1"/>
  <c r="BD325" i="9" s="1"/>
  <c r="BD326" i="9" s="1"/>
  <c r="BD327" i="9" s="1"/>
  <c r="BD328" i="9" s="1"/>
  <c r="BD329" i="9" s="1"/>
  <c r="BD330" i="9" s="1"/>
  <c r="BD331" i="9" s="1"/>
  <c r="BD332" i="9" s="1"/>
  <c r="BD333" i="9" s="1"/>
  <c r="BD334" i="9" s="1"/>
  <c r="BD335" i="9" s="1"/>
  <c r="BD336" i="9" s="1"/>
  <c r="BD337" i="9" s="1"/>
  <c r="BD338" i="9" s="1"/>
  <c r="BD339" i="9" s="1"/>
  <c r="BD340" i="9" s="1"/>
  <c r="BD341" i="9" s="1"/>
  <c r="BD342" i="9" s="1"/>
  <c r="BD343" i="9" s="1"/>
  <c r="BD344" i="9" s="1"/>
  <c r="BD345" i="9" s="1"/>
  <c r="BD346" i="9" s="1"/>
  <c r="BD347" i="9" s="1"/>
  <c r="BD348" i="9" s="1"/>
  <c r="BD349" i="9" s="1"/>
  <c r="BD350" i="9" s="1"/>
  <c r="BD351" i="9" s="1"/>
  <c r="BD352" i="9" s="1"/>
  <c r="BD353" i="9" s="1"/>
  <c r="BD354" i="9" s="1"/>
  <c r="BD355" i="9" s="1"/>
  <c r="BD356" i="9" s="1"/>
  <c r="BD357" i="9" s="1"/>
  <c r="BD358" i="9" s="1"/>
  <c r="BD359" i="9" s="1"/>
  <c r="BD360" i="9" s="1"/>
  <c r="BD361" i="9" s="1"/>
  <c r="BD362" i="9" s="1"/>
  <c r="BD363" i="9" s="1"/>
  <c r="BD364" i="9" s="1"/>
  <c r="BD365" i="9" s="1"/>
  <c r="BD366" i="9" s="1"/>
  <c r="BD367" i="9" s="1"/>
  <c r="BD368" i="9" s="1"/>
  <c r="BD369" i="9" s="1"/>
  <c r="BD370" i="9" s="1"/>
  <c r="BD371" i="9" s="1"/>
  <c r="BD372" i="9" s="1"/>
  <c r="BD373" i="9" s="1"/>
  <c r="BD374" i="9" s="1"/>
  <c r="BD375" i="9" s="1"/>
  <c r="BD376" i="9" s="1"/>
  <c r="BD377" i="9" s="1"/>
  <c r="BD378" i="9" s="1"/>
  <c r="BD379" i="9" s="1"/>
  <c r="BD380" i="9" s="1"/>
  <c r="BD381" i="9" s="1"/>
  <c r="BD382" i="9" s="1"/>
  <c r="BD383" i="9" s="1"/>
  <c r="BD384" i="9" s="1"/>
  <c r="BD385" i="9" s="1"/>
  <c r="BD386" i="9" s="1"/>
  <c r="BD387" i="9" s="1"/>
  <c r="BD388" i="9" s="1"/>
  <c r="BD389" i="9" s="1"/>
  <c r="BD390" i="9" s="1"/>
  <c r="BD391" i="9" s="1"/>
  <c r="BD392" i="9" s="1"/>
  <c r="BD393" i="9" s="1"/>
  <c r="BD394" i="9" s="1"/>
  <c r="BD395" i="9" s="1"/>
  <c r="BD396" i="9" s="1"/>
  <c r="BD397" i="9" s="1"/>
  <c r="BD398" i="9" s="1"/>
  <c r="BD399" i="9" s="1"/>
  <c r="BD400" i="9" s="1"/>
  <c r="BD401" i="9" s="1"/>
  <c r="BD402" i="9" s="1"/>
  <c r="BD403" i="9" s="1"/>
  <c r="BD404" i="9" s="1"/>
  <c r="BD405" i="9" s="1"/>
  <c r="BD406" i="9" s="1"/>
  <c r="BD407" i="9" s="1"/>
  <c r="BD408" i="9" s="1"/>
  <c r="BD409" i="9" s="1"/>
  <c r="BD410" i="9" s="1"/>
  <c r="BD411" i="9" s="1"/>
  <c r="BD412" i="9" s="1"/>
  <c r="BD413" i="9" s="1"/>
  <c r="BD414" i="9" s="1"/>
  <c r="BD415" i="9" s="1"/>
  <c r="BD416" i="9" s="1"/>
  <c r="BD417" i="9" s="1"/>
  <c r="BD418" i="9" s="1"/>
  <c r="BD419" i="9" s="1"/>
  <c r="BD420" i="9" s="1"/>
  <c r="BD421" i="9" s="1"/>
  <c r="BD422" i="9" s="1"/>
  <c r="BD423" i="9" s="1"/>
  <c r="BD424" i="9" s="1"/>
  <c r="BD425" i="9" s="1"/>
  <c r="BD426" i="9" s="1"/>
  <c r="BD427" i="9" s="1"/>
  <c r="BD428" i="9" s="1"/>
  <c r="BD429" i="9" s="1"/>
  <c r="BD430" i="9" s="1"/>
  <c r="BD431" i="9" s="1"/>
  <c r="BD432" i="9" s="1"/>
  <c r="BD433" i="9" s="1"/>
  <c r="BD434" i="9" s="1"/>
  <c r="BD435" i="9" s="1"/>
  <c r="BD436" i="9" s="1"/>
  <c r="BD437" i="9" s="1"/>
  <c r="BD438" i="9" s="1"/>
  <c r="BD439" i="9" s="1"/>
  <c r="BD440" i="9" s="1"/>
  <c r="BD441" i="9" s="1"/>
  <c r="BD442" i="9" s="1"/>
  <c r="BD443" i="9" s="1"/>
  <c r="BD444" i="9" s="1"/>
  <c r="BK9" i="9"/>
  <c r="BK10" i="9" s="1"/>
  <c r="BK11" i="9" s="1"/>
  <c r="BK12" i="9" s="1"/>
  <c r="BK13" i="9" s="1"/>
  <c r="BK14" i="9" s="1"/>
  <c r="BK15" i="9" s="1"/>
  <c r="BK16" i="9" s="1"/>
  <c r="BK17" i="9" s="1"/>
  <c r="BK18" i="9" s="1"/>
  <c r="BK19" i="9" s="1"/>
  <c r="BK20" i="9" s="1"/>
  <c r="BK21" i="9" s="1"/>
  <c r="BK22" i="9" s="1"/>
  <c r="BK23" i="9" s="1"/>
  <c r="BK24" i="9" s="1"/>
  <c r="BK25" i="9" s="1"/>
  <c r="BK26" i="9" s="1"/>
  <c r="BK27" i="9" s="1"/>
  <c r="BK28" i="9" s="1"/>
  <c r="BK29" i="9" s="1"/>
  <c r="BK30" i="9" s="1"/>
  <c r="BK31" i="9" s="1"/>
  <c r="BK32" i="9" s="1"/>
  <c r="BK33" i="9" s="1"/>
  <c r="BK34" i="9" s="1"/>
  <c r="BK35" i="9" s="1"/>
  <c r="BK36" i="9" s="1"/>
  <c r="BK37" i="9" s="1"/>
  <c r="BK38" i="9" s="1"/>
  <c r="BK39" i="9" s="1"/>
  <c r="BK40" i="9" s="1"/>
  <c r="BK41" i="9" s="1"/>
  <c r="BK42" i="9" s="1"/>
  <c r="BK43" i="9" s="1"/>
  <c r="BK44" i="9" s="1"/>
  <c r="BK45" i="9" s="1"/>
  <c r="BK46" i="9" s="1"/>
  <c r="BK47" i="9" s="1"/>
  <c r="BK48" i="9" s="1"/>
  <c r="BK49" i="9" s="1"/>
  <c r="BK50" i="9" s="1"/>
  <c r="BK51" i="9" s="1"/>
  <c r="BK52" i="9" s="1"/>
  <c r="BK53" i="9" s="1"/>
  <c r="BK54" i="9" s="1"/>
  <c r="BK55" i="9" s="1"/>
  <c r="BK56" i="9" s="1"/>
  <c r="BK57" i="9" s="1"/>
  <c r="BK58" i="9" s="1"/>
  <c r="BK59" i="9" s="1"/>
  <c r="BK60" i="9" s="1"/>
  <c r="BK61" i="9" s="1"/>
  <c r="BK62" i="9" s="1"/>
  <c r="BK63" i="9" s="1"/>
  <c r="BK64" i="9" s="1"/>
  <c r="BK65" i="9" s="1"/>
  <c r="BK66" i="9" s="1"/>
  <c r="BK67" i="9" s="1"/>
  <c r="BK68" i="9" s="1"/>
  <c r="BK69" i="9" s="1"/>
  <c r="BK70" i="9" s="1"/>
  <c r="BK71" i="9" s="1"/>
  <c r="BK72" i="9" s="1"/>
  <c r="BK73" i="9" s="1"/>
  <c r="BK74" i="9" s="1"/>
  <c r="BK75" i="9" s="1"/>
  <c r="BK76" i="9" s="1"/>
  <c r="BK77" i="9" s="1"/>
  <c r="BK78" i="9" s="1"/>
  <c r="BK79" i="9" s="1"/>
  <c r="BK80" i="9" s="1"/>
  <c r="BK81" i="9" s="1"/>
  <c r="BK82" i="9" s="1"/>
  <c r="BK83" i="9" s="1"/>
  <c r="BK84" i="9" s="1"/>
  <c r="BK85" i="9" s="1"/>
  <c r="BK86" i="9" s="1"/>
  <c r="BK87" i="9" s="1"/>
  <c r="BK88" i="9" s="1"/>
  <c r="BK89" i="9" s="1"/>
  <c r="BK90" i="9" s="1"/>
  <c r="BK91" i="9" s="1"/>
  <c r="BK92" i="9" s="1"/>
  <c r="BK93" i="9" s="1"/>
  <c r="BK94" i="9" s="1"/>
  <c r="BK95" i="9" s="1"/>
  <c r="BK96" i="9" s="1"/>
  <c r="BK97" i="9" s="1"/>
  <c r="BK98" i="9" s="1"/>
  <c r="BK99" i="9" s="1"/>
  <c r="BK100" i="9" s="1"/>
  <c r="BK101" i="9" s="1"/>
  <c r="BK102" i="9" s="1"/>
  <c r="BK103" i="9" s="1"/>
  <c r="BK104" i="9" s="1"/>
  <c r="BK105" i="9" s="1"/>
  <c r="BK106" i="9" s="1"/>
  <c r="BK107" i="9" s="1"/>
  <c r="BK108" i="9" s="1"/>
  <c r="BK109" i="9" s="1"/>
  <c r="BK110" i="9" s="1"/>
  <c r="BK111" i="9" s="1"/>
  <c r="BK112" i="9" s="1"/>
  <c r="BK113" i="9" s="1"/>
  <c r="BK114" i="9" s="1"/>
  <c r="BK115" i="9" s="1"/>
  <c r="BK116" i="9" s="1"/>
  <c r="BK117" i="9" s="1"/>
  <c r="BK118" i="9" s="1"/>
  <c r="BK119" i="9" s="1"/>
  <c r="BK120" i="9" s="1"/>
  <c r="BK121" i="9" s="1"/>
  <c r="BK122" i="9" s="1"/>
  <c r="BK123" i="9" s="1"/>
  <c r="BK124" i="9" s="1"/>
  <c r="BK125" i="9" s="1"/>
  <c r="BK126" i="9" s="1"/>
  <c r="BK127" i="9" s="1"/>
  <c r="BK128" i="9" s="1"/>
  <c r="BK129" i="9" s="1"/>
  <c r="BK130" i="9" s="1"/>
  <c r="BK131" i="9" s="1"/>
  <c r="BK132" i="9" s="1"/>
  <c r="BK133" i="9" s="1"/>
  <c r="BK134" i="9" s="1"/>
  <c r="BK135" i="9" s="1"/>
  <c r="BK136" i="9" s="1"/>
  <c r="BK137" i="9" s="1"/>
  <c r="BK138" i="9" s="1"/>
  <c r="BK139" i="9" s="1"/>
  <c r="BK140" i="9" s="1"/>
  <c r="BK141" i="9" s="1"/>
  <c r="BK142" i="9" s="1"/>
  <c r="BK143" i="9" s="1"/>
  <c r="BK144" i="9" s="1"/>
  <c r="BK145" i="9" s="1"/>
  <c r="BK146" i="9" s="1"/>
  <c r="BK147" i="9" s="1"/>
  <c r="BK148" i="9" s="1"/>
  <c r="BK149" i="9" s="1"/>
  <c r="BK150" i="9" s="1"/>
  <c r="BK151" i="9" s="1"/>
  <c r="BK152" i="9" s="1"/>
  <c r="BK153" i="9" s="1"/>
  <c r="BK154" i="9" s="1"/>
  <c r="BK155" i="9" s="1"/>
  <c r="BK156" i="9" s="1"/>
  <c r="BK157" i="9" s="1"/>
  <c r="BK158" i="9" s="1"/>
  <c r="BK159" i="9" s="1"/>
  <c r="BK160" i="9" s="1"/>
  <c r="BK161" i="9" s="1"/>
  <c r="BK162" i="9" s="1"/>
  <c r="BK163" i="9" s="1"/>
  <c r="BK164" i="9" s="1"/>
  <c r="BK165" i="9" s="1"/>
  <c r="BK166" i="9" s="1"/>
  <c r="BK167" i="9" s="1"/>
  <c r="BK168" i="9" s="1"/>
  <c r="BK169" i="9" s="1"/>
  <c r="BK170" i="9" s="1"/>
  <c r="BK171" i="9" s="1"/>
  <c r="BK172" i="9" s="1"/>
  <c r="BK173" i="9" s="1"/>
  <c r="BK174" i="9" s="1"/>
  <c r="BK175" i="9" s="1"/>
  <c r="BK176" i="9" s="1"/>
  <c r="BK177" i="9" s="1"/>
  <c r="BK178" i="9" s="1"/>
  <c r="BK179" i="9" s="1"/>
  <c r="BK180" i="9" s="1"/>
  <c r="BK181" i="9" s="1"/>
  <c r="BK182" i="9" s="1"/>
  <c r="BK183" i="9" s="1"/>
  <c r="BK184" i="9" s="1"/>
  <c r="BK185" i="9" s="1"/>
  <c r="BK186" i="9" s="1"/>
  <c r="BK187" i="9" s="1"/>
  <c r="BK188" i="9" s="1"/>
  <c r="BK189" i="9" s="1"/>
  <c r="BK190" i="9" s="1"/>
  <c r="BK191" i="9" s="1"/>
  <c r="BK192" i="9" s="1"/>
  <c r="BK193" i="9" s="1"/>
  <c r="BK194" i="9" s="1"/>
  <c r="BK195" i="9" s="1"/>
  <c r="BK196" i="9" s="1"/>
  <c r="BK197" i="9" s="1"/>
  <c r="BK198" i="9" s="1"/>
  <c r="BK199" i="9" s="1"/>
  <c r="BK200" i="9" s="1"/>
  <c r="BK201" i="9" s="1"/>
  <c r="BK202" i="9" s="1"/>
  <c r="BK203" i="9" s="1"/>
  <c r="BK204" i="9" s="1"/>
  <c r="BK205" i="9" s="1"/>
  <c r="BK206" i="9" s="1"/>
  <c r="BK207" i="9" s="1"/>
  <c r="BK208" i="9" s="1"/>
  <c r="BK209" i="9" s="1"/>
  <c r="BK210" i="9" s="1"/>
  <c r="BK211" i="9" s="1"/>
  <c r="BK212" i="9" s="1"/>
  <c r="BK213" i="9" s="1"/>
  <c r="BK214" i="9" s="1"/>
  <c r="BK215" i="9" s="1"/>
  <c r="BK216" i="9" s="1"/>
  <c r="BK217" i="9" s="1"/>
  <c r="BK218" i="9" s="1"/>
  <c r="BK219" i="9" s="1"/>
  <c r="BK220" i="9" s="1"/>
  <c r="BK221" i="9" s="1"/>
  <c r="BK222" i="9" s="1"/>
  <c r="BK223" i="9" s="1"/>
  <c r="BK224" i="9" s="1"/>
  <c r="BK225" i="9" s="1"/>
  <c r="BK226" i="9" s="1"/>
  <c r="BK227" i="9" s="1"/>
  <c r="BK228" i="9" s="1"/>
  <c r="BK229" i="9" s="1"/>
  <c r="BK230" i="9" s="1"/>
  <c r="BK231" i="9" s="1"/>
  <c r="BK232" i="9" s="1"/>
  <c r="BK233" i="9" s="1"/>
  <c r="BK234" i="9" s="1"/>
  <c r="BK235" i="9" s="1"/>
  <c r="BK236" i="9" s="1"/>
  <c r="BK237" i="9" s="1"/>
  <c r="BK238" i="9" s="1"/>
  <c r="BK239" i="9" s="1"/>
  <c r="BK240" i="9" s="1"/>
  <c r="BK241" i="9" s="1"/>
  <c r="BK242" i="9" s="1"/>
  <c r="BK243" i="9" s="1"/>
  <c r="BK244" i="9" s="1"/>
  <c r="BK245" i="9" s="1"/>
  <c r="BK246" i="9" s="1"/>
  <c r="BK247" i="9" s="1"/>
  <c r="BK248" i="9" s="1"/>
  <c r="BK249" i="9" s="1"/>
  <c r="BK250" i="9" s="1"/>
  <c r="BK251" i="9" s="1"/>
  <c r="BK252" i="9" s="1"/>
  <c r="BK253" i="9" s="1"/>
  <c r="BK254" i="9" s="1"/>
  <c r="BK255" i="9" s="1"/>
  <c r="BK256" i="9" s="1"/>
  <c r="BK257" i="9" s="1"/>
  <c r="BK258" i="9" s="1"/>
  <c r="BK259" i="9" s="1"/>
  <c r="BK260" i="9" s="1"/>
  <c r="BK261" i="9" s="1"/>
  <c r="BK262" i="9" s="1"/>
  <c r="BK263" i="9" s="1"/>
  <c r="BK264" i="9" s="1"/>
  <c r="BK265" i="9" s="1"/>
  <c r="BK266" i="9" s="1"/>
  <c r="BK267" i="9" s="1"/>
  <c r="BK268" i="9" s="1"/>
  <c r="BK269" i="9" s="1"/>
  <c r="BK270" i="9" s="1"/>
  <c r="BK271" i="9" s="1"/>
  <c r="BK272" i="9" s="1"/>
  <c r="BK273" i="9" s="1"/>
  <c r="BK274" i="9" s="1"/>
  <c r="BK275" i="9" s="1"/>
  <c r="BK276" i="9" s="1"/>
  <c r="BK277" i="9" s="1"/>
  <c r="BK278" i="9" s="1"/>
  <c r="BK279" i="9" s="1"/>
  <c r="BK280" i="9" s="1"/>
  <c r="BK281" i="9" s="1"/>
  <c r="BK282" i="9" s="1"/>
  <c r="BK283" i="9" s="1"/>
  <c r="BK284" i="9" s="1"/>
  <c r="BK285" i="9" s="1"/>
  <c r="BK286" i="9" s="1"/>
  <c r="BK287" i="9" s="1"/>
  <c r="BK288" i="9" s="1"/>
  <c r="BK289" i="9" s="1"/>
  <c r="BK290" i="9" s="1"/>
  <c r="BK291" i="9" s="1"/>
  <c r="BK292" i="9" s="1"/>
  <c r="BK293" i="9" s="1"/>
  <c r="BK294" i="9" s="1"/>
  <c r="BK295" i="9" s="1"/>
  <c r="BK296" i="9" s="1"/>
  <c r="BK297" i="9" s="1"/>
  <c r="BK298" i="9" s="1"/>
  <c r="BK299" i="9" s="1"/>
  <c r="BK300" i="9" s="1"/>
  <c r="BK301" i="9" s="1"/>
  <c r="BK302" i="9" s="1"/>
  <c r="BK303" i="9" s="1"/>
  <c r="BK304" i="9" s="1"/>
  <c r="BK305" i="9" s="1"/>
  <c r="BK306" i="9" s="1"/>
  <c r="BK307" i="9" s="1"/>
  <c r="BK308" i="9" s="1"/>
  <c r="BK309" i="9" s="1"/>
  <c r="BK310" i="9" s="1"/>
  <c r="BK311" i="9" s="1"/>
  <c r="BK312" i="9" s="1"/>
  <c r="BK313" i="9" s="1"/>
  <c r="BK314" i="9" s="1"/>
  <c r="BK315" i="9" s="1"/>
  <c r="BK316" i="9" s="1"/>
  <c r="BK317" i="9" s="1"/>
  <c r="BK318" i="9" s="1"/>
  <c r="BK319" i="9" s="1"/>
  <c r="BK320" i="9" s="1"/>
  <c r="BK321" i="9" s="1"/>
  <c r="BK322" i="9" s="1"/>
  <c r="BK323" i="9" s="1"/>
  <c r="BK324" i="9" s="1"/>
  <c r="BK325" i="9" s="1"/>
  <c r="BK326" i="9" s="1"/>
  <c r="BK327" i="9" s="1"/>
  <c r="BK328" i="9" s="1"/>
  <c r="BK329" i="9" s="1"/>
  <c r="BK330" i="9" s="1"/>
  <c r="BK331" i="9" s="1"/>
  <c r="BK332" i="9" s="1"/>
  <c r="BK333" i="9" s="1"/>
  <c r="BK334" i="9" s="1"/>
  <c r="BK335" i="9" s="1"/>
  <c r="BK336" i="9" s="1"/>
  <c r="BK337" i="9" s="1"/>
  <c r="BK338" i="9" s="1"/>
  <c r="BK339" i="9" s="1"/>
  <c r="BK340" i="9" s="1"/>
  <c r="BK341" i="9" s="1"/>
  <c r="BK342" i="9" s="1"/>
  <c r="BK343" i="9" s="1"/>
  <c r="BK344" i="9" s="1"/>
  <c r="BK345" i="9" s="1"/>
  <c r="BK346" i="9" s="1"/>
  <c r="BK347" i="9" s="1"/>
  <c r="BK348" i="9" s="1"/>
  <c r="BK349" i="9" s="1"/>
  <c r="BK350" i="9" s="1"/>
  <c r="BK351" i="9" s="1"/>
  <c r="BK352" i="9" s="1"/>
  <c r="BK353" i="9" s="1"/>
  <c r="BK354" i="9" s="1"/>
  <c r="BK355" i="9" s="1"/>
  <c r="BK356" i="9" s="1"/>
  <c r="BK357" i="9" s="1"/>
  <c r="BK358" i="9" s="1"/>
  <c r="BK359" i="9" s="1"/>
  <c r="BK360" i="9" s="1"/>
  <c r="BK361" i="9" s="1"/>
  <c r="BK362" i="9" s="1"/>
  <c r="BK363" i="9" s="1"/>
  <c r="BK364" i="9" s="1"/>
  <c r="BK365" i="9" s="1"/>
  <c r="BK366" i="9" s="1"/>
  <c r="BK367" i="9" s="1"/>
  <c r="BK368" i="9" s="1"/>
  <c r="BC9" i="9"/>
  <c r="BC10" i="9" s="1"/>
  <c r="BC11" i="9" s="1"/>
  <c r="BC12" i="9" s="1"/>
  <c r="BC13" i="9" s="1"/>
  <c r="BC14" i="9" s="1"/>
  <c r="BC15" i="9" s="1"/>
  <c r="BC16" i="9" s="1"/>
  <c r="BC17" i="9" s="1"/>
  <c r="BC18" i="9" s="1"/>
  <c r="BC19" i="9" s="1"/>
  <c r="BC20" i="9" s="1"/>
  <c r="BC21" i="9" s="1"/>
  <c r="BC22" i="9" s="1"/>
  <c r="BC23" i="9" s="1"/>
  <c r="BC24" i="9" s="1"/>
  <c r="BC25" i="9" s="1"/>
  <c r="BC26" i="9" s="1"/>
  <c r="BC27" i="9" s="1"/>
  <c r="BC28" i="9" s="1"/>
  <c r="BC29" i="9" s="1"/>
  <c r="BC30" i="9" s="1"/>
  <c r="BC31" i="9" s="1"/>
  <c r="BC32" i="9" s="1"/>
  <c r="BC33" i="9" s="1"/>
  <c r="BC34" i="9" s="1"/>
  <c r="BC35" i="9" s="1"/>
  <c r="BC36" i="9" s="1"/>
  <c r="BC37" i="9" s="1"/>
  <c r="BC38" i="9" s="1"/>
  <c r="BC39" i="9" s="1"/>
  <c r="BC40" i="9" s="1"/>
  <c r="BC41" i="9" s="1"/>
  <c r="BC42" i="9" s="1"/>
  <c r="BC43" i="9" s="1"/>
  <c r="BC44" i="9" s="1"/>
  <c r="BC45" i="9" s="1"/>
  <c r="BC46" i="9" s="1"/>
  <c r="BC47" i="9" s="1"/>
  <c r="BC48" i="9" s="1"/>
  <c r="BC49" i="9" s="1"/>
  <c r="BC50" i="9" s="1"/>
  <c r="BC51" i="9" s="1"/>
  <c r="BC52" i="9" s="1"/>
  <c r="BC53" i="9" s="1"/>
  <c r="BC54" i="9" s="1"/>
  <c r="BC55" i="9" s="1"/>
  <c r="BC56" i="9" s="1"/>
  <c r="BC57" i="9" s="1"/>
  <c r="BC58" i="9" s="1"/>
  <c r="BC59" i="9" s="1"/>
  <c r="BC60" i="9" s="1"/>
  <c r="BC61" i="9" s="1"/>
  <c r="BC62" i="9" s="1"/>
  <c r="BC63" i="9" s="1"/>
  <c r="BC64" i="9" s="1"/>
  <c r="BC65" i="9" s="1"/>
  <c r="BC66" i="9" s="1"/>
  <c r="BC67" i="9" s="1"/>
  <c r="BC68" i="9" s="1"/>
  <c r="BC69" i="9" s="1"/>
  <c r="BC70" i="9" s="1"/>
  <c r="BC71" i="9" s="1"/>
  <c r="BC72" i="9" s="1"/>
  <c r="BC73" i="9" s="1"/>
  <c r="BC74" i="9" s="1"/>
  <c r="BC75" i="9" s="1"/>
  <c r="BC76" i="9" s="1"/>
  <c r="BC77" i="9" s="1"/>
  <c r="BC78" i="9" s="1"/>
  <c r="BC79" i="9" s="1"/>
  <c r="BC80" i="9" s="1"/>
  <c r="BC81" i="9" s="1"/>
  <c r="BC82" i="9" s="1"/>
  <c r="BC83" i="9" s="1"/>
  <c r="BC84" i="9" s="1"/>
  <c r="BC85" i="9" s="1"/>
  <c r="BC86" i="9" s="1"/>
  <c r="BC87" i="9" s="1"/>
  <c r="BC88" i="9" s="1"/>
  <c r="BC89" i="9" s="1"/>
  <c r="BC90" i="9" s="1"/>
  <c r="BC91" i="9" s="1"/>
  <c r="BC92" i="9" s="1"/>
  <c r="BC93" i="9" s="1"/>
  <c r="BC94" i="9" s="1"/>
  <c r="BC95" i="9" s="1"/>
  <c r="BC96" i="9" s="1"/>
  <c r="BC97" i="9" s="1"/>
  <c r="BC98" i="9" s="1"/>
  <c r="BC99" i="9" s="1"/>
  <c r="BC100" i="9" s="1"/>
  <c r="BC101" i="9" s="1"/>
  <c r="BC102" i="9" s="1"/>
  <c r="BC103" i="9" s="1"/>
  <c r="BC104" i="9" s="1"/>
  <c r="BC105" i="9" s="1"/>
  <c r="BC106" i="9" s="1"/>
  <c r="BC107" i="9" s="1"/>
  <c r="BC108" i="9" s="1"/>
  <c r="BC109" i="9" s="1"/>
  <c r="BC110" i="9" s="1"/>
  <c r="BC111" i="9" s="1"/>
  <c r="BC112" i="9" s="1"/>
  <c r="BC113" i="9" s="1"/>
  <c r="BC114" i="9" s="1"/>
  <c r="BC115" i="9" s="1"/>
  <c r="BC116" i="9" s="1"/>
  <c r="BC117" i="9" s="1"/>
  <c r="BC118" i="9" s="1"/>
  <c r="BC119" i="9" s="1"/>
  <c r="BC120" i="9" s="1"/>
  <c r="BC121" i="9" s="1"/>
  <c r="BC122" i="9" s="1"/>
  <c r="BC123" i="9" s="1"/>
  <c r="BC124" i="9" s="1"/>
  <c r="BC125" i="9" s="1"/>
  <c r="BC126" i="9" s="1"/>
  <c r="BC127" i="9" s="1"/>
  <c r="BC128" i="9" s="1"/>
  <c r="BC129" i="9" s="1"/>
  <c r="BC130" i="9" s="1"/>
  <c r="BC131" i="9" s="1"/>
  <c r="BC132" i="9" s="1"/>
  <c r="BC133" i="9" s="1"/>
  <c r="BC134" i="9" s="1"/>
  <c r="BC135" i="9" s="1"/>
  <c r="BC136" i="9" s="1"/>
  <c r="BC137" i="9" s="1"/>
  <c r="BC138" i="9" s="1"/>
  <c r="BC139" i="9" s="1"/>
  <c r="BC140" i="9" s="1"/>
  <c r="BC141" i="9" s="1"/>
  <c r="BC142" i="9" s="1"/>
  <c r="BC143" i="9" s="1"/>
  <c r="BC144" i="9" s="1"/>
  <c r="BC145" i="9" s="1"/>
  <c r="BC146" i="9" s="1"/>
  <c r="BC147" i="9" s="1"/>
  <c r="BC148" i="9" s="1"/>
  <c r="BC149" i="9" s="1"/>
  <c r="BC150" i="9" s="1"/>
  <c r="BC151" i="9" s="1"/>
  <c r="BC152" i="9" s="1"/>
  <c r="BC153" i="9" s="1"/>
  <c r="BC154" i="9" s="1"/>
  <c r="BC155" i="9" s="1"/>
  <c r="BC156" i="9" s="1"/>
  <c r="BC157" i="9" s="1"/>
  <c r="BC158" i="9" s="1"/>
  <c r="BC159" i="9" s="1"/>
  <c r="BC160" i="9" s="1"/>
  <c r="BC161" i="9" s="1"/>
  <c r="BC162" i="9" s="1"/>
  <c r="BC163" i="9" s="1"/>
  <c r="BC164" i="9" s="1"/>
  <c r="BC165" i="9" s="1"/>
  <c r="BC166" i="9" s="1"/>
  <c r="BC167" i="9" s="1"/>
  <c r="BC168" i="9" s="1"/>
  <c r="BC169" i="9" s="1"/>
  <c r="BC170" i="9" s="1"/>
  <c r="BC171" i="9" s="1"/>
  <c r="BC172" i="9" s="1"/>
  <c r="BC173" i="9" s="1"/>
  <c r="BC174" i="9" s="1"/>
  <c r="BC175" i="9" s="1"/>
  <c r="BC176" i="9" s="1"/>
  <c r="BC177" i="9" s="1"/>
  <c r="BC178" i="9" s="1"/>
  <c r="BC179" i="9" s="1"/>
  <c r="BC180" i="9" s="1"/>
  <c r="BC181" i="9" s="1"/>
  <c r="BC182" i="9" s="1"/>
  <c r="BC183" i="9" s="1"/>
  <c r="BC184" i="9" s="1"/>
  <c r="BC185" i="9" s="1"/>
  <c r="BC186" i="9" s="1"/>
  <c r="BC187" i="9" s="1"/>
  <c r="BC188" i="9" s="1"/>
  <c r="BC189" i="9" s="1"/>
  <c r="BC190" i="9" s="1"/>
  <c r="BC191" i="9" s="1"/>
  <c r="BC192" i="9" s="1"/>
  <c r="BC193" i="9" s="1"/>
  <c r="BC194" i="9" s="1"/>
  <c r="BC195" i="9" s="1"/>
  <c r="BC196" i="9" s="1"/>
  <c r="BC197" i="9" s="1"/>
  <c r="BC198" i="9" s="1"/>
  <c r="BC199" i="9" s="1"/>
  <c r="BC200" i="9" s="1"/>
  <c r="BC201" i="9" s="1"/>
  <c r="BC202" i="9" s="1"/>
  <c r="BC203" i="9" s="1"/>
  <c r="BC204" i="9" s="1"/>
  <c r="BC205" i="9" s="1"/>
  <c r="BC206" i="9" s="1"/>
  <c r="BC207" i="9" s="1"/>
  <c r="BC208" i="9" s="1"/>
  <c r="BC209" i="9" s="1"/>
  <c r="BC210" i="9" s="1"/>
  <c r="BC211" i="9" s="1"/>
  <c r="BC212" i="9" s="1"/>
  <c r="BC213" i="9" s="1"/>
  <c r="BC214" i="9" s="1"/>
  <c r="BC215" i="9" s="1"/>
  <c r="BC216" i="9" s="1"/>
  <c r="BC217" i="9" s="1"/>
  <c r="BC218" i="9" s="1"/>
  <c r="BC219" i="9" s="1"/>
  <c r="BC220" i="9" s="1"/>
  <c r="BC221" i="9" s="1"/>
  <c r="BC222" i="9" s="1"/>
  <c r="BC223" i="9" s="1"/>
  <c r="BC224" i="9" s="1"/>
  <c r="BC225" i="9" s="1"/>
  <c r="BC226" i="9" s="1"/>
  <c r="BC227" i="9" s="1"/>
  <c r="BC228" i="9" s="1"/>
  <c r="BC229" i="9" s="1"/>
  <c r="BC230" i="9" s="1"/>
  <c r="BC231" i="9" s="1"/>
  <c r="BC232" i="9" s="1"/>
  <c r="BC233" i="9" s="1"/>
  <c r="BC234" i="9" s="1"/>
  <c r="BC235" i="9" s="1"/>
  <c r="BC236" i="9" s="1"/>
  <c r="BC237" i="9" s="1"/>
  <c r="BC238" i="9" s="1"/>
  <c r="BC239" i="9" s="1"/>
  <c r="BC240" i="9" s="1"/>
  <c r="BC241" i="9" s="1"/>
  <c r="BC242" i="9" s="1"/>
  <c r="BC243" i="9" s="1"/>
  <c r="BC244" i="9" s="1"/>
  <c r="BC245" i="9" s="1"/>
  <c r="BC246" i="9" s="1"/>
  <c r="BC247" i="9" s="1"/>
  <c r="BC248" i="9" s="1"/>
  <c r="BC249" i="9" s="1"/>
  <c r="BC250" i="9" s="1"/>
  <c r="BC251" i="9" s="1"/>
  <c r="BC252" i="9" s="1"/>
  <c r="BC253" i="9" s="1"/>
  <c r="BC254" i="9" s="1"/>
  <c r="BC255" i="9" s="1"/>
  <c r="BC256" i="9" s="1"/>
  <c r="BC257" i="9" s="1"/>
  <c r="BC258" i="9" s="1"/>
  <c r="BC259" i="9" s="1"/>
  <c r="BC260" i="9" s="1"/>
  <c r="BC261" i="9" s="1"/>
  <c r="BC262" i="9" s="1"/>
  <c r="BC263" i="9" s="1"/>
  <c r="BC264" i="9" s="1"/>
  <c r="BC265" i="9" s="1"/>
  <c r="BC266" i="9" s="1"/>
  <c r="BC267" i="9" s="1"/>
  <c r="BC268" i="9" s="1"/>
  <c r="BC269" i="9" s="1"/>
  <c r="BC270" i="9" s="1"/>
  <c r="BC271" i="9" s="1"/>
  <c r="BC272" i="9" s="1"/>
  <c r="BC273" i="9" s="1"/>
  <c r="BC274" i="9" s="1"/>
  <c r="BC275" i="9" s="1"/>
  <c r="BC276" i="9" s="1"/>
  <c r="BC277" i="9" s="1"/>
  <c r="BC278" i="9" s="1"/>
  <c r="BC279" i="9" s="1"/>
  <c r="BC280" i="9" s="1"/>
  <c r="BC281" i="9" s="1"/>
  <c r="BC282" i="9" s="1"/>
  <c r="BC283" i="9" s="1"/>
  <c r="BC284" i="9" s="1"/>
  <c r="BC285" i="9" s="1"/>
  <c r="BC286" i="9" s="1"/>
  <c r="BC287" i="9" s="1"/>
  <c r="BC288" i="9" s="1"/>
  <c r="BC289" i="9" s="1"/>
  <c r="BC290" i="9" s="1"/>
  <c r="BC291" i="9" s="1"/>
  <c r="BC292" i="9" s="1"/>
  <c r="BC293" i="9" s="1"/>
  <c r="BC294" i="9" s="1"/>
  <c r="BC295" i="9" s="1"/>
  <c r="BC296" i="9" s="1"/>
  <c r="BC297" i="9" s="1"/>
  <c r="BC298" i="9" s="1"/>
  <c r="BC299" i="9" s="1"/>
  <c r="BC300" i="9" s="1"/>
  <c r="BC301" i="9" s="1"/>
  <c r="BC302" i="9" s="1"/>
  <c r="BC303" i="9" s="1"/>
  <c r="BC304" i="9" s="1"/>
  <c r="BC305" i="9" s="1"/>
  <c r="BC306" i="9" s="1"/>
  <c r="BC307" i="9" s="1"/>
  <c r="BC308" i="9" s="1"/>
  <c r="BC309" i="9" s="1"/>
  <c r="BC310" i="9" s="1"/>
  <c r="BC311" i="9" s="1"/>
  <c r="BC312" i="9" s="1"/>
  <c r="BC313" i="9" s="1"/>
  <c r="BC314" i="9" s="1"/>
  <c r="BC315" i="9" s="1"/>
  <c r="BC316" i="9" s="1"/>
  <c r="BC317" i="9" s="1"/>
  <c r="BC318" i="9" s="1"/>
  <c r="BC319" i="9" s="1"/>
  <c r="BC320" i="9" s="1"/>
  <c r="BC321" i="9" s="1"/>
  <c r="BC322" i="9" s="1"/>
  <c r="BC323" i="9" s="1"/>
  <c r="BC324" i="9" s="1"/>
  <c r="BC325" i="9" s="1"/>
  <c r="BC326" i="9" s="1"/>
  <c r="BC327" i="9" s="1"/>
  <c r="BC328" i="9" s="1"/>
  <c r="BC329" i="9" s="1"/>
  <c r="BC330" i="9" s="1"/>
  <c r="BC331" i="9" s="1"/>
  <c r="BC332" i="9" s="1"/>
  <c r="BC333" i="9" s="1"/>
  <c r="BC334" i="9" s="1"/>
  <c r="BC335" i="9" s="1"/>
  <c r="BC336" i="9" s="1"/>
  <c r="BC337" i="9" s="1"/>
  <c r="BC338" i="9" s="1"/>
  <c r="BC339" i="9" s="1"/>
  <c r="BC340" i="9" s="1"/>
  <c r="BC341" i="9" s="1"/>
  <c r="BC342" i="9" s="1"/>
  <c r="BC343" i="9" s="1"/>
  <c r="BC344" i="9" s="1"/>
  <c r="BC345" i="9" s="1"/>
  <c r="BC346" i="9" s="1"/>
  <c r="BC347" i="9" s="1"/>
  <c r="BC348" i="9" s="1"/>
  <c r="BC349" i="9" s="1"/>
  <c r="BC350" i="9" s="1"/>
  <c r="BC351" i="9" s="1"/>
  <c r="BC352" i="9" s="1"/>
  <c r="BC353" i="9" s="1"/>
  <c r="BC354" i="9" s="1"/>
  <c r="BC355" i="9" s="1"/>
  <c r="BC356" i="9" s="1"/>
  <c r="BC357" i="9" s="1"/>
  <c r="BC358" i="9" s="1"/>
  <c r="BC359" i="9" s="1"/>
  <c r="BC360" i="9" s="1"/>
  <c r="BC361" i="9" s="1"/>
  <c r="BC362" i="9" s="1"/>
  <c r="BC363" i="9" s="1"/>
  <c r="BC364" i="9" s="1"/>
  <c r="BC365" i="9" s="1"/>
  <c r="BC366" i="9" s="1"/>
  <c r="BC367" i="9" s="1"/>
  <c r="BC368" i="9" s="1"/>
  <c r="BC369" i="9" s="1"/>
  <c r="BC370" i="9" s="1"/>
  <c r="BC371" i="9" s="1"/>
  <c r="BC372" i="9" s="1"/>
  <c r="BC373" i="9" s="1"/>
  <c r="BC374" i="9" s="1"/>
  <c r="BC375" i="9" s="1"/>
  <c r="BC376" i="9" s="1"/>
  <c r="BC377" i="9" s="1"/>
  <c r="BC378" i="9" s="1"/>
  <c r="BC379" i="9" s="1"/>
  <c r="BC380" i="9" s="1"/>
  <c r="BC381" i="9" s="1"/>
  <c r="BC382" i="9" s="1"/>
  <c r="BC383" i="9" s="1"/>
  <c r="BC384" i="9" s="1"/>
  <c r="BC385" i="9" s="1"/>
  <c r="BC386" i="9" s="1"/>
  <c r="BC387" i="9" s="1"/>
  <c r="BC388" i="9" s="1"/>
  <c r="BC389" i="9" s="1"/>
  <c r="BC390" i="9" s="1"/>
  <c r="BC391" i="9" s="1"/>
  <c r="BC392" i="9" s="1"/>
  <c r="BC393" i="9" s="1"/>
  <c r="BC394" i="9" s="1"/>
  <c r="BC395" i="9" s="1"/>
  <c r="BC396" i="9" s="1"/>
  <c r="AW9" i="9"/>
  <c r="AW10" i="9" s="1"/>
  <c r="AW11" i="9" s="1"/>
  <c r="AW12" i="9" s="1"/>
  <c r="AW13" i="9" s="1"/>
  <c r="AW14" i="9" s="1"/>
  <c r="AW15" i="9" s="1"/>
  <c r="AW16" i="9" s="1"/>
  <c r="AW17" i="9" s="1"/>
  <c r="AW18" i="9" s="1"/>
  <c r="AW19" i="9" s="1"/>
  <c r="AW20" i="9" s="1"/>
  <c r="AW21" i="9" s="1"/>
  <c r="AW22" i="9" s="1"/>
  <c r="AW23" i="9" s="1"/>
  <c r="AW24" i="9" s="1"/>
  <c r="AW25" i="9" s="1"/>
  <c r="AW26" i="9" s="1"/>
  <c r="AW27" i="9" s="1"/>
  <c r="AW28" i="9" s="1"/>
  <c r="AW29" i="9" s="1"/>
  <c r="AW30" i="9" s="1"/>
  <c r="AW31" i="9" s="1"/>
  <c r="AW32" i="9" s="1"/>
  <c r="AW33" i="9" s="1"/>
  <c r="AW34" i="9" s="1"/>
  <c r="AW35" i="9" s="1"/>
  <c r="AW36" i="9" s="1"/>
  <c r="AW37" i="9" s="1"/>
  <c r="AW38" i="9" s="1"/>
  <c r="AW39" i="9" s="1"/>
  <c r="AW40" i="9" s="1"/>
  <c r="AW41" i="9" s="1"/>
  <c r="AW42" i="9" s="1"/>
  <c r="AW43" i="9" s="1"/>
  <c r="AW44" i="9" s="1"/>
  <c r="AW45" i="9" s="1"/>
  <c r="AW46" i="9" s="1"/>
  <c r="AW47" i="9" s="1"/>
  <c r="AW48" i="9" s="1"/>
  <c r="AW49" i="9" s="1"/>
  <c r="AW50" i="9" s="1"/>
  <c r="AW51" i="9" s="1"/>
  <c r="AW52" i="9" s="1"/>
  <c r="AW53" i="9" s="1"/>
  <c r="AW54" i="9" s="1"/>
  <c r="AW55" i="9" s="1"/>
  <c r="AW56" i="9" s="1"/>
  <c r="AW57" i="9" s="1"/>
  <c r="AW58" i="9" s="1"/>
  <c r="AW59" i="9" s="1"/>
  <c r="AW60" i="9" s="1"/>
  <c r="AW61" i="9" s="1"/>
  <c r="AW62" i="9" s="1"/>
  <c r="AW63" i="9" s="1"/>
  <c r="AW64" i="9" s="1"/>
  <c r="AW65" i="9" s="1"/>
  <c r="AW66" i="9" s="1"/>
  <c r="AW67" i="9" s="1"/>
  <c r="AW68" i="9" s="1"/>
  <c r="AW69" i="9" s="1"/>
  <c r="AW70" i="9" s="1"/>
  <c r="AW71" i="9" s="1"/>
  <c r="AW72" i="9" s="1"/>
  <c r="AW73" i="9" s="1"/>
  <c r="AW74" i="9" s="1"/>
  <c r="AW75" i="9" s="1"/>
  <c r="AW76" i="9" s="1"/>
  <c r="AW77" i="9" s="1"/>
  <c r="AW78" i="9" s="1"/>
  <c r="AW79" i="9" s="1"/>
  <c r="AW80" i="9" s="1"/>
  <c r="AW81" i="9" s="1"/>
  <c r="AW82" i="9" s="1"/>
  <c r="AW83" i="9" s="1"/>
  <c r="AW84" i="9" s="1"/>
  <c r="AW85" i="9" s="1"/>
  <c r="AW86" i="9" s="1"/>
  <c r="AW87" i="9" s="1"/>
  <c r="AW88" i="9" s="1"/>
  <c r="AW89" i="9" s="1"/>
  <c r="AW90" i="9" s="1"/>
  <c r="AW91" i="9" s="1"/>
  <c r="AW92" i="9" s="1"/>
  <c r="AW93" i="9" s="1"/>
  <c r="AW94" i="9" s="1"/>
  <c r="AW95" i="9" s="1"/>
  <c r="AW96" i="9" s="1"/>
  <c r="AW97" i="9" s="1"/>
  <c r="AW98" i="9" s="1"/>
  <c r="AW99" i="9" s="1"/>
  <c r="AW100" i="9" s="1"/>
  <c r="AW101" i="9" s="1"/>
  <c r="AW102" i="9" s="1"/>
  <c r="AW103" i="9" s="1"/>
  <c r="AW104" i="9" s="1"/>
  <c r="AW105" i="9" s="1"/>
  <c r="AW106" i="9" s="1"/>
  <c r="AW107" i="9" s="1"/>
  <c r="AW108" i="9" s="1"/>
  <c r="AW109" i="9" s="1"/>
  <c r="AW110" i="9" s="1"/>
  <c r="AW111" i="9" s="1"/>
  <c r="AW112" i="9" s="1"/>
  <c r="AW113" i="9" s="1"/>
  <c r="AW114" i="9" s="1"/>
  <c r="AW115" i="9" s="1"/>
  <c r="AW116" i="9" s="1"/>
  <c r="AW117" i="9" s="1"/>
  <c r="AW118" i="9" s="1"/>
  <c r="AW119" i="9" s="1"/>
  <c r="AW120" i="9" s="1"/>
  <c r="AW121" i="9" s="1"/>
  <c r="AW122" i="9" s="1"/>
  <c r="AW123" i="9" s="1"/>
  <c r="AW124" i="9" s="1"/>
  <c r="AW125" i="9" s="1"/>
  <c r="AW126" i="9" s="1"/>
  <c r="AW127" i="9" s="1"/>
  <c r="AW128" i="9" s="1"/>
  <c r="AW129" i="9" s="1"/>
  <c r="AW130" i="9" s="1"/>
  <c r="AW131" i="9" s="1"/>
  <c r="AW132" i="9" s="1"/>
  <c r="AW133" i="9" s="1"/>
  <c r="AW134" i="9" s="1"/>
  <c r="AW135" i="9" s="1"/>
  <c r="AW136" i="9" s="1"/>
  <c r="AW137" i="9" s="1"/>
  <c r="AW138" i="9" s="1"/>
  <c r="AW139" i="9" s="1"/>
  <c r="AW140" i="9" s="1"/>
  <c r="AW141" i="9" s="1"/>
  <c r="AW142" i="9" s="1"/>
  <c r="AW143" i="9" s="1"/>
  <c r="AW144" i="9" s="1"/>
  <c r="AW145" i="9" s="1"/>
  <c r="AW146" i="9" s="1"/>
  <c r="AW147" i="9" s="1"/>
  <c r="AW148" i="9" s="1"/>
  <c r="AW149" i="9" s="1"/>
  <c r="AW150" i="9" s="1"/>
  <c r="AW151" i="9" s="1"/>
  <c r="AW152" i="9" s="1"/>
  <c r="AW153" i="9" s="1"/>
  <c r="AW154" i="9" s="1"/>
  <c r="AW155" i="9" s="1"/>
  <c r="AW156" i="9" s="1"/>
  <c r="AW157" i="9" s="1"/>
  <c r="AW158" i="9" s="1"/>
  <c r="AW159" i="9" s="1"/>
  <c r="AW160" i="9" s="1"/>
  <c r="AW161" i="9" s="1"/>
  <c r="AW162" i="9" s="1"/>
  <c r="AW163" i="9" s="1"/>
  <c r="AW164" i="9" s="1"/>
  <c r="AW165" i="9" s="1"/>
  <c r="AW166" i="9" s="1"/>
  <c r="AW167" i="9" s="1"/>
  <c r="AW168" i="9" s="1"/>
  <c r="AW169" i="9" s="1"/>
  <c r="AW170" i="9" s="1"/>
  <c r="AW171" i="9" s="1"/>
  <c r="AW172" i="9" s="1"/>
  <c r="AW173" i="9" s="1"/>
  <c r="AW174" i="9" s="1"/>
  <c r="AW175" i="9" s="1"/>
  <c r="AW176" i="9" s="1"/>
  <c r="AW177" i="9" s="1"/>
  <c r="AW178" i="9" s="1"/>
  <c r="AW179" i="9" s="1"/>
  <c r="AW180" i="9" s="1"/>
  <c r="AW181" i="9" s="1"/>
  <c r="AW182" i="9" s="1"/>
  <c r="AW183" i="9" s="1"/>
  <c r="AW184" i="9" s="1"/>
  <c r="AW185" i="9" s="1"/>
  <c r="AW186" i="9" s="1"/>
  <c r="AW187" i="9" s="1"/>
  <c r="AW188" i="9" s="1"/>
  <c r="AW189" i="9" s="1"/>
  <c r="AW190" i="9" s="1"/>
  <c r="AW191" i="9" s="1"/>
  <c r="AW192" i="9" s="1"/>
  <c r="AW193" i="9" s="1"/>
  <c r="AW194" i="9" s="1"/>
  <c r="AW195" i="9" s="1"/>
  <c r="AW196" i="9" s="1"/>
  <c r="AW197" i="9" s="1"/>
  <c r="AW198" i="9" s="1"/>
  <c r="AW199" i="9" s="1"/>
  <c r="AW200" i="9" s="1"/>
  <c r="AW201" i="9" s="1"/>
  <c r="AW202" i="9" s="1"/>
  <c r="AW203" i="9" s="1"/>
  <c r="AW204" i="9" s="1"/>
  <c r="AW205" i="9" s="1"/>
  <c r="AW206" i="9" s="1"/>
  <c r="AW207" i="9" s="1"/>
  <c r="AW208" i="9" s="1"/>
  <c r="AW209" i="9" s="1"/>
  <c r="AW210" i="9" s="1"/>
  <c r="AW211" i="9" s="1"/>
  <c r="AW212" i="9" s="1"/>
  <c r="AW213" i="9" s="1"/>
  <c r="AW214" i="9" s="1"/>
  <c r="AW215" i="9" s="1"/>
  <c r="AW216" i="9" s="1"/>
  <c r="AW217" i="9" s="1"/>
  <c r="AW218" i="9" s="1"/>
  <c r="AW219" i="9" s="1"/>
  <c r="AW220" i="9" s="1"/>
  <c r="AW221" i="9" s="1"/>
  <c r="AW222" i="9" s="1"/>
  <c r="AW223" i="9" s="1"/>
  <c r="AW224" i="9" s="1"/>
  <c r="AW225" i="9" s="1"/>
  <c r="AW226" i="9" s="1"/>
  <c r="AW227" i="9" s="1"/>
  <c r="AW228" i="9" s="1"/>
  <c r="AW229" i="9" s="1"/>
  <c r="AW230" i="9" s="1"/>
  <c r="AW231" i="9" s="1"/>
  <c r="AW232" i="9" s="1"/>
  <c r="AW233" i="9" s="1"/>
  <c r="AW234" i="9" s="1"/>
  <c r="AW235" i="9" s="1"/>
  <c r="AW236" i="9" s="1"/>
  <c r="AW237" i="9" s="1"/>
  <c r="AW238" i="9" s="1"/>
  <c r="AW239" i="9" s="1"/>
  <c r="AW240" i="9" s="1"/>
  <c r="AW241" i="9" s="1"/>
  <c r="AW242" i="9" s="1"/>
  <c r="AW243" i="9" s="1"/>
  <c r="AW244" i="9" s="1"/>
  <c r="AW245" i="9" s="1"/>
  <c r="AW246" i="9" s="1"/>
  <c r="AW247" i="9" s="1"/>
  <c r="AW248" i="9" s="1"/>
  <c r="AW249" i="9" s="1"/>
  <c r="AW250" i="9" s="1"/>
  <c r="AW251" i="9" s="1"/>
  <c r="AW252" i="9" s="1"/>
  <c r="AW253" i="9" s="1"/>
  <c r="AW254" i="9" s="1"/>
  <c r="AW255" i="9" s="1"/>
  <c r="AW256" i="9" s="1"/>
  <c r="AW257" i="9" s="1"/>
  <c r="AW258" i="9" s="1"/>
  <c r="AW259" i="9" s="1"/>
  <c r="AW260" i="9" s="1"/>
  <c r="AW261" i="9" s="1"/>
  <c r="AW262" i="9" s="1"/>
  <c r="AW263" i="9" s="1"/>
  <c r="AW264" i="9" s="1"/>
  <c r="AW265" i="9" s="1"/>
  <c r="AW266" i="9" s="1"/>
  <c r="AW267" i="9" s="1"/>
  <c r="AW268" i="9" s="1"/>
  <c r="AW269" i="9" s="1"/>
  <c r="AW270" i="9" s="1"/>
  <c r="AW271" i="9" s="1"/>
  <c r="AW272" i="9" s="1"/>
  <c r="AW273" i="9" s="1"/>
  <c r="AW274" i="9" s="1"/>
  <c r="AW275" i="9" s="1"/>
  <c r="AW276" i="9" s="1"/>
  <c r="AW277" i="9" s="1"/>
  <c r="AW278" i="9" s="1"/>
  <c r="AW279" i="9" s="1"/>
  <c r="AW280" i="9" s="1"/>
  <c r="AW281" i="9" s="1"/>
  <c r="AW282" i="9" s="1"/>
  <c r="AW283" i="9" s="1"/>
  <c r="AW284" i="9" s="1"/>
  <c r="AW285" i="9" s="1"/>
  <c r="AW286" i="9" s="1"/>
  <c r="AW287" i="9" s="1"/>
  <c r="AW288" i="9" s="1"/>
  <c r="AW289" i="9" s="1"/>
  <c r="AW290" i="9" s="1"/>
  <c r="AW291" i="9" s="1"/>
  <c r="AW292" i="9" s="1"/>
  <c r="AW293" i="9" s="1"/>
  <c r="AW294" i="9" s="1"/>
  <c r="AW295" i="9" s="1"/>
  <c r="AW296" i="9" s="1"/>
  <c r="AW297" i="9" s="1"/>
  <c r="AW298" i="9" s="1"/>
  <c r="AW299" i="9" s="1"/>
  <c r="AW300" i="9" s="1"/>
  <c r="AW301" i="9" s="1"/>
  <c r="AW302" i="9" s="1"/>
  <c r="AW303" i="9" s="1"/>
  <c r="AW304" i="9" s="1"/>
  <c r="AW305" i="9" s="1"/>
  <c r="AW306" i="9" s="1"/>
  <c r="AW307" i="9" s="1"/>
  <c r="AW308" i="9" s="1"/>
  <c r="AW309" i="9" s="1"/>
  <c r="AW310" i="9" s="1"/>
  <c r="AW311" i="9" s="1"/>
  <c r="AW312" i="9" s="1"/>
  <c r="AW313" i="9" s="1"/>
  <c r="AW314" i="9" s="1"/>
  <c r="AW315" i="9" s="1"/>
  <c r="AW316" i="9" s="1"/>
  <c r="AW317" i="9" s="1"/>
  <c r="AW318" i="9" s="1"/>
  <c r="AW319" i="9" s="1"/>
  <c r="AW320" i="9" s="1"/>
  <c r="AW321" i="9" s="1"/>
  <c r="AW322" i="9" s="1"/>
  <c r="AW323" i="9" s="1"/>
  <c r="AW324" i="9" s="1"/>
  <c r="AW325" i="9" s="1"/>
  <c r="AW326" i="9" s="1"/>
  <c r="AW327" i="9" s="1"/>
  <c r="AW328" i="9" s="1"/>
  <c r="AW329" i="9" s="1"/>
  <c r="AW330" i="9" s="1"/>
  <c r="AW331" i="9" s="1"/>
  <c r="AW332" i="9" s="1"/>
  <c r="AW333" i="9" s="1"/>
  <c r="AW334" i="9" s="1"/>
  <c r="AW335" i="9" s="1"/>
  <c r="AW336" i="9" s="1"/>
  <c r="AW337" i="9" s="1"/>
  <c r="AW338" i="9" s="1"/>
  <c r="AW339" i="9" s="1"/>
  <c r="AW340" i="9" s="1"/>
  <c r="AW341" i="9" s="1"/>
  <c r="AW342" i="9" s="1"/>
  <c r="AW343" i="9" s="1"/>
  <c r="AW344" i="9" s="1"/>
  <c r="AW345" i="9" s="1"/>
  <c r="AW346" i="9" s="1"/>
  <c r="AW347" i="9" s="1"/>
  <c r="AW348" i="9" s="1"/>
  <c r="AW349" i="9" s="1"/>
  <c r="AW350" i="9" s="1"/>
  <c r="AW351" i="9" s="1"/>
  <c r="AW352" i="9" s="1"/>
  <c r="AW353" i="9" s="1"/>
  <c r="AW354" i="9" s="1"/>
  <c r="AW355" i="9" s="1"/>
  <c r="AW356" i="9" s="1"/>
  <c r="AW357" i="9" s="1"/>
  <c r="AW358" i="9" s="1"/>
  <c r="AW359" i="9" s="1"/>
  <c r="AW360" i="9" s="1"/>
  <c r="AW361" i="9" s="1"/>
  <c r="AW362" i="9" s="1"/>
  <c r="AW363" i="9" s="1"/>
  <c r="AW364" i="9" s="1"/>
  <c r="AW365" i="9" s="1"/>
  <c r="AW366" i="9" s="1"/>
  <c r="AW367" i="9" s="1"/>
  <c r="AW368" i="9" s="1"/>
  <c r="AW369" i="9" s="1"/>
  <c r="AW370" i="9" s="1"/>
  <c r="AW371" i="9" s="1"/>
  <c r="AW372" i="9" s="1"/>
  <c r="AW373" i="9" s="1"/>
  <c r="AW374" i="9" s="1"/>
  <c r="AW375" i="9" s="1"/>
  <c r="AW376" i="9" s="1"/>
  <c r="AW377" i="9" s="1"/>
  <c r="AW378" i="9" s="1"/>
  <c r="AW379" i="9" s="1"/>
  <c r="AW380" i="9" s="1"/>
  <c r="AW381" i="9" s="1"/>
  <c r="AW382" i="9" s="1"/>
  <c r="AW383" i="9" s="1"/>
  <c r="AW384" i="9" s="1"/>
  <c r="AL10" i="9"/>
  <c r="AL11" i="9" s="1"/>
  <c r="AL12" i="9" s="1"/>
  <c r="AL13" i="9" s="1"/>
  <c r="AL14" i="9" s="1"/>
  <c r="AL15" i="9" s="1"/>
  <c r="AL16" i="9" s="1"/>
  <c r="AL17" i="9" s="1"/>
  <c r="AL18" i="9" s="1"/>
  <c r="AL19" i="9" s="1"/>
  <c r="AL20" i="9" s="1"/>
  <c r="AL21" i="9" s="1"/>
  <c r="AL22" i="9" s="1"/>
  <c r="AL23" i="9" s="1"/>
  <c r="AL24" i="9" s="1"/>
  <c r="AL25" i="9" s="1"/>
  <c r="AL26" i="9" s="1"/>
  <c r="AL27" i="9" s="1"/>
  <c r="AL28" i="9" s="1"/>
  <c r="AL29" i="9" s="1"/>
  <c r="AL30" i="9" s="1"/>
  <c r="AL31" i="9" s="1"/>
  <c r="AL32" i="9" s="1"/>
  <c r="AL33" i="9" s="1"/>
  <c r="AL34" i="9" s="1"/>
  <c r="AL35" i="9" s="1"/>
  <c r="AL36" i="9" s="1"/>
  <c r="AL37" i="9" s="1"/>
  <c r="AL38" i="9" s="1"/>
  <c r="AL39" i="9" s="1"/>
  <c r="AL40" i="9" s="1"/>
  <c r="AL41" i="9" s="1"/>
  <c r="AL42" i="9" s="1"/>
  <c r="AL43" i="9" s="1"/>
  <c r="AL44" i="9" s="1"/>
  <c r="AL45" i="9" s="1"/>
  <c r="AL46" i="9" s="1"/>
  <c r="AL47" i="9" s="1"/>
  <c r="AL48" i="9" s="1"/>
  <c r="AL49" i="9" s="1"/>
  <c r="AL50" i="9" s="1"/>
  <c r="AL51" i="9" s="1"/>
  <c r="AL52" i="9" s="1"/>
  <c r="AL53" i="9" s="1"/>
  <c r="AL54" i="9" s="1"/>
  <c r="AL55" i="9" s="1"/>
  <c r="AL56" i="9" s="1"/>
  <c r="AL57" i="9" s="1"/>
  <c r="AL58" i="9" s="1"/>
  <c r="AL59" i="9" s="1"/>
  <c r="AL60" i="9" s="1"/>
  <c r="AL61" i="9" s="1"/>
  <c r="AL62" i="9" s="1"/>
  <c r="AL63" i="9" s="1"/>
  <c r="AL64" i="9" s="1"/>
  <c r="AL65" i="9" s="1"/>
  <c r="AL66" i="9" s="1"/>
  <c r="AL67" i="9" s="1"/>
  <c r="AL68" i="9" s="1"/>
  <c r="AL69" i="9" s="1"/>
  <c r="AL70" i="9" s="1"/>
  <c r="AL71" i="9" s="1"/>
  <c r="AL72" i="9" s="1"/>
  <c r="AL73" i="9" s="1"/>
  <c r="AL74" i="9" s="1"/>
  <c r="AL75" i="9" s="1"/>
  <c r="AL76" i="9" s="1"/>
  <c r="AL77" i="9" s="1"/>
  <c r="AL78" i="9" s="1"/>
  <c r="AL79" i="9" s="1"/>
  <c r="AL80" i="9" s="1"/>
  <c r="AL81" i="9" s="1"/>
  <c r="AL82" i="9" s="1"/>
  <c r="AL83" i="9" s="1"/>
  <c r="AL84" i="9" s="1"/>
  <c r="AL85" i="9" s="1"/>
  <c r="AL86" i="9" s="1"/>
  <c r="AL87" i="9" s="1"/>
  <c r="AL88" i="9" s="1"/>
  <c r="AL89" i="9" s="1"/>
  <c r="AL90" i="9" s="1"/>
  <c r="AL91" i="9" s="1"/>
  <c r="AL92" i="9" s="1"/>
  <c r="AL93" i="9" s="1"/>
  <c r="AL94" i="9" s="1"/>
  <c r="AL95" i="9" s="1"/>
  <c r="AL96" i="9" s="1"/>
  <c r="AL97" i="9" s="1"/>
  <c r="AL98" i="9" s="1"/>
  <c r="AL99" i="9" s="1"/>
  <c r="AL100" i="9" s="1"/>
  <c r="AL101" i="9" s="1"/>
  <c r="AL102" i="9" s="1"/>
  <c r="AL103" i="9" s="1"/>
  <c r="AL104" i="9" s="1"/>
  <c r="AL105" i="9" s="1"/>
  <c r="AL106" i="9" s="1"/>
  <c r="AL107" i="9" s="1"/>
  <c r="AL108" i="9" s="1"/>
  <c r="AL109" i="9" s="1"/>
  <c r="AL110" i="9" s="1"/>
  <c r="AL111" i="9" s="1"/>
  <c r="AL112" i="9" s="1"/>
  <c r="AL113" i="9" s="1"/>
  <c r="AL114" i="9" s="1"/>
  <c r="AL115" i="9" s="1"/>
  <c r="AL116" i="9" s="1"/>
  <c r="AL117" i="9" s="1"/>
  <c r="AL118" i="9" s="1"/>
  <c r="AL119" i="9" s="1"/>
  <c r="AL120" i="9" s="1"/>
  <c r="AL121" i="9" s="1"/>
  <c r="AL122" i="9" s="1"/>
  <c r="AL123" i="9" s="1"/>
  <c r="AL124" i="9" s="1"/>
  <c r="AL125" i="9" s="1"/>
  <c r="AL126" i="9" s="1"/>
  <c r="AL127" i="9" s="1"/>
  <c r="AL128" i="9" s="1"/>
  <c r="AL129" i="9" s="1"/>
  <c r="AL130" i="9" s="1"/>
  <c r="AL131" i="9" s="1"/>
  <c r="AL132" i="9" s="1"/>
  <c r="AL133" i="9" s="1"/>
  <c r="AL134" i="9" s="1"/>
  <c r="AL135" i="9" s="1"/>
  <c r="AL136" i="9" s="1"/>
  <c r="AL137" i="9" s="1"/>
  <c r="AL138" i="9" s="1"/>
  <c r="AL139" i="9" s="1"/>
  <c r="AL140" i="9" s="1"/>
  <c r="AL141" i="9" s="1"/>
  <c r="AL142" i="9" s="1"/>
  <c r="AL143" i="9" s="1"/>
  <c r="AL144" i="9" s="1"/>
  <c r="AL145" i="9" s="1"/>
  <c r="AL146" i="9" s="1"/>
  <c r="AL147" i="9" s="1"/>
  <c r="AL148" i="9" s="1"/>
  <c r="AL149" i="9" s="1"/>
  <c r="AL150" i="9" s="1"/>
  <c r="AL151" i="9" s="1"/>
  <c r="AL152" i="9" s="1"/>
  <c r="AL153" i="9" s="1"/>
  <c r="AL154" i="9" s="1"/>
  <c r="AL155" i="9" s="1"/>
  <c r="AL156" i="9" s="1"/>
  <c r="AL157" i="9" s="1"/>
  <c r="AL158" i="9" s="1"/>
  <c r="AL159" i="9" s="1"/>
  <c r="AL160" i="9" s="1"/>
  <c r="AL161" i="9" s="1"/>
  <c r="AL162" i="9" s="1"/>
  <c r="AL163" i="9" s="1"/>
  <c r="AL164" i="9" s="1"/>
  <c r="AL165" i="9" s="1"/>
  <c r="AL166" i="9" s="1"/>
  <c r="AL167" i="9" s="1"/>
  <c r="AL168" i="9" s="1"/>
  <c r="AL169" i="9" s="1"/>
  <c r="AL170" i="9" s="1"/>
  <c r="AL171" i="9" s="1"/>
  <c r="AL172" i="9" s="1"/>
  <c r="AL173" i="9" s="1"/>
  <c r="AL174" i="9" s="1"/>
  <c r="AL175" i="9" s="1"/>
  <c r="AL176" i="9" s="1"/>
  <c r="AL177" i="9" s="1"/>
  <c r="AL178" i="9" s="1"/>
  <c r="AL179" i="9" s="1"/>
  <c r="AL180" i="9" s="1"/>
  <c r="AL181" i="9" s="1"/>
  <c r="AL182" i="9" s="1"/>
  <c r="AL183" i="9" s="1"/>
  <c r="AL184" i="9" s="1"/>
  <c r="AL185" i="9" s="1"/>
  <c r="AL186" i="9" s="1"/>
  <c r="AL187" i="9" s="1"/>
  <c r="AL188" i="9" s="1"/>
  <c r="AL189" i="9" s="1"/>
  <c r="AL190" i="9" s="1"/>
  <c r="AL191" i="9" s="1"/>
  <c r="AL192" i="9" s="1"/>
  <c r="AL193" i="9" s="1"/>
  <c r="AL194" i="9" s="1"/>
  <c r="AL195" i="9" s="1"/>
  <c r="AL196" i="9" s="1"/>
  <c r="AL197" i="9" s="1"/>
  <c r="AL198" i="9" s="1"/>
  <c r="AL199" i="9" s="1"/>
  <c r="AL200" i="9" s="1"/>
  <c r="AL201" i="9" s="1"/>
  <c r="AL202" i="9" s="1"/>
  <c r="AL203" i="9" s="1"/>
  <c r="AL204" i="9" s="1"/>
  <c r="AL205" i="9" s="1"/>
  <c r="AL206" i="9" s="1"/>
  <c r="AL207" i="9" s="1"/>
  <c r="AL208" i="9" s="1"/>
  <c r="AL209" i="9" s="1"/>
  <c r="AL210" i="9" s="1"/>
  <c r="AL211" i="9" s="1"/>
  <c r="AL212" i="9" s="1"/>
  <c r="AL213" i="9" s="1"/>
  <c r="AL214" i="9" s="1"/>
  <c r="AL215" i="9" s="1"/>
  <c r="AL216" i="9" s="1"/>
  <c r="AL217" i="9" s="1"/>
  <c r="AL218" i="9" s="1"/>
  <c r="AL219" i="9" s="1"/>
  <c r="AL220" i="9" s="1"/>
  <c r="AL221" i="9" s="1"/>
  <c r="AL222" i="9" s="1"/>
  <c r="AL223" i="9" s="1"/>
  <c r="AL224" i="9" s="1"/>
  <c r="AL225" i="9" s="1"/>
  <c r="AL226" i="9" s="1"/>
  <c r="AL227" i="9" s="1"/>
  <c r="AL228" i="9" s="1"/>
  <c r="AL229" i="9" s="1"/>
  <c r="AL230" i="9" s="1"/>
  <c r="AL231" i="9" s="1"/>
  <c r="AL232" i="9" s="1"/>
  <c r="AL233" i="9" s="1"/>
  <c r="AL234" i="9" s="1"/>
  <c r="AL235" i="9" s="1"/>
  <c r="AL236" i="9" s="1"/>
  <c r="AL237" i="9" s="1"/>
  <c r="AL238" i="9" s="1"/>
  <c r="AL239" i="9" s="1"/>
  <c r="AL240" i="9" s="1"/>
  <c r="AL241" i="9" s="1"/>
  <c r="AL242" i="9" s="1"/>
  <c r="AL243" i="9" s="1"/>
  <c r="AL244" i="9" s="1"/>
  <c r="AL245" i="9" s="1"/>
  <c r="AL246" i="9" s="1"/>
  <c r="AL247" i="9" s="1"/>
  <c r="AL248" i="9" s="1"/>
  <c r="AL249" i="9" s="1"/>
  <c r="AL250" i="9" s="1"/>
  <c r="AL251" i="9" s="1"/>
  <c r="AL252" i="9" s="1"/>
  <c r="AL253" i="9" s="1"/>
  <c r="AL254" i="9" s="1"/>
  <c r="AL255" i="9" s="1"/>
  <c r="AL256" i="9" s="1"/>
  <c r="AL257" i="9" s="1"/>
  <c r="AL258" i="9" s="1"/>
  <c r="AL259" i="9" s="1"/>
  <c r="AL260" i="9" s="1"/>
  <c r="AL261" i="9" s="1"/>
  <c r="AL262" i="9" s="1"/>
  <c r="AL263" i="9" s="1"/>
  <c r="AL264" i="9" s="1"/>
  <c r="AL265" i="9" s="1"/>
  <c r="AL266" i="9" s="1"/>
  <c r="AL267" i="9" s="1"/>
  <c r="AL268" i="9" s="1"/>
  <c r="AL269" i="9" s="1"/>
  <c r="AL270" i="9" s="1"/>
  <c r="AL271" i="9" s="1"/>
  <c r="AL272" i="9" s="1"/>
  <c r="AL273" i="9" s="1"/>
  <c r="AL274" i="9" s="1"/>
  <c r="AL275" i="9" s="1"/>
  <c r="AL276" i="9" s="1"/>
  <c r="AL277" i="9" s="1"/>
  <c r="AL278" i="9" s="1"/>
  <c r="AL279" i="9" s="1"/>
  <c r="AL280" i="9" s="1"/>
  <c r="AL281" i="9" s="1"/>
  <c r="AL282" i="9" s="1"/>
  <c r="AL283" i="9" s="1"/>
  <c r="AL284" i="9" s="1"/>
  <c r="AL285" i="9" s="1"/>
  <c r="AL286" i="9" s="1"/>
  <c r="AL287" i="9" s="1"/>
  <c r="AL288" i="9" s="1"/>
  <c r="AL289" i="9" s="1"/>
  <c r="AL290" i="9" s="1"/>
  <c r="AL291" i="9" s="1"/>
  <c r="AL292" i="9" s="1"/>
  <c r="AL293" i="9" s="1"/>
  <c r="AL294" i="9" s="1"/>
  <c r="AL295" i="9" s="1"/>
  <c r="AL296" i="9" s="1"/>
  <c r="AL297" i="9" s="1"/>
  <c r="AL298" i="9" s="1"/>
  <c r="AL299" i="9" s="1"/>
  <c r="AL300" i="9" s="1"/>
  <c r="AL301" i="9" s="1"/>
  <c r="AL302" i="9" s="1"/>
  <c r="AL303" i="9" s="1"/>
  <c r="AL304" i="9" s="1"/>
  <c r="AL305" i="9" s="1"/>
  <c r="AL306" i="9" s="1"/>
  <c r="AL307" i="9" s="1"/>
  <c r="AL308" i="9" s="1"/>
  <c r="AL309" i="9" s="1"/>
  <c r="AL310" i="9" s="1"/>
  <c r="AL311" i="9" s="1"/>
  <c r="AL312" i="9" s="1"/>
  <c r="AL313" i="9" s="1"/>
  <c r="AL314" i="9" s="1"/>
  <c r="AL315" i="9" s="1"/>
  <c r="AL316" i="9" s="1"/>
  <c r="AL317" i="9" s="1"/>
  <c r="AL318" i="9" s="1"/>
  <c r="AL319" i="9" s="1"/>
  <c r="AL320" i="9" s="1"/>
  <c r="AL321" i="9" s="1"/>
  <c r="AL322" i="9" s="1"/>
  <c r="AL323" i="9" s="1"/>
  <c r="AL324" i="9" s="1"/>
  <c r="AL325" i="9" s="1"/>
  <c r="AL326" i="9" s="1"/>
  <c r="AL327" i="9" s="1"/>
  <c r="AL328" i="9" s="1"/>
  <c r="AL329" i="9" s="1"/>
  <c r="AL330" i="9" s="1"/>
  <c r="AL331" i="9" s="1"/>
  <c r="AL332" i="9" s="1"/>
  <c r="AL333" i="9" s="1"/>
  <c r="AL334" i="9" s="1"/>
  <c r="AL335" i="9" s="1"/>
  <c r="AL336" i="9" s="1"/>
  <c r="AL337" i="9" s="1"/>
  <c r="AL338" i="9" s="1"/>
  <c r="AL339" i="9" s="1"/>
  <c r="AL340" i="9" s="1"/>
  <c r="AL341" i="9" s="1"/>
  <c r="AL342" i="9" s="1"/>
  <c r="AL343" i="9" s="1"/>
  <c r="AL344" i="9" s="1"/>
  <c r="AL345" i="9" s="1"/>
  <c r="AL346" i="9" s="1"/>
  <c r="AL347" i="9" s="1"/>
  <c r="AL348" i="9" s="1"/>
  <c r="AL349" i="9" s="1"/>
  <c r="AL350" i="9" s="1"/>
  <c r="AL351" i="9" s="1"/>
  <c r="AL352" i="9" s="1"/>
  <c r="AL353" i="9" s="1"/>
  <c r="AL354" i="9" s="1"/>
  <c r="AL355" i="9" s="1"/>
  <c r="AL356" i="9" s="1"/>
  <c r="AL357" i="9" s="1"/>
  <c r="AL358" i="9" s="1"/>
  <c r="AL359" i="9" s="1"/>
  <c r="AL360" i="9" s="1"/>
  <c r="AL361" i="9" s="1"/>
  <c r="AL362" i="9" s="1"/>
  <c r="AL363" i="9" s="1"/>
  <c r="AL364" i="9" s="1"/>
  <c r="AL365" i="9" s="1"/>
  <c r="AL366" i="9" s="1"/>
  <c r="AL367" i="9" s="1"/>
  <c r="AL368" i="9" s="1"/>
  <c r="AL369" i="9" s="1"/>
  <c r="AL370" i="9" s="1"/>
  <c r="AL371" i="9" s="1"/>
  <c r="AL372" i="9" s="1"/>
  <c r="AL373" i="9" s="1"/>
  <c r="AL374" i="9" s="1"/>
  <c r="AL375" i="9" s="1"/>
  <c r="AL376" i="9" s="1"/>
  <c r="AL377" i="9" s="1"/>
  <c r="AL378" i="9" s="1"/>
  <c r="AL379" i="9" s="1"/>
  <c r="AL380" i="9" s="1"/>
  <c r="AL381" i="9" s="1"/>
  <c r="AL382" i="9" s="1"/>
  <c r="AL383" i="9" s="1"/>
  <c r="AL384" i="9" s="1"/>
  <c r="AL385" i="9" s="1"/>
  <c r="AL386" i="9" s="1"/>
  <c r="AL387" i="9" s="1"/>
  <c r="AL388" i="9" s="1"/>
  <c r="AL389" i="9" s="1"/>
  <c r="AL390" i="9" s="1"/>
  <c r="AL391" i="9" s="1"/>
  <c r="AL392" i="9" s="1"/>
  <c r="AL393" i="9" s="1"/>
  <c r="AL394" i="9" s="1"/>
  <c r="AL395" i="9" s="1"/>
  <c r="AL396" i="9" s="1"/>
  <c r="AL397" i="9" s="1"/>
  <c r="AL398" i="9" s="1"/>
  <c r="AL399" i="9" s="1"/>
  <c r="AL400" i="9" s="1"/>
  <c r="AL401" i="9" s="1"/>
  <c r="AL402" i="9" s="1"/>
  <c r="AL403" i="9" s="1"/>
  <c r="AL404" i="9" s="1"/>
  <c r="AL405" i="9" s="1"/>
  <c r="AL406" i="9" s="1"/>
  <c r="AL407" i="9" s="1"/>
  <c r="AL408" i="9" s="1"/>
  <c r="AL409" i="9" s="1"/>
  <c r="AL410" i="9" s="1"/>
  <c r="AL411" i="9" s="1"/>
  <c r="AL412" i="9" s="1"/>
  <c r="AL413" i="9" s="1"/>
  <c r="AL414" i="9" s="1"/>
  <c r="AL415" i="9" s="1"/>
  <c r="AL416" i="9" s="1"/>
  <c r="AL417" i="9" s="1"/>
  <c r="AL418" i="9" s="1"/>
  <c r="AL419" i="9" s="1"/>
  <c r="AL420" i="9" s="1"/>
  <c r="AL421" i="9" s="1"/>
  <c r="AL422" i="9" s="1"/>
  <c r="AL423" i="9" s="1"/>
  <c r="AL424" i="9" s="1"/>
  <c r="AL425" i="9" s="1"/>
  <c r="AL426" i="9" s="1"/>
  <c r="AL427" i="9" s="1"/>
  <c r="AL428" i="9" s="1"/>
  <c r="AL429" i="9" s="1"/>
  <c r="AL430" i="9" s="1"/>
  <c r="AL431" i="9" s="1"/>
  <c r="AL432" i="9" s="1"/>
  <c r="AL433" i="9" s="1"/>
  <c r="AL434" i="9" s="1"/>
  <c r="AL435" i="9" s="1"/>
  <c r="AL436" i="9" s="1"/>
  <c r="AL437" i="9" s="1"/>
  <c r="AL438" i="9" s="1"/>
  <c r="AL439" i="9" s="1"/>
  <c r="BL9" i="9"/>
  <c r="BL10" i="9" s="1"/>
  <c r="BL11" i="9" s="1"/>
  <c r="BL12" i="9" s="1"/>
  <c r="BL13" i="9" s="1"/>
  <c r="BL14" i="9" s="1"/>
  <c r="BL15" i="9" s="1"/>
  <c r="BL16" i="9" s="1"/>
  <c r="BL17" i="9" s="1"/>
  <c r="BL18" i="9" s="1"/>
  <c r="BL19" i="9" s="1"/>
  <c r="BL20" i="9" s="1"/>
  <c r="BL21" i="9" s="1"/>
  <c r="BL22" i="9" s="1"/>
  <c r="BL23" i="9" s="1"/>
  <c r="BL24" i="9" s="1"/>
  <c r="BL25" i="9" s="1"/>
  <c r="BL26" i="9" s="1"/>
  <c r="BL27" i="9" s="1"/>
  <c r="BL28" i="9" s="1"/>
  <c r="BL29" i="9" s="1"/>
  <c r="BL30" i="9" s="1"/>
  <c r="BL31" i="9" s="1"/>
  <c r="BL32" i="9" s="1"/>
  <c r="BL33" i="9" s="1"/>
  <c r="BL34" i="9" s="1"/>
  <c r="BL35" i="9" s="1"/>
  <c r="BL36" i="9" s="1"/>
  <c r="BL37" i="9" s="1"/>
  <c r="BL38" i="9" s="1"/>
  <c r="BL39" i="9" s="1"/>
  <c r="BL40" i="9" s="1"/>
  <c r="BL41" i="9" s="1"/>
  <c r="BL42" i="9" s="1"/>
  <c r="BL43" i="9" s="1"/>
  <c r="BL44" i="9" s="1"/>
  <c r="BL45" i="9" s="1"/>
  <c r="BL46" i="9" s="1"/>
  <c r="BL47" i="9" s="1"/>
  <c r="BL48" i="9" s="1"/>
  <c r="BL49" i="9" s="1"/>
  <c r="BL50" i="9" s="1"/>
  <c r="BL51" i="9" s="1"/>
  <c r="BL52" i="9" s="1"/>
  <c r="BL53" i="9" s="1"/>
  <c r="BL54" i="9" s="1"/>
  <c r="BL55" i="9" s="1"/>
  <c r="BL56" i="9" s="1"/>
  <c r="BL57" i="9" s="1"/>
  <c r="BL58" i="9" s="1"/>
  <c r="BL59" i="9" s="1"/>
  <c r="BL60" i="9" s="1"/>
  <c r="BL61" i="9" s="1"/>
  <c r="BL62" i="9" s="1"/>
  <c r="BL63" i="9" s="1"/>
  <c r="BL64" i="9" s="1"/>
  <c r="BL65" i="9" s="1"/>
  <c r="BL66" i="9" s="1"/>
  <c r="BL67" i="9" s="1"/>
  <c r="BL68" i="9" s="1"/>
  <c r="BL69" i="9" s="1"/>
  <c r="BL70" i="9" s="1"/>
  <c r="BL71" i="9" s="1"/>
  <c r="BL72" i="9" s="1"/>
  <c r="BL73" i="9" s="1"/>
  <c r="BL74" i="9" s="1"/>
  <c r="BL75" i="9" s="1"/>
  <c r="BL76" i="9" s="1"/>
  <c r="BL77" i="9" s="1"/>
  <c r="BL78" i="9" s="1"/>
  <c r="BL79" i="9" s="1"/>
  <c r="BL80" i="9" s="1"/>
  <c r="BL81" i="9" s="1"/>
  <c r="BL82" i="9" s="1"/>
  <c r="BL83" i="9" s="1"/>
  <c r="BL84" i="9" s="1"/>
  <c r="BL85" i="9" s="1"/>
  <c r="BL86" i="9" s="1"/>
  <c r="BL87" i="9" s="1"/>
  <c r="BL88" i="9" s="1"/>
  <c r="BL89" i="9" s="1"/>
  <c r="BL90" i="9" s="1"/>
  <c r="BL91" i="9" s="1"/>
  <c r="BL92" i="9" s="1"/>
  <c r="BL93" i="9" s="1"/>
  <c r="BL94" i="9" s="1"/>
  <c r="BL95" i="9" s="1"/>
  <c r="BL96" i="9" s="1"/>
  <c r="BL97" i="9" s="1"/>
  <c r="BL98" i="9" s="1"/>
  <c r="BL99" i="9" s="1"/>
  <c r="BL100" i="9" s="1"/>
  <c r="BL101" i="9" s="1"/>
  <c r="BL102" i="9" s="1"/>
  <c r="BL103" i="9" s="1"/>
  <c r="BL104" i="9" s="1"/>
  <c r="BL105" i="9" s="1"/>
  <c r="BL106" i="9" s="1"/>
  <c r="BL107" i="9" s="1"/>
  <c r="BL108" i="9" s="1"/>
  <c r="BL109" i="9" s="1"/>
  <c r="BL110" i="9" s="1"/>
  <c r="BL111" i="9" s="1"/>
  <c r="BL112" i="9" s="1"/>
  <c r="BL113" i="9" s="1"/>
  <c r="BL114" i="9" s="1"/>
  <c r="BL115" i="9" s="1"/>
  <c r="BL116" i="9" s="1"/>
  <c r="BL117" i="9" s="1"/>
  <c r="BL118" i="9" s="1"/>
  <c r="BL119" i="9" s="1"/>
  <c r="BL120" i="9" s="1"/>
  <c r="BL121" i="9" s="1"/>
  <c r="BL122" i="9" s="1"/>
  <c r="BL123" i="9" s="1"/>
  <c r="BL124" i="9" s="1"/>
  <c r="BL125" i="9" s="1"/>
  <c r="BL126" i="9" s="1"/>
  <c r="BL127" i="9" s="1"/>
  <c r="BL128" i="9" s="1"/>
  <c r="BL129" i="9" s="1"/>
  <c r="BL130" i="9" s="1"/>
  <c r="BL131" i="9" s="1"/>
  <c r="BL132" i="9" s="1"/>
  <c r="BL133" i="9" s="1"/>
  <c r="BL134" i="9" s="1"/>
  <c r="BL135" i="9" s="1"/>
  <c r="BL136" i="9" s="1"/>
  <c r="BL137" i="9" s="1"/>
  <c r="BL138" i="9" s="1"/>
  <c r="BL139" i="9" s="1"/>
  <c r="BL140" i="9" s="1"/>
  <c r="BL141" i="9" s="1"/>
  <c r="BL142" i="9" s="1"/>
  <c r="BL143" i="9" s="1"/>
  <c r="BL144" i="9" s="1"/>
  <c r="BL145" i="9" s="1"/>
  <c r="BL146" i="9" s="1"/>
  <c r="BL147" i="9" s="1"/>
  <c r="BL148" i="9" s="1"/>
  <c r="BL149" i="9" s="1"/>
  <c r="BL150" i="9" s="1"/>
  <c r="BL151" i="9" s="1"/>
  <c r="BL152" i="9" s="1"/>
  <c r="BL153" i="9" s="1"/>
  <c r="BL154" i="9" s="1"/>
  <c r="BL155" i="9" s="1"/>
  <c r="BL156" i="9" s="1"/>
  <c r="BL157" i="9" s="1"/>
  <c r="BL158" i="9" s="1"/>
  <c r="BL159" i="9" s="1"/>
  <c r="BL160" i="9" s="1"/>
  <c r="BL161" i="9" s="1"/>
  <c r="BL162" i="9" s="1"/>
  <c r="BL163" i="9" s="1"/>
  <c r="BL164" i="9" s="1"/>
  <c r="BL165" i="9" s="1"/>
  <c r="BL166" i="9" s="1"/>
  <c r="BL167" i="9" s="1"/>
  <c r="BL168" i="9" s="1"/>
  <c r="BL169" i="9" s="1"/>
  <c r="BL170" i="9" s="1"/>
  <c r="BL171" i="9" s="1"/>
  <c r="BL172" i="9" s="1"/>
  <c r="BL173" i="9" s="1"/>
  <c r="BL174" i="9" s="1"/>
  <c r="BL175" i="9" s="1"/>
  <c r="BL176" i="9" s="1"/>
  <c r="BL177" i="9" s="1"/>
  <c r="BL178" i="9" s="1"/>
  <c r="BL179" i="9" s="1"/>
  <c r="BL180" i="9" s="1"/>
  <c r="BL181" i="9" s="1"/>
  <c r="BL182" i="9" s="1"/>
  <c r="BL183" i="9" s="1"/>
  <c r="BL184" i="9" s="1"/>
  <c r="BL185" i="9" s="1"/>
  <c r="BL186" i="9" s="1"/>
  <c r="BL187" i="9" s="1"/>
  <c r="BL188" i="9" s="1"/>
  <c r="BL189" i="9" s="1"/>
  <c r="BL190" i="9" s="1"/>
  <c r="BL191" i="9" s="1"/>
  <c r="BL192" i="9" s="1"/>
  <c r="BL193" i="9" s="1"/>
  <c r="BL194" i="9" s="1"/>
  <c r="BL195" i="9" s="1"/>
  <c r="BL196" i="9" s="1"/>
  <c r="BL197" i="9" s="1"/>
  <c r="BL198" i="9" s="1"/>
  <c r="BL199" i="9" s="1"/>
  <c r="BL200" i="9" s="1"/>
  <c r="BL201" i="9" s="1"/>
  <c r="BL202" i="9" s="1"/>
  <c r="BL203" i="9" s="1"/>
  <c r="BL204" i="9" s="1"/>
  <c r="BL205" i="9" s="1"/>
  <c r="BL206" i="9" s="1"/>
  <c r="BL207" i="9" s="1"/>
  <c r="BL208" i="9" s="1"/>
  <c r="BL209" i="9" s="1"/>
  <c r="BL210" i="9" s="1"/>
  <c r="BL211" i="9" s="1"/>
  <c r="BL212" i="9" s="1"/>
  <c r="BL213" i="9" s="1"/>
  <c r="BL214" i="9" s="1"/>
  <c r="BL215" i="9" s="1"/>
  <c r="BL216" i="9" s="1"/>
  <c r="BL217" i="9" s="1"/>
  <c r="BL218" i="9" s="1"/>
  <c r="BL219" i="9" s="1"/>
  <c r="BL220" i="9" s="1"/>
  <c r="BL221" i="9" s="1"/>
  <c r="BL222" i="9" s="1"/>
  <c r="BL223" i="9" s="1"/>
  <c r="BL224" i="9" s="1"/>
  <c r="BL225" i="9" s="1"/>
  <c r="BL226" i="9" s="1"/>
  <c r="BL227" i="9" s="1"/>
  <c r="BL228" i="9" s="1"/>
  <c r="BL229" i="9" s="1"/>
  <c r="BL230" i="9" s="1"/>
  <c r="BL231" i="9" s="1"/>
  <c r="BL232" i="9" s="1"/>
  <c r="BL233" i="9" s="1"/>
  <c r="BL234" i="9" s="1"/>
  <c r="BL235" i="9" s="1"/>
  <c r="BL236" i="9" s="1"/>
  <c r="BL237" i="9" s="1"/>
  <c r="BL238" i="9" s="1"/>
  <c r="BL239" i="9" s="1"/>
  <c r="BL240" i="9" s="1"/>
  <c r="BL241" i="9" s="1"/>
  <c r="BL242" i="9" s="1"/>
  <c r="BL243" i="9" s="1"/>
  <c r="BL244" i="9" s="1"/>
  <c r="BL245" i="9" s="1"/>
  <c r="BL246" i="9" s="1"/>
  <c r="BL247" i="9" s="1"/>
  <c r="BL248" i="9" s="1"/>
  <c r="BL249" i="9" s="1"/>
  <c r="BL250" i="9" s="1"/>
  <c r="BL251" i="9" s="1"/>
  <c r="BL252" i="9" s="1"/>
  <c r="BL253" i="9" s="1"/>
  <c r="BL254" i="9" s="1"/>
  <c r="BL255" i="9" s="1"/>
  <c r="BL256" i="9" s="1"/>
  <c r="BL257" i="9" s="1"/>
  <c r="BL258" i="9" s="1"/>
  <c r="BL259" i="9" s="1"/>
  <c r="BL260" i="9" s="1"/>
  <c r="BL261" i="9" s="1"/>
  <c r="BL262" i="9" s="1"/>
  <c r="BL263" i="9" s="1"/>
  <c r="BL264" i="9" s="1"/>
  <c r="BL265" i="9" s="1"/>
  <c r="BL266" i="9" s="1"/>
  <c r="BL267" i="9" s="1"/>
  <c r="BL268" i="9" s="1"/>
  <c r="BL269" i="9" s="1"/>
  <c r="BL270" i="9" s="1"/>
  <c r="BL271" i="9" s="1"/>
  <c r="BL272" i="9" s="1"/>
  <c r="BL273" i="9" s="1"/>
  <c r="BL274" i="9" s="1"/>
  <c r="BL275" i="9" s="1"/>
  <c r="BL276" i="9" s="1"/>
  <c r="BL277" i="9" s="1"/>
  <c r="BL278" i="9" s="1"/>
  <c r="BL279" i="9" s="1"/>
  <c r="BL280" i="9" s="1"/>
  <c r="BL281" i="9" s="1"/>
  <c r="BL282" i="9" s="1"/>
  <c r="BL283" i="9" s="1"/>
  <c r="BL284" i="9" s="1"/>
  <c r="BL285" i="9" s="1"/>
  <c r="BL286" i="9" s="1"/>
  <c r="BL287" i="9" s="1"/>
  <c r="BL288" i="9" s="1"/>
  <c r="BL289" i="9" s="1"/>
  <c r="BL290" i="9" s="1"/>
  <c r="BL291" i="9" s="1"/>
  <c r="BL292" i="9" s="1"/>
  <c r="BL293" i="9" s="1"/>
  <c r="BL294" i="9" s="1"/>
  <c r="BL295" i="9" s="1"/>
  <c r="BL296" i="9" s="1"/>
  <c r="BL297" i="9" s="1"/>
  <c r="BL298" i="9" s="1"/>
  <c r="BL299" i="9" s="1"/>
  <c r="BL300" i="9" s="1"/>
  <c r="BL301" i="9" s="1"/>
  <c r="BL302" i="9" s="1"/>
  <c r="BL303" i="9" s="1"/>
  <c r="BL304" i="9" s="1"/>
  <c r="BL305" i="9" s="1"/>
  <c r="BL306" i="9" s="1"/>
  <c r="BL307" i="9" s="1"/>
  <c r="BL308" i="9" s="1"/>
  <c r="BL309" i="9" s="1"/>
  <c r="BL310" i="9" s="1"/>
  <c r="BL311" i="9" s="1"/>
  <c r="BL312" i="9" s="1"/>
  <c r="BL313" i="9" s="1"/>
  <c r="BL314" i="9" s="1"/>
  <c r="BL315" i="9" s="1"/>
  <c r="BL316" i="9" s="1"/>
  <c r="BL317" i="9" s="1"/>
  <c r="BL318" i="9" s="1"/>
  <c r="BL319" i="9" s="1"/>
  <c r="BL320" i="9" s="1"/>
  <c r="BL321" i="9" s="1"/>
  <c r="BL322" i="9" s="1"/>
  <c r="BL323" i="9" s="1"/>
  <c r="BL324" i="9" s="1"/>
  <c r="BL325" i="9" s="1"/>
  <c r="BL326" i="9" s="1"/>
  <c r="BL327" i="9" s="1"/>
  <c r="BL328" i="9" s="1"/>
  <c r="BL329" i="9" s="1"/>
  <c r="BL330" i="9" s="1"/>
  <c r="BL331" i="9" s="1"/>
  <c r="BL332" i="9" s="1"/>
  <c r="BL333" i="9" s="1"/>
  <c r="BL334" i="9" s="1"/>
  <c r="BL335" i="9" s="1"/>
  <c r="BL336" i="9" s="1"/>
  <c r="BL337" i="9" s="1"/>
  <c r="BL338" i="9" s="1"/>
  <c r="BL339" i="9" s="1"/>
  <c r="BL340" i="9" s="1"/>
  <c r="BL341" i="9" s="1"/>
  <c r="BL342" i="9" s="1"/>
  <c r="BL343" i="9" s="1"/>
  <c r="BL344" i="9" s="1"/>
  <c r="BL345" i="9" s="1"/>
  <c r="BL346" i="9" s="1"/>
  <c r="BL347" i="9" s="1"/>
  <c r="BL348" i="9" s="1"/>
  <c r="BL349" i="9" s="1"/>
  <c r="BL350" i="9" s="1"/>
  <c r="BL351" i="9" s="1"/>
  <c r="BL352" i="9" s="1"/>
  <c r="BL353" i="9" s="1"/>
  <c r="BL354" i="9" s="1"/>
  <c r="BL355" i="9" s="1"/>
  <c r="BL356" i="9" s="1"/>
  <c r="BL357" i="9" s="1"/>
  <c r="BL358" i="9" s="1"/>
  <c r="BL359" i="9" s="1"/>
  <c r="BL360" i="9" s="1"/>
  <c r="BL361" i="9" s="1"/>
  <c r="BL362" i="9" s="1"/>
  <c r="BL363" i="9" s="1"/>
  <c r="BL364" i="9" s="1"/>
  <c r="BL365" i="9" s="1"/>
  <c r="BL366" i="9" s="1"/>
  <c r="BL367" i="9" s="1"/>
  <c r="BL368" i="9" s="1"/>
  <c r="AU9" i="9"/>
  <c r="AU10" i="9" s="1"/>
  <c r="AU11" i="9" s="1"/>
  <c r="AU12" i="9" s="1"/>
  <c r="AU13" i="9" s="1"/>
  <c r="AU14" i="9" s="1"/>
  <c r="AU15" i="9" s="1"/>
  <c r="AU16" i="9" s="1"/>
  <c r="AU17" i="9" s="1"/>
  <c r="AU18" i="9" s="1"/>
  <c r="AU19" i="9" s="1"/>
  <c r="AU20" i="9" s="1"/>
  <c r="AU21" i="9" s="1"/>
  <c r="AU22" i="9" s="1"/>
  <c r="AU23" i="9" s="1"/>
  <c r="AU24" i="9" s="1"/>
  <c r="AU25" i="9" s="1"/>
  <c r="AU26" i="9" s="1"/>
  <c r="AU27" i="9" s="1"/>
  <c r="AU28" i="9" s="1"/>
  <c r="AU29" i="9" s="1"/>
  <c r="AU30" i="9" s="1"/>
  <c r="AU31" i="9" s="1"/>
  <c r="AU32" i="9" s="1"/>
  <c r="AU33" i="9" s="1"/>
  <c r="AU34" i="9" s="1"/>
  <c r="AU35" i="9" s="1"/>
  <c r="AU36" i="9" s="1"/>
  <c r="AU37" i="9" s="1"/>
  <c r="AU38" i="9" s="1"/>
  <c r="AU39" i="9" s="1"/>
  <c r="AU40" i="9" s="1"/>
  <c r="AU41" i="9" s="1"/>
  <c r="AU42" i="9" s="1"/>
  <c r="AU43" i="9" s="1"/>
  <c r="AU44" i="9" s="1"/>
  <c r="AU45" i="9" s="1"/>
  <c r="AU46" i="9" s="1"/>
  <c r="AU47" i="9" s="1"/>
  <c r="AU48" i="9" s="1"/>
  <c r="AU49" i="9" s="1"/>
  <c r="AU50" i="9" s="1"/>
  <c r="AU51" i="9" s="1"/>
  <c r="AU52" i="9" s="1"/>
  <c r="AU53" i="9" s="1"/>
  <c r="AU54" i="9" s="1"/>
  <c r="AU55" i="9" s="1"/>
  <c r="AU56" i="9" s="1"/>
  <c r="AU57" i="9" s="1"/>
  <c r="AU58" i="9" s="1"/>
  <c r="AU59" i="9" s="1"/>
  <c r="AU60" i="9" s="1"/>
  <c r="AU61" i="9" s="1"/>
  <c r="AU62" i="9" s="1"/>
  <c r="AU63" i="9" s="1"/>
  <c r="AU64" i="9" s="1"/>
  <c r="AU65" i="9" s="1"/>
  <c r="AU66" i="9" s="1"/>
  <c r="AU67" i="9" s="1"/>
  <c r="AU68" i="9" s="1"/>
  <c r="AU69" i="9" s="1"/>
  <c r="AU70" i="9" s="1"/>
  <c r="AU71" i="9" s="1"/>
  <c r="AU72" i="9" s="1"/>
  <c r="AU73" i="9" s="1"/>
  <c r="AU74" i="9" s="1"/>
  <c r="AU75" i="9" s="1"/>
  <c r="AU76" i="9" s="1"/>
  <c r="AU77" i="9" s="1"/>
  <c r="AU78" i="9" s="1"/>
  <c r="AU79" i="9" s="1"/>
  <c r="AU80" i="9" s="1"/>
  <c r="AU81" i="9" s="1"/>
  <c r="AU82" i="9" s="1"/>
  <c r="AU83" i="9" s="1"/>
  <c r="AU84" i="9" s="1"/>
  <c r="AU85" i="9" s="1"/>
  <c r="AU86" i="9" s="1"/>
  <c r="AU87" i="9" s="1"/>
  <c r="AU88" i="9" s="1"/>
  <c r="AU89" i="9" s="1"/>
  <c r="AU90" i="9" s="1"/>
  <c r="AU91" i="9" s="1"/>
  <c r="AU92" i="9" s="1"/>
  <c r="AU93" i="9" s="1"/>
  <c r="AU94" i="9" s="1"/>
  <c r="AU95" i="9" s="1"/>
  <c r="AU96" i="9" s="1"/>
  <c r="AU97" i="9" s="1"/>
  <c r="AU98" i="9" s="1"/>
  <c r="AU99" i="9" s="1"/>
  <c r="AU100" i="9" s="1"/>
  <c r="AU101" i="9" s="1"/>
  <c r="AU102" i="9" s="1"/>
  <c r="AU103" i="9" s="1"/>
  <c r="AU104" i="9" s="1"/>
  <c r="AU105" i="9" s="1"/>
  <c r="AU106" i="9" s="1"/>
  <c r="AU107" i="9" s="1"/>
  <c r="AU108" i="9" s="1"/>
  <c r="AU109" i="9" s="1"/>
  <c r="AU110" i="9" s="1"/>
  <c r="AU111" i="9" s="1"/>
  <c r="AU112" i="9" s="1"/>
  <c r="AU113" i="9" s="1"/>
  <c r="AU114" i="9" s="1"/>
  <c r="AU115" i="9" s="1"/>
  <c r="AU116" i="9" s="1"/>
  <c r="AU117" i="9" s="1"/>
  <c r="AU118" i="9" s="1"/>
  <c r="AU119" i="9" s="1"/>
  <c r="AU120" i="9" s="1"/>
  <c r="AU121" i="9" s="1"/>
  <c r="AU122" i="9" s="1"/>
  <c r="AU123" i="9" s="1"/>
  <c r="AU124" i="9" s="1"/>
  <c r="AU125" i="9" s="1"/>
  <c r="AU126" i="9" s="1"/>
  <c r="AU127" i="9" s="1"/>
  <c r="AU128" i="9" s="1"/>
  <c r="AU129" i="9" s="1"/>
  <c r="AU130" i="9" s="1"/>
  <c r="AU131" i="9" s="1"/>
  <c r="AU132" i="9" s="1"/>
  <c r="AU133" i="9" s="1"/>
  <c r="AU134" i="9" s="1"/>
  <c r="AU135" i="9" s="1"/>
  <c r="AU136" i="9" s="1"/>
  <c r="AU137" i="9" s="1"/>
  <c r="AU138" i="9" s="1"/>
  <c r="AU139" i="9" s="1"/>
  <c r="AU140" i="9" s="1"/>
  <c r="AU141" i="9" s="1"/>
  <c r="AU142" i="9" s="1"/>
  <c r="AU143" i="9" s="1"/>
  <c r="AU144" i="9" s="1"/>
  <c r="AU145" i="9" s="1"/>
  <c r="AU146" i="9" s="1"/>
  <c r="AU147" i="9" s="1"/>
  <c r="AU148" i="9" s="1"/>
  <c r="AU149" i="9" s="1"/>
  <c r="AU150" i="9" s="1"/>
  <c r="AU151" i="9" s="1"/>
  <c r="AU152" i="9" s="1"/>
  <c r="AU153" i="9" s="1"/>
  <c r="AU154" i="9" s="1"/>
  <c r="AU155" i="9" s="1"/>
  <c r="AU156" i="9" s="1"/>
  <c r="AU157" i="9" s="1"/>
  <c r="AU158" i="9" s="1"/>
  <c r="AU159" i="9" s="1"/>
  <c r="AU160" i="9" s="1"/>
  <c r="AU161" i="9" s="1"/>
  <c r="AU162" i="9" s="1"/>
  <c r="AU163" i="9" s="1"/>
  <c r="AU164" i="9" s="1"/>
  <c r="AU165" i="9" s="1"/>
  <c r="AU166" i="9" s="1"/>
  <c r="AU167" i="9" s="1"/>
  <c r="AU168" i="9" s="1"/>
  <c r="AU169" i="9" s="1"/>
  <c r="AU170" i="9" s="1"/>
  <c r="AU171" i="9" s="1"/>
  <c r="AU172" i="9" s="1"/>
  <c r="AU173" i="9" s="1"/>
  <c r="AU174" i="9" s="1"/>
  <c r="AU175" i="9" s="1"/>
  <c r="AU176" i="9" s="1"/>
  <c r="AU177" i="9" s="1"/>
  <c r="AU178" i="9" s="1"/>
  <c r="AU179" i="9" s="1"/>
  <c r="AU180" i="9" s="1"/>
  <c r="AU181" i="9" s="1"/>
  <c r="AU182" i="9" s="1"/>
  <c r="AU183" i="9" s="1"/>
  <c r="AU184" i="9" s="1"/>
  <c r="AU185" i="9" s="1"/>
  <c r="AU186" i="9" s="1"/>
  <c r="AU187" i="9" s="1"/>
  <c r="AU188" i="9" s="1"/>
  <c r="AU189" i="9" s="1"/>
  <c r="AU190" i="9" s="1"/>
  <c r="AU191" i="9" s="1"/>
  <c r="AU192" i="9" s="1"/>
  <c r="AU193" i="9" s="1"/>
  <c r="AU194" i="9" s="1"/>
  <c r="AU195" i="9" s="1"/>
  <c r="AU196" i="9" s="1"/>
  <c r="AU197" i="9" s="1"/>
  <c r="AU198" i="9" s="1"/>
  <c r="AU199" i="9" s="1"/>
  <c r="AU200" i="9" s="1"/>
  <c r="AU201" i="9" s="1"/>
  <c r="AU202" i="9" s="1"/>
  <c r="AU203" i="9" s="1"/>
  <c r="AU204" i="9" s="1"/>
  <c r="AU205" i="9" s="1"/>
  <c r="AU206" i="9" s="1"/>
  <c r="AU207" i="9" s="1"/>
  <c r="AU208" i="9" s="1"/>
  <c r="AU209" i="9" s="1"/>
  <c r="AU210" i="9" s="1"/>
  <c r="AU211" i="9" s="1"/>
  <c r="AU212" i="9" s="1"/>
  <c r="AU213" i="9" s="1"/>
  <c r="AU214" i="9" s="1"/>
  <c r="AU215" i="9" s="1"/>
  <c r="AU216" i="9" s="1"/>
  <c r="AU217" i="9" s="1"/>
  <c r="AU218" i="9" s="1"/>
  <c r="AU219" i="9" s="1"/>
  <c r="AU220" i="9" s="1"/>
  <c r="AU221" i="9" s="1"/>
  <c r="AU222" i="9" s="1"/>
  <c r="AU223" i="9" s="1"/>
  <c r="AU224" i="9" s="1"/>
  <c r="AU225" i="9" s="1"/>
  <c r="AU226" i="9" s="1"/>
  <c r="AU227" i="9" s="1"/>
  <c r="AU228" i="9" s="1"/>
  <c r="AU229" i="9" s="1"/>
  <c r="AU230" i="9" s="1"/>
  <c r="AU231" i="9" s="1"/>
  <c r="AU232" i="9" s="1"/>
  <c r="AU233" i="9" s="1"/>
  <c r="AU234" i="9" s="1"/>
  <c r="AU235" i="9" s="1"/>
  <c r="AU236" i="9" s="1"/>
  <c r="AU237" i="9" s="1"/>
  <c r="AU238" i="9" s="1"/>
  <c r="AU239" i="9" s="1"/>
  <c r="AU240" i="9" s="1"/>
  <c r="AU241" i="9" s="1"/>
  <c r="AU242" i="9" s="1"/>
  <c r="AU243" i="9" s="1"/>
  <c r="AU244" i="9" s="1"/>
  <c r="AU245" i="9" s="1"/>
  <c r="AU246" i="9" s="1"/>
  <c r="AU247" i="9" s="1"/>
  <c r="AU248" i="9" s="1"/>
  <c r="AU249" i="9" s="1"/>
  <c r="AU250" i="9" s="1"/>
  <c r="AU251" i="9" s="1"/>
  <c r="AU252" i="9" s="1"/>
  <c r="AU253" i="9" s="1"/>
  <c r="AU254" i="9" s="1"/>
  <c r="AU255" i="9" s="1"/>
  <c r="AU256" i="9" s="1"/>
  <c r="AU257" i="9" s="1"/>
  <c r="AU258" i="9" s="1"/>
  <c r="AU259" i="9" s="1"/>
  <c r="AU260" i="9" s="1"/>
  <c r="AU261" i="9" s="1"/>
  <c r="AU262" i="9" s="1"/>
  <c r="AU263" i="9" s="1"/>
  <c r="AU264" i="9" s="1"/>
  <c r="AU265" i="9" s="1"/>
  <c r="AU266" i="9" s="1"/>
  <c r="AU267" i="9" s="1"/>
  <c r="AU268" i="9" s="1"/>
  <c r="AU269" i="9" s="1"/>
  <c r="AU270" i="9" s="1"/>
  <c r="AU271" i="9" s="1"/>
  <c r="AU272" i="9" s="1"/>
  <c r="AU273" i="9" s="1"/>
  <c r="AU274" i="9" s="1"/>
  <c r="AU275" i="9" s="1"/>
  <c r="AU276" i="9" s="1"/>
  <c r="AU277" i="9" s="1"/>
  <c r="AU278" i="9" s="1"/>
  <c r="AU279" i="9" s="1"/>
  <c r="AU280" i="9" s="1"/>
  <c r="AU281" i="9" s="1"/>
  <c r="AU282" i="9" s="1"/>
  <c r="AU283" i="9" s="1"/>
  <c r="AU284" i="9" s="1"/>
  <c r="AU285" i="9" s="1"/>
  <c r="AU286" i="9" s="1"/>
  <c r="AU287" i="9" s="1"/>
  <c r="AU288" i="9" s="1"/>
  <c r="AU289" i="9" s="1"/>
  <c r="AU290" i="9" s="1"/>
  <c r="AU291" i="9" s="1"/>
  <c r="AU292" i="9" s="1"/>
  <c r="AU293" i="9" s="1"/>
  <c r="AU294" i="9" s="1"/>
  <c r="AU295" i="9" s="1"/>
  <c r="AU296" i="9" s="1"/>
  <c r="AU297" i="9" s="1"/>
  <c r="AU298" i="9" s="1"/>
  <c r="AU299" i="9" s="1"/>
  <c r="AU300" i="9" s="1"/>
  <c r="AU301" i="9" s="1"/>
  <c r="AU302" i="9" s="1"/>
  <c r="AU303" i="9" s="1"/>
  <c r="AU304" i="9" s="1"/>
  <c r="AU305" i="9" s="1"/>
  <c r="AU306" i="9" s="1"/>
  <c r="AU307" i="9" s="1"/>
  <c r="AU308" i="9" s="1"/>
  <c r="AU309" i="9" s="1"/>
  <c r="AU310" i="9" s="1"/>
  <c r="AU311" i="9" s="1"/>
  <c r="AU312" i="9" s="1"/>
  <c r="AU313" i="9" s="1"/>
  <c r="AU314" i="9" s="1"/>
  <c r="AU315" i="9" s="1"/>
  <c r="AU316" i="9" s="1"/>
  <c r="AU317" i="9" s="1"/>
  <c r="AU318" i="9" s="1"/>
  <c r="AU319" i="9" s="1"/>
  <c r="AU320" i="9" s="1"/>
  <c r="AU321" i="9" s="1"/>
  <c r="AU322" i="9" s="1"/>
  <c r="AU323" i="9" s="1"/>
  <c r="AU324" i="9" s="1"/>
  <c r="AU325" i="9" s="1"/>
  <c r="AU326" i="9" s="1"/>
  <c r="AU327" i="9" s="1"/>
  <c r="AU328" i="9" s="1"/>
  <c r="AU329" i="9" s="1"/>
  <c r="AU330" i="9" s="1"/>
  <c r="AU331" i="9" s="1"/>
  <c r="AU332" i="9" s="1"/>
  <c r="AU333" i="9" s="1"/>
  <c r="AU334" i="9" s="1"/>
  <c r="AU335" i="9" s="1"/>
  <c r="AU336" i="9" s="1"/>
  <c r="AU337" i="9" s="1"/>
  <c r="AU338" i="9" s="1"/>
  <c r="AU339" i="9" s="1"/>
  <c r="AU340" i="9" s="1"/>
  <c r="AU341" i="9" s="1"/>
  <c r="AU342" i="9" s="1"/>
  <c r="AU343" i="9" s="1"/>
  <c r="AU344" i="9" s="1"/>
  <c r="AU345" i="9" s="1"/>
  <c r="AU346" i="9" s="1"/>
  <c r="AU347" i="9" s="1"/>
  <c r="AU348" i="9" s="1"/>
  <c r="AU349" i="9" s="1"/>
  <c r="AU350" i="9" s="1"/>
  <c r="AU351" i="9" s="1"/>
  <c r="AU352" i="9" s="1"/>
  <c r="AU353" i="9" s="1"/>
  <c r="AU354" i="9" s="1"/>
  <c r="AU355" i="9" s="1"/>
  <c r="AU356" i="9" s="1"/>
  <c r="AU357" i="9" s="1"/>
  <c r="AU358" i="9" s="1"/>
  <c r="AU359" i="9" s="1"/>
  <c r="AU360" i="9" s="1"/>
  <c r="AU361" i="9" s="1"/>
  <c r="AU362" i="9" s="1"/>
  <c r="AU363" i="9" s="1"/>
  <c r="AU364" i="9" s="1"/>
  <c r="AU365" i="9" s="1"/>
  <c r="AU366" i="9" s="1"/>
  <c r="AU367" i="9" s="1"/>
  <c r="AU368" i="9" s="1"/>
  <c r="BO9" i="9"/>
  <c r="BO10" i="9" s="1"/>
  <c r="BO11" i="9" s="1"/>
  <c r="BO12" i="9" s="1"/>
  <c r="BO13" i="9" s="1"/>
  <c r="BO14" i="9" s="1"/>
  <c r="BO15" i="9" s="1"/>
  <c r="BO16" i="9" s="1"/>
  <c r="BO17" i="9" s="1"/>
  <c r="BO18" i="9" s="1"/>
  <c r="BO19" i="9" s="1"/>
  <c r="BO20" i="9" s="1"/>
  <c r="BO21" i="9" s="1"/>
  <c r="BO22" i="9" s="1"/>
  <c r="BO23" i="9" s="1"/>
  <c r="BO24" i="9" s="1"/>
  <c r="BO25" i="9" s="1"/>
  <c r="BO26" i="9" s="1"/>
  <c r="BO27" i="9" s="1"/>
  <c r="BO28" i="9" s="1"/>
  <c r="BO29" i="9" s="1"/>
  <c r="BO30" i="9" s="1"/>
  <c r="BO31" i="9" s="1"/>
  <c r="BO32" i="9" s="1"/>
  <c r="BO33" i="9" s="1"/>
  <c r="BO34" i="9" s="1"/>
  <c r="BO35" i="9" s="1"/>
  <c r="BO36" i="9" s="1"/>
  <c r="BO37" i="9" s="1"/>
  <c r="BO38" i="9" s="1"/>
  <c r="BO39" i="9" s="1"/>
  <c r="BO40" i="9" s="1"/>
  <c r="BO41" i="9" s="1"/>
  <c r="BO42" i="9" s="1"/>
  <c r="BO43" i="9" s="1"/>
  <c r="BO44" i="9" s="1"/>
  <c r="BO45" i="9" s="1"/>
  <c r="BO46" i="9" s="1"/>
  <c r="BO47" i="9" s="1"/>
  <c r="BO48" i="9" s="1"/>
  <c r="BO49" i="9" s="1"/>
  <c r="BO50" i="9" s="1"/>
  <c r="BO51" i="9" s="1"/>
  <c r="BO52" i="9" s="1"/>
  <c r="BO53" i="9" s="1"/>
  <c r="BO54" i="9" s="1"/>
  <c r="BO55" i="9" s="1"/>
  <c r="BO56" i="9" s="1"/>
  <c r="BO57" i="9" s="1"/>
  <c r="BO58" i="9" s="1"/>
  <c r="BO59" i="9" s="1"/>
  <c r="BO60" i="9" s="1"/>
  <c r="BO61" i="9" s="1"/>
  <c r="BO62" i="9" s="1"/>
  <c r="BO63" i="9" s="1"/>
  <c r="BO64" i="9" s="1"/>
  <c r="BO65" i="9" s="1"/>
  <c r="BO66" i="9" s="1"/>
  <c r="BO67" i="9" s="1"/>
  <c r="BO68" i="9" s="1"/>
  <c r="BO69" i="9" s="1"/>
  <c r="BO70" i="9" s="1"/>
  <c r="BO71" i="9" s="1"/>
  <c r="BO72" i="9" s="1"/>
  <c r="BO73" i="9" s="1"/>
  <c r="BO74" i="9" s="1"/>
  <c r="BO75" i="9" s="1"/>
  <c r="BO76" i="9" s="1"/>
  <c r="BO77" i="9" s="1"/>
  <c r="BO78" i="9" s="1"/>
  <c r="BO79" i="9" s="1"/>
  <c r="BO80" i="9" s="1"/>
  <c r="BO81" i="9" s="1"/>
  <c r="BO82" i="9" s="1"/>
  <c r="BO83" i="9" s="1"/>
  <c r="BO84" i="9" s="1"/>
  <c r="BO85" i="9" s="1"/>
  <c r="BO86" i="9" s="1"/>
  <c r="BO87" i="9" s="1"/>
  <c r="BO88" i="9" s="1"/>
  <c r="BO89" i="9" s="1"/>
  <c r="BO90" i="9" s="1"/>
  <c r="BO91" i="9" s="1"/>
  <c r="BO92" i="9" s="1"/>
  <c r="BO93" i="9" s="1"/>
  <c r="BO94" i="9" s="1"/>
  <c r="BO95" i="9" s="1"/>
  <c r="BO96" i="9" s="1"/>
  <c r="BO97" i="9" s="1"/>
  <c r="BO98" i="9" s="1"/>
  <c r="BO99" i="9" s="1"/>
  <c r="BO100" i="9" s="1"/>
  <c r="BO101" i="9" s="1"/>
  <c r="BO102" i="9" s="1"/>
  <c r="BO103" i="9" s="1"/>
  <c r="BO104" i="9" s="1"/>
  <c r="BO105" i="9" s="1"/>
  <c r="BO106" i="9" s="1"/>
  <c r="BO107" i="9" s="1"/>
  <c r="BO108" i="9" s="1"/>
  <c r="BO109" i="9" s="1"/>
  <c r="BO110" i="9" s="1"/>
  <c r="BO111" i="9" s="1"/>
  <c r="BO112" i="9" s="1"/>
  <c r="BO113" i="9" s="1"/>
  <c r="BO114" i="9" s="1"/>
  <c r="BO115" i="9" s="1"/>
  <c r="BO116" i="9" s="1"/>
  <c r="BO117" i="9" s="1"/>
  <c r="BO118" i="9" s="1"/>
  <c r="BO119" i="9" s="1"/>
  <c r="BO120" i="9" s="1"/>
  <c r="BO121" i="9" s="1"/>
  <c r="BO122" i="9" s="1"/>
  <c r="BO123" i="9" s="1"/>
  <c r="BO124" i="9" s="1"/>
  <c r="BO125" i="9" s="1"/>
  <c r="BO126" i="9" s="1"/>
  <c r="BO127" i="9" s="1"/>
  <c r="BO128" i="9" s="1"/>
  <c r="BO129" i="9" s="1"/>
  <c r="BO130" i="9" s="1"/>
  <c r="BO131" i="9" s="1"/>
  <c r="BO132" i="9" s="1"/>
  <c r="BO133" i="9" s="1"/>
  <c r="BO134" i="9" s="1"/>
  <c r="BO135" i="9" s="1"/>
  <c r="BO136" i="9" s="1"/>
  <c r="BO137" i="9" s="1"/>
  <c r="BO138" i="9" s="1"/>
  <c r="BO139" i="9" s="1"/>
  <c r="BO140" i="9" s="1"/>
  <c r="BO141" i="9" s="1"/>
  <c r="BO142" i="9" s="1"/>
  <c r="BO143" i="9" s="1"/>
  <c r="BO144" i="9" s="1"/>
  <c r="BO145" i="9" s="1"/>
  <c r="BO146" i="9" s="1"/>
  <c r="BO147" i="9" s="1"/>
  <c r="BO148" i="9" s="1"/>
  <c r="BO149" i="9" s="1"/>
  <c r="BO150" i="9" s="1"/>
  <c r="BO151" i="9" s="1"/>
  <c r="BO152" i="9" s="1"/>
  <c r="BO153" i="9" s="1"/>
  <c r="BO154" i="9" s="1"/>
  <c r="BO155" i="9" s="1"/>
  <c r="BO156" i="9" s="1"/>
  <c r="BO157" i="9" s="1"/>
  <c r="BO158" i="9" s="1"/>
  <c r="BO159" i="9" s="1"/>
  <c r="BO160" i="9" s="1"/>
  <c r="BO161" i="9" s="1"/>
  <c r="BO162" i="9" s="1"/>
  <c r="BO163" i="9" s="1"/>
  <c r="BO164" i="9" s="1"/>
  <c r="BO165" i="9" s="1"/>
  <c r="BO166" i="9" s="1"/>
  <c r="BO167" i="9" s="1"/>
  <c r="BO168" i="9" s="1"/>
  <c r="BO169" i="9" s="1"/>
  <c r="BO170" i="9" s="1"/>
  <c r="BO171" i="9" s="1"/>
  <c r="BO172" i="9" s="1"/>
  <c r="BO173" i="9" s="1"/>
  <c r="BO174" i="9" s="1"/>
  <c r="BO175" i="9" s="1"/>
  <c r="BO176" i="9" s="1"/>
  <c r="BO177" i="9" s="1"/>
  <c r="BO178" i="9" s="1"/>
  <c r="BO179" i="9" s="1"/>
  <c r="BO180" i="9" s="1"/>
  <c r="BO181" i="9" s="1"/>
  <c r="BO182" i="9" s="1"/>
  <c r="BO183" i="9" s="1"/>
  <c r="BO184" i="9" s="1"/>
  <c r="BO185" i="9" s="1"/>
  <c r="BO186" i="9" s="1"/>
  <c r="BO187" i="9" s="1"/>
  <c r="BO188" i="9" s="1"/>
  <c r="BO189" i="9" s="1"/>
  <c r="BO190" i="9" s="1"/>
  <c r="BO191" i="9" s="1"/>
  <c r="BO192" i="9" s="1"/>
  <c r="BO193" i="9" s="1"/>
  <c r="BO194" i="9" s="1"/>
  <c r="BO195" i="9" s="1"/>
  <c r="BO196" i="9" s="1"/>
  <c r="BO197" i="9" s="1"/>
  <c r="BO198" i="9" s="1"/>
  <c r="BO199" i="9" s="1"/>
  <c r="BO200" i="9" s="1"/>
  <c r="BO201" i="9" s="1"/>
  <c r="BO202" i="9" s="1"/>
  <c r="BO203" i="9" s="1"/>
  <c r="BO204" i="9" s="1"/>
  <c r="BO205" i="9" s="1"/>
  <c r="BO206" i="9" s="1"/>
  <c r="BO207" i="9" s="1"/>
  <c r="BO208" i="9" s="1"/>
  <c r="BO209" i="9" s="1"/>
  <c r="BO210" i="9" s="1"/>
  <c r="BO211" i="9" s="1"/>
  <c r="BO212" i="9" s="1"/>
  <c r="BO213" i="9" s="1"/>
  <c r="BO214" i="9" s="1"/>
  <c r="BO215" i="9" s="1"/>
  <c r="BO216" i="9" s="1"/>
  <c r="BO217" i="9" s="1"/>
  <c r="BO218" i="9" s="1"/>
  <c r="BO219" i="9" s="1"/>
  <c r="BO220" i="9" s="1"/>
  <c r="BO221" i="9" s="1"/>
  <c r="BO222" i="9" s="1"/>
  <c r="BO223" i="9" s="1"/>
  <c r="BO224" i="9" s="1"/>
  <c r="BO225" i="9" s="1"/>
  <c r="BO226" i="9" s="1"/>
  <c r="BO227" i="9" s="1"/>
  <c r="BO228" i="9" s="1"/>
  <c r="BO229" i="9" s="1"/>
  <c r="BO230" i="9" s="1"/>
  <c r="BO231" i="9" s="1"/>
  <c r="BO232" i="9" s="1"/>
  <c r="BO233" i="9" s="1"/>
  <c r="BO234" i="9" s="1"/>
  <c r="BO235" i="9" s="1"/>
  <c r="BO236" i="9" s="1"/>
  <c r="BO237" i="9" s="1"/>
  <c r="BO238" i="9" s="1"/>
  <c r="BO239" i="9" s="1"/>
  <c r="BO240" i="9" s="1"/>
  <c r="BO241" i="9" s="1"/>
  <c r="BO242" i="9" s="1"/>
  <c r="BO243" i="9" s="1"/>
  <c r="BO244" i="9" s="1"/>
  <c r="BO245" i="9" s="1"/>
  <c r="BO246" i="9" s="1"/>
  <c r="BO247" i="9" s="1"/>
  <c r="BO248" i="9" s="1"/>
  <c r="BO249" i="9" s="1"/>
  <c r="BO250" i="9" s="1"/>
  <c r="BO251" i="9" s="1"/>
  <c r="BO252" i="9" s="1"/>
  <c r="BO253" i="9" s="1"/>
  <c r="BO254" i="9" s="1"/>
  <c r="BO255" i="9" s="1"/>
  <c r="BO256" i="9" s="1"/>
  <c r="BO257" i="9" s="1"/>
  <c r="BO258" i="9" s="1"/>
  <c r="BO259" i="9" s="1"/>
  <c r="BO260" i="9" s="1"/>
  <c r="BO261" i="9" s="1"/>
  <c r="BO262" i="9" s="1"/>
  <c r="BO263" i="9" s="1"/>
  <c r="BO264" i="9" s="1"/>
  <c r="BO265" i="9" s="1"/>
  <c r="BO266" i="9" s="1"/>
  <c r="BO267" i="9" s="1"/>
  <c r="BO268" i="9" s="1"/>
  <c r="BO269" i="9" s="1"/>
  <c r="BO270" i="9" s="1"/>
  <c r="BO271" i="9" s="1"/>
  <c r="BO272" i="9" s="1"/>
  <c r="BO273" i="9" s="1"/>
  <c r="BO274" i="9" s="1"/>
  <c r="BO275" i="9" s="1"/>
  <c r="BO276" i="9" s="1"/>
  <c r="BO277" i="9" s="1"/>
  <c r="BO278" i="9" s="1"/>
  <c r="BO279" i="9" s="1"/>
  <c r="BO280" i="9" s="1"/>
  <c r="BO281" i="9" s="1"/>
  <c r="BO282" i="9" s="1"/>
  <c r="BO283" i="9" s="1"/>
  <c r="BO284" i="9" s="1"/>
  <c r="BO285" i="9" s="1"/>
  <c r="BO286" i="9" s="1"/>
  <c r="BO287" i="9" s="1"/>
  <c r="BO288" i="9" s="1"/>
  <c r="BO289" i="9" s="1"/>
  <c r="BO290" i="9" s="1"/>
  <c r="BO291" i="9" s="1"/>
  <c r="BO292" i="9" s="1"/>
  <c r="BO293" i="9" s="1"/>
  <c r="BO294" i="9" s="1"/>
  <c r="BO295" i="9" s="1"/>
  <c r="BO296" i="9" s="1"/>
  <c r="BO297" i="9" s="1"/>
  <c r="BO298" i="9" s="1"/>
  <c r="BO299" i="9" s="1"/>
  <c r="BO300" i="9" s="1"/>
  <c r="BO301" i="9" s="1"/>
  <c r="BO302" i="9" s="1"/>
  <c r="BO303" i="9" s="1"/>
  <c r="BO304" i="9" s="1"/>
  <c r="BO305" i="9" s="1"/>
  <c r="BO306" i="9" s="1"/>
  <c r="BO307" i="9" s="1"/>
  <c r="BO308" i="9" s="1"/>
  <c r="BO309" i="9" s="1"/>
  <c r="BO310" i="9" s="1"/>
  <c r="BO311" i="9" s="1"/>
  <c r="BO312" i="9" s="1"/>
  <c r="BO313" i="9" s="1"/>
  <c r="BO314" i="9" s="1"/>
  <c r="BO315" i="9" s="1"/>
  <c r="BO316" i="9" s="1"/>
  <c r="BO317" i="9" s="1"/>
  <c r="BO318" i="9" s="1"/>
  <c r="BO319" i="9" s="1"/>
  <c r="BO320" i="9" s="1"/>
  <c r="BO321" i="9" s="1"/>
  <c r="BO322" i="9" s="1"/>
  <c r="BO323" i="9" s="1"/>
  <c r="BO324" i="9" s="1"/>
  <c r="BO325" i="9" s="1"/>
  <c r="BO326" i="9" s="1"/>
  <c r="BO327" i="9" s="1"/>
  <c r="BO328" i="9" s="1"/>
  <c r="BO329" i="9" s="1"/>
  <c r="BO330" i="9" s="1"/>
  <c r="BO331" i="9" s="1"/>
  <c r="BO332" i="9" s="1"/>
  <c r="BO333" i="9" s="1"/>
  <c r="BO334" i="9" s="1"/>
  <c r="BO335" i="9" s="1"/>
  <c r="BO336" i="9" s="1"/>
  <c r="BO337" i="9" s="1"/>
  <c r="BO338" i="9" s="1"/>
  <c r="BO339" i="9" s="1"/>
  <c r="BO340" i="9" s="1"/>
  <c r="BO341" i="9" s="1"/>
  <c r="BO342" i="9" s="1"/>
  <c r="BO343" i="9" s="1"/>
  <c r="BO344" i="9" s="1"/>
  <c r="BO345" i="9" s="1"/>
  <c r="BO346" i="9" s="1"/>
  <c r="BO347" i="9" s="1"/>
  <c r="BO348" i="9" s="1"/>
  <c r="BO349" i="9" s="1"/>
  <c r="BO350" i="9" s="1"/>
  <c r="BO351" i="9" s="1"/>
  <c r="BO352" i="9" s="1"/>
  <c r="BO353" i="9" s="1"/>
  <c r="BO354" i="9" s="1"/>
  <c r="BO355" i="9" s="1"/>
  <c r="BO356" i="9" s="1"/>
  <c r="BO357" i="9" s="1"/>
  <c r="BO358" i="9" s="1"/>
  <c r="BO359" i="9" s="1"/>
  <c r="BO360" i="9" s="1"/>
  <c r="BO361" i="9" s="1"/>
  <c r="BO362" i="9" s="1"/>
  <c r="BO363" i="9" s="1"/>
  <c r="BO364" i="9" s="1"/>
  <c r="BO365" i="9" s="1"/>
  <c r="BO366" i="9" s="1"/>
  <c r="BO367" i="9" s="1"/>
  <c r="BO368" i="9" s="1"/>
  <c r="BO369" i="9" s="1"/>
  <c r="BO370" i="9" s="1"/>
  <c r="BO371" i="9" s="1"/>
  <c r="BO372" i="9" s="1"/>
  <c r="BO373" i="9" s="1"/>
  <c r="BO374" i="9" s="1"/>
  <c r="BO375" i="9" s="1"/>
  <c r="BR9" i="9"/>
  <c r="BR10" i="9" s="1"/>
  <c r="BR11" i="9" s="1"/>
  <c r="BR12" i="9" s="1"/>
  <c r="BR13" i="9" s="1"/>
  <c r="BR14" i="9" s="1"/>
  <c r="BR15" i="9" s="1"/>
  <c r="BR16" i="9" s="1"/>
  <c r="BR17" i="9" s="1"/>
  <c r="BR18" i="9" s="1"/>
  <c r="BR19" i="9" s="1"/>
  <c r="BR20" i="9" s="1"/>
  <c r="BR21" i="9" s="1"/>
  <c r="BR22" i="9" s="1"/>
  <c r="BR23" i="9" s="1"/>
  <c r="BR24" i="9" s="1"/>
  <c r="BR25" i="9" s="1"/>
  <c r="BR26" i="9" s="1"/>
  <c r="BR27" i="9" s="1"/>
  <c r="BR28" i="9" s="1"/>
  <c r="BR29" i="9" s="1"/>
  <c r="BR30" i="9" s="1"/>
  <c r="BR31" i="9" s="1"/>
  <c r="BR32" i="9" s="1"/>
  <c r="BR33" i="9" s="1"/>
  <c r="BR34" i="9" s="1"/>
  <c r="BR35" i="9" s="1"/>
  <c r="BR36" i="9" s="1"/>
  <c r="BR37" i="9" s="1"/>
  <c r="BR38" i="9" s="1"/>
  <c r="BR39" i="9" s="1"/>
  <c r="BR40" i="9" s="1"/>
  <c r="BR41" i="9" s="1"/>
  <c r="BR42" i="9" s="1"/>
  <c r="BR43" i="9" s="1"/>
  <c r="BR44" i="9" s="1"/>
  <c r="BR45" i="9" s="1"/>
  <c r="BR46" i="9" s="1"/>
  <c r="BR47" i="9" s="1"/>
  <c r="BR48" i="9" s="1"/>
  <c r="BR49" i="9" s="1"/>
  <c r="BR50" i="9" s="1"/>
  <c r="BR51" i="9" s="1"/>
  <c r="BR52" i="9" s="1"/>
  <c r="BR53" i="9" s="1"/>
  <c r="BR54" i="9" s="1"/>
  <c r="BR55" i="9" s="1"/>
  <c r="BR56" i="9" s="1"/>
  <c r="BR57" i="9" s="1"/>
  <c r="BR58" i="9" s="1"/>
  <c r="BR59" i="9" s="1"/>
  <c r="BR60" i="9" s="1"/>
  <c r="BR61" i="9" s="1"/>
  <c r="BR62" i="9" s="1"/>
  <c r="BR63" i="9" s="1"/>
  <c r="BR64" i="9" s="1"/>
  <c r="BR65" i="9" s="1"/>
  <c r="BR66" i="9" s="1"/>
  <c r="BR67" i="9" s="1"/>
  <c r="BR68" i="9" s="1"/>
  <c r="BR69" i="9" s="1"/>
  <c r="BR70" i="9" s="1"/>
  <c r="BR71" i="9" s="1"/>
  <c r="BR72" i="9" s="1"/>
  <c r="BR73" i="9" s="1"/>
  <c r="BR74" i="9" s="1"/>
  <c r="BR75" i="9" s="1"/>
  <c r="BR76" i="9" s="1"/>
  <c r="BR77" i="9" s="1"/>
  <c r="BR78" i="9" s="1"/>
  <c r="BR79" i="9" s="1"/>
  <c r="BR80" i="9" s="1"/>
  <c r="BR81" i="9" s="1"/>
  <c r="BR82" i="9" s="1"/>
  <c r="BR83" i="9" s="1"/>
  <c r="BR84" i="9" s="1"/>
  <c r="BR85" i="9" s="1"/>
  <c r="BR86" i="9" s="1"/>
  <c r="BR87" i="9" s="1"/>
  <c r="BR88" i="9" s="1"/>
  <c r="BR89" i="9" s="1"/>
  <c r="BR90" i="9" s="1"/>
  <c r="BR91" i="9" s="1"/>
  <c r="BR92" i="9" s="1"/>
  <c r="BR93" i="9" s="1"/>
  <c r="BR94" i="9" s="1"/>
  <c r="BR95" i="9" s="1"/>
  <c r="BR96" i="9" s="1"/>
  <c r="BR97" i="9" s="1"/>
  <c r="BR98" i="9" s="1"/>
  <c r="BR99" i="9" s="1"/>
  <c r="BR100" i="9" s="1"/>
  <c r="BR101" i="9" s="1"/>
  <c r="BR102" i="9" s="1"/>
  <c r="BR103" i="9" s="1"/>
  <c r="BR104" i="9" s="1"/>
  <c r="BR105" i="9" s="1"/>
  <c r="BR106" i="9" s="1"/>
  <c r="BR107" i="9" s="1"/>
  <c r="BR108" i="9" s="1"/>
  <c r="BR109" i="9" s="1"/>
  <c r="BR110" i="9" s="1"/>
  <c r="BR111" i="9" s="1"/>
  <c r="BR112" i="9" s="1"/>
  <c r="BR113" i="9" s="1"/>
  <c r="BR114" i="9" s="1"/>
  <c r="BR115" i="9" s="1"/>
  <c r="BR116" i="9" s="1"/>
  <c r="BR117" i="9" s="1"/>
  <c r="BR118" i="9" s="1"/>
  <c r="BR119" i="9" s="1"/>
  <c r="BR120" i="9" s="1"/>
  <c r="BR121" i="9" s="1"/>
  <c r="BR122" i="9" s="1"/>
  <c r="BR123" i="9" s="1"/>
  <c r="BR124" i="9" s="1"/>
  <c r="BR125" i="9" s="1"/>
  <c r="BR126" i="9" s="1"/>
  <c r="BR127" i="9" s="1"/>
  <c r="BR128" i="9" s="1"/>
  <c r="BR129" i="9" s="1"/>
  <c r="BR130" i="9" s="1"/>
  <c r="BR131" i="9" s="1"/>
  <c r="BR132" i="9" s="1"/>
  <c r="BR133" i="9" s="1"/>
  <c r="BR134" i="9" s="1"/>
  <c r="BR135" i="9" s="1"/>
  <c r="BR136" i="9" s="1"/>
  <c r="BR137" i="9" s="1"/>
  <c r="BR138" i="9" s="1"/>
  <c r="BR139" i="9" s="1"/>
  <c r="BR140" i="9" s="1"/>
  <c r="BR141" i="9" s="1"/>
  <c r="BR142" i="9" s="1"/>
  <c r="BR143" i="9" s="1"/>
  <c r="BR144" i="9" s="1"/>
  <c r="BR145" i="9" s="1"/>
  <c r="BR146" i="9" s="1"/>
  <c r="BR147" i="9" s="1"/>
  <c r="BR148" i="9" s="1"/>
  <c r="BR149" i="9" s="1"/>
  <c r="BR150" i="9" s="1"/>
  <c r="BR151" i="9" s="1"/>
  <c r="BR152" i="9" s="1"/>
  <c r="BR153" i="9" s="1"/>
  <c r="BR154" i="9" s="1"/>
  <c r="BR155" i="9" s="1"/>
  <c r="BR156" i="9" s="1"/>
  <c r="BR157" i="9" s="1"/>
  <c r="BR158" i="9" s="1"/>
  <c r="BR159" i="9" s="1"/>
  <c r="BR160" i="9" s="1"/>
  <c r="BR161" i="9" s="1"/>
  <c r="BR162" i="9" s="1"/>
  <c r="BR163" i="9" s="1"/>
  <c r="BR164" i="9" s="1"/>
  <c r="BR165" i="9" s="1"/>
  <c r="BR166" i="9" s="1"/>
  <c r="BR167" i="9" s="1"/>
  <c r="BR168" i="9" s="1"/>
  <c r="BR169" i="9" s="1"/>
  <c r="BR170" i="9" s="1"/>
  <c r="BR171" i="9" s="1"/>
  <c r="BR172" i="9" s="1"/>
  <c r="BR173" i="9" s="1"/>
  <c r="BR174" i="9" s="1"/>
  <c r="BR175" i="9" s="1"/>
  <c r="BR176" i="9" s="1"/>
  <c r="BR177" i="9" s="1"/>
  <c r="BR178" i="9" s="1"/>
  <c r="BR179" i="9" s="1"/>
  <c r="BR180" i="9" s="1"/>
  <c r="BR181" i="9" s="1"/>
  <c r="BR182" i="9" s="1"/>
  <c r="BR183" i="9" s="1"/>
  <c r="BR184" i="9" s="1"/>
  <c r="BR185" i="9" s="1"/>
  <c r="BR186" i="9" s="1"/>
  <c r="BR187" i="9" s="1"/>
  <c r="BR188" i="9" s="1"/>
  <c r="BR189" i="9" s="1"/>
  <c r="BR190" i="9" s="1"/>
  <c r="BR191" i="9" s="1"/>
  <c r="BR192" i="9" s="1"/>
  <c r="BR193" i="9" s="1"/>
  <c r="BR194" i="9" s="1"/>
  <c r="BR195" i="9" s="1"/>
  <c r="BR196" i="9" s="1"/>
  <c r="BR197" i="9" s="1"/>
  <c r="BR198" i="9" s="1"/>
  <c r="BR199" i="9" s="1"/>
  <c r="BR200" i="9" s="1"/>
  <c r="BR201" i="9" s="1"/>
  <c r="BR202" i="9" s="1"/>
  <c r="BR203" i="9" s="1"/>
  <c r="BR204" i="9" s="1"/>
  <c r="BR205" i="9" s="1"/>
  <c r="BR206" i="9" s="1"/>
  <c r="BR207" i="9" s="1"/>
  <c r="BR208" i="9" s="1"/>
  <c r="BR209" i="9" s="1"/>
  <c r="BR210" i="9" s="1"/>
  <c r="BR211" i="9" s="1"/>
  <c r="BR212" i="9" s="1"/>
  <c r="BR213" i="9" s="1"/>
  <c r="BR214" i="9" s="1"/>
  <c r="BR215" i="9" s="1"/>
  <c r="BR216" i="9" s="1"/>
  <c r="BR217" i="9" s="1"/>
  <c r="BR218" i="9" s="1"/>
  <c r="BR219" i="9" s="1"/>
  <c r="BR220" i="9" s="1"/>
  <c r="BR221" i="9" s="1"/>
  <c r="BR222" i="9" s="1"/>
  <c r="BR223" i="9" s="1"/>
  <c r="BR224" i="9" s="1"/>
  <c r="BR225" i="9" s="1"/>
  <c r="BR226" i="9" s="1"/>
  <c r="BR227" i="9" s="1"/>
  <c r="BR228" i="9" s="1"/>
  <c r="BR229" i="9" s="1"/>
  <c r="BR230" i="9" s="1"/>
  <c r="BR231" i="9" s="1"/>
  <c r="BR232" i="9" s="1"/>
  <c r="BR233" i="9" s="1"/>
  <c r="BR234" i="9" s="1"/>
  <c r="BR235" i="9" s="1"/>
  <c r="BR236" i="9" s="1"/>
  <c r="BR237" i="9" s="1"/>
  <c r="BR238" i="9" s="1"/>
  <c r="BR239" i="9" s="1"/>
  <c r="BR240" i="9" s="1"/>
  <c r="BR241" i="9" s="1"/>
  <c r="BR242" i="9" s="1"/>
  <c r="BR243" i="9" s="1"/>
  <c r="BR244" i="9" s="1"/>
  <c r="BR245" i="9" s="1"/>
  <c r="BR246" i="9" s="1"/>
  <c r="BR247" i="9" s="1"/>
  <c r="BR248" i="9" s="1"/>
  <c r="BR249" i="9" s="1"/>
  <c r="BR250" i="9" s="1"/>
  <c r="BR251" i="9" s="1"/>
  <c r="BR252" i="9" s="1"/>
  <c r="BR253" i="9" s="1"/>
  <c r="BR254" i="9" s="1"/>
  <c r="BR255" i="9" s="1"/>
  <c r="BR256" i="9" s="1"/>
  <c r="BR257" i="9" s="1"/>
  <c r="BR258" i="9" s="1"/>
  <c r="BR259" i="9" s="1"/>
  <c r="BR260" i="9" s="1"/>
  <c r="BR261" i="9" s="1"/>
  <c r="BR262" i="9" s="1"/>
  <c r="BR263" i="9" s="1"/>
  <c r="BR264" i="9" s="1"/>
  <c r="BR265" i="9" s="1"/>
  <c r="BR266" i="9" s="1"/>
  <c r="BR267" i="9" s="1"/>
  <c r="BR268" i="9" s="1"/>
  <c r="BR269" i="9" s="1"/>
  <c r="BR270" i="9" s="1"/>
  <c r="BR271" i="9" s="1"/>
  <c r="BR272" i="9" s="1"/>
  <c r="BR273" i="9" s="1"/>
  <c r="BR274" i="9" s="1"/>
  <c r="BR275" i="9" s="1"/>
  <c r="BR276" i="9" s="1"/>
  <c r="BR277" i="9" s="1"/>
  <c r="BR278" i="9" s="1"/>
  <c r="BR279" i="9" s="1"/>
  <c r="BR280" i="9" s="1"/>
  <c r="BR281" i="9" s="1"/>
  <c r="BR282" i="9" s="1"/>
  <c r="BR283" i="9" s="1"/>
  <c r="BR284" i="9" s="1"/>
  <c r="BR285" i="9" s="1"/>
  <c r="BR286" i="9" s="1"/>
  <c r="BR287" i="9" s="1"/>
  <c r="BR288" i="9" s="1"/>
  <c r="BR289" i="9" s="1"/>
  <c r="BR290" i="9" s="1"/>
  <c r="BR291" i="9" s="1"/>
  <c r="BR292" i="9" s="1"/>
  <c r="BR293" i="9" s="1"/>
  <c r="BR294" i="9" s="1"/>
  <c r="BR295" i="9" s="1"/>
  <c r="BR296" i="9" s="1"/>
  <c r="BR297" i="9" s="1"/>
  <c r="BR298" i="9" s="1"/>
  <c r="BR299" i="9" s="1"/>
  <c r="BR300" i="9" s="1"/>
  <c r="BR301" i="9" s="1"/>
  <c r="BR302" i="9" s="1"/>
  <c r="BR303" i="9" s="1"/>
  <c r="BR304" i="9" s="1"/>
  <c r="BR305" i="9" s="1"/>
  <c r="BR306" i="9" s="1"/>
  <c r="BR307" i="9" s="1"/>
  <c r="BR308" i="9" s="1"/>
  <c r="BR309" i="9" s="1"/>
  <c r="BR310" i="9" s="1"/>
  <c r="BR311" i="9" s="1"/>
  <c r="BR312" i="9" s="1"/>
  <c r="BR313" i="9" s="1"/>
  <c r="BR314" i="9" s="1"/>
  <c r="BR315" i="9" s="1"/>
  <c r="BR316" i="9" s="1"/>
  <c r="BR317" i="9" s="1"/>
  <c r="BR318" i="9" s="1"/>
  <c r="BR319" i="9" s="1"/>
  <c r="BR320" i="9" s="1"/>
  <c r="BR321" i="9" s="1"/>
  <c r="BR322" i="9" s="1"/>
  <c r="BR323" i="9" s="1"/>
  <c r="BR324" i="9" s="1"/>
  <c r="BR325" i="9" s="1"/>
  <c r="BR326" i="9" s="1"/>
  <c r="BR327" i="9" s="1"/>
  <c r="BR328" i="9" s="1"/>
  <c r="BR329" i="9" s="1"/>
  <c r="BR330" i="9" s="1"/>
  <c r="BR331" i="9" s="1"/>
  <c r="BR332" i="9" s="1"/>
  <c r="BR333" i="9" s="1"/>
  <c r="BR334" i="9" s="1"/>
  <c r="BR335" i="9" s="1"/>
  <c r="BR336" i="9" s="1"/>
  <c r="BR337" i="9" s="1"/>
  <c r="BR338" i="9" s="1"/>
  <c r="BR339" i="9" s="1"/>
  <c r="BR340" i="9" s="1"/>
  <c r="BR341" i="9" s="1"/>
  <c r="BR342" i="9" s="1"/>
  <c r="BR343" i="9" s="1"/>
  <c r="BR344" i="9" s="1"/>
  <c r="BR345" i="9" s="1"/>
  <c r="BR346" i="9" s="1"/>
  <c r="BR347" i="9" s="1"/>
  <c r="BR348" i="9" s="1"/>
  <c r="BR349" i="9" s="1"/>
  <c r="BR350" i="9" s="1"/>
  <c r="BR351" i="9" s="1"/>
  <c r="BR352" i="9" s="1"/>
  <c r="BR353" i="9" s="1"/>
  <c r="BR354" i="9" s="1"/>
  <c r="BR355" i="9" s="1"/>
  <c r="BR356" i="9" s="1"/>
  <c r="BR357" i="9" s="1"/>
  <c r="BR358" i="9" s="1"/>
  <c r="BR359" i="9" s="1"/>
  <c r="BR360" i="9" s="1"/>
  <c r="BR361" i="9" s="1"/>
  <c r="BR362" i="9" s="1"/>
  <c r="BR363" i="9" s="1"/>
  <c r="BR364" i="9" s="1"/>
  <c r="BR365" i="9" s="1"/>
  <c r="BR366" i="9" s="1"/>
  <c r="BR367" i="9" s="1"/>
  <c r="BR368" i="9" s="1"/>
  <c r="BR369" i="9" s="1"/>
  <c r="BR370" i="9" s="1"/>
  <c r="BR371" i="9" s="1"/>
  <c r="BR372" i="9" s="1"/>
  <c r="BR373" i="9" s="1"/>
  <c r="BR374" i="9" s="1"/>
  <c r="BR375" i="9" s="1"/>
  <c r="BR376" i="9" s="1"/>
  <c r="AH10" i="9"/>
  <c r="AH11" i="9" s="1"/>
  <c r="AH12" i="9" s="1"/>
  <c r="AH13" i="9" s="1"/>
  <c r="AH14" i="9" s="1"/>
  <c r="AH15" i="9" s="1"/>
  <c r="AH16" i="9" s="1"/>
  <c r="AH17" i="9" s="1"/>
  <c r="AH18" i="9" s="1"/>
  <c r="AH19" i="9" s="1"/>
  <c r="AH20" i="9" s="1"/>
  <c r="AH21" i="9" s="1"/>
  <c r="AH22" i="9" s="1"/>
  <c r="AH23" i="9" s="1"/>
  <c r="AH24" i="9" s="1"/>
  <c r="AH25" i="9" s="1"/>
  <c r="AH26" i="9" s="1"/>
  <c r="AH27" i="9" s="1"/>
  <c r="AH28" i="9" s="1"/>
  <c r="AH29" i="9" s="1"/>
  <c r="AH30" i="9" s="1"/>
  <c r="AH31" i="9" s="1"/>
  <c r="AH32" i="9" s="1"/>
  <c r="AH33" i="9" s="1"/>
  <c r="AH34" i="9" s="1"/>
  <c r="AH35" i="9" s="1"/>
  <c r="AH36" i="9" s="1"/>
  <c r="AH37" i="9" s="1"/>
  <c r="AH38" i="9" s="1"/>
  <c r="AH39" i="9" s="1"/>
  <c r="AH40" i="9" s="1"/>
  <c r="AH41" i="9" s="1"/>
  <c r="AH42" i="9" s="1"/>
  <c r="AH43" i="9" s="1"/>
  <c r="AH44" i="9" s="1"/>
  <c r="AH45" i="9" s="1"/>
  <c r="AH46" i="9" s="1"/>
  <c r="AH47" i="9" s="1"/>
  <c r="AH48" i="9" s="1"/>
  <c r="AH49" i="9" s="1"/>
  <c r="AH50" i="9" s="1"/>
  <c r="AH51" i="9" s="1"/>
  <c r="AH52" i="9" s="1"/>
  <c r="AH53" i="9" s="1"/>
  <c r="AH54" i="9" s="1"/>
  <c r="AH55" i="9" s="1"/>
  <c r="AH56" i="9" s="1"/>
  <c r="AH57" i="9" s="1"/>
  <c r="AH58" i="9" s="1"/>
  <c r="AH59" i="9" s="1"/>
  <c r="AH60" i="9" s="1"/>
  <c r="AH61" i="9" s="1"/>
  <c r="AH62" i="9" s="1"/>
  <c r="AH63" i="9" s="1"/>
  <c r="AH64" i="9" s="1"/>
  <c r="AH65" i="9" s="1"/>
  <c r="AH66" i="9" s="1"/>
  <c r="AH67" i="9" s="1"/>
  <c r="AH68" i="9" s="1"/>
  <c r="AH69" i="9" s="1"/>
  <c r="AH70" i="9" s="1"/>
  <c r="AH71" i="9" s="1"/>
  <c r="AH72" i="9" s="1"/>
  <c r="AH73" i="9" s="1"/>
  <c r="AH74" i="9" s="1"/>
  <c r="AH75" i="9" s="1"/>
  <c r="AH76" i="9" s="1"/>
  <c r="AH77" i="9" s="1"/>
  <c r="AH78" i="9" s="1"/>
  <c r="AH79" i="9" s="1"/>
  <c r="AH80" i="9" s="1"/>
  <c r="AH81" i="9" s="1"/>
  <c r="AH82" i="9" s="1"/>
  <c r="AH83" i="9" s="1"/>
  <c r="AH84" i="9" s="1"/>
  <c r="AH85" i="9" s="1"/>
  <c r="AH86" i="9" s="1"/>
  <c r="AH87" i="9" s="1"/>
  <c r="AH88" i="9" s="1"/>
  <c r="AH89" i="9" s="1"/>
  <c r="AH90" i="9" s="1"/>
  <c r="AH91" i="9" s="1"/>
  <c r="AH92" i="9" s="1"/>
  <c r="AH93" i="9" s="1"/>
  <c r="AH94" i="9" s="1"/>
  <c r="AH95" i="9" s="1"/>
  <c r="AH96" i="9" s="1"/>
  <c r="AH97" i="9" s="1"/>
  <c r="AH98" i="9" s="1"/>
  <c r="AH99" i="9" s="1"/>
  <c r="AH100" i="9" s="1"/>
  <c r="AH101" i="9" s="1"/>
  <c r="AH102" i="9" s="1"/>
  <c r="AH103" i="9" s="1"/>
  <c r="AH104" i="9" s="1"/>
  <c r="AH105" i="9" s="1"/>
  <c r="AH106" i="9" s="1"/>
  <c r="AH107" i="9" s="1"/>
  <c r="AH108" i="9" s="1"/>
  <c r="AH109" i="9" s="1"/>
  <c r="AH110" i="9" s="1"/>
  <c r="AH111" i="9" s="1"/>
  <c r="AH112" i="9" s="1"/>
  <c r="AH113" i="9" s="1"/>
  <c r="AH114" i="9" s="1"/>
  <c r="AH115" i="9" s="1"/>
  <c r="AH116" i="9" s="1"/>
  <c r="AH117" i="9" s="1"/>
  <c r="AH118" i="9" s="1"/>
  <c r="AH119" i="9" s="1"/>
  <c r="AH120" i="9" s="1"/>
  <c r="AH121" i="9" s="1"/>
  <c r="AH122" i="9" s="1"/>
  <c r="AH123" i="9" s="1"/>
  <c r="AH124" i="9" s="1"/>
  <c r="AH125" i="9" s="1"/>
  <c r="AH126" i="9" s="1"/>
  <c r="AH127" i="9" s="1"/>
  <c r="AH128" i="9" s="1"/>
  <c r="AH129" i="9" s="1"/>
  <c r="AH130" i="9" s="1"/>
  <c r="AH131" i="9" s="1"/>
  <c r="AH132" i="9" s="1"/>
  <c r="AH133" i="9" s="1"/>
  <c r="AH134" i="9" s="1"/>
  <c r="AH135" i="9" s="1"/>
  <c r="AH136" i="9" s="1"/>
  <c r="AH137" i="9" s="1"/>
  <c r="AH138" i="9" s="1"/>
  <c r="AH139" i="9" s="1"/>
  <c r="AH140" i="9" s="1"/>
  <c r="AH141" i="9" s="1"/>
  <c r="AH142" i="9" s="1"/>
  <c r="AH143" i="9" s="1"/>
  <c r="AH144" i="9" s="1"/>
  <c r="AH145" i="9" s="1"/>
  <c r="AH146" i="9" s="1"/>
  <c r="AH147" i="9" s="1"/>
  <c r="AH148" i="9" s="1"/>
  <c r="AH149" i="9" s="1"/>
  <c r="AH150" i="9" s="1"/>
  <c r="AH151" i="9" s="1"/>
  <c r="AH152" i="9" s="1"/>
  <c r="AH153" i="9" s="1"/>
  <c r="AH154" i="9" s="1"/>
  <c r="AH155" i="9" s="1"/>
  <c r="AH156" i="9" s="1"/>
  <c r="AH157" i="9" s="1"/>
  <c r="AH158" i="9" s="1"/>
  <c r="AH159" i="9" s="1"/>
  <c r="AH160" i="9" s="1"/>
  <c r="AH161" i="9" s="1"/>
  <c r="AH162" i="9" s="1"/>
  <c r="AH163" i="9" s="1"/>
  <c r="AH164" i="9" s="1"/>
  <c r="AH165" i="9" s="1"/>
  <c r="AH166" i="9" s="1"/>
  <c r="AH167" i="9" s="1"/>
  <c r="AH168" i="9" s="1"/>
  <c r="AH169" i="9" s="1"/>
  <c r="AH170" i="9" s="1"/>
  <c r="AH171" i="9" s="1"/>
  <c r="AH172" i="9" s="1"/>
  <c r="AH173" i="9" s="1"/>
  <c r="AH174" i="9" s="1"/>
  <c r="AH175" i="9" s="1"/>
  <c r="AH176" i="9" s="1"/>
  <c r="AH177" i="9" s="1"/>
  <c r="AH178" i="9" s="1"/>
  <c r="AH179" i="9" s="1"/>
  <c r="AH180" i="9" s="1"/>
  <c r="AH181" i="9" s="1"/>
  <c r="AH182" i="9" s="1"/>
  <c r="AH183" i="9" s="1"/>
  <c r="AH184" i="9" s="1"/>
  <c r="AH185" i="9" s="1"/>
  <c r="AH186" i="9" s="1"/>
  <c r="AH187" i="9" s="1"/>
  <c r="AH188" i="9" s="1"/>
  <c r="AH189" i="9" s="1"/>
  <c r="AH190" i="9" s="1"/>
  <c r="AH191" i="9" s="1"/>
  <c r="AH192" i="9" s="1"/>
  <c r="AH193" i="9" s="1"/>
  <c r="AH194" i="9" s="1"/>
  <c r="AH195" i="9" s="1"/>
  <c r="AH196" i="9" s="1"/>
  <c r="AH197" i="9" s="1"/>
  <c r="AH198" i="9" s="1"/>
  <c r="AH199" i="9" s="1"/>
  <c r="AH200" i="9" s="1"/>
  <c r="AH201" i="9" s="1"/>
  <c r="AH202" i="9" s="1"/>
  <c r="AH203" i="9" s="1"/>
  <c r="AH204" i="9" s="1"/>
  <c r="AH205" i="9" s="1"/>
  <c r="AH206" i="9" s="1"/>
  <c r="AH207" i="9" s="1"/>
  <c r="AH208" i="9" s="1"/>
  <c r="AH209" i="9" s="1"/>
  <c r="AH210" i="9" s="1"/>
  <c r="AH211" i="9" s="1"/>
  <c r="AH212" i="9" s="1"/>
  <c r="AH213" i="9" s="1"/>
  <c r="AH214" i="9" s="1"/>
  <c r="AH215" i="9" s="1"/>
  <c r="AH216" i="9" s="1"/>
  <c r="AH217" i="9" s="1"/>
  <c r="AH218" i="9" s="1"/>
  <c r="AH219" i="9" s="1"/>
  <c r="AH220" i="9" s="1"/>
  <c r="AH221" i="9" s="1"/>
  <c r="AH222" i="9" s="1"/>
  <c r="AH223" i="9" s="1"/>
  <c r="AH224" i="9" s="1"/>
  <c r="AH225" i="9" s="1"/>
  <c r="AH226" i="9" s="1"/>
  <c r="AH227" i="9" s="1"/>
  <c r="AH228" i="9" s="1"/>
  <c r="AH229" i="9" s="1"/>
  <c r="AH230" i="9" s="1"/>
  <c r="AH231" i="9" s="1"/>
  <c r="AH232" i="9" s="1"/>
  <c r="AH233" i="9" s="1"/>
  <c r="AH234" i="9" s="1"/>
  <c r="AH235" i="9" s="1"/>
  <c r="AH236" i="9" s="1"/>
  <c r="AH237" i="9" s="1"/>
  <c r="AH238" i="9" s="1"/>
  <c r="AH239" i="9" s="1"/>
  <c r="AH240" i="9" s="1"/>
  <c r="AH241" i="9" s="1"/>
  <c r="AH242" i="9" s="1"/>
  <c r="AH243" i="9" s="1"/>
  <c r="AH244" i="9" s="1"/>
  <c r="AH245" i="9" s="1"/>
  <c r="AH246" i="9" s="1"/>
  <c r="AH247" i="9" s="1"/>
  <c r="AH248" i="9" s="1"/>
  <c r="AH249" i="9" s="1"/>
  <c r="AH250" i="9" s="1"/>
  <c r="AH251" i="9" s="1"/>
  <c r="AH252" i="9" s="1"/>
  <c r="AH253" i="9" s="1"/>
  <c r="AH254" i="9" s="1"/>
  <c r="AH255" i="9" s="1"/>
  <c r="AH256" i="9" s="1"/>
  <c r="AH257" i="9" s="1"/>
  <c r="AH258" i="9" s="1"/>
  <c r="AH259" i="9" s="1"/>
  <c r="AH260" i="9" s="1"/>
  <c r="AH261" i="9" s="1"/>
  <c r="AH262" i="9" s="1"/>
  <c r="AH263" i="9" s="1"/>
  <c r="AH264" i="9" s="1"/>
  <c r="AH265" i="9" s="1"/>
  <c r="AH266" i="9" s="1"/>
  <c r="AH267" i="9" s="1"/>
  <c r="AH268" i="9" s="1"/>
  <c r="AH269" i="9" s="1"/>
  <c r="AH270" i="9" s="1"/>
  <c r="AH271" i="9" s="1"/>
  <c r="AH272" i="9" s="1"/>
  <c r="AH273" i="9" s="1"/>
  <c r="AH274" i="9" s="1"/>
  <c r="AH275" i="9" s="1"/>
  <c r="AH276" i="9" s="1"/>
  <c r="AH277" i="9" s="1"/>
  <c r="AH278" i="9" s="1"/>
  <c r="AH279" i="9" s="1"/>
  <c r="AH280" i="9" s="1"/>
  <c r="AH281" i="9" s="1"/>
  <c r="AH282" i="9" s="1"/>
  <c r="AH283" i="9" s="1"/>
  <c r="AH284" i="9" s="1"/>
  <c r="AH285" i="9" s="1"/>
  <c r="AH286" i="9" s="1"/>
  <c r="AH287" i="9" s="1"/>
  <c r="AH288" i="9" s="1"/>
  <c r="AH289" i="9" s="1"/>
  <c r="AH290" i="9" s="1"/>
  <c r="AH291" i="9" s="1"/>
  <c r="AH292" i="9" s="1"/>
  <c r="AH293" i="9" s="1"/>
  <c r="AH294" i="9" s="1"/>
  <c r="AH295" i="9" s="1"/>
  <c r="AH296" i="9" s="1"/>
  <c r="AH297" i="9" s="1"/>
  <c r="AH298" i="9" s="1"/>
  <c r="AH299" i="9" s="1"/>
  <c r="AH300" i="9" s="1"/>
  <c r="AH301" i="9" s="1"/>
  <c r="AH302" i="9" s="1"/>
  <c r="AH303" i="9" s="1"/>
  <c r="AH304" i="9" s="1"/>
  <c r="AH305" i="9" s="1"/>
  <c r="AH306" i="9" s="1"/>
  <c r="AH307" i="9" s="1"/>
  <c r="AH308" i="9" s="1"/>
  <c r="AH309" i="9" s="1"/>
  <c r="AH310" i="9" s="1"/>
  <c r="AH311" i="9" s="1"/>
  <c r="AH312" i="9" s="1"/>
  <c r="AH313" i="9" s="1"/>
  <c r="AH314" i="9" s="1"/>
  <c r="AH315" i="9" s="1"/>
  <c r="AH316" i="9" s="1"/>
  <c r="AH317" i="9" s="1"/>
  <c r="AH318" i="9" s="1"/>
  <c r="AH319" i="9" s="1"/>
  <c r="AH320" i="9" s="1"/>
  <c r="AH321" i="9" s="1"/>
  <c r="AH322" i="9" s="1"/>
  <c r="AH323" i="9" s="1"/>
  <c r="AH324" i="9" s="1"/>
  <c r="AH325" i="9" s="1"/>
  <c r="AH326" i="9" s="1"/>
  <c r="AH327" i="9" s="1"/>
  <c r="AH328" i="9" s="1"/>
  <c r="AH329" i="9" s="1"/>
  <c r="AH330" i="9" s="1"/>
  <c r="AH331" i="9" s="1"/>
  <c r="AH332" i="9" s="1"/>
  <c r="AH333" i="9" s="1"/>
  <c r="AH334" i="9" s="1"/>
  <c r="AH335" i="9" s="1"/>
  <c r="AH336" i="9" s="1"/>
  <c r="AH337" i="9" s="1"/>
  <c r="AH338" i="9" s="1"/>
  <c r="AH339" i="9" s="1"/>
  <c r="AH340" i="9" s="1"/>
  <c r="AH341" i="9" s="1"/>
  <c r="AH342" i="9" s="1"/>
  <c r="AH343" i="9" s="1"/>
  <c r="AH344" i="9" s="1"/>
  <c r="AH345" i="9" s="1"/>
  <c r="AH346" i="9" s="1"/>
  <c r="AH347" i="9" s="1"/>
  <c r="AH348" i="9" s="1"/>
  <c r="AH349" i="9" s="1"/>
  <c r="AH350" i="9" s="1"/>
  <c r="AH351" i="9" s="1"/>
  <c r="AH352" i="9" s="1"/>
  <c r="AH353" i="9" s="1"/>
  <c r="AH354" i="9" s="1"/>
  <c r="AH355" i="9" s="1"/>
  <c r="AH356" i="9" s="1"/>
  <c r="AH357" i="9" s="1"/>
  <c r="AH358" i="9" s="1"/>
  <c r="AH359" i="9" s="1"/>
  <c r="AH360" i="9" s="1"/>
  <c r="AH361" i="9" s="1"/>
  <c r="AH362" i="9" s="1"/>
  <c r="AH363" i="9" s="1"/>
  <c r="AH364" i="9" s="1"/>
  <c r="AH365" i="9" s="1"/>
  <c r="AH366" i="9" s="1"/>
  <c r="AH367" i="9" s="1"/>
  <c r="AH368" i="9" s="1"/>
  <c r="AH369" i="9" s="1"/>
  <c r="AH370" i="9" s="1"/>
  <c r="AH371" i="9" s="1"/>
  <c r="AH372" i="9" s="1"/>
  <c r="AH373" i="9" s="1"/>
  <c r="AH374" i="9" s="1"/>
  <c r="AH375" i="9" s="1"/>
  <c r="AH376" i="9" s="1"/>
  <c r="AH377" i="9" s="1"/>
  <c r="AH378" i="9" s="1"/>
  <c r="AH379" i="9" s="1"/>
  <c r="AH380" i="9" s="1"/>
  <c r="AH381" i="9" s="1"/>
  <c r="AH382" i="9" s="1"/>
  <c r="AH383" i="9" s="1"/>
  <c r="AH384" i="9" s="1"/>
  <c r="AH385" i="9" s="1"/>
  <c r="AH386" i="9" s="1"/>
  <c r="AH387" i="9" s="1"/>
  <c r="AH388" i="9" s="1"/>
  <c r="AH389" i="9" s="1"/>
  <c r="AH390" i="9" s="1"/>
  <c r="AH391" i="9" s="1"/>
  <c r="AH392" i="9" s="1"/>
  <c r="AH393" i="9" s="1"/>
  <c r="AH394" i="9" s="1"/>
  <c r="AH395" i="9" s="1"/>
  <c r="AH396" i="9" s="1"/>
  <c r="AH397" i="9" s="1"/>
  <c r="AH398" i="9" s="1"/>
  <c r="AH399" i="9" s="1"/>
  <c r="AH400" i="9" s="1"/>
  <c r="AH401" i="9" s="1"/>
  <c r="AH402" i="9" s="1"/>
  <c r="AH403" i="9" s="1"/>
  <c r="AH404" i="9" s="1"/>
  <c r="AH405" i="9" s="1"/>
  <c r="AH406" i="9" s="1"/>
  <c r="AH407" i="9" s="1"/>
  <c r="AH408" i="9" s="1"/>
  <c r="AH409" i="9" s="1"/>
  <c r="AH410" i="9" s="1"/>
  <c r="AH411" i="9" s="1"/>
  <c r="AH412" i="9" s="1"/>
  <c r="AH413" i="9" s="1"/>
  <c r="AH414" i="9" s="1"/>
  <c r="AH415" i="9" s="1"/>
  <c r="AH416" i="9" s="1"/>
  <c r="AH417" i="9" s="1"/>
  <c r="AH418" i="9" s="1"/>
  <c r="AH419" i="9" s="1"/>
  <c r="AH420" i="9" s="1"/>
  <c r="AH421" i="9" s="1"/>
  <c r="AH422" i="9" s="1"/>
  <c r="AH423" i="9" s="1"/>
  <c r="AH424" i="9" s="1"/>
  <c r="AH425" i="9" s="1"/>
  <c r="AH426" i="9" s="1"/>
  <c r="AH427" i="9" s="1"/>
  <c r="AH428" i="9" s="1"/>
  <c r="AH429" i="9" s="1"/>
  <c r="AH430" i="9" s="1"/>
  <c r="AH431" i="9" s="1"/>
  <c r="AH432" i="9" s="1"/>
  <c r="AH433" i="9" s="1"/>
  <c r="AH434" i="9" s="1"/>
  <c r="AH435" i="9" s="1"/>
  <c r="AH436" i="9" s="1"/>
  <c r="AH437" i="9" s="1"/>
  <c r="AH438" i="9" s="1"/>
  <c r="AH439" i="9" s="1"/>
  <c r="AH440" i="9" s="1"/>
  <c r="AH441" i="9" s="1"/>
  <c r="AH442" i="9" s="1"/>
  <c r="AH443" i="9" s="1"/>
  <c r="AH444" i="9" s="1"/>
  <c r="AH445" i="9" s="1"/>
  <c r="AH446" i="9" s="1"/>
  <c r="AH447" i="9" s="1"/>
  <c r="AH448" i="9" s="1"/>
  <c r="AH449" i="9" s="1"/>
  <c r="AH450" i="9" s="1"/>
  <c r="AH451" i="9" s="1"/>
  <c r="AH452" i="9" s="1"/>
  <c r="AH453" i="9" s="1"/>
  <c r="AH454" i="9" s="1"/>
  <c r="AH455" i="9" s="1"/>
  <c r="AH456" i="9" s="1"/>
  <c r="AH457" i="9" s="1"/>
  <c r="AH458" i="9" s="1"/>
  <c r="AH459" i="9" s="1"/>
  <c r="AH460" i="9" s="1"/>
  <c r="AH461" i="9" s="1"/>
  <c r="AH462" i="9" s="1"/>
  <c r="AH463" i="9" s="1"/>
  <c r="AH464" i="9" s="1"/>
  <c r="AH465" i="9" s="1"/>
  <c r="AH466" i="9" s="1"/>
  <c r="AH467" i="9" s="1"/>
  <c r="AH468" i="9" s="1"/>
  <c r="AH469" i="9" s="1"/>
  <c r="AH470" i="9" s="1"/>
  <c r="AH471" i="9" s="1"/>
  <c r="AH472" i="9" s="1"/>
  <c r="AH473" i="9" s="1"/>
  <c r="AH474" i="9" s="1"/>
  <c r="AH475" i="9" s="1"/>
  <c r="AH476" i="9" s="1"/>
  <c r="AH477" i="9" s="1"/>
  <c r="AH478" i="9" s="1"/>
  <c r="AH479" i="9" s="1"/>
  <c r="AH480" i="9" s="1"/>
  <c r="AH481" i="9" s="1"/>
  <c r="AH482" i="9" s="1"/>
  <c r="AH483" i="9" s="1"/>
  <c r="AH484" i="9" s="1"/>
  <c r="AH485" i="9" s="1"/>
  <c r="AH486" i="9" s="1"/>
  <c r="AH487" i="9" s="1"/>
  <c r="AH488" i="9" s="1"/>
  <c r="AH489" i="9" s="1"/>
  <c r="AH490" i="9" s="1"/>
  <c r="AH491" i="9" s="1"/>
  <c r="AH492" i="9" s="1"/>
  <c r="AH493" i="9" s="1"/>
  <c r="AH494" i="9" s="1"/>
  <c r="AH495" i="9" s="1"/>
  <c r="AH496" i="9" s="1"/>
  <c r="AH497" i="9" s="1"/>
  <c r="AH498" i="9" s="1"/>
  <c r="AH499" i="9" s="1"/>
  <c r="AH500" i="9" s="1"/>
  <c r="AH501" i="9" s="1"/>
  <c r="AH502" i="9" s="1"/>
  <c r="AH503" i="9" s="1"/>
  <c r="AH504" i="9" s="1"/>
  <c r="AH505" i="9" s="1"/>
  <c r="AH506" i="9" s="1"/>
  <c r="AH507" i="9" s="1"/>
  <c r="AH508" i="9" s="1"/>
  <c r="AH509" i="9" s="1"/>
  <c r="AH510" i="9" s="1"/>
  <c r="AH511" i="9" s="1"/>
  <c r="AH512" i="9" s="1"/>
  <c r="AH513" i="9" s="1"/>
  <c r="AH514" i="9" s="1"/>
  <c r="AH515" i="9" s="1"/>
  <c r="AH516" i="9" s="1"/>
  <c r="AH517" i="9" s="1"/>
  <c r="AH518" i="9" s="1"/>
  <c r="AH519" i="9" s="1"/>
  <c r="AH520" i="9" s="1"/>
  <c r="AH521" i="9" s="1"/>
  <c r="AH522" i="9" s="1"/>
  <c r="AH523" i="9" s="1"/>
  <c r="AH524" i="9" s="1"/>
  <c r="AH525" i="9" s="1"/>
  <c r="AH526" i="9" s="1"/>
  <c r="AH527" i="9" s="1"/>
  <c r="AH528" i="9" s="1"/>
  <c r="AH529" i="9" s="1"/>
  <c r="AH530" i="9" s="1"/>
  <c r="AH531" i="9" s="1"/>
  <c r="AH532" i="9" s="1"/>
  <c r="AH533" i="9" s="1"/>
  <c r="AH534" i="9" s="1"/>
  <c r="AH535" i="9" s="1"/>
  <c r="AH536" i="9" s="1"/>
  <c r="AH537" i="9" s="1"/>
  <c r="AH538" i="9" s="1"/>
  <c r="AH539" i="9" s="1"/>
  <c r="AH540" i="9" s="1"/>
  <c r="AH541" i="9" s="1"/>
  <c r="AH542" i="9" s="1"/>
  <c r="AH543" i="9" s="1"/>
  <c r="AH544" i="9" s="1"/>
  <c r="AH545" i="9" s="1"/>
  <c r="AH546" i="9" s="1"/>
  <c r="AH547" i="9" s="1"/>
  <c r="AH548" i="9" s="1"/>
  <c r="AH549" i="9" s="1"/>
  <c r="AH550" i="9" s="1"/>
  <c r="AH551" i="9" s="1"/>
  <c r="AH552" i="9" s="1"/>
  <c r="AH553" i="9" s="1"/>
  <c r="AH554" i="9" s="1"/>
  <c r="AH555" i="9" s="1"/>
  <c r="AH556" i="9" s="1"/>
  <c r="AH557" i="9" s="1"/>
  <c r="AH558" i="9" s="1"/>
  <c r="AH559" i="9" s="1"/>
  <c r="AH560" i="9" s="1"/>
  <c r="AH561" i="9" s="1"/>
  <c r="AH562" i="9" s="1"/>
  <c r="AH563" i="9" s="1"/>
  <c r="AH564" i="9" s="1"/>
  <c r="AH565" i="9" s="1"/>
  <c r="AH566" i="9" s="1"/>
  <c r="AH567" i="9" s="1"/>
  <c r="AH568" i="9" s="1"/>
  <c r="AH569" i="9" s="1"/>
  <c r="AH570" i="9" s="1"/>
  <c r="AH571" i="9" s="1"/>
  <c r="AH572" i="9" s="1"/>
  <c r="AH573" i="9" s="1"/>
  <c r="AH574" i="9" s="1"/>
  <c r="AH575" i="9" s="1"/>
  <c r="AH576" i="9" s="1"/>
  <c r="AH577" i="9" s="1"/>
  <c r="AH578" i="9" s="1"/>
  <c r="AH579" i="9" s="1"/>
  <c r="AH580" i="9" s="1"/>
  <c r="AH581" i="9" s="1"/>
  <c r="AH582" i="9" s="1"/>
  <c r="AH583" i="9" s="1"/>
  <c r="AH584" i="9" s="1"/>
  <c r="AH585" i="9" s="1"/>
  <c r="AH586" i="9" s="1"/>
  <c r="AH587" i="9" s="1"/>
  <c r="AH588" i="9" s="1"/>
  <c r="AH589" i="9" s="1"/>
  <c r="AH590" i="9" s="1"/>
  <c r="AH591" i="9" s="1"/>
  <c r="AH592" i="9" s="1"/>
  <c r="AH593" i="9" s="1"/>
  <c r="AH594" i="9" s="1"/>
  <c r="AH595" i="9" s="1"/>
  <c r="AH596" i="9" s="1"/>
  <c r="AH597" i="9" s="1"/>
  <c r="AH598" i="9" s="1"/>
  <c r="AH599" i="9" s="1"/>
  <c r="AH600" i="9" s="1"/>
  <c r="AH601" i="9" s="1"/>
  <c r="AH602" i="9" s="1"/>
  <c r="AH603" i="9" s="1"/>
  <c r="AH604" i="9" s="1"/>
  <c r="AH605" i="9" s="1"/>
  <c r="AH606" i="9" s="1"/>
  <c r="AH607" i="9" s="1"/>
  <c r="AH608" i="9" s="1"/>
  <c r="AH609" i="9" s="1"/>
  <c r="AH610" i="9" s="1"/>
  <c r="AH611" i="9" s="1"/>
  <c r="AH612" i="9" s="1"/>
  <c r="AH613" i="9" s="1"/>
  <c r="AH614" i="9" s="1"/>
  <c r="AH615" i="9" s="1"/>
  <c r="AH616" i="9" s="1"/>
  <c r="AH617" i="9" s="1"/>
  <c r="AH618" i="9" s="1"/>
  <c r="AH619" i="9" s="1"/>
  <c r="AH620" i="9" s="1"/>
  <c r="AH621" i="9" s="1"/>
  <c r="AH622" i="9" s="1"/>
  <c r="AH623" i="9" s="1"/>
  <c r="AH624" i="9" s="1"/>
  <c r="AH625" i="9" s="1"/>
  <c r="AH626" i="9" s="1"/>
  <c r="AH627" i="9" s="1"/>
  <c r="AH628" i="9" s="1"/>
  <c r="AH629" i="9" s="1"/>
  <c r="AH630" i="9" s="1"/>
  <c r="AH631" i="9" s="1"/>
  <c r="AH632" i="9" s="1"/>
  <c r="AH633" i="9" s="1"/>
  <c r="AH634" i="9" s="1"/>
  <c r="AH635" i="9" s="1"/>
  <c r="AH636" i="9" s="1"/>
  <c r="AH637" i="9" s="1"/>
  <c r="AH638" i="9" s="1"/>
  <c r="AH639" i="9" s="1"/>
  <c r="AH640" i="9" s="1"/>
  <c r="AH641" i="9" s="1"/>
  <c r="AH642" i="9" s="1"/>
  <c r="AH643" i="9" s="1"/>
  <c r="AH644" i="9" s="1"/>
  <c r="AH645" i="9" s="1"/>
  <c r="AH646" i="9" s="1"/>
  <c r="AH647" i="9" s="1"/>
  <c r="AH648" i="9" s="1"/>
  <c r="AH649" i="9" s="1"/>
  <c r="AH650" i="9" s="1"/>
  <c r="AH651" i="9" s="1"/>
  <c r="AH652" i="9" s="1"/>
  <c r="AH653" i="9" s="1"/>
  <c r="AH654" i="9" s="1"/>
  <c r="AH655" i="9" s="1"/>
  <c r="AH656" i="9" s="1"/>
  <c r="AH657" i="9" s="1"/>
  <c r="AH658" i="9" s="1"/>
  <c r="AH659" i="9" s="1"/>
  <c r="AH660" i="9" s="1"/>
  <c r="AH661" i="9" s="1"/>
  <c r="AH662" i="9" s="1"/>
  <c r="AH663" i="9" s="1"/>
  <c r="AH664" i="9" s="1"/>
  <c r="AH665" i="9" s="1"/>
  <c r="AH666" i="9" s="1"/>
  <c r="AH667" i="9" s="1"/>
  <c r="AH668" i="9" s="1"/>
  <c r="AH669" i="9" s="1"/>
  <c r="AH670" i="9" s="1"/>
  <c r="AH671" i="9" s="1"/>
  <c r="AH672" i="9" s="1"/>
  <c r="AH673" i="9" s="1"/>
  <c r="AH674" i="9" s="1"/>
  <c r="AH675" i="9" s="1"/>
  <c r="AH676" i="9" s="1"/>
  <c r="AH677" i="9" s="1"/>
  <c r="AH678" i="9" s="1"/>
  <c r="AH679" i="9" s="1"/>
  <c r="AH680" i="9" s="1"/>
  <c r="AH681" i="9" s="1"/>
  <c r="AH682" i="9" s="1"/>
  <c r="AH683" i="9" s="1"/>
  <c r="AH684" i="9" s="1"/>
  <c r="AH685" i="9" s="1"/>
  <c r="BM9" i="9"/>
  <c r="BM10" i="9" s="1"/>
  <c r="BM11" i="9" s="1"/>
  <c r="BM12" i="9" s="1"/>
  <c r="BM13" i="9" s="1"/>
  <c r="BM14" i="9" s="1"/>
  <c r="BM15" i="9" s="1"/>
  <c r="BM16" i="9" s="1"/>
  <c r="BM17" i="9" s="1"/>
  <c r="BM18" i="9" s="1"/>
  <c r="BM19" i="9" s="1"/>
  <c r="BM20" i="9" s="1"/>
  <c r="BM21" i="9" s="1"/>
  <c r="BM22" i="9" s="1"/>
  <c r="BM23" i="9" s="1"/>
  <c r="BM24" i="9" s="1"/>
  <c r="BM25" i="9" s="1"/>
  <c r="BM26" i="9" s="1"/>
  <c r="BM27" i="9" s="1"/>
  <c r="BM28" i="9" s="1"/>
  <c r="BM29" i="9" s="1"/>
  <c r="BM30" i="9" s="1"/>
  <c r="BM31" i="9" s="1"/>
  <c r="BM32" i="9" s="1"/>
  <c r="BM33" i="9" s="1"/>
  <c r="BM34" i="9" s="1"/>
  <c r="BM35" i="9" s="1"/>
  <c r="BM36" i="9" s="1"/>
  <c r="BM37" i="9" s="1"/>
  <c r="BM38" i="9" s="1"/>
  <c r="BM39" i="9" s="1"/>
  <c r="BM40" i="9" s="1"/>
  <c r="BM41" i="9" s="1"/>
  <c r="BM42" i="9" s="1"/>
  <c r="BM43" i="9" s="1"/>
  <c r="BM44" i="9" s="1"/>
  <c r="BM45" i="9" s="1"/>
  <c r="BM46" i="9" s="1"/>
  <c r="BM47" i="9" s="1"/>
  <c r="BM48" i="9" s="1"/>
  <c r="BM49" i="9" s="1"/>
  <c r="BM50" i="9" s="1"/>
  <c r="BM51" i="9" s="1"/>
  <c r="BM52" i="9" s="1"/>
  <c r="BM53" i="9" s="1"/>
  <c r="BM54" i="9" s="1"/>
  <c r="BM55" i="9" s="1"/>
  <c r="BM56" i="9" s="1"/>
  <c r="BM57" i="9" s="1"/>
  <c r="BM58" i="9" s="1"/>
  <c r="BM59" i="9" s="1"/>
  <c r="BM60" i="9" s="1"/>
  <c r="BM61" i="9" s="1"/>
  <c r="BM62" i="9" s="1"/>
  <c r="BM63" i="9" s="1"/>
  <c r="BM64" i="9" s="1"/>
  <c r="BM65" i="9" s="1"/>
  <c r="BM66" i="9" s="1"/>
  <c r="BM67" i="9" s="1"/>
  <c r="BM68" i="9" s="1"/>
  <c r="BM69" i="9" s="1"/>
  <c r="BM70" i="9" s="1"/>
  <c r="BM71" i="9" s="1"/>
  <c r="BM72" i="9" s="1"/>
  <c r="BM73" i="9" s="1"/>
  <c r="BM74" i="9" s="1"/>
  <c r="BM75" i="9" s="1"/>
  <c r="BM76" i="9" s="1"/>
  <c r="BM77" i="9" s="1"/>
  <c r="BM78" i="9" s="1"/>
  <c r="BM79" i="9" s="1"/>
  <c r="BM80" i="9" s="1"/>
  <c r="BM81" i="9" s="1"/>
  <c r="BM82" i="9" s="1"/>
  <c r="BM83" i="9" s="1"/>
  <c r="BM84" i="9" s="1"/>
  <c r="BM85" i="9" s="1"/>
  <c r="BM86" i="9" s="1"/>
  <c r="BM87" i="9" s="1"/>
  <c r="BM88" i="9" s="1"/>
  <c r="BM89" i="9" s="1"/>
  <c r="BM90" i="9" s="1"/>
  <c r="BM91" i="9" s="1"/>
  <c r="BM92" i="9" s="1"/>
  <c r="BM93" i="9" s="1"/>
  <c r="BM94" i="9" s="1"/>
  <c r="BM95" i="9" s="1"/>
  <c r="BM96" i="9" s="1"/>
  <c r="BM97" i="9" s="1"/>
  <c r="BM98" i="9" s="1"/>
  <c r="BM99" i="9" s="1"/>
  <c r="BM100" i="9" s="1"/>
  <c r="BM101" i="9" s="1"/>
  <c r="BM102" i="9" s="1"/>
  <c r="BM103" i="9" s="1"/>
  <c r="BM104" i="9" s="1"/>
  <c r="BM105" i="9" s="1"/>
  <c r="BM106" i="9" s="1"/>
  <c r="BM107" i="9" s="1"/>
  <c r="BM108" i="9" s="1"/>
  <c r="BM109" i="9" s="1"/>
  <c r="BM110" i="9" s="1"/>
  <c r="BM111" i="9" s="1"/>
  <c r="BM112" i="9" s="1"/>
  <c r="BM113" i="9" s="1"/>
  <c r="BM114" i="9" s="1"/>
  <c r="BM115" i="9" s="1"/>
  <c r="BM116" i="9" s="1"/>
  <c r="BM117" i="9" s="1"/>
  <c r="BM118" i="9" s="1"/>
  <c r="BM119" i="9" s="1"/>
  <c r="BM120" i="9" s="1"/>
  <c r="BM121" i="9" s="1"/>
  <c r="BM122" i="9" s="1"/>
  <c r="BM123" i="9" s="1"/>
  <c r="BM124" i="9" s="1"/>
  <c r="BM125" i="9" s="1"/>
  <c r="BM126" i="9" s="1"/>
  <c r="BM127" i="9" s="1"/>
  <c r="BM128" i="9" s="1"/>
  <c r="BM129" i="9" s="1"/>
  <c r="BM130" i="9" s="1"/>
  <c r="BM131" i="9" s="1"/>
  <c r="BM132" i="9" s="1"/>
  <c r="BM133" i="9" s="1"/>
  <c r="BM134" i="9" s="1"/>
  <c r="BM135" i="9" s="1"/>
  <c r="BM136" i="9" s="1"/>
  <c r="BM137" i="9" s="1"/>
  <c r="BM138" i="9" s="1"/>
  <c r="BM139" i="9" s="1"/>
  <c r="BM140" i="9" s="1"/>
  <c r="BM141" i="9" s="1"/>
  <c r="BM142" i="9" s="1"/>
  <c r="BM143" i="9" s="1"/>
  <c r="BM144" i="9" s="1"/>
  <c r="BM145" i="9" s="1"/>
  <c r="BM146" i="9" s="1"/>
  <c r="BM147" i="9" s="1"/>
  <c r="BM148" i="9" s="1"/>
  <c r="BM149" i="9" s="1"/>
  <c r="BM150" i="9" s="1"/>
  <c r="BM151" i="9" s="1"/>
  <c r="BM152" i="9" s="1"/>
  <c r="BM153" i="9" s="1"/>
  <c r="BM154" i="9" s="1"/>
  <c r="BM155" i="9" s="1"/>
  <c r="BM156" i="9" s="1"/>
  <c r="BM157" i="9" s="1"/>
  <c r="BM158" i="9" s="1"/>
  <c r="BM159" i="9" s="1"/>
  <c r="BM160" i="9" s="1"/>
  <c r="BM161" i="9" s="1"/>
  <c r="BM162" i="9" s="1"/>
  <c r="BM163" i="9" s="1"/>
  <c r="BM164" i="9" s="1"/>
  <c r="BM165" i="9" s="1"/>
  <c r="BM166" i="9" s="1"/>
  <c r="BM167" i="9" s="1"/>
  <c r="BM168" i="9" s="1"/>
  <c r="BM169" i="9" s="1"/>
  <c r="BM170" i="9" s="1"/>
  <c r="BM171" i="9" s="1"/>
  <c r="BM172" i="9" s="1"/>
  <c r="BM173" i="9" s="1"/>
  <c r="BM174" i="9" s="1"/>
  <c r="BM175" i="9" s="1"/>
  <c r="BM176" i="9" s="1"/>
  <c r="BM177" i="9" s="1"/>
  <c r="BM178" i="9" s="1"/>
  <c r="BM179" i="9" s="1"/>
  <c r="BM180" i="9" s="1"/>
  <c r="BM181" i="9" s="1"/>
  <c r="BM182" i="9" s="1"/>
  <c r="BM183" i="9" s="1"/>
  <c r="BM184" i="9" s="1"/>
  <c r="BM185" i="9" s="1"/>
  <c r="BM186" i="9" s="1"/>
  <c r="BM187" i="9" s="1"/>
  <c r="BM188" i="9" s="1"/>
  <c r="BM189" i="9" s="1"/>
  <c r="BM190" i="9" s="1"/>
  <c r="BM191" i="9" s="1"/>
  <c r="BM192" i="9" s="1"/>
  <c r="BM193" i="9" s="1"/>
  <c r="BM194" i="9" s="1"/>
  <c r="BM195" i="9" s="1"/>
  <c r="BM196" i="9" s="1"/>
  <c r="BM197" i="9" s="1"/>
  <c r="BM198" i="9" s="1"/>
  <c r="BM199" i="9" s="1"/>
  <c r="BM200" i="9" s="1"/>
  <c r="BM201" i="9" s="1"/>
  <c r="BM202" i="9" s="1"/>
  <c r="BM203" i="9" s="1"/>
  <c r="BM204" i="9" s="1"/>
  <c r="BM205" i="9" s="1"/>
  <c r="BM206" i="9" s="1"/>
  <c r="BM207" i="9" s="1"/>
  <c r="BM208" i="9" s="1"/>
  <c r="BM209" i="9" s="1"/>
  <c r="BM210" i="9" s="1"/>
  <c r="BM211" i="9" s="1"/>
  <c r="BM212" i="9" s="1"/>
  <c r="BM213" i="9" s="1"/>
  <c r="BM214" i="9" s="1"/>
  <c r="BM215" i="9" s="1"/>
  <c r="BM216" i="9" s="1"/>
  <c r="BM217" i="9" s="1"/>
  <c r="BM218" i="9" s="1"/>
  <c r="BM219" i="9" s="1"/>
  <c r="BM220" i="9" s="1"/>
  <c r="BM221" i="9" s="1"/>
  <c r="BM222" i="9" s="1"/>
  <c r="BM223" i="9" s="1"/>
  <c r="BM224" i="9" s="1"/>
  <c r="BM225" i="9" s="1"/>
  <c r="BM226" i="9" s="1"/>
  <c r="BM227" i="9" s="1"/>
  <c r="BM228" i="9" s="1"/>
  <c r="BM229" i="9" s="1"/>
  <c r="BM230" i="9" s="1"/>
  <c r="BM231" i="9" s="1"/>
  <c r="BM232" i="9" s="1"/>
  <c r="BM233" i="9" s="1"/>
  <c r="BM234" i="9" s="1"/>
  <c r="BM235" i="9" s="1"/>
  <c r="BM236" i="9" s="1"/>
  <c r="BM237" i="9" s="1"/>
  <c r="BM238" i="9" s="1"/>
  <c r="BM239" i="9" s="1"/>
  <c r="BM240" i="9" s="1"/>
  <c r="BM241" i="9" s="1"/>
  <c r="BM242" i="9" s="1"/>
  <c r="BM243" i="9" s="1"/>
  <c r="BM244" i="9" s="1"/>
  <c r="BM245" i="9" s="1"/>
  <c r="BM246" i="9" s="1"/>
  <c r="BM247" i="9" s="1"/>
  <c r="BM248" i="9" s="1"/>
  <c r="BM249" i="9" s="1"/>
  <c r="BM250" i="9" s="1"/>
  <c r="BM251" i="9" s="1"/>
  <c r="BM252" i="9" s="1"/>
  <c r="BM253" i="9" s="1"/>
  <c r="BM254" i="9" s="1"/>
  <c r="BM255" i="9" s="1"/>
  <c r="BM256" i="9" s="1"/>
  <c r="BM257" i="9" s="1"/>
  <c r="BM258" i="9" s="1"/>
  <c r="BM259" i="9" s="1"/>
  <c r="BM260" i="9" s="1"/>
  <c r="BM261" i="9" s="1"/>
  <c r="BM262" i="9" s="1"/>
  <c r="BM263" i="9" s="1"/>
  <c r="BM264" i="9" s="1"/>
  <c r="BM265" i="9" s="1"/>
  <c r="BM266" i="9" s="1"/>
  <c r="BM267" i="9" s="1"/>
  <c r="BM268" i="9" s="1"/>
  <c r="BM269" i="9" s="1"/>
  <c r="BM270" i="9" s="1"/>
  <c r="BM271" i="9" s="1"/>
  <c r="BM272" i="9" s="1"/>
  <c r="BM273" i="9" s="1"/>
  <c r="BM274" i="9" s="1"/>
  <c r="BM275" i="9" s="1"/>
  <c r="BM276" i="9" s="1"/>
  <c r="BM277" i="9" s="1"/>
  <c r="BM278" i="9" s="1"/>
  <c r="BM279" i="9" s="1"/>
  <c r="BM280" i="9" s="1"/>
  <c r="BM281" i="9" s="1"/>
  <c r="BM282" i="9" s="1"/>
  <c r="BM283" i="9" s="1"/>
  <c r="BM284" i="9" s="1"/>
  <c r="BM285" i="9" s="1"/>
  <c r="BM286" i="9" s="1"/>
  <c r="BM287" i="9" s="1"/>
  <c r="BM288" i="9" s="1"/>
  <c r="BM289" i="9" s="1"/>
  <c r="BM290" i="9" s="1"/>
  <c r="BM291" i="9" s="1"/>
  <c r="BM292" i="9" s="1"/>
  <c r="BM293" i="9" s="1"/>
  <c r="BM294" i="9" s="1"/>
  <c r="BM295" i="9" s="1"/>
  <c r="BM296" i="9" s="1"/>
  <c r="BM297" i="9" s="1"/>
  <c r="BM298" i="9" s="1"/>
  <c r="BM299" i="9" s="1"/>
  <c r="BM300" i="9" s="1"/>
  <c r="BM301" i="9" s="1"/>
  <c r="BM302" i="9" s="1"/>
  <c r="BM303" i="9" s="1"/>
  <c r="BM304" i="9" s="1"/>
  <c r="BM305" i="9" s="1"/>
  <c r="BM306" i="9" s="1"/>
  <c r="BM307" i="9" s="1"/>
  <c r="BM308" i="9" s="1"/>
  <c r="BM309" i="9" s="1"/>
  <c r="BM310" i="9" s="1"/>
  <c r="BM311" i="9" s="1"/>
  <c r="BM312" i="9" s="1"/>
  <c r="BM313" i="9" s="1"/>
  <c r="BM314" i="9" s="1"/>
  <c r="BM315" i="9" s="1"/>
  <c r="BM316" i="9" s="1"/>
  <c r="BM317" i="9" s="1"/>
  <c r="BM318" i="9" s="1"/>
  <c r="BM319" i="9" s="1"/>
  <c r="BM320" i="9" s="1"/>
  <c r="BM321" i="9" s="1"/>
  <c r="BM322" i="9" s="1"/>
  <c r="BM323" i="9" s="1"/>
  <c r="BM324" i="9" s="1"/>
  <c r="BM325" i="9" s="1"/>
  <c r="BM326" i="9" s="1"/>
  <c r="BM327" i="9" s="1"/>
  <c r="BM328" i="9" s="1"/>
  <c r="BM329" i="9" s="1"/>
  <c r="BM330" i="9" s="1"/>
  <c r="BM331" i="9" s="1"/>
  <c r="BM332" i="9" s="1"/>
  <c r="BM333" i="9" s="1"/>
  <c r="BM334" i="9" s="1"/>
  <c r="BM335" i="9" s="1"/>
  <c r="BM336" i="9" s="1"/>
  <c r="BM337" i="9" s="1"/>
  <c r="BM338" i="9" s="1"/>
  <c r="BM339" i="9" s="1"/>
  <c r="BM340" i="9" s="1"/>
  <c r="BM341" i="9" s="1"/>
  <c r="BM342" i="9" s="1"/>
  <c r="BM343" i="9" s="1"/>
  <c r="BM344" i="9" s="1"/>
  <c r="BM345" i="9" s="1"/>
  <c r="BM346" i="9" s="1"/>
  <c r="BM347" i="9" s="1"/>
  <c r="BM348" i="9" s="1"/>
  <c r="BM349" i="9" s="1"/>
  <c r="BM350" i="9" s="1"/>
  <c r="BM351" i="9" s="1"/>
  <c r="BM352" i="9" s="1"/>
  <c r="BM353" i="9" s="1"/>
  <c r="BM354" i="9" s="1"/>
  <c r="BM355" i="9" s="1"/>
  <c r="BM356" i="9" s="1"/>
  <c r="BM357" i="9" s="1"/>
  <c r="BM358" i="9" s="1"/>
  <c r="BM359" i="9" s="1"/>
  <c r="BM360" i="9" s="1"/>
  <c r="BM361" i="9" s="1"/>
  <c r="BM362" i="9" s="1"/>
  <c r="BM363" i="9" s="1"/>
  <c r="BM364" i="9" s="1"/>
  <c r="BM365" i="9" s="1"/>
  <c r="BM366" i="9" s="1"/>
  <c r="BM367" i="9" s="1"/>
  <c r="BB9" i="9"/>
  <c r="BB10" i="9" s="1"/>
  <c r="BB11" i="9" s="1"/>
  <c r="BB12" i="9" s="1"/>
  <c r="BB13" i="9" s="1"/>
  <c r="BB14" i="9" s="1"/>
  <c r="BB15" i="9" s="1"/>
  <c r="BB16" i="9" s="1"/>
  <c r="BB17" i="9" s="1"/>
  <c r="BB18" i="9" s="1"/>
  <c r="BB19" i="9" s="1"/>
  <c r="BB20" i="9" s="1"/>
  <c r="BB21" i="9" s="1"/>
  <c r="BB22" i="9" s="1"/>
  <c r="BB23" i="9" s="1"/>
  <c r="BB24" i="9" s="1"/>
  <c r="BB25" i="9" s="1"/>
  <c r="BB26" i="9" s="1"/>
  <c r="BB27" i="9" s="1"/>
  <c r="BB28" i="9" s="1"/>
  <c r="BB29" i="9" s="1"/>
  <c r="BB30" i="9" s="1"/>
  <c r="BB31" i="9" s="1"/>
  <c r="BB32" i="9" s="1"/>
  <c r="BB33" i="9" s="1"/>
  <c r="BB34" i="9" s="1"/>
  <c r="BB35" i="9" s="1"/>
  <c r="BB36" i="9" s="1"/>
  <c r="BB37" i="9" s="1"/>
  <c r="BB38" i="9" s="1"/>
  <c r="BB39" i="9" s="1"/>
  <c r="BB40" i="9" s="1"/>
  <c r="BB41" i="9" s="1"/>
  <c r="BB42" i="9" s="1"/>
  <c r="BB43" i="9" s="1"/>
  <c r="BB44" i="9" s="1"/>
  <c r="BB45" i="9" s="1"/>
  <c r="BB46" i="9" s="1"/>
  <c r="BB47" i="9" s="1"/>
  <c r="BB48" i="9" s="1"/>
  <c r="BB49" i="9" s="1"/>
  <c r="BB50" i="9" s="1"/>
  <c r="BB51" i="9" s="1"/>
  <c r="BB52" i="9" s="1"/>
  <c r="BB53" i="9" s="1"/>
  <c r="BB54" i="9" s="1"/>
  <c r="BB55" i="9" s="1"/>
  <c r="BB56" i="9" s="1"/>
  <c r="BB57" i="9" s="1"/>
  <c r="BB58" i="9" s="1"/>
  <c r="BB59" i="9" s="1"/>
  <c r="BB60" i="9" s="1"/>
  <c r="BB61" i="9" s="1"/>
  <c r="BB62" i="9" s="1"/>
  <c r="BB63" i="9" s="1"/>
  <c r="BB64" i="9" s="1"/>
  <c r="BB65" i="9" s="1"/>
  <c r="BB66" i="9" s="1"/>
  <c r="BB67" i="9" s="1"/>
  <c r="BB68" i="9" s="1"/>
  <c r="BB69" i="9" s="1"/>
  <c r="BB70" i="9" s="1"/>
  <c r="BB71" i="9" s="1"/>
  <c r="BB72" i="9" s="1"/>
  <c r="BB73" i="9" s="1"/>
  <c r="BB74" i="9" s="1"/>
  <c r="BB75" i="9" s="1"/>
  <c r="BB76" i="9" s="1"/>
  <c r="BB77" i="9" s="1"/>
  <c r="BB78" i="9" s="1"/>
  <c r="BB79" i="9" s="1"/>
  <c r="BB80" i="9" s="1"/>
  <c r="BB81" i="9" s="1"/>
  <c r="BB82" i="9" s="1"/>
  <c r="BB83" i="9" s="1"/>
  <c r="BB84" i="9" s="1"/>
  <c r="BB85" i="9" s="1"/>
  <c r="BB86" i="9" s="1"/>
  <c r="BB87" i="9" s="1"/>
  <c r="BB88" i="9" s="1"/>
  <c r="BB89" i="9" s="1"/>
  <c r="BB90" i="9" s="1"/>
  <c r="BB91" i="9" s="1"/>
  <c r="BB92" i="9" s="1"/>
  <c r="BB93" i="9" s="1"/>
  <c r="BB94" i="9" s="1"/>
  <c r="BB95" i="9" s="1"/>
  <c r="BB96" i="9" s="1"/>
  <c r="BB97" i="9" s="1"/>
  <c r="BB98" i="9" s="1"/>
  <c r="BB99" i="9" s="1"/>
  <c r="BB100" i="9" s="1"/>
  <c r="BB101" i="9" s="1"/>
  <c r="BB102" i="9" s="1"/>
  <c r="BB103" i="9" s="1"/>
  <c r="BB104" i="9" s="1"/>
  <c r="BB105" i="9" s="1"/>
  <c r="BB106" i="9" s="1"/>
  <c r="BB107" i="9" s="1"/>
  <c r="BB108" i="9" s="1"/>
  <c r="BB109" i="9" s="1"/>
  <c r="BB110" i="9" s="1"/>
  <c r="BB111" i="9" s="1"/>
  <c r="BB112" i="9" s="1"/>
  <c r="BB113" i="9" s="1"/>
  <c r="BB114" i="9" s="1"/>
  <c r="BB115" i="9" s="1"/>
  <c r="BB116" i="9" s="1"/>
  <c r="BB117" i="9" s="1"/>
  <c r="BB118" i="9" s="1"/>
  <c r="BB119" i="9" s="1"/>
  <c r="BB120" i="9" s="1"/>
  <c r="BB121" i="9" s="1"/>
  <c r="BB122" i="9" s="1"/>
  <c r="BB123" i="9" s="1"/>
  <c r="BB124" i="9" s="1"/>
  <c r="BB125" i="9" s="1"/>
  <c r="BB126" i="9" s="1"/>
  <c r="BB127" i="9" s="1"/>
  <c r="BB128" i="9" s="1"/>
  <c r="BB129" i="9" s="1"/>
  <c r="BB130" i="9" s="1"/>
  <c r="BB131" i="9" s="1"/>
  <c r="BB132" i="9" s="1"/>
  <c r="BB133" i="9" s="1"/>
  <c r="BB134" i="9" s="1"/>
  <c r="BB135" i="9" s="1"/>
  <c r="BB136" i="9" s="1"/>
  <c r="BB137" i="9" s="1"/>
  <c r="BB138" i="9" s="1"/>
  <c r="BB139" i="9" s="1"/>
  <c r="BB140" i="9" s="1"/>
  <c r="BB141" i="9" s="1"/>
  <c r="BB142" i="9" s="1"/>
  <c r="BB143" i="9" s="1"/>
  <c r="BB144" i="9" s="1"/>
  <c r="BB145" i="9" s="1"/>
  <c r="BB146" i="9" s="1"/>
  <c r="BB147" i="9" s="1"/>
  <c r="BB148" i="9" s="1"/>
  <c r="BB149" i="9" s="1"/>
  <c r="BB150" i="9" s="1"/>
  <c r="BB151" i="9" s="1"/>
  <c r="BB152" i="9" s="1"/>
  <c r="BB153" i="9" s="1"/>
  <c r="BB154" i="9" s="1"/>
  <c r="BB155" i="9" s="1"/>
  <c r="BB156" i="9" s="1"/>
  <c r="BB157" i="9" s="1"/>
  <c r="BB158" i="9" s="1"/>
  <c r="BB159" i="9" s="1"/>
  <c r="BB160" i="9" s="1"/>
  <c r="BB161" i="9" s="1"/>
  <c r="BB162" i="9" s="1"/>
  <c r="BB163" i="9" s="1"/>
  <c r="BB164" i="9" s="1"/>
  <c r="BB165" i="9" s="1"/>
  <c r="BB166" i="9" s="1"/>
  <c r="BB167" i="9" s="1"/>
  <c r="BB168" i="9" s="1"/>
  <c r="BB169" i="9" s="1"/>
  <c r="BB170" i="9" s="1"/>
  <c r="BB171" i="9" s="1"/>
  <c r="BB172" i="9" s="1"/>
  <c r="BB173" i="9" s="1"/>
  <c r="BB174" i="9" s="1"/>
  <c r="BB175" i="9" s="1"/>
  <c r="BB176" i="9" s="1"/>
  <c r="BB177" i="9" s="1"/>
  <c r="BB178" i="9" s="1"/>
  <c r="BB179" i="9" s="1"/>
  <c r="BB180" i="9" s="1"/>
  <c r="BB181" i="9" s="1"/>
  <c r="BB182" i="9" s="1"/>
  <c r="BB183" i="9" s="1"/>
  <c r="BB184" i="9" s="1"/>
  <c r="BB185" i="9" s="1"/>
  <c r="BB186" i="9" s="1"/>
  <c r="BB187" i="9" s="1"/>
  <c r="BB188" i="9" s="1"/>
  <c r="BB189" i="9" s="1"/>
  <c r="BB190" i="9" s="1"/>
  <c r="BB191" i="9" s="1"/>
  <c r="BB192" i="9" s="1"/>
  <c r="BB193" i="9" s="1"/>
  <c r="BB194" i="9" s="1"/>
  <c r="BB195" i="9" s="1"/>
  <c r="BB196" i="9" s="1"/>
  <c r="BB197" i="9" s="1"/>
  <c r="BB198" i="9" s="1"/>
  <c r="BB199" i="9" s="1"/>
  <c r="BB200" i="9" s="1"/>
  <c r="BB201" i="9" s="1"/>
  <c r="BB202" i="9" s="1"/>
  <c r="BB203" i="9" s="1"/>
  <c r="BB204" i="9" s="1"/>
  <c r="BB205" i="9" s="1"/>
  <c r="BB206" i="9" s="1"/>
  <c r="BB207" i="9" s="1"/>
  <c r="BB208" i="9" s="1"/>
  <c r="BB209" i="9" s="1"/>
  <c r="BB210" i="9" s="1"/>
  <c r="BB211" i="9" s="1"/>
  <c r="BB212" i="9" s="1"/>
  <c r="BB213" i="9" s="1"/>
  <c r="BB214" i="9" s="1"/>
  <c r="BB215" i="9" s="1"/>
  <c r="BB216" i="9" s="1"/>
  <c r="BB217" i="9" s="1"/>
  <c r="BB218" i="9" s="1"/>
  <c r="BB219" i="9" s="1"/>
  <c r="BB220" i="9" s="1"/>
  <c r="BB221" i="9" s="1"/>
  <c r="BB222" i="9" s="1"/>
  <c r="BB223" i="9" s="1"/>
  <c r="BB224" i="9" s="1"/>
  <c r="BB225" i="9" s="1"/>
  <c r="BB226" i="9" s="1"/>
  <c r="BB227" i="9" s="1"/>
  <c r="BB228" i="9" s="1"/>
  <c r="BB229" i="9" s="1"/>
  <c r="BB230" i="9" s="1"/>
  <c r="BB231" i="9" s="1"/>
  <c r="BB232" i="9" s="1"/>
  <c r="BB233" i="9" s="1"/>
  <c r="BB234" i="9" s="1"/>
  <c r="BB235" i="9" s="1"/>
  <c r="BB236" i="9" s="1"/>
  <c r="BB237" i="9" s="1"/>
  <c r="BB238" i="9" s="1"/>
  <c r="BB239" i="9" s="1"/>
  <c r="BB240" i="9" s="1"/>
  <c r="BB241" i="9" s="1"/>
  <c r="BB242" i="9" s="1"/>
  <c r="BB243" i="9" s="1"/>
  <c r="BB244" i="9" s="1"/>
  <c r="BB245" i="9" s="1"/>
  <c r="BB246" i="9" s="1"/>
  <c r="BB247" i="9" s="1"/>
  <c r="BB248" i="9" s="1"/>
  <c r="BB249" i="9" s="1"/>
  <c r="BB250" i="9" s="1"/>
  <c r="BB251" i="9" s="1"/>
  <c r="BB252" i="9" s="1"/>
  <c r="BB253" i="9" s="1"/>
  <c r="BB254" i="9" s="1"/>
  <c r="BB255" i="9" s="1"/>
  <c r="BB256" i="9" s="1"/>
  <c r="BB257" i="9" s="1"/>
  <c r="BB258" i="9" s="1"/>
  <c r="BB259" i="9" s="1"/>
  <c r="BB260" i="9" s="1"/>
  <c r="BB261" i="9" s="1"/>
  <c r="BB262" i="9" s="1"/>
  <c r="BB263" i="9" s="1"/>
  <c r="BB264" i="9" s="1"/>
  <c r="BB265" i="9" s="1"/>
  <c r="BB266" i="9" s="1"/>
  <c r="BB267" i="9" s="1"/>
  <c r="BB268" i="9" s="1"/>
  <c r="BB269" i="9" s="1"/>
  <c r="BB270" i="9" s="1"/>
  <c r="BB271" i="9" s="1"/>
  <c r="BB272" i="9" s="1"/>
  <c r="BB273" i="9" s="1"/>
  <c r="BB274" i="9" s="1"/>
  <c r="BB275" i="9" s="1"/>
  <c r="BB276" i="9" s="1"/>
  <c r="BB277" i="9" s="1"/>
  <c r="BB278" i="9" s="1"/>
  <c r="BB279" i="9" s="1"/>
  <c r="BB280" i="9" s="1"/>
  <c r="BB281" i="9" s="1"/>
  <c r="BB282" i="9" s="1"/>
  <c r="BB283" i="9" s="1"/>
  <c r="BB284" i="9" s="1"/>
  <c r="BB285" i="9" s="1"/>
  <c r="BB286" i="9" s="1"/>
  <c r="BB287" i="9" s="1"/>
  <c r="BB288" i="9" s="1"/>
  <c r="BB289" i="9" s="1"/>
  <c r="BB290" i="9" s="1"/>
  <c r="BB291" i="9" s="1"/>
  <c r="BB292" i="9" s="1"/>
  <c r="BB293" i="9" s="1"/>
  <c r="BB294" i="9" s="1"/>
  <c r="BB295" i="9" s="1"/>
  <c r="BB296" i="9" s="1"/>
  <c r="BB297" i="9" s="1"/>
  <c r="BB298" i="9" s="1"/>
  <c r="BB299" i="9" s="1"/>
  <c r="BB300" i="9" s="1"/>
  <c r="BB301" i="9" s="1"/>
  <c r="BB302" i="9" s="1"/>
  <c r="BB303" i="9" s="1"/>
  <c r="BB304" i="9" s="1"/>
  <c r="BB305" i="9" s="1"/>
  <c r="BB306" i="9" s="1"/>
  <c r="BB307" i="9" s="1"/>
  <c r="BB308" i="9" s="1"/>
  <c r="BB309" i="9" s="1"/>
  <c r="BB310" i="9" s="1"/>
  <c r="BB311" i="9" s="1"/>
  <c r="BB312" i="9" s="1"/>
  <c r="BB313" i="9" s="1"/>
  <c r="BB314" i="9" s="1"/>
  <c r="BB315" i="9" s="1"/>
  <c r="BB316" i="9" s="1"/>
  <c r="BB317" i="9" s="1"/>
  <c r="BB318" i="9" s="1"/>
  <c r="BB319" i="9" s="1"/>
  <c r="BB320" i="9" s="1"/>
  <c r="BB321" i="9" s="1"/>
  <c r="BB322" i="9" s="1"/>
  <c r="BB323" i="9" s="1"/>
  <c r="BB324" i="9" s="1"/>
  <c r="BB325" i="9" s="1"/>
  <c r="BB326" i="9" s="1"/>
  <c r="BB327" i="9" s="1"/>
  <c r="BB328" i="9" s="1"/>
  <c r="BB329" i="9" s="1"/>
  <c r="BB330" i="9" s="1"/>
  <c r="BB331" i="9" s="1"/>
  <c r="BB332" i="9" s="1"/>
  <c r="BB333" i="9" s="1"/>
  <c r="BB334" i="9" s="1"/>
  <c r="BB335" i="9" s="1"/>
  <c r="BB336" i="9" s="1"/>
  <c r="BB337" i="9" s="1"/>
  <c r="BB338" i="9" s="1"/>
  <c r="BB339" i="9" s="1"/>
  <c r="BB340" i="9" s="1"/>
  <c r="BB341" i="9" s="1"/>
  <c r="BB342" i="9" s="1"/>
  <c r="BB343" i="9" s="1"/>
  <c r="BB344" i="9" s="1"/>
  <c r="BB345" i="9" s="1"/>
  <c r="BB346" i="9" s="1"/>
  <c r="BB347" i="9" s="1"/>
  <c r="BB348" i="9" s="1"/>
  <c r="BB349" i="9" s="1"/>
  <c r="BB350" i="9" s="1"/>
  <c r="BB351" i="9" s="1"/>
  <c r="BB352" i="9" s="1"/>
  <c r="BB353" i="9" s="1"/>
  <c r="BB354" i="9" s="1"/>
  <c r="BB355" i="9" s="1"/>
  <c r="BB356" i="9" s="1"/>
  <c r="BB357" i="9" s="1"/>
  <c r="BB358" i="9" s="1"/>
  <c r="BB359" i="9" s="1"/>
  <c r="BB360" i="9" s="1"/>
  <c r="BB361" i="9" s="1"/>
  <c r="BB362" i="9" s="1"/>
  <c r="BB363" i="9" s="1"/>
  <c r="BB364" i="9" s="1"/>
  <c r="BB365" i="9" s="1"/>
  <c r="BB366" i="9" s="1"/>
  <c r="BB367" i="9" s="1"/>
  <c r="BB368" i="9" s="1"/>
  <c r="BB369" i="9" s="1"/>
  <c r="BB370" i="9" s="1"/>
  <c r="BB371" i="9" s="1"/>
  <c r="BB372" i="9" s="1"/>
  <c r="BB373" i="9" s="1"/>
  <c r="BB374" i="9" s="1"/>
  <c r="BB375" i="9" s="1"/>
  <c r="BB376" i="9" s="1"/>
  <c r="BB377" i="9" s="1"/>
  <c r="BB378" i="9" s="1"/>
  <c r="BB379" i="9" s="1"/>
  <c r="BB380" i="9" s="1"/>
  <c r="BB381" i="9" s="1"/>
  <c r="BB382" i="9" s="1"/>
  <c r="BB383" i="9" s="1"/>
  <c r="BB384" i="9" s="1"/>
  <c r="BB385" i="9" s="1"/>
  <c r="BB386" i="9" s="1"/>
  <c r="BB387" i="9" s="1"/>
  <c r="BB388" i="9" s="1"/>
  <c r="BB389" i="9" s="1"/>
  <c r="BB390" i="9" s="1"/>
  <c r="BB391" i="9" s="1"/>
  <c r="BB392" i="9" s="1"/>
  <c r="BB393" i="9" s="1"/>
  <c r="BB394" i="9" s="1"/>
  <c r="BB395" i="9" s="1"/>
  <c r="BB396" i="9" s="1"/>
  <c r="BB397" i="9" s="1"/>
  <c r="BB398" i="9" s="1"/>
  <c r="BB399" i="9" s="1"/>
  <c r="BB400" i="9" s="1"/>
  <c r="BB401" i="9" s="1"/>
  <c r="BB402" i="9" s="1"/>
  <c r="BB403" i="9" s="1"/>
  <c r="BB404" i="9" s="1"/>
  <c r="BB405" i="9" s="1"/>
  <c r="BB406" i="9" s="1"/>
  <c r="BB407" i="9" s="1"/>
  <c r="BB408" i="9" s="1"/>
  <c r="BB409" i="9" s="1"/>
  <c r="BB410" i="9" s="1"/>
  <c r="BB411" i="9" s="1"/>
  <c r="BB412" i="9" s="1"/>
  <c r="BB413" i="9" s="1"/>
  <c r="BB414" i="9" s="1"/>
  <c r="BB415" i="9" s="1"/>
  <c r="BB416" i="9" s="1"/>
  <c r="BB417" i="9" s="1"/>
  <c r="BB418" i="9" s="1"/>
  <c r="BB419" i="9" s="1"/>
  <c r="AX9" i="9"/>
  <c r="AX10" i="9" s="1"/>
  <c r="AX11" i="9" s="1"/>
  <c r="AX12" i="9" s="1"/>
  <c r="AX13" i="9" s="1"/>
  <c r="AX14" i="9" s="1"/>
  <c r="AX15" i="9" s="1"/>
  <c r="AX16" i="9" s="1"/>
  <c r="AX17" i="9" s="1"/>
  <c r="AX18" i="9" s="1"/>
  <c r="AX19" i="9" s="1"/>
  <c r="AX20" i="9" s="1"/>
  <c r="AX21" i="9" s="1"/>
  <c r="AX22" i="9" s="1"/>
  <c r="AX23" i="9" s="1"/>
  <c r="AX24" i="9" s="1"/>
  <c r="AX25" i="9" s="1"/>
  <c r="AX26" i="9" s="1"/>
  <c r="AX27" i="9" s="1"/>
  <c r="AX28" i="9" s="1"/>
  <c r="AX29" i="9" s="1"/>
  <c r="AX30" i="9" s="1"/>
  <c r="AX31" i="9" s="1"/>
  <c r="AX32" i="9" s="1"/>
  <c r="AX33" i="9" s="1"/>
  <c r="AX34" i="9" s="1"/>
  <c r="AX35" i="9" s="1"/>
  <c r="AX36" i="9" s="1"/>
  <c r="AX37" i="9" s="1"/>
  <c r="AX38" i="9" s="1"/>
  <c r="AX39" i="9" s="1"/>
  <c r="AX40" i="9" s="1"/>
  <c r="AX41" i="9" s="1"/>
  <c r="AX42" i="9" s="1"/>
  <c r="AX43" i="9" s="1"/>
  <c r="AX44" i="9" s="1"/>
  <c r="AX45" i="9" s="1"/>
  <c r="AX46" i="9" s="1"/>
  <c r="AX47" i="9" s="1"/>
  <c r="AX48" i="9" s="1"/>
  <c r="AX49" i="9" s="1"/>
  <c r="AX50" i="9" s="1"/>
  <c r="AX51" i="9" s="1"/>
  <c r="AX52" i="9" s="1"/>
  <c r="AX53" i="9" s="1"/>
  <c r="AX54" i="9" s="1"/>
  <c r="AX55" i="9" s="1"/>
  <c r="AX56" i="9" s="1"/>
  <c r="AX57" i="9" s="1"/>
  <c r="AX58" i="9" s="1"/>
  <c r="AX59" i="9" s="1"/>
  <c r="AX60" i="9" s="1"/>
  <c r="AX61" i="9" s="1"/>
  <c r="AX62" i="9" s="1"/>
  <c r="AX63" i="9" s="1"/>
  <c r="AX64" i="9" s="1"/>
  <c r="AX65" i="9" s="1"/>
  <c r="AX66" i="9" s="1"/>
  <c r="AX67" i="9" s="1"/>
  <c r="AX68" i="9" s="1"/>
  <c r="AX69" i="9" s="1"/>
  <c r="AX70" i="9" s="1"/>
  <c r="AX71" i="9" s="1"/>
  <c r="AX72" i="9" s="1"/>
  <c r="AX73" i="9" s="1"/>
  <c r="AX74" i="9" s="1"/>
  <c r="AX75" i="9" s="1"/>
  <c r="AX76" i="9" s="1"/>
  <c r="AX77" i="9" s="1"/>
  <c r="AX78" i="9" s="1"/>
  <c r="AX79" i="9" s="1"/>
  <c r="AX80" i="9" s="1"/>
  <c r="AX81" i="9" s="1"/>
  <c r="AX82" i="9" s="1"/>
  <c r="AX83" i="9" s="1"/>
  <c r="AX84" i="9" s="1"/>
  <c r="AX85" i="9" s="1"/>
  <c r="AX86" i="9" s="1"/>
  <c r="AX87" i="9" s="1"/>
  <c r="AX88" i="9" s="1"/>
  <c r="AX89" i="9" s="1"/>
  <c r="AX90" i="9" s="1"/>
  <c r="AX91" i="9" s="1"/>
  <c r="AX92" i="9" s="1"/>
  <c r="AX93" i="9" s="1"/>
  <c r="AX94" i="9" s="1"/>
  <c r="AX95" i="9" s="1"/>
  <c r="AX96" i="9" s="1"/>
  <c r="AX97" i="9" s="1"/>
  <c r="AX98" i="9" s="1"/>
  <c r="AX99" i="9" s="1"/>
  <c r="AX100" i="9" s="1"/>
  <c r="AX101" i="9" s="1"/>
  <c r="AX102" i="9" s="1"/>
  <c r="AX103" i="9" s="1"/>
  <c r="AX104" i="9" s="1"/>
  <c r="AX105" i="9" s="1"/>
  <c r="AX106" i="9" s="1"/>
  <c r="AX107" i="9" s="1"/>
  <c r="AX108" i="9" s="1"/>
  <c r="AX109" i="9" s="1"/>
  <c r="AX110" i="9" s="1"/>
  <c r="AX111" i="9" s="1"/>
  <c r="AX112" i="9" s="1"/>
  <c r="AX113" i="9" s="1"/>
  <c r="AX114" i="9" s="1"/>
  <c r="AX115" i="9" s="1"/>
  <c r="AX116" i="9" s="1"/>
  <c r="AX117" i="9" s="1"/>
  <c r="AX118" i="9" s="1"/>
  <c r="AX119" i="9" s="1"/>
  <c r="AX120" i="9" s="1"/>
  <c r="AX121" i="9" s="1"/>
  <c r="AX122" i="9" s="1"/>
  <c r="AX123" i="9" s="1"/>
  <c r="AX124" i="9" s="1"/>
  <c r="AX125" i="9" s="1"/>
  <c r="AX126" i="9" s="1"/>
  <c r="AX127" i="9" s="1"/>
  <c r="AX128" i="9" s="1"/>
  <c r="AX129" i="9" s="1"/>
  <c r="AX130" i="9" s="1"/>
  <c r="AX131" i="9" s="1"/>
  <c r="AX132" i="9" s="1"/>
  <c r="AX133" i="9" s="1"/>
  <c r="AX134" i="9" s="1"/>
  <c r="AX135" i="9" s="1"/>
  <c r="AX136" i="9" s="1"/>
  <c r="AX137" i="9" s="1"/>
  <c r="AX138" i="9" s="1"/>
  <c r="AX139" i="9" s="1"/>
  <c r="AX140" i="9" s="1"/>
  <c r="AX141" i="9" s="1"/>
  <c r="AX142" i="9" s="1"/>
  <c r="AX143" i="9" s="1"/>
  <c r="AX144" i="9" s="1"/>
  <c r="AX145" i="9" s="1"/>
  <c r="AX146" i="9" s="1"/>
  <c r="AX147" i="9" s="1"/>
  <c r="AX148" i="9" s="1"/>
  <c r="AX149" i="9" s="1"/>
  <c r="AX150" i="9" s="1"/>
  <c r="AX151" i="9" s="1"/>
  <c r="AX152" i="9" s="1"/>
  <c r="AX153" i="9" s="1"/>
  <c r="AX154" i="9" s="1"/>
  <c r="AX155" i="9" s="1"/>
  <c r="AX156" i="9" s="1"/>
  <c r="AX157" i="9" s="1"/>
  <c r="AX158" i="9" s="1"/>
  <c r="AX159" i="9" s="1"/>
  <c r="AX160" i="9" s="1"/>
  <c r="AX161" i="9" s="1"/>
  <c r="AX162" i="9" s="1"/>
  <c r="AX163" i="9" s="1"/>
  <c r="AX164" i="9" s="1"/>
  <c r="AX165" i="9" s="1"/>
  <c r="AX166" i="9" s="1"/>
  <c r="AX167" i="9" s="1"/>
  <c r="AX168" i="9" s="1"/>
  <c r="AX169" i="9" s="1"/>
  <c r="AX170" i="9" s="1"/>
  <c r="AX171" i="9" s="1"/>
  <c r="AX172" i="9" s="1"/>
  <c r="AX173" i="9" s="1"/>
  <c r="AX174" i="9" s="1"/>
  <c r="AX175" i="9" s="1"/>
  <c r="AX176" i="9" s="1"/>
  <c r="AX177" i="9" s="1"/>
  <c r="AX178" i="9" s="1"/>
  <c r="AX179" i="9" s="1"/>
  <c r="AX180" i="9" s="1"/>
  <c r="AX181" i="9" s="1"/>
  <c r="AX182" i="9" s="1"/>
  <c r="AX183" i="9" s="1"/>
  <c r="AX184" i="9" s="1"/>
  <c r="AX185" i="9" s="1"/>
  <c r="AX186" i="9" s="1"/>
  <c r="AX187" i="9" s="1"/>
  <c r="AX188" i="9" s="1"/>
  <c r="AX189" i="9" s="1"/>
  <c r="AX190" i="9" s="1"/>
  <c r="AX191" i="9" s="1"/>
  <c r="AX192" i="9" s="1"/>
  <c r="AX193" i="9" s="1"/>
  <c r="AX194" i="9" s="1"/>
  <c r="AX195" i="9" s="1"/>
  <c r="AX196" i="9" s="1"/>
  <c r="AX197" i="9" s="1"/>
  <c r="AX198" i="9" s="1"/>
  <c r="AX199" i="9" s="1"/>
  <c r="AX200" i="9" s="1"/>
  <c r="AX201" i="9" s="1"/>
  <c r="AX202" i="9" s="1"/>
  <c r="AX203" i="9" s="1"/>
  <c r="AX204" i="9" s="1"/>
  <c r="AX205" i="9" s="1"/>
  <c r="AX206" i="9" s="1"/>
  <c r="AX207" i="9" s="1"/>
  <c r="AX208" i="9" s="1"/>
  <c r="AX209" i="9" s="1"/>
  <c r="AX210" i="9" s="1"/>
  <c r="AX211" i="9" s="1"/>
  <c r="AX212" i="9" s="1"/>
  <c r="AX213" i="9" s="1"/>
  <c r="AX214" i="9" s="1"/>
  <c r="AX215" i="9" s="1"/>
  <c r="AX216" i="9" s="1"/>
  <c r="AX217" i="9" s="1"/>
  <c r="AX218" i="9" s="1"/>
  <c r="AX219" i="9" s="1"/>
  <c r="AX220" i="9" s="1"/>
  <c r="AX221" i="9" s="1"/>
  <c r="AX222" i="9" s="1"/>
  <c r="AX223" i="9" s="1"/>
  <c r="AX224" i="9" s="1"/>
  <c r="AX225" i="9" s="1"/>
  <c r="AX226" i="9" s="1"/>
  <c r="AX227" i="9" s="1"/>
  <c r="AX228" i="9" s="1"/>
  <c r="AX229" i="9" s="1"/>
  <c r="AX230" i="9" s="1"/>
  <c r="AX231" i="9" s="1"/>
  <c r="AX232" i="9" s="1"/>
  <c r="AX233" i="9" s="1"/>
  <c r="AX234" i="9" s="1"/>
  <c r="AX235" i="9" s="1"/>
  <c r="AX236" i="9" s="1"/>
  <c r="AX237" i="9" s="1"/>
  <c r="AX238" i="9" s="1"/>
  <c r="AX239" i="9" s="1"/>
  <c r="AX240" i="9" s="1"/>
  <c r="AX241" i="9" s="1"/>
  <c r="AX242" i="9" s="1"/>
  <c r="AX243" i="9" s="1"/>
  <c r="AX244" i="9" s="1"/>
  <c r="AX245" i="9" s="1"/>
  <c r="AX246" i="9" s="1"/>
  <c r="AX247" i="9" s="1"/>
  <c r="AX248" i="9" s="1"/>
  <c r="AX249" i="9" s="1"/>
  <c r="AX250" i="9" s="1"/>
  <c r="AX251" i="9" s="1"/>
  <c r="AX252" i="9" s="1"/>
  <c r="AX253" i="9" s="1"/>
  <c r="AX254" i="9" s="1"/>
  <c r="AX255" i="9" s="1"/>
  <c r="AX256" i="9" s="1"/>
  <c r="AX257" i="9" s="1"/>
  <c r="AX258" i="9" s="1"/>
  <c r="AX259" i="9" s="1"/>
  <c r="AX260" i="9" s="1"/>
  <c r="AX261" i="9" s="1"/>
  <c r="AX262" i="9" s="1"/>
  <c r="AX263" i="9" s="1"/>
  <c r="AX264" i="9" s="1"/>
  <c r="AX265" i="9" s="1"/>
  <c r="AX266" i="9" s="1"/>
  <c r="AX267" i="9" s="1"/>
  <c r="AX268" i="9" s="1"/>
  <c r="AX269" i="9" s="1"/>
  <c r="AX270" i="9" s="1"/>
  <c r="AX271" i="9" s="1"/>
  <c r="AX272" i="9" s="1"/>
  <c r="AX273" i="9" s="1"/>
  <c r="AX274" i="9" s="1"/>
  <c r="AX275" i="9" s="1"/>
  <c r="AX276" i="9" s="1"/>
  <c r="AX277" i="9" s="1"/>
  <c r="AX278" i="9" s="1"/>
  <c r="AX279" i="9" s="1"/>
  <c r="AX280" i="9" s="1"/>
  <c r="AX281" i="9" s="1"/>
  <c r="AX282" i="9" s="1"/>
  <c r="AX283" i="9" s="1"/>
  <c r="AX284" i="9" s="1"/>
  <c r="AX285" i="9" s="1"/>
  <c r="AX286" i="9" s="1"/>
  <c r="AX287" i="9" s="1"/>
  <c r="AX288" i="9" s="1"/>
  <c r="AX289" i="9" s="1"/>
  <c r="AX290" i="9" s="1"/>
  <c r="AX291" i="9" s="1"/>
  <c r="AX292" i="9" s="1"/>
  <c r="AX293" i="9" s="1"/>
  <c r="AX294" i="9" s="1"/>
  <c r="AX295" i="9" s="1"/>
  <c r="AX296" i="9" s="1"/>
  <c r="AX297" i="9" s="1"/>
  <c r="AX298" i="9" s="1"/>
  <c r="AX299" i="9" s="1"/>
  <c r="AX300" i="9" s="1"/>
  <c r="AX301" i="9" s="1"/>
  <c r="AX302" i="9" s="1"/>
  <c r="AX303" i="9" s="1"/>
  <c r="AX304" i="9" s="1"/>
  <c r="AX305" i="9" s="1"/>
  <c r="AX306" i="9" s="1"/>
  <c r="AX307" i="9" s="1"/>
  <c r="AX308" i="9" s="1"/>
  <c r="AX309" i="9" s="1"/>
  <c r="AX310" i="9" s="1"/>
  <c r="AX311" i="9" s="1"/>
  <c r="AX312" i="9" s="1"/>
  <c r="AX313" i="9" s="1"/>
  <c r="AX314" i="9" s="1"/>
  <c r="AX315" i="9" s="1"/>
  <c r="AX316" i="9" s="1"/>
  <c r="AX317" i="9" s="1"/>
  <c r="AX318" i="9" s="1"/>
  <c r="AX319" i="9" s="1"/>
  <c r="AX320" i="9" s="1"/>
  <c r="AX321" i="9" s="1"/>
  <c r="AX322" i="9" s="1"/>
  <c r="AX323" i="9" s="1"/>
  <c r="AX324" i="9" s="1"/>
  <c r="AX325" i="9" s="1"/>
  <c r="AX326" i="9" s="1"/>
  <c r="AX327" i="9" s="1"/>
  <c r="AX328" i="9" s="1"/>
  <c r="AX329" i="9" s="1"/>
  <c r="AX330" i="9" s="1"/>
  <c r="AX331" i="9" s="1"/>
  <c r="AX332" i="9" s="1"/>
  <c r="AX333" i="9" s="1"/>
  <c r="AX334" i="9" s="1"/>
  <c r="AX335" i="9" s="1"/>
  <c r="AX336" i="9" s="1"/>
  <c r="AX337" i="9" s="1"/>
  <c r="AX338" i="9" s="1"/>
  <c r="AX339" i="9" s="1"/>
  <c r="AX340" i="9" s="1"/>
  <c r="AX341" i="9" s="1"/>
  <c r="AX342" i="9" s="1"/>
  <c r="AX343" i="9" s="1"/>
  <c r="AX344" i="9" s="1"/>
  <c r="AX345" i="9" s="1"/>
  <c r="AX346" i="9" s="1"/>
  <c r="AX347" i="9" s="1"/>
  <c r="AX348" i="9" s="1"/>
  <c r="AX349" i="9" s="1"/>
  <c r="AX350" i="9" s="1"/>
  <c r="AX351" i="9" s="1"/>
  <c r="AX352" i="9" s="1"/>
  <c r="AX353" i="9" s="1"/>
  <c r="AX354" i="9" s="1"/>
  <c r="AX355" i="9" s="1"/>
  <c r="AX356" i="9" s="1"/>
  <c r="AX357" i="9" s="1"/>
  <c r="AX358" i="9" s="1"/>
  <c r="AX359" i="9" s="1"/>
  <c r="AX360" i="9" s="1"/>
  <c r="AX361" i="9" s="1"/>
  <c r="AX362" i="9" s="1"/>
  <c r="AX363" i="9" s="1"/>
  <c r="AX364" i="9" s="1"/>
  <c r="AX365" i="9" s="1"/>
  <c r="AX366" i="9" s="1"/>
  <c r="AX367" i="9" s="1"/>
  <c r="AX368" i="9" s="1"/>
  <c r="AX369" i="9" s="1"/>
  <c r="AX370" i="9" s="1"/>
  <c r="AX371" i="9" s="1"/>
  <c r="AX372" i="9" s="1"/>
  <c r="AX373" i="9" s="1"/>
  <c r="AX374" i="9" s="1"/>
  <c r="AX375" i="9" s="1"/>
  <c r="AX376" i="9" s="1"/>
  <c r="AX377" i="9" s="1"/>
  <c r="AX378" i="9" s="1"/>
  <c r="AX379" i="9" s="1"/>
  <c r="AX380" i="9" s="1"/>
  <c r="AX381" i="9" s="1"/>
  <c r="AX382" i="9" s="1"/>
  <c r="AX383" i="9" s="1"/>
  <c r="AX384" i="9" s="1"/>
  <c r="AX385" i="9" s="1"/>
  <c r="AX386" i="9" s="1"/>
  <c r="AX387" i="9" s="1"/>
  <c r="AX388" i="9" s="1"/>
  <c r="AX389" i="9" s="1"/>
  <c r="AX390" i="9" s="1"/>
  <c r="AX391" i="9" s="1"/>
  <c r="AX392" i="9" s="1"/>
  <c r="AX393" i="9" s="1"/>
  <c r="AX394" i="9" s="1"/>
  <c r="AX395" i="9" s="1"/>
  <c r="AX396" i="9" s="1"/>
  <c r="AX397" i="9" s="1"/>
  <c r="AX398" i="9" s="1"/>
  <c r="AX399" i="9" s="1"/>
  <c r="AX400" i="9" s="1"/>
  <c r="AX401" i="9" s="1"/>
  <c r="AX402" i="9" s="1"/>
  <c r="AX403" i="9" s="1"/>
  <c r="AX404" i="9" s="1"/>
  <c r="AX405" i="9" s="1"/>
  <c r="AX406" i="9" s="1"/>
  <c r="AX407" i="9" s="1"/>
  <c r="AX408" i="9" s="1"/>
  <c r="AX409" i="9" s="1"/>
  <c r="AX410" i="9" s="1"/>
  <c r="AX411" i="9" s="1"/>
  <c r="AX412" i="9" s="1"/>
  <c r="AX413" i="9" s="1"/>
  <c r="AX414" i="9" s="1"/>
  <c r="AX415" i="9" s="1"/>
  <c r="AX416" i="9" s="1"/>
  <c r="AX417" i="9" s="1"/>
  <c r="AX418" i="9" s="1"/>
  <c r="AX419" i="9" s="1"/>
  <c r="AX420" i="9" s="1"/>
  <c r="AX421" i="9" s="1"/>
  <c r="AX422" i="9" s="1"/>
  <c r="AX423" i="9" s="1"/>
  <c r="AX424" i="9" s="1"/>
  <c r="AX425" i="9" s="1"/>
  <c r="AX426" i="9" s="1"/>
  <c r="AX427" i="9" s="1"/>
  <c r="AX428" i="9" s="1"/>
  <c r="AX429" i="9" s="1"/>
  <c r="AX430" i="9" s="1"/>
  <c r="AX431" i="9" s="1"/>
  <c r="AX432" i="9" s="1"/>
  <c r="AX433" i="9" s="1"/>
  <c r="AX434" i="9" s="1"/>
  <c r="AX435" i="9" s="1"/>
  <c r="AX436" i="9" s="1"/>
  <c r="AX437" i="9" s="1"/>
  <c r="AX438" i="9" s="1"/>
  <c r="AX439" i="9" s="1"/>
  <c r="AX440" i="9" s="1"/>
  <c r="AX441" i="9" s="1"/>
  <c r="AP10" i="9"/>
  <c r="AP11" i="9" s="1"/>
  <c r="AP12" i="9" s="1"/>
  <c r="AP13" i="9" s="1"/>
  <c r="AP14" i="9" s="1"/>
  <c r="AP15" i="9" s="1"/>
  <c r="AP16" i="9" s="1"/>
  <c r="AP17" i="9" s="1"/>
  <c r="AP18" i="9" s="1"/>
  <c r="AP19" i="9" s="1"/>
  <c r="AP20" i="9" s="1"/>
  <c r="AP21" i="9" s="1"/>
  <c r="AP22" i="9" s="1"/>
  <c r="AP23" i="9" s="1"/>
  <c r="AP24" i="9" s="1"/>
  <c r="AP25" i="9" s="1"/>
  <c r="AP26" i="9" s="1"/>
  <c r="AP27" i="9" s="1"/>
  <c r="AP28" i="9" s="1"/>
  <c r="AP29" i="9" s="1"/>
  <c r="AP30" i="9" s="1"/>
  <c r="AP31" i="9" s="1"/>
  <c r="AP32" i="9" s="1"/>
  <c r="AP33" i="9" s="1"/>
  <c r="AP34" i="9" s="1"/>
  <c r="AP35" i="9" s="1"/>
  <c r="AP36" i="9" s="1"/>
  <c r="AP37" i="9" s="1"/>
  <c r="AP38" i="9" s="1"/>
  <c r="AP39" i="9" s="1"/>
  <c r="AP40" i="9" s="1"/>
  <c r="AP41" i="9" s="1"/>
  <c r="AP42" i="9" s="1"/>
  <c r="AP43" i="9" s="1"/>
  <c r="AP44" i="9" s="1"/>
  <c r="AP45" i="9" s="1"/>
  <c r="AP46" i="9" s="1"/>
  <c r="AP47" i="9" s="1"/>
  <c r="AP48" i="9" s="1"/>
  <c r="AP49" i="9" s="1"/>
  <c r="AP50" i="9" s="1"/>
  <c r="AP51" i="9" s="1"/>
  <c r="AP52" i="9" s="1"/>
  <c r="AP53" i="9" s="1"/>
  <c r="AP54" i="9" s="1"/>
  <c r="AP55" i="9" s="1"/>
  <c r="AP56" i="9" s="1"/>
  <c r="AP57" i="9" s="1"/>
  <c r="AP58" i="9" s="1"/>
  <c r="AP59" i="9" s="1"/>
  <c r="AP60" i="9" s="1"/>
  <c r="AP61" i="9" s="1"/>
  <c r="AP62" i="9" s="1"/>
  <c r="AP63" i="9" s="1"/>
  <c r="AP64" i="9" s="1"/>
  <c r="AP65" i="9" s="1"/>
  <c r="AP66" i="9" s="1"/>
  <c r="AP67" i="9" s="1"/>
  <c r="AP68" i="9" s="1"/>
  <c r="AP69" i="9" s="1"/>
  <c r="AP70" i="9" s="1"/>
  <c r="AP71" i="9" s="1"/>
  <c r="AP72" i="9" s="1"/>
  <c r="AP73" i="9" s="1"/>
  <c r="AP74" i="9" s="1"/>
  <c r="AP75" i="9" s="1"/>
  <c r="AP76" i="9" s="1"/>
  <c r="AP77" i="9" s="1"/>
  <c r="AP78" i="9" s="1"/>
  <c r="AP79" i="9" s="1"/>
  <c r="AP80" i="9" s="1"/>
  <c r="AP81" i="9" s="1"/>
  <c r="AP82" i="9" s="1"/>
  <c r="AP83" i="9" s="1"/>
  <c r="AP84" i="9" s="1"/>
  <c r="AP85" i="9" s="1"/>
  <c r="AP86" i="9" s="1"/>
  <c r="AP87" i="9" s="1"/>
  <c r="AP88" i="9" s="1"/>
  <c r="AP89" i="9" s="1"/>
  <c r="AP90" i="9" s="1"/>
  <c r="AP91" i="9" s="1"/>
  <c r="AP92" i="9" s="1"/>
  <c r="AP93" i="9" s="1"/>
  <c r="AP94" i="9" s="1"/>
  <c r="AP95" i="9" s="1"/>
  <c r="AP96" i="9" s="1"/>
  <c r="AP97" i="9" s="1"/>
  <c r="AP98" i="9" s="1"/>
  <c r="AP99" i="9" s="1"/>
  <c r="AP100" i="9" s="1"/>
  <c r="AP101" i="9" s="1"/>
  <c r="AP102" i="9" s="1"/>
  <c r="AP103" i="9" s="1"/>
  <c r="AP104" i="9" s="1"/>
  <c r="AP105" i="9" s="1"/>
  <c r="AP106" i="9" s="1"/>
  <c r="AP107" i="9" s="1"/>
  <c r="AP108" i="9" s="1"/>
  <c r="AP109" i="9" s="1"/>
  <c r="AP110" i="9" s="1"/>
  <c r="AP111" i="9" s="1"/>
  <c r="AP112" i="9" s="1"/>
  <c r="AP113" i="9" s="1"/>
  <c r="AP114" i="9" s="1"/>
  <c r="AP115" i="9" s="1"/>
  <c r="AP116" i="9" s="1"/>
  <c r="AP117" i="9" s="1"/>
  <c r="AP118" i="9" s="1"/>
  <c r="AP119" i="9" s="1"/>
  <c r="AP120" i="9" s="1"/>
  <c r="AP121" i="9" s="1"/>
  <c r="AP122" i="9" s="1"/>
  <c r="AP123" i="9" s="1"/>
  <c r="AP124" i="9" s="1"/>
  <c r="AP125" i="9" s="1"/>
  <c r="AP126" i="9" s="1"/>
  <c r="AP127" i="9" s="1"/>
  <c r="AP128" i="9" s="1"/>
  <c r="AP129" i="9" s="1"/>
  <c r="AP130" i="9" s="1"/>
  <c r="AP131" i="9" s="1"/>
  <c r="AP132" i="9" s="1"/>
  <c r="AP133" i="9" s="1"/>
  <c r="AP134" i="9" s="1"/>
  <c r="AP135" i="9" s="1"/>
  <c r="AP136" i="9" s="1"/>
  <c r="AP137" i="9" s="1"/>
  <c r="AP138" i="9" s="1"/>
  <c r="AP139" i="9" s="1"/>
  <c r="AP140" i="9" s="1"/>
  <c r="AP141" i="9" s="1"/>
  <c r="AP142" i="9" s="1"/>
  <c r="AP143" i="9" s="1"/>
  <c r="AP144" i="9" s="1"/>
  <c r="AP145" i="9" s="1"/>
  <c r="AP146" i="9" s="1"/>
  <c r="AP147" i="9" s="1"/>
  <c r="AP148" i="9" s="1"/>
  <c r="AP149" i="9" s="1"/>
  <c r="AP150" i="9" s="1"/>
  <c r="AP151" i="9" s="1"/>
  <c r="AP152" i="9" s="1"/>
  <c r="AP153" i="9" s="1"/>
  <c r="AP154" i="9" s="1"/>
  <c r="AP155" i="9" s="1"/>
  <c r="AP156" i="9" s="1"/>
  <c r="AP157" i="9" s="1"/>
  <c r="AP158" i="9" s="1"/>
  <c r="AP159" i="9" s="1"/>
  <c r="AP160" i="9" s="1"/>
  <c r="AP161" i="9" s="1"/>
  <c r="AP162" i="9" s="1"/>
  <c r="AP163" i="9" s="1"/>
  <c r="AP164" i="9" s="1"/>
  <c r="AP165" i="9" s="1"/>
  <c r="AP166" i="9" s="1"/>
  <c r="AP167" i="9" s="1"/>
  <c r="AP168" i="9" s="1"/>
  <c r="AP169" i="9" s="1"/>
  <c r="AP170" i="9" s="1"/>
  <c r="AP171" i="9" s="1"/>
  <c r="AP172" i="9" s="1"/>
  <c r="AP173" i="9" s="1"/>
  <c r="AP174" i="9" s="1"/>
  <c r="AP175" i="9" s="1"/>
  <c r="AP176" i="9" s="1"/>
  <c r="AP177" i="9" s="1"/>
  <c r="AP178" i="9" s="1"/>
  <c r="AP179" i="9" s="1"/>
  <c r="AP180" i="9" s="1"/>
  <c r="AP181" i="9" s="1"/>
  <c r="AP182" i="9" s="1"/>
  <c r="AP183" i="9" s="1"/>
  <c r="AP184" i="9" s="1"/>
  <c r="AP185" i="9" s="1"/>
  <c r="AP186" i="9" s="1"/>
  <c r="AP187" i="9" s="1"/>
  <c r="AP188" i="9" s="1"/>
  <c r="AP189" i="9" s="1"/>
  <c r="AP190" i="9" s="1"/>
  <c r="AP191" i="9" s="1"/>
  <c r="AP192" i="9" s="1"/>
  <c r="AP193" i="9" s="1"/>
  <c r="AP194" i="9" s="1"/>
  <c r="AP195" i="9" s="1"/>
  <c r="AP196" i="9" s="1"/>
  <c r="AP197" i="9" s="1"/>
  <c r="AP198" i="9" s="1"/>
  <c r="AP199" i="9" s="1"/>
  <c r="AP200" i="9" s="1"/>
  <c r="AP201" i="9" s="1"/>
  <c r="AP202" i="9" s="1"/>
  <c r="AP203" i="9" s="1"/>
  <c r="AP204" i="9" s="1"/>
  <c r="AP205" i="9" s="1"/>
  <c r="AP206" i="9" s="1"/>
  <c r="AP207" i="9" s="1"/>
  <c r="AP208" i="9" s="1"/>
  <c r="AP209" i="9" s="1"/>
  <c r="AP210" i="9" s="1"/>
  <c r="AP211" i="9" s="1"/>
  <c r="AP212" i="9" s="1"/>
  <c r="AP213" i="9" s="1"/>
  <c r="AP214" i="9" s="1"/>
  <c r="AP215" i="9" s="1"/>
  <c r="AP216" i="9" s="1"/>
  <c r="AP217" i="9" s="1"/>
  <c r="AP218" i="9" s="1"/>
  <c r="AP219" i="9" s="1"/>
  <c r="AP220" i="9" s="1"/>
  <c r="AP221" i="9" s="1"/>
  <c r="AP222" i="9" s="1"/>
  <c r="AP223" i="9" s="1"/>
  <c r="AP224" i="9" s="1"/>
  <c r="AP225" i="9" s="1"/>
  <c r="AP226" i="9" s="1"/>
  <c r="AP227" i="9" s="1"/>
  <c r="AP228" i="9" s="1"/>
  <c r="AP229" i="9" s="1"/>
  <c r="AP230" i="9" s="1"/>
  <c r="AP231" i="9" s="1"/>
  <c r="AP232" i="9" s="1"/>
  <c r="AP233" i="9" s="1"/>
  <c r="AP234" i="9" s="1"/>
  <c r="AP235" i="9" s="1"/>
  <c r="AP236" i="9" s="1"/>
  <c r="AP237" i="9" s="1"/>
  <c r="AP238" i="9" s="1"/>
  <c r="AP239" i="9" s="1"/>
  <c r="AP240" i="9" s="1"/>
  <c r="AP241" i="9" s="1"/>
  <c r="AP242" i="9" s="1"/>
  <c r="AP243" i="9" s="1"/>
  <c r="AP244" i="9" s="1"/>
  <c r="AP245" i="9" s="1"/>
  <c r="AP246" i="9" s="1"/>
  <c r="AP247" i="9" s="1"/>
  <c r="AP248" i="9" s="1"/>
  <c r="AP249" i="9" s="1"/>
  <c r="AP250" i="9" s="1"/>
  <c r="AP251" i="9" s="1"/>
  <c r="AP252" i="9" s="1"/>
  <c r="AP253" i="9" s="1"/>
  <c r="AP254" i="9" s="1"/>
  <c r="AP255" i="9" s="1"/>
  <c r="AP256" i="9" s="1"/>
  <c r="AP257" i="9" s="1"/>
  <c r="AP258" i="9" s="1"/>
  <c r="AP259" i="9" s="1"/>
  <c r="AP260" i="9" s="1"/>
  <c r="AP261" i="9" s="1"/>
  <c r="AP262" i="9" s="1"/>
  <c r="AP263" i="9" s="1"/>
  <c r="AP264" i="9" s="1"/>
  <c r="AP265" i="9" s="1"/>
  <c r="AP266" i="9" s="1"/>
  <c r="AP267" i="9" s="1"/>
  <c r="AP268" i="9" s="1"/>
  <c r="AP269" i="9" s="1"/>
  <c r="AP270" i="9" s="1"/>
  <c r="AP271" i="9" s="1"/>
  <c r="AP272" i="9" s="1"/>
  <c r="AP273" i="9" s="1"/>
  <c r="AP274" i="9" s="1"/>
  <c r="AP275" i="9" s="1"/>
  <c r="AP276" i="9" s="1"/>
  <c r="AP277" i="9" s="1"/>
  <c r="AP278" i="9" s="1"/>
  <c r="AP279" i="9" s="1"/>
  <c r="AP280" i="9" s="1"/>
  <c r="AP281" i="9" s="1"/>
  <c r="AP282" i="9" s="1"/>
  <c r="AP283" i="9" s="1"/>
  <c r="AP284" i="9" s="1"/>
  <c r="AP285" i="9" s="1"/>
  <c r="AP286" i="9" s="1"/>
  <c r="AP287" i="9" s="1"/>
  <c r="AP288" i="9" s="1"/>
  <c r="AP289" i="9" s="1"/>
  <c r="AP290" i="9" s="1"/>
  <c r="AP291" i="9" s="1"/>
  <c r="AP292" i="9" s="1"/>
  <c r="AP293" i="9" s="1"/>
  <c r="AP294" i="9" s="1"/>
  <c r="AP295" i="9" s="1"/>
  <c r="AP296" i="9" s="1"/>
  <c r="AP297" i="9" s="1"/>
  <c r="AP298" i="9" s="1"/>
  <c r="AP299" i="9" s="1"/>
  <c r="AP300" i="9" s="1"/>
  <c r="AP301" i="9" s="1"/>
  <c r="AP302" i="9" s="1"/>
  <c r="AP303" i="9" s="1"/>
  <c r="AP304" i="9" s="1"/>
  <c r="AP305" i="9" s="1"/>
  <c r="AP306" i="9" s="1"/>
  <c r="AP307" i="9" s="1"/>
  <c r="AP308" i="9" s="1"/>
  <c r="AP309" i="9" s="1"/>
  <c r="AP310" i="9" s="1"/>
  <c r="AP311" i="9" s="1"/>
  <c r="AP312" i="9" s="1"/>
  <c r="AP313" i="9" s="1"/>
  <c r="AP314" i="9" s="1"/>
  <c r="AP315" i="9" s="1"/>
  <c r="AP316" i="9" s="1"/>
  <c r="AP317" i="9" s="1"/>
  <c r="AP318" i="9" s="1"/>
  <c r="AP319" i="9" s="1"/>
  <c r="AP320" i="9" s="1"/>
  <c r="AP321" i="9" s="1"/>
  <c r="AP322" i="9" s="1"/>
  <c r="AP323" i="9" s="1"/>
  <c r="AP324" i="9" s="1"/>
  <c r="AP325" i="9" s="1"/>
  <c r="AP326" i="9" s="1"/>
  <c r="AP327" i="9" s="1"/>
  <c r="AP328" i="9" s="1"/>
  <c r="AP329" i="9" s="1"/>
  <c r="AP330" i="9" s="1"/>
  <c r="AP331" i="9" s="1"/>
  <c r="AP332" i="9" s="1"/>
  <c r="AP333" i="9" s="1"/>
  <c r="AP334" i="9" s="1"/>
  <c r="AP335" i="9" s="1"/>
  <c r="AP336" i="9" s="1"/>
  <c r="AP337" i="9" s="1"/>
  <c r="AP338" i="9" s="1"/>
  <c r="AP339" i="9" s="1"/>
  <c r="AP340" i="9" s="1"/>
  <c r="AP341" i="9" s="1"/>
  <c r="AP342" i="9" s="1"/>
  <c r="AP343" i="9" s="1"/>
  <c r="AP344" i="9" s="1"/>
  <c r="AP345" i="9" s="1"/>
  <c r="AP346" i="9" s="1"/>
  <c r="AP347" i="9" s="1"/>
  <c r="AP348" i="9" s="1"/>
  <c r="AP349" i="9" s="1"/>
  <c r="AP350" i="9" s="1"/>
  <c r="AP351" i="9" s="1"/>
  <c r="AP352" i="9" s="1"/>
  <c r="AP353" i="9" s="1"/>
  <c r="AP354" i="9" s="1"/>
  <c r="AP355" i="9" s="1"/>
  <c r="AP356" i="9" s="1"/>
  <c r="AP357" i="9" s="1"/>
  <c r="AP358" i="9" s="1"/>
  <c r="AP359" i="9" s="1"/>
  <c r="AP360" i="9" s="1"/>
  <c r="AP361" i="9" s="1"/>
  <c r="AP362" i="9" s="1"/>
  <c r="AP363" i="9" s="1"/>
  <c r="AP364" i="9" s="1"/>
  <c r="AP365" i="9" s="1"/>
  <c r="AP366" i="9" s="1"/>
  <c r="AP367" i="9" s="1"/>
  <c r="AP368" i="9" s="1"/>
  <c r="AP369" i="9" s="1"/>
  <c r="AP370" i="9" s="1"/>
  <c r="AP371" i="9" s="1"/>
  <c r="AP372" i="9" s="1"/>
  <c r="AP373" i="9" s="1"/>
  <c r="AP374" i="9" s="1"/>
  <c r="AP375" i="9" s="1"/>
  <c r="AP376" i="9" s="1"/>
  <c r="AP377" i="9" s="1"/>
  <c r="AP378" i="9" s="1"/>
  <c r="AP379" i="9" s="1"/>
  <c r="AP380" i="9" s="1"/>
  <c r="AP381" i="9" s="1"/>
  <c r="AP382" i="9" s="1"/>
  <c r="AP383" i="9" s="1"/>
  <c r="AP384" i="9" s="1"/>
  <c r="AP385" i="9" s="1"/>
  <c r="AP386" i="9" s="1"/>
  <c r="AP387" i="9" s="1"/>
  <c r="AP388" i="9" s="1"/>
  <c r="AP389" i="9" s="1"/>
  <c r="AP390" i="9" s="1"/>
  <c r="AP391" i="9" s="1"/>
  <c r="AP392" i="9" s="1"/>
  <c r="AP393" i="9" s="1"/>
  <c r="AP394" i="9" s="1"/>
  <c r="AP395" i="9" s="1"/>
  <c r="AP396" i="9" s="1"/>
  <c r="AP397" i="9" s="1"/>
  <c r="AP398" i="9" s="1"/>
  <c r="AP399" i="9" s="1"/>
  <c r="AP400" i="9" s="1"/>
  <c r="AP401" i="9" s="1"/>
  <c r="AP402" i="9" s="1"/>
  <c r="AP403" i="9" s="1"/>
  <c r="AP404" i="9" s="1"/>
  <c r="AP405" i="9" s="1"/>
  <c r="AP406" i="9" s="1"/>
  <c r="AP407" i="9" s="1"/>
  <c r="AP408" i="9" s="1"/>
  <c r="AP409" i="9" s="1"/>
  <c r="AP410" i="9" s="1"/>
  <c r="AP411" i="9" s="1"/>
  <c r="AP412" i="9" s="1"/>
  <c r="AP413" i="9" s="1"/>
  <c r="AP414" i="9" s="1"/>
  <c r="AP415" i="9" s="1"/>
  <c r="AP416" i="9" s="1"/>
  <c r="AP417" i="9" s="1"/>
  <c r="AP418" i="9" s="1"/>
  <c r="AP419" i="9" s="1"/>
  <c r="AP420" i="9" s="1"/>
  <c r="AP421" i="9" s="1"/>
  <c r="AP422" i="9" s="1"/>
  <c r="AP423" i="9" s="1"/>
  <c r="AP424" i="9" s="1"/>
  <c r="AP425" i="9" s="1"/>
  <c r="AP426" i="9" s="1"/>
  <c r="AP427" i="9" s="1"/>
  <c r="AP428" i="9" s="1"/>
  <c r="AP429" i="9" s="1"/>
  <c r="AP430" i="9" s="1"/>
  <c r="AP431" i="9" s="1"/>
  <c r="AP432" i="9" s="1"/>
  <c r="AP433" i="9" s="1"/>
  <c r="AP434" i="9" s="1"/>
  <c r="AP435" i="9" s="1"/>
  <c r="AP436" i="9" s="1"/>
  <c r="AP437" i="9" s="1"/>
  <c r="AP438" i="9" s="1"/>
  <c r="AP439" i="9" s="1"/>
  <c r="AP440" i="9" s="1"/>
  <c r="AP441" i="9" s="1"/>
  <c r="AP442" i="9" s="1"/>
  <c r="AP443" i="9" s="1"/>
  <c r="AP444" i="9" s="1"/>
  <c r="AP445" i="9" s="1"/>
  <c r="AP446" i="9" s="1"/>
  <c r="AP447" i="9" s="1"/>
  <c r="AP448" i="9" s="1"/>
  <c r="AP449" i="9" s="1"/>
  <c r="AP450" i="9" s="1"/>
  <c r="AP451" i="9" s="1"/>
  <c r="AP452" i="9" s="1"/>
  <c r="AP453" i="9" s="1"/>
  <c r="AP454" i="9" s="1"/>
  <c r="AP455" i="9" s="1"/>
  <c r="AP456" i="9" s="1"/>
  <c r="AP457" i="9" s="1"/>
  <c r="AP458" i="9" s="1"/>
  <c r="AP459" i="9" s="1"/>
  <c r="AP460" i="9" s="1"/>
  <c r="AP461" i="9" s="1"/>
  <c r="AP462" i="9" s="1"/>
  <c r="AP463" i="9" s="1"/>
  <c r="AP464" i="9" s="1"/>
  <c r="AP465" i="9" s="1"/>
  <c r="AP466" i="9" s="1"/>
  <c r="AP467" i="9" s="1"/>
  <c r="AP468" i="9" s="1"/>
  <c r="AP469" i="9" s="1"/>
  <c r="AP470" i="9" s="1"/>
  <c r="AP471" i="9" s="1"/>
  <c r="AP472" i="9" s="1"/>
  <c r="AP473" i="9" s="1"/>
  <c r="AP474" i="9" s="1"/>
  <c r="AP475" i="9" s="1"/>
  <c r="AP476" i="9" s="1"/>
  <c r="AP477" i="9" s="1"/>
  <c r="AP478" i="9" s="1"/>
  <c r="AP479" i="9" s="1"/>
  <c r="AP480" i="9" s="1"/>
  <c r="AP481" i="9" s="1"/>
  <c r="AP482" i="9" s="1"/>
  <c r="AP483" i="9" s="1"/>
  <c r="AP484" i="9" s="1"/>
  <c r="AP485" i="9" s="1"/>
  <c r="AP486" i="9" s="1"/>
  <c r="AP487" i="9" s="1"/>
  <c r="AP488" i="9" s="1"/>
  <c r="AP489" i="9" s="1"/>
  <c r="AP490" i="9" s="1"/>
  <c r="AP491" i="9" s="1"/>
  <c r="AP492" i="9" s="1"/>
  <c r="AP493" i="9" s="1"/>
  <c r="AP494" i="9" s="1"/>
  <c r="AP495" i="9" s="1"/>
  <c r="AP496" i="9" s="1"/>
  <c r="AP497" i="9" s="1"/>
  <c r="AP498" i="9" s="1"/>
  <c r="AP499" i="9" s="1"/>
  <c r="AP500" i="9" s="1"/>
  <c r="AP501" i="9" s="1"/>
  <c r="AP502" i="9" s="1"/>
  <c r="AP503" i="9" s="1"/>
  <c r="AP504" i="9" s="1"/>
  <c r="AP505" i="9" s="1"/>
  <c r="AP506" i="9" s="1"/>
  <c r="AP507" i="9" s="1"/>
  <c r="AP508" i="9" s="1"/>
  <c r="AP509" i="9" s="1"/>
  <c r="AP510" i="9" s="1"/>
  <c r="AP511" i="9" s="1"/>
  <c r="AP512" i="9" s="1"/>
  <c r="AP513" i="9" s="1"/>
  <c r="AP514" i="9" s="1"/>
  <c r="AP515" i="9" s="1"/>
  <c r="AP516" i="9" s="1"/>
  <c r="AP517" i="9" s="1"/>
  <c r="AP518" i="9" s="1"/>
  <c r="AP519" i="9" s="1"/>
  <c r="AP520" i="9" s="1"/>
  <c r="AP521" i="9" s="1"/>
  <c r="AP522" i="9" s="1"/>
  <c r="AP523" i="9" s="1"/>
  <c r="AP524" i="9" s="1"/>
  <c r="AP525" i="9" s="1"/>
  <c r="AP526" i="9" s="1"/>
  <c r="AP527" i="9" s="1"/>
  <c r="AP528" i="9" s="1"/>
  <c r="AP529" i="9" s="1"/>
  <c r="AP530" i="9" s="1"/>
  <c r="AP531" i="9" s="1"/>
  <c r="AP532" i="9" s="1"/>
  <c r="AP533" i="9" s="1"/>
  <c r="AP534" i="9" s="1"/>
  <c r="AP535" i="9" s="1"/>
  <c r="AP536" i="9" s="1"/>
  <c r="AP537" i="9" s="1"/>
  <c r="AP538" i="9" s="1"/>
  <c r="AP539" i="9" s="1"/>
  <c r="AP540" i="9" s="1"/>
  <c r="AP541" i="9" s="1"/>
  <c r="AP542" i="9" s="1"/>
  <c r="AP543" i="9" s="1"/>
  <c r="AP544" i="9" s="1"/>
  <c r="AP545" i="9" s="1"/>
  <c r="AP546" i="9" s="1"/>
  <c r="AP547" i="9" s="1"/>
  <c r="AP548" i="9" s="1"/>
  <c r="AP549" i="9" s="1"/>
  <c r="AP550" i="9" s="1"/>
  <c r="AP551" i="9" s="1"/>
  <c r="AP552" i="9" s="1"/>
  <c r="AP553" i="9" s="1"/>
  <c r="AP554" i="9" s="1"/>
  <c r="AP555" i="9" s="1"/>
  <c r="AP556" i="9" s="1"/>
  <c r="AP557" i="9" s="1"/>
  <c r="AP558" i="9" s="1"/>
  <c r="AP559" i="9" s="1"/>
  <c r="AP560" i="9" s="1"/>
  <c r="AP561" i="9" s="1"/>
  <c r="AP562" i="9" s="1"/>
  <c r="AP563" i="9" s="1"/>
  <c r="AP564" i="9" s="1"/>
  <c r="AP565" i="9" s="1"/>
  <c r="AP566" i="9" s="1"/>
  <c r="AP567" i="9" s="1"/>
  <c r="AP568" i="9" s="1"/>
  <c r="AP569" i="9" s="1"/>
  <c r="AP570" i="9" s="1"/>
  <c r="AP571" i="9" s="1"/>
  <c r="AP572" i="9" s="1"/>
  <c r="AP573" i="9" s="1"/>
  <c r="AP574" i="9" s="1"/>
  <c r="AP575" i="9" s="1"/>
  <c r="AP576" i="9" s="1"/>
  <c r="AP577" i="9" s="1"/>
  <c r="AP578" i="9" s="1"/>
  <c r="AP579" i="9" s="1"/>
  <c r="AP580" i="9" s="1"/>
  <c r="AP581" i="9" s="1"/>
  <c r="AP582" i="9" s="1"/>
  <c r="AP583" i="9" s="1"/>
  <c r="AP584" i="9" s="1"/>
  <c r="AP585" i="9" s="1"/>
  <c r="AP586" i="9" s="1"/>
  <c r="AP587" i="9" s="1"/>
  <c r="AP588" i="9" s="1"/>
  <c r="AP589" i="9" s="1"/>
  <c r="AP590" i="9" s="1"/>
  <c r="AP591" i="9" s="1"/>
  <c r="AP592" i="9" s="1"/>
  <c r="AP593" i="9" s="1"/>
  <c r="AP594" i="9" s="1"/>
  <c r="AP595" i="9" s="1"/>
  <c r="AP596" i="9" s="1"/>
  <c r="AP597" i="9" s="1"/>
  <c r="AP598" i="9" s="1"/>
  <c r="AP599" i="9" s="1"/>
  <c r="AP600" i="9" s="1"/>
  <c r="AP601" i="9" s="1"/>
  <c r="AP602" i="9" s="1"/>
  <c r="AP603" i="9" s="1"/>
  <c r="AP604" i="9" s="1"/>
  <c r="AP605" i="9" s="1"/>
  <c r="AP606" i="9" s="1"/>
  <c r="AP607" i="9" s="1"/>
  <c r="AP608" i="9" s="1"/>
  <c r="AP609" i="9" s="1"/>
  <c r="AP610" i="9" s="1"/>
  <c r="AP611" i="9" s="1"/>
  <c r="AP612" i="9" s="1"/>
  <c r="AP613" i="9" s="1"/>
  <c r="AP614" i="9" s="1"/>
  <c r="AP615" i="9" s="1"/>
  <c r="AP616" i="9" s="1"/>
  <c r="AP617" i="9" s="1"/>
  <c r="AP618" i="9" s="1"/>
  <c r="AP619" i="9" s="1"/>
  <c r="AP620" i="9" s="1"/>
  <c r="AP621" i="9" s="1"/>
  <c r="AP622" i="9" s="1"/>
  <c r="AP623" i="9" s="1"/>
  <c r="AP624" i="9" s="1"/>
  <c r="AP625" i="9" s="1"/>
  <c r="AP626" i="9" s="1"/>
  <c r="AP627" i="9" s="1"/>
  <c r="AP628" i="9" s="1"/>
  <c r="AP629" i="9" s="1"/>
  <c r="AP630" i="9" s="1"/>
  <c r="AP631" i="9" s="1"/>
  <c r="AP632" i="9" s="1"/>
  <c r="AP633" i="9" s="1"/>
  <c r="AP634" i="9" s="1"/>
  <c r="AP635" i="9" s="1"/>
  <c r="AP636" i="9" s="1"/>
  <c r="AP637" i="9" s="1"/>
  <c r="AP638" i="9" s="1"/>
  <c r="AP639" i="9" s="1"/>
  <c r="AP640" i="9" s="1"/>
  <c r="AP641" i="9" s="1"/>
  <c r="AP642" i="9" s="1"/>
  <c r="AP643" i="9" s="1"/>
  <c r="AP644" i="9" s="1"/>
  <c r="AP645" i="9" s="1"/>
  <c r="AP646" i="9" s="1"/>
  <c r="AP647" i="9" s="1"/>
  <c r="AP648" i="9" s="1"/>
  <c r="AP649" i="9" s="1"/>
  <c r="AP650" i="9" s="1"/>
  <c r="AP651" i="9" s="1"/>
  <c r="AP652" i="9" s="1"/>
  <c r="AP653" i="9" s="1"/>
  <c r="AP654" i="9" s="1"/>
  <c r="AP655" i="9" s="1"/>
  <c r="AP656" i="9" s="1"/>
  <c r="AP657" i="9" s="1"/>
  <c r="AP658" i="9" s="1"/>
  <c r="AP659" i="9" s="1"/>
  <c r="AP660" i="9" s="1"/>
  <c r="AP661" i="9" s="1"/>
  <c r="AP662" i="9" s="1"/>
  <c r="AP663" i="9" s="1"/>
  <c r="AP664" i="9" s="1"/>
  <c r="AP665" i="9" s="1"/>
  <c r="AP666" i="9" s="1"/>
  <c r="AP667" i="9" s="1"/>
  <c r="AP668" i="9" s="1"/>
  <c r="AP669" i="9" s="1"/>
  <c r="AP670" i="9" s="1"/>
  <c r="AP671" i="9" s="1"/>
  <c r="AP672" i="9" s="1"/>
  <c r="AP673" i="9" s="1"/>
  <c r="AP674" i="9" s="1"/>
  <c r="AP675" i="9" s="1"/>
  <c r="AP676" i="9" s="1"/>
  <c r="AP677" i="9" s="1"/>
  <c r="AP678" i="9" s="1"/>
  <c r="AP679" i="9" s="1"/>
  <c r="AP680" i="9" s="1"/>
  <c r="AP681" i="9" s="1"/>
  <c r="AP682" i="9" s="1"/>
  <c r="AP683" i="9" s="1"/>
  <c r="AP684" i="9" s="1"/>
  <c r="AP685" i="9" s="1"/>
  <c r="BH9" i="9"/>
  <c r="BH10" i="9" s="1"/>
  <c r="BH11" i="9" s="1"/>
  <c r="BH12" i="9" s="1"/>
  <c r="BH13" i="9" s="1"/>
  <c r="BH14" i="9" s="1"/>
  <c r="BH15" i="9" s="1"/>
  <c r="BH16" i="9" s="1"/>
  <c r="BH17" i="9" s="1"/>
  <c r="BH18" i="9" s="1"/>
  <c r="BH19" i="9" s="1"/>
  <c r="BH20" i="9" s="1"/>
  <c r="BH21" i="9" s="1"/>
  <c r="BH22" i="9" s="1"/>
  <c r="BH23" i="9" s="1"/>
  <c r="BH24" i="9" s="1"/>
  <c r="BH25" i="9" s="1"/>
  <c r="BH26" i="9" s="1"/>
  <c r="BH27" i="9" s="1"/>
  <c r="BH28" i="9" s="1"/>
  <c r="BH29" i="9" s="1"/>
  <c r="BH30" i="9" s="1"/>
  <c r="BH31" i="9" s="1"/>
  <c r="BH32" i="9" s="1"/>
  <c r="BH33" i="9" s="1"/>
  <c r="BH34" i="9" s="1"/>
  <c r="BH35" i="9" s="1"/>
  <c r="BH36" i="9" s="1"/>
  <c r="BH37" i="9" s="1"/>
  <c r="BH38" i="9" s="1"/>
  <c r="BH39" i="9" s="1"/>
  <c r="BH40" i="9" s="1"/>
  <c r="BH41" i="9" s="1"/>
  <c r="BH42" i="9" s="1"/>
  <c r="BH43" i="9" s="1"/>
  <c r="BH44" i="9" s="1"/>
  <c r="BH45" i="9" s="1"/>
  <c r="BH46" i="9" s="1"/>
  <c r="BH47" i="9" s="1"/>
  <c r="BH48" i="9" s="1"/>
  <c r="BH49" i="9" s="1"/>
  <c r="BH50" i="9" s="1"/>
  <c r="BH51" i="9" s="1"/>
  <c r="BH52" i="9" s="1"/>
  <c r="BH53" i="9" s="1"/>
  <c r="BH54" i="9" s="1"/>
  <c r="BH55" i="9" s="1"/>
  <c r="BH56" i="9" s="1"/>
  <c r="BH57" i="9" s="1"/>
  <c r="BH58" i="9" s="1"/>
  <c r="BH59" i="9" s="1"/>
  <c r="BH60" i="9" s="1"/>
  <c r="BH61" i="9" s="1"/>
  <c r="BH62" i="9" s="1"/>
  <c r="BH63" i="9" s="1"/>
  <c r="BH64" i="9" s="1"/>
  <c r="BH65" i="9" s="1"/>
  <c r="BH66" i="9" s="1"/>
  <c r="BH67" i="9" s="1"/>
  <c r="BH68" i="9" s="1"/>
  <c r="BH69" i="9" s="1"/>
  <c r="BH70" i="9" s="1"/>
  <c r="BH71" i="9" s="1"/>
  <c r="BH72" i="9" s="1"/>
  <c r="BH73" i="9" s="1"/>
  <c r="BH74" i="9" s="1"/>
  <c r="BH75" i="9" s="1"/>
  <c r="BH76" i="9" s="1"/>
  <c r="BH77" i="9" s="1"/>
  <c r="BH78" i="9" s="1"/>
  <c r="BH79" i="9" s="1"/>
  <c r="BH80" i="9" s="1"/>
  <c r="BH81" i="9" s="1"/>
  <c r="BH82" i="9" s="1"/>
  <c r="BH83" i="9" s="1"/>
  <c r="BH84" i="9" s="1"/>
  <c r="BH85" i="9" s="1"/>
  <c r="BH86" i="9" s="1"/>
  <c r="BH87" i="9" s="1"/>
  <c r="BH88" i="9" s="1"/>
  <c r="BH89" i="9" s="1"/>
  <c r="BH90" i="9" s="1"/>
  <c r="BH91" i="9" s="1"/>
  <c r="BH92" i="9" s="1"/>
  <c r="BH93" i="9" s="1"/>
  <c r="BH94" i="9" s="1"/>
  <c r="BH95" i="9" s="1"/>
  <c r="BH96" i="9" s="1"/>
  <c r="BH97" i="9" s="1"/>
  <c r="BH98" i="9" s="1"/>
  <c r="BH99" i="9" s="1"/>
  <c r="BH100" i="9" s="1"/>
  <c r="BH101" i="9" s="1"/>
  <c r="BH102" i="9" s="1"/>
  <c r="BH103" i="9" s="1"/>
  <c r="BH104" i="9" s="1"/>
  <c r="BH105" i="9" s="1"/>
  <c r="BH106" i="9" s="1"/>
  <c r="BH107" i="9" s="1"/>
  <c r="BH108" i="9" s="1"/>
  <c r="BH109" i="9" s="1"/>
  <c r="BH110" i="9" s="1"/>
  <c r="BH111" i="9" s="1"/>
  <c r="BH112" i="9" s="1"/>
  <c r="BH113" i="9" s="1"/>
  <c r="BH114" i="9" s="1"/>
  <c r="BH115" i="9" s="1"/>
  <c r="BH116" i="9" s="1"/>
  <c r="BH117" i="9" s="1"/>
  <c r="BH118" i="9" s="1"/>
  <c r="BH119" i="9" s="1"/>
  <c r="BH120" i="9" s="1"/>
  <c r="BH121" i="9" s="1"/>
  <c r="BH122" i="9" s="1"/>
  <c r="BH123" i="9" s="1"/>
  <c r="BH124" i="9" s="1"/>
  <c r="BH125" i="9" s="1"/>
  <c r="BH126" i="9" s="1"/>
  <c r="BH127" i="9" s="1"/>
  <c r="BH128" i="9" s="1"/>
  <c r="BH129" i="9" s="1"/>
  <c r="BH130" i="9" s="1"/>
  <c r="BH131" i="9" s="1"/>
  <c r="BH132" i="9" s="1"/>
  <c r="BH133" i="9" s="1"/>
  <c r="BH134" i="9" s="1"/>
  <c r="BH135" i="9" s="1"/>
  <c r="BH136" i="9" s="1"/>
  <c r="BH137" i="9" s="1"/>
  <c r="BH138" i="9" s="1"/>
  <c r="BH139" i="9" s="1"/>
  <c r="BH140" i="9" s="1"/>
  <c r="BH141" i="9" s="1"/>
  <c r="BH142" i="9" s="1"/>
  <c r="BH143" i="9" s="1"/>
  <c r="BH144" i="9" s="1"/>
  <c r="BH145" i="9" s="1"/>
  <c r="BH146" i="9" s="1"/>
  <c r="BH147" i="9" s="1"/>
  <c r="BH148" i="9" s="1"/>
  <c r="BH149" i="9" s="1"/>
  <c r="BH150" i="9" s="1"/>
  <c r="BH151" i="9" s="1"/>
  <c r="BH152" i="9" s="1"/>
  <c r="BH153" i="9" s="1"/>
  <c r="BH154" i="9" s="1"/>
  <c r="BH155" i="9" s="1"/>
  <c r="BH156" i="9" s="1"/>
  <c r="BH157" i="9" s="1"/>
  <c r="BH158" i="9" s="1"/>
  <c r="BH159" i="9" s="1"/>
  <c r="BH160" i="9" s="1"/>
  <c r="BH161" i="9" s="1"/>
  <c r="BH162" i="9" s="1"/>
  <c r="BH163" i="9" s="1"/>
  <c r="BH164" i="9" s="1"/>
  <c r="BH165" i="9" s="1"/>
  <c r="BH166" i="9" s="1"/>
  <c r="BH167" i="9" s="1"/>
  <c r="BH168" i="9" s="1"/>
  <c r="BH169" i="9" s="1"/>
  <c r="BH170" i="9" s="1"/>
  <c r="BH171" i="9" s="1"/>
  <c r="BH172" i="9" s="1"/>
  <c r="BH173" i="9" s="1"/>
  <c r="BH174" i="9" s="1"/>
  <c r="BH175" i="9" s="1"/>
  <c r="BH176" i="9" s="1"/>
  <c r="BH177" i="9" s="1"/>
  <c r="BH178" i="9" s="1"/>
  <c r="BH179" i="9" s="1"/>
  <c r="BH180" i="9" s="1"/>
  <c r="BH181" i="9" s="1"/>
  <c r="BH182" i="9" s="1"/>
  <c r="BH183" i="9" s="1"/>
  <c r="BH184" i="9" s="1"/>
  <c r="BH185" i="9" s="1"/>
  <c r="BH186" i="9" s="1"/>
  <c r="BH187" i="9" s="1"/>
  <c r="BH188" i="9" s="1"/>
  <c r="BH189" i="9" s="1"/>
  <c r="BH190" i="9" s="1"/>
  <c r="BH191" i="9" s="1"/>
  <c r="BH192" i="9" s="1"/>
  <c r="BH193" i="9" s="1"/>
  <c r="BH194" i="9" s="1"/>
  <c r="BH195" i="9" s="1"/>
  <c r="BH196" i="9" s="1"/>
  <c r="BH197" i="9" s="1"/>
  <c r="BH198" i="9" s="1"/>
  <c r="BH199" i="9" s="1"/>
  <c r="BH200" i="9" s="1"/>
  <c r="BH201" i="9" s="1"/>
  <c r="BH202" i="9" s="1"/>
  <c r="BH203" i="9" s="1"/>
  <c r="BH204" i="9" s="1"/>
  <c r="BH205" i="9" s="1"/>
  <c r="BH206" i="9" s="1"/>
  <c r="BH207" i="9" s="1"/>
  <c r="BH208" i="9" s="1"/>
  <c r="BH209" i="9" s="1"/>
  <c r="BH210" i="9" s="1"/>
  <c r="BH211" i="9" s="1"/>
  <c r="BH212" i="9" s="1"/>
  <c r="BH213" i="9" s="1"/>
  <c r="BH214" i="9" s="1"/>
  <c r="BH215" i="9" s="1"/>
  <c r="BH216" i="9" s="1"/>
  <c r="BH217" i="9" s="1"/>
  <c r="BH218" i="9" s="1"/>
  <c r="BH219" i="9" s="1"/>
  <c r="BH220" i="9" s="1"/>
  <c r="BH221" i="9" s="1"/>
  <c r="BH222" i="9" s="1"/>
  <c r="BH223" i="9" s="1"/>
  <c r="BH224" i="9" s="1"/>
  <c r="BH225" i="9" s="1"/>
  <c r="BH226" i="9" s="1"/>
  <c r="BH227" i="9" s="1"/>
  <c r="BH228" i="9" s="1"/>
  <c r="BH229" i="9" s="1"/>
  <c r="BH230" i="9" s="1"/>
  <c r="BH231" i="9" s="1"/>
  <c r="BH232" i="9" s="1"/>
  <c r="BH233" i="9" s="1"/>
  <c r="BH234" i="9" s="1"/>
  <c r="BH235" i="9" s="1"/>
  <c r="BH236" i="9" s="1"/>
  <c r="BH237" i="9" s="1"/>
  <c r="BH238" i="9" s="1"/>
  <c r="BH239" i="9" s="1"/>
  <c r="BH240" i="9" s="1"/>
  <c r="BH241" i="9" s="1"/>
  <c r="BH242" i="9" s="1"/>
  <c r="BH243" i="9" s="1"/>
  <c r="BH244" i="9" s="1"/>
  <c r="BH245" i="9" s="1"/>
  <c r="BH246" i="9" s="1"/>
  <c r="BH247" i="9" s="1"/>
  <c r="BH248" i="9" s="1"/>
  <c r="BH249" i="9" s="1"/>
  <c r="BH250" i="9" s="1"/>
  <c r="BH251" i="9" s="1"/>
  <c r="BH252" i="9" s="1"/>
  <c r="BH253" i="9" s="1"/>
  <c r="BH254" i="9" s="1"/>
  <c r="BH255" i="9" s="1"/>
  <c r="BH256" i="9" s="1"/>
  <c r="BH257" i="9" s="1"/>
  <c r="BH258" i="9" s="1"/>
  <c r="BH259" i="9" s="1"/>
  <c r="BH260" i="9" s="1"/>
  <c r="BH261" i="9" s="1"/>
  <c r="BH262" i="9" s="1"/>
  <c r="BH263" i="9" s="1"/>
  <c r="BH264" i="9" s="1"/>
  <c r="BH265" i="9" s="1"/>
  <c r="BH266" i="9" s="1"/>
  <c r="BH267" i="9" s="1"/>
  <c r="BH268" i="9" s="1"/>
  <c r="BH269" i="9" s="1"/>
  <c r="BH270" i="9" s="1"/>
  <c r="BH271" i="9" s="1"/>
  <c r="BH272" i="9" s="1"/>
  <c r="BH273" i="9" s="1"/>
  <c r="BH274" i="9" s="1"/>
  <c r="BH275" i="9" s="1"/>
  <c r="BH276" i="9" s="1"/>
  <c r="BH277" i="9" s="1"/>
  <c r="BH278" i="9" s="1"/>
  <c r="BH279" i="9" s="1"/>
  <c r="BH280" i="9" s="1"/>
  <c r="BH281" i="9" s="1"/>
  <c r="BH282" i="9" s="1"/>
  <c r="BH283" i="9" s="1"/>
  <c r="BH284" i="9" s="1"/>
  <c r="BH285" i="9" s="1"/>
  <c r="BH286" i="9" s="1"/>
  <c r="BH287" i="9" s="1"/>
  <c r="BH288" i="9" s="1"/>
  <c r="BH289" i="9" s="1"/>
  <c r="BH290" i="9" s="1"/>
  <c r="BH291" i="9" s="1"/>
  <c r="BH292" i="9" s="1"/>
  <c r="BH293" i="9" s="1"/>
  <c r="BH294" i="9" s="1"/>
  <c r="BH295" i="9" s="1"/>
  <c r="BH296" i="9" s="1"/>
  <c r="BH297" i="9" s="1"/>
  <c r="BH298" i="9" s="1"/>
  <c r="BH299" i="9" s="1"/>
  <c r="BH300" i="9" s="1"/>
  <c r="BH301" i="9" s="1"/>
  <c r="BH302" i="9" s="1"/>
  <c r="BH303" i="9" s="1"/>
  <c r="BH304" i="9" s="1"/>
  <c r="BH305" i="9" s="1"/>
  <c r="BH306" i="9" s="1"/>
  <c r="BH307" i="9" s="1"/>
  <c r="BH308" i="9" s="1"/>
  <c r="BH309" i="9" s="1"/>
  <c r="BH310" i="9" s="1"/>
  <c r="BH311" i="9" s="1"/>
  <c r="BH312" i="9" s="1"/>
  <c r="BH313" i="9" s="1"/>
  <c r="BH314" i="9" s="1"/>
  <c r="BH315" i="9" s="1"/>
  <c r="BH316" i="9" s="1"/>
  <c r="BH317" i="9" s="1"/>
  <c r="BH318" i="9" s="1"/>
  <c r="BH319" i="9" s="1"/>
  <c r="BH320" i="9" s="1"/>
  <c r="BH321" i="9" s="1"/>
  <c r="BH322" i="9" s="1"/>
  <c r="BH323" i="9" s="1"/>
  <c r="BH324" i="9" s="1"/>
  <c r="BH325" i="9" s="1"/>
  <c r="BH326" i="9" s="1"/>
  <c r="BH327" i="9" s="1"/>
  <c r="BH328" i="9" s="1"/>
  <c r="BH329" i="9" s="1"/>
  <c r="BH330" i="9" s="1"/>
  <c r="BH331" i="9" s="1"/>
  <c r="BH332" i="9" s="1"/>
  <c r="BH333" i="9" s="1"/>
  <c r="BH334" i="9" s="1"/>
  <c r="BH335" i="9" s="1"/>
  <c r="BH336" i="9" s="1"/>
  <c r="BH337" i="9" s="1"/>
  <c r="BH338" i="9" s="1"/>
  <c r="BH339" i="9" s="1"/>
  <c r="BH340" i="9" s="1"/>
  <c r="BH341" i="9" s="1"/>
  <c r="BH342" i="9" s="1"/>
  <c r="BH343" i="9" s="1"/>
  <c r="BH344" i="9" s="1"/>
  <c r="BH345" i="9" s="1"/>
  <c r="BH346" i="9" s="1"/>
  <c r="BH347" i="9" s="1"/>
  <c r="BH348" i="9" s="1"/>
  <c r="BH349" i="9" s="1"/>
  <c r="BH350" i="9" s="1"/>
  <c r="BH351" i="9" s="1"/>
  <c r="BH352" i="9" s="1"/>
  <c r="BH353" i="9" s="1"/>
  <c r="BH354" i="9" s="1"/>
  <c r="BH355" i="9" s="1"/>
  <c r="BH356" i="9" s="1"/>
  <c r="BH357" i="9" s="1"/>
  <c r="BH358" i="9" s="1"/>
  <c r="BH359" i="9" s="1"/>
  <c r="BH360" i="9" s="1"/>
  <c r="BH361" i="9" s="1"/>
  <c r="BH362" i="9" s="1"/>
  <c r="BH363" i="9" s="1"/>
  <c r="BH364" i="9" s="1"/>
  <c r="BH365" i="9" s="1"/>
  <c r="BH366" i="9" s="1"/>
  <c r="BH367" i="9" s="1"/>
  <c r="BH368" i="9" s="1"/>
  <c r="BH369" i="9" s="1"/>
  <c r="BH370" i="9" s="1"/>
  <c r="BH371" i="9" s="1"/>
  <c r="BH372" i="9" s="1"/>
  <c r="BH373" i="9" s="1"/>
  <c r="BH374" i="9" s="1"/>
  <c r="BH375" i="9" s="1"/>
  <c r="BH376" i="9" s="1"/>
  <c r="BH377" i="9" s="1"/>
  <c r="BH378" i="9" s="1"/>
  <c r="BH379" i="9" s="1"/>
  <c r="BH380" i="9" s="1"/>
  <c r="BH381" i="9" s="1"/>
  <c r="BH382" i="9" s="1"/>
  <c r="BH383" i="9" s="1"/>
  <c r="BH384" i="9" s="1"/>
  <c r="BH385" i="9" s="1"/>
  <c r="BH386" i="9" s="1"/>
  <c r="BH387" i="9" s="1"/>
  <c r="BH388" i="9" s="1"/>
  <c r="BH389" i="9" s="1"/>
  <c r="BH390" i="9" s="1"/>
  <c r="BH391" i="9" s="1"/>
  <c r="BH392" i="9" s="1"/>
  <c r="BH393" i="9" s="1"/>
  <c r="BH394" i="9" s="1"/>
  <c r="BH395" i="9" s="1"/>
  <c r="BH396" i="9" s="1"/>
  <c r="BH397" i="9" s="1"/>
  <c r="BH398" i="9" s="1"/>
  <c r="BJ9" i="9"/>
  <c r="BJ10" i="9" s="1"/>
  <c r="BJ11" i="9" s="1"/>
  <c r="BJ12" i="9" s="1"/>
  <c r="BJ13" i="9" s="1"/>
  <c r="BJ14" i="9" s="1"/>
  <c r="BJ15" i="9" s="1"/>
  <c r="BJ16" i="9" s="1"/>
  <c r="BJ17" i="9" s="1"/>
  <c r="BJ18" i="9" s="1"/>
  <c r="BJ19" i="9" s="1"/>
  <c r="BJ20" i="9" s="1"/>
  <c r="BJ21" i="9" s="1"/>
  <c r="BJ22" i="9" s="1"/>
  <c r="BJ23" i="9" s="1"/>
  <c r="BJ24" i="9" s="1"/>
  <c r="BJ25" i="9" s="1"/>
  <c r="BJ26" i="9" s="1"/>
  <c r="BJ27" i="9" s="1"/>
  <c r="BJ28" i="9" s="1"/>
  <c r="BJ29" i="9" s="1"/>
  <c r="BJ30" i="9" s="1"/>
  <c r="BJ31" i="9" s="1"/>
  <c r="BJ32" i="9" s="1"/>
  <c r="BJ33" i="9" s="1"/>
  <c r="BJ34" i="9" s="1"/>
  <c r="BJ35" i="9" s="1"/>
  <c r="BJ36" i="9" s="1"/>
  <c r="BJ37" i="9" s="1"/>
  <c r="BJ38" i="9" s="1"/>
  <c r="BJ39" i="9" s="1"/>
  <c r="BJ40" i="9" s="1"/>
  <c r="BJ41" i="9" s="1"/>
  <c r="BJ42" i="9" s="1"/>
  <c r="BJ43" i="9" s="1"/>
  <c r="BJ44" i="9" s="1"/>
  <c r="BJ45" i="9" s="1"/>
  <c r="BJ46" i="9" s="1"/>
  <c r="BJ47" i="9" s="1"/>
  <c r="BJ48" i="9" s="1"/>
  <c r="BJ49" i="9" s="1"/>
  <c r="BJ50" i="9" s="1"/>
  <c r="BJ51" i="9" s="1"/>
  <c r="BJ52" i="9" s="1"/>
  <c r="BJ53" i="9" s="1"/>
  <c r="BJ54" i="9" s="1"/>
  <c r="BJ55" i="9" s="1"/>
  <c r="BJ56" i="9" s="1"/>
  <c r="BJ57" i="9" s="1"/>
  <c r="BJ58" i="9" s="1"/>
  <c r="BJ59" i="9" s="1"/>
  <c r="BJ60" i="9" s="1"/>
  <c r="BJ61" i="9" s="1"/>
  <c r="BJ62" i="9" s="1"/>
  <c r="BJ63" i="9" s="1"/>
  <c r="BJ64" i="9" s="1"/>
  <c r="BJ65" i="9" s="1"/>
  <c r="BJ66" i="9" s="1"/>
  <c r="BJ67" i="9" s="1"/>
  <c r="BJ68" i="9" s="1"/>
  <c r="BJ69" i="9" s="1"/>
  <c r="BJ70" i="9" s="1"/>
  <c r="BJ71" i="9" s="1"/>
  <c r="BJ72" i="9" s="1"/>
  <c r="BJ73" i="9" s="1"/>
  <c r="BJ74" i="9" s="1"/>
  <c r="BJ75" i="9" s="1"/>
  <c r="BJ76" i="9" s="1"/>
  <c r="BJ77" i="9" s="1"/>
  <c r="BJ78" i="9" s="1"/>
  <c r="BJ79" i="9" s="1"/>
  <c r="BJ80" i="9" s="1"/>
  <c r="BJ81" i="9" s="1"/>
  <c r="BJ82" i="9" s="1"/>
  <c r="BJ83" i="9" s="1"/>
  <c r="BJ84" i="9" s="1"/>
  <c r="BJ85" i="9" s="1"/>
  <c r="BJ86" i="9" s="1"/>
  <c r="BJ87" i="9" s="1"/>
  <c r="BJ88" i="9" s="1"/>
  <c r="BJ89" i="9" s="1"/>
  <c r="BJ90" i="9" s="1"/>
  <c r="BJ91" i="9" s="1"/>
  <c r="BJ92" i="9" s="1"/>
  <c r="BJ93" i="9" s="1"/>
  <c r="BJ94" i="9" s="1"/>
  <c r="BJ95" i="9" s="1"/>
  <c r="BJ96" i="9" s="1"/>
  <c r="BJ97" i="9" s="1"/>
  <c r="BJ98" i="9" s="1"/>
  <c r="BJ99" i="9" s="1"/>
  <c r="BJ100" i="9" s="1"/>
  <c r="BJ101" i="9" s="1"/>
  <c r="BJ102" i="9" s="1"/>
  <c r="BJ103" i="9" s="1"/>
  <c r="BJ104" i="9" s="1"/>
  <c r="BJ105" i="9" s="1"/>
  <c r="BJ106" i="9" s="1"/>
  <c r="BJ107" i="9" s="1"/>
  <c r="BJ108" i="9" s="1"/>
  <c r="BJ109" i="9" s="1"/>
  <c r="BJ110" i="9" s="1"/>
  <c r="BJ111" i="9" s="1"/>
  <c r="BJ112" i="9" s="1"/>
  <c r="BJ113" i="9" s="1"/>
  <c r="BJ114" i="9" s="1"/>
  <c r="BJ115" i="9" s="1"/>
  <c r="BJ116" i="9" s="1"/>
  <c r="BJ117" i="9" s="1"/>
  <c r="BJ118" i="9" s="1"/>
  <c r="BJ119" i="9" s="1"/>
  <c r="BJ120" i="9" s="1"/>
  <c r="BJ121" i="9" s="1"/>
  <c r="BJ122" i="9" s="1"/>
  <c r="BJ123" i="9" s="1"/>
  <c r="BJ124" i="9" s="1"/>
  <c r="BJ125" i="9" s="1"/>
  <c r="BJ126" i="9" s="1"/>
  <c r="BJ127" i="9" s="1"/>
  <c r="BJ128" i="9" s="1"/>
  <c r="BJ129" i="9" s="1"/>
  <c r="BJ130" i="9" s="1"/>
  <c r="BJ131" i="9" s="1"/>
  <c r="BJ132" i="9" s="1"/>
  <c r="BJ133" i="9" s="1"/>
  <c r="BJ134" i="9" s="1"/>
  <c r="BJ135" i="9" s="1"/>
  <c r="BJ136" i="9" s="1"/>
  <c r="BJ137" i="9" s="1"/>
  <c r="BJ138" i="9" s="1"/>
  <c r="BJ139" i="9" s="1"/>
  <c r="BJ140" i="9" s="1"/>
  <c r="BJ141" i="9" s="1"/>
  <c r="BJ142" i="9" s="1"/>
  <c r="BJ143" i="9" s="1"/>
  <c r="BJ144" i="9" s="1"/>
  <c r="BJ145" i="9" s="1"/>
  <c r="BJ146" i="9" s="1"/>
  <c r="BJ147" i="9" s="1"/>
  <c r="BJ148" i="9" s="1"/>
  <c r="BJ149" i="9" s="1"/>
  <c r="BJ150" i="9" s="1"/>
  <c r="BJ151" i="9" s="1"/>
  <c r="BJ152" i="9" s="1"/>
  <c r="BJ153" i="9" s="1"/>
  <c r="BJ154" i="9" s="1"/>
  <c r="BJ155" i="9" s="1"/>
  <c r="BJ156" i="9" s="1"/>
  <c r="BJ157" i="9" s="1"/>
  <c r="BJ158" i="9" s="1"/>
  <c r="BJ159" i="9" s="1"/>
  <c r="BJ160" i="9" s="1"/>
  <c r="BJ161" i="9" s="1"/>
  <c r="BJ162" i="9" s="1"/>
  <c r="BJ163" i="9" s="1"/>
  <c r="BJ164" i="9" s="1"/>
  <c r="BJ165" i="9" s="1"/>
  <c r="BJ166" i="9" s="1"/>
  <c r="BJ167" i="9" s="1"/>
  <c r="BJ168" i="9" s="1"/>
  <c r="BJ169" i="9" s="1"/>
  <c r="BJ170" i="9" s="1"/>
  <c r="BJ171" i="9" s="1"/>
  <c r="BJ172" i="9" s="1"/>
  <c r="BJ173" i="9" s="1"/>
  <c r="BJ174" i="9" s="1"/>
  <c r="BJ175" i="9" s="1"/>
  <c r="BJ176" i="9" s="1"/>
  <c r="BJ177" i="9" s="1"/>
  <c r="BJ178" i="9" s="1"/>
  <c r="BJ179" i="9" s="1"/>
  <c r="BJ180" i="9" s="1"/>
  <c r="BJ181" i="9" s="1"/>
  <c r="BJ182" i="9" s="1"/>
  <c r="BJ183" i="9" s="1"/>
  <c r="BJ184" i="9" s="1"/>
  <c r="BJ185" i="9" s="1"/>
  <c r="BJ186" i="9" s="1"/>
  <c r="BJ187" i="9" s="1"/>
  <c r="BJ188" i="9" s="1"/>
  <c r="BJ189" i="9" s="1"/>
  <c r="BJ190" i="9" s="1"/>
  <c r="BJ191" i="9" s="1"/>
  <c r="BJ192" i="9" s="1"/>
  <c r="BJ193" i="9" s="1"/>
  <c r="BJ194" i="9" s="1"/>
  <c r="BJ195" i="9" s="1"/>
  <c r="BJ196" i="9" s="1"/>
  <c r="BJ197" i="9" s="1"/>
  <c r="BJ198" i="9" s="1"/>
  <c r="BJ199" i="9" s="1"/>
  <c r="BJ200" i="9" s="1"/>
  <c r="BJ201" i="9" s="1"/>
  <c r="BJ202" i="9" s="1"/>
  <c r="BJ203" i="9" s="1"/>
  <c r="BJ204" i="9" s="1"/>
  <c r="BJ205" i="9" s="1"/>
  <c r="BJ206" i="9" s="1"/>
  <c r="BJ207" i="9" s="1"/>
  <c r="BJ208" i="9" s="1"/>
  <c r="BJ209" i="9" s="1"/>
  <c r="BJ210" i="9" s="1"/>
  <c r="BJ211" i="9" s="1"/>
  <c r="BJ212" i="9" s="1"/>
  <c r="BJ213" i="9" s="1"/>
  <c r="BJ214" i="9" s="1"/>
  <c r="BJ215" i="9" s="1"/>
  <c r="BJ216" i="9" s="1"/>
  <c r="BJ217" i="9" s="1"/>
  <c r="BJ218" i="9" s="1"/>
  <c r="BJ219" i="9" s="1"/>
  <c r="BJ220" i="9" s="1"/>
  <c r="BJ221" i="9" s="1"/>
  <c r="BJ222" i="9" s="1"/>
  <c r="BJ223" i="9" s="1"/>
  <c r="BJ224" i="9" s="1"/>
  <c r="BJ225" i="9" s="1"/>
  <c r="BJ226" i="9" s="1"/>
  <c r="BJ227" i="9" s="1"/>
  <c r="BJ228" i="9" s="1"/>
  <c r="BJ229" i="9" s="1"/>
  <c r="BJ230" i="9" s="1"/>
  <c r="BJ231" i="9" s="1"/>
  <c r="BJ232" i="9" s="1"/>
  <c r="BJ233" i="9" s="1"/>
  <c r="BJ234" i="9" s="1"/>
  <c r="BJ235" i="9" s="1"/>
  <c r="BJ236" i="9" s="1"/>
  <c r="BJ237" i="9" s="1"/>
  <c r="BJ238" i="9" s="1"/>
  <c r="BJ239" i="9" s="1"/>
  <c r="BJ240" i="9" s="1"/>
  <c r="BJ241" i="9" s="1"/>
  <c r="BJ242" i="9" s="1"/>
  <c r="BJ243" i="9" s="1"/>
  <c r="BJ244" i="9" s="1"/>
  <c r="BJ245" i="9" s="1"/>
  <c r="BJ246" i="9" s="1"/>
  <c r="BJ247" i="9" s="1"/>
  <c r="BJ248" i="9" s="1"/>
  <c r="BJ249" i="9" s="1"/>
  <c r="BJ250" i="9" s="1"/>
  <c r="BJ251" i="9" s="1"/>
  <c r="BJ252" i="9" s="1"/>
  <c r="BJ253" i="9" s="1"/>
  <c r="BJ254" i="9" s="1"/>
  <c r="BJ255" i="9" s="1"/>
  <c r="BJ256" i="9" s="1"/>
  <c r="BJ257" i="9" s="1"/>
  <c r="BJ258" i="9" s="1"/>
  <c r="BJ259" i="9" s="1"/>
  <c r="BJ260" i="9" s="1"/>
  <c r="BJ261" i="9" s="1"/>
  <c r="BJ262" i="9" s="1"/>
  <c r="BJ263" i="9" s="1"/>
  <c r="BJ264" i="9" s="1"/>
  <c r="BJ265" i="9" s="1"/>
  <c r="BJ266" i="9" s="1"/>
  <c r="BJ267" i="9" s="1"/>
  <c r="BJ268" i="9" s="1"/>
  <c r="BJ269" i="9" s="1"/>
  <c r="BJ270" i="9" s="1"/>
  <c r="BJ271" i="9" s="1"/>
  <c r="BJ272" i="9" s="1"/>
  <c r="BJ273" i="9" s="1"/>
  <c r="BJ274" i="9" s="1"/>
  <c r="BJ275" i="9" s="1"/>
  <c r="BJ276" i="9" s="1"/>
  <c r="BJ277" i="9" s="1"/>
  <c r="BJ278" i="9" s="1"/>
  <c r="BJ279" i="9" s="1"/>
  <c r="BJ280" i="9" s="1"/>
  <c r="BJ281" i="9" s="1"/>
  <c r="BJ282" i="9" s="1"/>
  <c r="BJ283" i="9" s="1"/>
  <c r="BJ284" i="9" s="1"/>
  <c r="BJ285" i="9" s="1"/>
  <c r="BJ286" i="9" s="1"/>
  <c r="BJ287" i="9" s="1"/>
  <c r="BJ288" i="9" s="1"/>
  <c r="BJ289" i="9" s="1"/>
  <c r="BJ290" i="9" s="1"/>
  <c r="BJ291" i="9" s="1"/>
  <c r="BJ292" i="9" s="1"/>
  <c r="BJ293" i="9" s="1"/>
  <c r="BJ294" i="9" s="1"/>
  <c r="BJ295" i="9" s="1"/>
  <c r="BJ296" i="9" s="1"/>
  <c r="BJ297" i="9" s="1"/>
  <c r="BJ298" i="9" s="1"/>
  <c r="BJ299" i="9" s="1"/>
  <c r="BJ300" i="9" s="1"/>
  <c r="BJ301" i="9" s="1"/>
  <c r="BJ302" i="9" s="1"/>
  <c r="BJ303" i="9" s="1"/>
  <c r="BJ304" i="9" s="1"/>
  <c r="BJ305" i="9" s="1"/>
  <c r="BJ306" i="9" s="1"/>
  <c r="BJ307" i="9" s="1"/>
  <c r="BJ308" i="9" s="1"/>
  <c r="BJ309" i="9" s="1"/>
  <c r="BJ310" i="9" s="1"/>
  <c r="BJ311" i="9" s="1"/>
  <c r="BJ312" i="9" s="1"/>
  <c r="BJ313" i="9" s="1"/>
  <c r="BJ314" i="9" s="1"/>
  <c r="BJ315" i="9" s="1"/>
  <c r="BJ316" i="9" s="1"/>
  <c r="BJ317" i="9" s="1"/>
  <c r="BJ318" i="9" s="1"/>
  <c r="BJ319" i="9" s="1"/>
  <c r="BJ320" i="9" s="1"/>
  <c r="BJ321" i="9" s="1"/>
  <c r="BJ322" i="9" s="1"/>
  <c r="BJ323" i="9" s="1"/>
  <c r="BJ324" i="9" s="1"/>
  <c r="BJ325" i="9" s="1"/>
  <c r="BJ326" i="9" s="1"/>
  <c r="BJ327" i="9" s="1"/>
  <c r="BJ328" i="9" s="1"/>
  <c r="BJ329" i="9" s="1"/>
  <c r="BJ330" i="9" s="1"/>
  <c r="BJ331" i="9" s="1"/>
  <c r="BJ332" i="9" s="1"/>
  <c r="BJ333" i="9" s="1"/>
  <c r="BJ334" i="9" s="1"/>
  <c r="BJ335" i="9" s="1"/>
  <c r="BJ336" i="9" s="1"/>
  <c r="BJ337" i="9" s="1"/>
  <c r="BJ338" i="9" s="1"/>
  <c r="BJ339" i="9" s="1"/>
  <c r="BJ340" i="9" s="1"/>
  <c r="BJ341" i="9" s="1"/>
  <c r="BJ342" i="9" s="1"/>
  <c r="BJ343" i="9" s="1"/>
  <c r="BJ344" i="9" s="1"/>
  <c r="BJ345" i="9" s="1"/>
  <c r="BJ346" i="9" s="1"/>
  <c r="BJ347" i="9" s="1"/>
  <c r="BJ348" i="9" s="1"/>
  <c r="BJ349" i="9" s="1"/>
  <c r="BJ350" i="9" s="1"/>
  <c r="BJ351" i="9" s="1"/>
  <c r="BJ352" i="9" s="1"/>
  <c r="BJ353" i="9" s="1"/>
  <c r="BJ354" i="9" s="1"/>
  <c r="BJ355" i="9" s="1"/>
  <c r="BJ356" i="9" s="1"/>
  <c r="BJ357" i="9" s="1"/>
  <c r="BJ358" i="9" s="1"/>
  <c r="BJ359" i="9" s="1"/>
  <c r="BJ360" i="9" s="1"/>
  <c r="BJ361" i="9" s="1"/>
  <c r="BJ362" i="9" s="1"/>
  <c r="BJ363" i="9" s="1"/>
  <c r="BJ364" i="9" s="1"/>
  <c r="BJ365" i="9" s="1"/>
  <c r="BJ366" i="9" s="1"/>
  <c r="BJ367" i="9" s="1"/>
  <c r="BJ368" i="9" s="1"/>
  <c r="BJ369" i="9" s="1"/>
  <c r="BJ370" i="9" s="1"/>
  <c r="BJ371" i="9" s="1"/>
  <c r="BJ372" i="9" s="1"/>
  <c r="BJ373" i="9" s="1"/>
  <c r="BJ374" i="9" s="1"/>
  <c r="BJ375" i="9" s="1"/>
  <c r="BJ376" i="9" s="1"/>
  <c r="BJ377" i="9" s="1"/>
  <c r="BJ378" i="9" s="1"/>
  <c r="BJ379" i="9" s="1"/>
  <c r="BJ380" i="9" s="1"/>
  <c r="BJ381" i="9" s="1"/>
  <c r="BJ382" i="9" s="1"/>
  <c r="BJ383" i="9" s="1"/>
  <c r="BJ384" i="9" s="1"/>
  <c r="BJ385" i="9" s="1"/>
  <c r="BJ386" i="9" s="1"/>
  <c r="BJ387" i="9" s="1"/>
  <c r="BJ388" i="9" s="1"/>
  <c r="BJ389" i="9" s="1"/>
  <c r="BJ390" i="9" s="1"/>
  <c r="BJ391" i="9" s="1"/>
  <c r="BJ392" i="9" s="1"/>
  <c r="BJ393" i="9" s="1"/>
  <c r="BJ394" i="9" s="1"/>
  <c r="BJ395" i="9" s="1"/>
  <c r="BJ396" i="9" s="1"/>
  <c r="BJ397" i="9" s="1"/>
  <c r="BJ398" i="9" s="1"/>
  <c r="BJ399" i="9" s="1"/>
  <c r="BE9" i="9"/>
  <c r="BE10" i="9" s="1"/>
  <c r="BE11" i="9" s="1"/>
  <c r="BE12" i="9" s="1"/>
  <c r="BE13" i="9" s="1"/>
  <c r="BE14" i="9" s="1"/>
  <c r="BE15" i="9" s="1"/>
  <c r="BE16" i="9" s="1"/>
  <c r="BE17" i="9" s="1"/>
  <c r="BE18" i="9" s="1"/>
  <c r="BE19" i="9" s="1"/>
  <c r="BE20" i="9" s="1"/>
  <c r="BE21" i="9" s="1"/>
  <c r="BE22" i="9" s="1"/>
  <c r="BE23" i="9" s="1"/>
  <c r="BE24" i="9" s="1"/>
  <c r="BE25" i="9" s="1"/>
  <c r="BE26" i="9" s="1"/>
  <c r="BE27" i="9" s="1"/>
  <c r="BE28" i="9" s="1"/>
  <c r="BE29" i="9" s="1"/>
  <c r="BE30" i="9" s="1"/>
  <c r="BE31" i="9" s="1"/>
  <c r="BE32" i="9" s="1"/>
  <c r="BE33" i="9" s="1"/>
  <c r="BE34" i="9" s="1"/>
  <c r="BE35" i="9" s="1"/>
  <c r="BE36" i="9" s="1"/>
  <c r="BE37" i="9" s="1"/>
  <c r="BE38" i="9" s="1"/>
  <c r="BE39" i="9" s="1"/>
  <c r="BE40" i="9" s="1"/>
  <c r="BE41" i="9" s="1"/>
  <c r="BE42" i="9" s="1"/>
  <c r="BE43" i="9" s="1"/>
  <c r="BE44" i="9" s="1"/>
  <c r="BE45" i="9" s="1"/>
  <c r="BE46" i="9" s="1"/>
  <c r="BE47" i="9" s="1"/>
  <c r="BE48" i="9" s="1"/>
  <c r="BE49" i="9" s="1"/>
  <c r="BE50" i="9" s="1"/>
  <c r="BE51" i="9" s="1"/>
  <c r="BE52" i="9" s="1"/>
  <c r="BE53" i="9" s="1"/>
  <c r="BE54" i="9" s="1"/>
  <c r="BE55" i="9" s="1"/>
  <c r="BE56" i="9" s="1"/>
  <c r="BE57" i="9" s="1"/>
  <c r="BE58" i="9" s="1"/>
  <c r="BE59" i="9" s="1"/>
  <c r="BE60" i="9" s="1"/>
  <c r="BE61" i="9" s="1"/>
  <c r="BE62" i="9" s="1"/>
  <c r="BE63" i="9" s="1"/>
  <c r="BE64" i="9" s="1"/>
  <c r="BE65" i="9" s="1"/>
  <c r="BE66" i="9" s="1"/>
  <c r="BE67" i="9" s="1"/>
  <c r="BE68" i="9" s="1"/>
  <c r="BE69" i="9" s="1"/>
  <c r="BE70" i="9" s="1"/>
  <c r="BE71" i="9" s="1"/>
  <c r="BE72" i="9" s="1"/>
  <c r="BE73" i="9" s="1"/>
  <c r="BE74" i="9" s="1"/>
  <c r="BE75" i="9" s="1"/>
  <c r="BE76" i="9" s="1"/>
  <c r="BE77" i="9" s="1"/>
  <c r="BE78" i="9" s="1"/>
  <c r="BE79" i="9" s="1"/>
  <c r="BE80" i="9" s="1"/>
  <c r="BE81" i="9" s="1"/>
  <c r="BE82" i="9" s="1"/>
  <c r="BE83" i="9" s="1"/>
  <c r="BE84" i="9" s="1"/>
  <c r="BE85" i="9" s="1"/>
  <c r="BE86" i="9" s="1"/>
  <c r="BE87" i="9" s="1"/>
  <c r="BE88" i="9" s="1"/>
  <c r="BE89" i="9" s="1"/>
  <c r="BE90" i="9" s="1"/>
  <c r="BE91" i="9" s="1"/>
  <c r="BE92" i="9" s="1"/>
  <c r="BE93" i="9" s="1"/>
  <c r="BE94" i="9" s="1"/>
  <c r="BE95" i="9" s="1"/>
  <c r="BE96" i="9" s="1"/>
  <c r="BE97" i="9" s="1"/>
  <c r="BE98" i="9" s="1"/>
  <c r="BE99" i="9" s="1"/>
  <c r="BE100" i="9" s="1"/>
  <c r="BE101" i="9" s="1"/>
  <c r="BE102" i="9" s="1"/>
  <c r="BE103" i="9" s="1"/>
  <c r="BE104" i="9" s="1"/>
  <c r="BE105" i="9" s="1"/>
  <c r="BE106" i="9" s="1"/>
  <c r="BE107" i="9" s="1"/>
  <c r="BE108" i="9" s="1"/>
  <c r="BE109" i="9" s="1"/>
  <c r="BE110" i="9" s="1"/>
  <c r="BE111" i="9" s="1"/>
  <c r="BE112" i="9" s="1"/>
  <c r="BE113" i="9" s="1"/>
  <c r="BE114" i="9" s="1"/>
  <c r="BE115" i="9" s="1"/>
  <c r="BE116" i="9" s="1"/>
  <c r="BE117" i="9" s="1"/>
  <c r="BE118" i="9" s="1"/>
  <c r="BE119" i="9" s="1"/>
  <c r="BE120" i="9" s="1"/>
  <c r="BE121" i="9" s="1"/>
  <c r="BE122" i="9" s="1"/>
  <c r="BE123" i="9" s="1"/>
  <c r="BE124" i="9" s="1"/>
  <c r="BE125" i="9" s="1"/>
  <c r="BE126" i="9" s="1"/>
  <c r="BE127" i="9" s="1"/>
  <c r="BE128" i="9" s="1"/>
  <c r="BE129" i="9" s="1"/>
  <c r="BE130" i="9" s="1"/>
  <c r="BE131" i="9" s="1"/>
  <c r="BE132" i="9" s="1"/>
  <c r="BE133" i="9" s="1"/>
  <c r="BE134" i="9" s="1"/>
  <c r="BE135" i="9" s="1"/>
  <c r="BE136" i="9" s="1"/>
  <c r="BE137" i="9" s="1"/>
  <c r="BE138" i="9" s="1"/>
  <c r="BE139" i="9" s="1"/>
  <c r="BE140" i="9" s="1"/>
  <c r="BE141" i="9" s="1"/>
  <c r="BE142" i="9" s="1"/>
  <c r="BE143" i="9" s="1"/>
  <c r="BE144" i="9" s="1"/>
  <c r="BE145" i="9" s="1"/>
  <c r="BE146" i="9" s="1"/>
  <c r="BE147" i="9" s="1"/>
  <c r="BE148" i="9" s="1"/>
  <c r="BE149" i="9" s="1"/>
  <c r="BE150" i="9" s="1"/>
  <c r="BE151" i="9" s="1"/>
  <c r="BE152" i="9" s="1"/>
  <c r="BE153" i="9" s="1"/>
  <c r="BE154" i="9" s="1"/>
  <c r="BE155" i="9" s="1"/>
  <c r="BE156" i="9" s="1"/>
  <c r="BE157" i="9" s="1"/>
  <c r="BE158" i="9" s="1"/>
  <c r="BE159" i="9" s="1"/>
  <c r="BE160" i="9" s="1"/>
  <c r="BE161" i="9" s="1"/>
  <c r="BE162" i="9" s="1"/>
  <c r="BE163" i="9" s="1"/>
  <c r="BE164" i="9" s="1"/>
  <c r="BE165" i="9" s="1"/>
  <c r="BE166" i="9" s="1"/>
  <c r="BE167" i="9" s="1"/>
  <c r="BE168" i="9" s="1"/>
  <c r="BE169" i="9" s="1"/>
  <c r="BE170" i="9" s="1"/>
  <c r="BE171" i="9" s="1"/>
  <c r="BE172" i="9" s="1"/>
  <c r="BE173" i="9" s="1"/>
  <c r="BE174" i="9" s="1"/>
  <c r="BE175" i="9" s="1"/>
  <c r="BE176" i="9" s="1"/>
  <c r="BE177" i="9" s="1"/>
  <c r="BE178" i="9" s="1"/>
  <c r="BE179" i="9" s="1"/>
  <c r="BE180" i="9" s="1"/>
  <c r="BE181" i="9" s="1"/>
  <c r="BE182" i="9" s="1"/>
  <c r="BE183" i="9" s="1"/>
  <c r="BE184" i="9" s="1"/>
  <c r="BE185" i="9" s="1"/>
  <c r="BE186" i="9" s="1"/>
  <c r="BE187" i="9" s="1"/>
  <c r="BE188" i="9" s="1"/>
  <c r="BE189" i="9" s="1"/>
  <c r="BE190" i="9" s="1"/>
  <c r="BE191" i="9" s="1"/>
  <c r="BE192" i="9" s="1"/>
  <c r="BE193" i="9" s="1"/>
  <c r="BE194" i="9" s="1"/>
  <c r="BE195" i="9" s="1"/>
  <c r="BE196" i="9" s="1"/>
  <c r="BE197" i="9" s="1"/>
  <c r="BE198" i="9" s="1"/>
  <c r="BE199" i="9" s="1"/>
  <c r="BE200" i="9" s="1"/>
  <c r="BE201" i="9" s="1"/>
  <c r="BE202" i="9" s="1"/>
  <c r="BE203" i="9" s="1"/>
  <c r="BE204" i="9" s="1"/>
  <c r="BE205" i="9" s="1"/>
  <c r="BE206" i="9" s="1"/>
  <c r="BE207" i="9" s="1"/>
  <c r="BE208" i="9" s="1"/>
  <c r="BE209" i="9" s="1"/>
  <c r="BE210" i="9" s="1"/>
  <c r="BE211" i="9" s="1"/>
  <c r="BE212" i="9" s="1"/>
  <c r="BE213" i="9" s="1"/>
  <c r="BE214" i="9" s="1"/>
  <c r="BE215" i="9" s="1"/>
  <c r="BE216" i="9" s="1"/>
  <c r="BE217" i="9" s="1"/>
  <c r="BE218" i="9" s="1"/>
  <c r="BE219" i="9" s="1"/>
  <c r="BE220" i="9" s="1"/>
  <c r="BE221" i="9" s="1"/>
  <c r="BE222" i="9" s="1"/>
  <c r="BE223" i="9" s="1"/>
  <c r="BE224" i="9" s="1"/>
  <c r="BE225" i="9" s="1"/>
  <c r="BE226" i="9" s="1"/>
  <c r="BE227" i="9" s="1"/>
  <c r="BE228" i="9" s="1"/>
  <c r="BE229" i="9" s="1"/>
  <c r="BE230" i="9" s="1"/>
  <c r="BE231" i="9" s="1"/>
  <c r="BE232" i="9" s="1"/>
  <c r="BE233" i="9" s="1"/>
  <c r="BE234" i="9" s="1"/>
  <c r="BE235" i="9" s="1"/>
  <c r="BE236" i="9" s="1"/>
  <c r="BE237" i="9" s="1"/>
  <c r="BE238" i="9" s="1"/>
  <c r="BE239" i="9" s="1"/>
  <c r="BE240" i="9" s="1"/>
  <c r="BE241" i="9" s="1"/>
  <c r="BE242" i="9" s="1"/>
  <c r="BE243" i="9" s="1"/>
  <c r="BE244" i="9" s="1"/>
  <c r="BE245" i="9" s="1"/>
  <c r="BE246" i="9" s="1"/>
  <c r="BE247" i="9" s="1"/>
  <c r="BE248" i="9" s="1"/>
  <c r="BE249" i="9" s="1"/>
  <c r="BE250" i="9" s="1"/>
  <c r="BE251" i="9" s="1"/>
  <c r="BE252" i="9" s="1"/>
  <c r="BE253" i="9" s="1"/>
  <c r="BE254" i="9" s="1"/>
  <c r="BE255" i="9" s="1"/>
  <c r="BE256" i="9" s="1"/>
  <c r="BE257" i="9" s="1"/>
  <c r="BE258" i="9" s="1"/>
  <c r="BE259" i="9" s="1"/>
  <c r="BE260" i="9" s="1"/>
  <c r="BE261" i="9" s="1"/>
  <c r="BE262" i="9" s="1"/>
  <c r="BE263" i="9" s="1"/>
  <c r="BE264" i="9" s="1"/>
  <c r="BE265" i="9" s="1"/>
  <c r="BE266" i="9" s="1"/>
  <c r="BE267" i="9" s="1"/>
  <c r="BE268" i="9" s="1"/>
  <c r="BE269" i="9" s="1"/>
  <c r="BE270" i="9" s="1"/>
  <c r="BE271" i="9" s="1"/>
  <c r="BE272" i="9" s="1"/>
  <c r="BE273" i="9" s="1"/>
  <c r="BE274" i="9" s="1"/>
  <c r="BE275" i="9" s="1"/>
  <c r="BE276" i="9" s="1"/>
  <c r="BE277" i="9" s="1"/>
  <c r="BE278" i="9" s="1"/>
  <c r="BE279" i="9" s="1"/>
  <c r="BE280" i="9" s="1"/>
  <c r="BE281" i="9" s="1"/>
  <c r="BE282" i="9" s="1"/>
  <c r="BE283" i="9" s="1"/>
  <c r="BE284" i="9" s="1"/>
  <c r="BE285" i="9" s="1"/>
  <c r="BE286" i="9" s="1"/>
  <c r="BE287" i="9" s="1"/>
  <c r="BE288" i="9" s="1"/>
  <c r="BE289" i="9" s="1"/>
  <c r="BE290" i="9" s="1"/>
  <c r="BE291" i="9" s="1"/>
  <c r="BE292" i="9" s="1"/>
  <c r="BE293" i="9" s="1"/>
  <c r="BE294" i="9" s="1"/>
  <c r="BE295" i="9" s="1"/>
  <c r="BE296" i="9" s="1"/>
  <c r="BE297" i="9" s="1"/>
  <c r="BE298" i="9" s="1"/>
  <c r="BE299" i="9" s="1"/>
  <c r="BE300" i="9" s="1"/>
  <c r="BE301" i="9" s="1"/>
  <c r="BE302" i="9" s="1"/>
  <c r="BE303" i="9" s="1"/>
  <c r="BE304" i="9" s="1"/>
  <c r="BE305" i="9" s="1"/>
  <c r="BE306" i="9" s="1"/>
  <c r="BE307" i="9" s="1"/>
  <c r="BE308" i="9" s="1"/>
  <c r="BE309" i="9" s="1"/>
  <c r="BE310" i="9" s="1"/>
  <c r="BE311" i="9" s="1"/>
  <c r="BE312" i="9" s="1"/>
  <c r="BE313" i="9" s="1"/>
  <c r="BE314" i="9" s="1"/>
  <c r="BE315" i="9" s="1"/>
  <c r="BE316" i="9" s="1"/>
  <c r="BE317" i="9" s="1"/>
  <c r="BE318" i="9" s="1"/>
  <c r="BE319" i="9" s="1"/>
  <c r="BE320" i="9" s="1"/>
  <c r="BE321" i="9" s="1"/>
  <c r="BE322" i="9" s="1"/>
  <c r="BE323" i="9" s="1"/>
  <c r="BE324" i="9" s="1"/>
  <c r="BE325" i="9" s="1"/>
  <c r="BE326" i="9" s="1"/>
  <c r="BE327" i="9" s="1"/>
  <c r="BE328" i="9" s="1"/>
  <c r="BE329" i="9" s="1"/>
  <c r="BE330" i="9" s="1"/>
  <c r="BE331" i="9" s="1"/>
  <c r="BE332" i="9" s="1"/>
  <c r="BE333" i="9" s="1"/>
  <c r="BE334" i="9" s="1"/>
  <c r="BE335" i="9" s="1"/>
  <c r="BE336" i="9" s="1"/>
  <c r="BE337" i="9" s="1"/>
  <c r="BE338" i="9" s="1"/>
  <c r="BE339" i="9" s="1"/>
  <c r="BE340" i="9" s="1"/>
  <c r="BE341" i="9" s="1"/>
  <c r="BE342" i="9" s="1"/>
  <c r="BE343" i="9" s="1"/>
  <c r="BE344" i="9" s="1"/>
  <c r="BE345" i="9" s="1"/>
  <c r="BE346" i="9" s="1"/>
  <c r="BE347" i="9" s="1"/>
  <c r="BE348" i="9" s="1"/>
  <c r="BE349" i="9" s="1"/>
  <c r="BE350" i="9" s="1"/>
  <c r="BE351" i="9" s="1"/>
  <c r="BE352" i="9" s="1"/>
  <c r="BE353" i="9" s="1"/>
  <c r="BE354" i="9" s="1"/>
  <c r="BE355" i="9" s="1"/>
  <c r="BE356" i="9" s="1"/>
  <c r="BE357" i="9" s="1"/>
  <c r="BE358" i="9" s="1"/>
  <c r="BE359" i="9" s="1"/>
  <c r="BE360" i="9" s="1"/>
  <c r="BE361" i="9" s="1"/>
  <c r="BE362" i="9" s="1"/>
  <c r="BE363" i="9" s="1"/>
  <c r="BE364" i="9" s="1"/>
  <c r="BE365" i="9" s="1"/>
  <c r="BE366" i="9" s="1"/>
  <c r="BE367" i="9" s="1"/>
  <c r="BE368" i="9" s="1"/>
  <c r="BE369" i="9" s="1"/>
  <c r="BE370" i="9" s="1"/>
  <c r="BE371" i="9" s="1"/>
  <c r="BE372" i="9" s="1"/>
  <c r="BE373" i="9" s="1"/>
  <c r="BE374" i="9" s="1"/>
  <c r="BE375" i="9" s="1"/>
  <c r="BE376" i="9" s="1"/>
  <c r="BE377" i="9" s="1"/>
  <c r="BE378" i="9" s="1"/>
  <c r="BE379" i="9" s="1"/>
  <c r="BE380" i="9" s="1"/>
  <c r="BE381" i="9" s="1"/>
  <c r="BE382" i="9" s="1"/>
  <c r="BE383" i="9" s="1"/>
  <c r="BE384" i="9" s="1"/>
  <c r="BE385" i="9" s="1"/>
  <c r="BE386" i="9" s="1"/>
  <c r="BE387" i="9" s="1"/>
  <c r="BE388" i="9" s="1"/>
  <c r="BE389" i="9" s="1"/>
  <c r="BE390" i="9" s="1"/>
  <c r="BE391" i="9" s="1"/>
  <c r="BE392" i="9" s="1"/>
  <c r="BE393" i="9" s="1"/>
  <c r="BE394" i="9" s="1"/>
  <c r="BE395" i="9" s="1"/>
  <c r="BE396" i="9" s="1"/>
  <c r="BE397" i="9" s="1"/>
  <c r="BE398" i="9" s="1"/>
  <c r="BE399" i="9" s="1"/>
  <c r="BE400" i="9" s="1"/>
  <c r="BE401" i="9" s="1"/>
  <c r="BE402" i="9" s="1"/>
  <c r="BE403" i="9" s="1"/>
  <c r="BN9" i="9"/>
  <c r="BN10" i="9" s="1"/>
  <c r="BN11" i="9" s="1"/>
  <c r="BN12" i="9" s="1"/>
  <c r="BN13" i="9" s="1"/>
  <c r="BN14" i="9" s="1"/>
  <c r="BN15" i="9" s="1"/>
  <c r="BN16" i="9" s="1"/>
  <c r="BN17" i="9" s="1"/>
  <c r="BN18" i="9" s="1"/>
  <c r="BN19" i="9" s="1"/>
  <c r="BN20" i="9" s="1"/>
  <c r="BN21" i="9" s="1"/>
  <c r="BN22" i="9" s="1"/>
  <c r="BN23" i="9" s="1"/>
  <c r="BN24" i="9" s="1"/>
  <c r="BN25" i="9" s="1"/>
  <c r="BN26" i="9" s="1"/>
  <c r="BN27" i="9" s="1"/>
  <c r="BN28" i="9" s="1"/>
  <c r="BN29" i="9" s="1"/>
  <c r="BN30" i="9" s="1"/>
  <c r="BN31" i="9" s="1"/>
  <c r="BN32" i="9" s="1"/>
  <c r="BN33" i="9" s="1"/>
  <c r="BN34" i="9" s="1"/>
  <c r="BN35" i="9" s="1"/>
  <c r="BN36" i="9" s="1"/>
  <c r="BN37" i="9" s="1"/>
  <c r="BN38" i="9" s="1"/>
  <c r="BN39" i="9" s="1"/>
  <c r="BN40" i="9" s="1"/>
  <c r="BN41" i="9" s="1"/>
  <c r="BN42" i="9" s="1"/>
  <c r="BN43" i="9" s="1"/>
  <c r="BN44" i="9" s="1"/>
  <c r="BN45" i="9" s="1"/>
  <c r="BN46" i="9" s="1"/>
  <c r="BN47" i="9" s="1"/>
  <c r="BN48" i="9" s="1"/>
  <c r="BN49" i="9" s="1"/>
  <c r="BN50" i="9" s="1"/>
  <c r="BN51" i="9" s="1"/>
  <c r="BN52" i="9" s="1"/>
  <c r="BN53" i="9" s="1"/>
  <c r="BN54" i="9" s="1"/>
  <c r="BN55" i="9" s="1"/>
  <c r="BN56" i="9" s="1"/>
  <c r="BN57" i="9" s="1"/>
  <c r="BN58" i="9" s="1"/>
  <c r="BN59" i="9" s="1"/>
  <c r="BN60" i="9" s="1"/>
  <c r="BN61" i="9" s="1"/>
  <c r="BN62" i="9" s="1"/>
  <c r="BN63" i="9" s="1"/>
  <c r="BN64" i="9" s="1"/>
  <c r="BN65" i="9" s="1"/>
  <c r="BN66" i="9" s="1"/>
  <c r="BN67" i="9" s="1"/>
  <c r="BN68" i="9" s="1"/>
  <c r="BN69" i="9" s="1"/>
  <c r="BN70" i="9" s="1"/>
  <c r="BN71" i="9" s="1"/>
  <c r="BN72" i="9" s="1"/>
  <c r="BN73" i="9" s="1"/>
  <c r="BN74" i="9" s="1"/>
  <c r="BN75" i="9" s="1"/>
  <c r="BN76" i="9" s="1"/>
  <c r="BN77" i="9" s="1"/>
  <c r="BN78" i="9" s="1"/>
  <c r="BN79" i="9" s="1"/>
  <c r="BN80" i="9" s="1"/>
  <c r="BN81" i="9" s="1"/>
  <c r="BN82" i="9" s="1"/>
  <c r="BN83" i="9" s="1"/>
  <c r="BN84" i="9" s="1"/>
  <c r="BN85" i="9" s="1"/>
  <c r="BN86" i="9" s="1"/>
  <c r="BN87" i="9" s="1"/>
  <c r="BN88" i="9" s="1"/>
  <c r="BN89" i="9" s="1"/>
  <c r="BN90" i="9" s="1"/>
  <c r="BN91" i="9" s="1"/>
  <c r="BN92" i="9" s="1"/>
  <c r="BN93" i="9" s="1"/>
  <c r="BN94" i="9" s="1"/>
  <c r="BN95" i="9" s="1"/>
  <c r="BN96" i="9" s="1"/>
  <c r="BN97" i="9" s="1"/>
  <c r="BN98" i="9" s="1"/>
  <c r="BN99" i="9" s="1"/>
  <c r="BN100" i="9" s="1"/>
  <c r="BN101" i="9" s="1"/>
  <c r="BN102" i="9" s="1"/>
  <c r="BN103" i="9" s="1"/>
  <c r="BN104" i="9" s="1"/>
  <c r="BN105" i="9" s="1"/>
  <c r="BN106" i="9" s="1"/>
  <c r="BN107" i="9" s="1"/>
  <c r="BN108" i="9" s="1"/>
  <c r="BN109" i="9" s="1"/>
  <c r="BN110" i="9" s="1"/>
  <c r="BN111" i="9" s="1"/>
  <c r="BN112" i="9" s="1"/>
  <c r="BN113" i="9" s="1"/>
  <c r="BN114" i="9" s="1"/>
  <c r="BN115" i="9" s="1"/>
  <c r="BN116" i="9" s="1"/>
  <c r="BN117" i="9" s="1"/>
  <c r="BN118" i="9" s="1"/>
  <c r="BN119" i="9" s="1"/>
  <c r="BN120" i="9" s="1"/>
  <c r="BN121" i="9" s="1"/>
  <c r="BN122" i="9" s="1"/>
  <c r="BN123" i="9" s="1"/>
  <c r="BN124" i="9" s="1"/>
  <c r="BN125" i="9" s="1"/>
  <c r="BN126" i="9" s="1"/>
  <c r="BN127" i="9" s="1"/>
  <c r="BN128" i="9" s="1"/>
  <c r="BN129" i="9" s="1"/>
  <c r="BN130" i="9" s="1"/>
  <c r="BN131" i="9" s="1"/>
  <c r="BN132" i="9" s="1"/>
  <c r="BN133" i="9" s="1"/>
  <c r="BN134" i="9" s="1"/>
  <c r="BN135" i="9" s="1"/>
  <c r="BN136" i="9" s="1"/>
  <c r="BN137" i="9" s="1"/>
  <c r="BN138" i="9" s="1"/>
  <c r="BN139" i="9" s="1"/>
  <c r="BN140" i="9" s="1"/>
  <c r="BN141" i="9" s="1"/>
  <c r="BN142" i="9" s="1"/>
  <c r="BN143" i="9" s="1"/>
  <c r="BN144" i="9" s="1"/>
  <c r="BN145" i="9" s="1"/>
  <c r="BN146" i="9" s="1"/>
  <c r="BN147" i="9" s="1"/>
  <c r="BN148" i="9" s="1"/>
  <c r="BN149" i="9" s="1"/>
  <c r="BN150" i="9" s="1"/>
  <c r="BN151" i="9" s="1"/>
  <c r="BN152" i="9" s="1"/>
  <c r="BN153" i="9" s="1"/>
  <c r="BN154" i="9" s="1"/>
  <c r="BN155" i="9" s="1"/>
  <c r="BN156" i="9" s="1"/>
  <c r="BN157" i="9" s="1"/>
  <c r="BN158" i="9" s="1"/>
  <c r="BN159" i="9" s="1"/>
  <c r="BN160" i="9" s="1"/>
  <c r="BN161" i="9" s="1"/>
  <c r="BN162" i="9" s="1"/>
  <c r="BN163" i="9" s="1"/>
  <c r="BN164" i="9" s="1"/>
  <c r="BN165" i="9" s="1"/>
  <c r="BN166" i="9" s="1"/>
  <c r="BN167" i="9" s="1"/>
  <c r="BN168" i="9" s="1"/>
  <c r="BN169" i="9" s="1"/>
  <c r="BN170" i="9" s="1"/>
  <c r="BN171" i="9" s="1"/>
  <c r="BN172" i="9" s="1"/>
  <c r="BN173" i="9" s="1"/>
  <c r="BN174" i="9" s="1"/>
  <c r="BN175" i="9" s="1"/>
  <c r="BN176" i="9" s="1"/>
  <c r="BN177" i="9" s="1"/>
  <c r="BN178" i="9" s="1"/>
  <c r="BN179" i="9" s="1"/>
  <c r="BN180" i="9" s="1"/>
  <c r="BN181" i="9" s="1"/>
  <c r="BN182" i="9" s="1"/>
  <c r="BN183" i="9" s="1"/>
  <c r="BN184" i="9" s="1"/>
  <c r="BN185" i="9" s="1"/>
  <c r="BN186" i="9" s="1"/>
  <c r="BN187" i="9" s="1"/>
  <c r="BN188" i="9" s="1"/>
  <c r="BN189" i="9" s="1"/>
  <c r="BN190" i="9" s="1"/>
  <c r="BN191" i="9" s="1"/>
  <c r="BN192" i="9" s="1"/>
  <c r="BN193" i="9" s="1"/>
  <c r="BN194" i="9" s="1"/>
  <c r="BN195" i="9" s="1"/>
  <c r="BN196" i="9" s="1"/>
  <c r="BN197" i="9" s="1"/>
  <c r="BN198" i="9" s="1"/>
  <c r="BN199" i="9" s="1"/>
  <c r="BN200" i="9" s="1"/>
  <c r="BN201" i="9" s="1"/>
  <c r="BN202" i="9" s="1"/>
  <c r="BN203" i="9" s="1"/>
  <c r="BN204" i="9" s="1"/>
  <c r="BN205" i="9" s="1"/>
  <c r="BN206" i="9" s="1"/>
  <c r="BN207" i="9" s="1"/>
  <c r="BN208" i="9" s="1"/>
  <c r="BN209" i="9" s="1"/>
  <c r="BN210" i="9" s="1"/>
  <c r="BN211" i="9" s="1"/>
  <c r="BN212" i="9" s="1"/>
  <c r="BN213" i="9" s="1"/>
  <c r="BN214" i="9" s="1"/>
  <c r="BN215" i="9" s="1"/>
  <c r="BN216" i="9" s="1"/>
  <c r="BN217" i="9" s="1"/>
  <c r="BN218" i="9" s="1"/>
  <c r="BN219" i="9" s="1"/>
  <c r="BN220" i="9" s="1"/>
  <c r="BN221" i="9" s="1"/>
  <c r="BN222" i="9" s="1"/>
  <c r="BN223" i="9" s="1"/>
  <c r="BN224" i="9" s="1"/>
  <c r="BN225" i="9" s="1"/>
  <c r="BN226" i="9" s="1"/>
  <c r="BN227" i="9" s="1"/>
  <c r="BN228" i="9" s="1"/>
  <c r="BN229" i="9" s="1"/>
  <c r="BN230" i="9" s="1"/>
  <c r="BN231" i="9" s="1"/>
  <c r="BN232" i="9" s="1"/>
  <c r="BN233" i="9" s="1"/>
  <c r="BN234" i="9" s="1"/>
  <c r="BN235" i="9" s="1"/>
  <c r="BN236" i="9" s="1"/>
  <c r="BN237" i="9" s="1"/>
  <c r="BN238" i="9" s="1"/>
  <c r="BN239" i="9" s="1"/>
  <c r="BN240" i="9" s="1"/>
  <c r="BN241" i="9" s="1"/>
  <c r="BN242" i="9" s="1"/>
  <c r="BN243" i="9" s="1"/>
  <c r="BN244" i="9" s="1"/>
  <c r="BN245" i="9" s="1"/>
  <c r="BN246" i="9" s="1"/>
  <c r="BN247" i="9" s="1"/>
  <c r="BN248" i="9" s="1"/>
  <c r="BN249" i="9" s="1"/>
  <c r="BN250" i="9" s="1"/>
  <c r="BN251" i="9" s="1"/>
  <c r="BN252" i="9" s="1"/>
  <c r="BN253" i="9" s="1"/>
  <c r="BN254" i="9" s="1"/>
  <c r="BN255" i="9" s="1"/>
  <c r="BN256" i="9" s="1"/>
  <c r="BN257" i="9" s="1"/>
  <c r="BN258" i="9" s="1"/>
  <c r="BN259" i="9" s="1"/>
  <c r="BN260" i="9" s="1"/>
  <c r="BN261" i="9" s="1"/>
  <c r="BN262" i="9" s="1"/>
  <c r="BN263" i="9" s="1"/>
  <c r="BN264" i="9" s="1"/>
  <c r="BN265" i="9" s="1"/>
  <c r="BN266" i="9" s="1"/>
  <c r="BN267" i="9" s="1"/>
  <c r="BN268" i="9" s="1"/>
  <c r="BN269" i="9" s="1"/>
  <c r="BN270" i="9" s="1"/>
  <c r="BN271" i="9" s="1"/>
  <c r="BN272" i="9" s="1"/>
  <c r="BN273" i="9" s="1"/>
  <c r="BN274" i="9" s="1"/>
  <c r="BN275" i="9" s="1"/>
  <c r="BN276" i="9" s="1"/>
  <c r="BN277" i="9" s="1"/>
  <c r="BN278" i="9" s="1"/>
  <c r="BN279" i="9" s="1"/>
  <c r="BN280" i="9" s="1"/>
  <c r="BN281" i="9" s="1"/>
  <c r="BN282" i="9" s="1"/>
  <c r="BN283" i="9" s="1"/>
  <c r="BN284" i="9" s="1"/>
  <c r="BN285" i="9" s="1"/>
  <c r="BN286" i="9" s="1"/>
  <c r="BN287" i="9" s="1"/>
  <c r="BN288" i="9" s="1"/>
  <c r="BN289" i="9" s="1"/>
  <c r="BN290" i="9" s="1"/>
  <c r="BN291" i="9" s="1"/>
  <c r="BN292" i="9" s="1"/>
  <c r="BN293" i="9" s="1"/>
  <c r="BN294" i="9" s="1"/>
  <c r="BN295" i="9" s="1"/>
  <c r="BN296" i="9" s="1"/>
  <c r="BN297" i="9" s="1"/>
  <c r="BN298" i="9" s="1"/>
  <c r="BN299" i="9" s="1"/>
  <c r="BN300" i="9" s="1"/>
  <c r="BN301" i="9" s="1"/>
  <c r="BN302" i="9" s="1"/>
  <c r="BN303" i="9" s="1"/>
  <c r="BN304" i="9" s="1"/>
  <c r="BN305" i="9" s="1"/>
  <c r="BN306" i="9" s="1"/>
  <c r="BN307" i="9" s="1"/>
  <c r="BN308" i="9" s="1"/>
  <c r="BN309" i="9" s="1"/>
  <c r="BN310" i="9" s="1"/>
  <c r="BN311" i="9" s="1"/>
  <c r="BN312" i="9" s="1"/>
  <c r="BN313" i="9" s="1"/>
  <c r="BN314" i="9" s="1"/>
  <c r="BN315" i="9" s="1"/>
  <c r="BN316" i="9" s="1"/>
  <c r="BN317" i="9" s="1"/>
  <c r="BN318" i="9" s="1"/>
  <c r="BN319" i="9" s="1"/>
  <c r="BN320" i="9" s="1"/>
  <c r="BN321" i="9" s="1"/>
  <c r="BN322" i="9" s="1"/>
  <c r="BN323" i="9" s="1"/>
  <c r="BN324" i="9" s="1"/>
  <c r="BN325" i="9" s="1"/>
  <c r="BN326" i="9" s="1"/>
  <c r="BN327" i="9" s="1"/>
  <c r="BN328" i="9" s="1"/>
  <c r="BN329" i="9" s="1"/>
  <c r="BN330" i="9" s="1"/>
  <c r="BN331" i="9" s="1"/>
  <c r="BN332" i="9" s="1"/>
  <c r="BN333" i="9" s="1"/>
  <c r="BN334" i="9" s="1"/>
  <c r="BN335" i="9" s="1"/>
  <c r="BN336" i="9" s="1"/>
  <c r="BN337" i="9" s="1"/>
  <c r="BN338" i="9" s="1"/>
  <c r="BN339" i="9" s="1"/>
  <c r="BN340" i="9" s="1"/>
  <c r="BN341" i="9" s="1"/>
  <c r="BN342" i="9" s="1"/>
  <c r="BN343" i="9" s="1"/>
  <c r="BN344" i="9" s="1"/>
  <c r="BN345" i="9" s="1"/>
  <c r="BN346" i="9" s="1"/>
  <c r="BN347" i="9" s="1"/>
  <c r="BN348" i="9" s="1"/>
  <c r="BN349" i="9" s="1"/>
  <c r="BN350" i="9" s="1"/>
  <c r="BN351" i="9" s="1"/>
  <c r="BN352" i="9" s="1"/>
  <c r="BN353" i="9" s="1"/>
  <c r="BN354" i="9" s="1"/>
  <c r="BN355" i="9" s="1"/>
  <c r="BN356" i="9" s="1"/>
  <c r="BN357" i="9" s="1"/>
  <c r="BN358" i="9" s="1"/>
  <c r="BN359" i="9" s="1"/>
  <c r="BN360" i="9" s="1"/>
  <c r="BN361" i="9" s="1"/>
  <c r="BN362" i="9" s="1"/>
  <c r="BN363" i="9" s="1"/>
  <c r="BN364" i="9" s="1"/>
  <c r="BN365" i="9" s="1"/>
  <c r="BN366" i="9" s="1"/>
  <c r="BN367" i="9" s="1"/>
  <c r="BN368" i="9" s="1"/>
  <c r="BN369" i="9" s="1"/>
  <c r="BN370" i="9" s="1"/>
  <c r="BN371" i="9" s="1"/>
  <c r="BN372" i="9" s="1"/>
  <c r="BN373" i="9" s="1"/>
  <c r="BN374" i="9" s="1"/>
  <c r="BN375" i="9" s="1"/>
  <c r="BN376" i="9" s="1"/>
  <c r="BN377" i="9" s="1"/>
  <c r="BN378" i="9" s="1"/>
  <c r="BN379" i="9" s="1"/>
  <c r="BN380" i="9" s="1"/>
  <c r="BN381" i="9" s="1"/>
  <c r="BN382" i="9" s="1"/>
  <c r="BN383" i="9" s="1"/>
  <c r="BN384" i="9" s="1"/>
  <c r="BN385" i="9" s="1"/>
  <c r="BN386" i="9" s="1"/>
  <c r="BN387" i="9" s="1"/>
  <c r="BN388" i="9" s="1"/>
  <c r="BN389" i="9" s="1"/>
  <c r="BN390" i="9" s="1"/>
  <c r="BN391" i="9" s="1"/>
  <c r="BN392" i="9" s="1"/>
  <c r="BN393" i="9" s="1"/>
  <c r="BN394" i="9" s="1"/>
  <c r="BN395" i="9" s="1"/>
  <c r="BN396" i="9" s="1"/>
  <c r="BN397" i="9" s="1"/>
  <c r="BN398" i="9" s="1"/>
  <c r="BN399" i="9" s="1"/>
  <c r="BN400" i="9" s="1"/>
  <c r="BN401" i="9" s="1"/>
  <c r="BN402" i="9" s="1"/>
  <c r="BN403" i="9" s="1"/>
  <c r="BN404" i="9" s="1"/>
  <c r="BN405" i="9" s="1"/>
  <c r="BN406" i="9" s="1"/>
  <c r="BN407" i="9" s="1"/>
  <c r="BN408" i="9" s="1"/>
  <c r="BN409" i="9" s="1"/>
  <c r="BN410" i="9" s="1"/>
  <c r="BN411" i="9" s="1"/>
  <c r="BN412" i="9" s="1"/>
  <c r="BN413" i="9" s="1"/>
  <c r="BN414" i="9" s="1"/>
  <c r="BN415" i="9" s="1"/>
  <c r="BN416" i="9" s="1"/>
  <c r="BN417" i="9" s="1"/>
  <c r="BN418" i="9" s="1"/>
  <c r="BN419" i="9" s="1"/>
  <c r="BN420" i="9" s="1"/>
  <c r="BN421" i="9" s="1"/>
  <c r="BN422" i="9" s="1"/>
  <c r="BN423" i="9" s="1"/>
  <c r="BN424" i="9" s="1"/>
  <c r="BN425" i="9" s="1"/>
  <c r="BN426" i="9" s="1"/>
  <c r="BN427" i="9" s="1"/>
  <c r="BN428" i="9" s="1"/>
  <c r="BN429" i="9" s="1"/>
  <c r="BN430" i="9" s="1"/>
  <c r="BN431" i="9" s="1"/>
  <c r="BN432" i="9" s="1"/>
  <c r="BN433" i="9" s="1"/>
  <c r="BN434" i="9" s="1"/>
  <c r="BN435" i="9" s="1"/>
  <c r="BN436" i="9" s="1"/>
  <c r="BN437" i="9" s="1"/>
  <c r="BN438" i="9" s="1"/>
  <c r="BN439" i="9" s="1"/>
  <c r="BN440" i="9" s="1"/>
  <c r="BN441" i="9" s="1"/>
  <c r="BN442" i="9" s="1"/>
  <c r="BN443" i="9" s="1"/>
  <c r="BN444" i="9" s="1"/>
  <c r="BN445" i="9" s="1"/>
  <c r="BN446" i="9" s="1"/>
  <c r="BN447" i="9" s="1"/>
  <c r="BN448" i="9" s="1"/>
  <c r="BN449" i="9" s="1"/>
  <c r="BN450" i="9" s="1"/>
  <c r="BN451" i="9" s="1"/>
  <c r="BN452" i="9" s="1"/>
  <c r="BN453" i="9" s="1"/>
  <c r="AZ9" i="9"/>
  <c r="AZ10" i="9" s="1"/>
  <c r="AZ11" i="9" s="1"/>
  <c r="AZ12" i="9" s="1"/>
  <c r="AZ13" i="9" s="1"/>
  <c r="AZ14" i="9" s="1"/>
  <c r="AZ15" i="9" s="1"/>
  <c r="AZ16" i="9" s="1"/>
  <c r="AZ17" i="9" s="1"/>
  <c r="AZ18" i="9" s="1"/>
  <c r="AZ19" i="9" s="1"/>
  <c r="AZ20" i="9" s="1"/>
  <c r="AZ21" i="9" s="1"/>
  <c r="AZ22" i="9" s="1"/>
  <c r="AZ23" i="9" s="1"/>
  <c r="AZ24" i="9" s="1"/>
  <c r="AZ25" i="9" s="1"/>
  <c r="AZ26" i="9" s="1"/>
  <c r="AZ27" i="9" s="1"/>
  <c r="AZ28" i="9" s="1"/>
  <c r="AZ29" i="9" s="1"/>
  <c r="AZ30" i="9" s="1"/>
  <c r="AZ31" i="9" s="1"/>
  <c r="AZ32" i="9" s="1"/>
  <c r="AZ33" i="9" s="1"/>
  <c r="AZ34" i="9" s="1"/>
  <c r="AZ35" i="9" s="1"/>
  <c r="AZ36" i="9" s="1"/>
  <c r="AZ37" i="9" s="1"/>
  <c r="AZ38" i="9" s="1"/>
  <c r="AZ39" i="9" s="1"/>
  <c r="AZ40" i="9" s="1"/>
  <c r="AZ41" i="9" s="1"/>
  <c r="AZ42" i="9" s="1"/>
  <c r="AZ43" i="9" s="1"/>
  <c r="AZ44" i="9" s="1"/>
  <c r="AZ45" i="9" s="1"/>
  <c r="AZ46" i="9" s="1"/>
  <c r="AZ47" i="9" s="1"/>
  <c r="AZ48" i="9" s="1"/>
  <c r="AZ49" i="9" s="1"/>
  <c r="AZ50" i="9" s="1"/>
  <c r="AZ51" i="9" s="1"/>
  <c r="AZ52" i="9" s="1"/>
  <c r="AZ53" i="9" s="1"/>
  <c r="AZ54" i="9" s="1"/>
  <c r="AZ55" i="9" s="1"/>
  <c r="AZ56" i="9" s="1"/>
  <c r="AZ57" i="9" s="1"/>
  <c r="AZ58" i="9" s="1"/>
  <c r="AZ59" i="9" s="1"/>
  <c r="AZ60" i="9" s="1"/>
  <c r="AZ61" i="9" s="1"/>
  <c r="AZ62" i="9" s="1"/>
  <c r="AZ63" i="9" s="1"/>
  <c r="AZ64" i="9" s="1"/>
  <c r="AZ65" i="9" s="1"/>
  <c r="AZ66" i="9" s="1"/>
  <c r="AZ67" i="9" s="1"/>
  <c r="AZ68" i="9" s="1"/>
  <c r="AZ69" i="9" s="1"/>
  <c r="AZ70" i="9" s="1"/>
  <c r="AZ71" i="9" s="1"/>
  <c r="AZ72" i="9" s="1"/>
  <c r="AZ73" i="9" s="1"/>
  <c r="AZ74" i="9" s="1"/>
  <c r="AZ75" i="9" s="1"/>
  <c r="AZ76" i="9" s="1"/>
  <c r="AZ77" i="9" s="1"/>
  <c r="AZ78" i="9" s="1"/>
  <c r="AZ79" i="9" s="1"/>
  <c r="AZ80" i="9" s="1"/>
  <c r="AZ81" i="9" s="1"/>
  <c r="AZ82" i="9" s="1"/>
  <c r="AZ83" i="9" s="1"/>
  <c r="AZ84" i="9" s="1"/>
  <c r="AZ85" i="9" s="1"/>
  <c r="AZ86" i="9" s="1"/>
  <c r="AZ87" i="9" s="1"/>
  <c r="AZ88" i="9" s="1"/>
  <c r="AZ89" i="9" s="1"/>
  <c r="AZ90" i="9" s="1"/>
  <c r="AZ91" i="9" s="1"/>
  <c r="AZ92" i="9" s="1"/>
  <c r="AZ93" i="9" s="1"/>
  <c r="AZ94" i="9" s="1"/>
  <c r="AZ95" i="9" s="1"/>
  <c r="AZ96" i="9" s="1"/>
  <c r="AZ97" i="9" s="1"/>
  <c r="AZ98" i="9" s="1"/>
  <c r="AZ99" i="9" s="1"/>
  <c r="AZ100" i="9" s="1"/>
  <c r="AZ101" i="9" s="1"/>
  <c r="AZ102" i="9" s="1"/>
  <c r="AZ103" i="9" s="1"/>
  <c r="AZ104" i="9" s="1"/>
  <c r="AZ105" i="9" s="1"/>
  <c r="AZ106" i="9" s="1"/>
  <c r="AZ107" i="9" s="1"/>
  <c r="AZ108" i="9" s="1"/>
  <c r="AZ109" i="9" s="1"/>
  <c r="AZ110" i="9" s="1"/>
  <c r="AZ111" i="9" s="1"/>
  <c r="AZ112" i="9" s="1"/>
  <c r="AZ113" i="9" s="1"/>
  <c r="AZ114" i="9" s="1"/>
  <c r="AZ115" i="9" s="1"/>
  <c r="AZ116" i="9" s="1"/>
  <c r="AZ117" i="9" s="1"/>
  <c r="AZ118" i="9" s="1"/>
  <c r="AZ119" i="9" s="1"/>
  <c r="AZ120" i="9" s="1"/>
  <c r="AZ121" i="9" s="1"/>
  <c r="AZ122" i="9" s="1"/>
  <c r="AZ123" i="9" s="1"/>
  <c r="AZ124" i="9" s="1"/>
  <c r="AZ125" i="9" s="1"/>
  <c r="AZ126" i="9" s="1"/>
  <c r="AZ127" i="9" s="1"/>
  <c r="AZ128" i="9" s="1"/>
  <c r="AZ129" i="9" s="1"/>
  <c r="AZ130" i="9" s="1"/>
  <c r="AZ131" i="9" s="1"/>
  <c r="AZ132" i="9" s="1"/>
  <c r="AZ133" i="9" s="1"/>
  <c r="AZ134" i="9" s="1"/>
  <c r="AZ135" i="9" s="1"/>
  <c r="AZ136" i="9" s="1"/>
  <c r="AZ137" i="9" s="1"/>
  <c r="AZ138" i="9" s="1"/>
  <c r="AZ139" i="9" s="1"/>
  <c r="AZ140" i="9" s="1"/>
  <c r="AZ141" i="9" s="1"/>
  <c r="AZ142" i="9" s="1"/>
  <c r="AZ143" i="9" s="1"/>
  <c r="AZ144" i="9" s="1"/>
  <c r="AZ145" i="9" s="1"/>
  <c r="AZ146" i="9" s="1"/>
  <c r="AZ147" i="9" s="1"/>
  <c r="AZ148" i="9" s="1"/>
  <c r="AZ149" i="9" s="1"/>
  <c r="AZ150" i="9" s="1"/>
  <c r="AZ151" i="9" s="1"/>
  <c r="AZ152" i="9" s="1"/>
  <c r="AZ153" i="9" s="1"/>
  <c r="AZ154" i="9" s="1"/>
  <c r="AZ155" i="9" s="1"/>
  <c r="AZ156" i="9" s="1"/>
  <c r="AZ157" i="9" s="1"/>
  <c r="AZ158" i="9" s="1"/>
  <c r="AZ159" i="9" s="1"/>
  <c r="AZ160" i="9" s="1"/>
  <c r="AZ161" i="9" s="1"/>
  <c r="AZ162" i="9" s="1"/>
  <c r="AZ163" i="9" s="1"/>
  <c r="AZ164" i="9" s="1"/>
  <c r="AZ165" i="9" s="1"/>
  <c r="AZ166" i="9" s="1"/>
  <c r="AZ167" i="9" s="1"/>
  <c r="AZ168" i="9" s="1"/>
  <c r="AZ169" i="9" s="1"/>
  <c r="AZ170" i="9" s="1"/>
  <c r="AZ171" i="9" s="1"/>
  <c r="AZ172" i="9" s="1"/>
  <c r="AZ173" i="9" s="1"/>
  <c r="AZ174" i="9" s="1"/>
  <c r="AZ175" i="9" s="1"/>
  <c r="AZ176" i="9" s="1"/>
  <c r="AZ177" i="9" s="1"/>
  <c r="AZ178" i="9" s="1"/>
  <c r="AZ179" i="9" s="1"/>
  <c r="AZ180" i="9" s="1"/>
  <c r="AZ181" i="9" s="1"/>
  <c r="AZ182" i="9" s="1"/>
  <c r="AZ183" i="9" s="1"/>
  <c r="AZ184" i="9" s="1"/>
  <c r="AZ185" i="9" s="1"/>
  <c r="AZ186" i="9" s="1"/>
  <c r="AZ187" i="9" s="1"/>
  <c r="AZ188" i="9" s="1"/>
  <c r="AZ189" i="9" s="1"/>
  <c r="AZ190" i="9" s="1"/>
  <c r="AZ191" i="9" s="1"/>
  <c r="AZ192" i="9" s="1"/>
  <c r="AZ193" i="9" s="1"/>
  <c r="AZ194" i="9" s="1"/>
  <c r="AZ195" i="9" s="1"/>
  <c r="AZ196" i="9" s="1"/>
  <c r="AZ197" i="9" s="1"/>
  <c r="AZ198" i="9" s="1"/>
  <c r="AZ199" i="9" s="1"/>
  <c r="AZ200" i="9" s="1"/>
  <c r="AZ201" i="9" s="1"/>
  <c r="AZ202" i="9" s="1"/>
  <c r="AZ203" i="9" s="1"/>
  <c r="AZ204" i="9" s="1"/>
  <c r="AZ205" i="9" s="1"/>
  <c r="AZ206" i="9" s="1"/>
  <c r="AZ207" i="9" s="1"/>
  <c r="AZ208" i="9" s="1"/>
  <c r="AZ209" i="9" s="1"/>
  <c r="AZ210" i="9" s="1"/>
  <c r="AZ211" i="9" s="1"/>
  <c r="AZ212" i="9" s="1"/>
  <c r="AZ213" i="9" s="1"/>
  <c r="AZ214" i="9" s="1"/>
  <c r="AZ215" i="9" s="1"/>
  <c r="AZ216" i="9" s="1"/>
  <c r="AZ217" i="9" s="1"/>
  <c r="AZ218" i="9" s="1"/>
  <c r="AZ219" i="9" s="1"/>
  <c r="AZ220" i="9" s="1"/>
  <c r="AZ221" i="9" s="1"/>
  <c r="AZ222" i="9" s="1"/>
  <c r="AZ223" i="9" s="1"/>
  <c r="AZ224" i="9" s="1"/>
  <c r="AZ225" i="9" s="1"/>
  <c r="AZ226" i="9" s="1"/>
  <c r="AZ227" i="9" s="1"/>
  <c r="AZ228" i="9" s="1"/>
  <c r="AZ229" i="9" s="1"/>
  <c r="AZ230" i="9" s="1"/>
  <c r="AZ231" i="9" s="1"/>
  <c r="AZ232" i="9" s="1"/>
  <c r="AZ233" i="9" s="1"/>
  <c r="AZ234" i="9" s="1"/>
  <c r="AZ235" i="9" s="1"/>
  <c r="AZ236" i="9" s="1"/>
  <c r="AZ237" i="9" s="1"/>
  <c r="AZ238" i="9" s="1"/>
  <c r="AZ239" i="9" s="1"/>
  <c r="AZ240" i="9" s="1"/>
  <c r="AZ241" i="9" s="1"/>
  <c r="AZ242" i="9" s="1"/>
  <c r="AZ243" i="9" s="1"/>
  <c r="AZ244" i="9" s="1"/>
  <c r="AZ245" i="9" s="1"/>
  <c r="AZ246" i="9" s="1"/>
  <c r="AZ247" i="9" s="1"/>
  <c r="AZ248" i="9" s="1"/>
  <c r="AZ249" i="9" s="1"/>
  <c r="AZ250" i="9" s="1"/>
  <c r="AZ251" i="9" s="1"/>
  <c r="AZ252" i="9" s="1"/>
  <c r="AZ253" i="9" s="1"/>
  <c r="AZ254" i="9" s="1"/>
  <c r="AZ255" i="9" s="1"/>
  <c r="AZ256" i="9" s="1"/>
  <c r="AZ257" i="9" s="1"/>
  <c r="AZ258" i="9" s="1"/>
  <c r="AZ259" i="9" s="1"/>
  <c r="AZ260" i="9" s="1"/>
  <c r="AZ261" i="9" s="1"/>
  <c r="AZ262" i="9" s="1"/>
  <c r="AZ263" i="9" s="1"/>
  <c r="AZ264" i="9" s="1"/>
  <c r="AZ265" i="9" s="1"/>
  <c r="AZ266" i="9" s="1"/>
  <c r="AZ267" i="9" s="1"/>
  <c r="AZ268" i="9" s="1"/>
  <c r="AZ269" i="9" s="1"/>
  <c r="AZ270" i="9" s="1"/>
  <c r="AZ271" i="9" s="1"/>
  <c r="AZ272" i="9" s="1"/>
  <c r="AZ273" i="9" s="1"/>
  <c r="AZ274" i="9" s="1"/>
  <c r="AZ275" i="9" s="1"/>
  <c r="AZ276" i="9" s="1"/>
  <c r="AZ277" i="9" s="1"/>
  <c r="AZ278" i="9" s="1"/>
  <c r="AZ279" i="9" s="1"/>
  <c r="AZ280" i="9" s="1"/>
  <c r="AZ281" i="9" s="1"/>
  <c r="AZ282" i="9" s="1"/>
  <c r="AZ283" i="9" s="1"/>
  <c r="AZ284" i="9" s="1"/>
  <c r="AZ285" i="9" s="1"/>
  <c r="AZ286" i="9" s="1"/>
  <c r="AZ287" i="9" s="1"/>
  <c r="AZ288" i="9" s="1"/>
  <c r="AZ289" i="9" s="1"/>
  <c r="AZ290" i="9" s="1"/>
  <c r="AZ291" i="9" s="1"/>
  <c r="AZ292" i="9" s="1"/>
  <c r="AZ293" i="9" s="1"/>
  <c r="AZ294" i="9" s="1"/>
  <c r="AZ295" i="9" s="1"/>
  <c r="AZ296" i="9" s="1"/>
  <c r="AZ297" i="9" s="1"/>
  <c r="AZ298" i="9" s="1"/>
  <c r="AZ299" i="9" s="1"/>
  <c r="AZ300" i="9" s="1"/>
  <c r="AZ301" i="9" s="1"/>
  <c r="AZ302" i="9" s="1"/>
  <c r="AZ303" i="9" s="1"/>
  <c r="AZ304" i="9" s="1"/>
  <c r="AZ305" i="9" s="1"/>
  <c r="AZ306" i="9" s="1"/>
  <c r="AZ307" i="9" s="1"/>
  <c r="AZ308" i="9" s="1"/>
  <c r="AZ309" i="9" s="1"/>
  <c r="AZ310" i="9" s="1"/>
  <c r="AZ311" i="9" s="1"/>
  <c r="AZ312" i="9" s="1"/>
  <c r="AZ313" i="9" s="1"/>
  <c r="AZ314" i="9" s="1"/>
  <c r="AZ315" i="9" s="1"/>
  <c r="AZ316" i="9" s="1"/>
  <c r="AZ317" i="9" s="1"/>
  <c r="AZ318" i="9" s="1"/>
  <c r="AZ319" i="9" s="1"/>
  <c r="AZ320" i="9" s="1"/>
  <c r="AZ321" i="9" s="1"/>
  <c r="AZ322" i="9" s="1"/>
  <c r="AZ323" i="9" s="1"/>
  <c r="AZ324" i="9" s="1"/>
  <c r="AZ325" i="9" s="1"/>
  <c r="AZ326" i="9" s="1"/>
  <c r="AZ327" i="9" s="1"/>
  <c r="AZ328" i="9" s="1"/>
  <c r="AZ329" i="9" s="1"/>
  <c r="AZ330" i="9" s="1"/>
  <c r="AZ331" i="9" s="1"/>
  <c r="AZ332" i="9" s="1"/>
  <c r="AZ333" i="9" s="1"/>
  <c r="AZ334" i="9" s="1"/>
  <c r="AZ335" i="9" s="1"/>
  <c r="AZ336" i="9" s="1"/>
  <c r="AZ337" i="9" s="1"/>
  <c r="AZ338" i="9" s="1"/>
  <c r="AZ339" i="9" s="1"/>
  <c r="AZ340" i="9" s="1"/>
  <c r="AZ341" i="9" s="1"/>
  <c r="AZ342" i="9" s="1"/>
  <c r="AZ343" i="9" s="1"/>
  <c r="AZ344" i="9" s="1"/>
  <c r="AZ345" i="9" s="1"/>
  <c r="AZ346" i="9" s="1"/>
  <c r="AZ347" i="9" s="1"/>
  <c r="AZ348" i="9" s="1"/>
  <c r="AZ349" i="9" s="1"/>
  <c r="AZ350" i="9" s="1"/>
  <c r="AZ351" i="9" s="1"/>
  <c r="AZ352" i="9" s="1"/>
  <c r="AZ353" i="9" s="1"/>
  <c r="AZ354" i="9" s="1"/>
  <c r="AZ355" i="9" s="1"/>
  <c r="AZ356" i="9" s="1"/>
  <c r="AZ357" i="9" s="1"/>
  <c r="AZ358" i="9" s="1"/>
  <c r="AZ359" i="9" s="1"/>
  <c r="AZ360" i="9" s="1"/>
  <c r="AZ361" i="9" s="1"/>
  <c r="AZ362" i="9" s="1"/>
  <c r="AZ363" i="9" s="1"/>
  <c r="AZ364" i="9" s="1"/>
  <c r="AZ365" i="9" s="1"/>
  <c r="AZ366" i="9" s="1"/>
  <c r="AV9" i="9"/>
  <c r="AV10" i="9" s="1"/>
  <c r="AV11" i="9" s="1"/>
  <c r="AV12" i="9" s="1"/>
  <c r="AV13" i="9" s="1"/>
  <c r="AV14" i="9" s="1"/>
  <c r="AV15" i="9" s="1"/>
  <c r="AV16" i="9" s="1"/>
  <c r="AV17" i="9" s="1"/>
  <c r="AV18" i="9" s="1"/>
  <c r="AV19" i="9" s="1"/>
  <c r="AV20" i="9" s="1"/>
  <c r="AV21" i="9" s="1"/>
  <c r="AV22" i="9" s="1"/>
  <c r="AV23" i="9" s="1"/>
  <c r="AV24" i="9" s="1"/>
  <c r="AV25" i="9" s="1"/>
  <c r="AV26" i="9" s="1"/>
  <c r="AV27" i="9" s="1"/>
  <c r="AV28" i="9" s="1"/>
  <c r="AV29" i="9" s="1"/>
  <c r="AV30" i="9" s="1"/>
  <c r="AV31" i="9" s="1"/>
  <c r="AV32" i="9" s="1"/>
  <c r="AV33" i="9" s="1"/>
  <c r="AV34" i="9" s="1"/>
  <c r="AV35" i="9" s="1"/>
  <c r="AV36" i="9" s="1"/>
  <c r="AV37" i="9" s="1"/>
  <c r="AV38" i="9" s="1"/>
  <c r="AV39" i="9" s="1"/>
  <c r="AV40" i="9" s="1"/>
  <c r="AV41" i="9" s="1"/>
  <c r="AV42" i="9" s="1"/>
  <c r="AV43" i="9" s="1"/>
  <c r="AV44" i="9" s="1"/>
  <c r="AV45" i="9" s="1"/>
  <c r="AV46" i="9" s="1"/>
  <c r="AV47" i="9" s="1"/>
  <c r="AV48" i="9" s="1"/>
  <c r="AV49" i="9" s="1"/>
  <c r="AV50" i="9" s="1"/>
  <c r="AV51" i="9" s="1"/>
  <c r="AV52" i="9" s="1"/>
  <c r="AV53" i="9" s="1"/>
  <c r="AV54" i="9" s="1"/>
  <c r="AV55" i="9" s="1"/>
  <c r="AV56" i="9" s="1"/>
  <c r="AV57" i="9" s="1"/>
  <c r="AV58" i="9" s="1"/>
  <c r="AV59" i="9" s="1"/>
  <c r="AV60" i="9" s="1"/>
  <c r="AV61" i="9" s="1"/>
  <c r="AV62" i="9" s="1"/>
  <c r="AV63" i="9" s="1"/>
  <c r="AV64" i="9" s="1"/>
  <c r="AV65" i="9" s="1"/>
  <c r="AV66" i="9" s="1"/>
  <c r="AV67" i="9" s="1"/>
  <c r="AV68" i="9" s="1"/>
  <c r="AV69" i="9" s="1"/>
  <c r="AV70" i="9" s="1"/>
  <c r="AV71" i="9" s="1"/>
  <c r="AV72" i="9" s="1"/>
  <c r="AV73" i="9" s="1"/>
  <c r="AV74" i="9" s="1"/>
  <c r="AV75" i="9" s="1"/>
  <c r="AV76" i="9" s="1"/>
  <c r="AV77" i="9" s="1"/>
  <c r="AV78" i="9" s="1"/>
  <c r="AV79" i="9" s="1"/>
  <c r="AV80" i="9" s="1"/>
  <c r="AV81" i="9" s="1"/>
  <c r="AV82" i="9" s="1"/>
  <c r="AV83" i="9" s="1"/>
  <c r="AV84" i="9" s="1"/>
  <c r="AV85" i="9" s="1"/>
  <c r="AV86" i="9" s="1"/>
  <c r="AV87" i="9" s="1"/>
  <c r="AV88" i="9" s="1"/>
  <c r="AV89" i="9" s="1"/>
  <c r="AV90" i="9" s="1"/>
  <c r="AV91" i="9" s="1"/>
  <c r="AV92" i="9" s="1"/>
  <c r="AV93" i="9" s="1"/>
  <c r="AV94" i="9" s="1"/>
  <c r="AV95" i="9" s="1"/>
  <c r="AV96" i="9" s="1"/>
  <c r="AV97" i="9" s="1"/>
  <c r="AV98" i="9" s="1"/>
  <c r="AV99" i="9" s="1"/>
  <c r="AV100" i="9" s="1"/>
  <c r="AV101" i="9" s="1"/>
  <c r="AV102" i="9" s="1"/>
  <c r="AV103" i="9" s="1"/>
  <c r="AV104" i="9" s="1"/>
  <c r="AV105" i="9" s="1"/>
  <c r="AV106" i="9" s="1"/>
  <c r="AV107" i="9" s="1"/>
  <c r="AV108" i="9" s="1"/>
  <c r="AV109" i="9" s="1"/>
  <c r="AV110" i="9" s="1"/>
  <c r="AV111" i="9" s="1"/>
  <c r="AV112" i="9" s="1"/>
  <c r="AV113" i="9" s="1"/>
  <c r="AV114" i="9" s="1"/>
  <c r="AV115" i="9" s="1"/>
  <c r="AV116" i="9" s="1"/>
  <c r="AV117" i="9" s="1"/>
  <c r="AV118" i="9" s="1"/>
  <c r="AV119" i="9" s="1"/>
  <c r="AV120" i="9" s="1"/>
  <c r="AV121" i="9" s="1"/>
  <c r="AV122" i="9" s="1"/>
  <c r="AV123" i="9" s="1"/>
  <c r="AV124" i="9" s="1"/>
  <c r="AV125" i="9" s="1"/>
  <c r="AV126" i="9" s="1"/>
  <c r="AV127" i="9" s="1"/>
  <c r="AV128" i="9" s="1"/>
  <c r="AV129" i="9" s="1"/>
  <c r="AV130" i="9" s="1"/>
  <c r="AV131" i="9" s="1"/>
  <c r="AV132" i="9" s="1"/>
  <c r="AV133" i="9" s="1"/>
  <c r="AV134" i="9" s="1"/>
  <c r="AV135" i="9" s="1"/>
  <c r="AV136" i="9" s="1"/>
  <c r="AV137" i="9" s="1"/>
  <c r="AV138" i="9" s="1"/>
  <c r="AV139" i="9" s="1"/>
  <c r="AV140" i="9" s="1"/>
  <c r="AV141" i="9" s="1"/>
  <c r="AV142" i="9" s="1"/>
  <c r="AV143" i="9" s="1"/>
  <c r="AV144" i="9" s="1"/>
  <c r="AV145" i="9" s="1"/>
  <c r="AV146" i="9" s="1"/>
  <c r="AV147" i="9" s="1"/>
  <c r="AV148" i="9" s="1"/>
  <c r="AV149" i="9" s="1"/>
  <c r="AV150" i="9" s="1"/>
  <c r="AV151" i="9" s="1"/>
  <c r="AV152" i="9" s="1"/>
  <c r="AV153" i="9" s="1"/>
  <c r="AV154" i="9" s="1"/>
  <c r="AV155" i="9" s="1"/>
  <c r="AV156" i="9" s="1"/>
  <c r="AV157" i="9" s="1"/>
  <c r="AV158" i="9" s="1"/>
  <c r="AV159" i="9" s="1"/>
  <c r="AV160" i="9" s="1"/>
  <c r="AV161" i="9" s="1"/>
  <c r="AV162" i="9" s="1"/>
  <c r="AV163" i="9" s="1"/>
  <c r="AV164" i="9" s="1"/>
  <c r="AV165" i="9" s="1"/>
  <c r="AV166" i="9" s="1"/>
  <c r="AV167" i="9" s="1"/>
  <c r="AV168" i="9" s="1"/>
  <c r="AV169" i="9" s="1"/>
  <c r="AV170" i="9" s="1"/>
  <c r="AV171" i="9" s="1"/>
  <c r="AV172" i="9" s="1"/>
  <c r="AV173" i="9" s="1"/>
  <c r="AV174" i="9" s="1"/>
  <c r="AV175" i="9" s="1"/>
  <c r="AV176" i="9" s="1"/>
  <c r="AV177" i="9" s="1"/>
  <c r="AV178" i="9" s="1"/>
  <c r="AV179" i="9" s="1"/>
  <c r="AV180" i="9" s="1"/>
  <c r="AV181" i="9" s="1"/>
  <c r="AV182" i="9" s="1"/>
  <c r="AV183" i="9" s="1"/>
  <c r="AV184" i="9" s="1"/>
  <c r="AV185" i="9" s="1"/>
  <c r="AV186" i="9" s="1"/>
  <c r="AV187" i="9" s="1"/>
  <c r="AV188" i="9" s="1"/>
  <c r="AV189" i="9" s="1"/>
  <c r="AV190" i="9" s="1"/>
  <c r="AV191" i="9" s="1"/>
  <c r="AV192" i="9" s="1"/>
  <c r="AV193" i="9" s="1"/>
  <c r="AV194" i="9" s="1"/>
  <c r="AV195" i="9" s="1"/>
  <c r="AV196" i="9" s="1"/>
  <c r="AV197" i="9" s="1"/>
  <c r="AV198" i="9" s="1"/>
  <c r="AV199" i="9" s="1"/>
  <c r="AV200" i="9" s="1"/>
  <c r="AV201" i="9" s="1"/>
  <c r="AV202" i="9" s="1"/>
  <c r="AV203" i="9" s="1"/>
  <c r="AV204" i="9" s="1"/>
  <c r="AV205" i="9" s="1"/>
  <c r="AV206" i="9" s="1"/>
  <c r="AV207" i="9" s="1"/>
  <c r="AV208" i="9" s="1"/>
  <c r="AV209" i="9" s="1"/>
  <c r="AV210" i="9" s="1"/>
  <c r="AV211" i="9" s="1"/>
  <c r="AV212" i="9" s="1"/>
  <c r="AV213" i="9" s="1"/>
  <c r="AV214" i="9" s="1"/>
  <c r="AV215" i="9" s="1"/>
  <c r="AV216" i="9" s="1"/>
  <c r="AV217" i="9" s="1"/>
  <c r="AV218" i="9" s="1"/>
  <c r="AV219" i="9" s="1"/>
  <c r="AV220" i="9" s="1"/>
  <c r="AV221" i="9" s="1"/>
  <c r="AV222" i="9" s="1"/>
  <c r="AV223" i="9" s="1"/>
  <c r="AV224" i="9" s="1"/>
  <c r="AV225" i="9" s="1"/>
  <c r="AV226" i="9" s="1"/>
  <c r="AV227" i="9" s="1"/>
  <c r="AV228" i="9" s="1"/>
  <c r="AV229" i="9" s="1"/>
  <c r="AV230" i="9" s="1"/>
  <c r="AV231" i="9" s="1"/>
  <c r="AV232" i="9" s="1"/>
  <c r="AV233" i="9" s="1"/>
  <c r="AV234" i="9" s="1"/>
  <c r="AV235" i="9" s="1"/>
  <c r="AV236" i="9" s="1"/>
  <c r="AV237" i="9" s="1"/>
  <c r="AV238" i="9" s="1"/>
  <c r="AV239" i="9" s="1"/>
  <c r="AV240" i="9" s="1"/>
  <c r="AV241" i="9" s="1"/>
  <c r="AV242" i="9" s="1"/>
  <c r="AV243" i="9" s="1"/>
  <c r="AV244" i="9" s="1"/>
  <c r="AV245" i="9" s="1"/>
  <c r="AV246" i="9" s="1"/>
  <c r="AV247" i="9" s="1"/>
  <c r="AV248" i="9" s="1"/>
  <c r="AV249" i="9" s="1"/>
  <c r="AV250" i="9" s="1"/>
  <c r="AV251" i="9" s="1"/>
  <c r="AV252" i="9" s="1"/>
  <c r="AV253" i="9" s="1"/>
  <c r="AV254" i="9" s="1"/>
  <c r="AV255" i="9" s="1"/>
  <c r="AV256" i="9" s="1"/>
  <c r="AV257" i="9" s="1"/>
  <c r="AV258" i="9" s="1"/>
  <c r="AV259" i="9" s="1"/>
  <c r="AV260" i="9" s="1"/>
  <c r="AV261" i="9" s="1"/>
  <c r="AV262" i="9" s="1"/>
  <c r="AV263" i="9" s="1"/>
  <c r="AV264" i="9" s="1"/>
  <c r="AV265" i="9" s="1"/>
  <c r="AV266" i="9" s="1"/>
  <c r="AV267" i="9" s="1"/>
  <c r="AV268" i="9" s="1"/>
  <c r="AV269" i="9" s="1"/>
  <c r="AV270" i="9" s="1"/>
  <c r="AV271" i="9" s="1"/>
  <c r="AV272" i="9" s="1"/>
  <c r="AV273" i="9" s="1"/>
  <c r="AV274" i="9" s="1"/>
  <c r="AV275" i="9" s="1"/>
  <c r="AV276" i="9" s="1"/>
  <c r="AV277" i="9" s="1"/>
  <c r="AV278" i="9" s="1"/>
  <c r="AV279" i="9" s="1"/>
  <c r="AV280" i="9" s="1"/>
  <c r="AV281" i="9" s="1"/>
  <c r="AV282" i="9" s="1"/>
  <c r="AV283" i="9" s="1"/>
  <c r="AV284" i="9" s="1"/>
  <c r="AV285" i="9" s="1"/>
  <c r="AV286" i="9" s="1"/>
  <c r="AV287" i="9" s="1"/>
  <c r="AV288" i="9" s="1"/>
  <c r="AV289" i="9" s="1"/>
  <c r="AV290" i="9" s="1"/>
  <c r="AV291" i="9" s="1"/>
  <c r="AV292" i="9" s="1"/>
  <c r="AV293" i="9" s="1"/>
  <c r="AV294" i="9" s="1"/>
  <c r="AV295" i="9" s="1"/>
  <c r="AV296" i="9" s="1"/>
  <c r="AV297" i="9" s="1"/>
  <c r="AV298" i="9" s="1"/>
  <c r="AV299" i="9" s="1"/>
  <c r="AV300" i="9" s="1"/>
  <c r="AV301" i="9" s="1"/>
  <c r="AV302" i="9" s="1"/>
  <c r="AV303" i="9" s="1"/>
  <c r="AV304" i="9" s="1"/>
  <c r="AV305" i="9" s="1"/>
  <c r="AV306" i="9" s="1"/>
  <c r="AV307" i="9" s="1"/>
  <c r="AV308" i="9" s="1"/>
  <c r="AV309" i="9" s="1"/>
  <c r="AV310" i="9" s="1"/>
  <c r="AV311" i="9" s="1"/>
  <c r="AV312" i="9" s="1"/>
  <c r="AV313" i="9" s="1"/>
  <c r="AV314" i="9" s="1"/>
  <c r="AV315" i="9" s="1"/>
  <c r="AV316" i="9" s="1"/>
  <c r="AV317" i="9" s="1"/>
  <c r="AV318" i="9" s="1"/>
  <c r="AV319" i="9" s="1"/>
  <c r="AV320" i="9" s="1"/>
  <c r="AV321" i="9" s="1"/>
  <c r="AV322" i="9" s="1"/>
  <c r="AV323" i="9" s="1"/>
  <c r="AV324" i="9" s="1"/>
  <c r="AV325" i="9" s="1"/>
  <c r="AV326" i="9" s="1"/>
  <c r="AV327" i="9" s="1"/>
  <c r="AV328" i="9" s="1"/>
  <c r="AV329" i="9" s="1"/>
  <c r="AV330" i="9" s="1"/>
  <c r="AV331" i="9" s="1"/>
  <c r="AV332" i="9" s="1"/>
  <c r="AV333" i="9" s="1"/>
  <c r="AV334" i="9" s="1"/>
  <c r="AV335" i="9" s="1"/>
  <c r="AV336" i="9" s="1"/>
  <c r="AV337" i="9" s="1"/>
  <c r="AV338" i="9" s="1"/>
  <c r="AV339" i="9" s="1"/>
  <c r="AV340" i="9" s="1"/>
  <c r="AV341" i="9" s="1"/>
  <c r="AV342" i="9" s="1"/>
  <c r="AV343" i="9" s="1"/>
  <c r="AV344" i="9" s="1"/>
  <c r="AV345" i="9" s="1"/>
  <c r="AV346" i="9" s="1"/>
  <c r="AV347" i="9" s="1"/>
  <c r="AV348" i="9" s="1"/>
  <c r="AV349" i="9" s="1"/>
  <c r="BP9" i="9"/>
  <c r="BP10" i="9" s="1"/>
  <c r="BP11" i="9" s="1"/>
  <c r="BP12" i="9" s="1"/>
  <c r="BP13" i="9" s="1"/>
  <c r="BP14" i="9" s="1"/>
  <c r="BP15" i="9" s="1"/>
  <c r="BP16" i="9" s="1"/>
  <c r="BP17" i="9" s="1"/>
  <c r="BP18" i="9" s="1"/>
  <c r="BP19" i="9" s="1"/>
  <c r="BP20" i="9" s="1"/>
  <c r="BP21" i="9" s="1"/>
  <c r="BP22" i="9" s="1"/>
  <c r="BP23" i="9" s="1"/>
  <c r="BP24" i="9" s="1"/>
  <c r="BP25" i="9" s="1"/>
  <c r="BP26" i="9" s="1"/>
  <c r="BP27" i="9" s="1"/>
  <c r="BP28" i="9" s="1"/>
  <c r="BP29" i="9" s="1"/>
  <c r="BP30" i="9" s="1"/>
  <c r="BP31" i="9" s="1"/>
  <c r="BP32" i="9" s="1"/>
  <c r="BP33" i="9" s="1"/>
  <c r="BP34" i="9" s="1"/>
  <c r="BP35" i="9" s="1"/>
  <c r="BP36" i="9" s="1"/>
  <c r="BP37" i="9" s="1"/>
  <c r="BP38" i="9" s="1"/>
  <c r="BP39" i="9" s="1"/>
  <c r="BP40" i="9" s="1"/>
  <c r="BP41" i="9" s="1"/>
  <c r="BP42" i="9" s="1"/>
  <c r="BP43" i="9" s="1"/>
  <c r="BP44" i="9" s="1"/>
  <c r="BP45" i="9" s="1"/>
  <c r="BP46" i="9" s="1"/>
  <c r="BP47" i="9" s="1"/>
  <c r="BP48" i="9" s="1"/>
  <c r="BP49" i="9" s="1"/>
  <c r="BP50" i="9" s="1"/>
  <c r="BP51" i="9" s="1"/>
  <c r="BP52" i="9" s="1"/>
  <c r="BP53" i="9" s="1"/>
  <c r="BP54" i="9" s="1"/>
  <c r="BP55" i="9" s="1"/>
  <c r="BP56" i="9" s="1"/>
  <c r="BP57" i="9" s="1"/>
  <c r="BP58" i="9" s="1"/>
  <c r="BP59" i="9" s="1"/>
  <c r="BP60" i="9" s="1"/>
  <c r="BP61" i="9" s="1"/>
  <c r="BP62" i="9" s="1"/>
  <c r="BP63" i="9" s="1"/>
  <c r="BP64" i="9" s="1"/>
  <c r="BP65" i="9" s="1"/>
  <c r="BP66" i="9" s="1"/>
  <c r="BP67" i="9" s="1"/>
  <c r="BP68" i="9" s="1"/>
  <c r="BP69" i="9" s="1"/>
  <c r="BP70" i="9" s="1"/>
  <c r="BP71" i="9" s="1"/>
  <c r="BP72" i="9" s="1"/>
  <c r="BP73" i="9" s="1"/>
  <c r="BP74" i="9" s="1"/>
  <c r="BP75" i="9" s="1"/>
  <c r="BP76" i="9" s="1"/>
  <c r="BP77" i="9" s="1"/>
  <c r="BP78" i="9" s="1"/>
  <c r="BP79" i="9" s="1"/>
  <c r="BP80" i="9" s="1"/>
  <c r="BP81" i="9" s="1"/>
  <c r="BP82" i="9" s="1"/>
  <c r="BP83" i="9" s="1"/>
  <c r="BP84" i="9" s="1"/>
  <c r="BP85" i="9" s="1"/>
  <c r="BP86" i="9" s="1"/>
  <c r="BP87" i="9" s="1"/>
  <c r="BP88" i="9" s="1"/>
  <c r="BP89" i="9" s="1"/>
  <c r="BP90" i="9" s="1"/>
  <c r="BP91" i="9" s="1"/>
  <c r="BP92" i="9" s="1"/>
  <c r="BP93" i="9" s="1"/>
  <c r="BP94" i="9" s="1"/>
  <c r="BP95" i="9" s="1"/>
  <c r="BP96" i="9" s="1"/>
  <c r="BP97" i="9" s="1"/>
  <c r="BP98" i="9" s="1"/>
  <c r="BP99" i="9" s="1"/>
  <c r="BP100" i="9" s="1"/>
  <c r="BP101" i="9" s="1"/>
  <c r="BP102" i="9" s="1"/>
  <c r="BP103" i="9" s="1"/>
  <c r="BP104" i="9" s="1"/>
  <c r="BP105" i="9" s="1"/>
  <c r="BP106" i="9" s="1"/>
  <c r="BP107" i="9" s="1"/>
  <c r="BP108" i="9" s="1"/>
  <c r="BP109" i="9" s="1"/>
  <c r="BP110" i="9" s="1"/>
  <c r="BP111" i="9" s="1"/>
  <c r="BP112" i="9" s="1"/>
  <c r="BP113" i="9" s="1"/>
  <c r="BP114" i="9" s="1"/>
  <c r="BP115" i="9" s="1"/>
  <c r="BP116" i="9" s="1"/>
  <c r="BP117" i="9" s="1"/>
  <c r="BP118" i="9" s="1"/>
  <c r="BP119" i="9" s="1"/>
  <c r="BP120" i="9" s="1"/>
  <c r="BP121" i="9" s="1"/>
  <c r="BP122" i="9" s="1"/>
  <c r="BP123" i="9" s="1"/>
  <c r="BP124" i="9" s="1"/>
  <c r="BP125" i="9" s="1"/>
  <c r="BP126" i="9" s="1"/>
  <c r="BP127" i="9" s="1"/>
  <c r="BP128" i="9" s="1"/>
  <c r="BP129" i="9" s="1"/>
  <c r="BP130" i="9" s="1"/>
  <c r="BP131" i="9" s="1"/>
  <c r="BP132" i="9" s="1"/>
  <c r="BP133" i="9" s="1"/>
  <c r="BP134" i="9" s="1"/>
  <c r="BP135" i="9" s="1"/>
  <c r="BP136" i="9" s="1"/>
  <c r="BP137" i="9" s="1"/>
  <c r="BP138" i="9" s="1"/>
  <c r="BP139" i="9" s="1"/>
  <c r="BP140" i="9" s="1"/>
  <c r="BP141" i="9" s="1"/>
  <c r="BP142" i="9" s="1"/>
  <c r="BP143" i="9" s="1"/>
  <c r="BP144" i="9" s="1"/>
  <c r="BP145" i="9" s="1"/>
  <c r="BP146" i="9" s="1"/>
  <c r="BP147" i="9" s="1"/>
  <c r="BP148" i="9" s="1"/>
  <c r="BP149" i="9" s="1"/>
  <c r="BP150" i="9" s="1"/>
  <c r="BP151" i="9" s="1"/>
  <c r="BP152" i="9" s="1"/>
  <c r="BP153" i="9" s="1"/>
  <c r="BP154" i="9" s="1"/>
  <c r="BP155" i="9" s="1"/>
  <c r="BP156" i="9" s="1"/>
  <c r="BP157" i="9" s="1"/>
  <c r="BP158" i="9" s="1"/>
  <c r="BP159" i="9" s="1"/>
  <c r="BP160" i="9" s="1"/>
  <c r="BP161" i="9" s="1"/>
  <c r="BP162" i="9" s="1"/>
  <c r="BP163" i="9" s="1"/>
  <c r="BP164" i="9" s="1"/>
  <c r="BP165" i="9" s="1"/>
  <c r="BP166" i="9" s="1"/>
  <c r="BP167" i="9" s="1"/>
  <c r="BP168" i="9" s="1"/>
  <c r="BP169" i="9" s="1"/>
  <c r="BP170" i="9" s="1"/>
  <c r="BP171" i="9" s="1"/>
  <c r="BP172" i="9" s="1"/>
  <c r="BP173" i="9" s="1"/>
  <c r="BP174" i="9" s="1"/>
  <c r="BP175" i="9" s="1"/>
  <c r="BP176" i="9" s="1"/>
  <c r="BP177" i="9" s="1"/>
  <c r="BP178" i="9" s="1"/>
  <c r="BP179" i="9" s="1"/>
  <c r="BP180" i="9" s="1"/>
  <c r="BP181" i="9" s="1"/>
  <c r="BP182" i="9" s="1"/>
  <c r="BP183" i="9" s="1"/>
  <c r="BP184" i="9" s="1"/>
  <c r="BP185" i="9" s="1"/>
  <c r="BP186" i="9" s="1"/>
  <c r="BP187" i="9" s="1"/>
  <c r="BP188" i="9" s="1"/>
  <c r="BP189" i="9" s="1"/>
  <c r="BP190" i="9" s="1"/>
  <c r="BP191" i="9" s="1"/>
  <c r="BP192" i="9" s="1"/>
  <c r="BP193" i="9" s="1"/>
  <c r="BP194" i="9" s="1"/>
  <c r="BP195" i="9" s="1"/>
  <c r="BP196" i="9" s="1"/>
  <c r="BP197" i="9" s="1"/>
  <c r="BP198" i="9" s="1"/>
  <c r="BP199" i="9" s="1"/>
  <c r="BP200" i="9" s="1"/>
  <c r="BP201" i="9" s="1"/>
  <c r="BP202" i="9" s="1"/>
  <c r="BP203" i="9" s="1"/>
  <c r="BP204" i="9" s="1"/>
  <c r="BP205" i="9" s="1"/>
  <c r="BP206" i="9" s="1"/>
  <c r="BP207" i="9" s="1"/>
  <c r="BP208" i="9" s="1"/>
  <c r="BP209" i="9" s="1"/>
  <c r="BP210" i="9" s="1"/>
  <c r="BP211" i="9" s="1"/>
  <c r="BP212" i="9" s="1"/>
  <c r="BP213" i="9" s="1"/>
  <c r="BP214" i="9" s="1"/>
  <c r="BP215" i="9" s="1"/>
  <c r="BP216" i="9" s="1"/>
  <c r="BP217" i="9" s="1"/>
  <c r="BP218" i="9" s="1"/>
  <c r="BP219" i="9" s="1"/>
  <c r="BP220" i="9" s="1"/>
  <c r="BP221" i="9" s="1"/>
  <c r="BP222" i="9" s="1"/>
  <c r="BP223" i="9" s="1"/>
  <c r="BP224" i="9" s="1"/>
  <c r="BP225" i="9" s="1"/>
  <c r="BP226" i="9" s="1"/>
  <c r="BP227" i="9" s="1"/>
  <c r="BP228" i="9" s="1"/>
  <c r="BP229" i="9" s="1"/>
  <c r="BP230" i="9" s="1"/>
  <c r="BP231" i="9" s="1"/>
  <c r="BP232" i="9" s="1"/>
  <c r="BP233" i="9" s="1"/>
  <c r="BP234" i="9" s="1"/>
  <c r="BP235" i="9" s="1"/>
  <c r="BP236" i="9" s="1"/>
  <c r="BP237" i="9" s="1"/>
  <c r="BP238" i="9" s="1"/>
  <c r="BP239" i="9" s="1"/>
  <c r="BP240" i="9" s="1"/>
  <c r="BP241" i="9" s="1"/>
  <c r="BP242" i="9" s="1"/>
  <c r="BP243" i="9" s="1"/>
  <c r="BP244" i="9" s="1"/>
  <c r="BP245" i="9" s="1"/>
  <c r="BP246" i="9" s="1"/>
  <c r="BP247" i="9" s="1"/>
  <c r="BP248" i="9" s="1"/>
  <c r="BP249" i="9" s="1"/>
  <c r="BP250" i="9" s="1"/>
  <c r="BP251" i="9" s="1"/>
  <c r="BP252" i="9" s="1"/>
  <c r="BP253" i="9" s="1"/>
  <c r="BP254" i="9" s="1"/>
  <c r="BP255" i="9" s="1"/>
  <c r="BP256" i="9" s="1"/>
  <c r="BP257" i="9" s="1"/>
  <c r="BP258" i="9" s="1"/>
  <c r="BP259" i="9" s="1"/>
  <c r="BP260" i="9" s="1"/>
  <c r="BP261" i="9" s="1"/>
  <c r="BP262" i="9" s="1"/>
  <c r="BP263" i="9" s="1"/>
  <c r="BP264" i="9" s="1"/>
  <c r="BP265" i="9" s="1"/>
  <c r="BP266" i="9" s="1"/>
  <c r="BP267" i="9" s="1"/>
  <c r="BP268" i="9" s="1"/>
  <c r="BP269" i="9" s="1"/>
  <c r="BP270" i="9" s="1"/>
  <c r="BP271" i="9" s="1"/>
  <c r="BP272" i="9" s="1"/>
  <c r="BP273" i="9" s="1"/>
  <c r="BP274" i="9" s="1"/>
  <c r="BP275" i="9" s="1"/>
  <c r="BP276" i="9" s="1"/>
  <c r="BP277" i="9" s="1"/>
  <c r="BP278" i="9" s="1"/>
  <c r="BP279" i="9" s="1"/>
  <c r="BP280" i="9" s="1"/>
  <c r="BP281" i="9" s="1"/>
  <c r="BP282" i="9" s="1"/>
  <c r="BP283" i="9" s="1"/>
  <c r="BP284" i="9" s="1"/>
  <c r="BP285" i="9" s="1"/>
  <c r="BP286" i="9" s="1"/>
  <c r="BP287" i="9" s="1"/>
  <c r="BP288" i="9" s="1"/>
  <c r="BP289" i="9" s="1"/>
  <c r="BP290" i="9" s="1"/>
  <c r="BP291" i="9" s="1"/>
  <c r="BP292" i="9" s="1"/>
  <c r="BP293" i="9" s="1"/>
  <c r="BP294" i="9" s="1"/>
  <c r="BP295" i="9" s="1"/>
  <c r="BP296" i="9" s="1"/>
  <c r="BP297" i="9" s="1"/>
  <c r="BP298" i="9" s="1"/>
  <c r="BP299" i="9" s="1"/>
  <c r="BP300" i="9" s="1"/>
  <c r="BP301" i="9" s="1"/>
  <c r="BP302" i="9" s="1"/>
  <c r="BP303" i="9" s="1"/>
  <c r="BP304" i="9" s="1"/>
  <c r="BP305" i="9" s="1"/>
  <c r="BP306" i="9" s="1"/>
  <c r="BP307" i="9" s="1"/>
  <c r="BP308" i="9" s="1"/>
  <c r="BP309" i="9" s="1"/>
  <c r="BP310" i="9" s="1"/>
  <c r="BP311" i="9" s="1"/>
  <c r="BP312" i="9" s="1"/>
  <c r="BP313" i="9" s="1"/>
  <c r="BP314" i="9" s="1"/>
  <c r="BP315" i="9" s="1"/>
  <c r="BP316" i="9" s="1"/>
  <c r="BP317" i="9" s="1"/>
  <c r="BP318" i="9" s="1"/>
  <c r="BP319" i="9" s="1"/>
  <c r="BP320" i="9" s="1"/>
  <c r="BP321" i="9" s="1"/>
  <c r="BP322" i="9" s="1"/>
  <c r="BP323" i="9" s="1"/>
  <c r="BP324" i="9" s="1"/>
  <c r="BP325" i="9" s="1"/>
  <c r="BP326" i="9" s="1"/>
  <c r="BP327" i="9" s="1"/>
  <c r="BP328" i="9" s="1"/>
  <c r="BP329" i="9" s="1"/>
  <c r="BP330" i="9" s="1"/>
  <c r="BP331" i="9" s="1"/>
  <c r="BP332" i="9" s="1"/>
  <c r="BP333" i="9" s="1"/>
  <c r="BP334" i="9" s="1"/>
  <c r="BP335" i="9" s="1"/>
  <c r="BP336" i="9" s="1"/>
  <c r="BP337" i="9" s="1"/>
  <c r="BP338" i="9" s="1"/>
  <c r="BP339" i="9" s="1"/>
  <c r="BP340" i="9" s="1"/>
  <c r="BP341" i="9" s="1"/>
  <c r="BP342" i="9" s="1"/>
  <c r="BP343" i="9" s="1"/>
  <c r="BP344" i="9" s="1"/>
  <c r="BP345" i="9" s="1"/>
  <c r="BP346" i="9" s="1"/>
  <c r="BP347" i="9" s="1"/>
  <c r="BP348" i="9" s="1"/>
  <c r="BP349" i="9" s="1"/>
  <c r="BP350" i="9" s="1"/>
  <c r="BP351" i="9" s="1"/>
  <c r="BP352" i="9" s="1"/>
  <c r="BP353" i="9" s="1"/>
  <c r="BP354" i="9" s="1"/>
  <c r="BP355" i="9" s="1"/>
  <c r="BP356" i="9" s="1"/>
  <c r="BP357" i="9" s="1"/>
  <c r="BP358" i="9" s="1"/>
  <c r="BP359" i="9" s="1"/>
  <c r="BP360" i="9" s="1"/>
  <c r="BP361" i="9" s="1"/>
  <c r="BP362" i="9" s="1"/>
  <c r="BP363" i="9" s="1"/>
  <c r="BP364" i="9" s="1"/>
  <c r="BP365" i="9" s="1"/>
  <c r="BP366" i="9" s="1"/>
  <c r="BP367" i="9" s="1"/>
  <c r="BP368" i="9" s="1"/>
  <c r="BP369" i="9" s="1"/>
  <c r="BP370" i="9" s="1"/>
  <c r="BP371" i="9" s="1"/>
  <c r="BP372" i="9" s="1"/>
  <c r="BP373" i="9" s="1"/>
  <c r="BP374" i="9" s="1"/>
  <c r="BP375" i="9" s="1"/>
  <c r="BP376" i="9" s="1"/>
  <c r="BP377" i="9" s="1"/>
  <c r="BP378" i="9" s="1"/>
  <c r="BP379" i="9" s="1"/>
  <c r="BP380" i="9" s="1"/>
  <c r="BP381" i="9" s="1"/>
  <c r="BP382" i="9" s="1"/>
  <c r="BP383" i="9" s="1"/>
  <c r="BP384" i="9" s="1"/>
  <c r="BP385" i="9" s="1"/>
  <c r="BP386" i="9" s="1"/>
  <c r="BP387" i="9" s="1"/>
  <c r="BP388" i="9" s="1"/>
  <c r="BP389" i="9" s="1"/>
  <c r="BP390" i="9" s="1"/>
  <c r="BP391" i="9" s="1"/>
  <c r="BP392" i="9" s="1"/>
  <c r="BP393" i="9" s="1"/>
  <c r="BP394" i="9" s="1"/>
  <c r="BP395" i="9" s="1"/>
  <c r="BP396" i="9" s="1"/>
  <c r="BP397" i="9" s="1"/>
  <c r="BP398" i="9" s="1"/>
  <c r="BP399" i="9" s="1"/>
  <c r="BP400" i="9" s="1"/>
  <c r="BP401" i="9" s="1"/>
  <c r="BP402" i="9" s="1"/>
  <c r="BP403" i="9" s="1"/>
  <c r="BP404" i="9" s="1"/>
  <c r="BP405" i="9" s="1"/>
  <c r="BP406" i="9" s="1"/>
  <c r="BP407" i="9" s="1"/>
  <c r="BP408" i="9" s="1"/>
  <c r="BP409" i="9" s="1"/>
  <c r="BP410" i="9" s="1"/>
  <c r="BP411" i="9" s="1"/>
  <c r="BP412" i="9" s="1"/>
  <c r="BP413" i="9" s="1"/>
  <c r="BP414" i="9" s="1"/>
  <c r="BP415" i="9" s="1"/>
  <c r="BP416" i="9" s="1"/>
  <c r="BP417" i="9" s="1"/>
  <c r="BP418" i="9" s="1"/>
  <c r="BP419" i="9" s="1"/>
  <c r="BP420" i="9" s="1"/>
  <c r="BP421" i="9" s="1"/>
  <c r="BP422" i="9" s="1"/>
  <c r="BP423" i="9" s="1"/>
  <c r="BP424" i="9" s="1"/>
  <c r="BP425" i="9" s="1"/>
  <c r="BP426" i="9" s="1"/>
  <c r="BP427" i="9" s="1"/>
  <c r="BP428" i="9" s="1"/>
  <c r="BP429" i="9" s="1"/>
  <c r="BP430" i="9" s="1"/>
  <c r="BP431" i="9" s="1"/>
  <c r="BP432" i="9" s="1"/>
  <c r="BP433" i="9" s="1"/>
  <c r="BP434" i="9" s="1"/>
  <c r="BP435" i="9" s="1"/>
  <c r="BP436" i="9" s="1"/>
  <c r="BP437" i="9" s="1"/>
  <c r="BP438" i="9" s="1"/>
  <c r="BP439" i="9" s="1"/>
  <c r="BP440" i="9" s="1"/>
  <c r="BP441" i="9" s="1"/>
  <c r="BP442" i="9" s="1"/>
  <c r="BP443" i="9" s="1"/>
  <c r="BP444" i="9" s="1"/>
  <c r="BP445" i="9" s="1"/>
  <c r="BP446" i="9" s="1"/>
  <c r="BP447" i="9" s="1"/>
  <c r="BP448" i="9" s="1"/>
  <c r="BP449" i="9" s="1"/>
  <c r="BP450" i="9" s="1"/>
  <c r="BI9" i="9"/>
  <c r="BI10" i="9" s="1"/>
  <c r="BI11" i="9" s="1"/>
  <c r="BI12" i="9" s="1"/>
  <c r="BI13" i="9" s="1"/>
  <c r="BI14" i="9" s="1"/>
  <c r="BI15" i="9" s="1"/>
  <c r="BI16" i="9" s="1"/>
  <c r="BI17" i="9" s="1"/>
  <c r="BI18" i="9" s="1"/>
  <c r="BI19" i="9" s="1"/>
  <c r="BI20" i="9" s="1"/>
  <c r="BI21" i="9" s="1"/>
  <c r="BI22" i="9" s="1"/>
  <c r="BI23" i="9" s="1"/>
  <c r="BI24" i="9" s="1"/>
  <c r="BI25" i="9" s="1"/>
  <c r="BI26" i="9" s="1"/>
  <c r="BI27" i="9" s="1"/>
  <c r="BI28" i="9" s="1"/>
  <c r="BI29" i="9" s="1"/>
  <c r="BI30" i="9" s="1"/>
  <c r="BI31" i="9" s="1"/>
  <c r="BI32" i="9" s="1"/>
  <c r="BI33" i="9" s="1"/>
  <c r="BI34" i="9" s="1"/>
  <c r="BI35" i="9" s="1"/>
  <c r="BI36" i="9" s="1"/>
  <c r="BI37" i="9" s="1"/>
  <c r="BI38" i="9" s="1"/>
  <c r="BI39" i="9" s="1"/>
  <c r="BI40" i="9" s="1"/>
  <c r="BI41" i="9" s="1"/>
  <c r="BI42" i="9" s="1"/>
  <c r="BI43" i="9" s="1"/>
  <c r="BI44" i="9" s="1"/>
  <c r="BI45" i="9" s="1"/>
  <c r="BI46" i="9" s="1"/>
  <c r="BI47" i="9" s="1"/>
  <c r="BI48" i="9" s="1"/>
  <c r="BI49" i="9" s="1"/>
  <c r="BI50" i="9" s="1"/>
  <c r="BI51" i="9" s="1"/>
  <c r="BI52" i="9" s="1"/>
  <c r="BI53" i="9" s="1"/>
  <c r="BI54" i="9" s="1"/>
  <c r="BI55" i="9" s="1"/>
  <c r="BI56" i="9" s="1"/>
  <c r="BI57" i="9" s="1"/>
  <c r="BI58" i="9" s="1"/>
  <c r="BI59" i="9" s="1"/>
  <c r="BI60" i="9" s="1"/>
  <c r="BI61" i="9" s="1"/>
  <c r="BI62" i="9" s="1"/>
  <c r="BI63" i="9" s="1"/>
  <c r="BI64" i="9" s="1"/>
  <c r="BI65" i="9" s="1"/>
  <c r="BI66" i="9" s="1"/>
  <c r="BI67" i="9" s="1"/>
  <c r="BI68" i="9" s="1"/>
  <c r="BI69" i="9" s="1"/>
  <c r="BI70" i="9" s="1"/>
  <c r="BI71" i="9" s="1"/>
  <c r="BI72" i="9" s="1"/>
  <c r="BI73" i="9" s="1"/>
  <c r="BI74" i="9" s="1"/>
  <c r="BI75" i="9" s="1"/>
  <c r="BI76" i="9" s="1"/>
  <c r="BI77" i="9" s="1"/>
  <c r="BI78" i="9" s="1"/>
  <c r="BI79" i="9" s="1"/>
  <c r="BI80" i="9" s="1"/>
  <c r="BI81" i="9" s="1"/>
  <c r="BI82" i="9" s="1"/>
  <c r="BI83" i="9" s="1"/>
  <c r="BI84" i="9" s="1"/>
  <c r="BI85" i="9" s="1"/>
  <c r="BI86" i="9" s="1"/>
  <c r="BI87" i="9" s="1"/>
  <c r="BI88" i="9" s="1"/>
  <c r="BI89" i="9" s="1"/>
  <c r="BI90" i="9" s="1"/>
  <c r="BI91" i="9" s="1"/>
  <c r="BI92" i="9" s="1"/>
  <c r="BI93" i="9" s="1"/>
  <c r="BI94" i="9" s="1"/>
  <c r="BI95" i="9" s="1"/>
  <c r="BI96" i="9" s="1"/>
  <c r="BI97" i="9" s="1"/>
  <c r="BI98" i="9" s="1"/>
  <c r="BI99" i="9" s="1"/>
  <c r="BI100" i="9" s="1"/>
  <c r="BI101" i="9" s="1"/>
  <c r="BI102" i="9" s="1"/>
  <c r="BI103" i="9" s="1"/>
  <c r="BI104" i="9" s="1"/>
  <c r="BI105" i="9" s="1"/>
  <c r="BI106" i="9" s="1"/>
  <c r="BI107" i="9" s="1"/>
  <c r="BI108" i="9" s="1"/>
  <c r="BI109" i="9" s="1"/>
  <c r="BI110" i="9" s="1"/>
  <c r="BI111" i="9" s="1"/>
  <c r="BI112" i="9" s="1"/>
  <c r="BI113" i="9" s="1"/>
  <c r="BI114" i="9" s="1"/>
  <c r="BI115" i="9" s="1"/>
  <c r="BI116" i="9" s="1"/>
  <c r="BI117" i="9" s="1"/>
  <c r="BI118" i="9" s="1"/>
  <c r="BI119" i="9" s="1"/>
  <c r="BI120" i="9" s="1"/>
  <c r="BI121" i="9" s="1"/>
  <c r="BI122" i="9" s="1"/>
  <c r="BI123" i="9" s="1"/>
  <c r="BI124" i="9" s="1"/>
  <c r="BI125" i="9" s="1"/>
  <c r="BI126" i="9" s="1"/>
  <c r="BI127" i="9" s="1"/>
  <c r="BI128" i="9" s="1"/>
  <c r="BI129" i="9" s="1"/>
  <c r="BI130" i="9" s="1"/>
  <c r="BI131" i="9" s="1"/>
  <c r="BI132" i="9" s="1"/>
  <c r="BI133" i="9" s="1"/>
  <c r="BI134" i="9" s="1"/>
  <c r="BI135" i="9" s="1"/>
  <c r="BI136" i="9" s="1"/>
  <c r="BI137" i="9" s="1"/>
  <c r="BI138" i="9" s="1"/>
  <c r="BI139" i="9" s="1"/>
  <c r="BI140" i="9" s="1"/>
  <c r="BI141" i="9" s="1"/>
  <c r="BI142" i="9" s="1"/>
  <c r="BI143" i="9" s="1"/>
  <c r="BI144" i="9" s="1"/>
  <c r="BI145" i="9" s="1"/>
  <c r="BI146" i="9" s="1"/>
  <c r="BI147" i="9" s="1"/>
  <c r="BI148" i="9" s="1"/>
  <c r="BI149" i="9" s="1"/>
  <c r="BI150" i="9" s="1"/>
  <c r="BI151" i="9" s="1"/>
  <c r="BI152" i="9" s="1"/>
  <c r="BI153" i="9" s="1"/>
  <c r="BI154" i="9" s="1"/>
  <c r="BI155" i="9" s="1"/>
  <c r="BI156" i="9" s="1"/>
  <c r="BI157" i="9" s="1"/>
  <c r="BI158" i="9" s="1"/>
  <c r="BI159" i="9" s="1"/>
  <c r="BI160" i="9" s="1"/>
  <c r="BI161" i="9" s="1"/>
  <c r="BI162" i="9" s="1"/>
  <c r="BI163" i="9" s="1"/>
  <c r="BI164" i="9" s="1"/>
  <c r="BI165" i="9" s="1"/>
  <c r="BI166" i="9" s="1"/>
  <c r="BI167" i="9" s="1"/>
  <c r="BI168" i="9" s="1"/>
  <c r="BI169" i="9" s="1"/>
  <c r="BI170" i="9" s="1"/>
  <c r="BI171" i="9" s="1"/>
  <c r="BI172" i="9" s="1"/>
  <c r="BI173" i="9" s="1"/>
  <c r="BI174" i="9" s="1"/>
  <c r="BI175" i="9" s="1"/>
  <c r="BI176" i="9" s="1"/>
  <c r="BI177" i="9" s="1"/>
  <c r="BI178" i="9" s="1"/>
  <c r="BI179" i="9" s="1"/>
  <c r="BI180" i="9" s="1"/>
  <c r="BI181" i="9" s="1"/>
  <c r="BI182" i="9" s="1"/>
  <c r="BI183" i="9" s="1"/>
  <c r="BI184" i="9" s="1"/>
  <c r="BI185" i="9" s="1"/>
  <c r="BI186" i="9" s="1"/>
  <c r="BI187" i="9" s="1"/>
  <c r="BI188" i="9" s="1"/>
  <c r="BI189" i="9" s="1"/>
  <c r="BI190" i="9" s="1"/>
  <c r="BI191" i="9" s="1"/>
  <c r="BI192" i="9" s="1"/>
  <c r="BI193" i="9" s="1"/>
  <c r="BI194" i="9" s="1"/>
  <c r="BI195" i="9" s="1"/>
  <c r="BI196" i="9" s="1"/>
  <c r="BI197" i="9" s="1"/>
  <c r="BI198" i="9" s="1"/>
  <c r="BI199" i="9" s="1"/>
  <c r="BI200" i="9" s="1"/>
  <c r="BI201" i="9" s="1"/>
  <c r="BI202" i="9" s="1"/>
  <c r="BI203" i="9" s="1"/>
  <c r="BI204" i="9" s="1"/>
  <c r="BI205" i="9" s="1"/>
  <c r="BI206" i="9" s="1"/>
  <c r="BI207" i="9" s="1"/>
  <c r="BI208" i="9" s="1"/>
  <c r="BI209" i="9" s="1"/>
  <c r="BI210" i="9" s="1"/>
  <c r="BI211" i="9" s="1"/>
  <c r="BI212" i="9" s="1"/>
  <c r="BI213" i="9" s="1"/>
  <c r="BI214" i="9" s="1"/>
  <c r="BI215" i="9" s="1"/>
  <c r="BI216" i="9" s="1"/>
  <c r="BI217" i="9" s="1"/>
  <c r="BI218" i="9" s="1"/>
  <c r="BI219" i="9" s="1"/>
  <c r="BI220" i="9" s="1"/>
  <c r="BI221" i="9" s="1"/>
  <c r="BI222" i="9" s="1"/>
  <c r="BI223" i="9" s="1"/>
  <c r="BI224" i="9" s="1"/>
  <c r="BI225" i="9" s="1"/>
  <c r="BI226" i="9" s="1"/>
  <c r="BI227" i="9" s="1"/>
  <c r="BI228" i="9" s="1"/>
  <c r="BI229" i="9" s="1"/>
  <c r="BI230" i="9" s="1"/>
  <c r="BI231" i="9" s="1"/>
  <c r="BI232" i="9" s="1"/>
  <c r="BI233" i="9" s="1"/>
  <c r="BI234" i="9" s="1"/>
  <c r="BI235" i="9" s="1"/>
  <c r="BI236" i="9" s="1"/>
  <c r="BI237" i="9" s="1"/>
  <c r="BI238" i="9" s="1"/>
  <c r="BI239" i="9" s="1"/>
  <c r="BI240" i="9" s="1"/>
  <c r="BI241" i="9" s="1"/>
  <c r="BI242" i="9" s="1"/>
  <c r="BI243" i="9" s="1"/>
  <c r="BI244" i="9" s="1"/>
  <c r="BI245" i="9" s="1"/>
  <c r="BI246" i="9" s="1"/>
  <c r="BI247" i="9" s="1"/>
  <c r="BI248" i="9" s="1"/>
  <c r="BI249" i="9" s="1"/>
  <c r="BI250" i="9" s="1"/>
  <c r="BI251" i="9" s="1"/>
  <c r="BI252" i="9" s="1"/>
  <c r="BI253" i="9" s="1"/>
  <c r="BI254" i="9" s="1"/>
  <c r="BI255" i="9" s="1"/>
  <c r="BI256" i="9" s="1"/>
  <c r="BI257" i="9" s="1"/>
  <c r="BI258" i="9" s="1"/>
  <c r="BI259" i="9" s="1"/>
  <c r="BI260" i="9" s="1"/>
  <c r="BI261" i="9" s="1"/>
  <c r="BI262" i="9" s="1"/>
  <c r="BI263" i="9" s="1"/>
  <c r="BI264" i="9" s="1"/>
  <c r="BI265" i="9" s="1"/>
  <c r="BI266" i="9" s="1"/>
  <c r="BI267" i="9" s="1"/>
  <c r="BI268" i="9" s="1"/>
  <c r="BI269" i="9" s="1"/>
  <c r="BI270" i="9" s="1"/>
  <c r="BI271" i="9" s="1"/>
  <c r="BI272" i="9" s="1"/>
  <c r="BI273" i="9" s="1"/>
  <c r="BI274" i="9" s="1"/>
  <c r="BI275" i="9" s="1"/>
  <c r="BI276" i="9" s="1"/>
  <c r="BI277" i="9" s="1"/>
  <c r="BI278" i="9" s="1"/>
  <c r="BI279" i="9" s="1"/>
  <c r="BI280" i="9" s="1"/>
  <c r="BI281" i="9" s="1"/>
  <c r="BI282" i="9" s="1"/>
  <c r="BI283" i="9" s="1"/>
  <c r="BI284" i="9" s="1"/>
  <c r="BI285" i="9" s="1"/>
  <c r="BI286" i="9" s="1"/>
  <c r="BI287" i="9" s="1"/>
  <c r="BI288" i="9" s="1"/>
  <c r="BI289" i="9" s="1"/>
  <c r="BI290" i="9" s="1"/>
  <c r="BI291" i="9" s="1"/>
  <c r="BI292" i="9" s="1"/>
  <c r="BI293" i="9" s="1"/>
  <c r="BI294" i="9" s="1"/>
  <c r="BI295" i="9" s="1"/>
  <c r="BI296" i="9" s="1"/>
  <c r="BI297" i="9" s="1"/>
  <c r="BI298" i="9" s="1"/>
  <c r="BI299" i="9" s="1"/>
  <c r="BI300" i="9" s="1"/>
  <c r="BI301" i="9" s="1"/>
  <c r="BI302" i="9" s="1"/>
  <c r="BI303" i="9" s="1"/>
  <c r="BI304" i="9" s="1"/>
  <c r="BI305" i="9" s="1"/>
  <c r="BI306" i="9" s="1"/>
  <c r="BI307" i="9" s="1"/>
  <c r="BI308" i="9" s="1"/>
  <c r="BI309" i="9" s="1"/>
  <c r="BI310" i="9" s="1"/>
  <c r="BI311" i="9" s="1"/>
  <c r="BI312" i="9" s="1"/>
  <c r="BI313" i="9" s="1"/>
  <c r="BI314" i="9" s="1"/>
  <c r="BI315" i="9" s="1"/>
  <c r="BI316" i="9" s="1"/>
  <c r="BI317" i="9" s="1"/>
  <c r="BI318" i="9" s="1"/>
  <c r="BI319" i="9" s="1"/>
  <c r="BI320" i="9" s="1"/>
  <c r="BI321" i="9" s="1"/>
  <c r="BI322" i="9" s="1"/>
  <c r="BI323" i="9" s="1"/>
  <c r="BI324" i="9" s="1"/>
  <c r="BI325" i="9" s="1"/>
  <c r="BI326" i="9" s="1"/>
  <c r="BI327" i="9" s="1"/>
  <c r="BI328" i="9" s="1"/>
  <c r="BI329" i="9" s="1"/>
  <c r="BI330" i="9" s="1"/>
  <c r="BI331" i="9" s="1"/>
  <c r="BI332" i="9" s="1"/>
  <c r="BI333" i="9" s="1"/>
  <c r="BI334" i="9" s="1"/>
  <c r="BI335" i="9" s="1"/>
  <c r="BI336" i="9" s="1"/>
  <c r="BI337" i="9" s="1"/>
  <c r="BI338" i="9" s="1"/>
  <c r="BI339" i="9" s="1"/>
  <c r="BI340" i="9" s="1"/>
  <c r="BI341" i="9" s="1"/>
  <c r="BI342" i="9" s="1"/>
  <c r="BI343" i="9" s="1"/>
  <c r="BI344" i="9" s="1"/>
  <c r="BI345" i="9" s="1"/>
  <c r="BI346" i="9" s="1"/>
  <c r="BI347" i="9" s="1"/>
  <c r="BI348" i="9" s="1"/>
  <c r="BI349" i="9" s="1"/>
  <c r="BI350" i="9" s="1"/>
  <c r="BI351" i="9" s="1"/>
  <c r="BI352" i="9" s="1"/>
  <c r="BI353" i="9" s="1"/>
  <c r="BI354" i="9" s="1"/>
  <c r="BI355" i="9" s="1"/>
  <c r="BI356" i="9" s="1"/>
  <c r="BI357" i="9" s="1"/>
  <c r="BI358" i="9" s="1"/>
  <c r="BI359" i="9" s="1"/>
  <c r="BI360" i="9" s="1"/>
  <c r="BI361" i="9" s="1"/>
  <c r="BI362" i="9" s="1"/>
  <c r="BI363" i="9" s="1"/>
  <c r="BI364" i="9" s="1"/>
  <c r="BI365" i="9" s="1"/>
  <c r="BI366" i="9" s="1"/>
  <c r="BI367" i="9" s="1"/>
  <c r="BI368" i="9" s="1"/>
  <c r="BI369" i="9" s="1"/>
  <c r="BI370" i="9" s="1"/>
  <c r="BI371" i="9" s="1"/>
  <c r="BI372" i="9" s="1"/>
  <c r="BI373" i="9" s="1"/>
  <c r="BI374" i="9" s="1"/>
  <c r="BI375" i="9" s="1"/>
  <c r="BI376" i="9" s="1"/>
  <c r="BI377" i="9" s="1"/>
  <c r="BI378" i="9" s="1"/>
  <c r="BI379" i="9" s="1"/>
  <c r="BI380" i="9" s="1"/>
  <c r="BI381" i="9" s="1"/>
  <c r="BI382" i="9" s="1"/>
  <c r="BI383" i="9" s="1"/>
  <c r="BI384" i="9" s="1"/>
  <c r="BI385" i="9" s="1"/>
  <c r="BI386" i="9" s="1"/>
  <c r="BI387" i="9" s="1"/>
  <c r="BI388" i="9" s="1"/>
  <c r="BI389" i="9" s="1"/>
  <c r="BI390" i="9" s="1"/>
  <c r="BI391" i="9" s="1"/>
  <c r="BI392" i="9" s="1"/>
  <c r="BI393" i="9" s="1"/>
  <c r="BI394" i="9" s="1"/>
  <c r="BI395" i="9" s="1"/>
  <c r="BI396" i="9" s="1"/>
  <c r="BI397" i="9" s="1"/>
  <c r="BI398" i="9" s="1"/>
  <c r="BI399" i="9" s="1"/>
  <c r="AY9" i="9"/>
  <c r="AY10" i="9" s="1"/>
  <c r="AY11" i="9" s="1"/>
  <c r="AY12" i="9" s="1"/>
  <c r="AY13" i="9" s="1"/>
  <c r="AY14" i="9" s="1"/>
  <c r="AY15" i="9" s="1"/>
  <c r="AY16" i="9" s="1"/>
  <c r="AY17" i="9" s="1"/>
  <c r="AY18" i="9" s="1"/>
  <c r="AY19" i="9" s="1"/>
  <c r="AY20" i="9" s="1"/>
  <c r="AY21" i="9" s="1"/>
  <c r="AY22" i="9" s="1"/>
  <c r="AY23" i="9" s="1"/>
  <c r="AY24" i="9" s="1"/>
  <c r="AY25" i="9" s="1"/>
  <c r="AY26" i="9" s="1"/>
  <c r="AY27" i="9" s="1"/>
  <c r="AY28" i="9" s="1"/>
  <c r="AY29" i="9" s="1"/>
  <c r="AY30" i="9" s="1"/>
  <c r="AY31" i="9" s="1"/>
  <c r="AY32" i="9" s="1"/>
  <c r="AY33" i="9" s="1"/>
  <c r="AY34" i="9" s="1"/>
  <c r="AY35" i="9" s="1"/>
  <c r="AY36" i="9" s="1"/>
  <c r="AY37" i="9" s="1"/>
  <c r="AY38" i="9" s="1"/>
  <c r="AY39" i="9" s="1"/>
  <c r="AY40" i="9" s="1"/>
  <c r="AY41" i="9" s="1"/>
  <c r="AY42" i="9" s="1"/>
  <c r="AY43" i="9" s="1"/>
  <c r="AY44" i="9" s="1"/>
  <c r="AY45" i="9" s="1"/>
  <c r="AY46" i="9" s="1"/>
  <c r="AY47" i="9" s="1"/>
  <c r="AY48" i="9" s="1"/>
  <c r="AY49" i="9" s="1"/>
  <c r="AY50" i="9" s="1"/>
  <c r="AY51" i="9" s="1"/>
  <c r="AY52" i="9" s="1"/>
  <c r="AY53" i="9" s="1"/>
  <c r="AY54" i="9" s="1"/>
  <c r="AY55" i="9" s="1"/>
  <c r="AY56" i="9" s="1"/>
  <c r="AY57" i="9" s="1"/>
  <c r="AY58" i="9" s="1"/>
  <c r="AY59" i="9" s="1"/>
  <c r="AY60" i="9" s="1"/>
  <c r="AY61" i="9" s="1"/>
  <c r="AY62" i="9" s="1"/>
  <c r="AY63" i="9" s="1"/>
  <c r="AY64" i="9" s="1"/>
  <c r="AY65" i="9" s="1"/>
  <c r="AY66" i="9" s="1"/>
  <c r="AY67" i="9" s="1"/>
  <c r="AY68" i="9" s="1"/>
  <c r="AY69" i="9" s="1"/>
  <c r="AY70" i="9" s="1"/>
  <c r="AY71" i="9" s="1"/>
  <c r="AY72" i="9" s="1"/>
  <c r="AY73" i="9" s="1"/>
  <c r="AY74" i="9" s="1"/>
  <c r="AY75" i="9" s="1"/>
  <c r="AY76" i="9" s="1"/>
  <c r="AY77" i="9" s="1"/>
  <c r="AY78" i="9" s="1"/>
  <c r="AY79" i="9" s="1"/>
  <c r="AY80" i="9" s="1"/>
  <c r="AY81" i="9" s="1"/>
  <c r="AY82" i="9" s="1"/>
  <c r="AY83" i="9" s="1"/>
  <c r="AY84" i="9" s="1"/>
  <c r="AY85" i="9" s="1"/>
  <c r="AY86" i="9" s="1"/>
  <c r="AY87" i="9" s="1"/>
  <c r="AY88" i="9" s="1"/>
  <c r="AY89" i="9" s="1"/>
  <c r="AY90" i="9" s="1"/>
  <c r="AY91" i="9" s="1"/>
  <c r="AY92" i="9" s="1"/>
  <c r="AY93" i="9" s="1"/>
  <c r="AY94" i="9" s="1"/>
  <c r="AY95" i="9" s="1"/>
  <c r="AY96" i="9" s="1"/>
  <c r="AY97" i="9" s="1"/>
  <c r="AY98" i="9" s="1"/>
  <c r="AY99" i="9" s="1"/>
  <c r="AY100" i="9" s="1"/>
  <c r="AY101" i="9" s="1"/>
  <c r="AY102" i="9" s="1"/>
  <c r="AY103" i="9" s="1"/>
  <c r="AY104" i="9" s="1"/>
  <c r="AY105" i="9" s="1"/>
  <c r="AY106" i="9" s="1"/>
  <c r="AY107" i="9" s="1"/>
  <c r="AY108" i="9" s="1"/>
  <c r="AY109" i="9" s="1"/>
  <c r="AY110" i="9" s="1"/>
  <c r="AY111" i="9" s="1"/>
  <c r="AY112" i="9" s="1"/>
  <c r="AY113" i="9" s="1"/>
  <c r="AY114" i="9" s="1"/>
  <c r="AY115" i="9" s="1"/>
  <c r="AY116" i="9" s="1"/>
  <c r="AY117" i="9" s="1"/>
  <c r="AY118" i="9" s="1"/>
  <c r="AY119" i="9" s="1"/>
  <c r="AY120" i="9" s="1"/>
  <c r="AY121" i="9" s="1"/>
  <c r="AY122" i="9" s="1"/>
  <c r="AY123" i="9" s="1"/>
  <c r="AY124" i="9" s="1"/>
  <c r="AY125" i="9" s="1"/>
  <c r="AY126" i="9" s="1"/>
  <c r="AY127" i="9" s="1"/>
  <c r="AY128" i="9" s="1"/>
  <c r="AY129" i="9" s="1"/>
  <c r="AY130" i="9" s="1"/>
  <c r="AY131" i="9" s="1"/>
  <c r="AY132" i="9" s="1"/>
  <c r="AY133" i="9" s="1"/>
  <c r="AY134" i="9" s="1"/>
  <c r="AY135" i="9" s="1"/>
  <c r="AY136" i="9" s="1"/>
  <c r="AY137" i="9" s="1"/>
  <c r="AY138" i="9" s="1"/>
  <c r="AY139" i="9" s="1"/>
  <c r="AY140" i="9" s="1"/>
  <c r="AY141" i="9" s="1"/>
  <c r="AY142" i="9" s="1"/>
  <c r="AY143" i="9" s="1"/>
  <c r="AY144" i="9" s="1"/>
  <c r="AY145" i="9" s="1"/>
  <c r="AY146" i="9" s="1"/>
  <c r="AY147" i="9" s="1"/>
  <c r="AY148" i="9" s="1"/>
  <c r="AY149" i="9" s="1"/>
  <c r="AY150" i="9" s="1"/>
  <c r="AY151" i="9" s="1"/>
  <c r="AY152" i="9" s="1"/>
  <c r="AY153" i="9" s="1"/>
  <c r="AY154" i="9" s="1"/>
  <c r="AY155" i="9" s="1"/>
  <c r="AY156" i="9" s="1"/>
  <c r="AY157" i="9" s="1"/>
  <c r="AY158" i="9" s="1"/>
  <c r="AY159" i="9" s="1"/>
  <c r="AY160" i="9" s="1"/>
  <c r="AY161" i="9" s="1"/>
  <c r="AY162" i="9" s="1"/>
  <c r="AY163" i="9" s="1"/>
  <c r="AY164" i="9" s="1"/>
  <c r="AY165" i="9" s="1"/>
  <c r="AY166" i="9" s="1"/>
  <c r="AY167" i="9" s="1"/>
  <c r="AY168" i="9" s="1"/>
  <c r="AY169" i="9" s="1"/>
  <c r="AY170" i="9" s="1"/>
  <c r="AY171" i="9" s="1"/>
  <c r="AY172" i="9" s="1"/>
  <c r="AY173" i="9" s="1"/>
  <c r="AY174" i="9" s="1"/>
  <c r="AY175" i="9" s="1"/>
  <c r="AY176" i="9" s="1"/>
  <c r="AY177" i="9" s="1"/>
  <c r="AY178" i="9" s="1"/>
  <c r="AY179" i="9" s="1"/>
  <c r="AY180" i="9" s="1"/>
  <c r="AY181" i="9" s="1"/>
  <c r="AY182" i="9" s="1"/>
  <c r="AY183" i="9" s="1"/>
  <c r="AY184" i="9" s="1"/>
  <c r="AY185" i="9" s="1"/>
  <c r="AY186" i="9" s="1"/>
  <c r="AY187" i="9" s="1"/>
  <c r="AY188" i="9" s="1"/>
  <c r="AY189" i="9" s="1"/>
  <c r="AY190" i="9" s="1"/>
  <c r="AY191" i="9" s="1"/>
  <c r="AY192" i="9" s="1"/>
  <c r="AY193" i="9" s="1"/>
  <c r="AY194" i="9" s="1"/>
  <c r="AY195" i="9" s="1"/>
  <c r="AY196" i="9" s="1"/>
  <c r="AY197" i="9" s="1"/>
  <c r="AY198" i="9" s="1"/>
  <c r="AY199" i="9" s="1"/>
  <c r="AY200" i="9" s="1"/>
  <c r="AY201" i="9" s="1"/>
  <c r="AY202" i="9" s="1"/>
  <c r="AY203" i="9" s="1"/>
  <c r="AY204" i="9" s="1"/>
  <c r="AY205" i="9" s="1"/>
  <c r="AY206" i="9" s="1"/>
  <c r="AY207" i="9" s="1"/>
  <c r="AY208" i="9" s="1"/>
  <c r="AY209" i="9" s="1"/>
  <c r="AY210" i="9" s="1"/>
  <c r="AY211" i="9" s="1"/>
  <c r="AY212" i="9" s="1"/>
  <c r="AY213" i="9" s="1"/>
  <c r="AY214" i="9" s="1"/>
  <c r="AY215" i="9" s="1"/>
  <c r="AY216" i="9" s="1"/>
  <c r="AY217" i="9" s="1"/>
  <c r="AY218" i="9" s="1"/>
  <c r="AY219" i="9" s="1"/>
  <c r="AY220" i="9" s="1"/>
  <c r="AY221" i="9" s="1"/>
  <c r="AY222" i="9" s="1"/>
  <c r="AY223" i="9" s="1"/>
  <c r="AY224" i="9" s="1"/>
  <c r="AY225" i="9" s="1"/>
  <c r="AY226" i="9" s="1"/>
  <c r="AY227" i="9" s="1"/>
  <c r="AY228" i="9" s="1"/>
  <c r="AY229" i="9" s="1"/>
  <c r="AY230" i="9" s="1"/>
  <c r="AY231" i="9" s="1"/>
  <c r="AY232" i="9" s="1"/>
  <c r="AY233" i="9" s="1"/>
  <c r="AY234" i="9" s="1"/>
  <c r="AY235" i="9" s="1"/>
  <c r="AY236" i="9" s="1"/>
  <c r="AY237" i="9" s="1"/>
  <c r="AY238" i="9" s="1"/>
  <c r="AY239" i="9" s="1"/>
  <c r="AY240" i="9" s="1"/>
  <c r="AY241" i="9" s="1"/>
  <c r="AY242" i="9" s="1"/>
  <c r="AY243" i="9" s="1"/>
  <c r="AY244" i="9" s="1"/>
  <c r="AY245" i="9" s="1"/>
  <c r="AY246" i="9" s="1"/>
  <c r="AY247" i="9" s="1"/>
  <c r="AY248" i="9" s="1"/>
  <c r="AY249" i="9" s="1"/>
  <c r="AY250" i="9" s="1"/>
  <c r="AY251" i="9" s="1"/>
  <c r="AY252" i="9" s="1"/>
  <c r="AY253" i="9" s="1"/>
  <c r="AY254" i="9" s="1"/>
  <c r="AY255" i="9" s="1"/>
  <c r="AY256" i="9" s="1"/>
  <c r="AY257" i="9" s="1"/>
  <c r="AY258" i="9" s="1"/>
  <c r="AY259" i="9" s="1"/>
  <c r="AY260" i="9" s="1"/>
  <c r="AY261" i="9" s="1"/>
  <c r="AY262" i="9" s="1"/>
  <c r="AY263" i="9" s="1"/>
  <c r="AY264" i="9" s="1"/>
  <c r="AY265" i="9" s="1"/>
  <c r="AY266" i="9" s="1"/>
  <c r="AY267" i="9" s="1"/>
  <c r="AY268" i="9" s="1"/>
  <c r="AY269" i="9" s="1"/>
  <c r="AY270" i="9" s="1"/>
  <c r="AY271" i="9" s="1"/>
  <c r="AY272" i="9" s="1"/>
  <c r="AY273" i="9" s="1"/>
  <c r="AY274" i="9" s="1"/>
  <c r="AY275" i="9" s="1"/>
  <c r="AY276" i="9" s="1"/>
  <c r="AY277" i="9" s="1"/>
  <c r="AY278" i="9" s="1"/>
  <c r="AY279" i="9" s="1"/>
  <c r="AY280" i="9" s="1"/>
  <c r="AY281" i="9" s="1"/>
  <c r="AY282" i="9" s="1"/>
  <c r="AY283" i="9" s="1"/>
  <c r="AY284" i="9" s="1"/>
  <c r="AY285" i="9" s="1"/>
  <c r="AY286" i="9" s="1"/>
  <c r="AY287" i="9" s="1"/>
  <c r="AY288" i="9" s="1"/>
  <c r="AY289" i="9" s="1"/>
  <c r="AY290" i="9" s="1"/>
  <c r="AY291" i="9" s="1"/>
  <c r="AY292" i="9" s="1"/>
  <c r="AY293" i="9" s="1"/>
  <c r="AY294" i="9" s="1"/>
  <c r="AY295" i="9" s="1"/>
  <c r="AY296" i="9" s="1"/>
  <c r="AY297" i="9" s="1"/>
  <c r="AY298" i="9" s="1"/>
  <c r="AY299" i="9" s="1"/>
  <c r="AY300" i="9" s="1"/>
  <c r="AY301" i="9" s="1"/>
  <c r="AY302" i="9" s="1"/>
  <c r="AY303" i="9" s="1"/>
  <c r="AY304" i="9" s="1"/>
  <c r="AY305" i="9" s="1"/>
  <c r="AY306" i="9" s="1"/>
  <c r="AY307" i="9" s="1"/>
  <c r="AY308" i="9" s="1"/>
  <c r="AY309" i="9" s="1"/>
  <c r="AY310" i="9" s="1"/>
  <c r="AY311" i="9" s="1"/>
  <c r="AY312" i="9" s="1"/>
  <c r="AY313" i="9" s="1"/>
  <c r="AY314" i="9" s="1"/>
  <c r="AY315" i="9" s="1"/>
  <c r="AY316" i="9" s="1"/>
  <c r="AY317" i="9" s="1"/>
  <c r="AY318" i="9" s="1"/>
  <c r="AY319" i="9" s="1"/>
  <c r="AY320" i="9" s="1"/>
  <c r="AY321" i="9" s="1"/>
  <c r="AY322" i="9" s="1"/>
  <c r="AY323" i="9" s="1"/>
  <c r="AY324" i="9" s="1"/>
  <c r="AY325" i="9" s="1"/>
  <c r="AY326" i="9" s="1"/>
  <c r="AY327" i="9" s="1"/>
  <c r="AY328" i="9" s="1"/>
  <c r="AY329" i="9" s="1"/>
  <c r="AY330" i="9" s="1"/>
  <c r="AY331" i="9" s="1"/>
  <c r="AY332" i="9" s="1"/>
  <c r="AY333" i="9" s="1"/>
  <c r="AY334" i="9" s="1"/>
  <c r="AY335" i="9" s="1"/>
  <c r="AY336" i="9" s="1"/>
  <c r="AY337" i="9" s="1"/>
  <c r="AY338" i="9" s="1"/>
  <c r="AY339" i="9" s="1"/>
  <c r="AY340" i="9" s="1"/>
  <c r="AY341" i="9" s="1"/>
  <c r="AY342" i="9" s="1"/>
  <c r="AY343" i="9" s="1"/>
  <c r="AY344" i="9" s="1"/>
  <c r="AY345" i="9" s="1"/>
  <c r="AY346" i="9" s="1"/>
  <c r="AY347" i="9" s="1"/>
  <c r="AY348" i="9" s="1"/>
  <c r="AY349" i="9" s="1"/>
  <c r="AY350" i="9" s="1"/>
  <c r="AY351" i="9" s="1"/>
  <c r="AY352" i="9" s="1"/>
  <c r="AY353" i="9" s="1"/>
  <c r="AY354" i="9" s="1"/>
  <c r="AY355" i="9" s="1"/>
  <c r="AY356" i="9" s="1"/>
  <c r="AY357" i="9" s="1"/>
  <c r="AY358" i="9" s="1"/>
  <c r="AY359" i="9" s="1"/>
  <c r="AY360" i="9" s="1"/>
  <c r="AY361" i="9" s="1"/>
  <c r="AY362" i="9" s="1"/>
  <c r="AY363" i="9" s="1"/>
  <c r="AY364" i="9" s="1"/>
  <c r="AY365" i="9" s="1"/>
  <c r="AY366" i="9" s="1"/>
  <c r="AY367" i="9" s="1"/>
  <c r="AY368" i="9" s="1"/>
  <c r="AY369" i="9" s="1"/>
  <c r="AY370" i="9" s="1"/>
  <c r="AY371" i="9" s="1"/>
  <c r="AY372" i="9" s="1"/>
  <c r="AY373" i="9" s="1"/>
  <c r="AY374" i="9" s="1"/>
  <c r="AY375" i="9" s="1"/>
  <c r="AY376" i="9" s="1"/>
  <c r="AY377" i="9" s="1"/>
  <c r="AY378" i="9" s="1"/>
  <c r="AY379" i="9" s="1"/>
  <c r="AY380" i="9" s="1"/>
  <c r="AY381" i="9" s="1"/>
  <c r="AY382" i="9" s="1"/>
  <c r="AY383" i="9" s="1"/>
  <c r="AY384" i="9" s="1"/>
  <c r="AY385" i="9" s="1"/>
  <c r="AY386" i="9" s="1"/>
  <c r="AY387" i="9" s="1"/>
  <c r="BF9" i="9"/>
  <c r="BF10" i="9" s="1"/>
  <c r="BF11" i="9" s="1"/>
  <c r="BF12" i="9" s="1"/>
  <c r="BF13" i="9" s="1"/>
  <c r="BF14" i="9" s="1"/>
  <c r="BF15" i="9" s="1"/>
  <c r="BF16" i="9" s="1"/>
  <c r="BF17" i="9" s="1"/>
  <c r="BF18" i="9" s="1"/>
  <c r="BF19" i="9" s="1"/>
  <c r="BF20" i="9" s="1"/>
  <c r="BF21" i="9" s="1"/>
  <c r="BF22" i="9" s="1"/>
  <c r="BF23" i="9" s="1"/>
  <c r="BF24" i="9" s="1"/>
  <c r="BF25" i="9" s="1"/>
  <c r="BF26" i="9" s="1"/>
  <c r="BF27" i="9" s="1"/>
  <c r="BF28" i="9" s="1"/>
  <c r="BF29" i="9" s="1"/>
  <c r="BF30" i="9" s="1"/>
  <c r="BF31" i="9" s="1"/>
  <c r="BF32" i="9" s="1"/>
  <c r="BF33" i="9" s="1"/>
  <c r="BF34" i="9" s="1"/>
  <c r="BF35" i="9" s="1"/>
  <c r="BF36" i="9" s="1"/>
  <c r="BF37" i="9" s="1"/>
  <c r="BF38" i="9" s="1"/>
  <c r="BF39" i="9" s="1"/>
  <c r="BF40" i="9" s="1"/>
  <c r="BF41" i="9" s="1"/>
  <c r="BF42" i="9" s="1"/>
  <c r="BF43" i="9" s="1"/>
  <c r="BF44" i="9" s="1"/>
  <c r="BF45" i="9" s="1"/>
  <c r="BF46" i="9" s="1"/>
  <c r="BF47" i="9" s="1"/>
  <c r="BF48" i="9" s="1"/>
  <c r="BF49" i="9" s="1"/>
  <c r="BF50" i="9" s="1"/>
  <c r="BF51" i="9" s="1"/>
  <c r="BF52" i="9" s="1"/>
  <c r="BF53" i="9" s="1"/>
  <c r="BF54" i="9" s="1"/>
  <c r="BF55" i="9" s="1"/>
  <c r="BF56" i="9" s="1"/>
  <c r="BF57" i="9" s="1"/>
  <c r="BF58" i="9" s="1"/>
  <c r="BF59" i="9" s="1"/>
  <c r="BF60" i="9" s="1"/>
  <c r="BF61" i="9" s="1"/>
  <c r="BF62" i="9" s="1"/>
  <c r="BF63" i="9" s="1"/>
  <c r="BF64" i="9" s="1"/>
  <c r="BF65" i="9" s="1"/>
  <c r="BF66" i="9" s="1"/>
  <c r="BF67" i="9" s="1"/>
  <c r="BF68" i="9" s="1"/>
  <c r="BF69" i="9" s="1"/>
  <c r="BF70" i="9" s="1"/>
  <c r="BF71" i="9" s="1"/>
  <c r="BF72" i="9" s="1"/>
  <c r="BF73" i="9" s="1"/>
  <c r="BF74" i="9" s="1"/>
  <c r="BF75" i="9" s="1"/>
  <c r="BF76" i="9" s="1"/>
  <c r="BF77" i="9" s="1"/>
  <c r="BF78" i="9" s="1"/>
  <c r="BF79" i="9" s="1"/>
  <c r="BF80" i="9" s="1"/>
  <c r="BF81" i="9" s="1"/>
  <c r="BF82" i="9" s="1"/>
  <c r="BF83" i="9" s="1"/>
  <c r="BF84" i="9" s="1"/>
  <c r="BF85" i="9" s="1"/>
  <c r="BF86" i="9" s="1"/>
  <c r="BF87" i="9" s="1"/>
  <c r="BF88" i="9" s="1"/>
  <c r="BF89" i="9" s="1"/>
  <c r="BF90" i="9" s="1"/>
  <c r="BF91" i="9" s="1"/>
  <c r="BF92" i="9" s="1"/>
  <c r="BF93" i="9" s="1"/>
  <c r="BF94" i="9" s="1"/>
  <c r="BF95" i="9" s="1"/>
  <c r="BF96" i="9" s="1"/>
  <c r="BF97" i="9" s="1"/>
  <c r="BF98" i="9" s="1"/>
  <c r="BF99" i="9" s="1"/>
  <c r="BF100" i="9" s="1"/>
  <c r="BF101" i="9" s="1"/>
  <c r="BF102" i="9" s="1"/>
  <c r="BF103" i="9" s="1"/>
  <c r="BF104" i="9" s="1"/>
  <c r="BF105" i="9" s="1"/>
  <c r="BF106" i="9" s="1"/>
  <c r="BF107" i="9" s="1"/>
  <c r="BF108" i="9" s="1"/>
  <c r="BF109" i="9" s="1"/>
  <c r="BF110" i="9" s="1"/>
  <c r="BF111" i="9" s="1"/>
  <c r="BF112" i="9" s="1"/>
  <c r="BF113" i="9" s="1"/>
  <c r="BF114" i="9" s="1"/>
  <c r="BF115" i="9" s="1"/>
  <c r="BF116" i="9" s="1"/>
  <c r="BF117" i="9" s="1"/>
  <c r="BF118" i="9" s="1"/>
  <c r="BF119" i="9" s="1"/>
  <c r="BF120" i="9" s="1"/>
  <c r="BF121" i="9" s="1"/>
  <c r="BF122" i="9" s="1"/>
  <c r="BF123" i="9" s="1"/>
  <c r="BF124" i="9" s="1"/>
  <c r="BF125" i="9" s="1"/>
  <c r="BF126" i="9" s="1"/>
  <c r="BF127" i="9" s="1"/>
  <c r="BF128" i="9" s="1"/>
  <c r="BF129" i="9" s="1"/>
  <c r="BF130" i="9" s="1"/>
  <c r="BF131" i="9" s="1"/>
  <c r="BF132" i="9" s="1"/>
  <c r="BF133" i="9" s="1"/>
  <c r="BF134" i="9" s="1"/>
  <c r="BF135" i="9" s="1"/>
  <c r="BF136" i="9" s="1"/>
  <c r="BF137" i="9" s="1"/>
  <c r="BF138" i="9" s="1"/>
  <c r="BF139" i="9" s="1"/>
  <c r="BF140" i="9" s="1"/>
  <c r="BF141" i="9" s="1"/>
  <c r="BF142" i="9" s="1"/>
  <c r="BF143" i="9" s="1"/>
  <c r="BF144" i="9" s="1"/>
  <c r="BF145" i="9" s="1"/>
  <c r="BF146" i="9" s="1"/>
  <c r="BF147" i="9" s="1"/>
  <c r="BF148" i="9" s="1"/>
  <c r="BF149" i="9" s="1"/>
  <c r="BF150" i="9" s="1"/>
  <c r="BF151" i="9" s="1"/>
  <c r="BF152" i="9" s="1"/>
  <c r="BF153" i="9" s="1"/>
  <c r="BF154" i="9" s="1"/>
  <c r="BF155" i="9" s="1"/>
  <c r="BF156" i="9" s="1"/>
  <c r="BF157" i="9" s="1"/>
  <c r="BF158" i="9" s="1"/>
  <c r="BF159" i="9" s="1"/>
  <c r="BF160" i="9" s="1"/>
  <c r="BF161" i="9" s="1"/>
  <c r="BF162" i="9" s="1"/>
  <c r="BF163" i="9" s="1"/>
  <c r="BF164" i="9" s="1"/>
  <c r="BF165" i="9" s="1"/>
  <c r="BF166" i="9" s="1"/>
  <c r="BF167" i="9" s="1"/>
  <c r="BF168" i="9" s="1"/>
  <c r="BF169" i="9" s="1"/>
  <c r="BF170" i="9" s="1"/>
  <c r="BF171" i="9" s="1"/>
  <c r="BF172" i="9" s="1"/>
  <c r="BF173" i="9" s="1"/>
  <c r="BF174" i="9" s="1"/>
  <c r="BF175" i="9" s="1"/>
  <c r="BF176" i="9" s="1"/>
  <c r="BF177" i="9" s="1"/>
  <c r="BF178" i="9" s="1"/>
  <c r="BF179" i="9" s="1"/>
  <c r="BF180" i="9" s="1"/>
  <c r="BF181" i="9" s="1"/>
  <c r="BF182" i="9" s="1"/>
  <c r="BF183" i="9" s="1"/>
  <c r="BF184" i="9" s="1"/>
  <c r="BF185" i="9" s="1"/>
  <c r="BF186" i="9" s="1"/>
  <c r="BF187" i="9" s="1"/>
  <c r="BF188" i="9" s="1"/>
  <c r="BF189" i="9" s="1"/>
  <c r="BF190" i="9" s="1"/>
  <c r="BF191" i="9" s="1"/>
  <c r="BF192" i="9" s="1"/>
  <c r="BF193" i="9" s="1"/>
  <c r="BF194" i="9" s="1"/>
  <c r="BF195" i="9" s="1"/>
  <c r="BF196" i="9" s="1"/>
  <c r="BF197" i="9" s="1"/>
  <c r="BF198" i="9" s="1"/>
  <c r="BF199" i="9" s="1"/>
  <c r="BF200" i="9" s="1"/>
  <c r="BF201" i="9" s="1"/>
  <c r="BF202" i="9" s="1"/>
  <c r="BF203" i="9" s="1"/>
  <c r="BF204" i="9" s="1"/>
  <c r="BF205" i="9" s="1"/>
  <c r="BF206" i="9" s="1"/>
  <c r="BF207" i="9" s="1"/>
  <c r="BF208" i="9" s="1"/>
  <c r="BF209" i="9" s="1"/>
  <c r="BF210" i="9" s="1"/>
  <c r="BF211" i="9" s="1"/>
  <c r="BF212" i="9" s="1"/>
  <c r="BF213" i="9" s="1"/>
  <c r="BF214" i="9" s="1"/>
  <c r="BF215" i="9" s="1"/>
  <c r="BF216" i="9" s="1"/>
  <c r="BF217" i="9" s="1"/>
  <c r="BF218" i="9" s="1"/>
  <c r="BF219" i="9" s="1"/>
  <c r="BF220" i="9" s="1"/>
  <c r="BF221" i="9" s="1"/>
  <c r="BF222" i="9" s="1"/>
  <c r="BF223" i="9" s="1"/>
  <c r="BF224" i="9" s="1"/>
  <c r="BF225" i="9" s="1"/>
  <c r="BF226" i="9" s="1"/>
  <c r="BF227" i="9" s="1"/>
  <c r="BF228" i="9" s="1"/>
  <c r="BF229" i="9" s="1"/>
  <c r="BF230" i="9" s="1"/>
  <c r="BF231" i="9" s="1"/>
  <c r="BF232" i="9" s="1"/>
  <c r="BF233" i="9" s="1"/>
  <c r="BF234" i="9" s="1"/>
  <c r="BF235" i="9" s="1"/>
  <c r="BF236" i="9" s="1"/>
  <c r="BF237" i="9" s="1"/>
  <c r="BF238" i="9" s="1"/>
  <c r="BF239" i="9" s="1"/>
  <c r="BF240" i="9" s="1"/>
  <c r="BF241" i="9" s="1"/>
  <c r="BF242" i="9" s="1"/>
  <c r="BF243" i="9" s="1"/>
  <c r="BF244" i="9" s="1"/>
  <c r="BF245" i="9" s="1"/>
  <c r="BF246" i="9" s="1"/>
  <c r="BF247" i="9" s="1"/>
  <c r="BF248" i="9" s="1"/>
  <c r="BF249" i="9" s="1"/>
  <c r="BF250" i="9" s="1"/>
  <c r="BF251" i="9" s="1"/>
  <c r="BF252" i="9" s="1"/>
  <c r="BF253" i="9" s="1"/>
  <c r="BF254" i="9" s="1"/>
  <c r="BF255" i="9" s="1"/>
  <c r="BF256" i="9" s="1"/>
  <c r="BF257" i="9" s="1"/>
  <c r="BF258" i="9" s="1"/>
  <c r="BF259" i="9" s="1"/>
  <c r="BF260" i="9" s="1"/>
  <c r="BF261" i="9" s="1"/>
  <c r="BF262" i="9" s="1"/>
  <c r="BF263" i="9" s="1"/>
  <c r="BF264" i="9" s="1"/>
  <c r="BF265" i="9" s="1"/>
  <c r="BF266" i="9" s="1"/>
  <c r="BF267" i="9" s="1"/>
  <c r="BF268" i="9" s="1"/>
  <c r="BF269" i="9" s="1"/>
  <c r="BF270" i="9" s="1"/>
  <c r="BF271" i="9" s="1"/>
  <c r="BF272" i="9" s="1"/>
  <c r="BF273" i="9" s="1"/>
  <c r="BF274" i="9" s="1"/>
  <c r="BF275" i="9" s="1"/>
  <c r="BF276" i="9" s="1"/>
  <c r="BF277" i="9" s="1"/>
  <c r="BF278" i="9" s="1"/>
  <c r="BF279" i="9" s="1"/>
  <c r="BF280" i="9" s="1"/>
  <c r="BF281" i="9" s="1"/>
  <c r="BF282" i="9" s="1"/>
  <c r="BF283" i="9" s="1"/>
  <c r="BF284" i="9" s="1"/>
  <c r="BF285" i="9" s="1"/>
  <c r="BF286" i="9" s="1"/>
  <c r="BF287" i="9" s="1"/>
  <c r="BF288" i="9" s="1"/>
  <c r="BF289" i="9" s="1"/>
  <c r="BF290" i="9" s="1"/>
  <c r="BF291" i="9" s="1"/>
  <c r="BF292" i="9" s="1"/>
  <c r="BF293" i="9" s="1"/>
  <c r="BF294" i="9" s="1"/>
  <c r="BF295" i="9" s="1"/>
  <c r="BF296" i="9" s="1"/>
  <c r="BF297" i="9" s="1"/>
  <c r="BF298" i="9" s="1"/>
  <c r="BF299" i="9" s="1"/>
  <c r="BF300" i="9" s="1"/>
  <c r="BF301" i="9" s="1"/>
  <c r="BF302" i="9" s="1"/>
  <c r="BF303" i="9" s="1"/>
  <c r="BF304" i="9" s="1"/>
  <c r="BF305" i="9" s="1"/>
  <c r="BF306" i="9" s="1"/>
  <c r="BF307" i="9" s="1"/>
  <c r="BF308" i="9" s="1"/>
  <c r="BF309" i="9" s="1"/>
  <c r="BF310" i="9" s="1"/>
  <c r="BF311" i="9" s="1"/>
  <c r="BF312" i="9" s="1"/>
  <c r="BF313" i="9" s="1"/>
  <c r="BF314" i="9" s="1"/>
  <c r="BF315" i="9" s="1"/>
  <c r="BF316" i="9" s="1"/>
  <c r="BF317" i="9" s="1"/>
  <c r="BF318" i="9" s="1"/>
  <c r="BF319" i="9" s="1"/>
  <c r="BF320" i="9" s="1"/>
  <c r="BF321" i="9" s="1"/>
  <c r="BF322" i="9" s="1"/>
  <c r="BF323" i="9" s="1"/>
  <c r="BF324" i="9" s="1"/>
  <c r="BF325" i="9" s="1"/>
  <c r="BF326" i="9" s="1"/>
  <c r="BF327" i="9" s="1"/>
  <c r="BF328" i="9" s="1"/>
  <c r="BF329" i="9" s="1"/>
  <c r="BF330" i="9" s="1"/>
  <c r="BF331" i="9" s="1"/>
  <c r="BF332" i="9" s="1"/>
  <c r="BF333" i="9" s="1"/>
  <c r="BF334" i="9" s="1"/>
  <c r="BF335" i="9" s="1"/>
  <c r="BF336" i="9" s="1"/>
  <c r="BF337" i="9" s="1"/>
  <c r="BF338" i="9" s="1"/>
  <c r="BF339" i="9" s="1"/>
  <c r="BF340" i="9" s="1"/>
  <c r="BF341" i="9" s="1"/>
  <c r="BF342" i="9" s="1"/>
  <c r="BF343" i="9" s="1"/>
  <c r="BF344" i="9" s="1"/>
  <c r="BF345" i="9" s="1"/>
  <c r="BF346" i="9" s="1"/>
  <c r="BF347" i="9" s="1"/>
  <c r="BF348" i="9" s="1"/>
  <c r="BF349" i="9" s="1"/>
  <c r="BF350" i="9" s="1"/>
  <c r="BF351" i="9" s="1"/>
  <c r="BF352" i="9" s="1"/>
  <c r="BF353" i="9" s="1"/>
  <c r="BF354" i="9" s="1"/>
  <c r="BF355" i="9" s="1"/>
  <c r="BF356" i="9" s="1"/>
  <c r="BF357" i="9" s="1"/>
  <c r="BF358" i="9" s="1"/>
  <c r="BF359" i="9" s="1"/>
  <c r="BF360" i="9" s="1"/>
  <c r="BF361" i="9" s="1"/>
  <c r="BF362" i="9" s="1"/>
  <c r="BF363" i="9" s="1"/>
  <c r="BF364" i="9" s="1"/>
  <c r="BF365" i="9" s="1"/>
  <c r="BF366" i="9" s="1"/>
  <c r="BF367" i="9" s="1"/>
  <c r="BF368" i="9" s="1"/>
  <c r="BF369" i="9" s="1"/>
  <c r="BF370" i="9" s="1"/>
  <c r="BF371" i="9" s="1"/>
  <c r="BF372" i="9" s="1"/>
  <c r="BF373" i="9" s="1"/>
  <c r="BF374" i="9" s="1"/>
  <c r="BF375" i="9" s="1"/>
  <c r="BF376" i="9" s="1"/>
  <c r="BF377" i="9" s="1"/>
  <c r="BF378" i="9" s="1"/>
  <c r="BF379" i="9" s="1"/>
  <c r="BF380" i="9" s="1"/>
  <c r="BF381" i="9" s="1"/>
  <c r="BF382" i="9" s="1"/>
  <c r="BF383" i="9" s="1"/>
  <c r="BF384" i="9" s="1"/>
  <c r="BF385" i="9" s="1"/>
  <c r="BF386" i="9" s="1"/>
  <c r="BF387" i="9" s="1"/>
  <c r="BF388" i="9" s="1"/>
  <c r="BF389" i="9" s="1"/>
  <c r="BF390" i="9" s="1"/>
  <c r="BF391" i="9" s="1"/>
  <c r="BF392" i="9" s="1"/>
  <c r="BF393" i="9" s="1"/>
  <c r="BF394" i="9" s="1"/>
  <c r="BF395" i="9" s="1"/>
  <c r="BF396" i="9" s="1"/>
  <c r="BF397" i="9" s="1"/>
  <c r="BF398" i="9" s="1"/>
  <c r="BF399" i="9" s="1"/>
  <c r="BF400" i="9" s="1"/>
  <c r="BF401" i="9" s="1"/>
  <c r="BF402" i="9" s="1"/>
  <c r="BF403" i="9" s="1"/>
  <c r="BA9" i="9"/>
  <c r="BA10" i="9" s="1"/>
  <c r="BA11" i="9" s="1"/>
  <c r="BA12" i="9" s="1"/>
  <c r="BA13" i="9" s="1"/>
  <c r="BA14" i="9" s="1"/>
  <c r="BA15" i="9" s="1"/>
  <c r="BA16" i="9" s="1"/>
  <c r="BA17" i="9" s="1"/>
  <c r="BA18" i="9" s="1"/>
  <c r="BA19" i="9" s="1"/>
  <c r="BA20" i="9" s="1"/>
  <c r="BA21" i="9" s="1"/>
  <c r="BA22" i="9" s="1"/>
  <c r="BA23" i="9" s="1"/>
  <c r="BA24" i="9" s="1"/>
  <c r="BA25" i="9" s="1"/>
  <c r="BA26" i="9" s="1"/>
  <c r="BA27" i="9" s="1"/>
  <c r="BA28" i="9" s="1"/>
  <c r="BA29" i="9" s="1"/>
  <c r="BA30" i="9" s="1"/>
  <c r="BA31" i="9" s="1"/>
  <c r="BA32" i="9" s="1"/>
  <c r="BA33" i="9" s="1"/>
  <c r="BA34" i="9" s="1"/>
  <c r="BA35" i="9" s="1"/>
  <c r="BA36" i="9" s="1"/>
  <c r="BA37" i="9" s="1"/>
  <c r="BA38" i="9" s="1"/>
  <c r="BA39" i="9" s="1"/>
  <c r="BA40" i="9" s="1"/>
  <c r="BA41" i="9" s="1"/>
  <c r="BA42" i="9" s="1"/>
  <c r="BA43" i="9" s="1"/>
  <c r="BA44" i="9" s="1"/>
  <c r="BA45" i="9" s="1"/>
  <c r="BA46" i="9" s="1"/>
  <c r="BA47" i="9" s="1"/>
  <c r="BA48" i="9" s="1"/>
  <c r="BA49" i="9" s="1"/>
  <c r="BA50" i="9" s="1"/>
  <c r="BA51" i="9" s="1"/>
  <c r="BA52" i="9" s="1"/>
  <c r="BA53" i="9" s="1"/>
  <c r="BA54" i="9" s="1"/>
  <c r="BA55" i="9" s="1"/>
  <c r="BA56" i="9" s="1"/>
  <c r="BA57" i="9" s="1"/>
  <c r="BA58" i="9" s="1"/>
  <c r="BA59" i="9" s="1"/>
  <c r="BA60" i="9" s="1"/>
  <c r="BA61" i="9" s="1"/>
  <c r="BA62" i="9" s="1"/>
  <c r="BA63" i="9" s="1"/>
  <c r="BA64" i="9" s="1"/>
  <c r="BA65" i="9" s="1"/>
  <c r="BA66" i="9" s="1"/>
  <c r="BA67" i="9" s="1"/>
  <c r="BA68" i="9" s="1"/>
  <c r="BA69" i="9" s="1"/>
  <c r="BA70" i="9" s="1"/>
  <c r="BA71" i="9" s="1"/>
  <c r="BA72" i="9" s="1"/>
  <c r="BA73" i="9" s="1"/>
  <c r="BA74" i="9" s="1"/>
  <c r="BA75" i="9" s="1"/>
  <c r="BA76" i="9" s="1"/>
  <c r="BA77" i="9" s="1"/>
  <c r="BA78" i="9" s="1"/>
  <c r="BA79" i="9" s="1"/>
  <c r="BA80" i="9" s="1"/>
  <c r="BA81" i="9" s="1"/>
  <c r="BA82" i="9" s="1"/>
  <c r="BA83" i="9" s="1"/>
  <c r="BA84" i="9" s="1"/>
  <c r="BA85" i="9" s="1"/>
  <c r="BA86" i="9" s="1"/>
  <c r="BA87" i="9" s="1"/>
  <c r="BA88" i="9" s="1"/>
  <c r="BA89" i="9" s="1"/>
  <c r="BA90" i="9" s="1"/>
  <c r="BA91" i="9" s="1"/>
  <c r="BA92" i="9" s="1"/>
  <c r="BA93" i="9" s="1"/>
  <c r="BA94" i="9" s="1"/>
  <c r="BA95" i="9" s="1"/>
  <c r="BA96" i="9" s="1"/>
  <c r="BA97" i="9" s="1"/>
  <c r="BA98" i="9" s="1"/>
  <c r="BA99" i="9" s="1"/>
  <c r="BA100" i="9" s="1"/>
  <c r="BA101" i="9" s="1"/>
  <c r="BA102" i="9" s="1"/>
  <c r="BA103" i="9" s="1"/>
  <c r="BA104" i="9" s="1"/>
  <c r="BA105" i="9" s="1"/>
  <c r="BA106" i="9" s="1"/>
  <c r="BA107" i="9" s="1"/>
  <c r="BA108" i="9" s="1"/>
  <c r="BA109" i="9" s="1"/>
  <c r="BA110" i="9" s="1"/>
  <c r="BA111" i="9" s="1"/>
  <c r="BA112" i="9" s="1"/>
  <c r="BA113" i="9" s="1"/>
  <c r="BA114" i="9" s="1"/>
  <c r="BA115" i="9" s="1"/>
  <c r="BA116" i="9" s="1"/>
  <c r="BA117" i="9" s="1"/>
  <c r="BA118" i="9" s="1"/>
  <c r="BA119" i="9" s="1"/>
  <c r="BA120" i="9" s="1"/>
  <c r="BA121" i="9" s="1"/>
  <c r="BA122" i="9" s="1"/>
  <c r="BA123" i="9" s="1"/>
  <c r="BA124" i="9" s="1"/>
  <c r="BA125" i="9" s="1"/>
  <c r="BA126" i="9" s="1"/>
  <c r="BA127" i="9" s="1"/>
  <c r="BA128" i="9" s="1"/>
  <c r="BA129" i="9" s="1"/>
  <c r="BA130" i="9" s="1"/>
  <c r="BA131" i="9" s="1"/>
  <c r="BA132" i="9" s="1"/>
  <c r="BA133" i="9" s="1"/>
  <c r="BA134" i="9" s="1"/>
  <c r="BA135" i="9" s="1"/>
  <c r="BA136" i="9" s="1"/>
  <c r="BA137" i="9" s="1"/>
  <c r="BA138" i="9" s="1"/>
  <c r="BA139" i="9" s="1"/>
  <c r="BA140" i="9" s="1"/>
  <c r="BA141" i="9" s="1"/>
  <c r="BA142" i="9" s="1"/>
  <c r="BA143" i="9" s="1"/>
  <c r="BA144" i="9" s="1"/>
  <c r="BA145" i="9" s="1"/>
  <c r="BA146" i="9" s="1"/>
  <c r="BA147" i="9" s="1"/>
  <c r="BA148" i="9" s="1"/>
  <c r="BA149" i="9" s="1"/>
  <c r="BA150" i="9" s="1"/>
  <c r="BA151" i="9" s="1"/>
  <c r="BA152" i="9" s="1"/>
  <c r="BA153" i="9" s="1"/>
  <c r="BA154" i="9" s="1"/>
  <c r="BA155" i="9" s="1"/>
  <c r="BA156" i="9" s="1"/>
  <c r="BA157" i="9" s="1"/>
  <c r="BA158" i="9" s="1"/>
  <c r="BA159" i="9" s="1"/>
  <c r="BA160" i="9" s="1"/>
  <c r="BA161" i="9" s="1"/>
  <c r="BA162" i="9" s="1"/>
  <c r="BA163" i="9" s="1"/>
  <c r="BA164" i="9" s="1"/>
  <c r="BA165" i="9" s="1"/>
  <c r="BA166" i="9" s="1"/>
  <c r="BA167" i="9" s="1"/>
  <c r="BA168" i="9" s="1"/>
  <c r="BA169" i="9" s="1"/>
  <c r="BA170" i="9" s="1"/>
  <c r="BA171" i="9" s="1"/>
  <c r="BA172" i="9" s="1"/>
  <c r="BA173" i="9" s="1"/>
  <c r="BA174" i="9" s="1"/>
  <c r="BA175" i="9" s="1"/>
  <c r="BA176" i="9" s="1"/>
  <c r="BA177" i="9" s="1"/>
  <c r="BA178" i="9" s="1"/>
  <c r="BA179" i="9" s="1"/>
  <c r="BA180" i="9" s="1"/>
  <c r="BA181" i="9" s="1"/>
  <c r="BA182" i="9" s="1"/>
  <c r="BA183" i="9" s="1"/>
  <c r="BA184" i="9" s="1"/>
  <c r="BA185" i="9" s="1"/>
  <c r="BA186" i="9" s="1"/>
  <c r="BA187" i="9" s="1"/>
  <c r="BA188" i="9" s="1"/>
  <c r="BA189" i="9" s="1"/>
  <c r="BA190" i="9" s="1"/>
  <c r="BA191" i="9" s="1"/>
  <c r="BA192" i="9" s="1"/>
  <c r="BA193" i="9" s="1"/>
  <c r="BA194" i="9" s="1"/>
  <c r="BA195" i="9" s="1"/>
  <c r="BA196" i="9" s="1"/>
  <c r="BA197" i="9" s="1"/>
  <c r="BA198" i="9" s="1"/>
  <c r="BA199" i="9" s="1"/>
  <c r="BA200" i="9" s="1"/>
  <c r="BA201" i="9" s="1"/>
  <c r="BA202" i="9" s="1"/>
  <c r="BA203" i="9" s="1"/>
  <c r="BA204" i="9" s="1"/>
  <c r="BA205" i="9" s="1"/>
  <c r="BA206" i="9" s="1"/>
  <c r="BA207" i="9" s="1"/>
  <c r="BA208" i="9" s="1"/>
  <c r="BA209" i="9" s="1"/>
  <c r="BA210" i="9" s="1"/>
  <c r="BA211" i="9" s="1"/>
  <c r="BA212" i="9" s="1"/>
  <c r="BA213" i="9" s="1"/>
  <c r="BA214" i="9" s="1"/>
  <c r="BA215" i="9" s="1"/>
  <c r="BA216" i="9" s="1"/>
  <c r="BA217" i="9" s="1"/>
  <c r="BA218" i="9" s="1"/>
  <c r="BA219" i="9" s="1"/>
  <c r="BA220" i="9" s="1"/>
  <c r="BA221" i="9" s="1"/>
  <c r="BA222" i="9" s="1"/>
  <c r="BA223" i="9" s="1"/>
  <c r="BA224" i="9" s="1"/>
  <c r="BA225" i="9" s="1"/>
  <c r="BA226" i="9" s="1"/>
  <c r="BA227" i="9" s="1"/>
  <c r="BA228" i="9" s="1"/>
  <c r="BA229" i="9" s="1"/>
  <c r="BA230" i="9" s="1"/>
  <c r="BA231" i="9" s="1"/>
  <c r="BA232" i="9" s="1"/>
  <c r="BA233" i="9" s="1"/>
  <c r="BA234" i="9" s="1"/>
  <c r="BA235" i="9" s="1"/>
  <c r="BA236" i="9" s="1"/>
  <c r="BA237" i="9" s="1"/>
  <c r="BA238" i="9" s="1"/>
  <c r="BA239" i="9" s="1"/>
  <c r="BA240" i="9" s="1"/>
  <c r="BA241" i="9" s="1"/>
  <c r="BA242" i="9" s="1"/>
  <c r="BA243" i="9" s="1"/>
  <c r="BA244" i="9" s="1"/>
  <c r="BA245" i="9" s="1"/>
  <c r="BA246" i="9" s="1"/>
  <c r="BA247" i="9" s="1"/>
  <c r="BA248" i="9" s="1"/>
  <c r="BA249" i="9" s="1"/>
  <c r="BA250" i="9" s="1"/>
  <c r="BA251" i="9" s="1"/>
  <c r="BA252" i="9" s="1"/>
  <c r="BA253" i="9" s="1"/>
  <c r="BA254" i="9" s="1"/>
  <c r="BA255" i="9" s="1"/>
  <c r="BA256" i="9" s="1"/>
  <c r="BA257" i="9" s="1"/>
  <c r="BA258" i="9" s="1"/>
  <c r="BA259" i="9" s="1"/>
  <c r="BA260" i="9" s="1"/>
  <c r="BA261" i="9" s="1"/>
  <c r="BA262" i="9" s="1"/>
  <c r="BA263" i="9" s="1"/>
  <c r="BA264" i="9" s="1"/>
  <c r="BA265" i="9" s="1"/>
  <c r="BA266" i="9" s="1"/>
  <c r="BA267" i="9" s="1"/>
  <c r="BA268" i="9" s="1"/>
  <c r="BA269" i="9" s="1"/>
  <c r="BA270" i="9" s="1"/>
  <c r="BA271" i="9" s="1"/>
  <c r="BA272" i="9" s="1"/>
  <c r="BA273" i="9" s="1"/>
  <c r="BA274" i="9" s="1"/>
  <c r="BA275" i="9" s="1"/>
  <c r="BA276" i="9" s="1"/>
  <c r="BA277" i="9" s="1"/>
  <c r="BA278" i="9" s="1"/>
  <c r="BA279" i="9" s="1"/>
  <c r="BA280" i="9" s="1"/>
  <c r="BA281" i="9" s="1"/>
  <c r="BA282" i="9" s="1"/>
  <c r="BA283" i="9" s="1"/>
  <c r="BA284" i="9" s="1"/>
  <c r="BA285" i="9" s="1"/>
  <c r="BA286" i="9" s="1"/>
  <c r="BA287" i="9" s="1"/>
  <c r="BA288" i="9" s="1"/>
  <c r="BA289" i="9" s="1"/>
  <c r="BA290" i="9" s="1"/>
  <c r="BA291" i="9" s="1"/>
  <c r="BA292" i="9" s="1"/>
  <c r="BA293" i="9" s="1"/>
  <c r="BA294" i="9" s="1"/>
  <c r="BA295" i="9" s="1"/>
  <c r="BA296" i="9" s="1"/>
  <c r="BA297" i="9" s="1"/>
  <c r="BA298" i="9" s="1"/>
  <c r="BA299" i="9" s="1"/>
  <c r="BA300" i="9" s="1"/>
  <c r="BA301" i="9" s="1"/>
  <c r="BA302" i="9" s="1"/>
  <c r="BA303" i="9" s="1"/>
  <c r="BA304" i="9" s="1"/>
  <c r="BA305" i="9" s="1"/>
  <c r="BA306" i="9" s="1"/>
  <c r="BA307" i="9" s="1"/>
  <c r="BA308" i="9" s="1"/>
  <c r="BA309" i="9" s="1"/>
  <c r="BA310" i="9" s="1"/>
  <c r="BA311" i="9" s="1"/>
  <c r="BA312" i="9" s="1"/>
  <c r="BA313" i="9" s="1"/>
  <c r="BA314" i="9" s="1"/>
  <c r="BA315" i="9" s="1"/>
  <c r="BA316" i="9" s="1"/>
  <c r="BA317" i="9" s="1"/>
  <c r="BA318" i="9" s="1"/>
  <c r="BA319" i="9" s="1"/>
  <c r="BA320" i="9" s="1"/>
  <c r="BA321" i="9" s="1"/>
  <c r="BA322" i="9" s="1"/>
  <c r="BA323" i="9" s="1"/>
  <c r="BA324" i="9" s="1"/>
  <c r="BA325" i="9" s="1"/>
  <c r="BA326" i="9" s="1"/>
  <c r="BA327" i="9" s="1"/>
  <c r="BA328" i="9" s="1"/>
  <c r="BA329" i="9" s="1"/>
  <c r="BA330" i="9" s="1"/>
  <c r="BA331" i="9" s="1"/>
  <c r="BA332" i="9" s="1"/>
  <c r="BA333" i="9" s="1"/>
  <c r="BA334" i="9" s="1"/>
  <c r="BA335" i="9" s="1"/>
  <c r="BA336" i="9" s="1"/>
  <c r="BA337" i="9" s="1"/>
  <c r="BA338" i="9" s="1"/>
  <c r="BA339" i="9" s="1"/>
  <c r="BA340" i="9" s="1"/>
  <c r="BA341" i="9" s="1"/>
  <c r="BA342" i="9" s="1"/>
  <c r="BA343" i="9" s="1"/>
  <c r="BA344" i="9" s="1"/>
  <c r="BA345" i="9" s="1"/>
  <c r="BA346" i="9" s="1"/>
  <c r="BA347" i="9" s="1"/>
  <c r="BA348" i="9" s="1"/>
  <c r="BA349" i="9" s="1"/>
  <c r="BA350" i="9" s="1"/>
  <c r="BA351" i="9" s="1"/>
  <c r="BA352" i="9" s="1"/>
  <c r="BA353" i="9" s="1"/>
  <c r="BA354" i="9" s="1"/>
  <c r="BA355" i="9" s="1"/>
  <c r="BA356" i="9" s="1"/>
  <c r="BA357" i="9" s="1"/>
  <c r="BA358" i="9" s="1"/>
  <c r="BA359" i="9" s="1"/>
  <c r="BA360" i="9" s="1"/>
  <c r="BA361" i="9" s="1"/>
  <c r="BA362" i="9" s="1"/>
  <c r="BA363" i="9" s="1"/>
  <c r="BA364" i="9" s="1"/>
  <c r="BA365" i="9" s="1"/>
  <c r="BA366" i="9" s="1"/>
  <c r="AG35" i="9"/>
  <c r="AG36" i="9" s="1"/>
  <c r="AG37" i="9" s="1"/>
  <c r="AG38" i="9" s="1"/>
  <c r="AG39" i="9" s="1"/>
  <c r="AG40" i="9" s="1"/>
  <c r="AG41" i="9" s="1"/>
  <c r="AG42" i="9" s="1"/>
  <c r="AG43" i="9" s="1"/>
  <c r="AG44" i="9" s="1"/>
  <c r="AG45" i="9" s="1"/>
  <c r="AG46" i="9" s="1"/>
  <c r="AG47" i="9" s="1"/>
  <c r="AG48" i="9" s="1"/>
  <c r="AG49" i="9" s="1"/>
  <c r="AG50" i="9" s="1"/>
  <c r="AG51" i="9" s="1"/>
  <c r="AG52" i="9" s="1"/>
  <c r="AG53" i="9" s="1"/>
  <c r="AG54" i="9" s="1"/>
  <c r="AG55" i="9" s="1"/>
  <c r="AG56" i="9" s="1"/>
  <c r="AG57" i="9" s="1"/>
  <c r="AG58" i="9" s="1"/>
  <c r="AG59" i="9" s="1"/>
  <c r="AG60" i="9" s="1"/>
  <c r="AG61" i="9" s="1"/>
  <c r="AG62" i="9" s="1"/>
  <c r="AG63" i="9" s="1"/>
  <c r="AG64" i="9" s="1"/>
  <c r="AG65" i="9" s="1"/>
  <c r="AG66" i="9" s="1"/>
  <c r="AG67" i="9" s="1"/>
  <c r="AG68" i="9" s="1"/>
  <c r="AG69" i="9" s="1"/>
  <c r="AG70" i="9" s="1"/>
  <c r="AG71" i="9" s="1"/>
  <c r="AG72" i="9" s="1"/>
  <c r="AG73" i="9" s="1"/>
  <c r="AG74" i="9" s="1"/>
  <c r="AG75" i="9" s="1"/>
  <c r="AG76" i="9" s="1"/>
  <c r="AG77" i="9" s="1"/>
  <c r="AG78" i="9" s="1"/>
  <c r="AG79" i="9" s="1"/>
  <c r="AG80" i="9" s="1"/>
  <c r="AG81" i="9" s="1"/>
  <c r="AG82" i="9" s="1"/>
  <c r="AG83" i="9" s="1"/>
  <c r="AG84" i="9" s="1"/>
  <c r="AG85" i="9" s="1"/>
  <c r="AG86" i="9" s="1"/>
  <c r="AG87" i="9" s="1"/>
  <c r="AG88" i="9" s="1"/>
  <c r="AG89" i="9" s="1"/>
  <c r="AG90" i="9" s="1"/>
  <c r="AG91" i="9" s="1"/>
  <c r="AG92" i="9" s="1"/>
  <c r="AG93" i="9" s="1"/>
  <c r="AG94" i="9" s="1"/>
  <c r="AG95" i="9" s="1"/>
  <c r="AG96" i="9" s="1"/>
  <c r="AG97" i="9" s="1"/>
  <c r="AG98" i="9" s="1"/>
  <c r="AG99" i="9" s="1"/>
  <c r="AG100" i="9" s="1"/>
  <c r="AG101" i="9" s="1"/>
  <c r="AG102" i="9" s="1"/>
  <c r="AG103" i="9" s="1"/>
  <c r="AG104" i="9" s="1"/>
  <c r="AG105" i="9" s="1"/>
  <c r="AG106" i="9" s="1"/>
  <c r="AG107" i="9" s="1"/>
  <c r="AG108" i="9" s="1"/>
  <c r="AG109" i="9" s="1"/>
  <c r="AG110" i="9" s="1"/>
  <c r="AG111" i="9" s="1"/>
  <c r="AG112" i="9" s="1"/>
  <c r="AG113" i="9" s="1"/>
  <c r="AG114" i="9" s="1"/>
  <c r="AG115" i="9" s="1"/>
  <c r="AG116" i="9" s="1"/>
  <c r="AG117" i="9" s="1"/>
  <c r="AG118" i="9" s="1"/>
  <c r="AG119" i="9" s="1"/>
  <c r="AG120" i="9" s="1"/>
  <c r="AG121" i="9" s="1"/>
  <c r="AG122" i="9" s="1"/>
  <c r="AG123" i="9" s="1"/>
  <c r="AG124" i="9" s="1"/>
  <c r="AG125" i="9" s="1"/>
  <c r="AG126" i="9" s="1"/>
  <c r="AG127" i="9" s="1"/>
  <c r="AG128" i="9" s="1"/>
  <c r="AG129" i="9" s="1"/>
  <c r="AG130" i="9" s="1"/>
  <c r="AG131" i="9" s="1"/>
  <c r="AG132" i="9" s="1"/>
  <c r="AG133" i="9" s="1"/>
  <c r="AG134" i="9" s="1"/>
  <c r="AG135" i="9" s="1"/>
  <c r="AG136" i="9" s="1"/>
  <c r="AG137" i="9" s="1"/>
  <c r="AG138" i="9" s="1"/>
  <c r="AG139" i="9" s="1"/>
  <c r="AG140" i="9" s="1"/>
  <c r="AG141" i="9" s="1"/>
  <c r="AG142" i="9" s="1"/>
  <c r="AG143" i="9" s="1"/>
  <c r="AG144" i="9" s="1"/>
  <c r="AG145" i="9" s="1"/>
  <c r="AG146" i="9" s="1"/>
  <c r="AG147" i="9" s="1"/>
  <c r="AG148" i="9" s="1"/>
  <c r="AG149" i="9" s="1"/>
  <c r="AG150" i="9" s="1"/>
  <c r="AG151" i="9" s="1"/>
  <c r="AG152" i="9" s="1"/>
  <c r="AG153" i="9" s="1"/>
  <c r="AG154" i="9" s="1"/>
  <c r="AG155" i="9" s="1"/>
  <c r="AG156" i="9" s="1"/>
  <c r="AG157" i="9" s="1"/>
  <c r="AG158" i="9" s="1"/>
  <c r="AG159" i="9" s="1"/>
  <c r="AG160" i="9" s="1"/>
  <c r="AG161" i="9" s="1"/>
  <c r="AG162" i="9" s="1"/>
  <c r="AG163" i="9" s="1"/>
  <c r="AG164" i="9" s="1"/>
  <c r="AG165" i="9" s="1"/>
  <c r="AG166" i="9" s="1"/>
  <c r="AG167" i="9" s="1"/>
  <c r="AG168" i="9" s="1"/>
  <c r="AG169" i="9" s="1"/>
  <c r="AG170" i="9" s="1"/>
  <c r="AG171" i="9" s="1"/>
  <c r="AG172" i="9" s="1"/>
  <c r="AG173" i="9" s="1"/>
  <c r="AG174" i="9" s="1"/>
  <c r="AG175" i="9" s="1"/>
  <c r="AG176" i="9" s="1"/>
  <c r="AG177" i="9" s="1"/>
  <c r="AG178" i="9" s="1"/>
  <c r="AG179" i="9" s="1"/>
  <c r="AG180" i="9" s="1"/>
  <c r="AG181" i="9" s="1"/>
  <c r="AG182" i="9" s="1"/>
  <c r="AG183" i="9" s="1"/>
  <c r="AG184" i="9" s="1"/>
  <c r="AG185" i="9" s="1"/>
  <c r="AG186" i="9" s="1"/>
  <c r="AG187" i="9" s="1"/>
  <c r="AG188" i="9" s="1"/>
  <c r="AG189" i="9" s="1"/>
  <c r="AG190" i="9" s="1"/>
  <c r="AG191" i="9" s="1"/>
  <c r="AG192" i="9" s="1"/>
  <c r="AG193" i="9" s="1"/>
  <c r="AG194" i="9" s="1"/>
  <c r="AG195" i="9" s="1"/>
  <c r="AG196" i="9" s="1"/>
  <c r="AG197" i="9" s="1"/>
  <c r="AG198" i="9" s="1"/>
  <c r="AG199" i="9" s="1"/>
  <c r="AG200" i="9" s="1"/>
  <c r="AG201" i="9" s="1"/>
  <c r="AG202" i="9" s="1"/>
  <c r="AG203" i="9" s="1"/>
  <c r="AG204" i="9" s="1"/>
  <c r="AG205" i="9" s="1"/>
  <c r="AG206" i="9" s="1"/>
  <c r="AG207" i="9" s="1"/>
  <c r="AG208" i="9" s="1"/>
  <c r="AG209" i="9" s="1"/>
  <c r="AG210" i="9" s="1"/>
  <c r="AG211" i="9" s="1"/>
  <c r="AG212" i="9" s="1"/>
  <c r="AG213" i="9" s="1"/>
  <c r="AG214" i="9" s="1"/>
  <c r="AG215" i="9" s="1"/>
  <c r="AG216" i="9" s="1"/>
  <c r="AG217" i="9" s="1"/>
  <c r="AG218" i="9" s="1"/>
  <c r="AG219" i="9" s="1"/>
  <c r="AG220" i="9" s="1"/>
  <c r="AG221" i="9" s="1"/>
  <c r="AG222" i="9" s="1"/>
  <c r="AG223" i="9" s="1"/>
  <c r="AG224" i="9" s="1"/>
  <c r="AG225" i="9" s="1"/>
  <c r="AG226" i="9" s="1"/>
  <c r="AG227" i="9" s="1"/>
  <c r="AG228" i="9" s="1"/>
  <c r="AG229" i="9" s="1"/>
  <c r="AG230" i="9" s="1"/>
  <c r="AG231" i="9" s="1"/>
  <c r="AG232" i="9" s="1"/>
  <c r="AG233" i="9" s="1"/>
  <c r="AG234" i="9" s="1"/>
  <c r="AG235" i="9" s="1"/>
  <c r="AG236" i="9" s="1"/>
  <c r="AG237" i="9" s="1"/>
  <c r="AG238" i="9" s="1"/>
  <c r="AG239" i="9" s="1"/>
  <c r="AG240" i="9" s="1"/>
  <c r="AG241" i="9" s="1"/>
  <c r="AG242" i="9" s="1"/>
  <c r="AG243" i="9" s="1"/>
  <c r="AG244" i="9" s="1"/>
  <c r="AG245" i="9" s="1"/>
  <c r="AG246" i="9" s="1"/>
  <c r="AG247" i="9" s="1"/>
  <c r="AG248" i="9" s="1"/>
  <c r="AG249" i="9" s="1"/>
  <c r="AG250" i="9" s="1"/>
  <c r="AG251" i="9" s="1"/>
  <c r="AG252" i="9" s="1"/>
  <c r="AG253" i="9" s="1"/>
  <c r="AG254" i="9" s="1"/>
  <c r="AG255" i="9" s="1"/>
  <c r="AG256" i="9" s="1"/>
  <c r="AG257" i="9" s="1"/>
  <c r="AG258" i="9" s="1"/>
  <c r="AG259" i="9" s="1"/>
  <c r="AG260" i="9" s="1"/>
  <c r="AG261" i="9" s="1"/>
  <c r="AG262" i="9" s="1"/>
  <c r="AG263" i="9" s="1"/>
  <c r="AG264" i="9" s="1"/>
  <c r="AG265" i="9" s="1"/>
  <c r="AG266" i="9" s="1"/>
  <c r="AG267" i="9" s="1"/>
  <c r="AG268" i="9" s="1"/>
  <c r="AG269" i="9" s="1"/>
  <c r="AG270" i="9" s="1"/>
  <c r="AG271" i="9" s="1"/>
  <c r="AG272" i="9" s="1"/>
  <c r="AG273" i="9" s="1"/>
  <c r="AG274" i="9" s="1"/>
  <c r="AG275" i="9" s="1"/>
  <c r="AG276" i="9" s="1"/>
  <c r="AG277" i="9" s="1"/>
  <c r="AG278" i="9" s="1"/>
  <c r="AG279" i="9" s="1"/>
  <c r="AG280" i="9" s="1"/>
  <c r="AG281" i="9" s="1"/>
  <c r="AG282" i="9" s="1"/>
  <c r="AG283" i="9" s="1"/>
  <c r="AG284" i="9" s="1"/>
  <c r="AG285" i="9" s="1"/>
  <c r="AG286" i="9" s="1"/>
  <c r="AG287" i="9" s="1"/>
  <c r="AG288" i="9" s="1"/>
  <c r="AG289" i="9" s="1"/>
  <c r="AG290" i="9" s="1"/>
  <c r="AG291" i="9" s="1"/>
  <c r="AG292" i="9" s="1"/>
  <c r="AG293" i="9" s="1"/>
  <c r="AG294" i="9" s="1"/>
  <c r="AG295" i="9" s="1"/>
  <c r="AG296" i="9" s="1"/>
  <c r="AG297" i="9" s="1"/>
  <c r="AG298" i="9" s="1"/>
  <c r="AG299" i="9" s="1"/>
  <c r="AG300" i="9" s="1"/>
  <c r="AG301" i="9" s="1"/>
  <c r="AG302" i="9" s="1"/>
  <c r="AG303" i="9" s="1"/>
  <c r="AG304" i="9" s="1"/>
  <c r="AG305" i="9" s="1"/>
  <c r="AG306" i="9" s="1"/>
  <c r="AG307" i="9" s="1"/>
  <c r="AG308" i="9" s="1"/>
  <c r="AG309" i="9" s="1"/>
  <c r="AG310" i="9" s="1"/>
  <c r="AG311" i="9" s="1"/>
  <c r="AG312" i="9" s="1"/>
  <c r="AG313" i="9" s="1"/>
  <c r="AG314" i="9" s="1"/>
  <c r="AG315" i="9" s="1"/>
  <c r="AG316" i="9" s="1"/>
  <c r="AG317" i="9" s="1"/>
  <c r="AG318" i="9" s="1"/>
  <c r="AG319" i="9" s="1"/>
  <c r="AG320" i="9" s="1"/>
  <c r="AG321" i="9" s="1"/>
  <c r="AG322" i="9" s="1"/>
  <c r="AG323" i="9" s="1"/>
  <c r="AG324" i="9" s="1"/>
  <c r="AG325" i="9" s="1"/>
  <c r="AG326" i="9" s="1"/>
  <c r="AG327" i="9" s="1"/>
  <c r="AG328" i="9" s="1"/>
  <c r="AG329" i="9" s="1"/>
  <c r="AG330" i="9" s="1"/>
  <c r="AG331" i="9" s="1"/>
  <c r="AG332" i="9" s="1"/>
  <c r="AG333" i="9" s="1"/>
  <c r="AG334" i="9" s="1"/>
  <c r="AO10" i="9"/>
  <c r="AO11" i="9" s="1"/>
  <c r="AO12" i="9" s="1"/>
  <c r="AO13" i="9" s="1"/>
  <c r="AO14" i="9" s="1"/>
  <c r="AO15" i="9" s="1"/>
  <c r="AO16" i="9" s="1"/>
  <c r="AO17" i="9" s="1"/>
  <c r="AO18" i="9" s="1"/>
  <c r="AO19" i="9" s="1"/>
  <c r="AO20" i="9" s="1"/>
  <c r="AO21" i="9" s="1"/>
  <c r="AO22" i="9" s="1"/>
  <c r="AO23" i="9" s="1"/>
  <c r="AO24" i="9" s="1"/>
  <c r="AO25" i="9" s="1"/>
  <c r="AO26" i="9" s="1"/>
  <c r="AO27" i="9" s="1"/>
  <c r="AO28" i="9" s="1"/>
  <c r="AO29" i="9" s="1"/>
  <c r="AO30" i="9" s="1"/>
  <c r="AO31" i="9" s="1"/>
  <c r="AO32" i="9" s="1"/>
  <c r="AO33" i="9" s="1"/>
  <c r="AO34" i="9" s="1"/>
  <c r="AO35" i="9" s="1"/>
  <c r="AO36" i="9" s="1"/>
  <c r="AO37" i="9" s="1"/>
  <c r="AO38" i="9" s="1"/>
  <c r="AO39" i="9" s="1"/>
  <c r="AO40" i="9" s="1"/>
  <c r="AO41" i="9" s="1"/>
  <c r="AO42" i="9" s="1"/>
  <c r="AO43" i="9" s="1"/>
  <c r="AO44" i="9" s="1"/>
  <c r="AO45" i="9" s="1"/>
  <c r="AO46" i="9" s="1"/>
  <c r="AO47" i="9" s="1"/>
  <c r="AO48" i="9" s="1"/>
  <c r="AO49" i="9" s="1"/>
  <c r="AO50" i="9" s="1"/>
  <c r="AO51" i="9" s="1"/>
  <c r="AO52" i="9" s="1"/>
  <c r="AO53" i="9" s="1"/>
  <c r="AO54" i="9" s="1"/>
  <c r="AO55" i="9" s="1"/>
  <c r="AO56" i="9" s="1"/>
  <c r="AO57" i="9" s="1"/>
  <c r="AO58" i="9" s="1"/>
  <c r="AO59" i="9" s="1"/>
  <c r="AO60" i="9" s="1"/>
  <c r="AO61" i="9" s="1"/>
  <c r="AO62" i="9" s="1"/>
  <c r="AO63" i="9" s="1"/>
  <c r="AO64" i="9" s="1"/>
  <c r="AO65" i="9" s="1"/>
  <c r="AO66" i="9" s="1"/>
  <c r="AO67" i="9" s="1"/>
  <c r="AO68" i="9" s="1"/>
  <c r="AO69" i="9" s="1"/>
  <c r="AO70" i="9" s="1"/>
  <c r="AO71" i="9" s="1"/>
  <c r="AO72" i="9" s="1"/>
  <c r="AO73" i="9" s="1"/>
  <c r="AO74" i="9" s="1"/>
  <c r="AO75" i="9" s="1"/>
  <c r="AO76" i="9" s="1"/>
  <c r="AO77" i="9" s="1"/>
  <c r="AO78" i="9" s="1"/>
  <c r="AO79" i="9" s="1"/>
  <c r="AO80" i="9" s="1"/>
  <c r="AO81" i="9" s="1"/>
  <c r="AO82" i="9" s="1"/>
  <c r="AO83" i="9" s="1"/>
  <c r="AO84" i="9" s="1"/>
  <c r="AO85" i="9" s="1"/>
  <c r="AO86" i="9" s="1"/>
  <c r="AO87" i="9" s="1"/>
  <c r="AO88" i="9" s="1"/>
  <c r="AO89" i="9" s="1"/>
  <c r="AO90" i="9" s="1"/>
  <c r="AO91" i="9" s="1"/>
  <c r="AO92" i="9" s="1"/>
  <c r="AO93" i="9" s="1"/>
  <c r="AO94" i="9" s="1"/>
  <c r="AO95" i="9" s="1"/>
  <c r="AO96" i="9" s="1"/>
  <c r="AO97" i="9" s="1"/>
  <c r="AO98" i="9" s="1"/>
  <c r="AO99" i="9" s="1"/>
  <c r="AO100" i="9" s="1"/>
  <c r="AO101" i="9" s="1"/>
  <c r="AO102" i="9" s="1"/>
  <c r="AO103" i="9" s="1"/>
  <c r="AO104" i="9" s="1"/>
  <c r="AO105" i="9" s="1"/>
  <c r="AO106" i="9" s="1"/>
  <c r="AO107" i="9" s="1"/>
  <c r="AO108" i="9" s="1"/>
  <c r="AO109" i="9" s="1"/>
  <c r="AO110" i="9" s="1"/>
  <c r="AO111" i="9" s="1"/>
  <c r="AO112" i="9" s="1"/>
  <c r="AO113" i="9" s="1"/>
  <c r="AO114" i="9" s="1"/>
  <c r="AO115" i="9" s="1"/>
  <c r="AO116" i="9" s="1"/>
  <c r="AO117" i="9" s="1"/>
  <c r="AO118" i="9" s="1"/>
  <c r="AO119" i="9" s="1"/>
  <c r="AO120" i="9" s="1"/>
  <c r="AO121" i="9" s="1"/>
  <c r="AO122" i="9" s="1"/>
  <c r="AO123" i="9" s="1"/>
  <c r="AO124" i="9" s="1"/>
  <c r="AO125" i="9" s="1"/>
  <c r="AO126" i="9" s="1"/>
  <c r="AO127" i="9" s="1"/>
  <c r="AO128" i="9" s="1"/>
  <c r="AO129" i="9" s="1"/>
  <c r="AO130" i="9" s="1"/>
  <c r="AO131" i="9" s="1"/>
  <c r="AO132" i="9" s="1"/>
  <c r="AO133" i="9" s="1"/>
  <c r="AO134" i="9" s="1"/>
  <c r="AO135" i="9" s="1"/>
  <c r="AO136" i="9" s="1"/>
  <c r="AO137" i="9" s="1"/>
  <c r="AO138" i="9" s="1"/>
  <c r="AO139" i="9" s="1"/>
  <c r="AO140" i="9" s="1"/>
  <c r="AO141" i="9" s="1"/>
  <c r="AO142" i="9" s="1"/>
  <c r="AO143" i="9" s="1"/>
  <c r="AO144" i="9" s="1"/>
  <c r="AO145" i="9" s="1"/>
  <c r="AO146" i="9" s="1"/>
  <c r="AO147" i="9" s="1"/>
  <c r="AO148" i="9" s="1"/>
  <c r="AO149" i="9" s="1"/>
  <c r="AO150" i="9" s="1"/>
  <c r="AO151" i="9" s="1"/>
  <c r="AO152" i="9" s="1"/>
  <c r="AO153" i="9" s="1"/>
  <c r="AO154" i="9" s="1"/>
  <c r="AO155" i="9" s="1"/>
  <c r="AO156" i="9" s="1"/>
  <c r="AO157" i="9" s="1"/>
  <c r="AO158" i="9" s="1"/>
  <c r="AO159" i="9" s="1"/>
  <c r="AO160" i="9" s="1"/>
  <c r="AO161" i="9" s="1"/>
  <c r="AO162" i="9" s="1"/>
  <c r="AO163" i="9" s="1"/>
  <c r="AO164" i="9" s="1"/>
  <c r="AO165" i="9" s="1"/>
  <c r="AO166" i="9" s="1"/>
  <c r="AO167" i="9" s="1"/>
  <c r="AO168" i="9" s="1"/>
  <c r="AO169" i="9" s="1"/>
  <c r="AO170" i="9" s="1"/>
  <c r="AO171" i="9" s="1"/>
  <c r="AO172" i="9" s="1"/>
  <c r="AO173" i="9" s="1"/>
  <c r="AO174" i="9" s="1"/>
  <c r="AO175" i="9" s="1"/>
  <c r="AO176" i="9" s="1"/>
  <c r="AO177" i="9" s="1"/>
  <c r="AO178" i="9" s="1"/>
  <c r="AO179" i="9" s="1"/>
  <c r="AO180" i="9" s="1"/>
  <c r="AO181" i="9" s="1"/>
  <c r="AO182" i="9" s="1"/>
  <c r="AO183" i="9" s="1"/>
  <c r="AO184" i="9" s="1"/>
  <c r="AO185" i="9" s="1"/>
  <c r="AO186" i="9" s="1"/>
  <c r="AO187" i="9" s="1"/>
  <c r="AO188" i="9" s="1"/>
  <c r="AO189" i="9" s="1"/>
  <c r="AO190" i="9" s="1"/>
  <c r="AO191" i="9" s="1"/>
  <c r="AO192" i="9" s="1"/>
  <c r="AO193" i="9" s="1"/>
  <c r="AO194" i="9" s="1"/>
  <c r="AO195" i="9" s="1"/>
  <c r="AO196" i="9" s="1"/>
  <c r="AO197" i="9" s="1"/>
  <c r="AO198" i="9" s="1"/>
  <c r="AO199" i="9" s="1"/>
  <c r="AO200" i="9" s="1"/>
  <c r="AO201" i="9" s="1"/>
  <c r="AO202" i="9" s="1"/>
  <c r="AO203" i="9" s="1"/>
  <c r="AO204" i="9" s="1"/>
  <c r="AO205" i="9" s="1"/>
  <c r="AO206" i="9" s="1"/>
  <c r="AO207" i="9" s="1"/>
  <c r="AO208" i="9" s="1"/>
  <c r="AO209" i="9" s="1"/>
  <c r="AO210" i="9" s="1"/>
  <c r="AO211" i="9" s="1"/>
  <c r="AO212" i="9" s="1"/>
  <c r="AO213" i="9" s="1"/>
  <c r="AO214" i="9" s="1"/>
  <c r="AO215" i="9" s="1"/>
  <c r="AO216" i="9" s="1"/>
  <c r="AO217" i="9" s="1"/>
  <c r="AO218" i="9" s="1"/>
  <c r="AO219" i="9" s="1"/>
  <c r="AO220" i="9" s="1"/>
  <c r="AO221" i="9" s="1"/>
  <c r="AO222" i="9" s="1"/>
  <c r="AO223" i="9" s="1"/>
  <c r="AO224" i="9" s="1"/>
  <c r="AO225" i="9" s="1"/>
  <c r="AO226" i="9" s="1"/>
  <c r="AO227" i="9" s="1"/>
  <c r="AO228" i="9" s="1"/>
  <c r="AO229" i="9" s="1"/>
  <c r="AO230" i="9" s="1"/>
  <c r="AO231" i="9" s="1"/>
  <c r="AO232" i="9" s="1"/>
  <c r="AO233" i="9" s="1"/>
  <c r="AO234" i="9" s="1"/>
  <c r="AO235" i="9" s="1"/>
  <c r="AO236" i="9" s="1"/>
  <c r="AO237" i="9" s="1"/>
  <c r="AO238" i="9" s="1"/>
  <c r="AO239" i="9" s="1"/>
  <c r="AO240" i="9" s="1"/>
  <c r="AO241" i="9" s="1"/>
  <c r="AO242" i="9" s="1"/>
  <c r="AO243" i="9" s="1"/>
  <c r="AO244" i="9" s="1"/>
  <c r="AO245" i="9" s="1"/>
  <c r="AO246" i="9" s="1"/>
  <c r="AO247" i="9" s="1"/>
  <c r="AO248" i="9" s="1"/>
  <c r="AO249" i="9" s="1"/>
  <c r="AO250" i="9" s="1"/>
  <c r="AO251" i="9" s="1"/>
  <c r="AO252" i="9" s="1"/>
  <c r="AO253" i="9" s="1"/>
  <c r="AO254" i="9" s="1"/>
  <c r="AO255" i="9" s="1"/>
  <c r="AO256" i="9" s="1"/>
  <c r="AO257" i="9" s="1"/>
  <c r="AO258" i="9" s="1"/>
  <c r="AO259" i="9" s="1"/>
  <c r="AO260" i="9" s="1"/>
  <c r="AO261" i="9" s="1"/>
  <c r="AO262" i="9" s="1"/>
  <c r="AO263" i="9" s="1"/>
  <c r="AO264" i="9" s="1"/>
  <c r="AO265" i="9" s="1"/>
  <c r="AO266" i="9" s="1"/>
  <c r="AO267" i="9" s="1"/>
  <c r="AO268" i="9" s="1"/>
  <c r="AO269" i="9" s="1"/>
  <c r="AO270" i="9" s="1"/>
  <c r="AO271" i="9" s="1"/>
  <c r="AO272" i="9" s="1"/>
  <c r="AO273" i="9" s="1"/>
  <c r="AO274" i="9" s="1"/>
  <c r="AO275" i="9" s="1"/>
  <c r="AO276" i="9" s="1"/>
  <c r="AO277" i="9" s="1"/>
  <c r="AO278" i="9" s="1"/>
  <c r="AO279" i="9" s="1"/>
  <c r="AO280" i="9" s="1"/>
  <c r="AO281" i="9" s="1"/>
  <c r="AO282" i="9" s="1"/>
  <c r="AO283" i="9" s="1"/>
  <c r="AO284" i="9" s="1"/>
  <c r="AO285" i="9" s="1"/>
  <c r="AO286" i="9" s="1"/>
  <c r="AO287" i="9" s="1"/>
  <c r="AO288" i="9" s="1"/>
  <c r="AO289" i="9" s="1"/>
  <c r="AO290" i="9" s="1"/>
  <c r="AO291" i="9" s="1"/>
  <c r="AO292" i="9" s="1"/>
  <c r="AO293" i="9" s="1"/>
  <c r="AO294" i="9" s="1"/>
  <c r="AO295" i="9" s="1"/>
  <c r="AO296" i="9" s="1"/>
  <c r="AO297" i="9" s="1"/>
  <c r="AO298" i="9" s="1"/>
  <c r="AO299" i="9" s="1"/>
  <c r="AO300" i="9" s="1"/>
  <c r="AO301" i="9" s="1"/>
  <c r="AO302" i="9" s="1"/>
  <c r="AO303" i="9" s="1"/>
  <c r="AO304" i="9" s="1"/>
  <c r="AO305" i="9" s="1"/>
  <c r="AO306" i="9" s="1"/>
  <c r="AO307" i="9" s="1"/>
  <c r="AO308" i="9" s="1"/>
  <c r="AO309" i="9" s="1"/>
  <c r="AO310" i="9" s="1"/>
  <c r="AO311" i="9" s="1"/>
  <c r="AO312" i="9" s="1"/>
  <c r="AO313" i="9" s="1"/>
  <c r="AO314" i="9" s="1"/>
  <c r="AO315" i="9" s="1"/>
  <c r="AO316" i="9" s="1"/>
  <c r="AO317" i="9" s="1"/>
  <c r="AO318" i="9" s="1"/>
  <c r="AO319" i="9" s="1"/>
  <c r="AO320" i="9" s="1"/>
  <c r="AO321" i="9" s="1"/>
  <c r="AO322" i="9" s="1"/>
  <c r="AO323" i="9" s="1"/>
  <c r="AO324" i="9" s="1"/>
  <c r="AO325" i="9" s="1"/>
  <c r="AO326" i="9" s="1"/>
  <c r="AO327" i="9" s="1"/>
  <c r="AO328" i="9" s="1"/>
  <c r="AO329" i="9" s="1"/>
  <c r="AO330" i="9" s="1"/>
  <c r="AO331" i="9" s="1"/>
  <c r="AO332" i="9" s="1"/>
  <c r="AO333" i="9" s="1"/>
  <c r="AO334" i="9" s="1"/>
  <c r="AO335" i="9" s="1"/>
  <c r="AO336" i="9" s="1"/>
  <c r="AO337" i="9" s="1"/>
  <c r="AO338" i="9" s="1"/>
  <c r="AO339" i="9" s="1"/>
  <c r="AO340" i="9" s="1"/>
  <c r="AO341" i="9" s="1"/>
  <c r="AO342" i="9" s="1"/>
  <c r="AO343" i="9" s="1"/>
  <c r="AO344" i="9" s="1"/>
  <c r="AO345" i="9" s="1"/>
  <c r="AO346" i="9" s="1"/>
  <c r="AO347" i="9" s="1"/>
  <c r="AO348" i="9" s="1"/>
  <c r="AO349" i="9" s="1"/>
  <c r="AO350" i="9" s="1"/>
  <c r="AO351" i="9" s="1"/>
  <c r="AO352" i="9" s="1"/>
  <c r="AO353" i="9" s="1"/>
  <c r="AO354" i="9" s="1"/>
  <c r="AO355" i="9" s="1"/>
  <c r="AO356" i="9" s="1"/>
  <c r="AO357" i="9" s="1"/>
  <c r="AO358" i="9" s="1"/>
  <c r="AO359" i="9" s="1"/>
  <c r="AO360" i="9" s="1"/>
  <c r="AO361" i="9" s="1"/>
  <c r="AO362" i="9" s="1"/>
  <c r="AO363" i="9" s="1"/>
  <c r="AO364" i="9" s="1"/>
  <c r="AO365" i="9" s="1"/>
  <c r="AO366" i="9" s="1"/>
  <c r="AO367" i="9" s="1"/>
  <c r="AO368" i="9" s="1"/>
  <c r="AO369" i="9" s="1"/>
  <c r="AO370" i="9" s="1"/>
  <c r="AO371" i="9" s="1"/>
  <c r="AO372" i="9" s="1"/>
  <c r="AO373" i="9" s="1"/>
  <c r="AO374" i="9" s="1"/>
  <c r="AO375" i="9" s="1"/>
  <c r="AO376" i="9" s="1"/>
  <c r="AO377" i="9" s="1"/>
  <c r="AO378" i="9" s="1"/>
  <c r="AO379" i="9" s="1"/>
  <c r="AO380" i="9" s="1"/>
  <c r="AO381" i="9" s="1"/>
  <c r="AM10" i="9"/>
  <c r="AM11" i="9" s="1"/>
  <c r="AM12" i="9" s="1"/>
  <c r="AM13" i="9" s="1"/>
  <c r="AM14" i="9" s="1"/>
  <c r="AM15" i="9" s="1"/>
  <c r="AM16" i="9" s="1"/>
  <c r="AM17" i="9" s="1"/>
  <c r="AM18" i="9" s="1"/>
  <c r="AM19" i="9" s="1"/>
  <c r="AM20" i="9" s="1"/>
  <c r="AM21" i="9" s="1"/>
  <c r="AM22" i="9" s="1"/>
  <c r="AM23" i="9" s="1"/>
  <c r="AM24" i="9" s="1"/>
  <c r="AM25" i="9" s="1"/>
  <c r="AM26" i="9" s="1"/>
  <c r="AM27" i="9" s="1"/>
  <c r="AM28" i="9" s="1"/>
  <c r="AM29" i="9" s="1"/>
  <c r="AM30" i="9" s="1"/>
  <c r="AM31" i="9" s="1"/>
  <c r="AM32" i="9" s="1"/>
  <c r="AM33" i="9" s="1"/>
  <c r="AM34" i="9" s="1"/>
  <c r="AM35" i="9" s="1"/>
  <c r="AM36" i="9" s="1"/>
  <c r="AM37" i="9" s="1"/>
  <c r="AM38" i="9" s="1"/>
  <c r="AM39" i="9" s="1"/>
  <c r="AM40" i="9" s="1"/>
  <c r="AM41" i="9" s="1"/>
  <c r="AM42" i="9" s="1"/>
  <c r="AM43" i="9" s="1"/>
  <c r="AM44" i="9" s="1"/>
  <c r="AM45" i="9" s="1"/>
  <c r="AM46" i="9" s="1"/>
  <c r="AM47" i="9" s="1"/>
  <c r="AM48" i="9" s="1"/>
  <c r="AM49" i="9" s="1"/>
  <c r="AM50" i="9" s="1"/>
  <c r="AM51" i="9" s="1"/>
  <c r="AM52" i="9" s="1"/>
  <c r="AM53" i="9" s="1"/>
  <c r="AM54" i="9" s="1"/>
  <c r="AM55" i="9" s="1"/>
  <c r="AM56" i="9" s="1"/>
  <c r="AM57" i="9" s="1"/>
  <c r="AM58" i="9" s="1"/>
  <c r="AM59" i="9" s="1"/>
  <c r="AM60" i="9" s="1"/>
  <c r="AM61" i="9" s="1"/>
  <c r="AM62" i="9" s="1"/>
  <c r="AM63" i="9" s="1"/>
  <c r="AM64" i="9" s="1"/>
  <c r="AM65" i="9" s="1"/>
  <c r="AM66" i="9" s="1"/>
  <c r="AM67" i="9" s="1"/>
  <c r="AM68" i="9" s="1"/>
  <c r="AM69" i="9" s="1"/>
  <c r="AM70" i="9" s="1"/>
  <c r="AM71" i="9" s="1"/>
  <c r="AM72" i="9" s="1"/>
  <c r="AM73" i="9" s="1"/>
  <c r="AM74" i="9" s="1"/>
  <c r="AM75" i="9" s="1"/>
  <c r="AM76" i="9" s="1"/>
  <c r="AM77" i="9" s="1"/>
  <c r="AM78" i="9" s="1"/>
  <c r="AM79" i="9" s="1"/>
  <c r="AM80" i="9" s="1"/>
  <c r="AM81" i="9" s="1"/>
  <c r="AM82" i="9" s="1"/>
  <c r="AM83" i="9" s="1"/>
  <c r="AM84" i="9" s="1"/>
  <c r="AM85" i="9" s="1"/>
  <c r="AM86" i="9" s="1"/>
  <c r="AM87" i="9" s="1"/>
  <c r="AM88" i="9" s="1"/>
  <c r="AM89" i="9" s="1"/>
  <c r="AM90" i="9" s="1"/>
  <c r="AM91" i="9" s="1"/>
  <c r="AM92" i="9" s="1"/>
  <c r="AM93" i="9" s="1"/>
  <c r="AM94" i="9" s="1"/>
  <c r="AM95" i="9" s="1"/>
  <c r="AM96" i="9" s="1"/>
  <c r="AM97" i="9" s="1"/>
  <c r="AM98" i="9" s="1"/>
  <c r="AM99" i="9" s="1"/>
  <c r="AM100" i="9" s="1"/>
  <c r="AM101" i="9" s="1"/>
  <c r="AM102" i="9" s="1"/>
  <c r="AM103" i="9" s="1"/>
  <c r="AM104" i="9" s="1"/>
  <c r="AM105" i="9" s="1"/>
  <c r="AM106" i="9" s="1"/>
  <c r="AM107" i="9" s="1"/>
  <c r="AM108" i="9" s="1"/>
  <c r="AM109" i="9" s="1"/>
  <c r="AM110" i="9" s="1"/>
  <c r="AM111" i="9" s="1"/>
  <c r="AM112" i="9" s="1"/>
  <c r="AM113" i="9" s="1"/>
  <c r="AM114" i="9" s="1"/>
  <c r="AM115" i="9" s="1"/>
  <c r="AM116" i="9" s="1"/>
  <c r="AM117" i="9" s="1"/>
  <c r="AM118" i="9" s="1"/>
  <c r="AM119" i="9" s="1"/>
  <c r="AM120" i="9" s="1"/>
  <c r="AM121" i="9" s="1"/>
  <c r="AM122" i="9" s="1"/>
  <c r="AM123" i="9" s="1"/>
  <c r="AM124" i="9" s="1"/>
  <c r="AM125" i="9" s="1"/>
  <c r="AM126" i="9" s="1"/>
  <c r="AM127" i="9" s="1"/>
  <c r="AM128" i="9" s="1"/>
  <c r="AM129" i="9" s="1"/>
  <c r="AM130" i="9" s="1"/>
  <c r="AM131" i="9" s="1"/>
  <c r="AM132" i="9" s="1"/>
  <c r="AM133" i="9" s="1"/>
  <c r="AM134" i="9" s="1"/>
  <c r="AM135" i="9" s="1"/>
  <c r="AM136" i="9" s="1"/>
  <c r="AM137" i="9" s="1"/>
  <c r="AM138" i="9" s="1"/>
  <c r="AM139" i="9" s="1"/>
  <c r="AM140" i="9" s="1"/>
  <c r="AM141" i="9" s="1"/>
  <c r="AM142" i="9" s="1"/>
  <c r="AM143" i="9" s="1"/>
  <c r="AM144" i="9" s="1"/>
  <c r="AM145" i="9" s="1"/>
  <c r="AM146" i="9" s="1"/>
  <c r="AM147" i="9" s="1"/>
  <c r="AM148" i="9" s="1"/>
  <c r="AM149" i="9" s="1"/>
  <c r="AM150" i="9" s="1"/>
  <c r="AM151" i="9" s="1"/>
  <c r="AM152" i="9" s="1"/>
  <c r="AM153" i="9" s="1"/>
  <c r="AM154" i="9" s="1"/>
  <c r="AM155" i="9" s="1"/>
  <c r="AM156" i="9" s="1"/>
  <c r="AM157" i="9" s="1"/>
  <c r="AM158" i="9" s="1"/>
  <c r="AM159" i="9" s="1"/>
  <c r="AM160" i="9" s="1"/>
  <c r="AM161" i="9" s="1"/>
  <c r="AM162" i="9" s="1"/>
  <c r="AM163" i="9" s="1"/>
  <c r="AM164" i="9" s="1"/>
  <c r="AM165" i="9" s="1"/>
  <c r="AM166" i="9" s="1"/>
  <c r="AM167" i="9" s="1"/>
  <c r="AM168" i="9" s="1"/>
  <c r="AM169" i="9" s="1"/>
  <c r="AM170" i="9" s="1"/>
  <c r="AM171" i="9" s="1"/>
  <c r="AM172" i="9" s="1"/>
  <c r="AM173" i="9" s="1"/>
  <c r="AM174" i="9" s="1"/>
  <c r="AM175" i="9" s="1"/>
  <c r="AM176" i="9" s="1"/>
  <c r="AM177" i="9" s="1"/>
  <c r="AM178" i="9" s="1"/>
  <c r="AM179" i="9" s="1"/>
  <c r="AM180" i="9" s="1"/>
  <c r="AM181" i="9" s="1"/>
  <c r="AM182" i="9" s="1"/>
  <c r="AM183" i="9" s="1"/>
  <c r="AM184" i="9" s="1"/>
  <c r="AM185" i="9" s="1"/>
  <c r="AM186" i="9" s="1"/>
  <c r="AM187" i="9" s="1"/>
  <c r="AM188" i="9" s="1"/>
  <c r="AM189" i="9" s="1"/>
  <c r="AM190" i="9" s="1"/>
  <c r="AM191" i="9" s="1"/>
  <c r="AM192" i="9" s="1"/>
  <c r="AM193" i="9" s="1"/>
  <c r="AM194" i="9" s="1"/>
  <c r="AM195" i="9" s="1"/>
  <c r="AM196" i="9" s="1"/>
  <c r="AM197" i="9" s="1"/>
  <c r="AM198" i="9" s="1"/>
  <c r="AM199" i="9" s="1"/>
  <c r="AM200" i="9" s="1"/>
  <c r="AM201" i="9" s="1"/>
  <c r="AM202" i="9" s="1"/>
  <c r="AM203" i="9" s="1"/>
  <c r="AM204" i="9" s="1"/>
  <c r="AM205" i="9" s="1"/>
  <c r="AM206" i="9" s="1"/>
  <c r="AM207" i="9" s="1"/>
  <c r="AM208" i="9" s="1"/>
  <c r="AM209" i="9" s="1"/>
  <c r="AM210" i="9" s="1"/>
  <c r="AM211" i="9" s="1"/>
  <c r="AM212" i="9" s="1"/>
  <c r="AM213" i="9" s="1"/>
  <c r="AM214" i="9" s="1"/>
  <c r="AM215" i="9" s="1"/>
  <c r="AM216" i="9" s="1"/>
  <c r="AM217" i="9" s="1"/>
  <c r="AM218" i="9" s="1"/>
  <c r="AM219" i="9" s="1"/>
  <c r="AM220" i="9" s="1"/>
  <c r="AM221" i="9" s="1"/>
  <c r="AM222" i="9" s="1"/>
  <c r="AM223" i="9" s="1"/>
  <c r="AM224" i="9" s="1"/>
  <c r="AM225" i="9" s="1"/>
  <c r="AM226" i="9" s="1"/>
  <c r="AM227" i="9" s="1"/>
  <c r="AM228" i="9" s="1"/>
  <c r="AM229" i="9" s="1"/>
  <c r="AM230" i="9" s="1"/>
  <c r="AM231" i="9" s="1"/>
  <c r="AM232" i="9" s="1"/>
  <c r="AM233" i="9" s="1"/>
  <c r="AM234" i="9" s="1"/>
  <c r="AM235" i="9" s="1"/>
  <c r="AM236" i="9" s="1"/>
  <c r="AM237" i="9" s="1"/>
  <c r="AM238" i="9" s="1"/>
  <c r="AM239" i="9" s="1"/>
  <c r="AM240" i="9" s="1"/>
  <c r="AM241" i="9" s="1"/>
  <c r="AM242" i="9" s="1"/>
  <c r="AM243" i="9" s="1"/>
  <c r="AM244" i="9" s="1"/>
  <c r="AM245" i="9" s="1"/>
  <c r="AM246" i="9" s="1"/>
  <c r="AM247" i="9" s="1"/>
  <c r="AM248" i="9" s="1"/>
  <c r="AM249" i="9" s="1"/>
  <c r="AM250" i="9" s="1"/>
  <c r="AM251" i="9" s="1"/>
  <c r="AM252" i="9" s="1"/>
  <c r="AM253" i="9" s="1"/>
  <c r="AM254" i="9" s="1"/>
  <c r="AM255" i="9" s="1"/>
  <c r="AM256" i="9" s="1"/>
  <c r="AM257" i="9" s="1"/>
  <c r="AM258" i="9" s="1"/>
  <c r="AM259" i="9" s="1"/>
  <c r="AM260" i="9" s="1"/>
  <c r="AM261" i="9" s="1"/>
  <c r="AM262" i="9" s="1"/>
  <c r="AM263" i="9" s="1"/>
  <c r="AM264" i="9" s="1"/>
  <c r="AM265" i="9" s="1"/>
  <c r="AM266" i="9" s="1"/>
  <c r="AM267" i="9" s="1"/>
  <c r="AM268" i="9" s="1"/>
  <c r="AM269" i="9" s="1"/>
  <c r="AM270" i="9" s="1"/>
  <c r="AM271" i="9" s="1"/>
  <c r="AM272" i="9" s="1"/>
  <c r="AM273" i="9" s="1"/>
  <c r="AM274" i="9" s="1"/>
  <c r="AM275" i="9" s="1"/>
  <c r="AM276" i="9" s="1"/>
  <c r="AM277" i="9" s="1"/>
  <c r="AM278" i="9" s="1"/>
  <c r="AM279" i="9" s="1"/>
  <c r="AM280" i="9" s="1"/>
  <c r="AM281" i="9" s="1"/>
  <c r="AM282" i="9" s="1"/>
  <c r="AM283" i="9" s="1"/>
  <c r="AM284" i="9" s="1"/>
  <c r="AM285" i="9" s="1"/>
  <c r="AM286" i="9" s="1"/>
  <c r="AM287" i="9" s="1"/>
  <c r="AM288" i="9" s="1"/>
  <c r="AM289" i="9" s="1"/>
  <c r="AM290" i="9" s="1"/>
  <c r="AM291" i="9" s="1"/>
  <c r="AM292" i="9" s="1"/>
  <c r="AM293" i="9" s="1"/>
  <c r="AM294" i="9" s="1"/>
  <c r="AM295" i="9" s="1"/>
  <c r="AM296" i="9" s="1"/>
  <c r="AM297" i="9" s="1"/>
  <c r="AM298" i="9" s="1"/>
  <c r="AM299" i="9" s="1"/>
  <c r="AM300" i="9" s="1"/>
  <c r="AM301" i="9" s="1"/>
  <c r="AM302" i="9" s="1"/>
  <c r="AM303" i="9" s="1"/>
  <c r="AM304" i="9" s="1"/>
  <c r="AM305" i="9" s="1"/>
  <c r="AM306" i="9" s="1"/>
  <c r="AM307" i="9" s="1"/>
  <c r="AM308" i="9" s="1"/>
  <c r="AM309" i="9" s="1"/>
  <c r="AM310" i="9" s="1"/>
  <c r="AM311" i="9" s="1"/>
  <c r="AM312" i="9" s="1"/>
  <c r="AM313" i="9" s="1"/>
  <c r="AM314" i="9" s="1"/>
  <c r="AM315" i="9" s="1"/>
  <c r="AM316" i="9" s="1"/>
  <c r="AM317" i="9" s="1"/>
  <c r="AM318" i="9" s="1"/>
  <c r="AM319" i="9" s="1"/>
  <c r="AM320" i="9" s="1"/>
  <c r="AM321" i="9" s="1"/>
  <c r="AM322" i="9" s="1"/>
  <c r="AM323" i="9" s="1"/>
  <c r="AM324" i="9" s="1"/>
  <c r="AM325" i="9" s="1"/>
  <c r="AM326" i="9" s="1"/>
  <c r="AM327" i="9" s="1"/>
  <c r="AM328" i="9" s="1"/>
  <c r="AM329" i="9" s="1"/>
  <c r="AM330" i="9" s="1"/>
  <c r="AM331" i="9" s="1"/>
  <c r="AM332" i="9" s="1"/>
  <c r="AM333" i="9" s="1"/>
  <c r="AM334" i="9" s="1"/>
  <c r="AM335" i="9" s="1"/>
  <c r="AM336" i="9" s="1"/>
  <c r="AM337" i="9" s="1"/>
  <c r="AM338" i="9" s="1"/>
  <c r="AM339" i="9" s="1"/>
  <c r="AM340" i="9" s="1"/>
  <c r="AM341" i="9" s="1"/>
  <c r="AM342" i="9" s="1"/>
  <c r="AM343" i="9" s="1"/>
  <c r="AM344" i="9" s="1"/>
  <c r="AM345" i="9" s="1"/>
  <c r="AM346" i="9" s="1"/>
  <c r="AM347" i="9" s="1"/>
  <c r="AM348" i="9" s="1"/>
  <c r="AM349" i="9" s="1"/>
  <c r="AM350" i="9" s="1"/>
  <c r="AM351" i="9" s="1"/>
  <c r="AM352" i="9" s="1"/>
  <c r="AM353" i="9" s="1"/>
  <c r="AM354" i="9" s="1"/>
  <c r="AM355" i="9" s="1"/>
  <c r="AM356" i="9" s="1"/>
  <c r="AM357" i="9" s="1"/>
  <c r="AM358" i="9" s="1"/>
  <c r="AM359" i="9" s="1"/>
  <c r="AM360" i="9" s="1"/>
  <c r="AM361" i="9" s="1"/>
  <c r="AM362" i="9" s="1"/>
  <c r="AM363" i="9" s="1"/>
  <c r="AM364" i="9" s="1"/>
  <c r="AM365" i="9" s="1"/>
  <c r="AM366" i="9" s="1"/>
  <c r="AM367" i="9" s="1"/>
  <c r="AM368" i="9" s="1"/>
  <c r="AM369" i="9" s="1"/>
  <c r="AM370" i="9" s="1"/>
  <c r="AM371" i="9" s="1"/>
  <c r="AM372" i="9" s="1"/>
  <c r="AM373" i="9" s="1"/>
  <c r="AM374" i="9" s="1"/>
  <c r="AM375" i="9" s="1"/>
  <c r="AM376" i="9" s="1"/>
  <c r="AM377" i="9" s="1"/>
  <c r="AM378" i="9" s="1"/>
  <c r="AM379" i="9" s="1"/>
  <c r="AM380" i="9" s="1"/>
  <c r="AM381" i="9" s="1"/>
  <c r="AM382" i="9" s="1"/>
  <c r="AM383" i="9" s="1"/>
  <c r="AM384" i="9" s="1"/>
  <c r="AM385" i="9" s="1"/>
  <c r="AM386" i="9" s="1"/>
  <c r="AM387" i="9" s="1"/>
  <c r="AM388" i="9" s="1"/>
  <c r="AM389" i="9" s="1"/>
  <c r="AM390" i="9" s="1"/>
  <c r="AM391" i="9" s="1"/>
  <c r="AM392" i="9" s="1"/>
  <c r="AM393" i="9" s="1"/>
  <c r="AM394" i="9" s="1"/>
  <c r="AM395" i="9" s="1"/>
  <c r="AM396" i="9" s="1"/>
  <c r="AM397" i="9" s="1"/>
  <c r="AM398" i="9" s="1"/>
  <c r="AM399" i="9" s="1"/>
  <c r="AM400" i="9" s="1"/>
  <c r="AM401" i="9" s="1"/>
  <c r="AM402" i="9" s="1"/>
  <c r="AM403" i="9" s="1"/>
  <c r="AM404" i="9" s="1"/>
  <c r="AM405" i="9" s="1"/>
  <c r="AM406" i="9" s="1"/>
  <c r="AM407" i="9" s="1"/>
  <c r="AM408" i="9" s="1"/>
  <c r="AM409" i="9" s="1"/>
  <c r="AM410" i="9" s="1"/>
  <c r="AM411" i="9" s="1"/>
  <c r="AM412" i="9" s="1"/>
  <c r="AM413" i="9" s="1"/>
  <c r="AM414" i="9" s="1"/>
  <c r="AM415" i="9" s="1"/>
  <c r="AM416" i="9" s="1"/>
  <c r="AM417" i="9" s="1"/>
  <c r="AM418" i="9" s="1"/>
  <c r="AM419" i="9" s="1"/>
  <c r="AM420" i="9" s="1"/>
  <c r="AM421" i="9" s="1"/>
  <c r="AM422" i="9" s="1"/>
  <c r="AM423" i="9" s="1"/>
  <c r="AM424" i="9" s="1"/>
  <c r="AM425" i="9" s="1"/>
  <c r="AM426" i="9" s="1"/>
  <c r="AM427" i="9" s="1"/>
  <c r="AM428" i="9" s="1"/>
  <c r="AM429" i="9" s="1"/>
  <c r="AM430" i="9" s="1"/>
  <c r="AM431" i="9" s="1"/>
  <c r="AM432" i="9" s="1"/>
  <c r="AM433" i="9" s="1"/>
  <c r="AM434" i="9" s="1"/>
  <c r="AM435" i="9" s="1"/>
  <c r="AM436" i="9" s="1"/>
  <c r="AM437" i="9" s="1"/>
  <c r="AM438" i="9" s="1"/>
  <c r="AM439" i="9" s="1"/>
  <c r="AM440" i="9" s="1"/>
  <c r="AM441" i="9" s="1"/>
  <c r="AM442" i="9" s="1"/>
  <c r="AM443" i="9" s="1"/>
  <c r="AM444" i="9" s="1"/>
  <c r="AM445" i="9" s="1"/>
  <c r="AM446" i="9" s="1"/>
  <c r="AM447" i="9" s="1"/>
  <c r="AM448" i="9" s="1"/>
  <c r="AM449" i="9" s="1"/>
  <c r="AM450" i="9" s="1"/>
  <c r="AM451" i="9" s="1"/>
  <c r="AM452" i="9" s="1"/>
  <c r="AM453" i="9" s="1"/>
  <c r="AM454" i="9" s="1"/>
  <c r="AM455" i="9" s="1"/>
  <c r="AM456" i="9" s="1"/>
  <c r="AM457" i="9" s="1"/>
  <c r="AM458" i="9" s="1"/>
  <c r="AM459" i="9" s="1"/>
  <c r="AM460" i="9" s="1"/>
  <c r="AM461" i="9" s="1"/>
  <c r="AM462" i="9" s="1"/>
  <c r="AM463" i="9" s="1"/>
  <c r="AM464" i="9" s="1"/>
  <c r="AM465" i="9" s="1"/>
  <c r="AM466" i="9" s="1"/>
  <c r="AM467" i="9" s="1"/>
  <c r="AM468" i="9" s="1"/>
  <c r="AM469" i="9" s="1"/>
  <c r="AM470" i="9" s="1"/>
  <c r="AM471" i="9" s="1"/>
  <c r="AM472" i="9" s="1"/>
  <c r="AM473" i="9" s="1"/>
  <c r="AM474" i="9" s="1"/>
  <c r="AM475" i="9" s="1"/>
  <c r="AM476" i="9" s="1"/>
  <c r="AM477" i="9" s="1"/>
  <c r="AM478" i="9" s="1"/>
  <c r="AM479" i="9" s="1"/>
  <c r="AM480" i="9" s="1"/>
  <c r="AM481" i="9" s="1"/>
  <c r="AM482" i="9" s="1"/>
  <c r="AM483" i="9" s="1"/>
  <c r="AM484" i="9" s="1"/>
  <c r="AM485" i="9" s="1"/>
  <c r="AM486" i="9" s="1"/>
  <c r="AM487" i="9" s="1"/>
  <c r="AM488" i="9" s="1"/>
  <c r="AM489" i="9" s="1"/>
  <c r="AM490" i="9" s="1"/>
  <c r="AM491" i="9" s="1"/>
  <c r="AM492" i="9" s="1"/>
  <c r="AM493" i="9" s="1"/>
  <c r="AM494" i="9" s="1"/>
  <c r="AM495" i="9" s="1"/>
  <c r="AM496" i="9" s="1"/>
  <c r="AM497" i="9" s="1"/>
  <c r="AM498" i="9" s="1"/>
  <c r="AM499" i="9" s="1"/>
  <c r="AM500" i="9" s="1"/>
  <c r="AM501" i="9" s="1"/>
  <c r="AM502" i="9" s="1"/>
  <c r="AM503" i="9" s="1"/>
  <c r="AM504" i="9" s="1"/>
  <c r="AM505" i="9" s="1"/>
  <c r="AM506" i="9" s="1"/>
  <c r="AM507" i="9" s="1"/>
  <c r="AM508" i="9" s="1"/>
  <c r="AM509" i="9" s="1"/>
  <c r="AM510" i="9" s="1"/>
  <c r="AM511" i="9" s="1"/>
  <c r="AM512" i="9" s="1"/>
  <c r="AM513" i="9" s="1"/>
  <c r="AM514" i="9" s="1"/>
  <c r="AM515" i="9" s="1"/>
  <c r="AM516" i="9" s="1"/>
  <c r="AM517" i="9" s="1"/>
  <c r="AM518" i="9" s="1"/>
  <c r="AM519" i="9" s="1"/>
  <c r="AM520" i="9" s="1"/>
  <c r="AM521" i="9" s="1"/>
  <c r="AM522" i="9" s="1"/>
  <c r="AM523" i="9" s="1"/>
  <c r="AM524" i="9" s="1"/>
  <c r="AM525" i="9" s="1"/>
  <c r="AM526" i="9" s="1"/>
  <c r="AM527" i="9" s="1"/>
  <c r="AM528" i="9" s="1"/>
  <c r="AM529" i="9" s="1"/>
  <c r="AM530" i="9" s="1"/>
  <c r="AM531" i="9" s="1"/>
  <c r="AM532" i="9" s="1"/>
  <c r="AM533" i="9" s="1"/>
  <c r="AM534" i="9" s="1"/>
  <c r="AM535" i="9" s="1"/>
  <c r="AM536" i="9" s="1"/>
  <c r="AM537" i="9" s="1"/>
  <c r="AM538" i="9" s="1"/>
  <c r="AM539" i="9" s="1"/>
  <c r="AM540" i="9" s="1"/>
  <c r="AM541" i="9" s="1"/>
  <c r="AM542" i="9" s="1"/>
  <c r="AM543" i="9" s="1"/>
  <c r="AM544" i="9" s="1"/>
  <c r="AM545" i="9" s="1"/>
  <c r="AM546" i="9" s="1"/>
  <c r="AM547" i="9" s="1"/>
  <c r="AM548" i="9" s="1"/>
  <c r="AM549" i="9" s="1"/>
  <c r="AM550" i="9" s="1"/>
  <c r="AM551" i="9" s="1"/>
  <c r="AM552" i="9" s="1"/>
  <c r="AM553" i="9" s="1"/>
  <c r="AM554" i="9" s="1"/>
  <c r="AM555" i="9" s="1"/>
  <c r="AM556" i="9" s="1"/>
  <c r="AM557" i="9" s="1"/>
  <c r="AM558" i="9" s="1"/>
  <c r="AM559" i="9" s="1"/>
  <c r="AM560" i="9" s="1"/>
  <c r="AM561" i="9" s="1"/>
  <c r="AM562" i="9" s="1"/>
  <c r="AM563" i="9" s="1"/>
  <c r="AM564" i="9" s="1"/>
  <c r="AM565" i="9" s="1"/>
  <c r="AM566" i="9" s="1"/>
  <c r="AM567" i="9" s="1"/>
  <c r="AM568" i="9" s="1"/>
  <c r="AM569" i="9" s="1"/>
  <c r="AM570" i="9" s="1"/>
  <c r="AM571" i="9" s="1"/>
  <c r="AM572" i="9" s="1"/>
  <c r="AM573" i="9" s="1"/>
  <c r="AM574" i="9" s="1"/>
  <c r="AM575" i="9" s="1"/>
  <c r="AM576" i="9" s="1"/>
  <c r="AM577" i="9" s="1"/>
  <c r="AM578" i="9" s="1"/>
  <c r="AM579" i="9" s="1"/>
  <c r="AM580" i="9" s="1"/>
  <c r="AM581" i="9" s="1"/>
  <c r="AM582" i="9" s="1"/>
  <c r="AM583" i="9" s="1"/>
  <c r="AM584" i="9" s="1"/>
  <c r="AM585" i="9" s="1"/>
  <c r="AM586" i="9" s="1"/>
  <c r="AM587" i="9" s="1"/>
  <c r="AM588" i="9" s="1"/>
  <c r="AM589" i="9" s="1"/>
  <c r="AM590" i="9" s="1"/>
  <c r="AM591" i="9" s="1"/>
  <c r="AM592" i="9" s="1"/>
  <c r="AM593" i="9" s="1"/>
  <c r="AM594" i="9" s="1"/>
  <c r="AM595" i="9" s="1"/>
  <c r="AM596" i="9" s="1"/>
  <c r="AM597" i="9" s="1"/>
  <c r="AM598" i="9" s="1"/>
  <c r="AM599" i="9" s="1"/>
  <c r="AM600" i="9" s="1"/>
  <c r="AM601" i="9" s="1"/>
  <c r="AM602" i="9" s="1"/>
  <c r="AM603" i="9" s="1"/>
  <c r="AM604" i="9" s="1"/>
  <c r="AM605" i="9" s="1"/>
  <c r="AM606" i="9" s="1"/>
  <c r="AM607" i="9" s="1"/>
  <c r="AM608" i="9" s="1"/>
  <c r="AM609" i="9" s="1"/>
  <c r="AM610" i="9" s="1"/>
  <c r="AM611" i="9" s="1"/>
  <c r="AM612" i="9" s="1"/>
  <c r="AM613" i="9" s="1"/>
  <c r="AM614" i="9" s="1"/>
  <c r="AM615" i="9" s="1"/>
  <c r="AM616" i="9" s="1"/>
  <c r="AM617" i="9" s="1"/>
  <c r="AM618" i="9" s="1"/>
  <c r="AM619" i="9" s="1"/>
  <c r="AM620" i="9" s="1"/>
  <c r="AM621" i="9" s="1"/>
  <c r="AM622" i="9" s="1"/>
  <c r="AM623" i="9" s="1"/>
  <c r="AM624" i="9" s="1"/>
  <c r="AM625" i="9" s="1"/>
  <c r="AM626" i="9" s="1"/>
  <c r="AM627" i="9" s="1"/>
  <c r="AM628" i="9" s="1"/>
  <c r="AM629" i="9" s="1"/>
  <c r="AM630" i="9" s="1"/>
  <c r="AM631" i="9" s="1"/>
  <c r="AM632" i="9" s="1"/>
  <c r="AM633" i="9" s="1"/>
  <c r="AM634" i="9" s="1"/>
  <c r="AM635" i="9" s="1"/>
  <c r="AM636" i="9" s="1"/>
  <c r="AM637" i="9" s="1"/>
  <c r="AM638" i="9" s="1"/>
  <c r="AM639" i="9" s="1"/>
  <c r="AM640" i="9" s="1"/>
  <c r="AM641" i="9" s="1"/>
  <c r="AM642" i="9" s="1"/>
  <c r="AM643" i="9" s="1"/>
  <c r="AM644" i="9" s="1"/>
  <c r="AM645" i="9" s="1"/>
  <c r="AM646" i="9" s="1"/>
  <c r="AM647" i="9" s="1"/>
  <c r="AM648" i="9" s="1"/>
  <c r="AM649" i="9" s="1"/>
  <c r="AM650" i="9" s="1"/>
  <c r="AM651" i="9" s="1"/>
  <c r="AM652" i="9" s="1"/>
  <c r="AM653" i="9" s="1"/>
  <c r="AM654" i="9" s="1"/>
  <c r="AM655" i="9" s="1"/>
  <c r="AM656" i="9" s="1"/>
  <c r="AM657" i="9" s="1"/>
  <c r="AM658" i="9" s="1"/>
  <c r="AM659" i="9" s="1"/>
  <c r="AM660" i="9" s="1"/>
  <c r="AM661" i="9" s="1"/>
  <c r="AM662" i="9" s="1"/>
  <c r="AM663" i="9" s="1"/>
  <c r="AM664" i="9" s="1"/>
  <c r="AM665" i="9" s="1"/>
  <c r="AM666" i="9" s="1"/>
  <c r="AM667" i="9" s="1"/>
  <c r="AM668" i="9" s="1"/>
  <c r="AM669" i="9" s="1"/>
  <c r="AM670" i="9" s="1"/>
  <c r="AM671" i="9" s="1"/>
  <c r="AM672" i="9" s="1"/>
  <c r="AM673" i="9" s="1"/>
  <c r="AM674" i="9" s="1"/>
  <c r="AM675" i="9" s="1"/>
  <c r="AM676" i="9" s="1"/>
  <c r="AM677" i="9" s="1"/>
  <c r="AM678" i="9" s="1"/>
  <c r="AM679" i="9" s="1"/>
  <c r="AM680" i="9" s="1"/>
  <c r="AM681" i="9" s="1"/>
  <c r="AM682" i="9" s="1"/>
  <c r="AM683" i="9" s="1"/>
  <c r="AM684" i="9" s="1"/>
  <c r="AM685" i="9" s="1"/>
  <c r="AJ10" i="9"/>
  <c r="AJ11" i="9" s="1"/>
  <c r="AJ12" i="9" s="1"/>
  <c r="AJ13" i="9" s="1"/>
  <c r="AJ14" i="9" s="1"/>
  <c r="AJ15" i="9" s="1"/>
  <c r="AJ16" i="9" s="1"/>
  <c r="AJ17" i="9" s="1"/>
  <c r="AJ18" i="9" s="1"/>
  <c r="AJ19" i="9" s="1"/>
  <c r="AJ20" i="9" s="1"/>
  <c r="AJ21" i="9" s="1"/>
  <c r="AJ22" i="9" s="1"/>
  <c r="AJ23" i="9" s="1"/>
  <c r="AJ24" i="9" s="1"/>
  <c r="AJ25" i="9" s="1"/>
  <c r="AJ26" i="9" s="1"/>
  <c r="AJ27" i="9" s="1"/>
  <c r="AJ28" i="9" s="1"/>
  <c r="AJ29" i="9" s="1"/>
  <c r="AJ30" i="9" s="1"/>
  <c r="AJ31" i="9" s="1"/>
  <c r="AJ32" i="9" s="1"/>
  <c r="AJ33" i="9" s="1"/>
  <c r="AJ34" i="9" s="1"/>
  <c r="AJ35" i="9" s="1"/>
  <c r="AJ36" i="9" s="1"/>
  <c r="AJ37" i="9" s="1"/>
  <c r="AJ38" i="9" s="1"/>
  <c r="AJ39" i="9" s="1"/>
  <c r="AJ40" i="9" s="1"/>
  <c r="AJ41" i="9" s="1"/>
  <c r="AJ42" i="9" s="1"/>
  <c r="AJ43" i="9" s="1"/>
  <c r="AJ44" i="9" s="1"/>
  <c r="AJ45" i="9" s="1"/>
  <c r="AJ46" i="9" s="1"/>
  <c r="AJ47" i="9" s="1"/>
  <c r="AJ48" i="9" s="1"/>
  <c r="AJ49" i="9" s="1"/>
  <c r="AJ50" i="9" s="1"/>
  <c r="AJ51" i="9" s="1"/>
  <c r="AJ52" i="9" s="1"/>
  <c r="AJ53" i="9" s="1"/>
  <c r="AJ54" i="9" s="1"/>
  <c r="AJ55" i="9" s="1"/>
  <c r="AJ56" i="9" s="1"/>
  <c r="AJ57" i="9" s="1"/>
  <c r="AJ58" i="9" s="1"/>
  <c r="AJ59" i="9" s="1"/>
  <c r="AJ60" i="9" s="1"/>
  <c r="AJ61" i="9" s="1"/>
  <c r="AJ62" i="9" s="1"/>
  <c r="AJ63" i="9" s="1"/>
  <c r="AJ64" i="9" s="1"/>
  <c r="AJ65" i="9" s="1"/>
  <c r="AJ66" i="9" s="1"/>
  <c r="AJ67" i="9" s="1"/>
  <c r="AJ68" i="9" s="1"/>
  <c r="AJ69" i="9" s="1"/>
  <c r="AJ70" i="9" s="1"/>
  <c r="AJ71" i="9" s="1"/>
  <c r="AJ72" i="9" s="1"/>
  <c r="AJ73" i="9" s="1"/>
  <c r="AJ74" i="9" s="1"/>
  <c r="AJ75" i="9" s="1"/>
  <c r="AJ76" i="9" s="1"/>
  <c r="AJ77" i="9" s="1"/>
  <c r="AJ78" i="9" s="1"/>
  <c r="AJ79" i="9" s="1"/>
  <c r="AJ80" i="9" s="1"/>
  <c r="AJ81" i="9" s="1"/>
  <c r="AJ82" i="9" s="1"/>
  <c r="AJ83" i="9" s="1"/>
  <c r="AJ84" i="9" s="1"/>
  <c r="AJ85" i="9" s="1"/>
  <c r="AJ86" i="9" s="1"/>
  <c r="AJ87" i="9" s="1"/>
  <c r="AJ88" i="9" s="1"/>
  <c r="AJ89" i="9" s="1"/>
  <c r="AJ90" i="9" s="1"/>
  <c r="AJ91" i="9" s="1"/>
  <c r="AJ92" i="9" s="1"/>
  <c r="AJ93" i="9" s="1"/>
  <c r="AJ94" i="9" s="1"/>
  <c r="AJ95" i="9" s="1"/>
  <c r="AJ96" i="9" s="1"/>
  <c r="AJ97" i="9" s="1"/>
  <c r="AJ98" i="9" s="1"/>
  <c r="AJ99" i="9" s="1"/>
  <c r="AJ100" i="9" s="1"/>
  <c r="AJ101" i="9" s="1"/>
  <c r="AJ102" i="9" s="1"/>
  <c r="AJ103" i="9" s="1"/>
  <c r="AJ104" i="9" s="1"/>
  <c r="AJ105" i="9" s="1"/>
  <c r="AJ106" i="9" s="1"/>
  <c r="AJ107" i="9" s="1"/>
  <c r="AJ108" i="9" s="1"/>
  <c r="AJ109" i="9" s="1"/>
  <c r="AJ110" i="9" s="1"/>
  <c r="AJ111" i="9" s="1"/>
  <c r="AJ112" i="9" s="1"/>
  <c r="AJ113" i="9" s="1"/>
  <c r="AJ114" i="9" s="1"/>
  <c r="AJ115" i="9" s="1"/>
  <c r="AJ116" i="9" s="1"/>
  <c r="AJ117" i="9" s="1"/>
  <c r="AJ118" i="9" s="1"/>
  <c r="AJ119" i="9" s="1"/>
  <c r="AJ120" i="9" s="1"/>
  <c r="AJ121" i="9" s="1"/>
  <c r="AJ122" i="9" s="1"/>
  <c r="AJ123" i="9" s="1"/>
  <c r="AJ124" i="9" s="1"/>
  <c r="AJ125" i="9" s="1"/>
  <c r="AJ126" i="9" s="1"/>
  <c r="AJ127" i="9" s="1"/>
  <c r="AJ128" i="9" s="1"/>
  <c r="AJ129" i="9" s="1"/>
  <c r="AJ130" i="9" s="1"/>
  <c r="AJ131" i="9" s="1"/>
  <c r="AJ132" i="9" s="1"/>
  <c r="AJ133" i="9" s="1"/>
  <c r="AJ134" i="9" s="1"/>
  <c r="AJ135" i="9" s="1"/>
  <c r="AJ136" i="9" s="1"/>
  <c r="AJ137" i="9" s="1"/>
  <c r="AJ138" i="9" s="1"/>
  <c r="AJ139" i="9" s="1"/>
  <c r="AJ140" i="9" s="1"/>
  <c r="AJ141" i="9" s="1"/>
  <c r="AJ142" i="9" s="1"/>
  <c r="AJ143" i="9" s="1"/>
  <c r="AJ144" i="9" s="1"/>
  <c r="AJ145" i="9" s="1"/>
  <c r="AJ146" i="9" s="1"/>
  <c r="AJ147" i="9" s="1"/>
  <c r="AJ148" i="9" s="1"/>
  <c r="AJ149" i="9" s="1"/>
  <c r="AJ150" i="9" s="1"/>
  <c r="AJ151" i="9" s="1"/>
  <c r="AJ152" i="9" s="1"/>
  <c r="AJ153" i="9" s="1"/>
  <c r="AJ154" i="9" s="1"/>
  <c r="AJ155" i="9" s="1"/>
  <c r="AJ156" i="9" s="1"/>
  <c r="AJ157" i="9" s="1"/>
  <c r="AJ158" i="9" s="1"/>
  <c r="AJ159" i="9" s="1"/>
  <c r="AJ160" i="9" s="1"/>
  <c r="AJ161" i="9" s="1"/>
  <c r="AJ162" i="9" s="1"/>
  <c r="AJ163" i="9" s="1"/>
  <c r="AJ164" i="9" s="1"/>
  <c r="AJ165" i="9" s="1"/>
  <c r="AJ166" i="9" s="1"/>
  <c r="AJ167" i="9" s="1"/>
  <c r="AJ168" i="9" s="1"/>
  <c r="AJ169" i="9" s="1"/>
  <c r="AJ170" i="9" s="1"/>
  <c r="AJ171" i="9" s="1"/>
  <c r="AJ172" i="9" s="1"/>
  <c r="AJ173" i="9" s="1"/>
  <c r="AJ174" i="9" s="1"/>
  <c r="AJ175" i="9" s="1"/>
  <c r="AJ176" i="9" s="1"/>
  <c r="AJ177" i="9" s="1"/>
  <c r="AJ178" i="9" s="1"/>
  <c r="AJ179" i="9" s="1"/>
  <c r="AJ180" i="9" s="1"/>
  <c r="AJ181" i="9" s="1"/>
  <c r="AJ182" i="9" s="1"/>
  <c r="AJ183" i="9" s="1"/>
  <c r="AJ184" i="9" s="1"/>
  <c r="AJ185" i="9" s="1"/>
  <c r="AJ186" i="9" s="1"/>
  <c r="AJ187" i="9" s="1"/>
  <c r="AJ188" i="9" s="1"/>
  <c r="AJ189" i="9" s="1"/>
  <c r="AJ190" i="9" s="1"/>
  <c r="AJ191" i="9" s="1"/>
  <c r="AJ192" i="9" s="1"/>
  <c r="AJ193" i="9" s="1"/>
  <c r="AJ194" i="9" s="1"/>
  <c r="AJ195" i="9" s="1"/>
  <c r="AJ196" i="9" s="1"/>
  <c r="AJ197" i="9" s="1"/>
  <c r="AJ198" i="9" s="1"/>
  <c r="AJ199" i="9" s="1"/>
  <c r="AJ200" i="9" s="1"/>
  <c r="AJ201" i="9" s="1"/>
  <c r="AJ202" i="9" s="1"/>
  <c r="AJ203" i="9" s="1"/>
  <c r="AJ204" i="9" s="1"/>
  <c r="AJ205" i="9" s="1"/>
  <c r="AJ206" i="9" s="1"/>
  <c r="AJ207" i="9" s="1"/>
  <c r="AJ208" i="9" s="1"/>
  <c r="AJ209" i="9" s="1"/>
  <c r="AJ210" i="9" s="1"/>
  <c r="AJ211" i="9" s="1"/>
  <c r="AJ212" i="9" s="1"/>
  <c r="AJ213" i="9" s="1"/>
  <c r="AJ214" i="9" s="1"/>
  <c r="AJ215" i="9" s="1"/>
  <c r="AJ216" i="9" s="1"/>
  <c r="AJ217" i="9" s="1"/>
  <c r="AJ218" i="9" s="1"/>
  <c r="AJ219" i="9" s="1"/>
  <c r="AJ220" i="9" s="1"/>
  <c r="AJ221" i="9" s="1"/>
  <c r="AJ222" i="9" s="1"/>
  <c r="AJ223" i="9" s="1"/>
  <c r="AJ224" i="9" s="1"/>
  <c r="AJ225" i="9" s="1"/>
  <c r="AJ226" i="9" s="1"/>
  <c r="AJ227" i="9" s="1"/>
  <c r="AJ228" i="9" s="1"/>
  <c r="AJ229" i="9" s="1"/>
  <c r="AJ230" i="9" s="1"/>
  <c r="AJ231" i="9" s="1"/>
  <c r="AJ232" i="9" s="1"/>
  <c r="AJ233" i="9" s="1"/>
  <c r="AJ234" i="9" s="1"/>
  <c r="AJ235" i="9" s="1"/>
  <c r="AJ236" i="9" s="1"/>
  <c r="AJ237" i="9" s="1"/>
  <c r="AJ238" i="9" s="1"/>
  <c r="AJ239" i="9" s="1"/>
  <c r="AJ240" i="9" s="1"/>
  <c r="AJ241" i="9" s="1"/>
  <c r="AJ242" i="9" s="1"/>
  <c r="AJ243" i="9" s="1"/>
  <c r="AJ244" i="9" s="1"/>
  <c r="AJ245" i="9" s="1"/>
  <c r="AJ246" i="9" s="1"/>
  <c r="AJ247" i="9" s="1"/>
  <c r="AJ248" i="9" s="1"/>
  <c r="AJ249" i="9" s="1"/>
  <c r="AJ250" i="9" s="1"/>
  <c r="AJ251" i="9" s="1"/>
  <c r="AJ252" i="9" s="1"/>
  <c r="AJ253" i="9" s="1"/>
  <c r="AJ254" i="9" s="1"/>
  <c r="AJ255" i="9" s="1"/>
  <c r="AJ256" i="9" s="1"/>
  <c r="AJ257" i="9" s="1"/>
  <c r="AJ258" i="9" s="1"/>
  <c r="AJ259" i="9" s="1"/>
  <c r="AJ260" i="9" s="1"/>
  <c r="AJ261" i="9" s="1"/>
  <c r="AJ262" i="9" s="1"/>
  <c r="AJ263" i="9" s="1"/>
  <c r="AJ264" i="9" s="1"/>
  <c r="AJ265" i="9" s="1"/>
  <c r="AJ266" i="9" s="1"/>
  <c r="AJ267" i="9" s="1"/>
  <c r="AJ268" i="9" s="1"/>
  <c r="AJ269" i="9" s="1"/>
  <c r="AJ270" i="9" s="1"/>
  <c r="AJ271" i="9" s="1"/>
  <c r="AJ272" i="9" s="1"/>
  <c r="AJ273" i="9" s="1"/>
  <c r="AJ274" i="9" s="1"/>
  <c r="AJ275" i="9" s="1"/>
  <c r="AJ276" i="9" s="1"/>
  <c r="AJ277" i="9" s="1"/>
  <c r="AJ278" i="9" s="1"/>
  <c r="AJ279" i="9" s="1"/>
  <c r="AJ280" i="9" s="1"/>
  <c r="AJ281" i="9" s="1"/>
  <c r="AJ282" i="9" s="1"/>
  <c r="AJ283" i="9" s="1"/>
  <c r="AJ284" i="9" s="1"/>
  <c r="AJ285" i="9" s="1"/>
  <c r="AJ286" i="9" s="1"/>
  <c r="AJ287" i="9" s="1"/>
  <c r="AJ288" i="9" s="1"/>
  <c r="AJ289" i="9" s="1"/>
  <c r="AJ290" i="9" s="1"/>
  <c r="AJ291" i="9" s="1"/>
  <c r="AJ292" i="9" s="1"/>
  <c r="AJ293" i="9" s="1"/>
  <c r="AJ294" i="9" s="1"/>
  <c r="AJ295" i="9" s="1"/>
  <c r="AJ296" i="9" s="1"/>
  <c r="AJ297" i="9" s="1"/>
  <c r="AJ298" i="9" s="1"/>
  <c r="AJ299" i="9" s="1"/>
  <c r="AJ300" i="9" s="1"/>
  <c r="AJ301" i="9" s="1"/>
  <c r="AJ302" i="9" s="1"/>
  <c r="AJ303" i="9" s="1"/>
  <c r="AJ304" i="9" s="1"/>
  <c r="AJ305" i="9" s="1"/>
  <c r="AJ306" i="9" s="1"/>
  <c r="AJ307" i="9" s="1"/>
  <c r="AJ308" i="9" s="1"/>
  <c r="AJ309" i="9" s="1"/>
  <c r="AJ310" i="9" s="1"/>
  <c r="AJ311" i="9" s="1"/>
  <c r="AJ312" i="9" s="1"/>
  <c r="AJ313" i="9" s="1"/>
  <c r="AJ314" i="9" s="1"/>
  <c r="AJ315" i="9" s="1"/>
  <c r="AJ316" i="9" s="1"/>
  <c r="AJ317" i="9" s="1"/>
  <c r="AJ318" i="9" s="1"/>
  <c r="AJ319" i="9" s="1"/>
  <c r="AJ320" i="9" s="1"/>
  <c r="AJ321" i="9" s="1"/>
  <c r="AJ322" i="9" s="1"/>
  <c r="AJ323" i="9" s="1"/>
  <c r="AJ324" i="9" s="1"/>
  <c r="AJ325" i="9" s="1"/>
  <c r="AJ326" i="9" s="1"/>
  <c r="AJ327" i="9" s="1"/>
  <c r="AJ328" i="9" s="1"/>
  <c r="AJ329" i="9" s="1"/>
  <c r="AJ330" i="9" s="1"/>
  <c r="AJ331" i="9" s="1"/>
  <c r="AJ332" i="9" s="1"/>
  <c r="AJ333" i="9" s="1"/>
  <c r="AJ334" i="9" s="1"/>
  <c r="AJ335" i="9" s="1"/>
  <c r="AJ336" i="9" s="1"/>
  <c r="AJ337" i="9" s="1"/>
  <c r="AJ338" i="9" s="1"/>
  <c r="AJ339" i="9" s="1"/>
  <c r="AJ340" i="9" s="1"/>
  <c r="AJ341" i="9" s="1"/>
  <c r="AJ342" i="9" s="1"/>
  <c r="AJ343" i="9" s="1"/>
  <c r="AJ344" i="9" s="1"/>
  <c r="AJ345" i="9" s="1"/>
  <c r="AJ346" i="9" s="1"/>
  <c r="AJ347" i="9" s="1"/>
  <c r="AJ348" i="9" s="1"/>
  <c r="AJ349" i="9" s="1"/>
  <c r="AJ350" i="9" s="1"/>
  <c r="AJ351" i="9" s="1"/>
  <c r="AJ352" i="9" s="1"/>
  <c r="AJ353" i="9" s="1"/>
  <c r="AJ354" i="9" s="1"/>
  <c r="AJ355" i="9" s="1"/>
  <c r="AJ356" i="9" s="1"/>
  <c r="AJ357" i="9" s="1"/>
  <c r="AJ358" i="9" s="1"/>
  <c r="AJ359" i="9" s="1"/>
  <c r="AJ360" i="9" s="1"/>
  <c r="AJ361" i="9" s="1"/>
  <c r="AJ362" i="9" s="1"/>
  <c r="AJ363" i="9" s="1"/>
  <c r="AJ364" i="9" s="1"/>
  <c r="AJ365" i="9" s="1"/>
  <c r="AJ366" i="9" s="1"/>
  <c r="AJ367" i="9" s="1"/>
  <c r="AJ368" i="9" s="1"/>
  <c r="AJ369" i="9" s="1"/>
  <c r="AJ370" i="9" s="1"/>
  <c r="AJ371" i="9" s="1"/>
  <c r="AJ372" i="9" s="1"/>
  <c r="AJ373" i="9" s="1"/>
  <c r="AJ374" i="9" s="1"/>
  <c r="AJ375" i="9" s="1"/>
  <c r="AJ376" i="9" s="1"/>
  <c r="AJ377" i="9" s="1"/>
  <c r="AJ378" i="9" s="1"/>
  <c r="AJ379" i="9" s="1"/>
  <c r="AJ380" i="9" s="1"/>
  <c r="AJ381" i="9" s="1"/>
  <c r="AJ382" i="9" s="1"/>
  <c r="AJ383" i="9" s="1"/>
  <c r="AJ384" i="9" s="1"/>
  <c r="AJ385" i="9" s="1"/>
  <c r="AJ386" i="9" s="1"/>
  <c r="AJ387" i="9" s="1"/>
  <c r="AJ388" i="9" s="1"/>
  <c r="AJ389" i="9" s="1"/>
  <c r="AJ390" i="9" s="1"/>
  <c r="AJ391" i="9" s="1"/>
  <c r="AJ392" i="9" s="1"/>
  <c r="AJ393" i="9" s="1"/>
  <c r="AJ394" i="9" s="1"/>
  <c r="AJ395" i="9" s="1"/>
  <c r="AJ396" i="9" s="1"/>
  <c r="AJ397" i="9" s="1"/>
  <c r="AJ398" i="9" s="1"/>
  <c r="AJ399" i="9" s="1"/>
  <c r="AJ400" i="9" s="1"/>
  <c r="AJ401" i="9" s="1"/>
  <c r="AJ402" i="9" s="1"/>
  <c r="AJ403" i="9" s="1"/>
  <c r="AJ404" i="9" s="1"/>
  <c r="AJ405" i="9" s="1"/>
  <c r="AJ406" i="9" s="1"/>
  <c r="AJ407" i="9" s="1"/>
  <c r="AJ408" i="9" s="1"/>
  <c r="AJ409" i="9" s="1"/>
  <c r="AJ410" i="9" s="1"/>
  <c r="AJ411" i="9" s="1"/>
  <c r="AJ412" i="9" s="1"/>
  <c r="AJ413" i="9" s="1"/>
  <c r="AJ414" i="9" s="1"/>
  <c r="AJ415" i="9" s="1"/>
  <c r="AJ416" i="9" s="1"/>
  <c r="AJ417" i="9" s="1"/>
  <c r="AJ418" i="9" s="1"/>
  <c r="AJ419" i="9" s="1"/>
  <c r="AJ420" i="9" s="1"/>
  <c r="AJ421" i="9" s="1"/>
  <c r="AJ422" i="9" s="1"/>
  <c r="AJ423" i="9" s="1"/>
  <c r="AJ424" i="9" s="1"/>
  <c r="AJ425" i="9" s="1"/>
  <c r="AJ426" i="9" s="1"/>
  <c r="AJ427" i="9" s="1"/>
  <c r="AJ428" i="9" s="1"/>
  <c r="AJ429" i="9" s="1"/>
  <c r="AJ430" i="9" s="1"/>
  <c r="AJ431" i="9" s="1"/>
  <c r="AJ432" i="9" s="1"/>
  <c r="AJ433" i="9" s="1"/>
  <c r="AJ434" i="9" s="1"/>
  <c r="AJ435" i="9" s="1"/>
  <c r="AJ436" i="9" s="1"/>
  <c r="AJ437" i="9" s="1"/>
  <c r="AJ438" i="9" s="1"/>
  <c r="AJ439" i="9" s="1"/>
  <c r="AI10" i="9"/>
  <c r="AI11" i="9" s="1"/>
  <c r="AI12" i="9" s="1"/>
  <c r="AI13" i="9" s="1"/>
  <c r="AI14" i="9" s="1"/>
  <c r="AI15" i="9" s="1"/>
  <c r="AI16" i="9" s="1"/>
  <c r="AI17" i="9" s="1"/>
  <c r="AI18" i="9" s="1"/>
  <c r="AI19" i="9" s="1"/>
  <c r="AI20" i="9" s="1"/>
  <c r="AI21" i="9" s="1"/>
  <c r="AI22" i="9" s="1"/>
  <c r="AI23" i="9" s="1"/>
  <c r="AI24" i="9" s="1"/>
  <c r="AI25" i="9" s="1"/>
  <c r="AI26" i="9" s="1"/>
  <c r="AI27" i="9" s="1"/>
  <c r="AI28" i="9" s="1"/>
  <c r="AI29" i="9" s="1"/>
  <c r="AI30" i="9" s="1"/>
  <c r="AI31" i="9" s="1"/>
  <c r="AI32" i="9" s="1"/>
  <c r="AI33" i="9" s="1"/>
  <c r="AI34" i="9" s="1"/>
  <c r="AI35" i="9" s="1"/>
  <c r="AI36" i="9" s="1"/>
  <c r="AI37" i="9" s="1"/>
  <c r="AI38" i="9" s="1"/>
  <c r="AI39" i="9" s="1"/>
  <c r="AI40" i="9" s="1"/>
  <c r="AI41" i="9" s="1"/>
  <c r="AI42" i="9" s="1"/>
  <c r="AI43" i="9" s="1"/>
  <c r="AI44" i="9" s="1"/>
  <c r="AI45" i="9" s="1"/>
  <c r="AI46" i="9" s="1"/>
  <c r="AI47" i="9" s="1"/>
  <c r="AI48" i="9" s="1"/>
  <c r="AI49" i="9" s="1"/>
  <c r="AI50" i="9" s="1"/>
  <c r="AI51" i="9" s="1"/>
  <c r="AI52" i="9" s="1"/>
  <c r="AI53" i="9" s="1"/>
  <c r="AI54" i="9" s="1"/>
  <c r="AI55" i="9" s="1"/>
  <c r="AI56" i="9" s="1"/>
  <c r="AI57" i="9" s="1"/>
  <c r="AI58" i="9" s="1"/>
  <c r="AI59" i="9" s="1"/>
  <c r="AI60" i="9" s="1"/>
  <c r="AI61" i="9" s="1"/>
  <c r="AI62" i="9" s="1"/>
  <c r="AI63" i="9" s="1"/>
  <c r="AI64" i="9" s="1"/>
  <c r="AI65" i="9" s="1"/>
  <c r="AI66" i="9" s="1"/>
  <c r="AI67" i="9" s="1"/>
  <c r="AI68" i="9" s="1"/>
  <c r="AI69" i="9" s="1"/>
  <c r="AI70" i="9" s="1"/>
  <c r="AI71" i="9" s="1"/>
  <c r="AI72" i="9" s="1"/>
  <c r="AI73" i="9" s="1"/>
  <c r="AI74" i="9" s="1"/>
  <c r="AI75" i="9" s="1"/>
  <c r="AI76" i="9" s="1"/>
  <c r="AI77" i="9" s="1"/>
  <c r="AI78" i="9" s="1"/>
  <c r="AI79" i="9" s="1"/>
  <c r="AI80" i="9" s="1"/>
  <c r="AI81" i="9" s="1"/>
  <c r="AI82" i="9" s="1"/>
  <c r="AI83" i="9" s="1"/>
  <c r="AI84" i="9" s="1"/>
  <c r="AI85" i="9" s="1"/>
  <c r="AI86" i="9" s="1"/>
  <c r="AI87" i="9" s="1"/>
  <c r="AI88" i="9" s="1"/>
  <c r="AI89" i="9" s="1"/>
  <c r="AI90" i="9" s="1"/>
  <c r="AI91" i="9" s="1"/>
  <c r="AI92" i="9" s="1"/>
  <c r="AI93" i="9" s="1"/>
  <c r="AI94" i="9" s="1"/>
  <c r="AI95" i="9" s="1"/>
  <c r="AI96" i="9" s="1"/>
  <c r="AI97" i="9" s="1"/>
  <c r="AI98" i="9" s="1"/>
  <c r="AI99" i="9" s="1"/>
  <c r="AI100" i="9" s="1"/>
  <c r="AI101" i="9" s="1"/>
  <c r="AI102" i="9" s="1"/>
  <c r="AI103" i="9" s="1"/>
  <c r="AI104" i="9" s="1"/>
  <c r="AI105" i="9" s="1"/>
  <c r="AI106" i="9" s="1"/>
  <c r="AI107" i="9" s="1"/>
  <c r="AI108" i="9" s="1"/>
  <c r="AI109" i="9" s="1"/>
  <c r="AI110" i="9" s="1"/>
  <c r="AI111" i="9" s="1"/>
  <c r="AI112" i="9" s="1"/>
  <c r="AI113" i="9" s="1"/>
  <c r="AI114" i="9" s="1"/>
  <c r="AI115" i="9" s="1"/>
  <c r="AI116" i="9" s="1"/>
  <c r="AI117" i="9" s="1"/>
  <c r="AI118" i="9" s="1"/>
  <c r="AI119" i="9" s="1"/>
  <c r="AI120" i="9" s="1"/>
  <c r="AI121" i="9" s="1"/>
  <c r="AI122" i="9" s="1"/>
  <c r="AI123" i="9" s="1"/>
  <c r="AI124" i="9" s="1"/>
  <c r="AI125" i="9" s="1"/>
  <c r="AI126" i="9" s="1"/>
  <c r="AI127" i="9" s="1"/>
  <c r="AI128" i="9" s="1"/>
  <c r="AI129" i="9" s="1"/>
  <c r="AI130" i="9" s="1"/>
  <c r="AI131" i="9" s="1"/>
  <c r="AI132" i="9" s="1"/>
  <c r="AI133" i="9" s="1"/>
  <c r="AI134" i="9" s="1"/>
  <c r="AI135" i="9" s="1"/>
  <c r="AI136" i="9" s="1"/>
  <c r="AI137" i="9" s="1"/>
  <c r="AI138" i="9" s="1"/>
  <c r="AI139" i="9" s="1"/>
  <c r="AI140" i="9" s="1"/>
  <c r="AI141" i="9" s="1"/>
  <c r="AI142" i="9" s="1"/>
  <c r="AI143" i="9" s="1"/>
  <c r="AI144" i="9" s="1"/>
  <c r="AI145" i="9" s="1"/>
  <c r="AI146" i="9" s="1"/>
  <c r="AI147" i="9" s="1"/>
  <c r="AI148" i="9" s="1"/>
  <c r="AI149" i="9" s="1"/>
  <c r="AI150" i="9" s="1"/>
  <c r="AI151" i="9" s="1"/>
  <c r="AI152" i="9" s="1"/>
  <c r="AI153" i="9" s="1"/>
  <c r="AI154" i="9" s="1"/>
  <c r="AI155" i="9" s="1"/>
  <c r="AI156" i="9" s="1"/>
  <c r="AI157" i="9" s="1"/>
  <c r="AI158" i="9" s="1"/>
  <c r="AI159" i="9" s="1"/>
  <c r="AI160" i="9" s="1"/>
  <c r="AI161" i="9" s="1"/>
  <c r="AI162" i="9" s="1"/>
  <c r="AI163" i="9" s="1"/>
  <c r="AI164" i="9" s="1"/>
  <c r="AI165" i="9" s="1"/>
  <c r="AI166" i="9" s="1"/>
  <c r="AI167" i="9" s="1"/>
  <c r="AI168" i="9" s="1"/>
  <c r="AI169" i="9" s="1"/>
  <c r="AI170" i="9" s="1"/>
  <c r="AI171" i="9" s="1"/>
  <c r="AI172" i="9" s="1"/>
  <c r="AI173" i="9" s="1"/>
  <c r="AI174" i="9" s="1"/>
  <c r="AI175" i="9" s="1"/>
  <c r="AI176" i="9" s="1"/>
  <c r="AI177" i="9" s="1"/>
  <c r="AI178" i="9" s="1"/>
  <c r="AI179" i="9" s="1"/>
  <c r="AI180" i="9" s="1"/>
  <c r="AI181" i="9" s="1"/>
  <c r="AI182" i="9" s="1"/>
  <c r="AI183" i="9" s="1"/>
  <c r="AI184" i="9" s="1"/>
  <c r="AI185" i="9" s="1"/>
  <c r="AI186" i="9" s="1"/>
  <c r="AI187" i="9" s="1"/>
  <c r="AI188" i="9" s="1"/>
  <c r="AI189" i="9" s="1"/>
  <c r="AI190" i="9" s="1"/>
  <c r="AI191" i="9" s="1"/>
  <c r="AI192" i="9" s="1"/>
  <c r="AI193" i="9" s="1"/>
  <c r="AI194" i="9" s="1"/>
  <c r="AI195" i="9" s="1"/>
  <c r="AI196" i="9" s="1"/>
  <c r="AI197" i="9" s="1"/>
  <c r="AI198" i="9" s="1"/>
  <c r="AI199" i="9" s="1"/>
  <c r="AI200" i="9" s="1"/>
  <c r="AI201" i="9" s="1"/>
  <c r="AI202" i="9" s="1"/>
  <c r="AI203" i="9" s="1"/>
  <c r="AI204" i="9" s="1"/>
  <c r="AI205" i="9" s="1"/>
  <c r="AI206" i="9" s="1"/>
  <c r="AI207" i="9" s="1"/>
  <c r="AI208" i="9" s="1"/>
  <c r="AI209" i="9" s="1"/>
  <c r="AI210" i="9" s="1"/>
  <c r="AI211" i="9" s="1"/>
  <c r="AI212" i="9" s="1"/>
  <c r="AI213" i="9" s="1"/>
  <c r="AI214" i="9" s="1"/>
  <c r="AI215" i="9" s="1"/>
  <c r="AI216" i="9" s="1"/>
  <c r="AI217" i="9" s="1"/>
  <c r="AI218" i="9" s="1"/>
  <c r="AI219" i="9" s="1"/>
  <c r="AI220" i="9" s="1"/>
  <c r="AI221" i="9" s="1"/>
  <c r="AI222" i="9" s="1"/>
  <c r="AI223" i="9" s="1"/>
  <c r="AI224" i="9" s="1"/>
  <c r="AI225" i="9" s="1"/>
  <c r="AI226" i="9" s="1"/>
  <c r="AI227" i="9" s="1"/>
  <c r="AI228" i="9" s="1"/>
  <c r="AI229" i="9" s="1"/>
  <c r="AI230" i="9" s="1"/>
  <c r="AI231" i="9" s="1"/>
  <c r="AI232" i="9" s="1"/>
  <c r="AI233" i="9" s="1"/>
  <c r="AI234" i="9" s="1"/>
  <c r="AI235" i="9" s="1"/>
  <c r="AI236" i="9" s="1"/>
  <c r="AI237" i="9" s="1"/>
  <c r="AI238" i="9" s="1"/>
  <c r="AI239" i="9" s="1"/>
  <c r="AI240" i="9" s="1"/>
  <c r="AI241" i="9" s="1"/>
  <c r="AI242" i="9" s="1"/>
  <c r="AI243" i="9" s="1"/>
  <c r="AI244" i="9" s="1"/>
  <c r="AI245" i="9" s="1"/>
  <c r="AI246" i="9" s="1"/>
  <c r="AI247" i="9" s="1"/>
  <c r="AI248" i="9" s="1"/>
  <c r="AI249" i="9" s="1"/>
  <c r="AI250" i="9" s="1"/>
  <c r="AI251" i="9" s="1"/>
  <c r="AI252" i="9" s="1"/>
  <c r="AI253" i="9" s="1"/>
  <c r="AI254" i="9" s="1"/>
  <c r="AI255" i="9" s="1"/>
  <c r="AI256" i="9" s="1"/>
  <c r="AI257" i="9" s="1"/>
  <c r="AI258" i="9" s="1"/>
  <c r="AI259" i="9" s="1"/>
  <c r="AI260" i="9" s="1"/>
  <c r="AI261" i="9" s="1"/>
  <c r="AI262" i="9" s="1"/>
  <c r="AI263" i="9" s="1"/>
  <c r="AI264" i="9" s="1"/>
  <c r="AI265" i="9" s="1"/>
  <c r="AI266" i="9" s="1"/>
  <c r="AI267" i="9" s="1"/>
  <c r="AI268" i="9" s="1"/>
  <c r="AI269" i="9" s="1"/>
  <c r="AI270" i="9" s="1"/>
  <c r="AI271" i="9" s="1"/>
  <c r="AI272" i="9" s="1"/>
  <c r="AI273" i="9" s="1"/>
  <c r="AI274" i="9" s="1"/>
  <c r="AI275" i="9" s="1"/>
  <c r="AI276" i="9" s="1"/>
  <c r="AI277" i="9" s="1"/>
  <c r="AI278" i="9" s="1"/>
  <c r="AI279" i="9" s="1"/>
  <c r="AI280" i="9" s="1"/>
  <c r="AI281" i="9" s="1"/>
  <c r="AI282" i="9" s="1"/>
  <c r="AI283" i="9" s="1"/>
  <c r="AI284" i="9" s="1"/>
  <c r="AI285" i="9" s="1"/>
  <c r="AI286" i="9" s="1"/>
  <c r="AI287" i="9" s="1"/>
  <c r="AI288" i="9" s="1"/>
  <c r="AI289" i="9" s="1"/>
  <c r="AI290" i="9" s="1"/>
  <c r="AI291" i="9" s="1"/>
  <c r="AI292" i="9" s="1"/>
  <c r="AI293" i="9" s="1"/>
  <c r="AI294" i="9" s="1"/>
  <c r="AI295" i="9" s="1"/>
  <c r="AI296" i="9" s="1"/>
  <c r="AI297" i="9" s="1"/>
  <c r="AI298" i="9" s="1"/>
  <c r="AI299" i="9" s="1"/>
  <c r="AI300" i="9" s="1"/>
  <c r="AI301" i="9" s="1"/>
  <c r="AI302" i="9" s="1"/>
  <c r="AI303" i="9" s="1"/>
  <c r="AI304" i="9" s="1"/>
  <c r="AI305" i="9" s="1"/>
  <c r="AI306" i="9" s="1"/>
  <c r="AI307" i="9" s="1"/>
  <c r="AI308" i="9" s="1"/>
  <c r="AI309" i="9" s="1"/>
  <c r="AI310" i="9" s="1"/>
  <c r="AI311" i="9" s="1"/>
  <c r="AI312" i="9" s="1"/>
  <c r="AI313" i="9" s="1"/>
  <c r="AI314" i="9" s="1"/>
  <c r="AI315" i="9" s="1"/>
  <c r="AI316" i="9" s="1"/>
  <c r="AI317" i="9" s="1"/>
  <c r="AI318" i="9" s="1"/>
  <c r="AI319" i="9" s="1"/>
  <c r="AI320" i="9" s="1"/>
  <c r="AI321" i="9" s="1"/>
  <c r="AI322" i="9" s="1"/>
  <c r="AI323" i="9" s="1"/>
  <c r="AI324" i="9" s="1"/>
  <c r="AI325" i="9" s="1"/>
  <c r="AI326" i="9" s="1"/>
  <c r="AI327" i="9" s="1"/>
  <c r="AI328" i="9" s="1"/>
  <c r="AI329" i="9" s="1"/>
  <c r="AI330" i="9" s="1"/>
  <c r="AI331" i="9" s="1"/>
  <c r="AI332" i="9" s="1"/>
  <c r="AI333" i="9" s="1"/>
  <c r="AI334" i="9" s="1"/>
  <c r="AI335" i="9" s="1"/>
  <c r="AI336" i="9" s="1"/>
  <c r="AI337" i="9" s="1"/>
  <c r="AI338" i="9" s="1"/>
  <c r="AI339" i="9" s="1"/>
  <c r="AI340" i="9" s="1"/>
  <c r="AI341" i="9" s="1"/>
  <c r="AI342" i="9" s="1"/>
  <c r="AI343" i="9" s="1"/>
  <c r="AI344" i="9" s="1"/>
  <c r="AI345" i="9" s="1"/>
  <c r="AI346" i="9" s="1"/>
  <c r="AI347" i="9" s="1"/>
  <c r="AI348" i="9" s="1"/>
  <c r="AI349" i="9" s="1"/>
  <c r="AI350" i="9" s="1"/>
  <c r="AI351" i="9" s="1"/>
  <c r="AI352" i="9" s="1"/>
  <c r="AI353" i="9" s="1"/>
  <c r="AI354" i="9" s="1"/>
  <c r="AI355" i="9" s="1"/>
  <c r="AI356" i="9" s="1"/>
  <c r="AI357" i="9" s="1"/>
  <c r="AI358" i="9" s="1"/>
  <c r="AI359" i="9" s="1"/>
  <c r="AI360" i="9" s="1"/>
  <c r="AI361" i="9" s="1"/>
  <c r="AI362" i="9" s="1"/>
  <c r="AI363" i="9" s="1"/>
  <c r="AI364" i="9" s="1"/>
  <c r="AI365" i="9" s="1"/>
  <c r="AI366" i="9" s="1"/>
  <c r="AI367" i="9" s="1"/>
  <c r="AI368" i="9" s="1"/>
  <c r="AI369" i="9" s="1"/>
  <c r="AI370" i="9" s="1"/>
  <c r="AI371" i="9" s="1"/>
  <c r="AI372" i="9" s="1"/>
  <c r="AI373" i="9" s="1"/>
  <c r="AI374" i="9" s="1"/>
  <c r="AI375" i="9" s="1"/>
  <c r="AI376" i="9" s="1"/>
  <c r="AI377" i="9" s="1"/>
  <c r="AI378" i="9" s="1"/>
  <c r="AI379" i="9" s="1"/>
  <c r="AI380" i="9" s="1"/>
  <c r="AI381" i="9" s="1"/>
  <c r="AI382" i="9" s="1"/>
  <c r="AI383" i="9" s="1"/>
  <c r="AI384" i="9" s="1"/>
  <c r="AI385" i="9" s="1"/>
  <c r="AI386" i="9" s="1"/>
  <c r="AI387" i="9" s="1"/>
  <c r="AI388" i="9" s="1"/>
  <c r="AI389" i="9" s="1"/>
  <c r="AI390" i="9" s="1"/>
  <c r="AI391" i="9" s="1"/>
  <c r="AI392" i="9" s="1"/>
  <c r="AI393" i="9" s="1"/>
  <c r="AI394" i="9" s="1"/>
  <c r="AI395" i="9" s="1"/>
  <c r="AI396" i="9" s="1"/>
  <c r="AI397" i="9" s="1"/>
  <c r="AI398" i="9" s="1"/>
  <c r="AI399" i="9" s="1"/>
  <c r="AI400" i="9" s="1"/>
  <c r="AI401" i="9" s="1"/>
  <c r="AI402" i="9" s="1"/>
  <c r="AI403" i="9" s="1"/>
  <c r="AI404" i="9" s="1"/>
  <c r="AI405" i="9" s="1"/>
  <c r="AI406" i="9" s="1"/>
  <c r="AI407" i="9" s="1"/>
  <c r="AI408" i="9" s="1"/>
  <c r="AI409" i="9" s="1"/>
  <c r="AI410" i="9" s="1"/>
  <c r="AI411" i="9" s="1"/>
  <c r="AI412" i="9" s="1"/>
  <c r="AI413" i="9" s="1"/>
  <c r="AI414" i="9" s="1"/>
  <c r="AI415" i="9" s="1"/>
  <c r="AI416" i="9" s="1"/>
  <c r="AI417" i="9" s="1"/>
  <c r="AI418" i="9" s="1"/>
  <c r="AI419" i="9" s="1"/>
  <c r="AI420" i="9" s="1"/>
  <c r="AI421" i="9" s="1"/>
  <c r="AI422" i="9" s="1"/>
  <c r="AI423" i="9" s="1"/>
  <c r="AI424" i="9" s="1"/>
  <c r="AI425" i="9" s="1"/>
  <c r="AI426" i="9" s="1"/>
  <c r="AI427" i="9" s="1"/>
  <c r="AI428" i="9" s="1"/>
  <c r="AI429" i="9" s="1"/>
  <c r="AI430" i="9" s="1"/>
  <c r="AI431" i="9" s="1"/>
  <c r="AI432" i="9" s="1"/>
  <c r="AI433" i="9" s="1"/>
  <c r="AI434" i="9" s="1"/>
  <c r="AI435" i="9" s="1"/>
  <c r="AI436" i="9" s="1"/>
  <c r="AI437" i="9" s="1"/>
  <c r="AI438" i="9" s="1"/>
  <c r="AI439" i="9" s="1"/>
  <c r="AI440" i="9" s="1"/>
  <c r="AI441" i="9" s="1"/>
  <c r="AI442" i="9" s="1"/>
  <c r="AI443" i="9" s="1"/>
  <c r="AI444" i="9" s="1"/>
  <c r="AK10" i="9"/>
  <c r="AK11" i="9" s="1"/>
  <c r="AK12" i="9" s="1"/>
  <c r="AK13" i="9" s="1"/>
  <c r="AK14" i="9" s="1"/>
  <c r="AK15" i="9" s="1"/>
  <c r="AK16" i="9" s="1"/>
  <c r="AK17" i="9" s="1"/>
  <c r="AK18" i="9" s="1"/>
  <c r="AK19" i="9" s="1"/>
  <c r="AK20" i="9" s="1"/>
  <c r="AK21" i="9" s="1"/>
  <c r="AK22" i="9" s="1"/>
  <c r="AK23" i="9" s="1"/>
  <c r="AK24" i="9" s="1"/>
  <c r="AK25" i="9" s="1"/>
  <c r="AK26" i="9" s="1"/>
  <c r="AK27" i="9" s="1"/>
  <c r="AK28" i="9" s="1"/>
  <c r="AK29" i="9" s="1"/>
  <c r="AK30" i="9" s="1"/>
  <c r="AK31" i="9" s="1"/>
  <c r="AK32" i="9" s="1"/>
  <c r="AK33" i="9" s="1"/>
  <c r="AK34" i="9" s="1"/>
  <c r="AK35" i="9" s="1"/>
  <c r="AK36" i="9" s="1"/>
  <c r="AK37" i="9" s="1"/>
  <c r="AK38" i="9" s="1"/>
  <c r="AK39" i="9" s="1"/>
  <c r="AK40" i="9" s="1"/>
  <c r="AK41" i="9" s="1"/>
  <c r="AK42" i="9" s="1"/>
  <c r="AK43" i="9" s="1"/>
  <c r="AK44" i="9" s="1"/>
  <c r="AK45" i="9" s="1"/>
  <c r="AK46" i="9" s="1"/>
  <c r="AK47" i="9" s="1"/>
  <c r="AK48" i="9" s="1"/>
  <c r="AK49" i="9" s="1"/>
  <c r="AK50" i="9" s="1"/>
  <c r="AK51" i="9" s="1"/>
  <c r="AK52" i="9" s="1"/>
  <c r="AK53" i="9" s="1"/>
  <c r="AK54" i="9" s="1"/>
  <c r="AK55" i="9" s="1"/>
  <c r="AK56" i="9" s="1"/>
  <c r="AK57" i="9" s="1"/>
  <c r="AK58" i="9" s="1"/>
  <c r="AK59" i="9" s="1"/>
  <c r="AK60" i="9" s="1"/>
  <c r="AK61" i="9" s="1"/>
  <c r="AK62" i="9" s="1"/>
  <c r="AK63" i="9" s="1"/>
  <c r="AK64" i="9" s="1"/>
  <c r="AK65" i="9" s="1"/>
  <c r="AK66" i="9" s="1"/>
  <c r="AK67" i="9" s="1"/>
  <c r="AK68" i="9" s="1"/>
  <c r="AK69" i="9" s="1"/>
  <c r="AK70" i="9" s="1"/>
  <c r="AK71" i="9" s="1"/>
  <c r="AK72" i="9" s="1"/>
  <c r="AK73" i="9" s="1"/>
  <c r="AK74" i="9" s="1"/>
  <c r="AK75" i="9" s="1"/>
  <c r="AK76" i="9" s="1"/>
  <c r="AK77" i="9" s="1"/>
  <c r="AK78" i="9" s="1"/>
  <c r="AK79" i="9" s="1"/>
  <c r="AK80" i="9" s="1"/>
  <c r="AK81" i="9" s="1"/>
  <c r="AK82" i="9" s="1"/>
  <c r="AK83" i="9" s="1"/>
  <c r="AK84" i="9" s="1"/>
  <c r="AK85" i="9" s="1"/>
  <c r="AK86" i="9" s="1"/>
  <c r="AK87" i="9" s="1"/>
  <c r="AK88" i="9" s="1"/>
  <c r="AK89" i="9" s="1"/>
  <c r="AK90" i="9" s="1"/>
  <c r="AK91" i="9" s="1"/>
  <c r="AK92" i="9" s="1"/>
  <c r="AK93" i="9" s="1"/>
  <c r="AK94" i="9" s="1"/>
  <c r="AK95" i="9" s="1"/>
  <c r="AK96" i="9" s="1"/>
  <c r="AK97" i="9" s="1"/>
  <c r="AK98" i="9" s="1"/>
  <c r="AK99" i="9" s="1"/>
  <c r="AK100" i="9" s="1"/>
  <c r="AK101" i="9" s="1"/>
  <c r="AK102" i="9" s="1"/>
  <c r="AK103" i="9" s="1"/>
  <c r="AK104" i="9" s="1"/>
  <c r="AK105" i="9" s="1"/>
  <c r="AK106" i="9" s="1"/>
  <c r="AK107" i="9" s="1"/>
  <c r="AK108" i="9" s="1"/>
  <c r="AK109" i="9" s="1"/>
  <c r="AK110" i="9" s="1"/>
  <c r="AK111" i="9" s="1"/>
  <c r="AK112" i="9" s="1"/>
  <c r="AK113" i="9" s="1"/>
  <c r="AK114" i="9" s="1"/>
  <c r="AK115" i="9" s="1"/>
  <c r="AK116" i="9" s="1"/>
  <c r="AK117" i="9" s="1"/>
  <c r="AK118" i="9" s="1"/>
  <c r="AK119" i="9" s="1"/>
  <c r="AK120" i="9" s="1"/>
  <c r="AK121" i="9" s="1"/>
  <c r="AK122" i="9" s="1"/>
  <c r="AK123" i="9" s="1"/>
  <c r="AK124" i="9" s="1"/>
  <c r="AK125" i="9" s="1"/>
  <c r="AK126" i="9" s="1"/>
  <c r="AK127" i="9" s="1"/>
  <c r="AK128" i="9" s="1"/>
  <c r="AK129" i="9" s="1"/>
  <c r="AK130" i="9" s="1"/>
  <c r="AK131" i="9" s="1"/>
  <c r="AK132" i="9" s="1"/>
  <c r="AK133" i="9" s="1"/>
  <c r="AK134" i="9" s="1"/>
  <c r="AK135" i="9" s="1"/>
  <c r="AK136" i="9" s="1"/>
  <c r="AK137" i="9" s="1"/>
  <c r="AK138" i="9" s="1"/>
  <c r="AK139" i="9" s="1"/>
  <c r="AK140" i="9" s="1"/>
  <c r="AK141" i="9" s="1"/>
  <c r="AK142" i="9" s="1"/>
  <c r="AK143" i="9" s="1"/>
  <c r="AK144" i="9" s="1"/>
  <c r="AK145" i="9" s="1"/>
  <c r="AK146" i="9" s="1"/>
  <c r="AK147" i="9" s="1"/>
  <c r="AK148" i="9" s="1"/>
  <c r="AK149" i="9" s="1"/>
  <c r="AK150" i="9" s="1"/>
  <c r="AK151" i="9" s="1"/>
  <c r="AK152" i="9" s="1"/>
  <c r="AK153" i="9" s="1"/>
  <c r="AK154" i="9" s="1"/>
  <c r="AK155" i="9" s="1"/>
  <c r="AK156" i="9" s="1"/>
  <c r="AK157" i="9" s="1"/>
  <c r="AK158" i="9" s="1"/>
  <c r="AK159" i="9" s="1"/>
  <c r="AK160" i="9" s="1"/>
  <c r="AK161" i="9" s="1"/>
  <c r="AK162" i="9" s="1"/>
  <c r="AK163" i="9" s="1"/>
  <c r="AK164" i="9" s="1"/>
  <c r="AK165" i="9" s="1"/>
  <c r="AK166" i="9" s="1"/>
  <c r="AK167" i="9" s="1"/>
  <c r="AK168" i="9" s="1"/>
  <c r="AK169" i="9" s="1"/>
  <c r="AK170" i="9" s="1"/>
  <c r="AK171" i="9" s="1"/>
  <c r="AK172" i="9" s="1"/>
  <c r="AK173" i="9" s="1"/>
  <c r="AK174" i="9" s="1"/>
  <c r="AK175" i="9" s="1"/>
  <c r="AK176" i="9" s="1"/>
  <c r="AK177" i="9" s="1"/>
  <c r="AK178" i="9" s="1"/>
  <c r="AK179" i="9" s="1"/>
  <c r="AK180" i="9" s="1"/>
  <c r="AK181" i="9" s="1"/>
  <c r="AK182" i="9" s="1"/>
  <c r="AK183" i="9" s="1"/>
  <c r="AK184" i="9" s="1"/>
  <c r="AK185" i="9" s="1"/>
  <c r="AK186" i="9" s="1"/>
  <c r="AK187" i="9" s="1"/>
  <c r="AK188" i="9" s="1"/>
  <c r="AK189" i="9" s="1"/>
  <c r="AK190" i="9" s="1"/>
  <c r="AK191" i="9" s="1"/>
  <c r="AK192" i="9" s="1"/>
  <c r="AK193" i="9" s="1"/>
  <c r="AK194" i="9" s="1"/>
  <c r="AK195" i="9" s="1"/>
  <c r="AK196" i="9" s="1"/>
  <c r="AK197" i="9" s="1"/>
  <c r="AK198" i="9" s="1"/>
  <c r="AK199" i="9" s="1"/>
  <c r="AK200" i="9" s="1"/>
  <c r="AK201" i="9" s="1"/>
  <c r="AK202" i="9" s="1"/>
  <c r="AK203" i="9" s="1"/>
  <c r="AK204" i="9" s="1"/>
  <c r="AK205" i="9" s="1"/>
  <c r="AK206" i="9" s="1"/>
  <c r="AK207" i="9" s="1"/>
  <c r="AK208" i="9" s="1"/>
  <c r="AK209" i="9" s="1"/>
  <c r="AK210" i="9" s="1"/>
  <c r="AK211" i="9" s="1"/>
  <c r="AK212" i="9" s="1"/>
  <c r="AK213" i="9" s="1"/>
  <c r="AK214" i="9" s="1"/>
  <c r="AK215" i="9" s="1"/>
  <c r="AK216" i="9" s="1"/>
  <c r="AK217" i="9" s="1"/>
  <c r="AK218" i="9" s="1"/>
  <c r="AK219" i="9" s="1"/>
  <c r="AK220" i="9" s="1"/>
  <c r="AK221" i="9" s="1"/>
  <c r="AK222" i="9" s="1"/>
  <c r="AK223" i="9" s="1"/>
  <c r="AK224" i="9" s="1"/>
  <c r="AK225" i="9" s="1"/>
  <c r="AK226" i="9" s="1"/>
  <c r="AK227" i="9" s="1"/>
  <c r="AK228" i="9" s="1"/>
  <c r="AK229" i="9" s="1"/>
  <c r="AK230" i="9" s="1"/>
  <c r="AK231" i="9" s="1"/>
  <c r="AK232" i="9" s="1"/>
  <c r="AK233" i="9" s="1"/>
  <c r="AK234" i="9" s="1"/>
  <c r="AK235" i="9" s="1"/>
  <c r="AK236" i="9" s="1"/>
  <c r="AK237" i="9" s="1"/>
  <c r="AK238" i="9" s="1"/>
  <c r="AK239" i="9" s="1"/>
  <c r="AK240" i="9" s="1"/>
  <c r="AK241" i="9" s="1"/>
  <c r="AK242" i="9" s="1"/>
  <c r="AK243" i="9" s="1"/>
  <c r="AK244" i="9" s="1"/>
  <c r="AK245" i="9" s="1"/>
  <c r="AK246" i="9" s="1"/>
  <c r="AK247" i="9" s="1"/>
  <c r="AK248" i="9" s="1"/>
  <c r="AK249" i="9" s="1"/>
  <c r="AK250" i="9" s="1"/>
  <c r="AK251" i="9" s="1"/>
  <c r="AK252" i="9" s="1"/>
  <c r="AK253" i="9" s="1"/>
  <c r="AK254" i="9" s="1"/>
  <c r="AK255" i="9" s="1"/>
  <c r="AK256" i="9" s="1"/>
  <c r="AK257" i="9" s="1"/>
  <c r="AK258" i="9" s="1"/>
  <c r="AK259" i="9" s="1"/>
  <c r="AK260" i="9" s="1"/>
  <c r="AK261" i="9" s="1"/>
  <c r="AK262" i="9" s="1"/>
  <c r="AK263" i="9" s="1"/>
  <c r="AK264" i="9" s="1"/>
  <c r="AK265" i="9" s="1"/>
  <c r="AK266" i="9" s="1"/>
  <c r="AK267" i="9" s="1"/>
  <c r="AK268" i="9" s="1"/>
  <c r="AK269" i="9" s="1"/>
  <c r="AK270" i="9" s="1"/>
  <c r="AK271" i="9" s="1"/>
  <c r="AK272" i="9" s="1"/>
  <c r="AK273" i="9" s="1"/>
  <c r="AK274" i="9" s="1"/>
  <c r="AK275" i="9" s="1"/>
  <c r="AK276" i="9" s="1"/>
  <c r="AK277" i="9" s="1"/>
  <c r="AK278" i="9" s="1"/>
  <c r="AK279" i="9" s="1"/>
  <c r="AK280" i="9" s="1"/>
  <c r="AK281" i="9" s="1"/>
  <c r="AK282" i="9" s="1"/>
  <c r="AK283" i="9" s="1"/>
  <c r="AK284" i="9" s="1"/>
  <c r="AK285" i="9" s="1"/>
  <c r="AK286" i="9" s="1"/>
  <c r="AK287" i="9" s="1"/>
  <c r="AK288" i="9" s="1"/>
  <c r="AK289" i="9" s="1"/>
  <c r="AK290" i="9" s="1"/>
  <c r="AK291" i="9" s="1"/>
  <c r="AK292" i="9" s="1"/>
  <c r="AK293" i="9" s="1"/>
  <c r="AK294" i="9" s="1"/>
  <c r="AK295" i="9" s="1"/>
  <c r="AK296" i="9" s="1"/>
  <c r="AK297" i="9" s="1"/>
  <c r="AK298" i="9" s="1"/>
  <c r="AK299" i="9" s="1"/>
  <c r="AK300" i="9" s="1"/>
  <c r="AK301" i="9" s="1"/>
  <c r="AK302" i="9" s="1"/>
  <c r="AK303" i="9" s="1"/>
  <c r="AK304" i="9" s="1"/>
  <c r="AK305" i="9" s="1"/>
  <c r="AK306" i="9" s="1"/>
  <c r="AK307" i="9" s="1"/>
  <c r="AK308" i="9" s="1"/>
  <c r="AK309" i="9" s="1"/>
  <c r="AK310" i="9" s="1"/>
  <c r="AK311" i="9" s="1"/>
  <c r="AK312" i="9" s="1"/>
  <c r="AK313" i="9" s="1"/>
  <c r="AK314" i="9" s="1"/>
  <c r="AK315" i="9" s="1"/>
  <c r="AK316" i="9" s="1"/>
  <c r="AK317" i="9" s="1"/>
  <c r="AK318" i="9" s="1"/>
  <c r="AK319" i="9" s="1"/>
  <c r="AK320" i="9" s="1"/>
  <c r="AK321" i="9" s="1"/>
  <c r="AK322" i="9" s="1"/>
  <c r="AK323" i="9" s="1"/>
  <c r="AK324" i="9" s="1"/>
  <c r="AK325" i="9" s="1"/>
  <c r="AK326" i="9" s="1"/>
  <c r="AK327" i="9" s="1"/>
  <c r="AK328" i="9" s="1"/>
  <c r="AK329" i="9" s="1"/>
  <c r="AK330" i="9" s="1"/>
  <c r="AK331" i="9" s="1"/>
  <c r="AK332" i="9" s="1"/>
  <c r="AK333" i="9" s="1"/>
  <c r="AK334" i="9" s="1"/>
  <c r="AK335" i="9" s="1"/>
  <c r="AK336" i="9" s="1"/>
  <c r="AK337" i="9" s="1"/>
  <c r="AK338" i="9" s="1"/>
  <c r="AK339" i="9" s="1"/>
  <c r="AK340" i="9" s="1"/>
  <c r="AK341" i="9" s="1"/>
  <c r="AK342" i="9" s="1"/>
  <c r="AK343" i="9" s="1"/>
  <c r="AK344" i="9" s="1"/>
  <c r="AK345" i="9" s="1"/>
  <c r="AK346" i="9" s="1"/>
  <c r="AK347" i="9" s="1"/>
  <c r="AK348" i="9" s="1"/>
  <c r="AK349" i="9" s="1"/>
  <c r="AK350" i="9" s="1"/>
  <c r="AK351" i="9" s="1"/>
  <c r="AK352" i="9" s="1"/>
  <c r="AK353" i="9" s="1"/>
  <c r="AS9" i="9"/>
  <c r="AS10" i="9" s="1"/>
  <c r="AS11" i="9" s="1"/>
  <c r="AS12" i="9" s="1"/>
  <c r="AS13" i="9" s="1"/>
  <c r="AS14" i="9" s="1"/>
  <c r="AS15" i="9" s="1"/>
  <c r="AS16" i="9" s="1"/>
  <c r="AS17" i="9" s="1"/>
  <c r="AS18" i="9" s="1"/>
  <c r="AS19" i="9" s="1"/>
  <c r="AS20" i="9" s="1"/>
  <c r="AS21" i="9" s="1"/>
  <c r="AS22" i="9" s="1"/>
  <c r="AT9" i="9"/>
  <c r="AT10" i="9" s="1"/>
  <c r="AT11" i="9" s="1"/>
  <c r="AT12" i="9" s="1"/>
  <c r="AT13" i="9" s="1"/>
  <c r="AT14" i="9" s="1"/>
  <c r="AT15" i="9" s="1"/>
  <c r="AT16" i="9" s="1"/>
  <c r="AT17" i="9" s="1"/>
  <c r="AT18" i="9" s="1"/>
  <c r="AT19" i="9" s="1"/>
  <c r="AT20" i="9" s="1"/>
  <c r="AT21" i="9" s="1"/>
  <c r="AT22" i="9" s="1"/>
  <c r="AT23" i="9" s="1"/>
  <c r="AT24" i="9" s="1"/>
  <c r="AT25" i="9" s="1"/>
  <c r="AT26" i="9" s="1"/>
  <c r="AT27" i="9" s="1"/>
  <c r="AT28" i="9" s="1"/>
  <c r="AT29" i="9" s="1"/>
  <c r="AT30" i="9" s="1"/>
  <c r="AT31" i="9" s="1"/>
  <c r="AT32" i="9" s="1"/>
  <c r="AT33" i="9" s="1"/>
  <c r="AT34" i="9" s="1"/>
  <c r="AT35" i="9" s="1"/>
  <c r="AT36" i="9" s="1"/>
  <c r="AT37" i="9" s="1"/>
  <c r="AT38" i="9" s="1"/>
  <c r="AT39" i="9" s="1"/>
  <c r="AT40" i="9" s="1"/>
  <c r="AT41" i="9" s="1"/>
  <c r="AT42" i="9" s="1"/>
  <c r="AT43" i="9" s="1"/>
  <c r="AT44" i="9" s="1"/>
  <c r="AT45" i="9" s="1"/>
  <c r="AT46" i="9" s="1"/>
  <c r="AT47" i="9" s="1"/>
  <c r="AT48" i="9" s="1"/>
  <c r="AT49" i="9" s="1"/>
  <c r="AT50" i="9" s="1"/>
  <c r="AT51" i="9" s="1"/>
  <c r="AT52" i="9" s="1"/>
  <c r="AT53" i="9" s="1"/>
  <c r="AT54" i="9" s="1"/>
  <c r="AT55" i="9" s="1"/>
  <c r="AT56" i="9" s="1"/>
  <c r="AT57" i="9" s="1"/>
  <c r="AT58" i="9" s="1"/>
  <c r="AT59" i="9" s="1"/>
  <c r="AT60" i="9" s="1"/>
  <c r="AT61" i="9" s="1"/>
  <c r="AT62" i="9" s="1"/>
  <c r="AT63" i="9" s="1"/>
  <c r="AT64" i="9" s="1"/>
  <c r="AT65" i="9" s="1"/>
  <c r="AT66" i="9" s="1"/>
  <c r="AT67" i="9" s="1"/>
  <c r="AT68" i="9" s="1"/>
  <c r="AT69" i="9" s="1"/>
  <c r="AT70" i="9" s="1"/>
  <c r="AT71" i="9" s="1"/>
  <c r="AT72" i="9" s="1"/>
  <c r="AT73" i="9" s="1"/>
  <c r="AT74" i="9" s="1"/>
  <c r="AT75" i="9" s="1"/>
  <c r="AT76" i="9" s="1"/>
  <c r="AT77" i="9" s="1"/>
  <c r="AT78" i="9" s="1"/>
  <c r="AT79" i="9" s="1"/>
  <c r="AT80" i="9" s="1"/>
  <c r="AT81" i="9" s="1"/>
  <c r="AT82" i="9" s="1"/>
  <c r="AT83" i="9" s="1"/>
  <c r="AT84" i="9" s="1"/>
  <c r="AT85" i="9" s="1"/>
  <c r="AT86" i="9" s="1"/>
  <c r="AT87" i="9" s="1"/>
  <c r="AT88" i="9" s="1"/>
  <c r="AT89" i="9" s="1"/>
  <c r="AT90" i="9" s="1"/>
  <c r="AT91" i="9" s="1"/>
  <c r="AT92" i="9" s="1"/>
  <c r="AT93" i="9" s="1"/>
  <c r="AT94" i="9" s="1"/>
  <c r="AT95" i="9" s="1"/>
  <c r="AT96" i="9" s="1"/>
  <c r="AT97" i="9" s="1"/>
  <c r="AT98" i="9" s="1"/>
  <c r="AT99" i="9" s="1"/>
  <c r="AT100" i="9" s="1"/>
  <c r="AT101" i="9" s="1"/>
  <c r="AT102" i="9" s="1"/>
  <c r="AT103" i="9" s="1"/>
  <c r="AT104" i="9" s="1"/>
  <c r="AT105" i="9" s="1"/>
  <c r="AT106" i="9" s="1"/>
  <c r="AT107" i="9" s="1"/>
  <c r="AT108" i="9" s="1"/>
  <c r="AT109" i="9" s="1"/>
  <c r="AT110" i="9" s="1"/>
  <c r="AT111" i="9" s="1"/>
  <c r="AT112" i="9" s="1"/>
  <c r="AT113" i="9" s="1"/>
  <c r="AT114" i="9" s="1"/>
  <c r="AT115" i="9" s="1"/>
  <c r="AT116" i="9" s="1"/>
  <c r="AT117" i="9" s="1"/>
  <c r="AT118" i="9" s="1"/>
  <c r="AT119" i="9" s="1"/>
  <c r="AT120" i="9" s="1"/>
  <c r="AT121" i="9" s="1"/>
  <c r="AT122" i="9" s="1"/>
  <c r="AT123" i="9" s="1"/>
  <c r="AT124" i="9" s="1"/>
  <c r="AT125" i="9" s="1"/>
  <c r="AT126" i="9" s="1"/>
  <c r="AT127" i="9" s="1"/>
  <c r="AT128" i="9" s="1"/>
  <c r="AT129" i="9" s="1"/>
  <c r="AT130" i="9" s="1"/>
  <c r="AT131" i="9" s="1"/>
  <c r="AT132" i="9" s="1"/>
  <c r="AT133" i="9" s="1"/>
  <c r="AT134" i="9" s="1"/>
  <c r="AT135" i="9" s="1"/>
  <c r="AT136" i="9" s="1"/>
  <c r="AT137" i="9" s="1"/>
  <c r="AT138" i="9" s="1"/>
  <c r="AT139" i="9" s="1"/>
  <c r="AT140" i="9" s="1"/>
  <c r="AT141" i="9" s="1"/>
  <c r="AT142" i="9" s="1"/>
  <c r="AT143" i="9" s="1"/>
  <c r="AT144" i="9" s="1"/>
  <c r="AT145" i="9" s="1"/>
  <c r="AT146" i="9" s="1"/>
  <c r="AT147" i="9" s="1"/>
  <c r="AT148" i="9" s="1"/>
  <c r="AT149" i="9" s="1"/>
  <c r="AT150" i="9" s="1"/>
  <c r="AT151" i="9" s="1"/>
  <c r="AT152" i="9" s="1"/>
  <c r="AT153" i="9" s="1"/>
  <c r="AT154" i="9" s="1"/>
  <c r="AT155" i="9" s="1"/>
  <c r="AT156" i="9" s="1"/>
  <c r="AT157" i="9" s="1"/>
  <c r="AT158" i="9" s="1"/>
  <c r="AT159" i="9" s="1"/>
  <c r="AT160" i="9" s="1"/>
  <c r="AT161" i="9" s="1"/>
  <c r="AT162" i="9" s="1"/>
  <c r="AT163" i="9" s="1"/>
  <c r="AT164" i="9" s="1"/>
  <c r="AT165" i="9" s="1"/>
  <c r="AT166" i="9" s="1"/>
  <c r="AT167" i="9" s="1"/>
  <c r="AT168" i="9" s="1"/>
  <c r="AT169" i="9" s="1"/>
  <c r="AT170" i="9" s="1"/>
  <c r="AT171" i="9" s="1"/>
  <c r="AT172" i="9" s="1"/>
  <c r="AT173" i="9" s="1"/>
  <c r="AT174" i="9" s="1"/>
  <c r="AT175" i="9" s="1"/>
  <c r="AT176" i="9" s="1"/>
  <c r="AT177" i="9" s="1"/>
  <c r="AT178" i="9" s="1"/>
  <c r="AT179" i="9" s="1"/>
  <c r="AT180" i="9" s="1"/>
  <c r="AT181" i="9" s="1"/>
  <c r="AT182" i="9" s="1"/>
  <c r="AT183" i="9" s="1"/>
  <c r="AT184" i="9" s="1"/>
  <c r="AT185" i="9" s="1"/>
  <c r="AT186" i="9" s="1"/>
  <c r="AT187" i="9" s="1"/>
  <c r="AT188" i="9" s="1"/>
  <c r="AT189" i="9" s="1"/>
  <c r="AT190" i="9" s="1"/>
  <c r="AT191" i="9" s="1"/>
  <c r="AT192" i="9" s="1"/>
  <c r="AT193" i="9" s="1"/>
  <c r="AT194" i="9" s="1"/>
  <c r="AT195" i="9" s="1"/>
  <c r="AT196" i="9" s="1"/>
  <c r="AT197" i="9" s="1"/>
  <c r="AT198" i="9" s="1"/>
  <c r="AT199" i="9" s="1"/>
  <c r="AT200" i="9" s="1"/>
  <c r="AT201" i="9" s="1"/>
  <c r="AT202" i="9" s="1"/>
  <c r="AT203" i="9" s="1"/>
  <c r="AT204" i="9" s="1"/>
  <c r="AT205" i="9" s="1"/>
  <c r="AT206" i="9" s="1"/>
  <c r="AT207" i="9" s="1"/>
  <c r="AT208" i="9" s="1"/>
  <c r="AT209" i="9" s="1"/>
  <c r="AT210" i="9" s="1"/>
  <c r="AT211" i="9" s="1"/>
  <c r="AT212" i="9" s="1"/>
  <c r="AT213" i="9" s="1"/>
  <c r="AT214" i="9" s="1"/>
  <c r="AT215" i="9" s="1"/>
  <c r="AT216" i="9" s="1"/>
  <c r="AT217" i="9" s="1"/>
  <c r="AT218" i="9" s="1"/>
  <c r="AT219" i="9" s="1"/>
  <c r="AT220" i="9" s="1"/>
  <c r="AT221" i="9" s="1"/>
  <c r="AT222" i="9" s="1"/>
  <c r="AT223" i="9" s="1"/>
  <c r="AT224" i="9" s="1"/>
  <c r="AT225" i="9" s="1"/>
  <c r="AT226" i="9" s="1"/>
  <c r="AT227" i="9" s="1"/>
  <c r="AT228" i="9" s="1"/>
  <c r="AT229" i="9" s="1"/>
  <c r="AT230" i="9" s="1"/>
  <c r="AT231" i="9" s="1"/>
  <c r="AT232" i="9" s="1"/>
  <c r="AT233" i="9" s="1"/>
  <c r="AT234" i="9" s="1"/>
  <c r="AT235" i="9" s="1"/>
  <c r="AT236" i="9" s="1"/>
  <c r="AT237" i="9" s="1"/>
  <c r="AT238" i="9" s="1"/>
  <c r="AT239" i="9" s="1"/>
  <c r="AT240" i="9" s="1"/>
  <c r="AT241" i="9" s="1"/>
  <c r="AT242" i="9" s="1"/>
  <c r="AT243" i="9" s="1"/>
  <c r="AT244" i="9" s="1"/>
  <c r="AT245" i="9" s="1"/>
  <c r="AT246" i="9" s="1"/>
  <c r="AT247" i="9" s="1"/>
  <c r="AT248" i="9" s="1"/>
  <c r="AT249" i="9" s="1"/>
  <c r="AT250" i="9" s="1"/>
  <c r="AT251" i="9" s="1"/>
  <c r="AT252" i="9" s="1"/>
  <c r="AT253" i="9" s="1"/>
  <c r="AT254" i="9" s="1"/>
  <c r="AT255" i="9" s="1"/>
  <c r="AT256" i="9" s="1"/>
  <c r="AT257" i="9" s="1"/>
  <c r="AT258" i="9" s="1"/>
  <c r="AT259" i="9" s="1"/>
  <c r="AT260" i="9" s="1"/>
  <c r="AT261" i="9" s="1"/>
  <c r="AT262" i="9" s="1"/>
  <c r="AT263" i="9" s="1"/>
  <c r="AT264" i="9" s="1"/>
  <c r="AT265" i="9" s="1"/>
  <c r="AT266" i="9" s="1"/>
  <c r="AT267" i="9" s="1"/>
  <c r="AT268" i="9" s="1"/>
  <c r="AT269" i="9" s="1"/>
  <c r="AT270" i="9" s="1"/>
  <c r="AT271" i="9" s="1"/>
  <c r="AT272" i="9" s="1"/>
  <c r="AT273" i="9" s="1"/>
  <c r="AT274" i="9" s="1"/>
  <c r="AT275" i="9" s="1"/>
  <c r="AT276" i="9" s="1"/>
  <c r="AT277" i="9" s="1"/>
  <c r="AT278" i="9" s="1"/>
  <c r="AT279" i="9" s="1"/>
  <c r="AT280" i="9" s="1"/>
  <c r="AT281" i="9" s="1"/>
  <c r="AT282" i="9" s="1"/>
  <c r="AT283" i="9" s="1"/>
  <c r="AT284" i="9" s="1"/>
  <c r="AT285" i="9" s="1"/>
  <c r="AT286" i="9" s="1"/>
  <c r="AT287" i="9" s="1"/>
  <c r="AT288" i="9" s="1"/>
  <c r="AT289" i="9" s="1"/>
  <c r="AT290" i="9" s="1"/>
  <c r="AT291" i="9" s="1"/>
  <c r="AT292" i="9" s="1"/>
  <c r="AT293" i="9" s="1"/>
  <c r="AT294" i="9" s="1"/>
  <c r="AT295" i="9" s="1"/>
  <c r="AT296" i="9" s="1"/>
  <c r="AT297" i="9" s="1"/>
  <c r="AT298" i="9" s="1"/>
  <c r="AT299" i="9" s="1"/>
  <c r="AT300" i="9" s="1"/>
  <c r="AT301" i="9" s="1"/>
  <c r="AT302" i="9" s="1"/>
  <c r="AT303" i="9" s="1"/>
  <c r="AT304" i="9" s="1"/>
  <c r="AT305" i="9" s="1"/>
  <c r="AT306" i="9" s="1"/>
  <c r="AT307" i="9" s="1"/>
  <c r="AT308" i="9" s="1"/>
  <c r="AT309" i="9" s="1"/>
  <c r="AT310" i="9" s="1"/>
  <c r="AT311" i="9" s="1"/>
  <c r="AT312" i="9" s="1"/>
  <c r="AT313" i="9" s="1"/>
  <c r="AT314" i="9" s="1"/>
  <c r="AT315" i="9" s="1"/>
  <c r="AT316" i="9" s="1"/>
  <c r="AT317" i="9" s="1"/>
  <c r="AT318" i="9" s="1"/>
  <c r="AT319" i="9" s="1"/>
  <c r="AT320" i="9" s="1"/>
  <c r="AT321" i="9" s="1"/>
  <c r="AT322" i="9" s="1"/>
  <c r="AT323" i="9" s="1"/>
  <c r="AT324" i="9" s="1"/>
  <c r="AT325" i="9" s="1"/>
  <c r="AT326" i="9" s="1"/>
  <c r="AT327" i="9" s="1"/>
  <c r="AT328" i="9" s="1"/>
  <c r="AT329" i="9" s="1"/>
  <c r="AT330" i="9" s="1"/>
  <c r="AT331" i="9" s="1"/>
  <c r="AT332" i="9" s="1"/>
  <c r="AT333" i="9" s="1"/>
  <c r="AT334" i="9" s="1"/>
  <c r="AT335" i="9" s="1"/>
  <c r="AT336" i="9" s="1"/>
  <c r="AT337" i="9" s="1"/>
  <c r="AT338" i="9" s="1"/>
  <c r="AT339" i="9" s="1"/>
  <c r="AT340" i="9" s="1"/>
  <c r="AT341" i="9" s="1"/>
  <c r="AT342" i="9" s="1"/>
  <c r="AT343" i="9" s="1"/>
  <c r="AT344" i="9" s="1"/>
  <c r="AT345" i="9" s="1"/>
  <c r="AT346" i="9" s="1"/>
  <c r="AT347" i="9" s="1"/>
  <c r="AT348" i="9" s="1"/>
  <c r="AT349" i="9" s="1"/>
  <c r="AT350" i="9" s="1"/>
  <c r="AT351" i="9" s="1"/>
  <c r="AT352" i="9" s="1"/>
  <c r="AT353" i="9" s="1"/>
  <c r="AT354" i="9" s="1"/>
  <c r="AT355" i="9" s="1"/>
  <c r="AT356" i="9" s="1"/>
  <c r="AT357" i="9" s="1"/>
  <c r="AT358" i="9" s="1"/>
  <c r="AT359" i="9" s="1"/>
  <c r="AT360" i="9" s="1"/>
  <c r="AT361" i="9" s="1"/>
  <c r="AT362" i="9" s="1"/>
  <c r="AT363" i="9" s="1"/>
  <c r="AT364" i="9" s="1"/>
  <c r="AT365" i="9" s="1"/>
  <c r="AT366" i="9" s="1"/>
  <c r="AT367" i="9" s="1"/>
  <c r="AT368" i="9" s="1"/>
  <c r="AT369" i="9" s="1"/>
  <c r="AT370" i="9" s="1"/>
  <c r="AT371" i="9" s="1"/>
  <c r="AT372" i="9" s="1"/>
  <c r="AT373" i="9" s="1"/>
  <c r="AT374" i="9" s="1"/>
  <c r="AT375" i="9" s="1"/>
  <c r="AT376" i="9" s="1"/>
  <c r="AT377" i="9" s="1"/>
  <c r="AT378" i="9" s="1"/>
  <c r="AT379" i="9" s="1"/>
  <c r="AT380" i="9" s="1"/>
  <c r="AT381" i="9" s="1"/>
  <c r="AT382" i="9" s="1"/>
  <c r="AT383" i="9" s="1"/>
  <c r="AT384" i="9" s="1"/>
  <c r="AT385" i="9" s="1"/>
  <c r="AT386" i="9" s="1"/>
  <c r="AT387" i="9" s="1"/>
  <c r="AT388" i="9" s="1"/>
  <c r="AT389" i="9" s="1"/>
  <c r="AT390" i="9" s="1"/>
  <c r="AT391" i="9" s="1"/>
  <c r="AT392" i="9" s="1"/>
  <c r="AT393" i="9" s="1"/>
  <c r="AT394" i="9" s="1"/>
  <c r="AT395" i="9" s="1"/>
  <c r="AT396" i="9" s="1"/>
  <c r="AT397" i="9" s="1"/>
  <c r="AT398" i="9" s="1"/>
  <c r="AT399" i="9" s="1"/>
  <c r="AT400" i="9" s="1"/>
  <c r="AT401" i="9" s="1"/>
  <c r="AT402" i="9" s="1"/>
  <c r="AT403" i="9" s="1"/>
  <c r="AT404" i="9" s="1"/>
  <c r="AT405" i="9" s="1"/>
  <c r="AT406" i="9" s="1"/>
  <c r="AT407" i="9" s="1"/>
  <c r="AT408" i="9" s="1"/>
  <c r="AT409" i="9" s="1"/>
  <c r="AT410" i="9" s="1"/>
  <c r="AT411" i="9" s="1"/>
  <c r="AT412" i="9" s="1"/>
  <c r="AT413" i="9" s="1"/>
  <c r="AT414" i="9" s="1"/>
  <c r="AT415" i="9" s="1"/>
  <c r="AT416" i="9" s="1"/>
  <c r="AT417" i="9" s="1"/>
  <c r="AT418" i="9" s="1"/>
  <c r="AQ431" i="9"/>
  <c r="F9" i="9"/>
  <c r="E9" i="9"/>
  <c r="E10" i="9"/>
  <c r="F10" i="9"/>
  <c r="B11" i="9"/>
  <c r="BU421" i="8"/>
  <c r="BS421" i="8"/>
  <c r="BT421" i="8" s="1"/>
  <c r="BU420" i="8"/>
  <c r="BU419" i="8"/>
  <c r="BU418" i="8"/>
  <c r="BU417" i="8"/>
  <c r="BU416" i="8"/>
  <c r="BU415" i="8"/>
  <c r="BU414" i="8"/>
  <c r="BU413" i="8"/>
  <c r="BU412" i="8"/>
  <c r="BU411" i="8"/>
  <c r="BU410" i="8"/>
  <c r="BU409" i="8"/>
  <c r="BU408" i="8"/>
  <c r="BU407" i="8"/>
  <c r="BU406" i="8"/>
  <c r="V396" i="8"/>
  <c r="W391" i="8"/>
  <c r="X386" i="8"/>
  <c r="Y381" i="8"/>
  <c r="V375" i="8"/>
  <c r="W370" i="8"/>
  <c r="X365" i="8"/>
  <c r="Y360" i="8"/>
  <c r="V354" i="8"/>
  <c r="W349" i="8"/>
  <c r="X344" i="8"/>
  <c r="Y339" i="8"/>
  <c r="V333" i="8"/>
  <c r="W328" i="8"/>
  <c r="X323" i="8"/>
  <c r="Y318" i="8"/>
  <c r="V312" i="8"/>
  <c r="W307" i="8"/>
  <c r="X302" i="8"/>
  <c r="Y297" i="8"/>
  <c r="V291" i="8"/>
  <c r="W286" i="8"/>
  <c r="X281" i="8"/>
  <c r="Y276" i="8"/>
  <c r="V270" i="8"/>
  <c r="W265" i="8"/>
  <c r="X260" i="8"/>
  <c r="Y255" i="8"/>
  <c r="V249" i="8"/>
  <c r="W244" i="8"/>
  <c r="X239" i="8"/>
  <c r="Y234" i="8"/>
  <c r="V228" i="8"/>
  <c r="W223" i="8"/>
  <c r="X218" i="8"/>
  <c r="Y213" i="8"/>
  <c r="V206" i="8"/>
  <c r="W201" i="8"/>
  <c r="X196" i="8"/>
  <c r="Y191" i="8"/>
  <c r="V184" i="8"/>
  <c r="W179" i="8"/>
  <c r="X174" i="8"/>
  <c r="Y169" i="8"/>
  <c r="V162" i="8"/>
  <c r="W157" i="8"/>
  <c r="X152" i="8"/>
  <c r="Y147" i="8"/>
  <c r="V141" i="8"/>
  <c r="AR139" i="8"/>
  <c r="W136" i="8"/>
  <c r="AQ132" i="8"/>
  <c r="X131" i="8"/>
  <c r="H129" i="8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AP128" i="8"/>
  <c r="AP129" i="8" s="1"/>
  <c r="AP130" i="8" s="1"/>
  <c r="Y126" i="8"/>
  <c r="V120" i="8"/>
  <c r="W115" i="8"/>
  <c r="X110" i="8"/>
  <c r="Y105" i="8"/>
  <c r="V98" i="8"/>
  <c r="W93" i="8"/>
  <c r="X88" i="8"/>
  <c r="Y83" i="8"/>
  <c r="V73" i="8"/>
  <c r="W69" i="8"/>
  <c r="X65" i="8"/>
  <c r="Y61" i="8"/>
  <c r="AA57" i="8"/>
  <c r="V52" i="8"/>
  <c r="AQ51" i="8"/>
  <c r="V51" i="8"/>
  <c r="W48" i="8"/>
  <c r="Z45" i="8"/>
  <c r="X42" i="8"/>
  <c r="X41" i="8"/>
  <c r="Y39" i="8"/>
  <c r="Y38" i="8"/>
  <c r="AP36" i="8"/>
  <c r="W34" i="8"/>
  <c r="W20" i="8"/>
  <c r="V20" i="8"/>
  <c r="X14" i="8"/>
  <c r="H5" i="8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B5" i="8"/>
  <c r="D5" i="8" s="1"/>
  <c r="AR4" i="8"/>
  <c r="AQ4" i="8"/>
  <c r="AP4" i="8"/>
  <c r="AO4" i="8"/>
  <c r="AN4" i="8"/>
  <c r="AM4" i="8"/>
  <c r="AM5" i="8" s="1"/>
  <c r="AM6" i="8" s="1"/>
  <c r="AM7" i="8" s="1"/>
  <c r="AM8" i="8" s="1"/>
  <c r="AM9" i="8" s="1"/>
  <c r="AM10" i="8" s="1"/>
  <c r="AM11" i="8" s="1"/>
  <c r="AM12" i="8" s="1"/>
  <c r="AM13" i="8" s="1"/>
  <c r="AM14" i="8" s="1"/>
  <c r="AM15" i="8" s="1"/>
  <c r="AM16" i="8" s="1"/>
  <c r="AM17" i="8" s="1"/>
  <c r="AM18" i="8" s="1"/>
  <c r="AM19" i="8" s="1"/>
  <c r="AM20" i="8" s="1"/>
  <c r="AM21" i="8" s="1"/>
  <c r="AM22" i="8" s="1"/>
  <c r="AM23" i="8" s="1"/>
  <c r="AM24" i="8" s="1"/>
  <c r="AM25" i="8" s="1"/>
  <c r="AM26" i="8" s="1"/>
  <c r="AM27" i="8" s="1"/>
  <c r="AM28" i="8" s="1"/>
  <c r="AM29" i="8" s="1"/>
  <c r="AL4" i="8"/>
  <c r="AL5" i="8" s="1"/>
  <c r="AK4" i="8"/>
  <c r="AJ4" i="8"/>
  <c r="AI4" i="8"/>
  <c r="AH4" i="8"/>
  <c r="AG4" i="8"/>
  <c r="AF4" i="8"/>
  <c r="AE4" i="8"/>
  <c r="AE5" i="8" s="1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D4" i="8"/>
  <c r="AD5" i="8" s="1"/>
  <c r="AC4" i="8"/>
  <c r="AA4" i="8"/>
  <c r="AA5" i="8" s="1"/>
  <c r="Z4" i="8"/>
  <c r="Z5" i="8" s="1"/>
  <c r="Y4" i="8"/>
  <c r="Y5" i="8" s="1"/>
  <c r="X4" i="8"/>
  <c r="X5" i="8" s="1"/>
  <c r="W4" i="8"/>
  <c r="W5" i="8" s="1"/>
  <c r="V4" i="8"/>
  <c r="V5" i="8" s="1"/>
  <c r="BU421" i="6"/>
  <c r="BU420" i="6"/>
  <c r="BU419" i="6"/>
  <c r="BU418" i="6"/>
  <c r="BU417" i="6"/>
  <c r="BU416" i="6"/>
  <c r="BU415" i="6"/>
  <c r="BU414" i="6"/>
  <c r="BU413" i="6"/>
  <c r="BU412" i="6"/>
  <c r="BU411" i="6"/>
  <c r="BU410" i="6"/>
  <c r="BU409" i="6"/>
  <c r="BU408" i="6"/>
  <c r="BU407" i="6"/>
  <c r="BU406" i="6"/>
  <c r="DD8" i="9" l="1"/>
  <c r="DE8" i="9" s="1"/>
  <c r="AS23" i="9"/>
  <c r="DF8" i="9" s="1"/>
  <c r="DF7" i="9"/>
  <c r="AQ432" i="9"/>
  <c r="AQ11" i="9"/>
  <c r="DC10" i="9"/>
  <c r="AQ340" i="9"/>
  <c r="BN454" i="9"/>
  <c r="BN455" i="9" s="1"/>
  <c r="BN456" i="9" s="1"/>
  <c r="BN457" i="9" s="1"/>
  <c r="BN458" i="9" s="1"/>
  <c r="BN459" i="9" s="1"/>
  <c r="BN460" i="9" s="1"/>
  <c r="BN461" i="9" s="1"/>
  <c r="BN462" i="9" s="1"/>
  <c r="BN463" i="9" s="1"/>
  <c r="BN464" i="9" s="1"/>
  <c r="BN465" i="9" s="1"/>
  <c r="BN466" i="9" s="1"/>
  <c r="BN467" i="9" s="1"/>
  <c r="BN468" i="9" s="1"/>
  <c r="BN469" i="9" s="1"/>
  <c r="BN470" i="9" s="1"/>
  <c r="BN471" i="9" s="1"/>
  <c r="BN472" i="9" s="1"/>
  <c r="BN473" i="9" s="1"/>
  <c r="BN474" i="9" s="1"/>
  <c r="BN475" i="9" s="1"/>
  <c r="BN476" i="9" s="1"/>
  <c r="BN477" i="9" s="1"/>
  <c r="BN478" i="9" s="1"/>
  <c r="BN479" i="9" s="1"/>
  <c r="BN480" i="9" s="1"/>
  <c r="BN481" i="9" s="1"/>
  <c r="BN482" i="9" s="1"/>
  <c r="BN483" i="9" s="1"/>
  <c r="BN484" i="9" s="1"/>
  <c r="BN485" i="9" s="1"/>
  <c r="BN486" i="9" s="1"/>
  <c r="BN487" i="9" s="1"/>
  <c r="BN488" i="9" s="1"/>
  <c r="BN489" i="9" s="1"/>
  <c r="BN490" i="9" s="1"/>
  <c r="BN491" i="9" s="1"/>
  <c r="BN492" i="9" s="1"/>
  <c r="BN493" i="9" s="1"/>
  <c r="BN494" i="9" s="1"/>
  <c r="BN495" i="9" s="1"/>
  <c r="BN496" i="9" s="1"/>
  <c r="BN497" i="9" s="1"/>
  <c r="BN498" i="9" s="1"/>
  <c r="BN499" i="9" s="1"/>
  <c r="BN500" i="9" s="1"/>
  <c r="BN501" i="9" s="1"/>
  <c r="BN502" i="9" s="1"/>
  <c r="BN503" i="9" s="1"/>
  <c r="BN504" i="9" s="1"/>
  <c r="BN505" i="9" s="1"/>
  <c r="BN506" i="9" s="1"/>
  <c r="BN507" i="9" s="1"/>
  <c r="BN508" i="9" s="1"/>
  <c r="BN509" i="9" s="1"/>
  <c r="BN510" i="9" s="1"/>
  <c r="BN511" i="9" s="1"/>
  <c r="BN512" i="9" s="1"/>
  <c r="BN513" i="9" s="1"/>
  <c r="BN514" i="9" s="1"/>
  <c r="BN515" i="9" s="1"/>
  <c r="BN516" i="9" s="1"/>
  <c r="BN517" i="9" s="1"/>
  <c r="BN518" i="9" s="1"/>
  <c r="BN519" i="9" s="1"/>
  <c r="BN520" i="9" s="1"/>
  <c r="BN521" i="9" s="1"/>
  <c r="BN522" i="9" s="1"/>
  <c r="BN523" i="9" s="1"/>
  <c r="BN524" i="9" s="1"/>
  <c r="BN525" i="9" s="1"/>
  <c r="BN526" i="9" s="1"/>
  <c r="BN527" i="9" s="1"/>
  <c r="BN528" i="9" s="1"/>
  <c r="BN529" i="9" s="1"/>
  <c r="BN530" i="9" s="1"/>
  <c r="BN531" i="9" s="1"/>
  <c r="BN532" i="9" s="1"/>
  <c r="BN533" i="9" s="1"/>
  <c r="BN534" i="9" s="1"/>
  <c r="BN535" i="9" s="1"/>
  <c r="BN536" i="9" s="1"/>
  <c r="BN537" i="9" s="1"/>
  <c r="BN538" i="9" s="1"/>
  <c r="BN539" i="9" s="1"/>
  <c r="BN540" i="9" s="1"/>
  <c r="BN541" i="9" s="1"/>
  <c r="BN542" i="9" s="1"/>
  <c r="BN543" i="9" s="1"/>
  <c r="BN544" i="9" s="1"/>
  <c r="BN545" i="9" s="1"/>
  <c r="BN546" i="9" s="1"/>
  <c r="BN547" i="9" s="1"/>
  <c r="BN548" i="9" s="1"/>
  <c r="BN549" i="9" s="1"/>
  <c r="BN550" i="9" s="1"/>
  <c r="BN551" i="9" s="1"/>
  <c r="BN552" i="9" s="1"/>
  <c r="BN553" i="9" s="1"/>
  <c r="BN554" i="9" s="1"/>
  <c r="BN555" i="9" s="1"/>
  <c r="BN556" i="9" s="1"/>
  <c r="BN557" i="9" s="1"/>
  <c r="BN558" i="9" s="1"/>
  <c r="BN559" i="9" s="1"/>
  <c r="BN560" i="9" s="1"/>
  <c r="BN561" i="9" s="1"/>
  <c r="BN562" i="9" s="1"/>
  <c r="BN563" i="9" s="1"/>
  <c r="BN564" i="9" s="1"/>
  <c r="BN565" i="9" s="1"/>
  <c r="BN566" i="9" s="1"/>
  <c r="BN567" i="9" s="1"/>
  <c r="BN568" i="9" s="1"/>
  <c r="BN569" i="9" s="1"/>
  <c r="BN570" i="9" s="1"/>
  <c r="BN571" i="9" s="1"/>
  <c r="BN572" i="9" s="1"/>
  <c r="BN573" i="9" s="1"/>
  <c r="BN574" i="9" s="1"/>
  <c r="BN575" i="9" s="1"/>
  <c r="BN576" i="9" s="1"/>
  <c r="BN577" i="9" s="1"/>
  <c r="BN578" i="9" s="1"/>
  <c r="BN579" i="9" s="1"/>
  <c r="BN580" i="9" s="1"/>
  <c r="BN581" i="9" s="1"/>
  <c r="BN582" i="9" s="1"/>
  <c r="BN583" i="9" s="1"/>
  <c r="BN584" i="9" s="1"/>
  <c r="BN585" i="9" s="1"/>
  <c r="BN586" i="9" s="1"/>
  <c r="BN587" i="9" s="1"/>
  <c r="BN588" i="9" s="1"/>
  <c r="BN589" i="9" s="1"/>
  <c r="BN590" i="9" s="1"/>
  <c r="BN591" i="9" s="1"/>
  <c r="BN592" i="9" s="1"/>
  <c r="BN593" i="9" s="1"/>
  <c r="BN594" i="9" s="1"/>
  <c r="BN595" i="9" s="1"/>
  <c r="BN596" i="9" s="1"/>
  <c r="BN597" i="9" s="1"/>
  <c r="BN598" i="9" s="1"/>
  <c r="BN599" i="9" s="1"/>
  <c r="BN600" i="9" s="1"/>
  <c r="BN601" i="9" s="1"/>
  <c r="BN602" i="9" s="1"/>
  <c r="BN603" i="9" s="1"/>
  <c r="BN604" i="9" s="1"/>
  <c r="BN605" i="9" s="1"/>
  <c r="BN606" i="9" s="1"/>
  <c r="BN607" i="9" s="1"/>
  <c r="BN608" i="9" s="1"/>
  <c r="BN609" i="9" s="1"/>
  <c r="BN610" i="9" s="1"/>
  <c r="BN611" i="9" s="1"/>
  <c r="BN612" i="9" s="1"/>
  <c r="BN613" i="9" s="1"/>
  <c r="BN614" i="9" s="1"/>
  <c r="BN615" i="9" s="1"/>
  <c r="BN616" i="9" s="1"/>
  <c r="BN617" i="9" s="1"/>
  <c r="BN618" i="9" s="1"/>
  <c r="BN619" i="9" s="1"/>
  <c r="BN620" i="9" s="1"/>
  <c r="BN621" i="9" s="1"/>
  <c r="BN622" i="9" s="1"/>
  <c r="BN623" i="9" s="1"/>
  <c r="BN624" i="9" s="1"/>
  <c r="BN625" i="9" s="1"/>
  <c r="BN626" i="9" s="1"/>
  <c r="BN627" i="9" s="1"/>
  <c r="BN628" i="9" s="1"/>
  <c r="BN629" i="9" s="1"/>
  <c r="BN630" i="9" s="1"/>
  <c r="BN631" i="9" s="1"/>
  <c r="BN632" i="9" s="1"/>
  <c r="BN633" i="9" s="1"/>
  <c r="BN634" i="9" s="1"/>
  <c r="BN635" i="9" s="1"/>
  <c r="BN636" i="9" s="1"/>
  <c r="BN637" i="9" s="1"/>
  <c r="BN638" i="9" s="1"/>
  <c r="BN639" i="9" s="1"/>
  <c r="BN640" i="9" s="1"/>
  <c r="BN641" i="9" s="1"/>
  <c r="BN642" i="9" s="1"/>
  <c r="BN643" i="9" s="1"/>
  <c r="BN644" i="9" s="1"/>
  <c r="BN645" i="9" s="1"/>
  <c r="BN646" i="9" s="1"/>
  <c r="BN647" i="9" s="1"/>
  <c r="BN648" i="9" s="1"/>
  <c r="BN649" i="9" s="1"/>
  <c r="BN650" i="9" s="1"/>
  <c r="BN651" i="9" s="1"/>
  <c r="BN652" i="9" s="1"/>
  <c r="BN653" i="9" s="1"/>
  <c r="BN654" i="9" s="1"/>
  <c r="BN655" i="9" s="1"/>
  <c r="BN656" i="9" s="1"/>
  <c r="BN657" i="9" s="1"/>
  <c r="BN658" i="9" s="1"/>
  <c r="BN659" i="9" s="1"/>
  <c r="BN660" i="9" s="1"/>
  <c r="BN661" i="9" s="1"/>
  <c r="BN662" i="9" s="1"/>
  <c r="BN663" i="9" s="1"/>
  <c r="BN664" i="9" s="1"/>
  <c r="BN665" i="9" s="1"/>
  <c r="BN666" i="9" s="1"/>
  <c r="BN667" i="9" s="1"/>
  <c r="BN668" i="9" s="1"/>
  <c r="BN669" i="9" s="1"/>
  <c r="BN670" i="9" s="1"/>
  <c r="BN671" i="9" s="1"/>
  <c r="BN672" i="9" s="1"/>
  <c r="BN673" i="9" s="1"/>
  <c r="BN674" i="9" s="1"/>
  <c r="BN675" i="9" s="1"/>
  <c r="BN676" i="9" s="1"/>
  <c r="BN677" i="9" s="1"/>
  <c r="BN678" i="9" s="1"/>
  <c r="BN679" i="9" s="1"/>
  <c r="BN680" i="9" s="1"/>
  <c r="BN681" i="9" s="1"/>
  <c r="BN682" i="9" s="1"/>
  <c r="BN683" i="9" s="1"/>
  <c r="BN684" i="9" s="1"/>
  <c r="BN685" i="9" s="1"/>
  <c r="BP451" i="9"/>
  <c r="BP452" i="9" s="1"/>
  <c r="BP453" i="9" s="1"/>
  <c r="BP454" i="9" s="1"/>
  <c r="BP455" i="9" s="1"/>
  <c r="BP456" i="9" s="1"/>
  <c r="BP457" i="9" s="1"/>
  <c r="BP458" i="9" s="1"/>
  <c r="BP459" i="9" s="1"/>
  <c r="BP460" i="9" s="1"/>
  <c r="BP461" i="9" s="1"/>
  <c r="BP462" i="9" s="1"/>
  <c r="BP463" i="9" s="1"/>
  <c r="BP464" i="9" s="1"/>
  <c r="BP465" i="9" s="1"/>
  <c r="BP466" i="9" s="1"/>
  <c r="BP467" i="9" s="1"/>
  <c r="BP468" i="9" s="1"/>
  <c r="BP469" i="9" s="1"/>
  <c r="BP470" i="9" s="1"/>
  <c r="BP471" i="9" s="1"/>
  <c r="BP472" i="9" s="1"/>
  <c r="BP473" i="9" s="1"/>
  <c r="BP474" i="9" s="1"/>
  <c r="BP475" i="9" s="1"/>
  <c r="BP476" i="9" s="1"/>
  <c r="BP477" i="9" s="1"/>
  <c r="BP478" i="9" s="1"/>
  <c r="BP479" i="9" s="1"/>
  <c r="BP480" i="9" s="1"/>
  <c r="BP481" i="9" s="1"/>
  <c r="BP482" i="9" s="1"/>
  <c r="BP483" i="9" s="1"/>
  <c r="BP484" i="9" s="1"/>
  <c r="BP485" i="9" s="1"/>
  <c r="BP486" i="9" s="1"/>
  <c r="BP487" i="9" s="1"/>
  <c r="BP488" i="9" s="1"/>
  <c r="BP489" i="9" s="1"/>
  <c r="BP490" i="9" s="1"/>
  <c r="BP491" i="9" s="1"/>
  <c r="BP492" i="9" s="1"/>
  <c r="BP493" i="9" s="1"/>
  <c r="BP494" i="9" s="1"/>
  <c r="BP495" i="9" s="1"/>
  <c r="BP496" i="9" s="1"/>
  <c r="BP497" i="9" s="1"/>
  <c r="BP498" i="9" s="1"/>
  <c r="BP499" i="9" s="1"/>
  <c r="BP500" i="9" s="1"/>
  <c r="BP501" i="9" s="1"/>
  <c r="BP502" i="9" s="1"/>
  <c r="BP503" i="9" s="1"/>
  <c r="BP504" i="9" s="1"/>
  <c r="BP505" i="9" s="1"/>
  <c r="BP506" i="9" s="1"/>
  <c r="BP507" i="9" s="1"/>
  <c r="BP508" i="9" s="1"/>
  <c r="BP509" i="9" s="1"/>
  <c r="BP510" i="9" s="1"/>
  <c r="BP511" i="9" s="1"/>
  <c r="BP512" i="9" s="1"/>
  <c r="BP513" i="9" s="1"/>
  <c r="BP514" i="9" s="1"/>
  <c r="BP515" i="9" s="1"/>
  <c r="BP516" i="9" s="1"/>
  <c r="BP517" i="9" s="1"/>
  <c r="BP518" i="9" s="1"/>
  <c r="BP519" i="9" s="1"/>
  <c r="BP520" i="9" s="1"/>
  <c r="BP521" i="9" s="1"/>
  <c r="BP522" i="9" s="1"/>
  <c r="BP523" i="9" s="1"/>
  <c r="BP524" i="9" s="1"/>
  <c r="BP525" i="9" s="1"/>
  <c r="BP526" i="9" s="1"/>
  <c r="BP527" i="9" s="1"/>
  <c r="BP528" i="9" s="1"/>
  <c r="BP529" i="9" s="1"/>
  <c r="BP530" i="9" s="1"/>
  <c r="BP531" i="9" s="1"/>
  <c r="BP532" i="9" s="1"/>
  <c r="BP533" i="9" s="1"/>
  <c r="BP534" i="9" s="1"/>
  <c r="BP535" i="9" s="1"/>
  <c r="BP536" i="9" s="1"/>
  <c r="BP537" i="9" s="1"/>
  <c r="BP538" i="9" s="1"/>
  <c r="BP539" i="9" s="1"/>
  <c r="BP540" i="9" s="1"/>
  <c r="BP541" i="9" s="1"/>
  <c r="BP542" i="9" s="1"/>
  <c r="BP543" i="9" s="1"/>
  <c r="BP544" i="9" s="1"/>
  <c r="BP545" i="9" s="1"/>
  <c r="BP546" i="9" s="1"/>
  <c r="BP547" i="9" s="1"/>
  <c r="BP548" i="9" s="1"/>
  <c r="BP549" i="9" s="1"/>
  <c r="BP550" i="9" s="1"/>
  <c r="BP551" i="9" s="1"/>
  <c r="BP552" i="9" s="1"/>
  <c r="BP553" i="9" s="1"/>
  <c r="BP554" i="9" s="1"/>
  <c r="BP555" i="9" s="1"/>
  <c r="BP556" i="9" s="1"/>
  <c r="BP557" i="9" s="1"/>
  <c r="BP558" i="9" s="1"/>
  <c r="BP559" i="9" s="1"/>
  <c r="BP560" i="9" s="1"/>
  <c r="BP561" i="9" s="1"/>
  <c r="BP562" i="9" s="1"/>
  <c r="BP563" i="9" s="1"/>
  <c r="BP564" i="9" s="1"/>
  <c r="BP565" i="9" s="1"/>
  <c r="BP566" i="9" s="1"/>
  <c r="BP567" i="9" s="1"/>
  <c r="BP568" i="9" s="1"/>
  <c r="BP569" i="9" s="1"/>
  <c r="BP570" i="9" s="1"/>
  <c r="BP571" i="9" s="1"/>
  <c r="BP572" i="9" s="1"/>
  <c r="BP573" i="9" s="1"/>
  <c r="BP574" i="9" s="1"/>
  <c r="BP575" i="9" s="1"/>
  <c r="BP576" i="9" s="1"/>
  <c r="BP577" i="9" s="1"/>
  <c r="BP578" i="9" s="1"/>
  <c r="BP579" i="9" s="1"/>
  <c r="BP580" i="9" s="1"/>
  <c r="BP581" i="9" s="1"/>
  <c r="BP582" i="9" s="1"/>
  <c r="BP583" i="9" s="1"/>
  <c r="BP584" i="9" s="1"/>
  <c r="BP585" i="9" s="1"/>
  <c r="BP586" i="9" s="1"/>
  <c r="BP587" i="9" s="1"/>
  <c r="BP588" i="9" s="1"/>
  <c r="BP589" i="9" s="1"/>
  <c r="BP590" i="9" s="1"/>
  <c r="BP591" i="9" s="1"/>
  <c r="BP592" i="9" s="1"/>
  <c r="BP593" i="9" s="1"/>
  <c r="BP594" i="9" s="1"/>
  <c r="BP595" i="9" s="1"/>
  <c r="BP596" i="9" s="1"/>
  <c r="BP597" i="9" s="1"/>
  <c r="BP598" i="9" s="1"/>
  <c r="BP599" i="9" s="1"/>
  <c r="BP600" i="9" s="1"/>
  <c r="BP601" i="9" s="1"/>
  <c r="BP602" i="9" s="1"/>
  <c r="BP603" i="9" s="1"/>
  <c r="BP604" i="9" s="1"/>
  <c r="BP605" i="9" s="1"/>
  <c r="BP606" i="9" s="1"/>
  <c r="BP607" i="9" s="1"/>
  <c r="BP608" i="9" s="1"/>
  <c r="BP609" i="9" s="1"/>
  <c r="BP610" i="9" s="1"/>
  <c r="BP611" i="9" s="1"/>
  <c r="BP612" i="9" s="1"/>
  <c r="BP613" i="9" s="1"/>
  <c r="BP614" i="9" s="1"/>
  <c r="BP615" i="9" s="1"/>
  <c r="BP616" i="9" s="1"/>
  <c r="BP617" i="9" s="1"/>
  <c r="BP618" i="9" s="1"/>
  <c r="BP619" i="9" s="1"/>
  <c r="BP620" i="9" s="1"/>
  <c r="BP621" i="9" s="1"/>
  <c r="BP622" i="9" s="1"/>
  <c r="BP623" i="9" s="1"/>
  <c r="BP624" i="9" s="1"/>
  <c r="BP625" i="9" s="1"/>
  <c r="BP626" i="9" s="1"/>
  <c r="BP627" i="9" s="1"/>
  <c r="BP628" i="9" s="1"/>
  <c r="BP629" i="9" s="1"/>
  <c r="BP630" i="9" s="1"/>
  <c r="BP631" i="9" s="1"/>
  <c r="BP632" i="9" s="1"/>
  <c r="BP633" i="9" s="1"/>
  <c r="BP634" i="9" s="1"/>
  <c r="BP635" i="9" s="1"/>
  <c r="BP636" i="9" s="1"/>
  <c r="BP637" i="9" s="1"/>
  <c r="BP638" i="9" s="1"/>
  <c r="BP639" i="9" s="1"/>
  <c r="BP640" i="9" s="1"/>
  <c r="BP641" i="9" s="1"/>
  <c r="BP642" i="9" s="1"/>
  <c r="BP643" i="9" s="1"/>
  <c r="BP644" i="9" s="1"/>
  <c r="BP645" i="9" s="1"/>
  <c r="BP646" i="9" s="1"/>
  <c r="BP647" i="9" s="1"/>
  <c r="BP648" i="9" s="1"/>
  <c r="BP649" i="9" s="1"/>
  <c r="BP650" i="9" s="1"/>
  <c r="BP651" i="9" s="1"/>
  <c r="BP652" i="9" s="1"/>
  <c r="BP653" i="9" s="1"/>
  <c r="BP654" i="9" s="1"/>
  <c r="BP655" i="9" s="1"/>
  <c r="BP656" i="9" s="1"/>
  <c r="BP657" i="9" s="1"/>
  <c r="BP658" i="9" s="1"/>
  <c r="BP659" i="9" s="1"/>
  <c r="BP660" i="9" s="1"/>
  <c r="BP661" i="9" s="1"/>
  <c r="BP662" i="9" s="1"/>
  <c r="BP663" i="9" s="1"/>
  <c r="BP664" i="9" s="1"/>
  <c r="BP665" i="9" s="1"/>
  <c r="BP666" i="9" s="1"/>
  <c r="BP667" i="9" s="1"/>
  <c r="BP668" i="9" s="1"/>
  <c r="BP669" i="9" s="1"/>
  <c r="BP670" i="9" s="1"/>
  <c r="BP671" i="9" s="1"/>
  <c r="BP672" i="9" s="1"/>
  <c r="BP673" i="9" s="1"/>
  <c r="BP674" i="9" s="1"/>
  <c r="BP675" i="9" s="1"/>
  <c r="BP676" i="9" s="1"/>
  <c r="BP677" i="9" s="1"/>
  <c r="BP678" i="9" s="1"/>
  <c r="BP679" i="9" s="1"/>
  <c r="BP680" i="9" s="1"/>
  <c r="BP681" i="9" s="1"/>
  <c r="BP682" i="9" s="1"/>
  <c r="BP683" i="9" s="1"/>
  <c r="BP684" i="9" s="1"/>
  <c r="BP685" i="9" s="1"/>
  <c r="AQ443" i="9"/>
  <c r="BD445" i="9"/>
  <c r="BD446" i="9" s="1"/>
  <c r="BD447" i="9" s="1"/>
  <c r="BD448" i="9" s="1"/>
  <c r="BD449" i="9" s="1"/>
  <c r="BD450" i="9" s="1"/>
  <c r="BD451" i="9" s="1"/>
  <c r="BD452" i="9" s="1"/>
  <c r="BD453" i="9" s="1"/>
  <c r="AS24" i="9"/>
  <c r="DF9" i="9" s="1"/>
  <c r="AF5" i="8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G5" i="8"/>
  <c r="AH5" i="8"/>
  <c r="AP5" i="8"/>
  <c r="AN5" i="8"/>
  <c r="AN6" i="8" s="1"/>
  <c r="AN7" i="8" s="1"/>
  <c r="AN8" i="8" s="1"/>
  <c r="AN9" i="8" s="1"/>
  <c r="AN10" i="8" s="1"/>
  <c r="AN11" i="8" s="1"/>
  <c r="AN12" i="8" s="1"/>
  <c r="AN13" i="8" s="1"/>
  <c r="AN14" i="8" s="1"/>
  <c r="AN15" i="8" s="1"/>
  <c r="AN16" i="8" s="1"/>
  <c r="AN17" i="8" s="1"/>
  <c r="AN18" i="8" s="1"/>
  <c r="AN19" i="8" s="1"/>
  <c r="AN20" i="8" s="1"/>
  <c r="AN21" i="8" s="1"/>
  <c r="AN22" i="8" s="1"/>
  <c r="AN23" i="8" s="1"/>
  <c r="AN24" i="8" s="1"/>
  <c r="AN25" i="8" s="1"/>
  <c r="AN26" i="8" s="1"/>
  <c r="AN27" i="8" s="1"/>
  <c r="AN28" i="8" s="1"/>
  <c r="AN29" i="8" s="1"/>
  <c r="AN30" i="8" s="1"/>
  <c r="AN31" i="8" s="1"/>
  <c r="AN32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AI5" i="8"/>
  <c r="AI6" i="8" s="1"/>
  <c r="AI7" i="8" s="1"/>
  <c r="AI8" i="8" s="1"/>
  <c r="AI9" i="8" s="1"/>
  <c r="AI10" i="8" s="1"/>
  <c r="AI11" i="8" s="1"/>
  <c r="AI12" i="8" s="1"/>
  <c r="AI13" i="8" s="1"/>
  <c r="AI14" i="8" s="1"/>
  <c r="AI15" i="8" s="1"/>
  <c r="AI16" i="8" s="1"/>
  <c r="AI17" i="8" s="1"/>
  <c r="AI18" i="8" s="1"/>
  <c r="AI19" i="8" s="1"/>
  <c r="AI20" i="8" s="1"/>
  <c r="AI21" i="8" s="1"/>
  <c r="AI22" i="8" s="1"/>
  <c r="AI23" i="8" s="1"/>
  <c r="AI24" i="8" s="1"/>
  <c r="AI25" i="8" s="1"/>
  <c r="AI26" i="8" s="1"/>
  <c r="AI27" i="8" s="1"/>
  <c r="AI28" i="8" s="1"/>
  <c r="AI29" i="8" s="1"/>
  <c r="AI30" i="8" s="1"/>
  <c r="AI31" i="8" s="1"/>
  <c r="AI32" i="8" s="1"/>
  <c r="AI33" i="8" s="1"/>
  <c r="AQ5" i="8"/>
  <c r="AQ6" i="8" s="1"/>
  <c r="AQ7" i="8" s="1"/>
  <c r="AQ8" i="8" s="1"/>
  <c r="AQ9" i="8" s="1"/>
  <c r="AQ10" i="8" s="1"/>
  <c r="AQ11" i="8" s="1"/>
  <c r="AQ12" i="8" s="1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AQ30" i="8" s="1"/>
  <c r="AQ31" i="8" s="1"/>
  <c r="AQ32" i="8" s="1"/>
  <c r="AQ33" i="8" s="1"/>
  <c r="AR5" i="8"/>
  <c r="AR6" i="8" s="1"/>
  <c r="AR7" i="8" s="1"/>
  <c r="AR8" i="8" s="1"/>
  <c r="AR9" i="8" s="1"/>
  <c r="AR10" i="8" s="1"/>
  <c r="AR11" i="8" s="1"/>
  <c r="AR12" i="8" s="1"/>
  <c r="AR13" i="8" s="1"/>
  <c r="AR14" i="8" s="1"/>
  <c r="AR15" i="8" s="1"/>
  <c r="AR16" i="8" s="1"/>
  <c r="AR17" i="8" s="1"/>
  <c r="AR18" i="8" s="1"/>
  <c r="AR19" i="8" s="1"/>
  <c r="AR20" i="8" s="1"/>
  <c r="AR21" i="8" s="1"/>
  <c r="AR22" i="8" s="1"/>
  <c r="AR23" i="8" s="1"/>
  <c r="AR24" i="8" s="1"/>
  <c r="AR25" i="8" s="1"/>
  <c r="AR26" i="8" s="1"/>
  <c r="AR27" i="8" s="1"/>
  <c r="AR28" i="8" s="1"/>
  <c r="AR29" i="8" s="1"/>
  <c r="AR30" i="8" s="1"/>
  <c r="AR31" i="8" s="1"/>
  <c r="AR32" i="8" s="1"/>
  <c r="AR33" i="8" s="1"/>
  <c r="AR34" i="8" s="1"/>
  <c r="AR35" i="8" s="1"/>
  <c r="AO5" i="8"/>
  <c r="AJ5" i="8"/>
  <c r="AJ6" i="8" s="1"/>
  <c r="AJ7" i="8" s="1"/>
  <c r="AJ8" i="8" s="1"/>
  <c r="AJ9" i="8" s="1"/>
  <c r="AJ10" i="8" s="1"/>
  <c r="AJ11" i="8" s="1"/>
  <c r="AJ12" i="8" s="1"/>
  <c r="AJ13" i="8" s="1"/>
  <c r="AJ14" i="8" s="1"/>
  <c r="AJ15" i="8" s="1"/>
  <c r="AJ16" i="8" s="1"/>
  <c r="AJ17" i="8" s="1"/>
  <c r="AJ18" i="8" s="1"/>
  <c r="AJ19" i="8" s="1"/>
  <c r="AJ20" i="8" s="1"/>
  <c r="AJ21" i="8" s="1"/>
  <c r="AJ22" i="8" s="1"/>
  <c r="AJ23" i="8" s="1"/>
  <c r="AJ24" i="8" s="1"/>
  <c r="AJ25" i="8" s="1"/>
  <c r="AJ26" i="8" s="1"/>
  <c r="AJ27" i="8" s="1"/>
  <c r="AJ28" i="8" s="1"/>
  <c r="AJ29" i="8" s="1"/>
  <c r="AJ30" i="8" s="1"/>
  <c r="AJ31" i="8" s="1"/>
  <c r="AJ32" i="8" s="1"/>
  <c r="AJ33" i="8" s="1"/>
  <c r="AC5" i="8"/>
  <c r="AC6" i="8" s="1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K5" i="8"/>
  <c r="W6" i="8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X6" i="8"/>
  <c r="AA6" i="8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Y6" i="8"/>
  <c r="E5" i="8"/>
  <c r="D11" i="9"/>
  <c r="E11" i="9"/>
  <c r="BR5" i="8"/>
  <c r="V6" i="8"/>
  <c r="W21" i="8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AN33" i="8" s="1"/>
  <c r="AN34" i="8" s="1"/>
  <c r="AN35" i="8" s="1"/>
  <c r="AK35" i="8"/>
  <c r="AG35" i="8"/>
  <c r="AC35" i="8"/>
  <c r="AL35" i="8"/>
  <c r="AD35" i="8"/>
  <c r="AJ35" i="8"/>
  <c r="AF35" i="8"/>
  <c r="H36" i="8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AP35" i="8"/>
  <c r="AQ35" i="8"/>
  <c r="AI35" i="8"/>
  <c r="AH35" i="8"/>
  <c r="W35" i="8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AG6" i="8"/>
  <c r="AG7" i="8" s="1"/>
  <c r="AG8" i="8" s="1"/>
  <c r="AG9" i="8" s="1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3" i="8" s="1"/>
  <c r="AK6" i="8"/>
  <c r="AK7" i="8" s="1"/>
  <c r="AK8" i="8" s="1"/>
  <c r="AK9" i="8" s="1"/>
  <c r="AK10" i="8" s="1"/>
  <c r="AK11" i="8" s="1"/>
  <c r="AK12" i="8" s="1"/>
  <c r="AK13" i="8" s="1"/>
  <c r="AK14" i="8" s="1"/>
  <c r="AK15" i="8" s="1"/>
  <c r="AK16" i="8" s="1"/>
  <c r="AK17" i="8" s="1"/>
  <c r="AK18" i="8" s="1"/>
  <c r="AK19" i="8" s="1"/>
  <c r="AK20" i="8" s="1"/>
  <c r="AK21" i="8" s="1"/>
  <c r="AK22" i="8" s="1"/>
  <c r="AK23" i="8" s="1"/>
  <c r="AK24" i="8" s="1"/>
  <c r="AK25" i="8" s="1"/>
  <c r="AK26" i="8" s="1"/>
  <c r="AK27" i="8" s="1"/>
  <c r="AK28" i="8" s="1"/>
  <c r="AK29" i="8" s="1"/>
  <c r="AK30" i="8" s="1"/>
  <c r="AK31" i="8" s="1"/>
  <c r="AK32" i="8" s="1"/>
  <c r="AK33" i="8" s="1"/>
  <c r="AO6" i="8"/>
  <c r="AO7" i="8" s="1"/>
  <c r="AO8" i="8" s="1"/>
  <c r="AO9" i="8" s="1"/>
  <c r="AO10" i="8" s="1"/>
  <c r="AO11" i="8" s="1"/>
  <c r="AO12" i="8" s="1"/>
  <c r="AO13" i="8" s="1"/>
  <c r="AO14" i="8" s="1"/>
  <c r="AO15" i="8" s="1"/>
  <c r="AO16" i="8" s="1"/>
  <c r="AO17" i="8" s="1"/>
  <c r="AO18" i="8" s="1"/>
  <c r="AO19" i="8" s="1"/>
  <c r="AO20" i="8" s="1"/>
  <c r="AO21" i="8" s="1"/>
  <c r="AO22" i="8" s="1"/>
  <c r="AO23" i="8" s="1"/>
  <c r="AO24" i="8" s="1"/>
  <c r="AO25" i="8" s="1"/>
  <c r="AO26" i="8" s="1"/>
  <c r="AO27" i="8" s="1"/>
  <c r="AO28" i="8" s="1"/>
  <c r="AO29" i="8" s="1"/>
  <c r="AO30" i="8" s="1"/>
  <c r="AO31" i="8" s="1"/>
  <c r="AO32" i="8" s="1"/>
  <c r="AO33" i="8" s="1"/>
  <c r="AO34" i="8" s="1"/>
  <c r="AO35" i="8" s="1"/>
  <c r="B6" i="8"/>
  <c r="F5" i="8"/>
  <c r="X15" i="8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43" i="8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G70" i="8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W70" i="8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W84" i="8" s="1"/>
  <c r="W85" i="8" s="1"/>
  <c r="Y40" i="8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X7" i="8"/>
  <c r="X8" i="8" s="1"/>
  <c r="X9" i="8" s="1"/>
  <c r="X10" i="8" s="1"/>
  <c r="X11" i="8" s="1"/>
  <c r="X12" i="8" s="1"/>
  <c r="Y7" i="8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AD6" i="8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H6" i="8"/>
  <c r="AH7" i="8" s="1"/>
  <c r="AH8" i="8" s="1"/>
  <c r="AH9" i="8" s="1"/>
  <c r="AH10" i="8" s="1"/>
  <c r="AH11" i="8" s="1"/>
  <c r="AH12" i="8" s="1"/>
  <c r="AH13" i="8" s="1"/>
  <c r="AH14" i="8" s="1"/>
  <c r="AH15" i="8" s="1"/>
  <c r="AH16" i="8" s="1"/>
  <c r="AH17" i="8" s="1"/>
  <c r="AH18" i="8" s="1"/>
  <c r="AH19" i="8" s="1"/>
  <c r="AH20" i="8" s="1"/>
  <c r="AH21" i="8" s="1"/>
  <c r="AH22" i="8" s="1"/>
  <c r="AH23" i="8" s="1"/>
  <c r="AH24" i="8" s="1"/>
  <c r="AH25" i="8" s="1"/>
  <c r="AH26" i="8" s="1"/>
  <c r="AH27" i="8" s="1"/>
  <c r="AH28" i="8" s="1"/>
  <c r="AH29" i="8" s="1"/>
  <c r="AH30" i="8" s="1"/>
  <c r="AH31" i="8" s="1"/>
  <c r="AH32" i="8" s="1"/>
  <c r="AH33" i="8" s="1"/>
  <c r="AL6" i="8"/>
  <c r="AL7" i="8" s="1"/>
  <c r="AL8" i="8" s="1"/>
  <c r="AL9" i="8" s="1"/>
  <c r="AL10" i="8" s="1"/>
  <c r="AL11" i="8" s="1"/>
  <c r="AL12" i="8" s="1"/>
  <c r="AL13" i="8" s="1"/>
  <c r="AL14" i="8" s="1"/>
  <c r="AL15" i="8" s="1"/>
  <c r="AL16" i="8" s="1"/>
  <c r="AL17" i="8" s="1"/>
  <c r="AL18" i="8" s="1"/>
  <c r="AL19" i="8" s="1"/>
  <c r="AL20" i="8" s="1"/>
  <c r="AL21" i="8" s="1"/>
  <c r="AL22" i="8" s="1"/>
  <c r="AL23" i="8" s="1"/>
  <c r="AL24" i="8" s="1"/>
  <c r="AL25" i="8" s="1"/>
  <c r="AL26" i="8" s="1"/>
  <c r="AL27" i="8" s="1"/>
  <c r="AL28" i="8" s="1"/>
  <c r="AL29" i="8" s="1"/>
  <c r="AL30" i="8" s="1"/>
  <c r="AL31" i="8" s="1"/>
  <c r="AL32" i="8" s="1"/>
  <c r="AL33" i="8" s="1"/>
  <c r="AP6" i="8"/>
  <c r="AP7" i="8" s="1"/>
  <c r="AP8" i="8" s="1"/>
  <c r="AP9" i="8" s="1"/>
  <c r="AP10" i="8" s="1"/>
  <c r="AP11" i="8" s="1"/>
  <c r="AP12" i="8" s="1"/>
  <c r="AP13" i="8" s="1"/>
  <c r="AP14" i="8" s="1"/>
  <c r="AP15" i="8" s="1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Z46" i="8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X66" i="8"/>
  <c r="X67" i="8" s="1"/>
  <c r="X68" i="8" s="1"/>
  <c r="X69" i="8" s="1"/>
  <c r="X70" i="8" s="1"/>
  <c r="H141" i="8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s="1"/>
  <c r="H265" i="8" s="1"/>
  <c r="H266" i="8" s="1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H304" i="8" s="1"/>
  <c r="H305" i="8" s="1"/>
  <c r="H306" i="8" s="1"/>
  <c r="H307" i="8" s="1"/>
  <c r="H308" i="8" s="1"/>
  <c r="H309" i="8" s="1"/>
  <c r="H310" i="8" s="1"/>
  <c r="H311" i="8" s="1"/>
  <c r="H312" i="8" s="1"/>
  <c r="H313" i="8" s="1"/>
  <c r="H314" i="8" s="1"/>
  <c r="H315" i="8" s="1"/>
  <c r="H316" i="8" s="1"/>
  <c r="H317" i="8" s="1"/>
  <c r="H318" i="8" s="1"/>
  <c r="H319" i="8" s="1"/>
  <c r="H320" i="8" s="1"/>
  <c r="H321" i="8" s="1"/>
  <c r="H322" i="8" s="1"/>
  <c r="H323" i="8" s="1"/>
  <c r="H324" i="8" s="1"/>
  <c r="H325" i="8" s="1"/>
  <c r="H326" i="8" s="1"/>
  <c r="H327" i="8" s="1"/>
  <c r="H328" i="8" s="1"/>
  <c r="H329" i="8" s="1"/>
  <c r="H330" i="8" s="1"/>
  <c r="H331" i="8" s="1"/>
  <c r="H332" i="8" s="1"/>
  <c r="H333" i="8" s="1"/>
  <c r="H334" i="8" s="1"/>
  <c r="H335" i="8" s="1"/>
  <c r="H336" i="8" s="1"/>
  <c r="H337" i="8" s="1"/>
  <c r="H338" i="8" s="1"/>
  <c r="H339" i="8" s="1"/>
  <c r="H340" i="8" s="1"/>
  <c r="H341" i="8" s="1"/>
  <c r="H342" i="8" s="1"/>
  <c r="H343" i="8" s="1"/>
  <c r="H344" i="8" s="1"/>
  <c r="H345" i="8" s="1"/>
  <c r="H346" i="8" s="1"/>
  <c r="H347" i="8" s="1"/>
  <c r="H348" i="8" s="1"/>
  <c r="H349" i="8" s="1"/>
  <c r="H350" i="8" s="1"/>
  <c r="H351" i="8" s="1"/>
  <c r="H352" i="8" s="1"/>
  <c r="H353" i="8" s="1"/>
  <c r="H354" i="8" s="1"/>
  <c r="H355" i="8" s="1"/>
  <c r="H356" i="8" s="1"/>
  <c r="H357" i="8" s="1"/>
  <c r="H358" i="8" s="1"/>
  <c r="H359" i="8" s="1"/>
  <c r="H360" i="8" s="1"/>
  <c r="H361" i="8" s="1"/>
  <c r="H362" i="8" s="1"/>
  <c r="H363" i="8" s="1"/>
  <c r="H364" i="8" s="1"/>
  <c r="H365" i="8" s="1"/>
  <c r="H366" i="8" s="1"/>
  <c r="H367" i="8" s="1"/>
  <c r="H368" i="8" s="1"/>
  <c r="H369" i="8" s="1"/>
  <c r="H370" i="8" s="1"/>
  <c r="H371" i="8" s="1"/>
  <c r="H372" i="8" s="1"/>
  <c r="H373" i="8" s="1"/>
  <c r="H374" i="8" s="1"/>
  <c r="H375" i="8" s="1"/>
  <c r="H376" i="8" s="1"/>
  <c r="H377" i="8" s="1"/>
  <c r="H378" i="8" s="1"/>
  <c r="H379" i="8" s="1"/>
  <c r="H380" i="8" s="1"/>
  <c r="H381" i="8" s="1"/>
  <c r="H382" i="8" s="1"/>
  <c r="H383" i="8" s="1"/>
  <c r="H384" i="8" s="1"/>
  <c r="H385" i="8" s="1"/>
  <c r="H386" i="8" s="1"/>
  <c r="H387" i="8" s="1"/>
  <c r="H388" i="8" s="1"/>
  <c r="H389" i="8" s="1"/>
  <c r="H390" i="8" s="1"/>
  <c r="H391" i="8" s="1"/>
  <c r="H392" i="8" s="1"/>
  <c r="H393" i="8" s="1"/>
  <c r="H394" i="8" s="1"/>
  <c r="H395" i="8" s="1"/>
  <c r="H396" i="8" s="1"/>
  <c r="H397" i="8" s="1"/>
  <c r="H398" i="8" s="1"/>
  <c r="H399" i="8" s="1"/>
  <c r="H400" i="8" s="1"/>
  <c r="H401" i="8" s="1"/>
  <c r="H402" i="8" s="1"/>
  <c r="H403" i="8" s="1"/>
  <c r="H404" i="8" s="1"/>
  <c r="H405" i="8" s="1"/>
  <c r="H406" i="8" s="1"/>
  <c r="H407" i="8" s="1"/>
  <c r="H408" i="8" s="1"/>
  <c r="H409" i="8" s="1"/>
  <c r="H410" i="8" s="1"/>
  <c r="H411" i="8" s="1"/>
  <c r="H412" i="8" s="1"/>
  <c r="H413" i="8" s="1"/>
  <c r="H414" i="8" s="1"/>
  <c r="H415" i="8" s="1"/>
  <c r="H416" i="8" s="1"/>
  <c r="H417" i="8" s="1"/>
  <c r="H418" i="8" s="1"/>
  <c r="H419" i="8" s="1"/>
  <c r="H420" i="8" s="1"/>
  <c r="H421" i="8" s="1"/>
  <c r="AR140" i="8"/>
  <c r="V53" i="8"/>
  <c r="BR4" i="8"/>
  <c r="V21" i="8"/>
  <c r="Y62" i="8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W49" i="8"/>
  <c r="W50" i="8" s="1"/>
  <c r="W51" i="8" s="1"/>
  <c r="W52" i="8" s="1"/>
  <c r="W53" i="8" s="1"/>
  <c r="W54" i="8" s="1"/>
  <c r="W55" i="8" s="1"/>
  <c r="W56" i="8" s="1"/>
  <c r="W57" i="8" s="1"/>
  <c r="W58" i="8" s="1"/>
  <c r="W59" i="8" s="1"/>
  <c r="W60" i="8" s="1"/>
  <c r="W61" i="8" s="1"/>
  <c r="W62" i="8" s="1"/>
  <c r="W63" i="8" s="1"/>
  <c r="W64" i="8" s="1"/>
  <c r="AA58" i="8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W94" i="8"/>
  <c r="W95" i="8" s="1"/>
  <c r="W96" i="8" s="1"/>
  <c r="W97" i="8" s="1"/>
  <c r="W98" i="8" s="1"/>
  <c r="W99" i="8" s="1"/>
  <c r="W100" i="8" s="1"/>
  <c r="W101" i="8" s="1"/>
  <c r="W102" i="8" s="1"/>
  <c r="W103" i="8" s="1"/>
  <c r="W104" i="8" s="1"/>
  <c r="W105" i="8" s="1"/>
  <c r="W106" i="8" s="1"/>
  <c r="W107" i="8" s="1"/>
  <c r="W108" i="8" s="1"/>
  <c r="Y106" i="8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AQ133" i="8"/>
  <c r="AQ134" i="8" s="1"/>
  <c r="BS421" i="6"/>
  <c r="BT421" i="6" s="1"/>
  <c r="AQ433" i="9" l="1"/>
  <c r="AQ12" i="9"/>
  <c r="DC11" i="9"/>
  <c r="DD10" i="9"/>
  <c r="DE10" i="9" s="1"/>
  <c r="AQ444" i="9"/>
  <c r="DD9" i="9"/>
  <c r="DE9" i="9" s="1"/>
  <c r="AQ341" i="9"/>
  <c r="AQ451" i="9"/>
  <c r="AS25" i="9"/>
  <c r="DF10" i="9" s="1"/>
  <c r="Y127" i="8"/>
  <c r="Y128" i="8" s="1"/>
  <c r="Y129" i="8" s="1"/>
  <c r="Y130" i="8" s="1"/>
  <c r="Y131" i="8" s="1"/>
  <c r="Y132" i="8" s="1"/>
  <c r="Y84" i="8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AR141" i="8"/>
  <c r="AP37" i="8"/>
  <c r="AP38" i="8" s="1"/>
  <c r="AP39" i="8" s="1"/>
  <c r="AP40" i="8" s="1"/>
  <c r="AP41" i="8" s="1"/>
  <c r="AP42" i="8" s="1"/>
  <c r="AP43" i="8" s="1"/>
  <c r="AP44" i="8" s="1"/>
  <c r="AP45" i="8" s="1"/>
  <c r="AP46" i="8" s="1"/>
  <c r="AP47" i="8" s="1"/>
  <c r="AP48" i="8" s="1"/>
  <c r="AP49" i="8" s="1"/>
  <c r="AP50" i="8" s="1"/>
  <c r="AP51" i="8" s="1"/>
  <c r="AP52" i="8" s="1"/>
  <c r="AP53" i="8" s="1"/>
  <c r="AP54" i="8" s="1"/>
  <c r="AH36" i="8"/>
  <c r="AH37" i="8" s="1"/>
  <c r="AH38" i="8" s="1"/>
  <c r="AH39" i="8" s="1"/>
  <c r="AH40" i="8" s="1"/>
  <c r="AH41" i="8" s="1"/>
  <c r="AH42" i="8" s="1"/>
  <c r="AH43" i="8" s="1"/>
  <c r="AH44" i="8" s="1"/>
  <c r="AH45" i="8" s="1"/>
  <c r="AH46" i="8" s="1"/>
  <c r="AH47" i="8" s="1"/>
  <c r="AH48" i="8" s="1"/>
  <c r="AH49" i="8" s="1"/>
  <c r="AH50" i="8" s="1"/>
  <c r="AH51" i="8" s="1"/>
  <c r="AH52" i="8" s="1"/>
  <c r="AH53" i="8" s="1"/>
  <c r="AH54" i="8" s="1"/>
  <c r="AH55" i="8" s="1"/>
  <c r="AH56" i="8" s="1"/>
  <c r="AH57" i="8" s="1"/>
  <c r="AH58" i="8" s="1"/>
  <c r="AH59" i="8" s="1"/>
  <c r="AH60" i="8" s="1"/>
  <c r="AH61" i="8" s="1"/>
  <c r="AH62" i="8" s="1"/>
  <c r="AH63" i="8" s="1"/>
  <c r="AH64" i="8" s="1"/>
  <c r="AH65" i="8" s="1"/>
  <c r="AH66" i="8" s="1"/>
  <c r="AH67" i="8" s="1"/>
  <c r="AH68" i="8" s="1"/>
  <c r="AH69" i="8" s="1"/>
  <c r="AH70" i="8" s="1"/>
  <c r="AH71" i="8" s="1"/>
  <c r="AH72" i="8" s="1"/>
  <c r="AH73" i="8" s="1"/>
  <c r="AH74" i="8" s="1"/>
  <c r="AH75" i="8" s="1"/>
  <c r="AH76" i="8" s="1"/>
  <c r="AH77" i="8" s="1"/>
  <c r="AH78" i="8" s="1"/>
  <c r="AH79" i="8" s="1"/>
  <c r="AH80" i="8" s="1"/>
  <c r="AH81" i="8" s="1"/>
  <c r="AH82" i="8" s="1"/>
  <c r="AH83" i="8" s="1"/>
  <c r="AH84" i="8" s="1"/>
  <c r="V99" i="8"/>
  <c r="V74" i="8"/>
  <c r="V75" i="8" s="1"/>
  <c r="V121" i="8"/>
  <c r="V122" i="8" s="1"/>
  <c r="X111" i="8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X123" i="8" s="1"/>
  <c r="X124" i="8" s="1"/>
  <c r="X125" i="8" s="1"/>
  <c r="X126" i="8" s="1"/>
  <c r="AQ52" i="8"/>
  <c r="AQ53" i="8" s="1"/>
  <c r="AQ54" i="8" s="1"/>
  <c r="AQ55" i="8" s="1"/>
  <c r="AQ56" i="8" s="1"/>
  <c r="AQ57" i="8" s="1"/>
  <c r="W116" i="8"/>
  <c r="W117" i="8" s="1"/>
  <c r="W118" i="8" s="1"/>
  <c r="W119" i="8" s="1"/>
  <c r="W120" i="8" s="1"/>
  <c r="W121" i="8" s="1"/>
  <c r="W122" i="8" s="1"/>
  <c r="W123" i="8" s="1"/>
  <c r="W124" i="8" s="1"/>
  <c r="W125" i="8" s="1"/>
  <c r="W126" i="8" s="1"/>
  <c r="W127" i="8" s="1"/>
  <c r="W128" i="8" s="1"/>
  <c r="W129" i="8" s="1"/>
  <c r="W130" i="8" s="1"/>
  <c r="W131" i="8" s="1"/>
  <c r="X89" i="8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71" i="8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AN36" i="8"/>
  <c r="AN37" i="8" s="1"/>
  <c r="AN38" i="8" s="1"/>
  <c r="AN39" i="8" s="1"/>
  <c r="AN40" i="8" s="1"/>
  <c r="AN41" i="8" s="1"/>
  <c r="AN42" i="8" s="1"/>
  <c r="AN43" i="8" s="1"/>
  <c r="AN44" i="8" s="1"/>
  <c r="AN45" i="8" s="1"/>
  <c r="AN46" i="8" s="1"/>
  <c r="AN47" i="8" s="1"/>
  <c r="AN48" i="8" s="1"/>
  <c r="AN49" i="8" s="1"/>
  <c r="AN50" i="8" s="1"/>
  <c r="AN51" i="8" s="1"/>
  <c r="AN52" i="8" s="1"/>
  <c r="AN53" i="8" s="1"/>
  <c r="AN54" i="8" s="1"/>
  <c r="AN55" i="8" s="1"/>
  <c r="AN56" i="8" s="1"/>
  <c r="AN57" i="8" s="1"/>
  <c r="AN58" i="8" s="1"/>
  <c r="AN59" i="8" s="1"/>
  <c r="AN60" i="8" s="1"/>
  <c r="AN61" i="8" s="1"/>
  <c r="AN62" i="8" s="1"/>
  <c r="AN63" i="8" s="1"/>
  <c r="AN64" i="8" s="1"/>
  <c r="AN65" i="8" s="1"/>
  <c r="AN66" i="8" s="1"/>
  <c r="AN67" i="8" s="1"/>
  <c r="AN68" i="8" s="1"/>
  <c r="AN69" i="8" s="1"/>
  <c r="AN70" i="8" s="1"/>
  <c r="AN71" i="8" s="1"/>
  <c r="AN72" i="8" s="1"/>
  <c r="AN73" i="8" s="1"/>
  <c r="AN74" i="8" s="1"/>
  <c r="AN75" i="8" s="1"/>
  <c r="AN76" i="8" s="1"/>
  <c r="AN77" i="8" s="1"/>
  <c r="AN78" i="8" s="1"/>
  <c r="AN79" i="8" s="1"/>
  <c r="AN80" i="8" s="1"/>
  <c r="AN81" i="8" s="1"/>
  <c r="AN82" i="8" s="1"/>
  <c r="AN83" i="8" s="1"/>
  <c r="AN84" i="8" s="1"/>
  <c r="AN85" i="8" s="1"/>
  <c r="AN86" i="8" s="1"/>
  <c r="AN87" i="8" s="1"/>
  <c r="AN88" i="8" s="1"/>
  <c r="AN89" i="8" s="1"/>
  <c r="AN90" i="8" s="1"/>
  <c r="AN91" i="8" s="1"/>
  <c r="AN92" i="8" s="1"/>
  <c r="AN93" i="8" s="1"/>
  <c r="AN94" i="8" s="1"/>
  <c r="AN95" i="8" s="1"/>
  <c r="AN96" i="8" s="1"/>
  <c r="AN97" i="8" s="1"/>
  <c r="AN98" i="8" s="1"/>
  <c r="AN99" i="8" s="1"/>
  <c r="AN100" i="8" s="1"/>
  <c r="AN101" i="8" s="1"/>
  <c r="AN102" i="8" s="1"/>
  <c r="AN103" i="8" s="1"/>
  <c r="AN104" i="8" s="1"/>
  <c r="AN105" i="8" s="1"/>
  <c r="AN106" i="8" s="1"/>
  <c r="AN107" i="8" s="1"/>
  <c r="AN108" i="8" s="1"/>
  <c r="AN109" i="8" s="1"/>
  <c r="AN110" i="8" s="1"/>
  <c r="AN111" i="8" s="1"/>
  <c r="AN112" i="8" s="1"/>
  <c r="AN113" i="8" s="1"/>
  <c r="AN114" i="8" s="1"/>
  <c r="AN115" i="8" s="1"/>
  <c r="AN116" i="8" s="1"/>
  <c r="AN117" i="8" s="1"/>
  <c r="AN118" i="8" s="1"/>
  <c r="AN119" i="8" s="1"/>
  <c r="AN120" i="8" s="1"/>
  <c r="AI36" i="8"/>
  <c r="AI37" i="8" s="1"/>
  <c r="AI38" i="8" s="1"/>
  <c r="AI39" i="8" s="1"/>
  <c r="AI40" i="8" s="1"/>
  <c r="AI41" i="8" s="1"/>
  <c r="AI42" i="8" s="1"/>
  <c r="AI43" i="8" s="1"/>
  <c r="AI44" i="8" s="1"/>
  <c r="AI45" i="8" s="1"/>
  <c r="AI46" i="8" s="1"/>
  <c r="AI47" i="8" s="1"/>
  <c r="AI48" i="8" s="1"/>
  <c r="AI49" i="8" s="1"/>
  <c r="AI50" i="8" s="1"/>
  <c r="AI51" i="8" s="1"/>
  <c r="AI52" i="8" s="1"/>
  <c r="AI53" i="8" s="1"/>
  <c r="AI54" i="8" s="1"/>
  <c r="AI55" i="8" s="1"/>
  <c r="AI56" i="8" s="1"/>
  <c r="AI57" i="8" s="1"/>
  <c r="AI58" i="8" s="1"/>
  <c r="AI59" i="8" s="1"/>
  <c r="AI60" i="8" s="1"/>
  <c r="AI61" i="8" s="1"/>
  <c r="AI62" i="8" s="1"/>
  <c r="AI63" i="8" s="1"/>
  <c r="AI64" i="8" s="1"/>
  <c r="AI65" i="8" s="1"/>
  <c r="AI66" i="8" s="1"/>
  <c r="AI67" i="8" s="1"/>
  <c r="AI68" i="8" s="1"/>
  <c r="AI69" i="8" s="1"/>
  <c r="AI70" i="8" s="1"/>
  <c r="AI71" i="8" s="1"/>
  <c r="AI72" i="8" s="1"/>
  <c r="AI73" i="8" s="1"/>
  <c r="AI74" i="8" s="1"/>
  <c r="AI75" i="8" s="1"/>
  <c r="AI76" i="8" s="1"/>
  <c r="AI77" i="8" s="1"/>
  <c r="AI78" i="8" s="1"/>
  <c r="AI79" i="8" s="1"/>
  <c r="AI80" i="8" s="1"/>
  <c r="AI81" i="8" s="1"/>
  <c r="AI82" i="8" s="1"/>
  <c r="AI83" i="8" s="1"/>
  <c r="AI84" i="8" s="1"/>
  <c r="AI85" i="8" s="1"/>
  <c r="AI86" i="8" s="1"/>
  <c r="AI87" i="8" s="1"/>
  <c r="AI88" i="8" s="1"/>
  <c r="AF36" i="8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F11" i="9"/>
  <c r="B12" i="9"/>
  <c r="AA70" i="8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Z58" i="8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Z84" i="8" s="1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Z96" i="8" s="1"/>
  <c r="Z97" i="8" s="1"/>
  <c r="Z98" i="8" s="1"/>
  <c r="Z99" i="8" s="1"/>
  <c r="Z100" i="8" s="1"/>
  <c r="Z101" i="8" s="1"/>
  <c r="Z102" i="8" s="1"/>
  <c r="Z103" i="8" s="1"/>
  <c r="Z104" i="8" s="1"/>
  <c r="Z105" i="8" s="1"/>
  <c r="Z106" i="8" s="1"/>
  <c r="Z107" i="8" s="1"/>
  <c r="Z108" i="8" s="1"/>
  <c r="Z109" i="8" s="1"/>
  <c r="Z110" i="8" s="1"/>
  <c r="Z111" i="8" s="1"/>
  <c r="Z112" i="8" s="1"/>
  <c r="Z113" i="8" s="1"/>
  <c r="Z114" i="8" s="1"/>
  <c r="Z115" i="8" s="1"/>
  <c r="Z116" i="8" s="1"/>
  <c r="Z117" i="8" s="1"/>
  <c r="Z118" i="8" s="1"/>
  <c r="Z119" i="8" s="1"/>
  <c r="Z120" i="8" s="1"/>
  <c r="Z121" i="8" s="1"/>
  <c r="Z122" i="8" s="1"/>
  <c r="Z123" i="8" s="1"/>
  <c r="Z124" i="8" s="1"/>
  <c r="Z125" i="8" s="1"/>
  <c r="Z126" i="8" s="1"/>
  <c r="Z127" i="8" s="1"/>
  <c r="Z128" i="8" s="1"/>
  <c r="Z129" i="8" s="1"/>
  <c r="Z130" i="8" s="1"/>
  <c r="Z131" i="8" s="1"/>
  <c r="Z132" i="8" s="1"/>
  <c r="AF77" i="8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F123" i="8" s="1"/>
  <c r="AF124" i="8" s="1"/>
  <c r="AF125" i="8" s="1"/>
  <c r="AF126" i="8" s="1"/>
  <c r="AF127" i="8" s="1"/>
  <c r="AF128" i="8" s="1"/>
  <c r="AF129" i="8" s="1"/>
  <c r="AF130" i="8" s="1"/>
  <c r="AF131" i="8" s="1"/>
  <c r="AF132" i="8" s="1"/>
  <c r="AF133" i="8" s="1"/>
  <c r="AF134" i="8" s="1"/>
  <c r="AF135" i="8" s="1"/>
  <c r="AF136" i="8" s="1"/>
  <c r="AF137" i="8" s="1"/>
  <c r="AF138" i="8" s="1"/>
  <c r="AF139" i="8" s="1"/>
  <c r="AF140" i="8" s="1"/>
  <c r="AF141" i="8" s="1"/>
  <c r="AF142" i="8" s="1"/>
  <c r="AF143" i="8" s="1"/>
  <c r="AF144" i="8" s="1"/>
  <c r="AF145" i="8" s="1"/>
  <c r="AF146" i="8" s="1"/>
  <c r="AF147" i="8" s="1"/>
  <c r="AF148" i="8" s="1"/>
  <c r="AF149" i="8" s="1"/>
  <c r="AF150" i="8" s="1"/>
  <c r="AF151" i="8" s="1"/>
  <c r="AF152" i="8" s="1"/>
  <c r="AF153" i="8" s="1"/>
  <c r="AF154" i="8" s="1"/>
  <c r="AF155" i="8" s="1"/>
  <c r="AF156" i="8" s="1"/>
  <c r="AF157" i="8" s="1"/>
  <c r="AF158" i="8" s="1"/>
  <c r="AF159" i="8" s="1"/>
  <c r="AF160" i="8" s="1"/>
  <c r="AF161" i="8" s="1"/>
  <c r="AF162" i="8" s="1"/>
  <c r="Y78" i="8"/>
  <c r="Y79" i="8" s="1"/>
  <c r="Y80" i="8" s="1"/>
  <c r="Y81" i="8" s="1"/>
  <c r="BR21" i="8"/>
  <c r="V22" i="8"/>
  <c r="BS20" i="8" s="1"/>
  <c r="BT20" i="8" s="1"/>
  <c r="V54" i="8"/>
  <c r="BS52" i="8" s="1"/>
  <c r="BT52" i="8" s="1"/>
  <c r="BR53" i="8"/>
  <c r="AH85" i="8"/>
  <c r="AH86" i="8" s="1"/>
  <c r="AH87" i="8" s="1"/>
  <c r="AH88" i="8" s="1"/>
  <c r="AH89" i="8" s="1"/>
  <c r="AH90" i="8" s="1"/>
  <c r="AH91" i="8" s="1"/>
  <c r="AH92" i="8" s="1"/>
  <c r="AH93" i="8" s="1"/>
  <c r="AH94" i="8" s="1"/>
  <c r="AH95" i="8" s="1"/>
  <c r="AH96" i="8" s="1"/>
  <c r="AH97" i="8" s="1"/>
  <c r="AH98" i="8" s="1"/>
  <c r="AH99" i="8" s="1"/>
  <c r="AH100" i="8" s="1"/>
  <c r="AH101" i="8" s="1"/>
  <c r="AH102" i="8" s="1"/>
  <c r="AH103" i="8" s="1"/>
  <c r="AH104" i="8" s="1"/>
  <c r="AH105" i="8" s="1"/>
  <c r="AH106" i="8" s="1"/>
  <c r="AH107" i="8" s="1"/>
  <c r="AH108" i="8" s="1"/>
  <c r="AH109" i="8" s="1"/>
  <c r="AH110" i="8" s="1"/>
  <c r="AH111" i="8" s="1"/>
  <c r="AH112" i="8" s="1"/>
  <c r="AH113" i="8" s="1"/>
  <c r="AH114" i="8" s="1"/>
  <c r="AH115" i="8" s="1"/>
  <c r="AH116" i="8" s="1"/>
  <c r="AH117" i="8" s="1"/>
  <c r="AH118" i="8" s="1"/>
  <c r="AH119" i="8" s="1"/>
  <c r="AH120" i="8" s="1"/>
  <c r="AH121" i="8" s="1"/>
  <c r="AH122" i="8" s="1"/>
  <c r="AH123" i="8" s="1"/>
  <c r="AH124" i="8" s="1"/>
  <c r="AH125" i="8" s="1"/>
  <c r="AH126" i="8" s="1"/>
  <c r="AH127" i="8" s="1"/>
  <c r="AH128" i="8" s="1"/>
  <c r="AH129" i="8" s="1"/>
  <c r="AH130" i="8" s="1"/>
  <c r="AH131" i="8" s="1"/>
  <c r="AH132" i="8" s="1"/>
  <c r="AH133" i="8" s="1"/>
  <c r="AH134" i="8" s="1"/>
  <c r="AH135" i="8" s="1"/>
  <c r="AH136" i="8" s="1"/>
  <c r="AH137" i="8" s="1"/>
  <c r="AH138" i="8" s="1"/>
  <c r="AH139" i="8" s="1"/>
  <c r="AH140" i="8" s="1"/>
  <c r="AH141" i="8" s="1"/>
  <c r="AH142" i="8" s="1"/>
  <c r="AH143" i="8" s="1"/>
  <c r="AH144" i="8" s="1"/>
  <c r="AH145" i="8" s="1"/>
  <c r="AH146" i="8" s="1"/>
  <c r="AH147" i="8" s="1"/>
  <c r="AH148" i="8" s="1"/>
  <c r="AH149" i="8" s="1"/>
  <c r="AH150" i="8" s="1"/>
  <c r="AH151" i="8" s="1"/>
  <c r="AH152" i="8" s="1"/>
  <c r="AH153" i="8" s="1"/>
  <c r="AH154" i="8" s="1"/>
  <c r="AH155" i="8" s="1"/>
  <c r="AH156" i="8" s="1"/>
  <c r="AH157" i="8" s="1"/>
  <c r="AH158" i="8" s="1"/>
  <c r="AH159" i="8" s="1"/>
  <c r="AH160" i="8" s="1"/>
  <c r="AH161" i="8" s="1"/>
  <c r="AH162" i="8" s="1"/>
  <c r="AH163" i="8" s="1"/>
  <c r="AH164" i="8" s="1"/>
  <c r="AH165" i="8" s="1"/>
  <c r="AH166" i="8" s="1"/>
  <c r="AH167" i="8" s="1"/>
  <c r="AH168" i="8" s="1"/>
  <c r="AH169" i="8" s="1"/>
  <c r="AH170" i="8" s="1"/>
  <c r="AH171" i="8" s="1"/>
  <c r="AH172" i="8" s="1"/>
  <c r="W86" i="8"/>
  <c r="W87" i="8" s="1"/>
  <c r="W88" i="8" s="1"/>
  <c r="W89" i="8" s="1"/>
  <c r="W90" i="8" s="1"/>
  <c r="W91" i="8" s="1"/>
  <c r="X31" i="8"/>
  <c r="X32" i="8" s="1"/>
  <c r="X33" i="8" s="1"/>
  <c r="X34" i="8" s="1"/>
  <c r="X35" i="8" s="1"/>
  <c r="X36" i="8" s="1"/>
  <c r="X37" i="8" s="1"/>
  <c r="X38" i="8" s="1"/>
  <c r="X39" i="8" s="1"/>
  <c r="X40" i="8" s="1"/>
  <c r="AM30" i="8"/>
  <c r="AM31" i="8" s="1"/>
  <c r="AM32" i="8" s="1"/>
  <c r="AM33" i="8" s="1"/>
  <c r="AM34" i="8" s="1"/>
  <c r="AM35" i="8" s="1"/>
  <c r="AM36" i="8" s="1"/>
  <c r="AM37" i="8" s="1"/>
  <c r="AM38" i="8" s="1"/>
  <c r="AM39" i="8" s="1"/>
  <c r="AM40" i="8" s="1"/>
  <c r="AM41" i="8" s="1"/>
  <c r="AM42" i="8" s="1"/>
  <c r="AM43" i="8" s="1"/>
  <c r="AM44" i="8" s="1"/>
  <c r="AM45" i="8" s="1"/>
  <c r="AM46" i="8" s="1"/>
  <c r="AM47" i="8" s="1"/>
  <c r="AM48" i="8" s="1"/>
  <c r="AM49" i="8" s="1"/>
  <c r="AM50" i="8" s="1"/>
  <c r="AM51" i="8" s="1"/>
  <c r="AM52" i="8" s="1"/>
  <c r="AM53" i="8" s="1"/>
  <c r="AM54" i="8" s="1"/>
  <c r="AM55" i="8" s="1"/>
  <c r="AM56" i="8" s="1"/>
  <c r="AM57" i="8" s="1"/>
  <c r="AM58" i="8" s="1"/>
  <c r="AM59" i="8" s="1"/>
  <c r="AM60" i="8" s="1"/>
  <c r="AM61" i="8" s="1"/>
  <c r="AM62" i="8" s="1"/>
  <c r="AM63" i="8" s="1"/>
  <c r="AM64" i="8" s="1"/>
  <c r="AM65" i="8" s="1"/>
  <c r="AM66" i="8" s="1"/>
  <c r="AM67" i="8" s="1"/>
  <c r="AM68" i="8" s="1"/>
  <c r="AM69" i="8" s="1"/>
  <c r="AM70" i="8" s="1"/>
  <c r="AM71" i="8" s="1"/>
  <c r="AM72" i="8" s="1"/>
  <c r="AM73" i="8" s="1"/>
  <c r="AM74" i="8" s="1"/>
  <c r="AM75" i="8" s="1"/>
  <c r="AM76" i="8" s="1"/>
  <c r="AM77" i="8" s="1"/>
  <c r="AM78" i="8" s="1"/>
  <c r="AM79" i="8" s="1"/>
  <c r="AM80" i="8" s="1"/>
  <c r="AM81" i="8" s="1"/>
  <c r="AM82" i="8" s="1"/>
  <c r="AM83" i="8" s="1"/>
  <c r="AM84" i="8" s="1"/>
  <c r="AM85" i="8" s="1"/>
  <c r="AM86" i="8" s="1"/>
  <c r="AM87" i="8" s="1"/>
  <c r="AM88" i="8" s="1"/>
  <c r="AM89" i="8" s="1"/>
  <c r="AM90" i="8" s="1"/>
  <c r="AM91" i="8" s="1"/>
  <c r="AM92" i="8" s="1"/>
  <c r="AM93" i="8" s="1"/>
  <c r="AM94" i="8" s="1"/>
  <c r="AM95" i="8" s="1"/>
  <c r="AM96" i="8" s="1"/>
  <c r="AM97" i="8" s="1"/>
  <c r="AM98" i="8" s="1"/>
  <c r="AM99" i="8" s="1"/>
  <c r="AM100" i="8" s="1"/>
  <c r="AM101" i="8" s="1"/>
  <c r="AM102" i="8" s="1"/>
  <c r="AM103" i="8" s="1"/>
  <c r="AM104" i="8" s="1"/>
  <c r="AM105" i="8" s="1"/>
  <c r="AM106" i="8" s="1"/>
  <c r="AM107" i="8" s="1"/>
  <c r="AM108" i="8" s="1"/>
  <c r="AM109" i="8" s="1"/>
  <c r="AM110" i="8" s="1"/>
  <c r="AM111" i="8" s="1"/>
  <c r="AM112" i="8" s="1"/>
  <c r="AQ36" i="8"/>
  <c r="AQ37" i="8" s="1"/>
  <c r="AQ38" i="8" s="1"/>
  <c r="AQ39" i="8" s="1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J36" i="8"/>
  <c r="AJ37" i="8" s="1"/>
  <c r="AJ38" i="8" s="1"/>
  <c r="AJ39" i="8" s="1"/>
  <c r="AJ40" i="8" s="1"/>
  <c r="AJ41" i="8" s="1"/>
  <c r="AJ42" i="8" s="1"/>
  <c r="AJ43" i="8" s="1"/>
  <c r="AJ44" i="8" s="1"/>
  <c r="AJ45" i="8" s="1"/>
  <c r="AJ46" i="8" s="1"/>
  <c r="AJ47" i="8" s="1"/>
  <c r="AJ48" i="8" s="1"/>
  <c r="AJ49" i="8" s="1"/>
  <c r="AJ50" i="8" s="1"/>
  <c r="AJ51" i="8" s="1"/>
  <c r="AJ52" i="8" s="1"/>
  <c r="AJ53" i="8" s="1"/>
  <c r="AJ54" i="8" s="1"/>
  <c r="AJ55" i="8" s="1"/>
  <c r="AJ56" i="8" s="1"/>
  <c r="AJ57" i="8" s="1"/>
  <c r="AJ58" i="8" s="1"/>
  <c r="AJ59" i="8" s="1"/>
  <c r="AJ60" i="8" s="1"/>
  <c r="AJ61" i="8" s="1"/>
  <c r="AJ62" i="8" s="1"/>
  <c r="AJ63" i="8" s="1"/>
  <c r="AJ64" i="8" s="1"/>
  <c r="AJ65" i="8" s="1"/>
  <c r="AJ66" i="8" s="1"/>
  <c r="AJ67" i="8" s="1"/>
  <c r="AJ68" i="8" s="1"/>
  <c r="AJ69" i="8" s="1"/>
  <c r="AJ70" i="8" s="1"/>
  <c r="AJ71" i="8" s="1"/>
  <c r="AJ72" i="8" s="1"/>
  <c r="AJ73" i="8" s="1"/>
  <c r="AJ74" i="8" s="1"/>
  <c r="AJ75" i="8" s="1"/>
  <c r="AJ76" i="8" s="1"/>
  <c r="AJ77" i="8" s="1"/>
  <c r="AJ78" i="8" s="1"/>
  <c r="AJ79" i="8" s="1"/>
  <c r="AJ80" i="8" s="1"/>
  <c r="AJ81" i="8" s="1"/>
  <c r="AJ82" i="8" s="1"/>
  <c r="AJ83" i="8" s="1"/>
  <c r="AJ84" i="8" s="1"/>
  <c r="AJ85" i="8" s="1"/>
  <c r="AJ86" i="8" s="1"/>
  <c r="AJ87" i="8" s="1"/>
  <c r="AJ88" i="8" s="1"/>
  <c r="AJ89" i="8" s="1"/>
  <c r="AJ90" i="8" s="1"/>
  <c r="AJ91" i="8" s="1"/>
  <c r="AJ92" i="8" s="1"/>
  <c r="AJ93" i="8" s="1"/>
  <c r="AJ94" i="8" s="1"/>
  <c r="AJ95" i="8" s="1"/>
  <c r="AJ96" i="8" s="1"/>
  <c r="AJ97" i="8" s="1"/>
  <c r="AJ98" i="8" s="1"/>
  <c r="AG36" i="8"/>
  <c r="AG37" i="8" s="1"/>
  <c r="AG38" i="8" s="1"/>
  <c r="AG39" i="8" s="1"/>
  <c r="AG40" i="8" s="1"/>
  <c r="AG41" i="8" s="1"/>
  <c r="AG42" i="8" s="1"/>
  <c r="AG43" i="8" s="1"/>
  <c r="AG44" i="8" s="1"/>
  <c r="AG45" i="8" s="1"/>
  <c r="AG46" i="8" s="1"/>
  <c r="AG47" i="8" s="1"/>
  <c r="AG48" i="8" s="1"/>
  <c r="AG49" i="8" s="1"/>
  <c r="AG50" i="8" s="1"/>
  <c r="AG51" i="8" s="1"/>
  <c r="AG52" i="8" s="1"/>
  <c r="AG53" i="8" s="1"/>
  <c r="AG54" i="8" s="1"/>
  <c r="AG55" i="8" s="1"/>
  <c r="AG56" i="8" s="1"/>
  <c r="AG57" i="8" s="1"/>
  <c r="AG58" i="8" s="1"/>
  <c r="AG59" i="8" s="1"/>
  <c r="AG60" i="8" s="1"/>
  <c r="AG61" i="8" s="1"/>
  <c r="AG62" i="8" s="1"/>
  <c r="AG63" i="8" s="1"/>
  <c r="AG64" i="8" s="1"/>
  <c r="AG65" i="8" s="1"/>
  <c r="AG66" i="8" s="1"/>
  <c r="AG67" i="8" s="1"/>
  <c r="AG68" i="8" s="1"/>
  <c r="AG69" i="8" s="1"/>
  <c r="AG70" i="8" s="1"/>
  <c r="AG71" i="8" s="1"/>
  <c r="AG72" i="8" s="1"/>
  <c r="AG73" i="8" s="1"/>
  <c r="AG74" i="8" s="1"/>
  <c r="AG75" i="8" s="1"/>
  <c r="AG76" i="8" s="1"/>
  <c r="AG77" i="8" s="1"/>
  <c r="AG78" i="8" s="1"/>
  <c r="AG79" i="8" s="1"/>
  <c r="AG80" i="8" s="1"/>
  <c r="AE36" i="8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E123" i="8" s="1"/>
  <c r="AE124" i="8" s="1"/>
  <c r="AE125" i="8" s="1"/>
  <c r="AE126" i="8" s="1"/>
  <c r="AE127" i="8" s="1"/>
  <c r="AE128" i="8" s="1"/>
  <c r="AE129" i="8" s="1"/>
  <c r="AE130" i="8" s="1"/>
  <c r="AE131" i="8" s="1"/>
  <c r="AE132" i="8" s="1"/>
  <c r="AE133" i="8" s="1"/>
  <c r="AE134" i="8" s="1"/>
  <c r="AE135" i="8" s="1"/>
  <c r="AE136" i="8" s="1"/>
  <c r="AE137" i="8" s="1"/>
  <c r="AE138" i="8" s="1"/>
  <c r="AE139" i="8" s="1"/>
  <c r="AE140" i="8" s="1"/>
  <c r="AE141" i="8" s="1"/>
  <c r="AE142" i="8" s="1"/>
  <c r="AE143" i="8" s="1"/>
  <c r="AE144" i="8" s="1"/>
  <c r="AE145" i="8" s="1"/>
  <c r="AE146" i="8" s="1"/>
  <c r="AE147" i="8" s="1"/>
  <c r="AE148" i="8" s="1"/>
  <c r="AE149" i="8" s="1"/>
  <c r="AE150" i="8" s="1"/>
  <c r="AE151" i="8" s="1"/>
  <c r="AE152" i="8" s="1"/>
  <c r="AE153" i="8" s="1"/>
  <c r="AE154" i="8" s="1"/>
  <c r="AE155" i="8" s="1"/>
  <c r="AE156" i="8" s="1"/>
  <c r="V100" i="8"/>
  <c r="AK104" i="8"/>
  <c r="AK105" i="8" s="1"/>
  <c r="AK106" i="8" s="1"/>
  <c r="AK107" i="8" s="1"/>
  <c r="AK108" i="8" s="1"/>
  <c r="AK109" i="8" s="1"/>
  <c r="AK110" i="8" s="1"/>
  <c r="AK111" i="8" s="1"/>
  <c r="AK112" i="8" s="1"/>
  <c r="AK113" i="8" s="1"/>
  <c r="AK114" i="8" s="1"/>
  <c r="AK115" i="8" s="1"/>
  <c r="AK116" i="8" s="1"/>
  <c r="AK117" i="8" s="1"/>
  <c r="AK118" i="8" s="1"/>
  <c r="AK119" i="8" s="1"/>
  <c r="AK120" i="8" s="1"/>
  <c r="AK121" i="8" s="1"/>
  <c r="AK122" i="8" s="1"/>
  <c r="AK123" i="8" s="1"/>
  <c r="AK124" i="8" s="1"/>
  <c r="AK125" i="8" s="1"/>
  <c r="AK126" i="8" s="1"/>
  <c r="AK127" i="8" s="1"/>
  <c r="AK128" i="8" s="1"/>
  <c r="AK129" i="8" s="1"/>
  <c r="AK130" i="8" s="1"/>
  <c r="AK131" i="8" s="1"/>
  <c r="AK132" i="8" s="1"/>
  <c r="AK133" i="8" s="1"/>
  <c r="AK134" i="8" s="1"/>
  <c r="AK135" i="8" s="1"/>
  <c r="AK136" i="8" s="1"/>
  <c r="AK137" i="8" s="1"/>
  <c r="AK138" i="8" s="1"/>
  <c r="AK139" i="8" s="1"/>
  <c r="AK140" i="8" s="1"/>
  <c r="AK141" i="8" s="1"/>
  <c r="AK142" i="8" s="1"/>
  <c r="AK143" i="8" s="1"/>
  <c r="AK144" i="8" s="1"/>
  <c r="AK145" i="8" s="1"/>
  <c r="AK146" i="8" s="1"/>
  <c r="AK147" i="8" s="1"/>
  <c r="AK148" i="8" s="1"/>
  <c r="AK149" i="8" s="1"/>
  <c r="AK150" i="8" s="1"/>
  <c r="AK151" i="8" s="1"/>
  <c r="AK152" i="8" s="1"/>
  <c r="AK153" i="8" s="1"/>
  <c r="AK154" i="8" s="1"/>
  <c r="AK155" i="8" s="1"/>
  <c r="AK156" i="8" s="1"/>
  <c r="AK157" i="8" s="1"/>
  <c r="AK158" i="8" s="1"/>
  <c r="AK159" i="8" s="1"/>
  <c r="AK160" i="8" s="1"/>
  <c r="AK161" i="8" s="1"/>
  <c r="AK162" i="8" s="1"/>
  <c r="AK163" i="8" s="1"/>
  <c r="AK164" i="8" s="1"/>
  <c r="AK165" i="8" s="1"/>
  <c r="AK166" i="8" s="1"/>
  <c r="AK167" i="8" s="1"/>
  <c r="AK168" i="8" s="1"/>
  <c r="AK169" i="8" s="1"/>
  <c r="AK170" i="8" s="1"/>
  <c r="AK171" i="8" s="1"/>
  <c r="AK172" i="8" s="1"/>
  <c r="AK173" i="8" s="1"/>
  <c r="AK174" i="8" s="1"/>
  <c r="AK175" i="8" s="1"/>
  <c r="AK176" i="8" s="1"/>
  <c r="AK177" i="8" s="1"/>
  <c r="AK178" i="8" s="1"/>
  <c r="AK179" i="8" s="1"/>
  <c r="AK180" i="8" s="1"/>
  <c r="AK181" i="8" s="1"/>
  <c r="AK182" i="8" s="1"/>
  <c r="AK183" i="8" s="1"/>
  <c r="AK184" i="8" s="1"/>
  <c r="AK185" i="8" s="1"/>
  <c r="AK186" i="8" s="1"/>
  <c r="AK187" i="8" s="1"/>
  <c r="AK188" i="8" s="1"/>
  <c r="AK189" i="8" s="1"/>
  <c r="BR52" i="8"/>
  <c r="G132" i="8"/>
  <c r="G133" i="8" s="1"/>
  <c r="G134" i="8" s="1"/>
  <c r="G135" i="8" s="1"/>
  <c r="G136" i="8" s="1"/>
  <c r="X132" i="8"/>
  <c r="X133" i="8" s="1"/>
  <c r="X134" i="8" s="1"/>
  <c r="X135" i="8" s="1"/>
  <c r="X136" i="8" s="1"/>
  <c r="X137" i="8" s="1"/>
  <c r="AD36" i="8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K36" i="8"/>
  <c r="AK37" i="8" s="1"/>
  <c r="AK38" i="8" s="1"/>
  <c r="AK39" i="8" s="1"/>
  <c r="AK40" i="8" s="1"/>
  <c r="AK41" i="8" s="1"/>
  <c r="AK42" i="8" s="1"/>
  <c r="AK43" i="8" s="1"/>
  <c r="AK44" i="8" s="1"/>
  <c r="AK45" i="8" s="1"/>
  <c r="AK46" i="8" s="1"/>
  <c r="AK47" i="8" s="1"/>
  <c r="AK48" i="8" s="1"/>
  <c r="AK49" i="8" s="1"/>
  <c r="AK50" i="8" s="1"/>
  <c r="AK51" i="8" s="1"/>
  <c r="AK52" i="8" s="1"/>
  <c r="AK53" i="8" s="1"/>
  <c r="AK54" i="8" s="1"/>
  <c r="AK55" i="8" s="1"/>
  <c r="AK56" i="8" s="1"/>
  <c r="AK57" i="8" s="1"/>
  <c r="AK58" i="8" s="1"/>
  <c r="AK59" i="8" s="1"/>
  <c r="AK60" i="8" s="1"/>
  <c r="AK61" i="8" s="1"/>
  <c r="AK62" i="8" s="1"/>
  <c r="AK63" i="8" s="1"/>
  <c r="AK64" i="8" s="1"/>
  <c r="AK65" i="8" s="1"/>
  <c r="AK66" i="8" s="1"/>
  <c r="AK67" i="8" s="1"/>
  <c r="AK68" i="8" s="1"/>
  <c r="AK69" i="8" s="1"/>
  <c r="AK70" i="8" s="1"/>
  <c r="AK71" i="8" s="1"/>
  <c r="AK72" i="8" s="1"/>
  <c r="AK73" i="8" s="1"/>
  <c r="AK74" i="8" s="1"/>
  <c r="AK75" i="8" s="1"/>
  <c r="AK76" i="8" s="1"/>
  <c r="AK77" i="8" s="1"/>
  <c r="AK78" i="8" s="1"/>
  <c r="AK79" i="8" s="1"/>
  <c r="AK80" i="8" s="1"/>
  <c r="AK81" i="8" s="1"/>
  <c r="AK82" i="8" s="1"/>
  <c r="AK83" i="8" s="1"/>
  <c r="AK84" i="8" s="1"/>
  <c r="AK85" i="8" s="1"/>
  <c r="AK86" i="8" s="1"/>
  <c r="AK87" i="8" s="1"/>
  <c r="AK88" i="8" s="1"/>
  <c r="AK89" i="8" s="1"/>
  <c r="AK90" i="8" s="1"/>
  <c r="AK91" i="8" s="1"/>
  <c r="AK92" i="8" s="1"/>
  <c r="AK93" i="8" s="1"/>
  <c r="AK94" i="8" s="1"/>
  <c r="AK95" i="8" s="1"/>
  <c r="AK96" i="8" s="1"/>
  <c r="AK97" i="8" s="1"/>
  <c r="AK98" i="8" s="1"/>
  <c r="AK99" i="8" s="1"/>
  <c r="AK100" i="8" s="1"/>
  <c r="AK101" i="8" s="1"/>
  <c r="AK102" i="8" s="1"/>
  <c r="AK103" i="8" s="1"/>
  <c r="BR6" i="8"/>
  <c r="V7" i="8"/>
  <c r="W109" i="8"/>
  <c r="W110" i="8" s="1"/>
  <c r="W111" i="8" s="1"/>
  <c r="W112" i="8" s="1"/>
  <c r="W113" i="8" s="1"/>
  <c r="AL108" i="8"/>
  <c r="AL109" i="8" s="1"/>
  <c r="AL110" i="8" s="1"/>
  <c r="AL111" i="8" s="1"/>
  <c r="AL112" i="8" s="1"/>
  <c r="AL113" i="8" s="1"/>
  <c r="AL114" i="8" s="1"/>
  <c r="AL115" i="8" s="1"/>
  <c r="AL116" i="8" s="1"/>
  <c r="AL117" i="8" s="1"/>
  <c r="AL118" i="8" s="1"/>
  <c r="AL119" i="8" s="1"/>
  <c r="AL120" i="8" s="1"/>
  <c r="AL121" i="8" s="1"/>
  <c r="AL122" i="8" s="1"/>
  <c r="AL123" i="8" s="1"/>
  <c r="AL124" i="8" s="1"/>
  <c r="AL125" i="8" s="1"/>
  <c r="AL126" i="8" s="1"/>
  <c r="AL127" i="8" s="1"/>
  <c r="AL128" i="8" s="1"/>
  <c r="AL129" i="8" s="1"/>
  <c r="AL130" i="8" s="1"/>
  <c r="AL131" i="8" s="1"/>
  <c r="AL132" i="8" s="1"/>
  <c r="AL133" i="8" s="1"/>
  <c r="AL134" i="8" s="1"/>
  <c r="AL135" i="8" s="1"/>
  <c r="AL136" i="8" s="1"/>
  <c r="AL137" i="8" s="1"/>
  <c r="AL138" i="8" s="1"/>
  <c r="AL139" i="8" s="1"/>
  <c r="AL140" i="8" s="1"/>
  <c r="AL141" i="8" s="1"/>
  <c r="AL142" i="8" s="1"/>
  <c r="AL143" i="8" s="1"/>
  <c r="AL144" i="8" s="1"/>
  <c r="AL145" i="8" s="1"/>
  <c r="AL146" i="8" s="1"/>
  <c r="AL147" i="8" s="1"/>
  <c r="AL148" i="8" s="1"/>
  <c r="AL149" i="8" s="1"/>
  <c r="AL150" i="8" s="1"/>
  <c r="AL151" i="8" s="1"/>
  <c r="AL152" i="8" s="1"/>
  <c r="AL153" i="8" s="1"/>
  <c r="AL154" i="8" s="1"/>
  <c r="AL155" i="8" s="1"/>
  <c r="AL156" i="8" s="1"/>
  <c r="AL157" i="8" s="1"/>
  <c r="AL158" i="8" s="1"/>
  <c r="AL159" i="8" s="1"/>
  <c r="AL160" i="8" s="1"/>
  <c r="AL161" i="8" s="1"/>
  <c r="AL162" i="8" s="1"/>
  <c r="AL163" i="8" s="1"/>
  <c r="AL164" i="8" s="1"/>
  <c r="AL165" i="8" s="1"/>
  <c r="AL166" i="8" s="1"/>
  <c r="AL167" i="8" s="1"/>
  <c r="AL168" i="8" s="1"/>
  <c r="AL169" i="8" s="1"/>
  <c r="AL170" i="8" s="1"/>
  <c r="AL171" i="8" s="1"/>
  <c r="AL172" i="8" s="1"/>
  <c r="AL173" i="8" s="1"/>
  <c r="AL174" i="8" s="1"/>
  <c r="AL175" i="8" s="1"/>
  <c r="AL176" i="8" s="1"/>
  <c r="AL177" i="8" s="1"/>
  <c r="AL178" i="8" s="1"/>
  <c r="AL179" i="8" s="1"/>
  <c r="AL180" i="8" s="1"/>
  <c r="AL181" i="8" s="1"/>
  <c r="AL182" i="8" s="1"/>
  <c r="AL183" i="8" s="1"/>
  <c r="AL184" i="8" s="1"/>
  <c r="AL185" i="8" s="1"/>
  <c r="AL186" i="8" s="1"/>
  <c r="AL187" i="8" s="1"/>
  <c r="AL188" i="8" s="1"/>
  <c r="AL189" i="8" s="1"/>
  <c r="AL190" i="8" s="1"/>
  <c r="AL191" i="8" s="1"/>
  <c r="AL192" i="8" s="1"/>
  <c r="AL193" i="8" s="1"/>
  <c r="AL194" i="8" s="1"/>
  <c r="W132" i="8"/>
  <c r="W133" i="8" s="1"/>
  <c r="W134" i="8" s="1"/>
  <c r="AP131" i="8"/>
  <c r="AP132" i="8" s="1"/>
  <c r="AP133" i="8" s="1"/>
  <c r="AP134" i="8" s="1"/>
  <c r="AP135" i="8" s="1"/>
  <c r="AP136" i="8" s="1"/>
  <c r="AP137" i="8" s="1"/>
  <c r="AP138" i="8" s="1"/>
  <c r="AP139" i="8" s="1"/>
  <c r="AP140" i="8" s="1"/>
  <c r="AP141" i="8" s="1"/>
  <c r="AP142" i="8" s="1"/>
  <c r="AP143" i="8" s="1"/>
  <c r="AP144" i="8" s="1"/>
  <c r="AP145" i="8" s="1"/>
  <c r="AP146" i="8" s="1"/>
  <c r="AP147" i="8" s="1"/>
  <c r="AP148" i="8" s="1"/>
  <c r="AP149" i="8" s="1"/>
  <c r="AP150" i="8" s="1"/>
  <c r="AP151" i="8" s="1"/>
  <c r="AP152" i="8" s="1"/>
  <c r="AP153" i="8" s="1"/>
  <c r="AP154" i="8" s="1"/>
  <c r="AP155" i="8" s="1"/>
  <c r="AP156" i="8" s="1"/>
  <c r="AP157" i="8" s="1"/>
  <c r="AP158" i="8" s="1"/>
  <c r="AP159" i="8" s="1"/>
  <c r="AP160" i="8" s="1"/>
  <c r="AP161" i="8" s="1"/>
  <c r="AP162" i="8" s="1"/>
  <c r="AP163" i="8" s="1"/>
  <c r="AP164" i="8" s="1"/>
  <c r="AP165" i="8" s="1"/>
  <c r="AP166" i="8" s="1"/>
  <c r="AP167" i="8" s="1"/>
  <c r="AP168" i="8" s="1"/>
  <c r="AP169" i="8" s="1"/>
  <c r="AP170" i="8" s="1"/>
  <c r="AP171" i="8" s="1"/>
  <c r="AP172" i="8" s="1"/>
  <c r="AP173" i="8" s="1"/>
  <c r="AP174" i="8" s="1"/>
  <c r="AP175" i="8" s="1"/>
  <c r="AP176" i="8" s="1"/>
  <c r="AP177" i="8" s="1"/>
  <c r="AP178" i="8" s="1"/>
  <c r="AP179" i="8" s="1"/>
  <c r="AP180" i="8" s="1"/>
  <c r="AP181" i="8" s="1"/>
  <c r="AP182" i="8" s="1"/>
  <c r="AP183" i="8" s="1"/>
  <c r="AP184" i="8" s="1"/>
  <c r="AP185" i="8" s="1"/>
  <c r="AP186" i="8" s="1"/>
  <c r="AP187" i="8" s="1"/>
  <c r="AP188" i="8" s="1"/>
  <c r="AP189" i="8" s="1"/>
  <c r="AP190" i="8" s="1"/>
  <c r="AP191" i="8" s="1"/>
  <c r="AP192" i="8" s="1"/>
  <c r="AP193" i="8" s="1"/>
  <c r="AP194" i="8" s="1"/>
  <c r="AP195" i="8" s="1"/>
  <c r="AP196" i="8" s="1"/>
  <c r="AP197" i="8" s="1"/>
  <c r="AP198" i="8" s="1"/>
  <c r="AP199" i="8" s="1"/>
  <c r="AP200" i="8" s="1"/>
  <c r="AP201" i="8" s="1"/>
  <c r="AP202" i="8" s="1"/>
  <c r="AP203" i="8" s="1"/>
  <c r="AP204" i="8" s="1"/>
  <c r="AP205" i="8" s="1"/>
  <c r="AP206" i="8" s="1"/>
  <c r="AP207" i="8" s="1"/>
  <c r="AP208" i="8" s="1"/>
  <c r="AP209" i="8" s="1"/>
  <c r="AP210" i="8" s="1"/>
  <c r="AP211" i="8" s="1"/>
  <c r="AP212" i="8" s="1"/>
  <c r="AP213" i="8" s="1"/>
  <c r="AP214" i="8" s="1"/>
  <c r="AP215" i="8" s="1"/>
  <c r="AP216" i="8" s="1"/>
  <c r="AO126" i="8"/>
  <c r="AO127" i="8" s="1"/>
  <c r="AO128" i="8" s="1"/>
  <c r="AO129" i="8" s="1"/>
  <c r="AO130" i="8" s="1"/>
  <c r="AO131" i="8" s="1"/>
  <c r="AO132" i="8" s="1"/>
  <c r="AO133" i="8" s="1"/>
  <c r="AO134" i="8" s="1"/>
  <c r="AO135" i="8" s="1"/>
  <c r="AO136" i="8" s="1"/>
  <c r="AO137" i="8" s="1"/>
  <c r="AO138" i="8" s="1"/>
  <c r="AO139" i="8" s="1"/>
  <c r="AO140" i="8" s="1"/>
  <c r="AO141" i="8" s="1"/>
  <c r="AO142" i="8" s="1"/>
  <c r="AO143" i="8" s="1"/>
  <c r="AO144" i="8" s="1"/>
  <c r="AO145" i="8" s="1"/>
  <c r="AO146" i="8" s="1"/>
  <c r="AO147" i="8" s="1"/>
  <c r="AO148" i="8" s="1"/>
  <c r="AO149" i="8" s="1"/>
  <c r="AO150" i="8" s="1"/>
  <c r="AO151" i="8" s="1"/>
  <c r="AO152" i="8" s="1"/>
  <c r="AO153" i="8" s="1"/>
  <c r="AO154" i="8" s="1"/>
  <c r="AO155" i="8" s="1"/>
  <c r="AO156" i="8" s="1"/>
  <c r="AO157" i="8" s="1"/>
  <c r="AO158" i="8" s="1"/>
  <c r="AO159" i="8" s="1"/>
  <c r="AO160" i="8" s="1"/>
  <c r="AO161" i="8" s="1"/>
  <c r="AO162" i="8" s="1"/>
  <c r="AO163" i="8" s="1"/>
  <c r="AO164" i="8" s="1"/>
  <c r="AO165" i="8" s="1"/>
  <c r="AO166" i="8" s="1"/>
  <c r="AO167" i="8" s="1"/>
  <c r="AO168" i="8" s="1"/>
  <c r="AO169" i="8" s="1"/>
  <c r="AO170" i="8" s="1"/>
  <c r="AO171" i="8" s="1"/>
  <c r="AO172" i="8" s="1"/>
  <c r="AO173" i="8" s="1"/>
  <c r="AO174" i="8" s="1"/>
  <c r="AO175" i="8" s="1"/>
  <c r="AO176" i="8" s="1"/>
  <c r="AO177" i="8" s="1"/>
  <c r="AO178" i="8" s="1"/>
  <c r="AO179" i="8" s="1"/>
  <c r="AO180" i="8" s="1"/>
  <c r="AO181" i="8" s="1"/>
  <c r="AO182" i="8" s="1"/>
  <c r="AO183" i="8" s="1"/>
  <c r="AO184" i="8" s="1"/>
  <c r="AO185" i="8" s="1"/>
  <c r="AO186" i="8" s="1"/>
  <c r="AO187" i="8" s="1"/>
  <c r="AO188" i="8" s="1"/>
  <c r="AO189" i="8" s="1"/>
  <c r="AO190" i="8" s="1"/>
  <c r="AO191" i="8" s="1"/>
  <c r="AO192" i="8" s="1"/>
  <c r="AO193" i="8" s="1"/>
  <c r="AO194" i="8" s="1"/>
  <c r="AO195" i="8" s="1"/>
  <c r="AO196" i="8" s="1"/>
  <c r="AO197" i="8" s="1"/>
  <c r="AO198" i="8" s="1"/>
  <c r="AO199" i="8" s="1"/>
  <c r="AO200" i="8" s="1"/>
  <c r="AO201" i="8" s="1"/>
  <c r="AO202" i="8" s="1"/>
  <c r="AO203" i="8" s="1"/>
  <c r="AO204" i="8" s="1"/>
  <c r="AO205" i="8" s="1"/>
  <c r="AO206" i="8" s="1"/>
  <c r="AO207" i="8" s="1"/>
  <c r="AO208" i="8" s="1"/>
  <c r="AO209" i="8" s="1"/>
  <c r="AO210" i="8" s="1"/>
  <c r="AO211" i="8" s="1"/>
  <c r="X127" i="8"/>
  <c r="X128" i="8" s="1"/>
  <c r="X129" i="8" s="1"/>
  <c r="Y122" i="8"/>
  <c r="Y123" i="8" s="1"/>
  <c r="Y124" i="8" s="1"/>
  <c r="AN121" i="8"/>
  <c r="AN122" i="8" s="1"/>
  <c r="AN123" i="8" s="1"/>
  <c r="AN124" i="8" s="1"/>
  <c r="AN125" i="8" s="1"/>
  <c r="AN126" i="8" s="1"/>
  <c r="AN127" i="8" s="1"/>
  <c r="AN128" i="8" s="1"/>
  <c r="AN129" i="8" s="1"/>
  <c r="AN130" i="8" s="1"/>
  <c r="AN131" i="8" s="1"/>
  <c r="AN132" i="8" s="1"/>
  <c r="AN133" i="8" s="1"/>
  <c r="AN134" i="8" s="1"/>
  <c r="AN135" i="8" s="1"/>
  <c r="AN136" i="8" s="1"/>
  <c r="AN137" i="8" s="1"/>
  <c r="AN138" i="8" s="1"/>
  <c r="AN139" i="8" s="1"/>
  <c r="AN140" i="8" s="1"/>
  <c r="AN141" i="8" s="1"/>
  <c r="AN142" i="8" s="1"/>
  <c r="AN143" i="8" s="1"/>
  <c r="AN144" i="8" s="1"/>
  <c r="AN145" i="8" s="1"/>
  <c r="AN146" i="8" s="1"/>
  <c r="AN147" i="8" s="1"/>
  <c r="AN148" i="8" s="1"/>
  <c r="AN149" i="8" s="1"/>
  <c r="AN150" i="8" s="1"/>
  <c r="AN151" i="8" s="1"/>
  <c r="AN152" i="8" s="1"/>
  <c r="AN153" i="8" s="1"/>
  <c r="AN154" i="8" s="1"/>
  <c r="AN155" i="8" s="1"/>
  <c r="AN156" i="8" s="1"/>
  <c r="AN157" i="8" s="1"/>
  <c r="AN158" i="8" s="1"/>
  <c r="AN159" i="8" s="1"/>
  <c r="AN160" i="8" s="1"/>
  <c r="AN161" i="8" s="1"/>
  <c r="AN162" i="8" s="1"/>
  <c r="AN163" i="8" s="1"/>
  <c r="AN164" i="8" s="1"/>
  <c r="AN165" i="8" s="1"/>
  <c r="AN166" i="8" s="1"/>
  <c r="AN167" i="8" s="1"/>
  <c r="AN168" i="8" s="1"/>
  <c r="AN169" i="8" s="1"/>
  <c r="AN170" i="8" s="1"/>
  <c r="AN171" i="8" s="1"/>
  <c r="AN172" i="8" s="1"/>
  <c r="AN173" i="8" s="1"/>
  <c r="AN174" i="8" s="1"/>
  <c r="AN175" i="8" s="1"/>
  <c r="AN176" i="8" s="1"/>
  <c r="AN177" i="8" s="1"/>
  <c r="AN178" i="8" s="1"/>
  <c r="AN179" i="8" s="1"/>
  <c r="AN180" i="8" s="1"/>
  <c r="AN181" i="8" s="1"/>
  <c r="AN182" i="8" s="1"/>
  <c r="AN183" i="8" s="1"/>
  <c r="AN184" i="8" s="1"/>
  <c r="AN185" i="8" s="1"/>
  <c r="AN186" i="8" s="1"/>
  <c r="AN187" i="8" s="1"/>
  <c r="AN188" i="8" s="1"/>
  <c r="AN189" i="8" s="1"/>
  <c r="AN190" i="8" s="1"/>
  <c r="AN191" i="8" s="1"/>
  <c r="AN192" i="8" s="1"/>
  <c r="AN193" i="8" s="1"/>
  <c r="AN194" i="8" s="1"/>
  <c r="AN195" i="8" s="1"/>
  <c r="AN196" i="8" s="1"/>
  <c r="AN197" i="8" s="1"/>
  <c r="AN198" i="8" s="1"/>
  <c r="AN199" i="8" s="1"/>
  <c r="AN200" i="8" s="1"/>
  <c r="AN201" i="8" s="1"/>
  <c r="AN202" i="8" s="1"/>
  <c r="AN203" i="8" s="1"/>
  <c r="AN204" i="8" s="1"/>
  <c r="AN205" i="8" s="1"/>
  <c r="AN206" i="8" s="1"/>
  <c r="AC64" i="8"/>
  <c r="W65" i="8"/>
  <c r="W66" i="8" s="1"/>
  <c r="W67" i="8" s="1"/>
  <c r="BS50" i="8"/>
  <c r="BT50" i="8" s="1"/>
  <c r="X59" i="8"/>
  <c r="X60" i="8" s="1"/>
  <c r="X61" i="8" s="1"/>
  <c r="X62" i="8" s="1"/>
  <c r="X63" i="8" s="1"/>
  <c r="AQ58" i="8"/>
  <c r="AQ59" i="8" s="1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Q74" i="8" s="1"/>
  <c r="AQ75" i="8" s="1"/>
  <c r="AQ76" i="8" s="1"/>
  <c r="AQ77" i="8" s="1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Q96" i="8" s="1"/>
  <c r="AQ97" i="8" s="1"/>
  <c r="AQ98" i="8" s="1"/>
  <c r="AQ99" i="8" s="1"/>
  <c r="AQ100" i="8" s="1"/>
  <c r="AQ101" i="8" s="1"/>
  <c r="AQ102" i="8" s="1"/>
  <c r="AQ103" i="8" s="1"/>
  <c r="AQ104" i="8" s="1"/>
  <c r="AQ105" i="8" s="1"/>
  <c r="AQ106" i="8" s="1"/>
  <c r="AQ107" i="8" s="1"/>
  <c r="AQ108" i="8" s="1"/>
  <c r="AQ109" i="8" s="1"/>
  <c r="AQ110" i="8" s="1"/>
  <c r="AQ111" i="8" s="1"/>
  <c r="AQ112" i="8" s="1"/>
  <c r="AQ113" i="8" s="1"/>
  <c r="AQ114" i="8" s="1"/>
  <c r="AQ115" i="8" s="1"/>
  <c r="AQ116" i="8" s="1"/>
  <c r="AQ117" i="8" s="1"/>
  <c r="AQ118" i="8" s="1"/>
  <c r="AQ119" i="8" s="1"/>
  <c r="AQ120" i="8" s="1"/>
  <c r="AQ121" i="8" s="1"/>
  <c r="AQ122" i="8" s="1"/>
  <c r="AQ123" i="8" s="1"/>
  <c r="AQ124" i="8" s="1"/>
  <c r="AQ125" i="8" s="1"/>
  <c r="AQ126" i="8" s="1"/>
  <c r="AQ127" i="8" s="1"/>
  <c r="AQ128" i="8" s="1"/>
  <c r="AQ129" i="8" s="1"/>
  <c r="AQ130" i="8" s="1"/>
  <c r="AQ131" i="8" s="1"/>
  <c r="D6" i="8"/>
  <c r="E6" i="8"/>
  <c r="BU4" i="8"/>
  <c r="AL36" i="8"/>
  <c r="AL37" i="8" s="1"/>
  <c r="AL38" i="8" s="1"/>
  <c r="AL39" i="8" s="1"/>
  <c r="AL40" i="8" s="1"/>
  <c r="AL41" i="8" s="1"/>
  <c r="AL42" i="8" s="1"/>
  <c r="AL43" i="8" s="1"/>
  <c r="AL44" i="8" s="1"/>
  <c r="AL45" i="8" s="1"/>
  <c r="AL46" i="8" s="1"/>
  <c r="AL47" i="8" s="1"/>
  <c r="AL48" i="8" s="1"/>
  <c r="AL49" i="8" s="1"/>
  <c r="AL50" i="8" s="1"/>
  <c r="AL51" i="8" s="1"/>
  <c r="AL52" i="8" s="1"/>
  <c r="AL53" i="8" s="1"/>
  <c r="AL54" i="8" s="1"/>
  <c r="AL55" i="8" s="1"/>
  <c r="AL56" i="8" s="1"/>
  <c r="AL57" i="8" s="1"/>
  <c r="AL58" i="8" s="1"/>
  <c r="AL59" i="8" s="1"/>
  <c r="AL60" i="8" s="1"/>
  <c r="AL61" i="8" s="1"/>
  <c r="AL62" i="8" s="1"/>
  <c r="AL63" i="8" s="1"/>
  <c r="AL64" i="8" s="1"/>
  <c r="AL65" i="8" s="1"/>
  <c r="AL66" i="8" s="1"/>
  <c r="AL67" i="8" s="1"/>
  <c r="AL68" i="8" s="1"/>
  <c r="AL69" i="8" s="1"/>
  <c r="AL70" i="8" s="1"/>
  <c r="AL71" i="8" s="1"/>
  <c r="AL72" i="8" s="1"/>
  <c r="AL73" i="8" s="1"/>
  <c r="AL74" i="8" s="1"/>
  <c r="AL75" i="8" s="1"/>
  <c r="AL76" i="8" s="1"/>
  <c r="AL77" i="8" s="1"/>
  <c r="AL78" i="8" s="1"/>
  <c r="AL79" i="8" s="1"/>
  <c r="AL80" i="8" s="1"/>
  <c r="AL81" i="8" s="1"/>
  <c r="AL82" i="8" s="1"/>
  <c r="AL83" i="8" s="1"/>
  <c r="AL84" i="8" s="1"/>
  <c r="AL85" i="8" s="1"/>
  <c r="AL86" i="8" s="1"/>
  <c r="AL87" i="8" s="1"/>
  <c r="AL88" i="8" s="1"/>
  <c r="AL89" i="8" s="1"/>
  <c r="AL90" i="8" s="1"/>
  <c r="AL91" i="8" s="1"/>
  <c r="AL92" i="8" s="1"/>
  <c r="AL93" i="8" s="1"/>
  <c r="AL94" i="8" s="1"/>
  <c r="AL95" i="8" s="1"/>
  <c r="AL96" i="8" s="1"/>
  <c r="AL97" i="8" s="1"/>
  <c r="AL98" i="8" s="1"/>
  <c r="AL99" i="8" s="1"/>
  <c r="AL100" i="8" s="1"/>
  <c r="AL101" i="8" s="1"/>
  <c r="AL102" i="8" s="1"/>
  <c r="AL103" i="8" s="1"/>
  <c r="AL104" i="8" s="1"/>
  <c r="AL105" i="8" s="1"/>
  <c r="AL106" i="8" s="1"/>
  <c r="AL107" i="8" s="1"/>
  <c r="AR36" i="8"/>
  <c r="AR37" i="8" s="1"/>
  <c r="AR38" i="8" s="1"/>
  <c r="AR39" i="8" s="1"/>
  <c r="AR40" i="8" s="1"/>
  <c r="AR41" i="8" s="1"/>
  <c r="AR42" i="8" s="1"/>
  <c r="AR43" i="8" s="1"/>
  <c r="AR44" i="8" s="1"/>
  <c r="AR45" i="8" s="1"/>
  <c r="AR46" i="8" s="1"/>
  <c r="AR47" i="8" s="1"/>
  <c r="AR48" i="8" s="1"/>
  <c r="AR49" i="8" s="1"/>
  <c r="AR50" i="8" s="1"/>
  <c r="AR51" i="8" s="1"/>
  <c r="AR52" i="8" s="1"/>
  <c r="AR53" i="8" s="1"/>
  <c r="AR54" i="8" s="1"/>
  <c r="AR55" i="8" s="1"/>
  <c r="AR56" i="8" s="1"/>
  <c r="AR57" i="8" s="1"/>
  <c r="AR58" i="8" s="1"/>
  <c r="AR59" i="8" s="1"/>
  <c r="AR60" i="8" s="1"/>
  <c r="AR61" i="8" s="1"/>
  <c r="AR62" i="8" s="1"/>
  <c r="AR63" i="8" s="1"/>
  <c r="AR64" i="8" s="1"/>
  <c r="AR65" i="8" s="1"/>
  <c r="AR66" i="8" s="1"/>
  <c r="AR67" i="8" s="1"/>
  <c r="AR68" i="8" s="1"/>
  <c r="AR69" i="8" s="1"/>
  <c r="AR70" i="8" s="1"/>
  <c r="AR71" i="8" s="1"/>
  <c r="AR72" i="8" s="1"/>
  <c r="AR73" i="8" s="1"/>
  <c r="AR74" i="8" s="1"/>
  <c r="AR75" i="8" s="1"/>
  <c r="AR76" i="8" s="1"/>
  <c r="AR77" i="8" s="1"/>
  <c r="AR78" i="8" s="1"/>
  <c r="AR79" i="8" s="1"/>
  <c r="AR80" i="8" s="1"/>
  <c r="AR81" i="8" s="1"/>
  <c r="AR82" i="8" s="1"/>
  <c r="AR83" i="8" s="1"/>
  <c r="AR84" i="8" s="1"/>
  <c r="AR85" i="8" s="1"/>
  <c r="AR86" i="8" s="1"/>
  <c r="AR87" i="8" s="1"/>
  <c r="AR88" i="8" s="1"/>
  <c r="AR89" i="8" s="1"/>
  <c r="AR90" i="8" s="1"/>
  <c r="AR91" i="8" s="1"/>
  <c r="AR92" i="8" s="1"/>
  <c r="AR93" i="8" s="1"/>
  <c r="AR94" i="8" s="1"/>
  <c r="AR95" i="8" s="1"/>
  <c r="AR96" i="8" s="1"/>
  <c r="AR97" i="8" s="1"/>
  <c r="AR98" i="8" s="1"/>
  <c r="AR99" i="8" s="1"/>
  <c r="AR100" i="8" s="1"/>
  <c r="AR101" i="8" s="1"/>
  <c r="AR102" i="8" s="1"/>
  <c r="AR103" i="8" s="1"/>
  <c r="AR104" i="8" s="1"/>
  <c r="AR105" i="8" s="1"/>
  <c r="AR106" i="8" s="1"/>
  <c r="AR107" i="8" s="1"/>
  <c r="AR108" i="8" s="1"/>
  <c r="AR109" i="8" s="1"/>
  <c r="AR110" i="8" s="1"/>
  <c r="AR111" i="8" s="1"/>
  <c r="AR112" i="8" s="1"/>
  <c r="AR113" i="8" s="1"/>
  <c r="AR114" i="8" s="1"/>
  <c r="AR115" i="8" s="1"/>
  <c r="AR116" i="8" s="1"/>
  <c r="AR117" i="8" s="1"/>
  <c r="AR118" i="8" s="1"/>
  <c r="AR119" i="8" s="1"/>
  <c r="AR120" i="8" s="1"/>
  <c r="AR121" i="8" s="1"/>
  <c r="AR122" i="8" s="1"/>
  <c r="AR123" i="8" s="1"/>
  <c r="AR124" i="8" s="1"/>
  <c r="AR125" i="8" s="1"/>
  <c r="AR126" i="8" s="1"/>
  <c r="AR127" i="8" s="1"/>
  <c r="AR128" i="8" s="1"/>
  <c r="AR129" i="8" s="1"/>
  <c r="AR130" i="8" s="1"/>
  <c r="AR131" i="8" s="1"/>
  <c r="AR132" i="8" s="1"/>
  <c r="AR133" i="8" s="1"/>
  <c r="AR134" i="8" s="1"/>
  <c r="AR135" i="8" s="1"/>
  <c r="AR136" i="8" s="1"/>
  <c r="AR137" i="8" s="1"/>
  <c r="AR138" i="8" s="1"/>
  <c r="AJ99" i="8"/>
  <c r="AJ100" i="8" s="1"/>
  <c r="AJ101" i="8" s="1"/>
  <c r="AJ102" i="8" s="1"/>
  <c r="AJ103" i="8" s="1"/>
  <c r="AJ104" i="8" s="1"/>
  <c r="AJ105" i="8" s="1"/>
  <c r="AJ106" i="8" s="1"/>
  <c r="AJ107" i="8" s="1"/>
  <c r="AJ108" i="8" s="1"/>
  <c r="AJ109" i="8" s="1"/>
  <c r="AJ110" i="8" s="1"/>
  <c r="AJ111" i="8" s="1"/>
  <c r="AJ112" i="8" s="1"/>
  <c r="AJ113" i="8" s="1"/>
  <c r="AJ114" i="8" s="1"/>
  <c r="AJ115" i="8" s="1"/>
  <c r="AJ116" i="8" s="1"/>
  <c r="AJ117" i="8" s="1"/>
  <c r="AJ118" i="8" s="1"/>
  <c r="AJ119" i="8" s="1"/>
  <c r="AJ120" i="8" s="1"/>
  <c r="AJ121" i="8" s="1"/>
  <c r="AJ122" i="8" s="1"/>
  <c r="AJ123" i="8" s="1"/>
  <c r="AJ124" i="8" s="1"/>
  <c r="AJ125" i="8" s="1"/>
  <c r="AJ126" i="8" s="1"/>
  <c r="AJ127" i="8" s="1"/>
  <c r="AJ128" i="8" s="1"/>
  <c r="AJ129" i="8" s="1"/>
  <c r="AJ130" i="8" s="1"/>
  <c r="AJ131" i="8" s="1"/>
  <c r="AJ132" i="8" s="1"/>
  <c r="AJ133" i="8" s="1"/>
  <c r="AJ134" i="8" s="1"/>
  <c r="AJ135" i="8" s="1"/>
  <c r="AJ136" i="8" s="1"/>
  <c r="AJ137" i="8" s="1"/>
  <c r="AJ138" i="8" s="1"/>
  <c r="AJ139" i="8" s="1"/>
  <c r="AJ140" i="8" s="1"/>
  <c r="AJ141" i="8" s="1"/>
  <c r="AJ142" i="8" s="1"/>
  <c r="AJ143" i="8" s="1"/>
  <c r="AJ144" i="8" s="1"/>
  <c r="AJ145" i="8" s="1"/>
  <c r="AJ146" i="8" s="1"/>
  <c r="AJ147" i="8" s="1"/>
  <c r="AJ148" i="8" s="1"/>
  <c r="AJ149" i="8" s="1"/>
  <c r="AJ150" i="8" s="1"/>
  <c r="AJ151" i="8" s="1"/>
  <c r="AJ152" i="8" s="1"/>
  <c r="AJ153" i="8" s="1"/>
  <c r="AJ154" i="8" s="1"/>
  <c r="AJ155" i="8" s="1"/>
  <c r="AJ156" i="8" s="1"/>
  <c r="AJ157" i="8" s="1"/>
  <c r="AJ158" i="8" s="1"/>
  <c r="AJ159" i="8" s="1"/>
  <c r="AJ160" i="8" s="1"/>
  <c r="AJ161" i="8" s="1"/>
  <c r="AJ162" i="8" s="1"/>
  <c r="AJ163" i="8" s="1"/>
  <c r="AJ164" i="8" s="1"/>
  <c r="AJ165" i="8" s="1"/>
  <c r="AJ166" i="8" s="1"/>
  <c r="AJ167" i="8" s="1"/>
  <c r="AJ168" i="8" s="1"/>
  <c r="AJ169" i="8" s="1"/>
  <c r="AJ170" i="8" s="1"/>
  <c r="AJ171" i="8" s="1"/>
  <c r="AJ172" i="8" s="1"/>
  <c r="AJ173" i="8" s="1"/>
  <c r="AJ174" i="8" s="1"/>
  <c r="AJ175" i="8" s="1"/>
  <c r="AJ176" i="8" s="1"/>
  <c r="AJ177" i="8" s="1"/>
  <c r="AJ178" i="8" s="1"/>
  <c r="AJ179" i="8" s="1"/>
  <c r="AJ180" i="8" s="1"/>
  <c r="AJ181" i="8" s="1"/>
  <c r="AJ182" i="8" s="1"/>
  <c r="AJ183" i="8" s="1"/>
  <c r="AJ184" i="8" s="1"/>
  <c r="Y100" i="8"/>
  <c r="Y101" i="8" s="1"/>
  <c r="Y102" i="8" s="1"/>
  <c r="Y103" i="8" s="1"/>
  <c r="Y56" i="8"/>
  <c r="Y57" i="8" s="1"/>
  <c r="Y58" i="8" s="1"/>
  <c r="Y59" i="8" s="1"/>
  <c r="AP55" i="8"/>
  <c r="AP56" i="8" s="1"/>
  <c r="AP57" i="8" s="1"/>
  <c r="AP58" i="8" s="1"/>
  <c r="AP59" i="8" s="1"/>
  <c r="AP60" i="8" s="1"/>
  <c r="AP61" i="8" s="1"/>
  <c r="AP62" i="8" s="1"/>
  <c r="AP63" i="8" s="1"/>
  <c r="AP64" i="8" s="1"/>
  <c r="AP65" i="8" s="1"/>
  <c r="AP66" i="8" s="1"/>
  <c r="AP67" i="8" s="1"/>
  <c r="AP68" i="8" s="1"/>
  <c r="AP69" i="8" s="1"/>
  <c r="AP70" i="8" s="1"/>
  <c r="AP71" i="8" s="1"/>
  <c r="AP72" i="8" s="1"/>
  <c r="AP73" i="8" s="1"/>
  <c r="AP74" i="8" s="1"/>
  <c r="AP75" i="8" s="1"/>
  <c r="AP76" i="8" s="1"/>
  <c r="AP77" i="8" s="1"/>
  <c r="AP78" i="8" s="1"/>
  <c r="AP79" i="8" s="1"/>
  <c r="AP80" i="8" s="1"/>
  <c r="AP81" i="8" s="1"/>
  <c r="AP82" i="8" s="1"/>
  <c r="AP83" i="8" s="1"/>
  <c r="AP84" i="8" s="1"/>
  <c r="AP85" i="8" s="1"/>
  <c r="AP86" i="8" s="1"/>
  <c r="AP87" i="8" s="1"/>
  <c r="AP88" i="8" s="1"/>
  <c r="AP89" i="8" s="1"/>
  <c r="AP90" i="8" s="1"/>
  <c r="AP91" i="8" s="1"/>
  <c r="AP92" i="8" s="1"/>
  <c r="AP93" i="8" s="1"/>
  <c r="AP94" i="8" s="1"/>
  <c r="AP95" i="8" s="1"/>
  <c r="AP96" i="8" s="1"/>
  <c r="AP97" i="8" s="1"/>
  <c r="AP98" i="8" s="1"/>
  <c r="AP99" i="8" s="1"/>
  <c r="AP100" i="8" s="1"/>
  <c r="AP101" i="8" s="1"/>
  <c r="AP102" i="8" s="1"/>
  <c r="AP103" i="8" s="1"/>
  <c r="AP104" i="8" s="1"/>
  <c r="AP105" i="8" s="1"/>
  <c r="AP106" i="8" s="1"/>
  <c r="AP107" i="8" s="1"/>
  <c r="AP108" i="8" s="1"/>
  <c r="AP109" i="8" s="1"/>
  <c r="AP110" i="8" s="1"/>
  <c r="AP111" i="8" s="1"/>
  <c r="AP112" i="8" s="1"/>
  <c r="AP113" i="8" s="1"/>
  <c r="AP114" i="8" s="1"/>
  <c r="AP115" i="8" s="1"/>
  <c r="AP116" i="8" s="1"/>
  <c r="AP117" i="8" s="1"/>
  <c r="AP118" i="8" s="1"/>
  <c r="AP119" i="8" s="1"/>
  <c r="AP120" i="8" s="1"/>
  <c r="AP121" i="8" s="1"/>
  <c r="AP122" i="8" s="1"/>
  <c r="AP123" i="8" s="1"/>
  <c r="AP124" i="8" s="1"/>
  <c r="AP125" i="8" s="1"/>
  <c r="AP126" i="8" s="1"/>
  <c r="AP127" i="8" s="1"/>
  <c r="AC23" i="8"/>
  <c r="BU5" i="8"/>
  <c r="AC36" i="8"/>
  <c r="BS4" i="8"/>
  <c r="BT4" i="8" s="1"/>
  <c r="X260" i="6"/>
  <c r="W265" i="6"/>
  <c r="V270" i="6"/>
  <c r="V206" i="6"/>
  <c r="AC4" i="6"/>
  <c r="AD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E4" i="6"/>
  <c r="Y4" i="6"/>
  <c r="X4" i="6"/>
  <c r="W4" i="6"/>
  <c r="W5" i="6" s="1"/>
  <c r="AP36" i="6"/>
  <c r="AQ51" i="6"/>
  <c r="AQ342" i="9" l="1"/>
  <c r="AQ13" i="9"/>
  <c r="DD11" i="9" s="1"/>
  <c r="DE11" i="9" s="1"/>
  <c r="DC12" i="9"/>
  <c r="AQ452" i="9"/>
  <c r="AQ445" i="9"/>
  <c r="AQ434" i="9"/>
  <c r="AS26" i="9"/>
  <c r="DF11" i="9" s="1"/>
  <c r="AG81" i="8"/>
  <c r="AG82" i="8" s="1"/>
  <c r="AG83" i="8" s="1"/>
  <c r="AG84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G97" i="8" s="1"/>
  <c r="AG98" i="8" s="1"/>
  <c r="AG99" i="8" s="1"/>
  <c r="AG100" i="8" s="1"/>
  <c r="AG101" i="8" s="1"/>
  <c r="AG102" i="8" s="1"/>
  <c r="AG103" i="8" s="1"/>
  <c r="AG104" i="8" s="1"/>
  <c r="AG105" i="8" s="1"/>
  <c r="AG106" i="8" s="1"/>
  <c r="AG107" i="8" s="1"/>
  <c r="AG108" i="8" s="1"/>
  <c r="AG109" i="8" s="1"/>
  <c r="AG110" i="8" s="1"/>
  <c r="AG111" i="8" s="1"/>
  <c r="AG112" i="8" s="1"/>
  <c r="AG113" i="8" s="1"/>
  <c r="AG114" i="8" s="1"/>
  <c r="AG115" i="8" s="1"/>
  <c r="AG116" i="8" s="1"/>
  <c r="AG117" i="8" s="1"/>
  <c r="AG118" i="8" s="1"/>
  <c r="AG119" i="8" s="1"/>
  <c r="AG120" i="8" s="1"/>
  <c r="AG121" i="8" s="1"/>
  <c r="AG122" i="8" s="1"/>
  <c r="AG123" i="8" s="1"/>
  <c r="AG124" i="8" s="1"/>
  <c r="AG125" i="8" s="1"/>
  <c r="AG126" i="8" s="1"/>
  <c r="AG127" i="8" s="1"/>
  <c r="AG128" i="8" s="1"/>
  <c r="AG129" i="8" s="1"/>
  <c r="AG130" i="8" s="1"/>
  <c r="AG131" i="8" s="1"/>
  <c r="AG132" i="8" s="1"/>
  <c r="AG133" i="8" s="1"/>
  <c r="AG134" i="8" s="1"/>
  <c r="AG135" i="8" s="1"/>
  <c r="AG136" i="8" s="1"/>
  <c r="AG137" i="8" s="1"/>
  <c r="AG138" i="8" s="1"/>
  <c r="AG139" i="8" s="1"/>
  <c r="AG140" i="8" s="1"/>
  <c r="AG141" i="8" s="1"/>
  <c r="AG142" i="8" s="1"/>
  <c r="AG143" i="8" s="1"/>
  <c r="AG144" i="8" s="1"/>
  <c r="AG145" i="8" s="1"/>
  <c r="AG146" i="8" s="1"/>
  <c r="AG147" i="8" s="1"/>
  <c r="AG148" i="8" s="1"/>
  <c r="AG149" i="8" s="1"/>
  <c r="AG150" i="8" s="1"/>
  <c r="AG151" i="8" s="1"/>
  <c r="AG152" i="8" s="1"/>
  <c r="AG153" i="8" s="1"/>
  <c r="AG154" i="8" s="1"/>
  <c r="AG155" i="8" s="1"/>
  <c r="AG156" i="8" s="1"/>
  <c r="AG157" i="8" s="1"/>
  <c r="AG158" i="8" s="1"/>
  <c r="AG159" i="8" s="1"/>
  <c r="AG160" i="8" s="1"/>
  <c r="AG161" i="8" s="1"/>
  <c r="AG162" i="8" s="1"/>
  <c r="AG163" i="8" s="1"/>
  <c r="AG164" i="8" s="1"/>
  <c r="AG165" i="8" s="1"/>
  <c r="AG166" i="8" s="1"/>
  <c r="AG167" i="8" s="1"/>
  <c r="BU18" i="8"/>
  <c r="Z133" i="8"/>
  <c r="Z134" i="8" s="1"/>
  <c r="Z135" i="8" s="1"/>
  <c r="Z136" i="8" s="1"/>
  <c r="Z137" i="8" s="1"/>
  <c r="Y133" i="8"/>
  <c r="Y134" i="8" s="1"/>
  <c r="Y135" i="8" s="1"/>
  <c r="Y136" i="8" s="1"/>
  <c r="Y137" i="8" s="1"/>
  <c r="BR74" i="8"/>
  <c r="D12" i="9"/>
  <c r="E12" i="9"/>
  <c r="BS73" i="8"/>
  <c r="BT73" i="8" s="1"/>
  <c r="BR121" i="8"/>
  <c r="BR99" i="8"/>
  <c r="BU6" i="8"/>
  <c r="AC24" i="8"/>
  <c r="B7" i="8"/>
  <c r="F6" i="8"/>
  <c r="BR7" i="8"/>
  <c r="V8" i="8"/>
  <c r="BR122" i="8"/>
  <c r="V123" i="8"/>
  <c r="AA133" i="8"/>
  <c r="AA134" i="8" s="1"/>
  <c r="AA135" i="8" s="1"/>
  <c r="AA136" i="8" s="1"/>
  <c r="AA137" i="8" s="1"/>
  <c r="AC37" i="8"/>
  <c r="V76" i="8"/>
  <c r="BS74" i="8" s="1"/>
  <c r="BT74" i="8" s="1"/>
  <c r="BR75" i="8"/>
  <c r="BS98" i="8"/>
  <c r="BT98" i="8" s="1"/>
  <c r="BR54" i="8"/>
  <c r="V55" i="8"/>
  <c r="BS53" i="8" s="1"/>
  <c r="BT53" i="8" s="1"/>
  <c r="AC65" i="8"/>
  <c r="BS5" i="8"/>
  <c r="BT5" i="8" s="1"/>
  <c r="G137" i="8"/>
  <c r="G138" i="8" s="1"/>
  <c r="G139" i="8" s="1"/>
  <c r="G140" i="8" s="1"/>
  <c r="G141" i="8" s="1"/>
  <c r="W137" i="8"/>
  <c r="W138" i="8" s="1"/>
  <c r="W139" i="8" s="1"/>
  <c r="W140" i="8" s="1"/>
  <c r="W141" i="8" s="1"/>
  <c r="W142" i="8" s="1"/>
  <c r="BR100" i="8"/>
  <c r="V101" i="8"/>
  <c r="BS99" i="8" s="1"/>
  <c r="BT99" i="8" s="1"/>
  <c r="BS120" i="8"/>
  <c r="BT120" i="8" s="1"/>
  <c r="BS21" i="8"/>
  <c r="BT21" i="8" s="1"/>
  <c r="BR22" i="8"/>
  <c r="V23" i="8"/>
  <c r="V52" i="6"/>
  <c r="V51" i="6"/>
  <c r="W48" i="6"/>
  <c r="Z45" i="6"/>
  <c r="X42" i="6"/>
  <c r="X41" i="6"/>
  <c r="Y39" i="6"/>
  <c r="Y38" i="6"/>
  <c r="W34" i="6"/>
  <c r="W20" i="6"/>
  <c r="V20" i="6"/>
  <c r="X14" i="6"/>
  <c r="H5" i="6"/>
  <c r="G5" i="6"/>
  <c r="B5" i="6"/>
  <c r="E5" i="6" s="1"/>
  <c r="AA4" i="6"/>
  <c r="AA5" i="6" s="1"/>
  <c r="Z4" i="6"/>
  <c r="Z5" i="6" s="1"/>
  <c r="Y5" i="6"/>
  <c r="X5" i="6"/>
  <c r="V4" i="6"/>
  <c r="AQ453" i="9" l="1"/>
  <c r="AQ14" i="9"/>
  <c r="DC13" i="9"/>
  <c r="DD12" i="9"/>
  <c r="DE12" i="9" s="1"/>
  <c r="AQ435" i="9"/>
  <c r="AQ446" i="9"/>
  <c r="AQ343" i="9"/>
  <c r="AS27" i="9"/>
  <c r="DF12" i="9" s="1"/>
  <c r="Y6" i="6"/>
  <c r="B13" i="9"/>
  <c r="F12" i="9"/>
  <c r="AC66" i="8"/>
  <c r="V77" i="8"/>
  <c r="BS75" i="8" s="1"/>
  <c r="BT75" i="8" s="1"/>
  <c r="BR76" i="8"/>
  <c r="AA138" i="8"/>
  <c r="AA139" i="8" s="1"/>
  <c r="AA140" i="8" s="1"/>
  <c r="AA141" i="8" s="1"/>
  <c r="AA142" i="8" s="1"/>
  <c r="BR8" i="8"/>
  <c r="V9" i="8"/>
  <c r="BS7" i="8" s="1"/>
  <c r="BT7" i="8" s="1"/>
  <c r="D7" i="8"/>
  <c r="E7" i="8"/>
  <c r="BR23" i="8"/>
  <c r="V24" i="8"/>
  <c r="G142" i="8"/>
  <c r="G143" i="8" s="1"/>
  <c r="G144" i="8" s="1"/>
  <c r="G145" i="8" s="1"/>
  <c r="G146" i="8" s="1"/>
  <c r="G147" i="8" s="1"/>
  <c r="V142" i="8"/>
  <c r="Y138" i="8"/>
  <c r="Y139" i="8" s="1"/>
  <c r="Y140" i="8" s="1"/>
  <c r="Y141" i="8" s="1"/>
  <c r="Y142" i="8" s="1"/>
  <c r="X138" i="8"/>
  <c r="X139" i="8" s="1"/>
  <c r="X140" i="8" s="1"/>
  <c r="X141" i="8" s="1"/>
  <c r="X142" i="8" s="1"/>
  <c r="X143" i="8" s="1"/>
  <c r="X144" i="8" s="1"/>
  <c r="X145" i="8" s="1"/>
  <c r="X146" i="8" s="1"/>
  <c r="X147" i="8" s="1"/>
  <c r="BR123" i="8"/>
  <c r="V124" i="8"/>
  <c r="BS122" i="8" s="1"/>
  <c r="BT122" i="8" s="1"/>
  <c r="Z138" i="8"/>
  <c r="Z139" i="8" s="1"/>
  <c r="Z140" i="8" s="1"/>
  <c r="Z141" i="8" s="1"/>
  <c r="Z142" i="8" s="1"/>
  <c r="Z143" i="8" s="1"/>
  <c r="Z144" i="8" s="1"/>
  <c r="Z145" i="8" s="1"/>
  <c r="Z146" i="8" s="1"/>
  <c r="Z147" i="8" s="1"/>
  <c r="Z148" i="8" s="1"/>
  <c r="BR101" i="8"/>
  <c r="V102" i="8"/>
  <c r="BS100" i="8" s="1"/>
  <c r="BT100" i="8" s="1"/>
  <c r="BR55" i="8"/>
  <c r="V56" i="8"/>
  <c r="BS121" i="8"/>
  <c r="BT121" i="8" s="1"/>
  <c r="BS6" i="8"/>
  <c r="BT6" i="8" s="1"/>
  <c r="AC25" i="8"/>
  <c r="BU7" i="8"/>
  <c r="AC38" i="8"/>
  <c r="V5" i="6"/>
  <c r="BR5" i="6" s="1"/>
  <c r="BR4" i="6"/>
  <c r="G6" i="6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W6" i="6"/>
  <c r="H6" i="6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AC5" i="6"/>
  <c r="AH5" i="6"/>
  <c r="AL5" i="6"/>
  <c r="AP5" i="6"/>
  <c r="AG5" i="6"/>
  <c r="AO5" i="6"/>
  <c r="AD5" i="6"/>
  <c r="AI5" i="6"/>
  <c r="AI6" i="6" s="1"/>
  <c r="AI7" i="6" s="1"/>
  <c r="AI8" i="6" s="1"/>
  <c r="AI9" i="6" s="1"/>
  <c r="AI10" i="6" s="1"/>
  <c r="AI11" i="6" s="1"/>
  <c r="AI12" i="6" s="1"/>
  <c r="AI13" i="6" s="1"/>
  <c r="AI14" i="6" s="1"/>
  <c r="AI15" i="6" s="1"/>
  <c r="AI16" i="6" s="1"/>
  <c r="AI17" i="6" s="1"/>
  <c r="AI18" i="6" s="1"/>
  <c r="AI19" i="6" s="1"/>
  <c r="AI20" i="6" s="1"/>
  <c r="AI21" i="6" s="1"/>
  <c r="AI22" i="6" s="1"/>
  <c r="AM5" i="6"/>
  <c r="AQ5" i="6"/>
  <c r="AK5" i="6"/>
  <c r="AF5" i="6"/>
  <c r="AJ5" i="6"/>
  <c r="AN5" i="6"/>
  <c r="AR5" i="6"/>
  <c r="AE5" i="6"/>
  <c r="AE6" i="6" s="1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Z6" i="6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AA6" i="6"/>
  <c r="X6" i="6"/>
  <c r="X7" i="6" s="1"/>
  <c r="X8" i="6" s="1"/>
  <c r="X9" i="6" s="1"/>
  <c r="X10" i="6" s="1"/>
  <c r="X11" i="6" s="1"/>
  <c r="X12" i="6" s="1"/>
  <c r="D5" i="6"/>
  <c r="AQ436" i="9" l="1"/>
  <c r="AQ344" i="9"/>
  <c r="AQ15" i="9"/>
  <c r="DC14" i="9"/>
  <c r="AQ447" i="9"/>
  <c r="AQ454" i="9"/>
  <c r="AS28" i="9"/>
  <c r="DF13" i="9" s="1"/>
  <c r="X43" i="6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AF6" i="6"/>
  <c r="AF7" i="6" s="1"/>
  <c r="AF8" i="6" s="1"/>
  <c r="AF9" i="6" s="1"/>
  <c r="AF10" i="6" s="1"/>
  <c r="AF11" i="6" s="1"/>
  <c r="AF12" i="6" s="1"/>
  <c r="AF13" i="6" s="1"/>
  <c r="AF14" i="6" s="1"/>
  <c r="AF15" i="6" s="1"/>
  <c r="AF16" i="6" s="1"/>
  <c r="AF17" i="6" s="1"/>
  <c r="AF18" i="6" s="1"/>
  <c r="AF19" i="6" s="1"/>
  <c r="AF20" i="6" s="1"/>
  <c r="AF21" i="6" s="1"/>
  <c r="AF22" i="6" s="1"/>
  <c r="AP6" i="6"/>
  <c r="AP7" i="6" s="1"/>
  <c r="AP8" i="6" s="1"/>
  <c r="AP9" i="6" s="1"/>
  <c r="AP10" i="6" s="1"/>
  <c r="AP11" i="6" s="1"/>
  <c r="AP12" i="6" s="1"/>
  <c r="AP13" i="6" s="1"/>
  <c r="AP14" i="6" s="1"/>
  <c r="AP15" i="6" s="1"/>
  <c r="AP16" i="6" s="1"/>
  <c r="AP17" i="6" s="1"/>
  <c r="AP18" i="6" s="1"/>
  <c r="AP19" i="6" s="1"/>
  <c r="AP20" i="6" s="1"/>
  <c r="AP21" i="6" s="1"/>
  <c r="AP22" i="6" s="1"/>
  <c r="AE23" i="6"/>
  <c r="AE24" i="6" s="1"/>
  <c r="AE25" i="6" s="1"/>
  <c r="AE26" i="6" s="1"/>
  <c r="AE27" i="6" s="1"/>
  <c r="AE28" i="6" s="1"/>
  <c r="AE29" i="6" s="1"/>
  <c r="AE30" i="6" s="1"/>
  <c r="AE31" i="6" s="1"/>
  <c r="AF23" i="6"/>
  <c r="AF24" i="6" s="1"/>
  <c r="AF25" i="6" s="1"/>
  <c r="AF26" i="6" s="1"/>
  <c r="AF27" i="6" s="1"/>
  <c r="AF28" i="6" s="1"/>
  <c r="AF29" i="6" s="1"/>
  <c r="AF30" i="6" s="1"/>
  <c r="AF31" i="6" s="1"/>
  <c r="AI23" i="6"/>
  <c r="AI24" i="6" s="1"/>
  <c r="AI25" i="6" s="1"/>
  <c r="AI26" i="6" s="1"/>
  <c r="AI27" i="6" s="1"/>
  <c r="AI28" i="6" s="1"/>
  <c r="AI29" i="6" s="1"/>
  <c r="AI30" i="6" s="1"/>
  <c r="AI31" i="6" s="1"/>
  <c r="AA143" i="8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P23" i="6"/>
  <c r="AP24" i="6" s="1"/>
  <c r="AP25" i="6" s="1"/>
  <c r="AP26" i="6" s="1"/>
  <c r="AP27" i="6" s="1"/>
  <c r="AP28" i="6" s="1"/>
  <c r="AP29" i="6" s="1"/>
  <c r="AP30" i="6" s="1"/>
  <c r="AP31" i="6" s="1"/>
  <c r="AN6" i="6"/>
  <c r="AN7" i="6" s="1"/>
  <c r="AN8" i="6" s="1"/>
  <c r="AN9" i="6" s="1"/>
  <c r="AN10" i="6" s="1"/>
  <c r="AN11" i="6" s="1"/>
  <c r="AN12" i="6" s="1"/>
  <c r="AN13" i="6" s="1"/>
  <c r="AN14" i="6" s="1"/>
  <c r="AN15" i="6" s="1"/>
  <c r="AN16" i="6" s="1"/>
  <c r="AN17" i="6" s="1"/>
  <c r="AN18" i="6" s="1"/>
  <c r="AN19" i="6" s="1"/>
  <c r="AN20" i="6" s="1"/>
  <c r="AN21" i="6" s="1"/>
  <c r="AN22" i="6" s="1"/>
  <c r="AN23" i="6" s="1"/>
  <c r="AN24" i="6" s="1"/>
  <c r="AN25" i="6" s="1"/>
  <c r="AN26" i="6" s="1"/>
  <c r="AN27" i="6" s="1"/>
  <c r="AN28" i="6" s="1"/>
  <c r="AN29" i="6" s="1"/>
  <c r="AN30" i="6" s="1"/>
  <c r="AN31" i="6" s="1"/>
  <c r="AQ6" i="6"/>
  <c r="AQ7" i="6" s="1"/>
  <c r="AQ8" i="6" s="1"/>
  <c r="AQ9" i="6" s="1"/>
  <c r="AQ10" i="6" s="1"/>
  <c r="AQ11" i="6" s="1"/>
  <c r="AQ12" i="6" s="1"/>
  <c r="AQ13" i="6" s="1"/>
  <c r="AQ14" i="6" s="1"/>
  <c r="AQ15" i="6" s="1"/>
  <c r="AQ16" i="6" s="1"/>
  <c r="AQ17" i="6" s="1"/>
  <c r="AQ18" i="6" s="1"/>
  <c r="AQ19" i="6" s="1"/>
  <c r="AQ20" i="6" s="1"/>
  <c r="AQ21" i="6" s="1"/>
  <c r="AQ22" i="6" s="1"/>
  <c r="AQ23" i="6" s="1"/>
  <c r="AQ24" i="6" s="1"/>
  <c r="AQ25" i="6" s="1"/>
  <c r="AQ26" i="6" s="1"/>
  <c r="AQ27" i="6" s="1"/>
  <c r="AQ28" i="6" s="1"/>
  <c r="AQ29" i="6" s="1"/>
  <c r="AQ30" i="6" s="1"/>
  <c r="AQ31" i="6" s="1"/>
  <c r="AO6" i="6"/>
  <c r="AO7" i="6" s="1"/>
  <c r="AO8" i="6" s="1"/>
  <c r="AO9" i="6" s="1"/>
  <c r="AO10" i="6" s="1"/>
  <c r="AO11" i="6" s="1"/>
  <c r="AO12" i="6" s="1"/>
  <c r="AO13" i="6" s="1"/>
  <c r="AO14" i="6" s="1"/>
  <c r="AO15" i="6" s="1"/>
  <c r="AO16" i="6" s="1"/>
  <c r="AO17" i="6" s="1"/>
  <c r="AO18" i="6" s="1"/>
  <c r="AO19" i="6" s="1"/>
  <c r="AO20" i="6" s="1"/>
  <c r="AO21" i="6" s="1"/>
  <c r="AO22" i="6" s="1"/>
  <c r="AO23" i="6" s="1"/>
  <c r="AO24" i="6" s="1"/>
  <c r="AO25" i="6" s="1"/>
  <c r="AO26" i="6" s="1"/>
  <c r="AO27" i="6" s="1"/>
  <c r="AO28" i="6" s="1"/>
  <c r="AO29" i="6" s="1"/>
  <c r="AO30" i="6" s="1"/>
  <c r="AO31" i="6" s="1"/>
  <c r="AH6" i="6"/>
  <c r="AH7" i="6" s="1"/>
  <c r="AH8" i="6" s="1"/>
  <c r="AH9" i="6" s="1"/>
  <c r="AH10" i="6" s="1"/>
  <c r="AH11" i="6" s="1"/>
  <c r="AH12" i="6" s="1"/>
  <c r="AH13" i="6" s="1"/>
  <c r="AH14" i="6" s="1"/>
  <c r="AH15" i="6" s="1"/>
  <c r="AH16" i="6" s="1"/>
  <c r="AH17" i="6" s="1"/>
  <c r="AH18" i="6" s="1"/>
  <c r="AH19" i="6" s="1"/>
  <c r="AH20" i="6" s="1"/>
  <c r="AH21" i="6" s="1"/>
  <c r="AH22" i="6" s="1"/>
  <c r="AH23" i="6" s="1"/>
  <c r="AH24" i="6" s="1"/>
  <c r="AH25" i="6" s="1"/>
  <c r="AH26" i="6" s="1"/>
  <c r="AH27" i="6" s="1"/>
  <c r="AH28" i="6" s="1"/>
  <c r="AH29" i="6" s="1"/>
  <c r="AH30" i="6" s="1"/>
  <c r="AH31" i="6" s="1"/>
  <c r="V6" i="6"/>
  <c r="D13" i="9"/>
  <c r="E13" i="9"/>
  <c r="AC39" i="8"/>
  <c r="BU8" i="8"/>
  <c r="AC26" i="8"/>
  <c r="G148" i="8"/>
  <c r="G149" i="8" s="1"/>
  <c r="G150" i="8" s="1"/>
  <c r="G151" i="8" s="1"/>
  <c r="G152" i="8" s="1"/>
  <c r="Y148" i="8"/>
  <c r="W143" i="8"/>
  <c r="W144" i="8" s="1"/>
  <c r="W145" i="8" s="1"/>
  <c r="W146" i="8" s="1"/>
  <c r="W147" i="8" s="1"/>
  <c r="W148" i="8" s="1"/>
  <c r="W149" i="8" s="1"/>
  <c r="W150" i="8" s="1"/>
  <c r="W151" i="8" s="1"/>
  <c r="W152" i="8" s="1"/>
  <c r="X148" i="8"/>
  <c r="X149" i="8" s="1"/>
  <c r="X150" i="8" s="1"/>
  <c r="AC147" i="8"/>
  <c r="V25" i="8"/>
  <c r="BR24" i="8"/>
  <c r="V78" i="8"/>
  <c r="BS76" i="8" s="1"/>
  <c r="BT76" i="8" s="1"/>
  <c r="BR77" i="8"/>
  <c r="Y143" i="8"/>
  <c r="Y144" i="8" s="1"/>
  <c r="Y145" i="8" s="1"/>
  <c r="AR142" i="8"/>
  <c r="AR143" i="8" s="1"/>
  <c r="AR144" i="8" s="1"/>
  <c r="AR145" i="8" s="1"/>
  <c r="AR146" i="8" s="1"/>
  <c r="AR147" i="8" s="1"/>
  <c r="AR148" i="8" s="1"/>
  <c r="AR149" i="8" s="1"/>
  <c r="AR150" i="8" s="1"/>
  <c r="AR151" i="8" s="1"/>
  <c r="AR152" i="8" s="1"/>
  <c r="AR153" i="8" s="1"/>
  <c r="AR154" i="8" s="1"/>
  <c r="AR155" i="8" s="1"/>
  <c r="AR156" i="8" s="1"/>
  <c r="AR157" i="8" s="1"/>
  <c r="AR158" i="8" s="1"/>
  <c r="AR159" i="8" s="1"/>
  <c r="AR160" i="8" s="1"/>
  <c r="AR161" i="8" s="1"/>
  <c r="AR162" i="8" s="1"/>
  <c r="AR163" i="8" s="1"/>
  <c r="AR164" i="8" s="1"/>
  <c r="AR165" i="8" s="1"/>
  <c r="AR166" i="8" s="1"/>
  <c r="AR167" i="8" s="1"/>
  <c r="AR168" i="8" s="1"/>
  <c r="AR169" i="8" s="1"/>
  <c r="AR170" i="8" s="1"/>
  <c r="AR171" i="8" s="1"/>
  <c r="AR172" i="8" s="1"/>
  <c r="AR173" i="8" s="1"/>
  <c r="AR174" i="8" s="1"/>
  <c r="AR175" i="8" s="1"/>
  <c r="AR176" i="8" s="1"/>
  <c r="AR177" i="8" s="1"/>
  <c r="AR178" i="8" s="1"/>
  <c r="AR179" i="8" s="1"/>
  <c r="AR180" i="8" s="1"/>
  <c r="AR181" i="8" s="1"/>
  <c r="AR182" i="8" s="1"/>
  <c r="AR183" i="8" s="1"/>
  <c r="AR184" i="8" s="1"/>
  <c r="AR185" i="8" s="1"/>
  <c r="AR186" i="8" s="1"/>
  <c r="AR187" i="8" s="1"/>
  <c r="AR188" i="8" s="1"/>
  <c r="AR189" i="8" s="1"/>
  <c r="AR190" i="8" s="1"/>
  <c r="AR191" i="8" s="1"/>
  <c r="AR192" i="8" s="1"/>
  <c r="AR193" i="8" s="1"/>
  <c r="AR194" i="8" s="1"/>
  <c r="AR195" i="8" s="1"/>
  <c r="AR196" i="8" s="1"/>
  <c r="AR197" i="8" s="1"/>
  <c r="AR198" i="8" s="1"/>
  <c r="AR199" i="8" s="1"/>
  <c r="AR200" i="8" s="1"/>
  <c r="AR201" i="8" s="1"/>
  <c r="AR202" i="8" s="1"/>
  <c r="AR203" i="8" s="1"/>
  <c r="AR204" i="8" s="1"/>
  <c r="AR205" i="8" s="1"/>
  <c r="AR206" i="8" s="1"/>
  <c r="AR207" i="8" s="1"/>
  <c r="AR208" i="8" s="1"/>
  <c r="AR209" i="8" s="1"/>
  <c r="AR210" i="8" s="1"/>
  <c r="AR211" i="8" s="1"/>
  <c r="AR212" i="8" s="1"/>
  <c r="AR213" i="8" s="1"/>
  <c r="AR214" i="8" s="1"/>
  <c r="AR215" i="8" s="1"/>
  <c r="AR216" i="8" s="1"/>
  <c r="AR217" i="8" s="1"/>
  <c r="AR218" i="8" s="1"/>
  <c r="AR219" i="8" s="1"/>
  <c r="AR220" i="8" s="1"/>
  <c r="AR221" i="8" s="1"/>
  <c r="AR222" i="8" s="1"/>
  <c r="AR223" i="8" s="1"/>
  <c r="AR224" i="8" s="1"/>
  <c r="AR225" i="8" s="1"/>
  <c r="AR226" i="8" s="1"/>
  <c r="AR227" i="8" s="1"/>
  <c r="AR228" i="8" s="1"/>
  <c r="B8" i="8"/>
  <c r="F7" i="8"/>
  <c r="V57" i="8"/>
  <c r="BR102" i="8"/>
  <c r="V103" i="8"/>
  <c r="BS101" i="8" s="1"/>
  <c r="BT101" i="8" s="1"/>
  <c r="BR124" i="8"/>
  <c r="V125" i="8"/>
  <c r="V143" i="8"/>
  <c r="BS141" i="8"/>
  <c r="BT141" i="8" s="1"/>
  <c r="BR142" i="8"/>
  <c r="BS22" i="8"/>
  <c r="BT22" i="8" s="1"/>
  <c r="BR9" i="8"/>
  <c r="V10" i="8"/>
  <c r="BS8" i="8" s="1"/>
  <c r="BT8" i="8" s="1"/>
  <c r="AC67" i="8"/>
  <c r="V21" i="6"/>
  <c r="Z46" i="6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W35" i="6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9" i="6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Y40" i="6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W21" i="6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BR6" i="6"/>
  <c r="AJ6" i="6"/>
  <c r="AJ7" i="6" s="1"/>
  <c r="AJ8" i="6" s="1"/>
  <c r="AJ9" i="6" s="1"/>
  <c r="AJ10" i="6" s="1"/>
  <c r="AJ11" i="6" s="1"/>
  <c r="AJ12" i="6" s="1"/>
  <c r="AJ13" i="6" s="1"/>
  <c r="AJ14" i="6" s="1"/>
  <c r="AJ15" i="6" s="1"/>
  <c r="AJ16" i="6" s="1"/>
  <c r="AJ17" i="6" s="1"/>
  <c r="AJ18" i="6" s="1"/>
  <c r="AJ19" i="6" s="1"/>
  <c r="AJ20" i="6" s="1"/>
  <c r="AJ21" i="6" s="1"/>
  <c r="AJ22" i="6" s="1"/>
  <c r="AJ23" i="6" s="1"/>
  <c r="AJ24" i="6" s="1"/>
  <c r="AJ25" i="6" s="1"/>
  <c r="AJ26" i="6" s="1"/>
  <c r="AJ27" i="6" s="1"/>
  <c r="AJ28" i="6" s="1"/>
  <c r="AJ29" i="6" s="1"/>
  <c r="AJ30" i="6" s="1"/>
  <c r="AJ31" i="6" s="1"/>
  <c r="AM6" i="6"/>
  <c r="AM7" i="6" s="1"/>
  <c r="AM8" i="6" s="1"/>
  <c r="AM9" i="6" s="1"/>
  <c r="AM10" i="6" s="1"/>
  <c r="AM11" i="6" s="1"/>
  <c r="AM12" i="6" s="1"/>
  <c r="AM13" i="6" s="1"/>
  <c r="AM14" i="6" s="1"/>
  <c r="AM15" i="6" s="1"/>
  <c r="AM16" i="6" s="1"/>
  <c r="AM17" i="6" s="1"/>
  <c r="AM18" i="6" s="1"/>
  <c r="AM19" i="6" s="1"/>
  <c r="AM20" i="6" s="1"/>
  <c r="AM21" i="6" s="1"/>
  <c r="AM22" i="6" s="1"/>
  <c r="AM23" i="6" s="1"/>
  <c r="AM24" i="6" s="1"/>
  <c r="AM25" i="6" s="1"/>
  <c r="AM26" i="6" s="1"/>
  <c r="AM27" i="6" s="1"/>
  <c r="AM28" i="6" s="1"/>
  <c r="AM29" i="6" s="1"/>
  <c r="AG6" i="6"/>
  <c r="AG7" i="6" s="1"/>
  <c r="AG8" i="6" s="1"/>
  <c r="AG9" i="6" s="1"/>
  <c r="AG10" i="6" s="1"/>
  <c r="AG11" i="6" s="1"/>
  <c r="AG12" i="6" s="1"/>
  <c r="AG13" i="6" s="1"/>
  <c r="AG14" i="6" s="1"/>
  <c r="AG15" i="6" s="1"/>
  <c r="AG16" i="6" s="1"/>
  <c r="AG17" i="6" s="1"/>
  <c r="AG18" i="6" s="1"/>
  <c r="AG19" i="6" s="1"/>
  <c r="AG20" i="6" s="1"/>
  <c r="AG21" i="6" s="1"/>
  <c r="AG22" i="6" s="1"/>
  <c r="AG23" i="6" s="1"/>
  <c r="AG24" i="6" s="1"/>
  <c r="AG25" i="6" s="1"/>
  <c r="AG26" i="6" s="1"/>
  <c r="AG27" i="6" s="1"/>
  <c r="AG28" i="6" s="1"/>
  <c r="AG29" i="6" s="1"/>
  <c r="AG30" i="6" s="1"/>
  <c r="AG31" i="6" s="1"/>
  <c r="AC6" i="6"/>
  <c r="AC7" i="6" s="1"/>
  <c r="AC8" i="6" s="1"/>
  <c r="AC9" i="6" s="1"/>
  <c r="AC10" i="6" s="1"/>
  <c r="AC11" i="6" s="1"/>
  <c r="AC12" i="6" s="1"/>
  <c r="AC13" i="6" s="1"/>
  <c r="AC14" i="6" s="1"/>
  <c r="AC15" i="6" s="1"/>
  <c r="AC16" i="6" s="1"/>
  <c r="AC17" i="6" s="1"/>
  <c r="AC18" i="6" s="1"/>
  <c r="AC19" i="6" s="1"/>
  <c r="AC20" i="6" s="1"/>
  <c r="AC21" i="6" s="1"/>
  <c r="AC22" i="6" s="1"/>
  <c r="V53" i="6"/>
  <c r="V54" i="6" s="1"/>
  <c r="X15" i="6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AM30" i="6" s="1"/>
  <c r="AM31" i="6" s="1"/>
  <c r="AA7" i="6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Z58" i="6"/>
  <c r="V7" i="6"/>
  <c r="V22" i="6"/>
  <c r="BS4" i="6"/>
  <c r="BT4" i="6" s="1"/>
  <c r="G207" i="6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V207" i="6"/>
  <c r="AR6" i="6"/>
  <c r="AR7" i="6" s="1"/>
  <c r="AR8" i="6" s="1"/>
  <c r="AR9" i="6" s="1"/>
  <c r="AR10" i="6" s="1"/>
  <c r="AR11" i="6" s="1"/>
  <c r="AR12" i="6" s="1"/>
  <c r="AR13" i="6" s="1"/>
  <c r="AR14" i="6" s="1"/>
  <c r="AR15" i="6" s="1"/>
  <c r="AR16" i="6" s="1"/>
  <c r="AR17" i="6" s="1"/>
  <c r="AR18" i="6" s="1"/>
  <c r="AR19" i="6" s="1"/>
  <c r="AR20" i="6" s="1"/>
  <c r="AR21" i="6" s="1"/>
  <c r="AR22" i="6" s="1"/>
  <c r="AR23" i="6" s="1"/>
  <c r="AR24" i="6" s="1"/>
  <c r="AR25" i="6" s="1"/>
  <c r="AR26" i="6" s="1"/>
  <c r="AR27" i="6" s="1"/>
  <c r="AR28" i="6" s="1"/>
  <c r="AR29" i="6" s="1"/>
  <c r="AR30" i="6" s="1"/>
  <c r="AR31" i="6" s="1"/>
  <c r="AK6" i="6"/>
  <c r="AK7" i="6" s="1"/>
  <c r="AK8" i="6" s="1"/>
  <c r="AK9" i="6" s="1"/>
  <c r="AK10" i="6" s="1"/>
  <c r="AK11" i="6" s="1"/>
  <c r="AK12" i="6" s="1"/>
  <c r="AK13" i="6" s="1"/>
  <c r="AK14" i="6" s="1"/>
  <c r="AK15" i="6" s="1"/>
  <c r="AK16" i="6" s="1"/>
  <c r="AK17" i="6" s="1"/>
  <c r="AK18" i="6" s="1"/>
  <c r="AK19" i="6" s="1"/>
  <c r="AK20" i="6" s="1"/>
  <c r="AK21" i="6" s="1"/>
  <c r="AK22" i="6" s="1"/>
  <c r="AK23" i="6" s="1"/>
  <c r="AK24" i="6" s="1"/>
  <c r="AK25" i="6" s="1"/>
  <c r="AK26" i="6" s="1"/>
  <c r="AK27" i="6" s="1"/>
  <c r="AK28" i="6" s="1"/>
  <c r="AK29" i="6" s="1"/>
  <c r="AK30" i="6" s="1"/>
  <c r="AK31" i="6" s="1"/>
  <c r="AD6" i="6"/>
  <c r="AD7" i="6" s="1"/>
  <c r="AD8" i="6" s="1"/>
  <c r="AD9" i="6" s="1"/>
  <c r="AD10" i="6" s="1"/>
  <c r="AD11" i="6" s="1"/>
  <c r="AD12" i="6" s="1"/>
  <c r="AD13" i="6" s="1"/>
  <c r="AD14" i="6" s="1"/>
  <c r="AD15" i="6" s="1"/>
  <c r="AD16" i="6" s="1"/>
  <c r="AD17" i="6" s="1"/>
  <c r="AD18" i="6" s="1"/>
  <c r="AD19" i="6" s="1"/>
  <c r="AD20" i="6" s="1"/>
  <c r="AD21" i="6" s="1"/>
  <c r="AD22" i="6" s="1"/>
  <c r="AD23" i="6" s="1"/>
  <c r="AD24" i="6" s="1"/>
  <c r="AD25" i="6" s="1"/>
  <c r="AD26" i="6" s="1"/>
  <c r="AD27" i="6" s="1"/>
  <c r="AD28" i="6" s="1"/>
  <c r="AD29" i="6" s="1"/>
  <c r="AD30" i="6" s="1"/>
  <c r="AD31" i="6" s="1"/>
  <c r="AL6" i="6"/>
  <c r="AL7" i="6" s="1"/>
  <c r="AL8" i="6" s="1"/>
  <c r="AL9" i="6" s="1"/>
  <c r="AL10" i="6" s="1"/>
  <c r="AL11" i="6" s="1"/>
  <c r="AL12" i="6" s="1"/>
  <c r="AL13" i="6" s="1"/>
  <c r="AL14" i="6" s="1"/>
  <c r="AL15" i="6" s="1"/>
  <c r="AL16" i="6" s="1"/>
  <c r="AL17" i="6" s="1"/>
  <c r="AL18" i="6" s="1"/>
  <c r="AL19" i="6" s="1"/>
  <c r="AL20" i="6" s="1"/>
  <c r="AL21" i="6" s="1"/>
  <c r="AL22" i="6" s="1"/>
  <c r="AL23" i="6" s="1"/>
  <c r="AL24" i="6" s="1"/>
  <c r="AL25" i="6" s="1"/>
  <c r="AL26" i="6" s="1"/>
  <c r="AL27" i="6" s="1"/>
  <c r="AL28" i="6" s="1"/>
  <c r="AL29" i="6" s="1"/>
  <c r="AL30" i="6" s="1"/>
  <c r="AL31" i="6" s="1"/>
  <c r="W7" i="6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Y7" i="6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H32" i="6"/>
  <c r="H33" i="6" s="1"/>
  <c r="H34" i="6" s="1"/>
  <c r="H35" i="6" s="1"/>
  <c r="Y56" i="6"/>
  <c r="Y57" i="6" s="1"/>
  <c r="X59" i="6"/>
  <c r="X60" i="6" s="1"/>
  <c r="X61" i="6" s="1"/>
  <c r="B6" i="6"/>
  <c r="F5" i="6"/>
  <c r="AQ16" i="9" l="1"/>
  <c r="DC15" i="9"/>
  <c r="DD14" i="9"/>
  <c r="DE14" i="9" s="1"/>
  <c r="AQ455" i="9"/>
  <c r="AQ345" i="9"/>
  <c r="AQ448" i="9"/>
  <c r="DD13" i="9"/>
  <c r="DE13" i="9" s="1"/>
  <c r="AQ437" i="9"/>
  <c r="AS29" i="9"/>
  <c r="DF14" i="9" s="1"/>
  <c r="Y149" i="8"/>
  <c r="Y150" i="8" s="1"/>
  <c r="Y151" i="8" s="1"/>
  <c r="Y152" i="8" s="1"/>
  <c r="Y153" i="8" s="1"/>
  <c r="Z149" i="8"/>
  <c r="Z150" i="8" s="1"/>
  <c r="Z151" i="8" s="1"/>
  <c r="Z152" i="8" s="1"/>
  <c r="Z153" i="8" s="1"/>
  <c r="B14" i="9"/>
  <c r="F13" i="9"/>
  <c r="X31" i="6"/>
  <c r="X32" i="6" s="1"/>
  <c r="X33" i="6" s="1"/>
  <c r="X34" i="6" s="1"/>
  <c r="X35" i="6" s="1"/>
  <c r="X36" i="6" s="1"/>
  <c r="X37" i="6" s="1"/>
  <c r="X38" i="6" s="1"/>
  <c r="X39" i="6" s="1"/>
  <c r="X40" i="6" s="1"/>
  <c r="V58" i="8"/>
  <c r="BS24" i="8"/>
  <c r="BT24" i="8" s="1"/>
  <c r="BR25" i="8"/>
  <c r="V26" i="8"/>
  <c r="BU9" i="8"/>
  <c r="AC27" i="8"/>
  <c r="AC68" i="8"/>
  <c r="V144" i="8"/>
  <c r="BR143" i="8"/>
  <c r="D8" i="8"/>
  <c r="E8" i="8"/>
  <c r="BS23" i="8"/>
  <c r="BT23" i="8" s="1"/>
  <c r="W153" i="8"/>
  <c r="AD152" i="8"/>
  <c r="AD153" i="8" s="1"/>
  <c r="AD154" i="8" s="1"/>
  <c r="AD155" i="8" s="1"/>
  <c r="AD156" i="8" s="1"/>
  <c r="AD157" i="8" s="1"/>
  <c r="AD158" i="8" s="1"/>
  <c r="AD159" i="8" s="1"/>
  <c r="AD160" i="8" s="1"/>
  <c r="AD161" i="8" s="1"/>
  <c r="AD162" i="8" s="1"/>
  <c r="AD163" i="8" s="1"/>
  <c r="AD164" i="8" s="1"/>
  <c r="AD165" i="8" s="1"/>
  <c r="AD166" i="8" s="1"/>
  <c r="AD167" i="8" s="1"/>
  <c r="AD168" i="8" s="1"/>
  <c r="AD169" i="8" s="1"/>
  <c r="AD170" i="8" s="1"/>
  <c r="AD171" i="8" s="1"/>
  <c r="AD172" i="8" s="1"/>
  <c r="AD173" i="8" s="1"/>
  <c r="AD174" i="8" s="1"/>
  <c r="AD175" i="8" s="1"/>
  <c r="AD176" i="8" s="1"/>
  <c r="AD177" i="8" s="1"/>
  <c r="AD178" i="8" s="1"/>
  <c r="AD179" i="8" s="1"/>
  <c r="AD180" i="8" s="1"/>
  <c r="AD181" i="8" s="1"/>
  <c r="AD182" i="8" s="1"/>
  <c r="AD183" i="8" s="1"/>
  <c r="AD184" i="8" s="1"/>
  <c r="AD185" i="8" s="1"/>
  <c r="AD186" i="8" s="1"/>
  <c r="AD187" i="8" s="1"/>
  <c r="AD188" i="8" s="1"/>
  <c r="AD189" i="8" s="1"/>
  <c r="AD190" i="8" s="1"/>
  <c r="AD191" i="8" s="1"/>
  <c r="AD192" i="8" s="1"/>
  <c r="AD193" i="8" s="1"/>
  <c r="AD194" i="8" s="1"/>
  <c r="AD195" i="8" s="1"/>
  <c r="AD196" i="8" s="1"/>
  <c r="AD197" i="8" s="1"/>
  <c r="AD198" i="8" s="1"/>
  <c r="AD199" i="8" s="1"/>
  <c r="AD200" i="8" s="1"/>
  <c r="AD201" i="8" s="1"/>
  <c r="AD202" i="8" s="1"/>
  <c r="AD203" i="8" s="1"/>
  <c r="AD204" i="8" s="1"/>
  <c r="AD205" i="8" s="1"/>
  <c r="AD206" i="8" s="1"/>
  <c r="AD207" i="8" s="1"/>
  <c r="AD208" i="8" s="1"/>
  <c r="AD209" i="8" s="1"/>
  <c r="AD210" i="8" s="1"/>
  <c r="AD211" i="8" s="1"/>
  <c r="AD212" i="8" s="1"/>
  <c r="AD213" i="8" s="1"/>
  <c r="AD214" i="8" s="1"/>
  <c r="AD215" i="8" s="1"/>
  <c r="AD216" i="8" s="1"/>
  <c r="AD217" i="8" s="1"/>
  <c r="AD218" i="8" s="1"/>
  <c r="AD219" i="8" s="1"/>
  <c r="AD220" i="8" s="1"/>
  <c r="AD221" i="8" s="1"/>
  <c r="AD222" i="8" s="1"/>
  <c r="AD223" i="8" s="1"/>
  <c r="AD224" i="8" s="1"/>
  <c r="AD225" i="8" s="1"/>
  <c r="AD226" i="8" s="1"/>
  <c r="AD227" i="8" s="1"/>
  <c r="AD228" i="8" s="1"/>
  <c r="AD229" i="8" s="1"/>
  <c r="AD230" i="8" s="1"/>
  <c r="AD231" i="8" s="1"/>
  <c r="AD232" i="8" s="1"/>
  <c r="AD233" i="8" s="1"/>
  <c r="AD234" i="8" s="1"/>
  <c r="AD235" i="8" s="1"/>
  <c r="AD236" i="8" s="1"/>
  <c r="AD237" i="8" s="1"/>
  <c r="AD238" i="8" s="1"/>
  <c r="V79" i="8"/>
  <c r="BS77" i="8"/>
  <c r="BT77" i="8" s="1"/>
  <c r="BR78" i="8"/>
  <c r="AC148" i="8"/>
  <c r="BR10" i="8"/>
  <c r="V11" i="8"/>
  <c r="BR103" i="8"/>
  <c r="V104" i="8"/>
  <c r="V126" i="8"/>
  <c r="G153" i="8"/>
  <c r="G154" i="8" s="1"/>
  <c r="G155" i="8" s="1"/>
  <c r="G156" i="8" s="1"/>
  <c r="G157" i="8" s="1"/>
  <c r="X153" i="8"/>
  <c r="AC40" i="8"/>
  <c r="BS50" i="6"/>
  <c r="BT50" i="6" s="1"/>
  <c r="BR53" i="6"/>
  <c r="BR54" i="6"/>
  <c r="BS52" i="6"/>
  <c r="BT52" i="6" s="1"/>
  <c r="BR52" i="6"/>
  <c r="BR7" i="6"/>
  <c r="BR22" i="6"/>
  <c r="BR21" i="6"/>
  <c r="Z59" i="6"/>
  <c r="BU4" i="6"/>
  <c r="AC23" i="6"/>
  <c r="BU5" i="6"/>
  <c r="BS20" i="6"/>
  <c r="BT20" i="6" s="1"/>
  <c r="V23" i="6"/>
  <c r="V55" i="6"/>
  <c r="BR55" i="6" s="1"/>
  <c r="BS5" i="6"/>
  <c r="BT5" i="6" s="1"/>
  <c r="V8" i="6"/>
  <c r="AN33" i="6"/>
  <c r="AP32" i="6"/>
  <c r="AP33" i="6" s="1"/>
  <c r="AO32" i="6"/>
  <c r="AO33" i="6" s="1"/>
  <c r="AO34" i="6" s="1"/>
  <c r="AO35" i="6" s="1"/>
  <c r="AD32" i="6"/>
  <c r="AD33" i="6" s="1"/>
  <c r="AI32" i="6"/>
  <c r="AI33" i="6" s="1"/>
  <c r="AG32" i="6"/>
  <c r="AG33" i="6" s="1"/>
  <c r="AQ32" i="6"/>
  <c r="AQ33" i="6" s="1"/>
  <c r="AK32" i="6"/>
  <c r="AK33" i="6" s="1"/>
  <c r="AM32" i="6"/>
  <c r="AM33" i="6" s="1"/>
  <c r="AM34" i="6" s="1"/>
  <c r="AM35" i="6" s="1"/>
  <c r="AF32" i="6"/>
  <c r="AF33" i="6" s="1"/>
  <c r="AJ32" i="6"/>
  <c r="AJ33" i="6" s="1"/>
  <c r="AN32" i="6"/>
  <c r="AR32" i="6"/>
  <c r="AR33" i="6" s="1"/>
  <c r="AR34" i="6" s="1"/>
  <c r="AR35" i="6" s="1"/>
  <c r="AF35" i="6"/>
  <c r="AJ35" i="6"/>
  <c r="AQ35" i="6"/>
  <c r="AL35" i="6"/>
  <c r="AP35" i="6"/>
  <c r="AG35" i="6"/>
  <c r="AK35" i="6"/>
  <c r="AH35" i="6"/>
  <c r="AC35" i="6"/>
  <c r="AD35" i="6"/>
  <c r="AI35" i="6"/>
  <c r="H36" i="6"/>
  <c r="H37" i="6" s="1"/>
  <c r="AE32" i="6"/>
  <c r="AE33" i="6" s="1"/>
  <c r="AE34" i="6" s="1"/>
  <c r="AE35" i="6" s="1"/>
  <c r="AH32" i="6"/>
  <c r="AH33" i="6" s="1"/>
  <c r="AL32" i="6"/>
  <c r="AL33" i="6" s="1"/>
  <c r="AN34" i="6"/>
  <c r="AN35" i="6" s="1"/>
  <c r="AN36" i="6" s="1"/>
  <c r="AN37" i="6" s="1"/>
  <c r="E6" i="6"/>
  <c r="D6" i="6"/>
  <c r="X62" i="6"/>
  <c r="Y58" i="6"/>
  <c r="AQ438" i="9" l="1"/>
  <c r="AQ346" i="9"/>
  <c r="AQ456" i="9"/>
  <c r="AQ449" i="9"/>
  <c r="BK448" i="9"/>
  <c r="BK449" i="9" s="1"/>
  <c r="BK450" i="9" s="1"/>
  <c r="BK451" i="9" s="1"/>
  <c r="BK452" i="9" s="1"/>
  <c r="BK453" i="9" s="1"/>
  <c r="BK454" i="9" s="1"/>
  <c r="BK455" i="9" s="1"/>
  <c r="BK456" i="9" s="1"/>
  <c r="BK457" i="9" s="1"/>
  <c r="BK458" i="9" s="1"/>
  <c r="BK459" i="9" s="1"/>
  <c r="BK460" i="9" s="1"/>
  <c r="BK461" i="9" s="1"/>
  <c r="BK462" i="9" s="1"/>
  <c r="BK463" i="9" s="1"/>
  <c r="BK464" i="9" s="1"/>
  <c r="BK465" i="9" s="1"/>
  <c r="BK466" i="9" s="1"/>
  <c r="BK467" i="9" s="1"/>
  <c r="BK468" i="9" s="1"/>
  <c r="BK469" i="9" s="1"/>
  <c r="BK470" i="9" s="1"/>
  <c r="BK471" i="9" s="1"/>
  <c r="BK472" i="9" s="1"/>
  <c r="BK473" i="9" s="1"/>
  <c r="BK474" i="9" s="1"/>
  <c r="BK475" i="9" s="1"/>
  <c r="BK476" i="9" s="1"/>
  <c r="BK477" i="9" s="1"/>
  <c r="BK478" i="9" s="1"/>
  <c r="BK479" i="9" s="1"/>
  <c r="BK480" i="9" s="1"/>
  <c r="BK481" i="9" s="1"/>
  <c r="BK482" i="9" s="1"/>
  <c r="BK483" i="9" s="1"/>
  <c r="BK484" i="9" s="1"/>
  <c r="BK485" i="9" s="1"/>
  <c r="BK486" i="9" s="1"/>
  <c r="BK487" i="9" s="1"/>
  <c r="BK488" i="9" s="1"/>
  <c r="BK489" i="9" s="1"/>
  <c r="BK490" i="9" s="1"/>
  <c r="BK491" i="9" s="1"/>
  <c r="BK492" i="9" s="1"/>
  <c r="BK493" i="9" s="1"/>
  <c r="BK494" i="9" s="1"/>
  <c r="BK495" i="9" s="1"/>
  <c r="BK496" i="9" s="1"/>
  <c r="BK497" i="9" s="1"/>
  <c r="BK498" i="9" s="1"/>
  <c r="BK499" i="9" s="1"/>
  <c r="BK500" i="9" s="1"/>
  <c r="BK501" i="9" s="1"/>
  <c r="BK502" i="9" s="1"/>
  <c r="BK503" i="9" s="1"/>
  <c r="BK504" i="9" s="1"/>
  <c r="BK505" i="9" s="1"/>
  <c r="BK506" i="9" s="1"/>
  <c r="BK507" i="9" s="1"/>
  <c r="BK508" i="9" s="1"/>
  <c r="BK509" i="9" s="1"/>
  <c r="BK510" i="9" s="1"/>
  <c r="BK511" i="9" s="1"/>
  <c r="BK512" i="9" s="1"/>
  <c r="BK513" i="9" s="1"/>
  <c r="BK514" i="9" s="1"/>
  <c r="BK515" i="9" s="1"/>
  <c r="BK516" i="9" s="1"/>
  <c r="BK517" i="9" s="1"/>
  <c r="BK518" i="9" s="1"/>
  <c r="BK519" i="9" s="1"/>
  <c r="BK520" i="9" s="1"/>
  <c r="BK521" i="9" s="1"/>
  <c r="BK522" i="9" s="1"/>
  <c r="BK523" i="9" s="1"/>
  <c r="BK524" i="9" s="1"/>
  <c r="BK525" i="9" s="1"/>
  <c r="BK526" i="9" s="1"/>
  <c r="BK527" i="9" s="1"/>
  <c r="BK528" i="9" s="1"/>
  <c r="BK529" i="9" s="1"/>
  <c r="BK530" i="9" s="1"/>
  <c r="BK531" i="9" s="1"/>
  <c r="BK532" i="9" s="1"/>
  <c r="BK533" i="9" s="1"/>
  <c r="BK534" i="9" s="1"/>
  <c r="BK535" i="9" s="1"/>
  <c r="BK536" i="9" s="1"/>
  <c r="BK537" i="9" s="1"/>
  <c r="BK538" i="9" s="1"/>
  <c r="BK539" i="9" s="1"/>
  <c r="BK540" i="9" s="1"/>
  <c r="BK541" i="9" s="1"/>
  <c r="BK542" i="9" s="1"/>
  <c r="BK543" i="9" s="1"/>
  <c r="BK544" i="9" s="1"/>
  <c r="BK545" i="9" s="1"/>
  <c r="BK546" i="9" s="1"/>
  <c r="BK547" i="9" s="1"/>
  <c r="BK548" i="9" s="1"/>
  <c r="BK549" i="9" s="1"/>
  <c r="BK550" i="9" s="1"/>
  <c r="BK551" i="9" s="1"/>
  <c r="BK552" i="9" s="1"/>
  <c r="BK553" i="9" s="1"/>
  <c r="BK554" i="9" s="1"/>
  <c r="BK555" i="9" s="1"/>
  <c r="BK556" i="9" s="1"/>
  <c r="BK557" i="9" s="1"/>
  <c r="BK558" i="9" s="1"/>
  <c r="BK559" i="9" s="1"/>
  <c r="BK560" i="9" s="1"/>
  <c r="BK561" i="9" s="1"/>
  <c r="BK562" i="9" s="1"/>
  <c r="BK563" i="9" s="1"/>
  <c r="BK564" i="9" s="1"/>
  <c r="BK565" i="9" s="1"/>
  <c r="BK566" i="9" s="1"/>
  <c r="BK567" i="9" s="1"/>
  <c r="BK568" i="9" s="1"/>
  <c r="BK569" i="9" s="1"/>
  <c r="BK570" i="9" s="1"/>
  <c r="BK571" i="9" s="1"/>
  <c r="BK572" i="9" s="1"/>
  <c r="BK573" i="9" s="1"/>
  <c r="BK574" i="9" s="1"/>
  <c r="BK575" i="9" s="1"/>
  <c r="BK576" i="9" s="1"/>
  <c r="BK577" i="9" s="1"/>
  <c r="BK578" i="9" s="1"/>
  <c r="BK579" i="9" s="1"/>
  <c r="BK580" i="9" s="1"/>
  <c r="BK581" i="9" s="1"/>
  <c r="BK582" i="9" s="1"/>
  <c r="BK583" i="9" s="1"/>
  <c r="BK584" i="9" s="1"/>
  <c r="BK585" i="9" s="1"/>
  <c r="BK586" i="9" s="1"/>
  <c r="BK587" i="9" s="1"/>
  <c r="BK588" i="9" s="1"/>
  <c r="BK589" i="9" s="1"/>
  <c r="BK590" i="9" s="1"/>
  <c r="BK591" i="9" s="1"/>
  <c r="BK592" i="9" s="1"/>
  <c r="BK593" i="9" s="1"/>
  <c r="BK594" i="9" s="1"/>
  <c r="BK595" i="9" s="1"/>
  <c r="BK596" i="9" s="1"/>
  <c r="BK597" i="9" s="1"/>
  <c r="BK598" i="9" s="1"/>
  <c r="BK599" i="9" s="1"/>
  <c r="BK600" i="9" s="1"/>
  <c r="BK601" i="9" s="1"/>
  <c r="BK602" i="9" s="1"/>
  <c r="BK603" i="9" s="1"/>
  <c r="BK604" i="9" s="1"/>
  <c r="BK605" i="9" s="1"/>
  <c r="BK606" i="9" s="1"/>
  <c r="BK607" i="9" s="1"/>
  <c r="BK608" i="9" s="1"/>
  <c r="BK609" i="9" s="1"/>
  <c r="BK610" i="9" s="1"/>
  <c r="BK611" i="9" s="1"/>
  <c r="BK612" i="9" s="1"/>
  <c r="BK613" i="9" s="1"/>
  <c r="BK614" i="9" s="1"/>
  <c r="BK615" i="9" s="1"/>
  <c r="BK616" i="9" s="1"/>
  <c r="BK617" i="9" s="1"/>
  <c r="BK618" i="9" s="1"/>
  <c r="BK619" i="9" s="1"/>
  <c r="BK620" i="9" s="1"/>
  <c r="BK621" i="9" s="1"/>
  <c r="BK622" i="9" s="1"/>
  <c r="BK623" i="9" s="1"/>
  <c r="BK624" i="9" s="1"/>
  <c r="BK625" i="9" s="1"/>
  <c r="BK626" i="9" s="1"/>
  <c r="BK627" i="9" s="1"/>
  <c r="BK628" i="9" s="1"/>
  <c r="BK629" i="9" s="1"/>
  <c r="BK630" i="9" s="1"/>
  <c r="BK631" i="9" s="1"/>
  <c r="BK632" i="9" s="1"/>
  <c r="BK633" i="9" s="1"/>
  <c r="BK634" i="9" s="1"/>
  <c r="BK635" i="9" s="1"/>
  <c r="BK636" i="9" s="1"/>
  <c r="BK637" i="9" s="1"/>
  <c r="BK638" i="9" s="1"/>
  <c r="BK639" i="9" s="1"/>
  <c r="BK640" i="9" s="1"/>
  <c r="BK641" i="9" s="1"/>
  <c r="BK642" i="9" s="1"/>
  <c r="BK643" i="9" s="1"/>
  <c r="BK644" i="9" s="1"/>
  <c r="BK645" i="9" s="1"/>
  <c r="BK646" i="9" s="1"/>
  <c r="BK647" i="9" s="1"/>
  <c r="BK648" i="9" s="1"/>
  <c r="BK649" i="9" s="1"/>
  <c r="BK650" i="9" s="1"/>
  <c r="BK651" i="9" s="1"/>
  <c r="BK652" i="9" s="1"/>
  <c r="BK653" i="9" s="1"/>
  <c r="BK654" i="9" s="1"/>
  <c r="BK655" i="9" s="1"/>
  <c r="BK656" i="9" s="1"/>
  <c r="BK657" i="9" s="1"/>
  <c r="BK658" i="9" s="1"/>
  <c r="BK659" i="9" s="1"/>
  <c r="BK660" i="9" s="1"/>
  <c r="BK661" i="9" s="1"/>
  <c r="BK662" i="9" s="1"/>
  <c r="BK663" i="9" s="1"/>
  <c r="BK664" i="9" s="1"/>
  <c r="BK665" i="9" s="1"/>
  <c r="BK666" i="9" s="1"/>
  <c r="BK667" i="9" s="1"/>
  <c r="BK668" i="9" s="1"/>
  <c r="BK669" i="9" s="1"/>
  <c r="BK670" i="9" s="1"/>
  <c r="BK671" i="9" s="1"/>
  <c r="BK672" i="9" s="1"/>
  <c r="BK673" i="9" s="1"/>
  <c r="BK674" i="9" s="1"/>
  <c r="BK675" i="9" s="1"/>
  <c r="BK676" i="9" s="1"/>
  <c r="BK677" i="9" s="1"/>
  <c r="BK678" i="9" s="1"/>
  <c r="BK679" i="9" s="1"/>
  <c r="BK680" i="9" s="1"/>
  <c r="BK681" i="9" s="1"/>
  <c r="BK682" i="9" s="1"/>
  <c r="BK683" i="9" s="1"/>
  <c r="BK684" i="9" s="1"/>
  <c r="BK685" i="9" s="1"/>
  <c r="AQ17" i="9"/>
  <c r="DD15" i="9"/>
  <c r="DE15" i="9" s="1"/>
  <c r="DC16" i="9"/>
  <c r="AS30" i="9"/>
  <c r="DF15" i="9" s="1"/>
  <c r="D14" i="9"/>
  <c r="E14" i="9"/>
  <c r="BS53" i="6"/>
  <c r="BT53" i="6" s="1"/>
  <c r="AA154" i="8"/>
  <c r="AA155" i="8" s="1"/>
  <c r="AA156" i="8" s="1"/>
  <c r="AA157" i="8" s="1"/>
  <c r="AA158" i="8" s="1"/>
  <c r="BR11" i="8"/>
  <c r="V12" i="8"/>
  <c r="V80" i="8"/>
  <c r="BS78" i="8" s="1"/>
  <c r="BT78" i="8" s="1"/>
  <c r="BR79" i="8"/>
  <c r="BR144" i="8"/>
  <c r="V145" i="8"/>
  <c r="BS143" i="8" s="1"/>
  <c r="BT143" i="8" s="1"/>
  <c r="B9" i="8"/>
  <c r="F8" i="8"/>
  <c r="Z154" i="8"/>
  <c r="Z155" i="8" s="1"/>
  <c r="Z156" i="8" s="1"/>
  <c r="Z157" i="8" s="1"/>
  <c r="Z158" i="8" s="1"/>
  <c r="Z159" i="8" s="1"/>
  <c r="Z160" i="8" s="1"/>
  <c r="Z161" i="8" s="1"/>
  <c r="Z162" i="8" s="1"/>
  <c r="Z163" i="8" s="1"/>
  <c r="BR58" i="8"/>
  <c r="V59" i="8"/>
  <c r="AC41" i="8"/>
  <c r="AC149" i="8"/>
  <c r="X154" i="8"/>
  <c r="X155" i="8" s="1"/>
  <c r="X156" i="8" s="1"/>
  <c r="X157" i="8" s="1"/>
  <c r="X158" i="8" s="1"/>
  <c r="V127" i="8"/>
  <c r="V105" i="8"/>
  <c r="BS9" i="8"/>
  <c r="BT9" i="8" s="1"/>
  <c r="W154" i="8"/>
  <c r="W155" i="8" s="1"/>
  <c r="AC69" i="8"/>
  <c r="BR26" i="8"/>
  <c r="V27" i="8"/>
  <c r="BS25" i="8" s="1"/>
  <c r="BT25" i="8" s="1"/>
  <c r="G158" i="8"/>
  <c r="G159" i="8" s="1"/>
  <c r="G160" i="8" s="1"/>
  <c r="G161" i="8" s="1"/>
  <c r="G162" i="8" s="1"/>
  <c r="W158" i="8"/>
  <c r="W159" i="8" s="1"/>
  <c r="W160" i="8" s="1"/>
  <c r="W161" i="8" s="1"/>
  <c r="W162" i="8" s="1"/>
  <c r="W163" i="8" s="1"/>
  <c r="Y154" i="8"/>
  <c r="Y155" i="8" s="1"/>
  <c r="Y156" i="8" s="1"/>
  <c r="Y157" i="8" s="1"/>
  <c r="Y158" i="8" s="1"/>
  <c r="Y159" i="8" s="1"/>
  <c r="Y160" i="8" s="1"/>
  <c r="Y161" i="8" s="1"/>
  <c r="Y162" i="8" s="1"/>
  <c r="Y163" i="8" s="1"/>
  <c r="BS142" i="8"/>
  <c r="BT142" i="8" s="1"/>
  <c r="BU10" i="8"/>
  <c r="AC28" i="8"/>
  <c r="BS6" i="6"/>
  <c r="BT6" i="6" s="1"/>
  <c r="BR8" i="6"/>
  <c r="BS21" i="6"/>
  <c r="BT21" i="6" s="1"/>
  <c r="BR23" i="6"/>
  <c r="Z60" i="6"/>
  <c r="Z61" i="6" s="1"/>
  <c r="AC24" i="6"/>
  <c r="BU6" i="6"/>
  <c r="BU18" i="6"/>
  <c r="V56" i="6"/>
  <c r="V9" i="6"/>
  <c r="V24" i="6"/>
  <c r="AI36" i="6"/>
  <c r="AI37" i="6" s="1"/>
  <c r="AK36" i="6"/>
  <c r="AK37" i="6" s="1"/>
  <c r="AQ36" i="6"/>
  <c r="AQ37" i="6" s="1"/>
  <c r="AD36" i="6"/>
  <c r="AD37" i="6" s="1"/>
  <c r="AG36" i="6"/>
  <c r="AG37" i="6" s="1"/>
  <c r="AJ36" i="6"/>
  <c r="AJ37" i="6" s="1"/>
  <c r="AE36" i="6"/>
  <c r="AE37" i="6" s="1"/>
  <c r="AC36" i="6"/>
  <c r="AF36" i="6"/>
  <c r="AF37" i="6" s="1"/>
  <c r="H38" i="6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AP37" i="6"/>
  <c r="AH36" i="6"/>
  <c r="AH37" i="6" s="1"/>
  <c r="AL36" i="6"/>
  <c r="AL37" i="6" s="1"/>
  <c r="AR36" i="6"/>
  <c r="AR37" i="6" s="1"/>
  <c r="AM36" i="6"/>
  <c r="AM37" i="6" s="1"/>
  <c r="F6" i="6"/>
  <c r="B7" i="6"/>
  <c r="AQ347" i="9" l="1"/>
  <c r="AQ457" i="9"/>
  <c r="AQ18" i="9"/>
  <c r="DC17" i="9"/>
  <c r="AQ450" i="9"/>
  <c r="AQ439" i="9"/>
  <c r="AS31" i="9"/>
  <c r="DF16" i="9" s="1"/>
  <c r="X159" i="8"/>
  <c r="X160" i="8" s="1"/>
  <c r="X161" i="8" s="1"/>
  <c r="X162" i="8" s="1"/>
  <c r="X163" i="8" s="1"/>
  <c r="B15" i="9"/>
  <c r="F14" i="9"/>
  <c r="V60" i="8"/>
  <c r="BR59" i="8"/>
  <c r="BR12" i="8"/>
  <c r="V13" i="8"/>
  <c r="G163" i="8"/>
  <c r="G164" i="8" s="1"/>
  <c r="G165" i="8" s="1"/>
  <c r="G166" i="8" s="1"/>
  <c r="G167" i="8" s="1"/>
  <c r="G168" i="8" s="1"/>
  <c r="G169" i="8" s="1"/>
  <c r="V163" i="8"/>
  <c r="AC70" i="8"/>
  <c r="AC150" i="8"/>
  <c r="D9" i="8"/>
  <c r="E9" i="8"/>
  <c r="AF163" i="8"/>
  <c r="AF164" i="8" s="1"/>
  <c r="AF165" i="8" s="1"/>
  <c r="AF166" i="8" s="1"/>
  <c r="AF167" i="8" s="1"/>
  <c r="AF168" i="8" s="1"/>
  <c r="AF169" i="8" s="1"/>
  <c r="AF170" i="8" s="1"/>
  <c r="AF171" i="8" s="1"/>
  <c r="AF172" i="8" s="1"/>
  <c r="AF173" i="8" s="1"/>
  <c r="AF174" i="8" s="1"/>
  <c r="AF175" i="8" s="1"/>
  <c r="AF176" i="8" s="1"/>
  <c r="AF177" i="8" s="1"/>
  <c r="AF178" i="8" s="1"/>
  <c r="AF179" i="8" s="1"/>
  <c r="AF180" i="8" s="1"/>
  <c r="AF181" i="8" s="1"/>
  <c r="AF182" i="8" s="1"/>
  <c r="AF183" i="8" s="1"/>
  <c r="AF184" i="8" s="1"/>
  <c r="AF185" i="8" s="1"/>
  <c r="AF186" i="8" s="1"/>
  <c r="AF187" i="8" s="1"/>
  <c r="AF188" i="8" s="1"/>
  <c r="AF189" i="8" s="1"/>
  <c r="AF190" i="8" s="1"/>
  <c r="AF191" i="8" s="1"/>
  <c r="AF192" i="8" s="1"/>
  <c r="AF193" i="8" s="1"/>
  <c r="AF194" i="8" s="1"/>
  <c r="AF195" i="8" s="1"/>
  <c r="AF196" i="8" s="1"/>
  <c r="AF197" i="8" s="1"/>
  <c r="AF198" i="8" s="1"/>
  <c r="AF199" i="8" s="1"/>
  <c r="AF200" i="8" s="1"/>
  <c r="AF201" i="8" s="1"/>
  <c r="AF202" i="8" s="1"/>
  <c r="AF203" i="8" s="1"/>
  <c r="AF204" i="8" s="1"/>
  <c r="AF205" i="8" s="1"/>
  <c r="AF206" i="8" s="1"/>
  <c r="AF207" i="8" s="1"/>
  <c r="AF208" i="8" s="1"/>
  <c r="AF209" i="8" s="1"/>
  <c r="AF210" i="8" s="1"/>
  <c r="AF211" i="8" s="1"/>
  <c r="AF212" i="8" s="1"/>
  <c r="AF213" i="8" s="1"/>
  <c r="AF214" i="8" s="1"/>
  <c r="AF215" i="8" s="1"/>
  <c r="AF216" i="8" s="1"/>
  <c r="AF217" i="8" s="1"/>
  <c r="AF218" i="8" s="1"/>
  <c r="AF219" i="8" s="1"/>
  <c r="AF220" i="8" s="1"/>
  <c r="AF221" i="8" s="1"/>
  <c r="AF222" i="8" s="1"/>
  <c r="AF223" i="8" s="1"/>
  <c r="AF224" i="8" s="1"/>
  <c r="AF225" i="8" s="1"/>
  <c r="AF226" i="8" s="1"/>
  <c r="AF227" i="8" s="1"/>
  <c r="AF228" i="8" s="1"/>
  <c r="AF229" i="8" s="1"/>
  <c r="AF230" i="8" s="1"/>
  <c r="AF231" i="8" s="1"/>
  <c r="AF232" i="8" s="1"/>
  <c r="AF233" i="8" s="1"/>
  <c r="AF234" i="8" s="1"/>
  <c r="AF235" i="8" s="1"/>
  <c r="AF236" i="8" s="1"/>
  <c r="AF237" i="8" s="1"/>
  <c r="AF238" i="8" s="1"/>
  <c r="AF239" i="8" s="1"/>
  <c r="AF240" i="8" s="1"/>
  <c r="AF241" i="8" s="1"/>
  <c r="AF242" i="8" s="1"/>
  <c r="AF243" i="8" s="1"/>
  <c r="AF244" i="8" s="1"/>
  <c r="AF245" i="8" s="1"/>
  <c r="AF246" i="8" s="1"/>
  <c r="AF247" i="8" s="1"/>
  <c r="AF248" i="8" s="1"/>
  <c r="AF249" i="8" s="1"/>
  <c r="AC42" i="8"/>
  <c r="BU11" i="8"/>
  <c r="AC29" i="8"/>
  <c r="V28" i="8"/>
  <c r="BS26" i="8" s="1"/>
  <c r="BT26" i="8" s="1"/>
  <c r="BR27" i="8"/>
  <c r="V128" i="8"/>
  <c r="BS126" i="8" s="1"/>
  <c r="BT126" i="8" s="1"/>
  <c r="BR127" i="8"/>
  <c r="BS57" i="8"/>
  <c r="BT57" i="8" s="1"/>
  <c r="BR145" i="8"/>
  <c r="V146" i="8"/>
  <c r="BS10" i="8"/>
  <c r="BT10" i="8" s="1"/>
  <c r="V106" i="8"/>
  <c r="V81" i="8"/>
  <c r="BS79" i="8"/>
  <c r="BT79" i="8" s="1"/>
  <c r="BR80" i="8"/>
  <c r="AA159" i="8"/>
  <c r="AA160" i="8" s="1"/>
  <c r="AA161" i="8" s="1"/>
  <c r="AA162" i="8" s="1"/>
  <c r="AA163" i="8" s="1"/>
  <c r="BS22" i="6"/>
  <c r="BT22" i="6" s="1"/>
  <c r="BR24" i="6"/>
  <c r="BS7" i="6"/>
  <c r="BT7" i="6" s="1"/>
  <c r="BR9" i="6"/>
  <c r="Z62" i="6"/>
  <c r="AL38" i="6"/>
  <c r="AL39" i="6" s="1"/>
  <c r="AL40" i="6" s="1"/>
  <c r="AL41" i="6" s="1"/>
  <c r="AL42" i="6" s="1"/>
  <c r="AL43" i="6" s="1"/>
  <c r="AL44" i="6" s="1"/>
  <c r="AL45" i="6" s="1"/>
  <c r="AL46" i="6" s="1"/>
  <c r="AL47" i="6" s="1"/>
  <c r="AL48" i="6" s="1"/>
  <c r="AL49" i="6" s="1"/>
  <c r="AL50" i="6" s="1"/>
  <c r="AL51" i="6" s="1"/>
  <c r="AL52" i="6" s="1"/>
  <c r="AC37" i="6"/>
  <c r="AC38" i="6" s="1"/>
  <c r="AC25" i="6"/>
  <c r="BU7" i="6"/>
  <c r="V10" i="6"/>
  <c r="V25" i="6"/>
  <c r="BR25" i="6" s="1"/>
  <c r="V57" i="6"/>
  <c r="AM38" i="6"/>
  <c r="AM39" i="6" s="1"/>
  <c r="AM40" i="6" s="1"/>
  <c r="AM41" i="6" s="1"/>
  <c r="AM42" i="6" s="1"/>
  <c r="AM43" i="6" s="1"/>
  <c r="AM44" i="6" s="1"/>
  <c r="AM45" i="6" s="1"/>
  <c r="AM46" i="6" s="1"/>
  <c r="AM47" i="6" s="1"/>
  <c r="AM48" i="6" s="1"/>
  <c r="AM49" i="6" s="1"/>
  <c r="AM50" i="6" s="1"/>
  <c r="AM51" i="6" s="1"/>
  <c r="AM52" i="6" s="1"/>
  <c r="AR38" i="6"/>
  <c r="AR39" i="6" s="1"/>
  <c r="AR40" i="6" s="1"/>
  <c r="AR41" i="6" s="1"/>
  <c r="AR42" i="6" s="1"/>
  <c r="AR43" i="6" s="1"/>
  <c r="AR44" i="6" s="1"/>
  <c r="AR45" i="6" s="1"/>
  <c r="AR46" i="6" s="1"/>
  <c r="AR47" i="6" s="1"/>
  <c r="AR48" i="6" s="1"/>
  <c r="AR49" i="6" s="1"/>
  <c r="AR50" i="6" s="1"/>
  <c r="AR51" i="6" s="1"/>
  <c r="AR52" i="6" s="1"/>
  <c r="AD38" i="6"/>
  <c r="AD39" i="6" s="1"/>
  <c r="AD40" i="6" s="1"/>
  <c r="AD41" i="6" s="1"/>
  <c r="AD42" i="6" s="1"/>
  <c r="AD43" i="6" s="1"/>
  <c r="AD44" i="6" s="1"/>
  <c r="AD45" i="6" s="1"/>
  <c r="AD46" i="6" s="1"/>
  <c r="AD47" i="6" s="1"/>
  <c r="AD48" i="6" s="1"/>
  <c r="AD49" i="6" s="1"/>
  <c r="AD50" i="6" s="1"/>
  <c r="AD51" i="6" s="1"/>
  <c r="AD52" i="6" s="1"/>
  <c r="AP38" i="6"/>
  <c r="AP39" i="6" s="1"/>
  <c r="AP40" i="6" s="1"/>
  <c r="AP41" i="6" s="1"/>
  <c r="AP42" i="6" s="1"/>
  <c r="AP43" i="6" s="1"/>
  <c r="AP44" i="6" s="1"/>
  <c r="AP45" i="6" s="1"/>
  <c r="AP46" i="6" s="1"/>
  <c r="AP47" i="6" s="1"/>
  <c r="AP48" i="6" s="1"/>
  <c r="AP49" i="6" s="1"/>
  <c r="AP50" i="6" s="1"/>
  <c r="AP51" i="6" s="1"/>
  <c r="AP52" i="6" s="1"/>
  <c r="AH38" i="6"/>
  <c r="AH39" i="6" s="1"/>
  <c r="AH40" i="6" s="1"/>
  <c r="AH41" i="6" s="1"/>
  <c r="AH42" i="6" s="1"/>
  <c r="AH43" i="6" s="1"/>
  <c r="AH44" i="6" s="1"/>
  <c r="AH45" i="6" s="1"/>
  <c r="AH46" i="6" s="1"/>
  <c r="AH47" i="6" s="1"/>
  <c r="AH48" i="6" s="1"/>
  <c r="AH49" i="6" s="1"/>
  <c r="AH50" i="6" s="1"/>
  <c r="AH51" i="6" s="1"/>
  <c r="AH52" i="6" s="1"/>
  <c r="AF38" i="6"/>
  <c r="AF39" i="6" s="1"/>
  <c r="AF40" i="6" s="1"/>
  <c r="AF41" i="6" s="1"/>
  <c r="AF42" i="6" s="1"/>
  <c r="AF43" i="6" s="1"/>
  <c r="AF44" i="6" s="1"/>
  <c r="AF45" i="6" s="1"/>
  <c r="AF46" i="6" s="1"/>
  <c r="AF47" i="6" s="1"/>
  <c r="AF48" i="6" s="1"/>
  <c r="AF49" i="6" s="1"/>
  <c r="AF50" i="6" s="1"/>
  <c r="AF51" i="6" s="1"/>
  <c r="AF52" i="6" s="1"/>
  <c r="AE38" i="6"/>
  <c r="AE39" i="6" s="1"/>
  <c r="AE40" i="6" s="1"/>
  <c r="AE41" i="6" s="1"/>
  <c r="AE42" i="6" s="1"/>
  <c r="AE43" i="6" s="1"/>
  <c r="AE44" i="6" s="1"/>
  <c r="AE45" i="6" s="1"/>
  <c r="AE46" i="6" s="1"/>
  <c r="AE47" i="6" s="1"/>
  <c r="AE48" i="6" s="1"/>
  <c r="AE49" i="6" s="1"/>
  <c r="AE50" i="6" s="1"/>
  <c r="AE51" i="6" s="1"/>
  <c r="AE52" i="6" s="1"/>
  <c r="AN38" i="6"/>
  <c r="AN39" i="6" s="1"/>
  <c r="AN40" i="6" s="1"/>
  <c r="AN41" i="6" s="1"/>
  <c r="AN42" i="6" s="1"/>
  <c r="AN43" i="6" s="1"/>
  <c r="AN44" i="6" s="1"/>
  <c r="AN45" i="6" s="1"/>
  <c r="AN46" i="6" s="1"/>
  <c r="AN47" i="6" s="1"/>
  <c r="AN48" i="6" s="1"/>
  <c r="AN49" i="6" s="1"/>
  <c r="AN50" i="6" s="1"/>
  <c r="AN51" i="6" s="1"/>
  <c r="AN52" i="6" s="1"/>
  <c r="AQ52" i="6"/>
  <c r="H53" i="6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AJ38" i="6"/>
  <c r="AJ39" i="6" s="1"/>
  <c r="AJ40" i="6" s="1"/>
  <c r="AJ41" i="6" s="1"/>
  <c r="AJ42" i="6" s="1"/>
  <c r="AJ43" i="6" s="1"/>
  <c r="AJ44" i="6" s="1"/>
  <c r="AJ45" i="6" s="1"/>
  <c r="AJ46" i="6" s="1"/>
  <c r="AJ47" i="6" s="1"/>
  <c r="AJ48" i="6" s="1"/>
  <c r="AJ49" i="6" s="1"/>
  <c r="AJ50" i="6" s="1"/>
  <c r="AJ51" i="6" s="1"/>
  <c r="AJ52" i="6" s="1"/>
  <c r="AQ38" i="6"/>
  <c r="AQ39" i="6" s="1"/>
  <c r="AQ40" i="6" s="1"/>
  <c r="AQ41" i="6" s="1"/>
  <c r="AQ42" i="6" s="1"/>
  <c r="AQ43" i="6" s="1"/>
  <c r="AQ44" i="6" s="1"/>
  <c r="AQ45" i="6" s="1"/>
  <c r="AQ46" i="6" s="1"/>
  <c r="AQ47" i="6" s="1"/>
  <c r="AQ48" i="6" s="1"/>
  <c r="AQ49" i="6" s="1"/>
  <c r="AQ50" i="6" s="1"/>
  <c r="AG38" i="6"/>
  <c r="AG39" i="6" s="1"/>
  <c r="AG40" i="6" s="1"/>
  <c r="AG41" i="6" s="1"/>
  <c r="AG42" i="6" s="1"/>
  <c r="AG43" i="6" s="1"/>
  <c r="AG44" i="6" s="1"/>
  <c r="AG45" i="6" s="1"/>
  <c r="AG46" i="6" s="1"/>
  <c r="AG47" i="6" s="1"/>
  <c r="AG48" i="6" s="1"/>
  <c r="AG49" i="6" s="1"/>
  <c r="AG50" i="6" s="1"/>
  <c r="AG51" i="6" s="1"/>
  <c r="AG52" i="6" s="1"/>
  <c r="AK38" i="6"/>
  <c r="AK39" i="6" s="1"/>
  <c r="AK40" i="6" s="1"/>
  <c r="AK41" i="6" s="1"/>
  <c r="AK42" i="6" s="1"/>
  <c r="AK43" i="6" s="1"/>
  <c r="AK44" i="6" s="1"/>
  <c r="AK45" i="6" s="1"/>
  <c r="AK46" i="6" s="1"/>
  <c r="AK47" i="6" s="1"/>
  <c r="AK48" i="6" s="1"/>
  <c r="AK49" i="6" s="1"/>
  <c r="AK50" i="6" s="1"/>
  <c r="AK51" i="6" s="1"/>
  <c r="AK52" i="6" s="1"/>
  <c r="AK53" i="6" s="1"/>
  <c r="AK54" i="6" s="1"/>
  <c r="AK55" i="6" s="1"/>
  <c r="AK56" i="6" s="1"/>
  <c r="AK57" i="6" s="1"/>
  <c r="AK58" i="6" s="1"/>
  <c r="AK59" i="6" s="1"/>
  <c r="AK60" i="6" s="1"/>
  <c r="AK61" i="6" s="1"/>
  <c r="AK62" i="6" s="1"/>
  <c r="AK63" i="6" s="1"/>
  <c r="AK64" i="6" s="1"/>
  <c r="AK65" i="6" s="1"/>
  <c r="AK66" i="6" s="1"/>
  <c r="AK67" i="6" s="1"/>
  <c r="AK68" i="6" s="1"/>
  <c r="AK69" i="6" s="1"/>
  <c r="AK70" i="6" s="1"/>
  <c r="AK71" i="6" s="1"/>
  <c r="AK72" i="6" s="1"/>
  <c r="AK73" i="6" s="1"/>
  <c r="AK74" i="6" s="1"/>
  <c r="AK75" i="6" s="1"/>
  <c r="AK76" i="6" s="1"/>
  <c r="AK77" i="6" s="1"/>
  <c r="AK78" i="6" s="1"/>
  <c r="AK79" i="6" s="1"/>
  <c r="AK80" i="6" s="1"/>
  <c r="AK81" i="6" s="1"/>
  <c r="AK82" i="6" s="1"/>
  <c r="AK83" i="6" s="1"/>
  <c r="AK84" i="6" s="1"/>
  <c r="AK85" i="6" s="1"/>
  <c r="AK86" i="6" s="1"/>
  <c r="AK87" i="6" s="1"/>
  <c r="AK88" i="6" s="1"/>
  <c r="AK89" i="6" s="1"/>
  <c r="AK90" i="6" s="1"/>
  <c r="AK91" i="6" s="1"/>
  <c r="AK92" i="6" s="1"/>
  <c r="AK93" i="6" s="1"/>
  <c r="AK94" i="6" s="1"/>
  <c r="AK95" i="6" s="1"/>
  <c r="AK96" i="6" s="1"/>
  <c r="AK97" i="6" s="1"/>
  <c r="AK98" i="6" s="1"/>
  <c r="AK99" i="6" s="1"/>
  <c r="AK100" i="6" s="1"/>
  <c r="AK101" i="6" s="1"/>
  <c r="AK102" i="6" s="1"/>
  <c r="AI38" i="6"/>
  <c r="AI39" i="6" s="1"/>
  <c r="AI40" i="6" s="1"/>
  <c r="AI41" i="6" s="1"/>
  <c r="AI42" i="6" s="1"/>
  <c r="AI43" i="6" s="1"/>
  <c r="AI44" i="6" s="1"/>
  <c r="AI45" i="6" s="1"/>
  <c r="AI46" i="6" s="1"/>
  <c r="AI47" i="6" s="1"/>
  <c r="AI48" i="6" s="1"/>
  <c r="AI49" i="6" s="1"/>
  <c r="AI50" i="6" s="1"/>
  <c r="AI51" i="6" s="1"/>
  <c r="AI52" i="6" s="1"/>
  <c r="E7" i="6"/>
  <c r="D7" i="6"/>
  <c r="AQ19" i="9" l="1"/>
  <c r="DC18" i="9"/>
  <c r="DD17" i="9"/>
  <c r="DE17" i="9" s="1"/>
  <c r="AQ458" i="9"/>
  <c r="AQ440" i="9"/>
  <c r="BM450" i="9"/>
  <c r="BM451" i="9" s="1"/>
  <c r="BM452" i="9" s="1"/>
  <c r="BM453" i="9" s="1"/>
  <c r="BM454" i="9" s="1"/>
  <c r="BM455" i="9" s="1"/>
  <c r="BM456" i="9" s="1"/>
  <c r="BM457" i="9" s="1"/>
  <c r="BM458" i="9" s="1"/>
  <c r="BM459" i="9" s="1"/>
  <c r="BM460" i="9" s="1"/>
  <c r="BM461" i="9" s="1"/>
  <c r="BM462" i="9" s="1"/>
  <c r="BM463" i="9" s="1"/>
  <c r="BM464" i="9" s="1"/>
  <c r="BM465" i="9" s="1"/>
  <c r="BM466" i="9" s="1"/>
  <c r="BM467" i="9" s="1"/>
  <c r="BM468" i="9" s="1"/>
  <c r="BM469" i="9" s="1"/>
  <c r="BM470" i="9" s="1"/>
  <c r="BM471" i="9" s="1"/>
  <c r="BM472" i="9" s="1"/>
  <c r="BM473" i="9" s="1"/>
  <c r="BM474" i="9" s="1"/>
  <c r="BM475" i="9" s="1"/>
  <c r="BM476" i="9" s="1"/>
  <c r="BM477" i="9" s="1"/>
  <c r="BM478" i="9" s="1"/>
  <c r="BM479" i="9" s="1"/>
  <c r="BM480" i="9" s="1"/>
  <c r="BM481" i="9" s="1"/>
  <c r="BM482" i="9" s="1"/>
  <c r="BM483" i="9" s="1"/>
  <c r="BM484" i="9" s="1"/>
  <c r="BM485" i="9" s="1"/>
  <c r="BM486" i="9" s="1"/>
  <c r="BM487" i="9" s="1"/>
  <c r="BM488" i="9" s="1"/>
  <c r="BM489" i="9" s="1"/>
  <c r="BM490" i="9" s="1"/>
  <c r="BM491" i="9" s="1"/>
  <c r="BM492" i="9" s="1"/>
  <c r="BM493" i="9" s="1"/>
  <c r="BM494" i="9" s="1"/>
  <c r="BM495" i="9" s="1"/>
  <c r="BM496" i="9" s="1"/>
  <c r="BM497" i="9" s="1"/>
  <c r="BM498" i="9" s="1"/>
  <c r="BM499" i="9" s="1"/>
  <c r="BM500" i="9" s="1"/>
  <c r="BM501" i="9" s="1"/>
  <c r="BM502" i="9" s="1"/>
  <c r="BM503" i="9" s="1"/>
  <c r="BM504" i="9" s="1"/>
  <c r="BM505" i="9" s="1"/>
  <c r="BM506" i="9" s="1"/>
  <c r="BM507" i="9" s="1"/>
  <c r="BM508" i="9" s="1"/>
  <c r="BM509" i="9" s="1"/>
  <c r="BM510" i="9" s="1"/>
  <c r="BM511" i="9" s="1"/>
  <c r="BM512" i="9" s="1"/>
  <c r="BM513" i="9" s="1"/>
  <c r="BM514" i="9" s="1"/>
  <c r="BM515" i="9" s="1"/>
  <c r="BM516" i="9" s="1"/>
  <c r="BM517" i="9" s="1"/>
  <c r="BM518" i="9" s="1"/>
  <c r="BM519" i="9" s="1"/>
  <c r="BM520" i="9" s="1"/>
  <c r="BM521" i="9" s="1"/>
  <c r="BM522" i="9" s="1"/>
  <c r="BM523" i="9" s="1"/>
  <c r="BM524" i="9" s="1"/>
  <c r="BM525" i="9" s="1"/>
  <c r="BM526" i="9" s="1"/>
  <c r="BM527" i="9" s="1"/>
  <c r="BM528" i="9" s="1"/>
  <c r="BM529" i="9" s="1"/>
  <c r="BM530" i="9" s="1"/>
  <c r="BM531" i="9" s="1"/>
  <c r="BM532" i="9" s="1"/>
  <c r="BM533" i="9" s="1"/>
  <c r="BM534" i="9" s="1"/>
  <c r="BM535" i="9" s="1"/>
  <c r="BM536" i="9" s="1"/>
  <c r="BM537" i="9" s="1"/>
  <c r="BM538" i="9" s="1"/>
  <c r="BM539" i="9" s="1"/>
  <c r="BM540" i="9" s="1"/>
  <c r="BM541" i="9" s="1"/>
  <c r="BM542" i="9" s="1"/>
  <c r="BM543" i="9" s="1"/>
  <c r="BM544" i="9" s="1"/>
  <c r="BM545" i="9" s="1"/>
  <c r="BM546" i="9" s="1"/>
  <c r="BM547" i="9" s="1"/>
  <c r="BM548" i="9" s="1"/>
  <c r="BM549" i="9" s="1"/>
  <c r="BM550" i="9" s="1"/>
  <c r="BM551" i="9" s="1"/>
  <c r="BM552" i="9" s="1"/>
  <c r="BM553" i="9" s="1"/>
  <c r="BM554" i="9" s="1"/>
  <c r="BM555" i="9" s="1"/>
  <c r="BM556" i="9" s="1"/>
  <c r="BM557" i="9" s="1"/>
  <c r="BM558" i="9" s="1"/>
  <c r="BM559" i="9" s="1"/>
  <c r="BM560" i="9" s="1"/>
  <c r="BM561" i="9" s="1"/>
  <c r="BM562" i="9" s="1"/>
  <c r="BM563" i="9" s="1"/>
  <c r="BM564" i="9" s="1"/>
  <c r="BM565" i="9" s="1"/>
  <c r="BM566" i="9" s="1"/>
  <c r="BM567" i="9" s="1"/>
  <c r="BM568" i="9" s="1"/>
  <c r="BM569" i="9" s="1"/>
  <c r="BM570" i="9" s="1"/>
  <c r="BM571" i="9" s="1"/>
  <c r="BM572" i="9" s="1"/>
  <c r="BM573" i="9" s="1"/>
  <c r="BM574" i="9" s="1"/>
  <c r="BM575" i="9" s="1"/>
  <c r="BM576" i="9" s="1"/>
  <c r="BM577" i="9" s="1"/>
  <c r="BM578" i="9" s="1"/>
  <c r="BM579" i="9" s="1"/>
  <c r="BM580" i="9" s="1"/>
  <c r="BM581" i="9" s="1"/>
  <c r="BM582" i="9" s="1"/>
  <c r="BM583" i="9" s="1"/>
  <c r="BM584" i="9" s="1"/>
  <c r="BM585" i="9" s="1"/>
  <c r="BM586" i="9" s="1"/>
  <c r="BM587" i="9" s="1"/>
  <c r="BM588" i="9" s="1"/>
  <c r="BM589" i="9" s="1"/>
  <c r="BM590" i="9" s="1"/>
  <c r="BM591" i="9" s="1"/>
  <c r="BM592" i="9" s="1"/>
  <c r="BM593" i="9" s="1"/>
  <c r="BM594" i="9" s="1"/>
  <c r="BM595" i="9" s="1"/>
  <c r="BM596" i="9" s="1"/>
  <c r="BM597" i="9" s="1"/>
  <c r="BM598" i="9" s="1"/>
  <c r="BM599" i="9" s="1"/>
  <c r="BM600" i="9" s="1"/>
  <c r="BM601" i="9" s="1"/>
  <c r="BM602" i="9" s="1"/>
  <c r="BM603" i="9" s="1"/>
  <c r="BM604" i="9" s="1"/>
  <c r="BM605" i="9" s="1"/>
  <c r="BM606" i="9" s="1"/>
  <c r="BM607" i="9" s="1"/>
  <c r="BM608" i="9" s="1"/>
  <c r="BM609" i="9" s="1"/>
  <c r="BM610" i="9" s="1"/>
  <c r="BM611" i="9" s="1"/>
  <c r="BM612" i="9" s="1"/>
  <c r="BM613" i="9" s="1"/>
  <c r="BM614" i="9" s="1"/>
  <c r="BM615" i="9" s="1"/>
  <c r="BM616" i="9" s="1"/>
  <c r="BM617" i="9" s="1"/>
  <c r="BM618" i="9" s="1"/>
  <c r="BM619" i="9" s="1"/>
  <c r="BM620" i="9" s="1"/>
  <c r="BM621" i="9" s="1"/>
  <c r="BM622" i="9" s="1"/>
  <c r="BM623" i="9" s="1"/>
  <c r="BM624" i="9" s="1"/>
  <c r="BM625" i="9" s="1"/>
  <c r="BM626" i="9" s="1"/>
  <c r="BM627" i="9" s="1"/>
  <c r="BM628" i="9" s="1"/>
  <c r="BM629" i="9" s="1"/>
  <c r="BM630" i="9" s="1"/>
  <c r="BM631" i="9" s="1"/>
  <c r="BM632" i="9" s="1"/>
  <c r="BM633" i="9" s="1"/>
  <c r="BM634" i="9" s="1"/>
  <c r="BM635" i="9" s="1"/>
  <c r="BM636" i="9" s="1"/>
  <c r="BM637" i="9" s="1"/>
  <c r="BM638" i="9" s="1"/>
  <c r="BM639" i="9" s="1"/>
  <c r="BM640" i="9" s="1"/>
  <c r="BM641" i="9" s="1"/>
  <c r="BM642" i="9" s="1"/>
  <c r="BM643" i="9" s="1"/>
  <c r="BM644" i="9" s="1"/>
  <c r="BM645" i="9" s="1"/>
  <c r="BM646" i="9" s="1"/>
  <c r="BM647" i="9" s="1"/>
  <c r="BM648" i="9" s="1"/>
  <c r="BM649" i="9" s="1"/>
  <c r="BM650" i="9" s="1"/>
  <c r="BM651" i="9" s="1"/>
  <c r="BM652" i="9" s="1"/>
  <c r="BM653" i="9" s="1"/>
  <c r="BM654" i="9" s="1"/>
  <c r="BM655" i="9" s="1"/>
  <c r="BM656" i="9" s="1"/>
  <c r="BM657" i="9" s="1"/>
  <c r="BM658" i="9" s="1"/>
  <c r="BM659" i="9" s="1"/>
  <c r="BM660" i="9" s="1"/>
  <c r="BM661" i="9" s="1"/>
  <c r="BM662" i="9" s="1"/>
  <c r="BM663" i="9" s="1"/>
  <c r="BM664" i="9" s="1"/>
  <c r="BM665" i="9" s="1"/>
  <c r="BM666" i="9" s="1"/>
  <c r="BM667" i="9" s="1"/>
  <c r="BM668" i="9" s="1"/>
  <c r="BM669" i="9" s="1"/>
  <c r="BM670" i="9" s="1"/>
  <c r="BM671" i="9" s="1"/>
  <c r="BM672" i="9" s="1"/>
  <c r="BM673" i="9" s="1"/>
  <c r="BM674" i="9" s="1"/>
  <c r="BM675" i="9" s="1"/>
  <c r="BM676" i="9" s="1"/>
  <c r="BM677" i="9" s="1"/>
  <c r="BM678" i="9" s="1"/>
  <c r="BM679" i="9" s="1"/>
  <c r="BM680" i="9" s="1"/>
  <c r="BM681" i="9" s="1"/>
  <c r="BM682" i="9" s="1"/>
  <c r="BM683" i="9" s="1"/>
  <c r="BM684" i="9" s="1"/>
  <c r="BM685" i="9" s="1"/>
  <c r="DD16" i="9"/>
  <c r="DE16" i="9" s="1"/>
  <c r="AQ348" i="9"/>
  <c r="AS32" i="9"/>
  <c r="DF17" i="9" s="1"/>
  <c r="Z164" i="8"/>
  <c r="Z165" i="8" s="1"/>
  <c r="Z166" i="8" s="1"/>
  <c r="Z167" i="8" s="1"/>
  <c r="Z168" i="8" s="1"/>
  <c r="Z169" i="8" s="1"/>
  <c r="Z170" i="8" s="1"/>
  <c r="AA164" i="8"/>
  <c r="AA165" i="8" s="1"/>
  <c r="AA166" i="8" s="1"/>
  <c r="AA167" i="8" s="1"/>
  <c r="AA168" i="8" s="1"/>
  <c r="AA169" i="8" s="1"/>
  <c r="AA170" i="8" s="1"/>
  <c r="Y164" i="8"/>
  <c r="Y165" i="8" s="1"/>
  <c r="Y166" i="8" s="1"/>
  <c r="Y167" i="8" s="1"/>
  <c r="W164" i="8"/>
  <c r="W165" i="8" s="1"/>
  <c r="W166" i="8" s="1"/>
  <c r="W167" i="8" s="1"/>
  <c r="W168" i="8" s="1"/>
  <c r="W169" i="8" s="1"/>
  <c r="W170" i="8" s="1"/>
  <c r="D15" i="9"/>
  <c r="E15" i="9"/>
  <c r="AC43" i="8"/>
  <c r="B10" i="8"/>
  <c r="F9" i="8"/>
  <c r="AC71" i="8"/>
  <c r="V14" i="8"/>
  <c r="V82" i="8"/>
  <c r="BR81" i="8"/>
  <c r="BR128" i="8"/>
  <c r="V129" i="8"/>
  <c r="BS127" i="8" s="1"/>
  <c r="BT127" i="8" s="1"/>
  <c r="AC30" i="8"/>
  <c r="BU12" i="8"/>
  <c r="BR163" i="8"/>
  <c r="V164" i="8"/>
  <c r="BS162" i="8" s="1"/>
  <c r="BT162" i="8" s="1"/>
  <c r="V61" i="8"/>
  <c r="AC151" i="8"/>
  <c r="Y170" i="8"/>
  <c r="G170" i="8"/>
  <c r="G171" i="8" s="1"/>
  <c r="G172" i="8" s="1"/>
  <c r="G173" i="8" s="1"/>
  <c r="G174" i="8" s="1"/>
  <c r="X164" i="8"/>
  <c r="X165" i="8" s="1"/>
  <c r="X166" i="8" s="1"/>
  <c r="X167" i="8" s="1"/>
  <c r="X168" i="8" s="1"/>
  <c r="BR106" i="8"/>
  <c r="V107" i="8"/>
  <c r="BS105" i="8" s="1"/>
  <c r="BT105" i="8" s="1"/>
  <c r="V147" i="8"/>
  <c r="BR28" i="8"/>
  <c r="V29" i="8"/>
  <c r="W171" i="8"/>
  <c r="W172" i="8" s="1"/>
  <c r="W173" i="8" s="1"/>
  <c r="BS8" i="6"/>
  <c r="BT8" i="6" s="1"/>
  <c r="BR10" i="6"/>
  <c r="BS23" i="6"/>
  <c r="BT23" i="6" s="1"/>
  <c r="Z63" i="6"/>
  <c r="AC26" i="6"/>
  <c r="BU8" i="6"/>
  <c r="AC39" i="6"/>
  <c r="V26" i="6"/>
  <c r="V58" i="6"/>
  <c r="V11" i="6"/>
  <c r="AG53" i="6"/>
  <c r="AG54" i="6" s="1"/>
  <c r="AG55" i="6" s="1"/>
  <c r="AG56" i="6" s="1"/>
  <c r="AG57" i="6" s="1"/>
  <c r="AG58" i="6" s="1"/>
  <c r="AG59" i="6" s="1"/>
  <c r="AG60" i="6" s="1"/>
  <c r="AG61" i="6" s="1"/>
  <c r="AG62" i="6" s="1"/>
  <c r="AG63" i="6" s="1"/>
  <c r="AG64" i="6" s="1"/>
  <c r="AG65" i="6" s="1"/>
  <c r="AG66" i="6" s="1"/>
  <c r="AG67" i="6" s="1"/>
  <c r="AG68" i="6" s="1"/>
  <c r="AG69" i="6" s="1"/>
  <c r="AG70" i="6" s="1"/>
  <c r="AG71" i="6" s="1"/>
  <c r="AG72" i="6" s="1"/>
  <c r="AG73" i="6" s="1"/>
  <c r="AG74" i="6" s="1"/>
  <c r="AG75" i="6" s="1"/>
  <c r="AG76" i="6" s="1"/>
  <c r="AG77" i="6" s="1"/>
  <c r="AG78" i="6" s="1"/>
  <c r="AG79" i="6" s="1"/>
  <c r="AG80" i="6" s="1"/>
  <c r="AJ53" i="6"/>
  <c r="AJ54" i="6" s="1"/>
  <c r="AJ55" i="6" s="1"/>
  <c r="AJ56" i="6" s="1"/>
  <c r="AJ57" i="6" s="1"/>
  <c r="AJ58" i="6" s="1"/>
  <c r="AJ59" i="6" s="1"/>
  <c r="AJ60" i="6" s="1"/>
  <c r="AJ61" i="6" s="1"/>
  <c r="AJ62" i="6" s="1"/>
  <c r="AJ63" i="6" s="1"/>
  <c r="AJ64" i="6" s="1"/>
  <c r="AJ65" i="6" s="1"/>
  <c r="AJ66" i="6" s="1"/>
  <c r="AJ67" i="6" s="1"/>
  <c r="AJ68" i="6" s="1"/>
  <c r="AJ69" i="6" s="1"/>
  <c r="AJ70" i="6" s="1"/>
  <c r="AJ71" i="6" s="1"/>
  <c r="AJ72" i="6" s="1"/>
  <c r="AJ73" i="6" s="1"/>
  <c r="AJ74" i="6" s="1"/>
  <c r="AJ75" i="6" s="1"/>
  <c r="AJ76" i="6" s="1"/>
  <c r="AJ77" i="6" s="1"/>
  <c r="AJ78" i="6" s="1"/>
  <c r="AJ79" i="6" s="1"/>
  <c r="AJ80" i="6" s="1"/>
  <c r="AJ81" i="6" s="1"/>
  <c r="AJ82" i="6" s="1"/>
  <c r="AJ83" i="6" s="1"/>
  <c r="AJ84" i="6" s="1"/>
  <c r="AJ85" i="6" s="1"/>
  <c r="AJ86" i="6" s="1"/>
  <c r="AJ87" i="6" s="1"/>
  <c r="AJ88" i="6" s="1"/>
  <c r="AJ89" i="6" s="1"/>
  <c r="AJ90" i="6" s="1"/>
  <c r="AJ91" i="6" s="1"/>
  <c r="AJ92" i="6" s="1"/>
  <c r="AJ93" i="6" s="1"/>
  <c r="AJ94" i="6" s="1"/>
  <c r="AJ95" i="6" s="1"/>
  <c r="AJ96" i="6" s="1"/>
  <c r="AJ97" i="6" s="1"/>
  <c r="AI53" i="6"/>
  <c r="AI54" i="6" s="1"/>
  <c r="AI55" i="6" s="1"/>
  <c r="AI56" i="6" s="1"/>
  <c r="AI57" i="6" s="1"/>
  <c r="AI58" i="6" s="1"/>
  <c r="AI59" i="6" s="1"/>
  <c r="AI60" i="6" s="1"/>
  <c r="AI61" i="6" s="1"/>
  <c r="AI62" i="6" s="1"/>
  <c r="AI63" i="6" s="1"/>
  <c r="AI64" i="6" s="1"/>
  <c r="AI65" i="6" s="1"/>
  <c r="AI66" i="6" s="1"/>
  <c r="AI67" i="6" s="1"/>
  <c r="AI68" i="6" s="1"/>
  <c r="AI69" i="6" s="1"/>
  <c r="AI70" i="6" s="1"/>
  <c r="AI71" i="6" s="1"/>
  <c r="AI72" i="6" s="1"/>
  <c r="AI73" i="6" s="1"/>
  <c r="AI74" i="6" s="1"/>
  <c r="AI75" i="6" s="1"/>
  <c r="AI76" i="6" s="1"/>
  <c r="AI77" i="6" s="1"/>
  <c r="AI78" i="6" s="1"/>
  <c r="AI79" i="6" s="1"/>
  <c r="AI80" i="6" s="1"/>
  <c r="AI81" i="6" s="1"/>
  <c r="AI82" i="6" s="1"/>
  <c r="AI83" i="6" s="1"/>
  <c r="AI84" i="6" s="1"/>
  <c r="AI85" i="6" s="1"/>
  <c r="AI86" i="6" s="1"/>
  <c r="AI87" i="6" s="1"/>
  <c r="AI88" i="6" s="1"/>
  <c r="AF53" i="6"/>
  <c r="AF54" i="6" s="1"/>
  <c r="AF55" i="6" s="1"/>
  <c r="AF56" i="6" s="1"/>
  <c r="AF57" i="6" s="1"/>
  <c r="AF58" i="6" s="1"/>
  <c r="AF59" i="6" s="1"/>
  <c r="AF60" i="6" s="1"/>
  <c r="AF61" i="6" s="1"/>
  <c r="AF62" i="6" s="1"/>
  <c r="AF63" i="6" s="1"/>
  <c r="AF64" i="6" s="1"/>
  <c r="AF65" i="6" s="1"/>
  <c r="AF66" i="6" s="1"/>
  <c r="AF67" i="6" s="1"/>
  <c r="AF68" i="6" s="1"/>
  <c r="AF69" i="6" s="1"/>
  <c r="AF70" i="6" s="1"/>
  <c r="AF71" i="6" s="1"/>
  <c r="AF72" i="6" s="1"/>
  <c r="AF73" i="6" s="1"/>
  <c r="AF74" i="6" s="1"/>
  <c r="AF75" i="6" s="1"/>
  <c r="AF76" i="6" s="1"/>
  <c r="AD53" i="6"/>
  <c r="AD54" i="6" s="1"/>
  <c r="AD55" i="6" s="1"/>
  <c r="AD56" i="6" s="1"/>
  <c r="AD57" i="6" s="1"/>
  <c r="AD58" i="6" s="1"/>
  <c r="AD59" i="6" s="1"/>
  <c r="AD60" i="6" s="1"/>
  <c r="AD61" i="6" s="1"/>
  <c r="AD62" i="6" s="1"/>
  <c r="AD63" i="6" s="1"/>
  <c r="AD64" i="6" s="1"/>
  <c r="AD65" i="6" s="1"/>
  <c r="AD66" i="6" s="1"/>
  <c r="AD67" i="6" s="1"/>
  <c r="AH53" i="6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Q53" i="6"/>
  <c r="AQ54" i="6" s="1"/>
  <c r="AE53" i="6"/>
  <c r="AE54" i="6" s="1"/>
  <c r="AL53" i="6"/>
  <c r="AL54" i="6" s="1"/>
  <c r="AL55" i="6" s="1"/>
  <c r="AL56" i="6" s="1"/>
  <c r="AL57" i="6" s="1"/>
  <c r="AL58" i="6" s="1"/>
  <c r="AL59" i="6" s="1"/>
  <c r="AL60" i="6" s="1"/>
  <c r="AL61" i="6" s="1"/>
  <c r="AL62" i="6" s="1"/>
  <c r="AL63" i="6" s="1"/>
  <c r="AL64" i="6" s="1"/>
  <c r="AL65" i="6" s="1"/>
  <c r="AL66" i="6" s="1"/>
  <c r="AL67" i="6" s="1"/>
  <c r="AL68" i="6" s="1"/>
  <c r="AL69" i="6" s="1"/>
  <c r="AL70" i="6" s="1"/>
  <c r="AL71" i="6" s="1"/>
  <c r="AL72" i="6" s="1"/>
  <c r="AL73" i="6" s="1"/>
  <c r="AL74" i="6" s="1"/>
  <c r="AL75" i="6" s="1"/>
  <c r="AL76" i="6" s="1"/>
  <c r="AL77" i="6" s="1"/>
  <c r="AL78" i="6" s="1"/>
  <c r="AL79" i="6" s="1"/>
  <c r="AL80" i="6" s="1"/>
  <c r="AL81" i="6" s="1"/>
  <c r="AL82" i="6" s="1"/>
  <c r="AL83" i="6" s="1"/>
  <c r="AL84" i="6" s="1"/>
  <c r="AL85" i="6" s="1"/>
  <c r="AL86" i="6" s="1"/>
  <c r="AL87" i="6" s="1"/>
  <c r="AL88" i="6" s="1"/>
  <c r="AL89" i="6" s="1"/>
  <c r="AL90" i="6" s="1"/>
  <c r="AL91" i="6" s="1"/>
  <c r="AL92" i="6" s="1"/>
  <c r="AL93" i="6" s="1"/>
  <c r="AL94" i="6" s="1"/>
  <c r="AL95" i="6" s="1"/>
  <c r="AL96" i="6" s="1"/>
  <c r="AL97" i="6" s="1"/>
  <c r="AL98" i="6" s="1"/>
  <c r="AL99" i="6" s="1"/>
  <c r="AL100" i="6" s="1"/>
  <c r="AL101" i="6" s="1"/>
  <c r="AL102" i="6" s="1"/>
  <c r="AL103" i="6" s="1"/>
  <c r="AL104" i="6" s="1"/>
  <c r="AL105" i="6" s="1"/>
  <c r="AL106" i="6" s="1"/>
  <c r="AL107" i="6" s="1"/>
  <c r="AP53" i="6"/>
  <c r="AP54" i="6" s="1"/>
  <c r="AP55" i="6" s="1"/>
  <c r="AP56" i="6" s="1"/>
  <c r="AP57" i="6" s="1"/>
  <c r="AP58" i="6" s="1"/>
  <c r="AP59" i="6" s="1"/>
  <c r="AP60" i="6" s="1"/>
  <c r="AP61" i="6" s="1"/>
  <c r="AP62" i="6" s="1"/>
  <c r="AP63" i="6" s="1"/>
  <c r="AP64" i="6" s="1"/>
  <c r="AP65" i="6" s="1"/>
  <c r="AP66" i="6" s="1"/>
  <c r="AP67" i="6" s="1"/>
  <c r="AP68" i="6" s="1"/>
  <c r="AP69" i="6" s="1"/>
  <c r="AP70" i="6" s="1"/>
  <c r="AP71" i="6" s="1"/>
  <c r="AP72" i="6" s="1"/>
  <c r="AP73" i="6" s="1"/>
  <c r="AP74" i="6" s="1"/>
  <c r="AP75" i="6" s="1"/>
  <c r="AP76" i="6" s="1"/>
  <c r="AP77" i="6" s="1"/>
  <c r="AP78" i="6" s="1"/>
  <c r="AP79" i="6" s="1"/>
  <c r="AP80" i="6" s="1"/>
  <c r="AP81" i="6" s="1"/>
  <c r="AP82" i="6" s="1"/>
  <c r="AP83" i="6" s="1"/>
  <c r="AP84" i="6" s="1"/>
  <c r="AP85" i="6" s="1"/>
  <c r="AP86" i="6" s="1"/>
  <c r="AP87" i="6" s="1"/>
  <c r="AP88" i="6" s="1"/>
  <c r="AP89" i="6" s="1"/>
  <c r="AP90" i="6" s="1"/>
  <c r="AP91" i="6" s="1"/>
  <c r="AP92" i="6" s="1"/>
  <c r="AP93" i="6" s="1"/>
  <c r="AP94" i="6" s="1"/>
  <c r="AP95" i="6" s="1"/>
  <c r="AP96" i="6" s="1"/>
  <c r="AP97" i="6" s="1"/>
  <c r="AP98" i="6" s="1"/>
  <c r="AP99" i="6" s="1"/>
  <c r="AP100" i="6" s="1"/>
  <c r="AP101" i="6" s="1"/>
  <c r="AP102" i="6" s="1"/>
  <c r="AP103" i="6" s="1"/>
  <c r="AP104" i="6" s="1"/>
  <c r="AP105" i="6" s="1"/>
  <c r="AP106" i="6" s="1"/>
  <c r="AP107" i="6" s="1"/>
  <c r="AP108" i="6" s="1"/>
  <c r="AP109" i="6" s="1"/>
  <c r="AP110" i="6" s="1"/>
  <c r="AP111" i="6" s="1"/>
  <c r="AP112" i="6" s="1"/>
  <c r="AP113" i="6" s="1"/>
  <c r="AP114" i="6" s="1"/>
  <c r="AP115" i="6" s="1"/>
  <c r="AP116" i="6" s="1"/>
  <c r="AP117" i="6" s="1"/>
  <c r="AR53" i="6"/>
  <c r="AR54" i="6" s="1"/>
  <c r="AN53" i="6"/>
  <c r="AN54" i="6" s="1"/>
  <c r="AN55" i="6" s="1"/>
  <c r="AN56" i="6" s="1"/>
  <c r="AN57" i="6" s="1"/>
  <c r="AN58" i="6" s="1"/>
  <c r="AN59" i="6" s="1"/>
  <c r="AN60" i="6" s="1"/>
  <c r="AN61" i="6" s="1"/>
  <c r="AN62" i="6" s="1"/>
  <c r="AN63" i="6" s="1"/>
  <c r="AN64" i="6" s="1"/>
  <c r="AN65" i="6" s="1"/>
  <c r="AN66" i="6" s="1"/>
  <c r="AN67" i="6" s="1"/>
  <c r="AN68" i="6" s="1"/>
  <c r="AN69" i="6" s="1"/>
  <c r="AN70" i="6" s="1"/>
  <c r="AN71" i="6" s="1"/>
  <c r="AN72" i="6" s="1"/>
  <c r="AN73" i="6" s="1"/>
  <c r="AN74" i="6" s="1"/>
  <c r="AN75" i="6" s="1"/>
  <c r="AN76" i="6" s="1"/>
  <c r="AN77" i="6" s="1"/>
  <c r="AN78" i="6" s="1"/>
  <c r="AN79" i="6" s="1"/>
  <c r="AN80" i="6" s="1"/>
  <c r="AN81" i="6" s="1"/>
  <c r="AN82" i="6" s="1"/>
  <c r="AN83" i="6" s="1"/>
  <c r="AN84" i="6" s="1"/>
  <c r="AN85" i="6" s="1"/>
  <c r="AN86" i="6" s="1"/>
  <c r="AN87" i="6" s="1"/>
  <c r="AN88" i="6" s="1"/>
  <c r="AN89" i="6" s="1"/>
  <c r="AN90" i="6" s="1"/>
  <c r="AN91" i="6" s="1"/>
  <c r="AN92" i="6" s="1"/>
  <c r="AN93" i="6" s="1"/>
  <c r="AN94" i="6" s="1"/>
  <c r="AN95" i="6" s="1"/>
  <c r="AN96" i="6" s="1"/>
  <c r="AN97" i="6" s="1"/>
  <c r="AN98" i="6" s="1"/>
  <c r="AN99" i="6" s="1"/>
  <c r="AN100" i="6" s="1"/>
  <c r="AN101" i="6" s="1"/>
  <c r="AN102" i="6" s="1"/>
  <c r="AN103" i="6" s="1"/>
  <c r="AN104" i="6" s="1"/>
  <c r="AN105" i="6" s="1"/>
  <c r="AN106" i="6" s="1"/>
  <c r="AN107" i="6" s="1"/>
  <c r="AN108" i="6" s="1"/>
  <c r="AN109" i="6" s="1"/>
  <c r="AN110" i="6" s="1"/>
  <c r="AN111" i="6" s="1"/>
  <c r="AN112" i="6" s="1"/>
  <c r="AN113" i="6" s="1"/>
  <c r="AN114" i="6" s="1"/>
  <c r="AN115" i="6" s="1"/>
  <c r="AN116" i="6" s="1"/>
  <c r="AN117" i="6" s="1"/>
  <c r="AM53" i="6"/>
  <c r="AM54" i="6" s="1"/>
  <c r="AM55" i="6" s="1"/>
  <c r="AM56" i="6" s="1"/>
  <c r="AM57" i="6" s="1"/>
  <c r="AM58" i="6" s="1"/>
  <c r="AM59" i="6" s="1"/>
  <c r="AM60" i="6" s="1"/>
  <c r="AM61" i="6" s="1"/>
  <c r="AM62" i="6" s="1"/>
  <c r="AM63" i="6" s="1"/>
  <c r="AM64" i="6" s="1"/>
  <c r="AM65" i="6" s="1"/>
  <c r="AM66" i="6" s="1"/>
  <c r="AM67" i="6" s="1"/>
  <c r="AM68" i="6" s="1"/>
  <c r="AM69" i="6" s="1"/>
  <c r="AM70" i="6" s="1"/>
  <c r="AM71" i="6" s="1"/>
  <c r="AM72" i="6" s="1"/>
  <c r="AM73" i="6" s="1"/>
  <c r="AM74" i="6" s="1"/>
  <c r="AM75" i="6" s="1"/>
  <c r="AM76" i="6" s="1"/>
  <c r="AM77" i="6" s="1"/>
  <c r="AM78" i="6" s="1"/>
  <c r="AM79" i="6" s="1"/>
  <c r="AM80" i="6" s="1"/>
  <c r="AM81" i="6" s="1"/>
  <c r="AM82" i="6" s="1"/>
  <c r="AM83" i="6" s="1"/>
  <c r="AM84" i="6" s="1"/>
  <c r="AM85" i="6" s="1"/>
  <c r="AM86" i="6" s="1"/>
  <c r="AM87" i="6" s="1"/>
  <c r="AM88" i="6" s="1"/>
  <c r="AM89" i="6" s="1"/>
  <c r="AM90" i="6" s="1"/>
  <c r="AM91" i="6" s="1"/>
  <c r="AM92" i="6" s="1"/>
  <c r="AM93" i="6" s="1"/>
  <c r="AM94" i="6" s="1"/>
  <c r="AM95" i="6" s="1"/>
  <c r="AM96" i="6" s="1"/>
  <c r="AM97" i="6" s="1"/>
  <c r="AM98" i="6" s="1"/>
  <c r="AM99" i="6" s="1"/>
  <c r="AM100" i="6" s="1"/>
  <c r="AM101" i="6" s="1"/>
  <c r="AM102" i="6" s="1"/>
  <c r="AM103" i="6" s="1"/>
  <c r="AM104" i="6" s="1"/>
  <c r="AM105" i="6" s="1"/>
  <c r="AM106" i="6" s="1"/>
  <c r="AM107" i="6" s="1"/>
  <c r="AM108" i="6" s="1"/>
  <c r="AM109" i="6" s="1"/>
  <c r="AM110" i="6" s="1"/>
  <c r="AM111" i="6" s="1"/>
  <c r="AM112" i="6" s="1"/>
  <c r="B8" i="6"/>
  <c r="F7" i="6"/>
  <c r="H118" i="6"/>
  <c r="H119" i="6" s="1"/>
  <c r="H120" i="6" s="1"/>
  <c r="H121" i="6" s="1"/>
  <c r="H122" i="6" s="1"/>
  <c r="AQ441" i="9" l="1"/>
  <c r="AQ349" i="9"/>
  <c r="AQ459" i="9"/>
  <c r="BO458" i="9"/>
  <c r="BO459" i="9" s="1"/>
  <c r="BO460" i="9" s="1"/>
  <c r="BO461" i="9" s="1"/>
  <c r="BO462" i="9" s="1"/>
  <c r="BO463" i="9" s="1"/>
  <c r="BO464" i="9" s="1"/>
  <c r="BO465" i="9" s="1"/>
  <c r="BO466" i="9" s="1"/>
  <c r="BO467" i="9" s="1"/>
  <c r="BO468" i="9" s="1"/>
  <c r="BO469" i="9" s="1"/>
  <c r="BO470" i="9" s="1"/>
  <c r="BO471" i="9" s="1"/>
  <c r="BO472" i="9" s="1"/>
  <c r="BO473" i="9" s="1"/>
  <c r="BO474" i="9" s="1"/>
  <c r="BO475" i="9" s="1"/>
  <c r="BO476" i="9" s="1"/>
  <c r="BO477" i="9" s="1"/>
  <c r="BO478" i="9" s="1"/>
  <c r="BO479" i="9" s="1"/>
  <c r="BO480" i="9" s="1"/>
  <c r="BO481" i="9" s="1"/>
  <c r="BO482" i="9" s="1"/>
  <c r="BO483" i="9" s="1"/>
  <c r="BO484" i="9" s="1"/>
  <c r="BO485" i="9" s="1"/>
  <c r="BO486" i="9" s="1"/>
  <c r="BO487" i="9" s="1"/>
  <c r="BO488" i="9" s="1"/>
  <c r="BO489" i="9" s="1"/>
  <c r="BO490" i="9" s="1"/>
  <c r="BO491" i="9" s="1"/>
  <c r="BO492" i="9" s="1"/>
  <c r="BO493" i="9" s="1"/>
  <c r="BO494" i="9" s="1"/>
  <c r="BO495" i="9" s="1"/>
  <c r="BO496" i="9" s="1"/>
  <c r="BO497" i="9" s="1"/>
  <c r="BO498" i="9" s="1"/>
  <c r="BO499" i="9" s="1"/>
  <c r="BO500" i="9" s="1"/>
  <c r="BO501" i="9" s="1"/>
  <c r="BO502" i="9" s="1"/>
  <c r="BO503" i="9" s="1"/>
  <c r="BO504" i="9" s="1"/>
  <c r="BO505" i="9" s="1"/>
  <c r="BO506" i="9" s="1"/>
  <c r="BO507" i="9" s="1"/>
  <c r="BO508" i="9" s="1"/>
  <c r="BO509" i="9" s="1"/>
  <c r="BO510" i="9" s="1"/>
  <c r="BO511" i="9" s="1"/>
  <c r="BO512" i="9" s="1"/>
  <c r="BO513" i="9" s="1"/>
  <c r="BO514" i="9" s="1"/>
  <c r="BO515" i="9" s="1"/>
  <c r="BO516" i="9" s="1"/>
  <c r="BO517" i="9" s="1"/>
  <c r="BO518" i="9" s="1"/>
  <c r="BO519" i="9" s="1"/>
  <c r="BO520" i="9" s="1"/>
  <c r="BO521" i="9" s="1"/>
  <c r="BO522" i="9" s="1"/>
  <c r="BO523" i="9" s="1"/>
  <c r="BO524" i="9" s="1"/>
  <c r="BO525" i="9" s="1"/>
  <c r="BO526" i="9" s="1"/>
  <c r="BO527" i="9" s="1"/>
  <c r="BO528" i="9" s="1"/>
  <c r="BO529" i="9" s="1"/>
  <c r="BO530" i="9" s="1"/>
  <c r="BO531" i="9" s="1"/>
  <c r="BO532" i="9" s="1"/>
  <c r="BO533" i="9" s="1"/>
  <c r="BO534" i="9" s="1"/>
  <c r="BO535" i="9" s="1"/>
  <c r="BO536" i="9" s="1"/>
  <c r="BO537" i="9" s="1"/>
  <c r="BO538" i="9" s="1"/>
  <c r="BO539" i="9" s="1"/>
  <c r="BO540" i="9" s="1"/>
  <c r="BO541" i="9" s="1"/>
  <c r="BO542" i="9" s="1"/>
  <c r="BO543" i="9" s="1"/>
  <c r="BO544" i="9" s="1"/>
  <c r="BO545" i="9" s="1"/>
  <c r="BO546" i="9" s="1"/>
  <c r="BO547" i="9" s="1"/>
  <c r="BO548" i="9" s="1"/>
  <c r="BO549" i="9" s="1"/>
  <c r="BO550" i="9" s="1"/>
  <c r="BO551" i="9" s="1"/>
  <c r="BO552" i="9" s="1"/>
  <c r="BO553" i="9" s="1"/>
  <c r="BO554" i="9" s="1"/>
  <c r="BO555" i="9" s="1"/>
  <c r="BO556" i="9" s="1"/>
  <c r="BO557" i="9" s="1"/>
  <c r="BO558" i="9" s="1"/>
  <c r="BO559" i="9" s="1"/>
  <c r="BO560" i="9" s="1"/>
  <c r="BO561" i="9" s="1"/>
  <c r="BO562" i="9" s="1"/>
  <c r="BO563" i="9" s="1"/>
  <c r="BO564" i="9" s="1"/>
  <c r="BO565" i="9" s="1"/>
  <c r="BO566" i="9" s="1"/>
  <c r="BO567" i="9" s="1"/>
  <c r="BO568" i="9" s="1"/>
  <c r="BO569" i="9" s="1"/>
  <c r="BO570" i="9" s="1"/>
  <c r="BO571" i="9" s="1"/>
  <c r="BO572" i="9" s="1"/>
  <c r="BO573" i="9" s="1"/>
  <c r="BO574" i="9" s="1"/>
  <c r="BO575" i="9" s="1"/>
  <c r="BO576" i="9" s="1"/>
  <c r="BO577" i="9" s="1"/>
  <c r="BO578" i="9" s="1"/>
  <c r="BO579" i="9" s="1"/>
  <c r="BO580" i="9" s="1"/>
  <c r="BO581" i="9" s="1"/>
  <c r="BO582" i="9" s="1"/>
  <c r="BO583" i="9" s="1"/>
  <c r="BO584" i="9" s="1"/>
  <c r="BO585" i="9" s="1"/>
  <c r="BO586" i="9" s="1"/>
  <c r="BO587" i="9" s="1"/>
  <c r="BO588" i="9" s="1"/>
  <c r="BO589" i="9" s="1"/>
  <c r="BO590" i="9" s="1"/>
  <c r="BO591" i="9" s="1"/>
  <c r="BO592" i="9" s="1"/>
  <c r="BO593" i="9" s="1"/>
  <c r="BO594" i="9" s="1"/>
  <c r="BO595" i="9" s="1"/>
  <c r="BO596" i="9" s="1"/>
  <c r="BO597" i="9" s="1"/>
  <c r="BO598" i="9" s="1"/>
  <c r="BO599" i="9" s="1"/>
  <c r="BO600" i="9" s="1"/>
  <c r="BO601" i="9" s="1"/>
  <c r="BO602" i="9" s="1"/>
  <c r="BO603" i="9" s="1"/>
  <c r="BO604" i="9" s="1"/>
  <c r="BO605" i="9" s="1"/>
  <c r="BO606" i="9" s="1"/>
  <c r="BO607" i="9" s="1"/>
  <c r="BO608" i="9" s="1"/>
  <c r="BO609" i="9" s="1"/>
  <c r="BO610" i="9" s="1"/>
  <c r="BO611" i="9" s="1"/>
  <c r="BO612" i="9" s="1"/>
  <c r="BO613" i="9" s="1"/>
  <c r="BO614" i="9" s="1"/>
  <c r="BO615" i="9" s="1"/>
  <c r="BO616" i="9" s="1"/>
  <c r="BO617" i="9" s="1"/>
  <c r="BO618" i="9" s="1"/>
  <c r="BO619" i="9" s="1"/>
  <c r="BO620" i="9" s="1"/>
  <c r="BO621" i="9" s="1"/>
  <c r="BO622" i="9" s="1"/>
  <c r="BO623" i="9" s="1"/>
  <c r="BO624" i="9" s="1"/>
  <c r="BO625" i="9" s="1"/>
  <c r="BO626" i="9" s="1"/>
  <c r="BO627" i="9" s="1"/>
  <c r="BO628" i="9" s="1"/>
  <c r="BO629" i="9" s="1"/>
  <c r="BO630" i="9" s="1"/>
  <c r="BO631" i="9" s="1"/>
  <c r="BO632" i="9" s="1"/>
  <c r="BO633" i="9" s="1"/>
  <c r="BO634" i="9" s="1"/>
  <c r="BO635" i="9" s="1"/>
  <c r="BO636" i="9" s="1"/>
  <c r="BO637" i="9" s="1"/>
  <c r="BO638" i="9" s="1"/>
  <c r="BO639" i="9" s="1"/>
  <c r="BO640" i="9" s="1"/>
  <c r="BO641" i="9" s="1"/>
  <c r="BO642" i="9" s="1"/>
  <c r="BO643" i="9" s="1"/>
  <c r="BO644" i="9" s="1"/>
  <c r="BO645" i="9" s="1"/>
  <c r="BO646" i="9" s="1"/>
  <c r="BO647" i="9" s="1"/>
  <c r="BO648" i="9" s="1"/>
  <c r="BO649" i="9" s="1"/>
  <c r="BO650" i="9" s="1"/>
  <c r="BO651" i="9" s="1"/>
  <c r="BO652" i="9" s="1"/>
  <c r="BO653" i="9" s="1"/>
  <c r="BO654" i="9" s="1"/>
  <c r="BO655" i="9" s="1"/>
  <c r="BO656" i="9" s="1"/>
  <c r="BO657" i="9" s="1"/>
  <c r="BO658" i="9" s="1"/>
  <c r="BO659" i="9" s="1"/>
  <c r="BO660" i="9" s="1"/>
  <c r="BO661" i="9" s="1"/>
  <c r="BO662" i="9" s="1"/>
  <c r="BO663" i="9" s="1"/>
  <c r="BO664" i="9" s="1"/>
  <c r="BO665" i="9" s="1"/>
  <c r="BO666" i="9" s="1"/>
  <c r="BO667" i="9" s="1"/>
  <c r="BO668" i="9" s="1"/>
  <c r="BO669" i="9" s="1"/>
  <c r="BO670" i="9" s="1"/>
  <c r="BO671" i="9" s="1"/>
  <c r="BO672" i="9" s="1"/>
  <c r="BO673" i="9" s="1"/>
  <c r="BO674" i="9" s="1"/>
  <c r="BO675" i="9" s="1"/>
  <c r="BO676" i="9" s="1"/>
  <c r="BO677" i="9" s="1"/>
  <c r="BO678" i="9" s="1"/>
  <c r="BO679" i="9" s="1"/>
  <c r="BO680" i="9" s="1"/>
  <c r="BO681" i="9" s="1"/>
  <c r="BO682" i="9" s="1"/>
  <c r="BO683" i="9" s="1"/>
  <c r="BO684" i="9" s="1"/>
  <c r="BO685" i="9" s="1"/>
  <c r="AQ20" i="9"/>
  <c r="DC19" i="9"/>
  <c r="DD18" i="9"/>
  <c r="DE18" i="9" s="1"/>
  <c r="AS33" i="9"/>
  <c r="DF18" i="9" s="1"/>
  <c r="F15" i="9"/>
  <c r="B16" i="9"/>
  <c r="AH173" i="8"/>
  <c r="AH174" i="8" s="1"/>
  <c r="AH175" i="8" s="1"/>
  <c r="AH176" i="8" s="1"/>
  <c r="AH177" i="8" s="1"/>
  <c r="AH178" i="8" s="1"/>
  <c r="AH179" i="8" s="1"/>
  <c r="AH180" i="8" s="1"/>
  <c r="AH181" i="8" s="1"/>
  <c r="AH182" i="8" s="1"/>
  <c r="AH183" i="8" s="1"/>
  <c r="AH184" i="8" s="1"/>
  <c r="AH185" i="8" s="1"/>
  <c r="AH186" i="8" s="1"/>
  <c r="AH187" i="8" s="1"/>
  <c r="AH188" i="8" s="1"/>
  <c r="AH189" i="8" s="1"/>
  <c r="AH190" i="8" s="1"/>
  <c r="AH191" i="8" s="1"/>
  <c r="AH192" i="8" s="1"/>
  <c r="AH193" i="8" s="1"/>
  <c r="AH194" i="8" s="1"/>
  <c r="AH195" i="8" s="1"/>
  <c r="AH196" i="8" s="1"/>
  <c r="AH197" i="8" s="1"/>
  <c r="AH198" i="8" s="1"/>
  <c r="AH199" i="8" s="1"/>
  <c r="AH200" i="8" s="1"/>
  <c r="AH201" i="8" s="1"/>
  <c r="AH202" i="8" s="1"/>
  <c r="AH203" i="8" s="1"/>
  <c r="AH204" i="8" s="1"/>
  <c r="AH205" i="8" s="1"/>
  <c r="AH206" i="8" s="1"/>
  <c r="AH207" i="8" s="1"/>
  <c r="AH208" i="8" s="1"/>
  <c r="AH209" i="8" s="1"/>
  <c r="AH210" i="8" s="1"/>
  <c r="AH211" i="8" s="1"/>
  <c r="AH212" i="8" s="1"/>
  <c r="AH213" i="8" s="1"/>
  <c r="AH214" i="8" s="1"/>
  <c r="AH215" i="8" s="1"/>
  <c r="AH216" i="8" s="1"/>
  <c r="AH217" i="8" s="1"/>
  <c r="AH218" i="8" s="1"/>
  <c r="AH219" i="8" s="1"/>
  <c r="AH220" i="8" s="1"/>
  <c r="AH221" i="8" s="1"/>
  <c r="AH222" i="8" s="1"/>
  <c r="AH223" i="8" s="1"/>
  <c r="AH224" i="8" s="1"/>
  <c r="AH225" i="8" s="1"/>
  <c r="AH226" i="8" s="1"/>
  <c r="AH227" i="8" s="1"/>
  <c r="AH228" i="8" s="1"/>
  <c r="AH229" i="8" s="1"/>
  <c r="AH230" i="8" s="1"/>
  <c r="AH231" i="8" s="1"/>
  <c r="AH232" i="8" s="1"/>
  <c r="AH233" i="8" s="1"/>
  <c r="AH234" i="8" s="1"/>
  <c r="AH235" i="8" s="1"/>
  <c r="AH236" i="8" s="1"/>
  <c r="AH237" i="8" s="1"/>
  <c r="AH238" i="8" s="1"/>
  <c r="AH239" i="8" s="1"/>
  <c r="AH240" i="8" s="1"/>
  <c r="AH241" i="8" s="1"/>
  <c r="AH242" i="8" s="1"/>
  <c r="AH243" i="8" s="1"/>
  <c r="AH244" i="8" s="1"/>
  <c r="AH245" i="8" s="1"/>
  <c r="AH246" i="8" s="1"/>
  <c r="AH247" i="8" s="1"/>
  <c r="AH248" i="8" s="1"/>
  <c r="AH249" i="8" s="1"/>
  <c r="AH250" i="8" s="1"/>
  <c r="AH251" i="8" s="1"/>
  <c r="AH252" i="8" s="1"/>
  <c r="AH253" i="8" s="1"/>
  <c r="AH254" i="8" s="1"/>
  <c r="AH255" i="8" s="1"/>
  <c r="AH256" i="8" s="1"/>
  <c r="AH257" i="8" s="1"/>
  <c r="AH258" i="8" s="1"/>
  <c r="AH259" i="8" s="1"/>
  <c r="W174" i="8"/>
  <c r="W175" i="8" s="1"/>
  <c r="X175" i="8"/>
  <c r="G175" i="8"/>
  <c r="G176" i="8" s="1"/>
  <c r="G177" i="8" s="1"/>
  <c r="G178" i="8" s="1"/>
  <c r="G179" i="8" s="1"/>
  <c r="AA171" i="8"/>
  <c r="AA172" i="8" s="1"/>
  <c r="AA173" i="8" s="1"/>
  <c r="AA174" i="8" s="1"/>
  <c r="AA175" i="8" s="1"/>
  <c r="AA176" i="8" s="1"/>
  <c r="AA177" i="8" s="1"/>
  <c r="AA178" i="8" s="1"/>
  <c r="AA179" i="8" s="1"/>
  <c r="AA180" i="8" s="1"/>
  <c r="V15" i="8"/>
  <c r="BR29" i="8"/>
  <c r="V30" i="8"/>
  <c r="BS28" i="8" s="1"/>
  <c r="BT28" i="8" s="1"/>
  <c r="Y171" i="8"/>
  <c r="Y172" i="8" s="1"/>
  <c r="Y173" i="8" s="1"/>
  <c r="Y174" i="8" s="1"/>
  <c r="Y175" i="8" s="1"/>
  <c r="Y176" i="8" s="1"/>
  <c r="Y177" i="8" s="1"/>
  <c r="Y178" i="8" s="1"/>
  <c r="Y179" i="8" s="1"/>
  <c r="Y180" i="8" s="1"/>
  <c r="AC31" i="8"/>
  <c r="BU13" i="8"/>
  <c r="Z171" i="8"/>
  <c r="Z172" i="8" s="1"/>
  <c r="Z173" i="8" s="1"/>
  <c r="Z174" i="8" s="1"/>
  <c r="Z175" i="8" s="1"/>
  <c r="Z176" i="8" s="1"/>
  <c r="Z177" i="8" s="1"/>
  <c r="Z178" i="8" s="1"/>
  <c r="Z179" i="8" s="1"/>
  <c r="Z180" i="8" s="1"/>
  <c r="V148" i="8"/>
  <c r="AC44" i="8"/>
  <c r="AG168" i="8"/>
  <c r="AG169" i="8" s="1"/>
  <c r="AG170" i="8" s="1"/>
  <c r="AG171" i="8" s="1"/>
  <c r="AG172" i="8" s="1"/>
  <c r="AG173" i="8" s="1"/>
  <c r="AG174" i="8" s="1"/>
  <c r="AG175" i="8" s="1"/>
  <c r="AG176" i="8" s="1"/>
  <c r="AG177" i="8" s="1"/>
  <c r="AG178" i="8" s="1"/>
  <c r="AG179" i="8" s="1"/>
  <c r="AG180" i="8" s="1"/>
  <c r="AG181" i="8" s="1"/>
  <c r="AG182" i="8" s="1"/>
  <c r="AG183" i="8" s="1"/>
  <c r="AG184" i="8" s="1"/>
  <c r="AG185" i="8" s="1"/>
  <c r="AG186" i="8" s="1"/>
  <c r="AG187" i="8" s="1"/>
  <c r="AG188" i="8" s="1"/>
  <c r="AG189" i="8" s="1"/>
  <c r="AG190" i="8" s="1"/>
  <c r="AG191" i="8" s="1"/>
  <c r="AG192" i="8" s="1"/>
  <c r="AG193" i="8" s="1"/>
  <c r="AG194" i="8" s="1"/>
  <c r="AG195" i="8" s="1"/>
  <c r="AG196" i="8" s="1"/>
  <c r="AG197" i="8" s="1"/>
  <c r="AG198" i="8" s="1"/>
  <c r="AG199" i="8" s="1"/>
  <c r="AG200" i="8" s="1"/>
  <c r="AG201" i="8" s="1"/>
  <c r="AG202" i="8" s="1"/>
  <c r="AG203" i="8" s="1"/>
  <c r="AG204" i="8" s="1"/>
  <c r="AG205" i="8" s="1"/>
  <c r="AG206" i="8" s="1"/>
  <c r="AG207" i="8" s="1"/>
  <c r="AG208" i="8" s="1"/>
  <c r="AG209" i="8" s="1"/>
  <c r="AG210" i="8" s="1"/>
  <c r="AG211" i="8" s="1"/>
  <c r="AG212" i="8" s="1"/>
  <c r="AG213" i="8" s="1"/>
  <c r="AG214" i="8" s="1"/>
  <c r="AG215" i="8" s="1"/>
  <c r="AG216" i="8" s="1"/>
  <c r="AG217" i="8" s="1"/>
  <c r="AG218" i="8" s="1"/>
  <c r="AG219" i="8" s="1"/>
  <c r="AG220" i="8" s="1"/>
  <c r="AG221" i="8" s="1"/>
  <c r="AG222" i="8" s="1"/>
  <c r="AG223" i="8" s="1"/>
  <c r="AG224" i="8" s="1"/>
  <c r="AG225" i="8" s="1"/>
  <c r="AG226" i="8" s="1"/>
  <c r="AG227" i="8" s="1"/>
  <c r="AG228" i="8" s="1"/>
  <c r="AG229" i="8" s="1"/>
  <c r="AG230" i="8" s="1"/>
  <c r="AG231" i="8" s="1"/>
  <c r="AG232" i="8" s="1"/>
  <c r="AG233" i="8" s="1"/>
  <c r="AG234" i="8" s="1"/>
  <c r="AG235" i="8" s="1"/>
  <c r="AG236" i="8" s="1"/>
  <c r="AG237" i="8" s="1"/>
  <c r="AG238" i="8" s="1"/>
  <c r="AG239" i="8" s="1"/>
  <c r="AG240" i="8" s="1"/>
  <c r="AG241" i="8" s="1"/>
  <c r="AG242" i="8" s="1"/>
  <c r="AG243" i="8" s="1"/>
  <c r="AG244" i="8" s="1"/>
  <c r="AG245" i="8" s="1"/>
  <c r="AG246" i="8" s="1"/>
  <c r="AG247" i="8" s="1"/>
  <c r="AG248" i="8" s="1"/>
  <c r="AG249" i="8" s="1"/>
  <c r="AG250" i="8" s="1"/>
  <c r="AG251" i="8" s="1"/>
  <c r="AG252" i="8" s="1"/>
  <c r="AG253" i="8" s="1"/>
  <c r="AG254" i="8" s="1"/>
  <c r="X169" i="8"/>
  <c r="X170" i="8" s="1"/>
  <c r="X171" i="8" s="1"/>
  <c r="X172" i="8" s="1"/>
  <c r="BR164" i="8"/>
  <c r="V165" i="8"/>
  <c r="BS163" i="8" s="1"/>
  <c r="BT163" i="8" s="1"/>
  <c r="D10" i="8"/>
  <c r="E10" i="8"/>
  <c r="AC72" i="8"/>
  <c r="BS27" i="8"/>
  <c r="BT27" i="8" s="1"/>
  <c r="BR107" i="8"/>
  <c r="V108" i="8"/>
  <c r="BS106" i="8" s="1"/>
  <c r="BT106" i="8" s="1"/>
  <c r="AC152" i="8"/>
  <c r="V62" i="8"/>
  <c r="BR129" i="8"/>
  <c r="V130" i="8"/>
  <c r="V83" i="8"/>
  <c r="BS24" i="6"/>
  <c r="BT24" i="6" s="1"/>
  <c r="BR26" i="6"/>
  <c r="BS9" i="6"/>
  <c r="BT9" i="6" s="1"/>
  <c r="BR11" i="6"/>
  <c r="Z64" i="6"/>
  <c r="Z65" i="6" s="1"/>
  <c r="AC40" i="6"/>
  <c r="AE55" i="6"/>
  <c r="AE56" i="6" s="1"/>
  <c r="AE57" i="6" s="1"/>
  <c r="AE58" i="6" s="1"/>
  <c r="AE59" i="6" s="1"/>
  <c r="AE60" i="6" s="1"/>
  <c r="AE61" i="6" s="1"/>
  <c r="AE62" i="6" s="1"/>
  <c r="AE63" i="6" s="1"/>
  <c r="AE64" i="6" s="1"/>
  <c r="AE65" i="6" s="1"/>
  <c r="AE66" i="6" s="1"/>
  <c r="AE67" i="6" s="1"/>
  <c r="AE68" i="6" s="1"/>
  <c r="AR55" i="6"/>
  <c r="AR56" i="6" s="1"/>
  <c r="AR57" i="6" s="1"/>
  <c r="AR58" i="6" s="1"/>
  <c r="AR59" i="6" s="1"/>
  <c r="AR60" i="6" s="1"/>
  <c r="AR61" i="6" s="1"/>
  <c r="AR62" i="6" s="1"/>
  <c r="AR63" i="6" s="1"/>
  <c r="AR64" i="6" s="1"/>
  <c r="AR65" i="6" s="1"/>
  <c r="AR66" i="6" s="1"/>
  <c r="AR67" i="6" s="1"/>
  <c r="AR68" i="6" s="1"/>
  <c r="AR69" i="6" s="1"/>
  <c r="AR70" i="6" s="1"/>
  <c r="AR71" i="6" s="1"/>
  <c r="AR72" i="6" s="1"/>
  <c r="AR73" i="6" s="1"/>
  <c r="AR74" i="6" s="1"/>
  <c r="AR75" i="6" s="1"/>
  <c r="AR76" i="6" s="1"/>
  <c r="AR77" i="6" s="1"/>
  <c r="AR78" i="6" s="1"/>
  <c r="AR79" i="6" s="1"/>
  <c r="AR80" i="6" s="1"/>
  <c r="AR81" i="6" s="1"/>
  <c r="AR82" i="6" s="1"/>
  <c r="AR83" i="6" s="1"/>
  <c r="AR84" i="6" s="1"/>
  <c r="AR85" i="6" s="1"/>
  <c r="AR86" i="6" s="1"/>
  <c r="AR87" i="6" s="1"/>
  <c r="AR88" i="6" s="1"/>
  <c r="AR89" i="6" s="1"/>
  <c r="AR90" i="6" s="1"/>
  <c r="AR91" i="6" s="1"/>
  <c r="AR92" i="6" s="1"/>
  <c r="AR93" i="6" s="1"/>
  <c r="AR94" i="6" s="1"/>
  <c r="AR95" i="6" s="1"/>
  <c r="AR96" i="6" s="1"/>
  <c r="AR97" i="6" s="1"/>
  <c r="AR98" i="6" s="1"/>
  <c r="AR99" i="6" s="1"/>
  <c r="AR100" i="6" s="1"/>
  <c r="AR101" i="6" s="1"/>
  <c r="AR102" i="6" s="1"/>
  <c r="AR103" i="6" s="1"/>
  <c r="AR104" i="6" s="1"/>
  <c r="AR105" i="6" s="1"/>
  <c r="AR106" i="6" s="1"/>
  <c r="AR107" i="6" s="1"/>
  <c r="AR108" i="6" s="1"/>
  <c r="AR109" i="6" s="1"/>
  <c r="AR110" i="6" s="1"/>
  <c r="AR111" i="6" s="1"/>
  <c r="AR112" i="6" s="1"/>
  <c r="AR113" i="6" s="1"/>
  <c r="AR114" i="6" s="1"/>
  <c r="AR115" i="6" s="1"/>
  <c r="AR116" i="6" s="1"/>
  <c r="AR117" i="6" s="1"/>
  <c r="AR118" i="6" s="1"/>
  <c r="AR119" i="6" s="1"/>
  <c r="AR120" i="6" s="1"/>
  <c r="AR121" i="6" s="1"/>
  <c r="AR122" i="6" s="1"/>
  <c r="AQ55" i="6"/>
  <c r="AQ56" i="6" s="1"/>
  <c r="AQ57" i="6" s="1"/>
  <c r="AQ58" i="6" s="1"/>
  <c r="AQ59" i="6" s="1"/>
  <c r="AQ60" i="6" s="1"/>
  <c r="AQ61" i="6" s="1"/>
  <c r="AQ62" i="6" s="1"/>
  <c r="AQ63" i="6" s="1"/>
  <c r="AQ64" i="6" s="1"/>
  <c r="AQ65" i="6" s="1"/>
  <c r="AQ66" i="6" s="1"/>
  <c r="AQ67" i="6" s="1"/>
  <c r="AQ68" i="6" s="1"/>
  <c r="AQ69" i="6" s="1"/>
  <c r="AQ70" i="6" s="1"/>
  <c r="AQ71" i="6" s="1"/>
  <c r="AQ72" i="6" s="1"/>
  <c r="AQ73" i="6" s="1"/>
  <c r="AQ74" i="6" s="1"/>
  <c r="AQ75" i="6" s="1"/>
  <c r="AQ76" i="6" s="1"/>
  <c r="AQ77" i="6" s="1"/>
  <c r="AQ78" i="6" s="1"/>
  <c r="AQ79" i="6" s="1"/>
  <c r="AQ80" i="6" s="1"/>
  <c r="AQ81" i="6" s="1"/>
  <c r="AQ82" i="6" s="1"/>
  <c r="AQ83" i="6" s="1"/>
  <c r="AQ84" i="6" s="1"/>
  <c r="AQ85" i="6" s="1"/>
  <c r="AQ86" i="6" s="1"/>
  <c r="AQ87" i="6" s="1"/>
  <c r="AQ88" i="6" s="1"/>
  <c r="AQ89" i="6" s="1"/>
  <c r="AQ90" i="6" s="1"/>
  <c r="AQ91" i="6" s="1"/>
  <c r="AQ92" i="6" s="1"/>
  <c r="AQ93" i="6" s="1"/>
  <c r="AQ94" i="6" s="1"/>
  <c r="AQ95" i="6" s="1"/>
  <c r="AQ96" i="6" s="1"/>
  <c r="AQ97" i="6" s="1"/>
  <c r="AQ98" i="6" s="1"/>
  <c r="AQ99" i="6" s="1"/>
  <c r="AQ100" i="6" s="1"/>
  <c r="AQ101" i="6" s="1"/>
  <c r="AQ102" i="6" s="1"/>
  <c r="AQ103" i="6" s="1"/>
  <c r="AQ104" i="6" s="1"/>
  <c r="AQ105" i="6" s="1"/>
  <c r="AQ106" i="6" s="1"/>
  <c r="AQ107" i="6" s="1"/>
  <c r="AQ108" i="6" s="1"/>
  <c r="AQ109" i="6" s="1"/>
  <c r="AQ110" i="6" s="1"/>
  <c r="AQ111" i="6" s="1"/>
  <c r="AQ112" i="6" s="1"/>
  <c r="AQ113" i="6" s="1"/>
  <c r="AQ114" i="6" s="1"/>
  <c r="AQ115" i="6" s="1"/>
  <c r="AQ116" i="6" s="1"/>
  <c r="AQ117" i="6" s="1"/>
  <c r="AQ118" i="6" s="1"/>
  <c r="AQ119" i="6" s="1"/>
  <c r="AQ120" i="6" s="1"/>
  <c r="AQ121" i="6" s="1"/>
  <c r="AQ122" i="6" s="1"/>
  <c r="AC27" i="6"/>
  <c r="BU9" i="6"/>
  <c r="V59" i="6"/>
  <c r="V12" i="6"/>
  <c r="V27" i="6"/>
  <c r="AP118" i="6"/>
  <c r="AP119" i="6" s="1"/>
  <c r="AP120" i="6" s="1"/>
  <c r="AP121" i="6" s="1"/>
  <c r="AP122" i="6" s="1"/>
  <c r="AN118" i="6"/>
  <c r="AN119" i="6" s="1"/>
  <c r="AN120" i="6" s="1"/>
  <c r="H123" i="6"/>
  <c r="H124" i="6" s="1"/>
  <c r="H125" i="6" s="1"/>
  <c r="H126" i="6" s="1"/>
  <c r="H127" i="6" s="1"/>
  <c r="E8" i="6"/>
  <c r="D8" i="6"/>
  <c r="AQ460" i="9" l="1"/>
  <c r="BQ459" i="9"/>
  <c r="BQ460" i="9" s="1"/>
  <c r="BQ461" i="9" s="1"/>
  <c r="BQ462" i="9" s="1"/>
  <c r="BQ463" i="9" s="1"/>
  <c r="BQ464" i="9" s="1"/>
  <c r="BQ465" i="9" s="1"/>
  <c r="BQ466" i="9" s="1"/>
  <c r="BQ467" i="9" s="1"/>
  <c r="BQ468" i="9" s="1"/>
  <c r="BQ469" i="9" s="1"/>
  <c r="BQ470" i="9" s="1"/>
  <c r="BQ471" i="9" s="1"/>
  <c r="BQ472" i="9" s="1"/>
  <c r="BQ473" i="9" s="1"/>
  <c r="BQ474" i="9" s="1"/>
  <c r="BQ475" i="9" s="1"/>
  <c r="BQ476" i="9" s="1"/>
  <c r="BQ477" i="9" s="1"/>
  <c r="BQ478" i="9" s="1"/>
  <c r="BQ479" i="9" s="1"/>
  <c r="BQ480" i="9" s="1"/>
  <c r="BQ481" i="9" s="1"/>
  <c r="BQ482" i="9" s="1"/>
  <c r="BQ483" i="9" s="1"/>
  <c r="BQ484" i="9" s="1"/>
  <c r="BQ485" i="9" s="1"/>
  <c r="BQ486" i="9" s="1"/>
  <c r="BQ487" i="9" s="1"/>
  <c r="BQ488" i="9" s="1"/>
  <c r="BQ489" i="9" s="1"/>
  <c r="BQ490" i="9" s="1"/>
  <c r="BQ491" i="9" s="1"/>
  <c r="BQ492" i="9" s="1"/>
  <c r="BQ493" i="9" s="1"/>
  <c r="BQ494" i="9" s="1"/>
  <c r="BQ495" i="9" s="1"/>
  <c r="BQ496" i="9" s="1"/>
  <c r="BQ497" i="9" s="1"/>
  <c r="BQ498" i="9" s="1"/>
  <c r="BQ499" i="9" s="1"/>
  <c r="BQ500" i="9" s="1"/>
  <c r="BQ501" i="9" s="1"/>
  <c r="BQ502" i="9" s="1"/>
  <c r="BQ503" i="9" s="1"/>
  <c r="BQ504" i="9" s="1"/>
  <c r="BQ505" i="9" s="1"/>
  <c r="BQ506" i="9" s="1"/>
  <c r="BQ507" i="9" s="1"/>
  <c r="BQ508" i="9" s="1"/>
  <c r="BQ509" i="9" s="1"/>
  <c r="BQ510" i="9" s="1"/>
  <c r="BQ511" i="9" s="1"/>
  <c r="BQ512" i="9" s="1"/>
  <c r="BQ513" i="9" s="1"/>
  <c r="BQ514" i="9" s="1"/>
  <c r="BQ515" i="9" s="1"/>
  <c r="BQ516" i="9" s="1"/>
  <c r="BQ517" i="9" s="1"/>
  <c r="BQ518" i="9" s="1"/>
  <c r="BQ519" i="9" s="1"/>
  <c r="BQ520" i="9" s="1"/>
  <c r="BQ521" i="9" s="1"/>
  <c r="BQ522" i="9" s="1"/>
  <c r="BQ523" i="9" s="1"/>
  <c r="BQ524" i="9" s="1"/>
  <c r="BQ525" i="9" s="1"/>
  <c r="BQ526" i="9" s="1"/>
  <c r="BQ527" i="9" s="1"/>
  <c r="BQ528" i="9" s="1"/>
  <c r="BQ529" i="9" s="1"/>
  <c r="BQ530" i="9" s="1"/>
  <c r="BQ531" i="9" s="1"/>
  <c r="BQ532" i="9" s="1"/>
  <c r="BQ533" i="9" s="1"/>
  <c r="BQ534" i="9" s="1"/>
  <c r="BQ535" i="9" s="1"/>
  <c r="BQ536" i="9" s="1"/>
  <c r="BQ537" i="9" s="1"/>
  <c r="BQ538" i="9" s="1"/>
  <c r="BQ539" i="9" s="1"/>
  <c r="BQ540" i="9" s="1"/>
  <c r="BQ541" i="9" s="1"/>
  <c r="BQ542" i="9" s="1"/>
  <c r="BQ543" i="9" s="1"/>
  <c r="BQ544" i="9" s="1"/>
  <c r="BQ545" i="9" s="1"/>
  <c r="BQ546" i="9" s="1"/>
  <c r="BQ547" i="9" s="1"/>
  <c r="BQ548" i="9" s="1"/>
  <c r="BQ549" i="9" s="1"/>
  <c r="BQ550" i="9" s="1"/>
  <c r="BQ551" i="9" s="1"/>
  <c r="BQ552" i="9" s="1"/>
  <c r="BQ553" i="9" s="1"/>
  <c r="BQ554" i="9" s="1"/>
  <c r="BQ555" i="9" s="1"/>
  <c r="BQ556" i="9" s="1"/>
  <c r="BQ557" i="9" s="1"/>
  <c r="BQ558" i="9" s="1"/>
  <c r="BQ559" i="9" s="1"/>
  <c r="BQ560" i="9" s="1"/>
  <c r="BQ561" i="9" s="1"/>
  <c r="BQ562" i="9" s="1"/>
  <c r="BQ563" i="9" s="1"/>
  <c r="BQ564" i="9" s="1"/>
  <c r="BQ565" i="9" s="1"/>
  <c r="BQ566" i="9" s="1"/>
  <c r="BQ567" i="9" s="1"/>
  <c r="BQ568" i="9" s="1"/>
  <c r="BQ569" i="9" s="1"/>
  <c r="BQ570" i="9" s="1"/>
  <c r="BQ571" i="9" s="1"/>
  <c r="BQ572" i="9" s="1"/>
  <c r="BQ573" i="9" s="1"/>
  <c r="BQ574" i="9" s="1"/>
  <c r="BQ575" i="9" s="1"/>
  <c r="BQ576" i="9" s="1"/>
  <c r="BQ577" i="9" s="1"/>
  <c r="BQ578" i="9" s="1"/>
  <c r="BQ579" i="9" s="1"/>
  <c r="BQ580" i="9" s="1"/>
  <c r="BQ581" i="9" s="1"/>
  <c r="BQ582" i="9" s="1"/>
  <c r="BQ583" i="9" s="1"/>
  <c r="BQ584" i="9" s="1"/>
  <c r="BQ585" i="9" s="1"/>
  <c r="BQ586" i="9" s="1"/>
  <c r="BQ587" i="9" s="1"/>
  <c r="BQ588" i="9" s="1"/>
  <c r="BQ589" i="9" s="1"/>
  <c r="BQ590" i="9" s="1"/>
  <c r="BQ591" i="9" s="1"/>
  <c r="BQ592" i="9" s="1"/>
  <c r="BQ593" i="9" s="1"/>
  <c r="BQ594" i="9" s="1"/>
  <c r="BQ595" i="9" s="1"/>
  <c r="BQ596" i="9" s="1"/>
  <c r="BQ597" i="9" s="1"/>
  <c r="BQ598" i="9" s="1"/>
  <c r="BQ599" i="9" s="1"/>
  <c r="BQ600" i="9" s="1"/>
  <c r="BQ601" i="9" s="1"/>
  <c r="BQ602" i="9" s="1"/>
  <c r="BQ603" i="9" s="1"/>
  <c r="BQ604" i="9" s="1"/>
  <c r="BQ605" i="9" s="1"/>
  <c r="BQ606" i="9" s="1"/>
  <c r="BQ607" i="9" s="1"/>
  <c r="BQ608" i="9" s="1"/>
  <c r="BQ609" i="9" s="1"/>
  <c r="BQ610" i="9" s="1"/>
  <c r="BQ611" i="9" s="1"/>
  <c r="BQ612" i="9" s="1"/>
  <c r="BQ613" i="9" s="1"/>
  <c r="BQ614" i="9" s="1"/>
  <c r="BQ615" i="9" s="1"/>
  <c r="BQ616" i="9" s="1"/>
  <c r="BQ617" i="9" s="1"/>
  <c r="BQ618" i="9" s="1"/>
  <c r="BQ619" i="9" s="1"/>
  <c r="BQ620" i="9" s="1"/>
  <c r="BQ621" i="9" s="1"/>
  <c r="BQ622" i="9" s="1"/>
  <c r="BQ623" i="9" s="1"/>
  <c r="BQ624" i="9" s="1"/>
  <c r="BQ625" i="9" s="1"/>
  <c r="BQ626" i="9" s="1"/>
  <c r="BQ627" i="9" s="1"/>
  <c r="BQ628" i="9" s="1"/>
  <c r="BQ629" i="9" s="1"/>
  <c r="BQ630" i="9" s="1"/>
  <c r="BQ631" i="9" s="1"/>
  <c r="BQ632" i="9" s="1"/>
  <c r="BQ633" i="9" s="1"/>
  <c r="BQ634" i="9" s="1"/>
  <c r="BQ635" i="9" s="1"/>
  <c r="BQ636" i="9" s="1"/>
  <c r="BQ637" i="9" s="1"/>
  <c r="BQ638" i="9" s="1"/>
  <c r="BQ639" i="9" s="1"/>
  <c r="BQ640" i="9" s="1"/>
  <c r="BQ641" i="9" s="1"/>
  <c r="BQ642" i="9" s="1"/>
  <c r="BQ643" i="9" s="1"/>
  <c r="BQ644" i="9" s="1"/>
  <c r="BQ645" i="9" s="1"/>
  <c r="BQ646" i="9" s="1"/>
  <c r="BQ647" i="9" s="1"/>
  <c r="BQ648" i="9" s="1"/>
  <c r="BQ649" i="9" s="1"/>
  <c r="BQ650" i="9" s="1"/>
  <c r="BQ651" i="9" s="1"/>
  <c r="BQ652" i="9" s="1"/>
  <c r="BQ653" i="9" s="1"/>
  <c r="BQ654" i="9" s="1"/>
  <c r="BQ655" i="9" s="1"/>
  <c r="BQ656" i="9" s="1"/>
  <c r="BQ657" i="9" s="1"/>
  <c r="BQ658" i="9" s="1"/>
  <c r="BQ659" i="9" s="1"/>
  <c r="BQ660" i="9" s="1"/>
  <c r="BQ661" i="9" s="1"/>
  <c r="BQ662" i="9" s="1"/>
  <c r="BQ663" i="9" s="1"/>
  <c r="BQ664" i="9" s="1"/>
  <c r="BQ665" i="9" s="1"/>
  <c r="BQ666" i="9" s="1"/>
  <c r="BQ667" i="9" s="1"/>
  <c r="BQ668" i="9" s="1"/>
  <c r="BQ669" i="9" s="1"/>
  <c r="BQ670" i="9" s="1"/>
  <c r="BQ671" i="9" s="1"/>
  <c r="BQ672" i="9" s="1"/>
  <c r="BQ673" i="9" s="1"/>
  <c r="BQ674" i="9" s="1"/>
  <c r="BQ675" i="9" s="1"/>
  <c r="BQ676" i="9" s="1"/>
  <c r="BQ677" i="9" s="1"/>
  <c r="BQ678" i="9" s="1"/>
  <c r="BQ679" i="9" s="1"/>
  <c r="BQ680" i="9" s="1"/>
  <c r="BQ681" i="9" s="1"/>
  <c r="BQ682" i="9" s="1"/>
  <c r="BQ683" i="9" s="1"/>
  <c r="BQ684" i="9" s="1"/>
  <c r="BQ685" i="9" s="1"/>
  <c r="BR459" i="9"/>
  <c r="BR460" i="9" s="1"/>
  <c r="BR461" i="9" s="1"/>
  <c r="BR462" i="9" s="1"/>
  <c r="BR463" i="9" s="1"/>
  <c r="BR464" i="9" s="1"/>
  <c r="BR465" i="9" s="1"/>
  <c r="BR466" i="9" s="1"/>
  <c r="BR467" i="9" s="1"/>
  <c r="BR468" i="9" s="1"/>
  <c r="BR469" i="9" s="1"/>
  <c r="BR470" i="9" s="1"/>
  <c r="BR471" i="9" s="1"/>
  <c r="BR472" i="9" s="1"/>
  <c r="BR473" i="9" s="1"/>
  <c r="BR474" i="9" s="1"/>
  <c r="BR475" i="9" s="1"/>
  <c r="BR476" i="9" s="1"/>
  <c r="BR477" i="9" s="1"/>
  <c r="BR478" i="9" s="1"/>
  <c r="BR479" i="9" s="1"/>
  <c r="BR480" i="9" s="1"/>
  <c r="BR481" i="9" s="1"/>
  <c r="BR482" i="9" s="1"/>
  <c r="BR483" i="9" s="1"/>
  <c r="BR484" i="9" s="1"/>
  <c r="BR485" i="9" s="1"/>
  <c r="BR486" i="9" s="1"/>
  <c r="BR487" i="9" s="1"/>
  <c r="BR488" i="9" s="1"/>
  <c r="BR489" i="9" s="1"/>
  <c r="BR490" i="9" s="1"/>
  <c r="BR491" i="9" s="1"/>
  <c r="BR492" i="9" s="1"/>
  <c r="BR493" i="9" s="1"/>
  <c r="BR494" i="9" s="1"/>
  <c r="BR495" i="9" s="1"/>
  <c r="BR496" i="9" s="1"/>
  <c r="BR497" i="9" s="1"/>
  <c r="BR498" i="9" s="1"/>
  <c r="BR499" i="9" s="1"/>
  <c r="BR500" i="9" s="1"/>
  <c r="BR501" i="9" s="1"/>
  <c r="BR502" i="9" s="1"/>
  <c r="BR503" i="9" s="1"/>
  <c r="BR504" i="9" s="1"/>
  <c r="BR505" i="9" s="1"/>
  <c r="BR506" i="9" s="1"/>
  <c r="BR507" i="9" s="1"/>
  <c r="BR508" i="9" s="1"/>
  <c r="BR509" i="9" s="1"/>
  <c r="BR510" i="9" s="1"/>
  <c r="BR511" i="9" s="1"/>
  <c r="BR512" i="9" s="1"/>
  <c r="BR513" i="9" s="1"/>
  <c r="BR514" i="9" s="1"/>
  <c r="BR515" i="9" s="1"/>
  <c r="BR516" i="9" s="1"/>
  <c r="BR517" i="9" s="1"/>
  <c r="BR518" i="9" s="1"/>
  <c r="BR519" i="9" s="1"/>
  <c r="BR520" i="9" s="1"/>
  <c r="BR521" i="9" s="1"/>
  <c r="BR522" i="9" s="1"/>
  <c r="BR523" i="9" s="1"/>
  <c r="BR524" i="9" s="1"/>
  <c r="BR525" i="9" s="1"/>
  <c r="BR526" i="9" s="1"/>
  <c r="BR527" i="9" s="1"/>
  <c r="BR528" i="9" s="1"/>
  <c r="BR529" i="9" s="1"/>
  <c r="BR530" i="9" s="1"/>
  <c r="BR531" i="9" s="1"/>
  <c r="BR532" i="9" s="1"/>
  <c r="BR533" i="9" s="1"/>
  <c r="BR534" i="9" s="1"/>
  <c r="BR535" i="9" s="1"/>
  <c r="BR536" i="9" s="1"/>
  <c r="BR537" i="9" s="1"/>
  <c r="BR538" i="9" s="1"/>
  <c r="BR539" i="9" s="1"/>
  <c r="BR540" i="9" s="1"/>
  <c r="BR541" i="9" s="1"/>
  <c r="BR542" i="9" s="1"/>
  <c r="BR543" i="9" s="1"/>
  <c r="BR544" i="9" s="1"/>
  <c r="BR545" i="9" s="1"/>
  <c r="BR546" i="9" s="1"/>
  <c r="BR547" i="9" s="1"/>
  <c r="BR548" i="9" s="1"/>
  <c r="BR549" i="9" s="1"/>
  <c r="BR550" i="9" s="1"/>
  <c r="BR551" i="9" s="1"/>
  <c r="BR552" i="9" s="1"/>
  <c r="BR553" i="9" s="1"/>
  <c r="BR554" i="9" s="1"/>
  <c r="BR555" i="9" s="1"/>
  <c r="BR556" i="9" s="1"/>
  <c r="BR557" i="9" s="1"/>
  <c r="BR558" i="9" s="1"/>
  <c r="BR559" i="9" s="1"/>
  <c r="BR560" i="9" s="1"/>
  <c r="BR561" i="9" s="1"/>
  <c r="BR562" i="9" s="1"/>
  <c r="BR563" i="9" s="1"/>
  <c r="BR564" i="9" s="1"/>
  <c r="BR565" i="9" s="1"/>
  <c r="BR566" i="9" s="1"/>
  <c r="BR567" i="9" s="1"/>
  <c r="BR568" i="9" s="1"/>
  <c r="BR569" i="9" s="1"/>
  <c r="BR570" i="9" s="1"/>
  <c r="BR571" i="9" s="1"/>
  <c r="BR572" i="9" s="1"/>
  <c r="BR573" i="9" s="1"/>
  <c r="BR574" i="9" s="1"/>
  <c r="BR575" i="9" s="1"/>
  <c r="BR576" i="9" s="1"/>
  <c r="BR577" i="9" s="1"/>
  <c r="BR578" i="9" s="1"/>
  <c r="BR579" i="9" s="1"/>
  <c r="BR580" i="9" s="1"/>
  <c r="BR581" i="9" s="1"/>
  <c r="BR582" i="9" s="1"/>
  <c r="BR583" i="9" s="1"/>
  <c r="BR584" i="9" s="1"/>
  <c r="BR585" i="9" s="1"/>
  <c r="BR586" i="9" s="1"/>
  <c r="BR587" i="9" s="1"/>
  <c r="BR588" i="9" s="1"/>
  <c r="BR589" i="9" s="1"/>
  <c r="BR590" i="9" s="1"/>
  <c r="BR591" i="9" s="1"/>
  <c r="BR592" i="9" s="1"/>
  <c r="BR593" i="9" s="1"/>
  <c r="BR594" i="9" s="1"/>
  <c r="BR595" i="9" s="1"/>
  <c r="BR596" i="9" s="1"/>
  <c r="BR597" i="9" s="1"/>
  <c r="BR598" i="9" s="1"/>
  <c r="BR599" i="9" s="1"/>
  <c r="BR600" i="9" s="1"/>
  <c r="BR601" i="9" s="1"/>
  <c r="BR602" i="9" s="1"/>
  <c r="BR603" i="9" s="1"/>
  <c r="BR604" i="9" s="1"/>
  <c r="BR605" i="9" s="1"/>
  <c r="BR606" i="9" s="1"/>
  <c r="BR607" i="9" s="1"/>
  <c r="BR608" i="9" s="1"/>
  <c r="BR609" i="9" s="1"/>
  <c r="BR610" i="9" s="1"/>
  <c r="BR611" i="9" s="1"/>
  <c r="BR612" i="9" s="1"/>
  <c r="BR613" i="9" s="1"/>
  <c r="BR614" i="9" s="1"/>
  <c r="BR615" i="9" s="1"/>
  <c r="BR616" i="9" s="1"/>
  <c r="BR617" i="9" s="1"/>
  <c r="BR618" i="9" s="1"/>
  <c r="BR619" i="9" s="1"/>
  <c r="BR620" i="9" s="1"/>
  <c r="BR621" i="9" s="1"/>
  <c r="BR622" i="9" s="1"/>
  <c r="BR623" i="9" s="1"/>
  <c r="BR624" i="9" s="1"/>
  <c r="BR625" i="9" s="1"/>
  <c r="BR626" i="9" s="1"/>
  <c r="BR627" i="9" s="1"/>
  <c r="BR628" i="9" s="1"/>
  <c r="BR629" i="9" s="1"/>
  <c r="BR630" i="9" s="1"/>
  <c r="BR631" i="9" s="1"/>
  <c r="BR632" i="9" s="1"/>
  <c r="BR633" i="9" s="1"/>
  <c r="BR634" i="9" s="1"/>
  <c r="BR635" i="9" s="1"/>
  <c r="BR636" i="9" s="1"/>
  <c r="BR637" i="9" s="1"/>
  <c r="BR638" i="9" s="1"/>
  <c r="BR639" i="9" s="1"/>
  <c r="BR640" i="9" s="1"/>
  <c r="BR641" i="9" s="1"/>
  <c r="BR642" i="9" s="1"/>
  <c r="BR643" i="9" s="1"/>
  <c r="BR644" i="9" s="1"/>
  <c r="BR645" i="9" s="1"/>
  <c r="BR646" i="9" s="1"/>
  <c r="BR647" i="9" s="1"/>
  <c r="BR648" i="9" s="1"/>
  <c r="BR649" i="9" s="1"/>
  <c r="BR650" i="9" s="1"/>
  <c r="BR651" i="9" s="1"/>
  <c r="BR652" i="9" s="1"/>
  <c r="BR653" i="9" s="1"/>
  <c r="BR654" i="9" s="1"/>
  <c r="BR655" i="9" s="1"/>
  <c r="BR656" i="9" s="1"/>
  <c r="BR657" i="9" s="1"/>
  <c r="BR658" i="9" s="1"/>
  <c r="BR659" i="9" s="1"/>
  <c r="BR660" i="9" s="1"/>
  <c r="BR661" i="9" s="1"/>
  <c r="BR662" i="9" s="1"/>
  <c r="BR663" i="9" s="1"/>
  <c r="BR664" i="9" s="1"/>
  <c r="BR665" i="9" s="1"/>
  <c r="BR666" i="9" s="1"/>
  <c r="BR667" i="9" s="1"/>
  <c r="BR668" i="9" s="1"/>
  <c r="BR669" i="9" s="1"/>
  <c r="BR670" i="9" s="1"/>
  <c r="BR671" i="9" s="1"/>
  <c r="BR672" i="9" s="1"/>
  <c r="BR673" i="9" s="1"/>
  <c r="BR674" i="9" s="1"/>
  <c r="BR675" i="9" s="1"/>
  <c r="BR676" i="9" s="1"/>
  <c r="BR677" i="9" s="1"/>
  <c r="BR678" i="9" s="1"/>
  <c r="BR679" i="9" s="1"/>
  <c r="BR680" i="9" s="1"/>
  <c r="BR681" i="9" s="1"/>
  <c r="BR682" i="9" s="1"/>
  <c r="BR683" i="9" s="1"/>
  <c r="BR684" i="9" s="1"/>
  <c r="BR685" i="9" s="1"/>
  <c r="AQ350" i="9"/>
  <c r="AQ21" i="9"/>
  <c r="DC20" i="9"/>
  <c r="AQ442" i="9"/>
  <c r="AS34" i="9"/>
  <c r="DF19" i="9" s="1"/>
  <c r="W176" i="8"/>
  <c r="W177" i="8" s="1"/>
  <c r="D16" i="9"/>
  <c r="E16" i="9"/>
  <c r="V63" i="8"/>
  <c r="BS61" i="8" s="1"/>
  <c r="BT61" i="8" s="1"/>
  <c r="BR62" i="8"/>
  <c r="AC73" i="8"/>
  <c r="V166" i="8"/>
  <c r="BS164" i="8" s="1"/>
  <c r="BT164" i="8" s="1"/>
  <c r="BR165" i="8"/>
  <c r="AC32" i="8"/>
  <c r="BU14" i="8"/>
  <c r="V84" i="8"/>
  <c r="B11" i="8"/>
  <c r="F10" i="8"/>
  <c r="BR15" i="8"/>
  <c r="V16" i="8"/>
  <c r="G180" i="8"/>
  <c r="G181" i="8" s="1"/>
  <c r="G182" i="8" s="1"/>
  <c r="G183" i="8" s="1"/>
  <c r="G184" i="8" s="1"/>
  <c r="W180" i="8"/>
  <c r="W181" i="8" s="1"/>
  <c r="W182" i="8" s="1"/>
  <c r="W183" i="8" s="1"/>
  <c r="W184" i="8" s="1"/>
  <c r="W185" i="8" s="1"/>
  <c r="V131" i="8"/>
  <c r="AA181" i="8"/>
  <c r="AA182" i="8" s="1"/>
  <c r="AA183" i="8" s="1"/>
  <c r="AA184" i="8" s="1"/>
  <c r="AA185" i="8" s="1"/>
  <c r="AC153" i="8"/>
  <c r="BR108" i="8"/>
  <c r="V109" i="8"/>
  <c r="AC45" i="8"/>
  <c r="Z181" i="8"/>
  <c r="Z182" i="8" s="1"/>
  <c r="Z183" i="8" s="1"/>
  <c r="Z184" i="8" s="1"/>
  <c r="Z185" i="8" s="1"/>
  <c r="V31" i="8"/>
  <c r="BR30" i="8"/>
  <c r="X176" i="8"/>
  <c r="X177" i="8" s="1"/>
  <c r="X178" i="8" s="1"/>
  <c r="X179" i="8" s="1"/>
  <c r="X180" i="8" s="1"/>
  <c r="X181" i="8" s="1"/>
  <c r="X182" i="8" s="1"/>
  <c r="X183" i="8" s="1"/>
  <c r="X184" i="8" s="1"/>
  <c r="X185" i="8" s="1"/>
  <c r="BR148" i="8"/>
  <c r="V149" i="8"/>
  <c r="BS147" i="8" s="1"/>
  <c r="BT147" i="8" s="1"/>
  <c r="BS10" i="6"/>
  <c r="BT10" i="6" s="1"/>
  <c r="BR12" i="6"/>
  <c r="BS25" i="6"/>
  <c r="BT25" i="6" s="1"/>
  <c r="BR27" i="6"/>
  <c r="Z66" i="6"/>
  <c r="AC28" i="6"/>
  <c r="BU10" i="6"/>
  <c r="AC41" i="6"/>
  <c r="V13" i="6"/>
  <c r="V28" i="6"/>
  <c r="BR28" i="6" s="1"/>
  <c r="V60" i="6"/>
  <c r="AR123" i="6"/>
  <c r="AR124" i="6" s="1"/>
  <c r="AR125" i="6" s="1"/>
  <c r="AR126" i="6" s="1"/>
  <c r="AR127" i="6" s="1"/>
  <c r="AQ123" i="6"/>
  <c r="AQ124" i="6" s="1"/>
  <c r="AQ125" i="6" s="1"/>
  <c r="AQ126" i="6" s="1"/>
  <c r="AQ127" i="6" s="1"/>
  <c r="AP123" i="6"/>
  <c r="AP124" i="6" s="1"/>
  <c r="AP125" i="6" s="1"/>
  <c r="AP126" i="6" s="1"/>
  <c r="AP127" i="6" s="1"/>
  <c r="H129" i="6"/>
  <c r="H130" i="6" s="1"/>
  <c r="H131" i="6" s="1"/>
  <c r="H132" i="6" s="1"/>
  <c r="F8" i="6"/>
  <c r="B9" i="6"/>
  <c r="AQ22" i="9" l="1"/>
  <c r="DC21" i="9"/>
  <c r="DD20" i="9"/>
  <c r="DE20" i="9" s="1"/>
  <c r="AQ351" i="9"/>
  <c r="AX442" i="9"/>
  <c r="AX443" i="9" s="1"/>
  <c r="AX444" i="9" s="1"/>
  <c r="AX445" i="9" s="1"/>
  <c r="AX446" i="9" s="1"/>
  <c r="AX447" i="9" s="1"/>
  <c r="AX448" i="9" s="1"/>
  <c r="AX449" i="9" s="1"/>
  <c r="AX450" i="9" s="1"/>
  <c r="AX451" i="9" s="1"/>
  <c r="AX452" i="9" s="1"/>
  <c r="AX453" i="9" s="1"/>
  <c r="AX454" i="9" s="1"/>
  <c r="AX455" i="9" s="1"/>
  <c r="AX456" i="9" s="1"/>
  <c r="AX457" i="9" s="1"/>
  <c r="AX458" i="9" s="1"/>
  <c r="AX459" i="9" s="1"/>
  <c r="AX460" i="9" s="1"/>
  <c r="AX461" i="9" s="1"/>
  <c r="AX462" i="9" s="1"/>
  <c r="AX463" i="9" s="1"/>
  <c r="AX464" i="9" s="1"/>
  <c r="AX465" i="9" s="1"/>
  <c r="AX466" i="9" s="1"/>
  <c r="AX467" i="9" s="1"/>
  <c r="AX468" i="9" s="1"/>
  <c r="AX469" i="9" s="1"/>
  <c r="AX470" i="9" s="1"/>
  <c r="AX471" i="9" s="1"/>
  <c r="AX472" i="9" s="1"/>
  <c r="AX473" i="9" s="1"/>
  <c r="AX474" i="9" s="1"/>
  <c r="AX475" i="9" s="1"/>
  <c r="AX476" i="9" s="1"/>
  <c r="AX477" i="9" s="1"/>
  <c r="AX478" i="9" s="1"/>
  <c r="AX479" i="9" s="1"/>
  <c r="AX480" i="9" s="1"/>
  <c r="AX481" i="9" s="1"/>
  <c r="AX482" i="9" s="1"/>
  <c r="AX483" i="9" s="1"/>
  <c r="AX484" i="9" s="1"/>
  <c r="AX485" i="9" s="1"/>
  <c r="AX486" i="9" s="1"/>
  <c r="AX487" i="9" s="1"/>
  <c r="AX488" i="9" s="1"/>
  <c r="AX489" i="9" s="1"/>
  <c r="AX490" i="9" s="1"/>
  <c r="AX491" i="9" s="1"/>
  <c r="AX492" i="9" s="1"/>
  <c r="AX493" i="9" s="1"/>
  <c r="AX494" i="9" s="1"/>
  <c r="AX495" i="9" s="1"/>
  <c r="AX496" i="9" s="1"/>
  <c r="AX497" i="9" s="1"/>
  <c r="AX498" i="9" s="1"/>
  <c r="AX499" i="9" s="1"/>
  <c r="AX500" i="9" s="1"/>
  <c r="AX501" i="9" s="1"/>
  <c r="AX502" i="9" s="1"/>
  <c r="AX503" i="9" s="1"/>
  <c r="AX504" i="9" s="1"/>
  <c r="AX505" i="9" s="1"/>
  <c r="AX506" i="9" s="1"/>
  <c r="AX507" i="9" s="1"/>
  <c r="AX508" i="9" s="1"/>
  <c r="AX509" i="9" s="1"/>
  <c r="AX510" i="9" s="1"/>
  <c r="AX511" i="9" s="1"/>
  <c r="AX512" i="9" s="1"/>
  <c r="AX513" i="9" s="1"/>
  <c r="AX514" i="9" s="1"/>
  <c r="AX515" i="9" s="1"/>
  <c r="AX516" i="9" s="1"/>
  <c r="AX517" i="9" s="1"/>
  <c r="AX518" i="9" s="1"/>
  <c r="AX519" i="9" s="1"/>
  <c r="AX520" i="9" s="1"/>
  <c r="AX521" i="9" s="1"/>
  <c r="AX522" i="9" s="1"/>
  <c r="AX523" i="9" s="1"/>
  <c r="AX524" i="9" s="1"/>
  <c r="AX525" i="9" s="1"/>
  <c r="AX526" i="9" s="1"/>
  <c r="AX527" i="9" s="1"/>
  <c r="AX528" i="9" s="1"/>
  <c r="AX529" i="9" s="1"/>
  <c r="AX530" i="9" s="1"/>
  <c r="AX531" i="9" s="1"/>
  <c r="AX532" i="9" s="1"/>
  <c r="AX533" i="9" s="1"/>
  <c r="AX534" i="9" s="1"/>
  <c r="AX535" i="9" s="1"/>
  <c r="AX536" i="9" s="1"/>
  <c r="AX537" i="9" s="1"/>
  <c r="AX538" i="9" s="1"/>
  <c r="AX539" i="9" s="1"/>
  <c r="AX540" i="9" s="1"/>
  <c r="AX541" i="9" s="1"/>
  <c r="AX542" i="9" s="1"/>
  <c r="AX543" i="9" s="1"/>
  <c r="AX544" i="9" s="1"/>
  <c r="AX545" i="9" s="1"/>
  <c r="AX546" i="9" s="1"/>
  <c r="AX547" i="9" s="1"/>
  <c r="AX548" i="9" s="1"/>
  <c r="AX549" i="9" s="1"/>
  <c r="AX550" i="9" s="1"/>
  <c r="AX551" i="9" s="1"/>
  <c r="AX552" i="9" s="1"/>
  <c r="AX553" i="9" s="1"/>
  <c r="AX554" i="9" s="1"/>
  <c r="AX555" i="9" s="1"/>
  <c r="AX556" i="9" s="1"/>
  <c r="AX557" i="9" s="1"/>
  <c r="AX558" i="9" s="1"/>
  <c r="AX559" i="9" s="1"/>
  <c r="AX560" i="9" s="1"/>
  <c r="AX561" i="9" s="1"/>
  <c r="AX562" i="9" s="1"/>
  <c r="AX563" i="9" s="1"/>
  <c r="AX564" i="9" s="1"/>
  <c r="AX565" i="9" s="1"/>
  <c r="AX566" i="9" s="1"/>
  <c r="AX567" i="9" s="1"/>
  <c r="AX568" i="9" s="1"/>
  <c r="AX569" i="9" s="1"/>
  <c r="AX570" i="9" s="1"/>
  <c r="AX571" i="9" s="1"/>
  <c r="AX572" i="9" s="1"/>
  <c r="AX573" i="9" s="1"/>
  <c r="AX574" i="9" s="1"/>
  <c r="AX575" i="9" s="1"/>
  <c r="AX576" i="9" s="1"/>
  <c r="AX577" i="9" s="1"/>
  <c r="AX578" i="9" s="1"/>
  <c r="AX579" i="9" s="1"/>
  <c r="AX580" i="9" s="1"/>
  <c r="AX581" i="9" s="1"/>
  <c r="AX582" i="9" s="1"/>
  <c r="AX583" i="9" s="1"/>
  <c r="AX584" i="9" s="1"/>
  <c r="AX585" i="9" s="1"/>
  <c r="AX586" i="9" s="1"/>
  <c r="AX587" i="9" s="1"/>
  <c r="AX588" i="9" s="1"/>
  <c r="AX589" i="9" s="1"/>
  <c r="AX590" i="9" s="1"/>
  <c r="AX591" i="9" s="1"/>
  <c r="AX592" i="9" s="1"/>
  <c r="AX593" i="9" s="1"/>
  <c r="AX594" i="9" s="1"/>
  <c r="AX595" i="9" s="1"/>
  <c r="AX596" i="9" s="1"/>
  <c r="AX597" i="9" s="1"/>
  <c r="AX598" i="9" s="1"/>
  <c r="AX599" i="9" s="1"/>
  <c r="AX600" i="9" s="1"/>
  <c r="AX601" i="9" s="1"/>
  <c r="AX602" i="9" s="1"/>
  <c r="AX603" i="9" s="1"/>
  <c r="AX604" i="9" s="1"/>
  <c r="AX605" i="9" s="1"/>
  <c r="AX606" i="9" s="1"/>
  <c r="AX607" i="9" s="1"/>
  <c r="AX608" i="9" s="1"/>
  <c r="AX609" i="9" s="1"/>
  <c r="AX610" i="9" s="1"/>
  <c r="AX611" i="9" s="1"/>
  <c r="AX612" i="9" s="1"/>
  <c r="AX613" i="9" s="1"/>
  <c r="AX614" i="9" s="1"/>
  <c r="AX615" i="9" s="1"/>
  <c r="AX616" i="9" s="1"/>
  <c r="AX617" i="9" s="1"/>
  <c r="AX618" i="9" s="1"/>
  <c r="AX619" i="9" s="1"/>
  <c r="AX620" i="9" s="1"/>
  <c r="AX621" i="9" s="1"/>
  <c r="AX622" i="9" s="1"/>
  <c r="AX623" i="9" s="1"/>
  <c r="AX624" i="9" s="1"/>
  <c r="AX625" i="9" s="1"/>
  <c r="AX626" i="9" s="1"/>
  <c r="AX627" i="9" s="1"/>
  <c r="AX628" i="9" s="1"/>
  <c r="AX629" i="9" s="1"/>
  <c r="AX630" i="9" s="1"/>
  <c r="AX631" i="9" s="1"/>
  <c r="AX632" i="9" s="1"/>
  <c r="AX633" i="9" s="1"/>
  <c r="AX634" i="9" s="1"/>
  <c r="AX635" i="9" s="1"/>
  <c r="AX636" i="9" s="1"/>
  <c r="AX637" i="9" s="1"/>
  <c r="AX638" i="9" s="1"/>
  <c r="AX639" i="9" s="1"/>
  <c r="AX640" i="9" s="1"/>
  <c r="AX641" i="9" s="1"/>
  <c r="AX642" i="9" s="1"/>
  <c r="AX643" i="9" s="1"/>
  <c r="AX644" i="9" s="1"/>
  <c r="AX645" i="9" s="1"/>
  <c r="AX646" i="9" s="1"/>
  <c r="AX647" i="9" s="1"/>
  <c r="AX648" i="9" s="1"/>
  <c r="AX649" i="9" s="1"/>
  <c r="AX650" i="9" s="1"/>
  <c r="AX651" i="9" s="1"/>
  <c r="AX652" i="9" s="1"/>
  <c r="AX653" i="9" s="1"/>
  <c r="AX654" i="9" s="1"/>
  <c r="AX655" i="9" s="1"/>
  <c r="AX656" i="9" s="1"/>
  <c r="AX657" i="9" s="1"/>
  <c r="AX658" i="9" s="1"/>
  <c r="AX659" i="9" s="1"/>
  <c r="AX660" i="9" s="1"/>
  <c r="AX661" i="9" s="1"/>
  <c r="AX662" i="9" s="1"/>
  <c r="AX663" i="9" s="1"/>
  <c r="AX664" i="9" s="1"/>
  <c r="AX665" i="9" s="1"/>
  <c r="AX666" i="9" s="1"/>
  <c r="AX667" i="9" s="1"/>
  <c r="AX668" i="9" s="1"/>
  <c r="AX669" i="9" s="1"/>
  <c r="AX670" i="9" s="1"/>
  <c r="AX671" i="9" s="1"/>
  <c r="AX672" i="9" s="1"/>
  <c r="AX673" i="9" s="1"/>
  <c r="AX674" i="9" s="1"/>
  <c r="AX675" i="9" s="1"/>
  <c r="AX676" i="9" s="1"/>
  <c r="AX677" i="9" s="1"/>
  <c r="AX678" i="9" s="1"/>
  <c r="AX679" i="9" s="1"/>
  <c r="AX680" i="9" s="1"/>
  <c r="AX681" i="9" s="1"/>
  <c r="AX682" i="9" s="1"/>
  <c r="AX683" i="9" s="1"/>
  <c r="AX684" i="9" s="1"/>
  <c r="AX685" i="9" s="1"/>
  <c r="DD19" i="9"/>
  <c r="DE19" i="9" s="1"/>
  <c r="AQ461" i="9"/>
  <c r="AS35" i="9"/>
  <c r="DF20" i="9" s="1"/>
  <c r="F16" i="9"/>
  <c r="B17" i="9"/>
  <c r="V132" i="8"/>
  <c r="BR16" i="8"/>
  <c r="V17" i="8"/>
  <c r="BS15" i="8" s="1"/>
  <c r="BT15" i="8" s="1"/>
  <c r="V85" i="8"/>
  <c r="BS83" i="8" s="1"/>
  <c r="BT83" i="8" s="1"/>
  <c r="BR84" i="8"/>
  <c r="BR149" i="8"/>
  <c r="V150" i="8"/>
  <c r="BS148" i="8" s="1"/>
  <c r="BT148" i="8" s="1"/>
  <c r="AC154" i="8"/>
  <c r="D11" i="8"/>
  <c r="E11" i="8"/>
  <c r="V167" i="8"/>
  <c r="BR166" i="8"/>
  <c r="BS14" i="8"/>
  <c r="BT14" i="8" s="1"/>
  <c r="AC33" i="8"/>
  <c r="BU15" i="8"/>
  <c r="BR63" i="8"/>
  <c r="V64" i="8"/>
  <c r="BR31" i="8"/>
  <c r="V32" i="8"/>
  <c r="BS30" i="8" s="1"/>
  <c r="BT30" i="8" s="1"/>
  <c r="AC46" i="8"/>
  <c r="BS29" i="8"/>
  <c r="BT29" i="8" s="1"/>
  <c r="V110" i="8"/>
  <c r="G185" i="8"/>
  <c r="G186" i="8" s="1"/>
  <c r="G187" i="8" s="1"/>
  <c r="G188" i="8" s="1"/>
  <c r="G189" i="8" s="1"/>
  <c r="G190" i="8" s="1"/>
  <c r="G191" i="8" s="1"/>
  <c r="V185" i="8"/>
  <c r="Y181" i="8"/>
  <c r="Y182" i="8" s="1"/>
  <c r="Y183" i="8" s="1"/>
  <c r="Y184" i="8" s="1"/>
  <c r="Y185" i="8" s="1"/>
  <c r="AC74" i="8"/>
  <c r="Z67" i="6"/>
  <c r="AC42" i="6"/>
  <c r="AC29" i="6"/>
  <c r="BU11" i="6"/>
  <c r="V29" i="6"/>
  <c r="BR29" i="6" s="1"/>
  <c r="V61" i="6"/>
  <c r="V14" i="6"/>
  <c r="BS26" i="6"/>
  <c r="BT26" i="6" s="1"/>
  <c r="AP128" i="6"/>
  <c r="AP129" i="6" s="1"/>
  <c r="AP130" i="6" s="1"/>
  <c r="AQ128" i="6"/>
  <c r="AQ129" i="6" s="1"/>
  <c r="AQ130" i="6" s="1"/>
  <c r="AQ131" i="6" s="1"/>
  <c r="AQ132" i="6" s="1"/>
  <c r="AR128" i="6"/>
  <c r="AR129" i="6" s="1"/>
  <c r="AR130" i="6" s="1"/>
  <c r="AR131" i="6" s="1"/>
  <c r="AR132" i="6" s="1"/>
  <c r="E9" i="6"/>
  <c r="D9" i="6"/>
  <c r="H133" i="6"/>
  <c r="H134" i="6" s="1"/>
  <c r="H135" i="6" s="1"/>
  <c r="AQ352" i="9" l="1"/>
  <c r="AQ462" i="9"/>
  <c r="AQ23" i="9"/>
  <c r="DC22" i="9"/>
  <c r="AS36" i="9"/>
  <c r="DF21" i="9" s="1"/>
  <c r="D17" i="9"/>
  <c r="E17" i="9"/>
  <c r="V168" i="8"/>
  <c r="BR167" i="8"/>
  <c r="V133" i="8"/>
  <c r="BS131" i="8" s="1"/>
  <c r="BT131" i="8" s="1"/>
  <c r="BR132" i="8"/>
  <c r="AJ185" i="8"/>
  <c r="AJ186" i="8" s="1"/>
  <c r="AJ187" i="8" s="1"/>
  <c r="AJ188" i="8" s="1"/>
  <c r="AJ189" i="8" s="1"/>
  <c r="AJ190" i="8" s="1"/>
  <c r="AJ191" i="8" s="1"/>
  <c r="AJ192" i="8" s="1"/>
  <c r="AJ193" i="8" s="1"/>
  <c r="AJ194" i="8" s="1"/>
  <c r="AJ195" i="8" s="1"/>
  <c r="AJ196" i="8" s="1"/>
  <c r="AJ197" i="8" s="1"/>
  <c r="AJ198" i="8" s="1"/>
  <c r="AJ199" i="8" s="1"/>
  <c r="AJ200" i="8" s="1"/>
  <c r="AJ201" i="8" s="1"/>
  <c r="AJ202" i="8" s="1"/>
  <c r="AJ203" i="8" s="1"/>
  <c r="AJ204" i="8" s="1"/>
  <c r="AJ205" i="8" s="1"/>
  <c r="AJ206" i="8" s="1"/>
  <c r="AJ207" i="8" s="1"/>
  <c r="AJ208" i="8" s="1"/>
  <c r="AJ209" i="8" s="1"/>
  <c r="AJ210" i="8" s="1"/>
  <c r="AJ211" i="8" s="1"/>
  <c r="AJ212" i="8" s="1"/>
  <c r="AJ213" i="8" s="1"/>
  <c r="AJ214" i="8" s="1"/>
  <c r="AJ215" i="8" s="1"/>
  <c r="AJ216" i="8" s="1"/>
  <c r="AJ217" i="8" s="1"/>
  <c r="AJ218" i="8" s="1"/>
  <c r="AJ219" i="8" s="1"/>
  <c r="AJ220" i="8" s="1"/>
  <c r="AJ221" i="8" s="1"/>
  <c r="AJ222" i="8" s="1"/>
  <c r="AJ223" i="8" s="1"/>
  <c r="AJ224" i="8" s="1"/>
  <c r="AJ225" i="8" s="1"/>
  <c r="AJ226" i="8" s="1"/>
  <c r="AJ227" i="8" s="1"/>
  <c r="AJ228" i="8" s="1"/>
  <c r="AJ229" i="8" s="1"/>
  <c r="AJ230" i="8" s="1"/>
  <c r="AJ231" i="8" s="1"/>
  <c r="AJ232" i="8" s="1"/>
  <c r="AJ233" i="8" s="1"/>
  <c r="AJ234" i="8" s="1"/>
  <c r="AJ235" i="8" s="1"/>
  <c r="AJ236" i="8" s="1"/>
  <c r="AJ237" i="8" s="1"/>
  <c r="AJ238" i="8" s="1"/>
  <c r="AJ239" i="8" s="1"/>
  <c r="AJ240" i="8" s="1"/>
  <c r="AJ241" i="8" s="1"/>
  <c r="AJ242" i="8" s="1"/>
  <c r="AJ243" i="8" s="1"/>
  <c r="AJ244" i="8" s="1"/>
  <c r="AJ245" i="8" s="1"/>
  <c r="AJ246" i="8" s="1"/>
  <c r="AJ247" i="8" s="1"/>
  <c r="AJ248" i="8" s="1"/>
  <c r="AJ249" i="8" s="1"/>
  <c r="AJ250" i="8" s="1"/>
  <c r="AJ251" i="8" s="1"/>
  <c r="AJ252" i="8" s="1"/>
  <c r="AJ253" i="8" s="1"/>
  <c r="AJ254" i="8" s="1"/>
  <c r="AJ255" i="8" s="1"/>
  <c r="AJ256" i="8" s="1"/>
  <c r="AJ257" i="8" s="1"/>
  <c r="AJ258" i="8" s="1"/>
  <c r="AJ259" i="8" s="1"/>
  <c r="AJ260" i="8" s="1"/>
  <c r="AJ261" i="8" s="1"/>
  <c r="AJ262" i="8" s="1"/>
  <c r="AJ263" i="8" s="1"/>
  <c r="AJ264" i="8" s="1"/>
  <c r="AJ265" i="8" s="1"/>
  <c r="AJ266" i="8" s="1"/>
  <c r="AJ267" i="8" s="1"/>
  <c r="AJ268" i="8" s="1"/>
  <c r="AJ269" i="8" s="1"/>
  <c r="AJ270" i="8" s="1"/>
  <c r="Y186" i="8"/>
  <c r="Y187" i="8" s="1"/>
  <c r="Y188" i="8" s="1"/>
  <c r="Y189" i="8" s="1"/>
  <c r="AA186" i="8"/>
  <c r="AA187" i="8" s="1"/>
  <c r="AA188" i="8" s="1"/>
  <c r="AA189" i="8" s="1"/>
  <c r="AA190" i="8" s="1"/>
  <c r="AA191" i="8" s="1"/>
  <c r="AA192" i="8" s="1"/>
  <c r="Z186" i="8"/>
  <c r="Z187" i="8" s="1"/>
  <c r="Z188" i="8" s="1"/>
  <c r="Z189" i="8" s="1"/>
  <c r="Z190" i="8" s="1"/>
  <c r="Z191" i="8" s="1"/>
  <c r="Z192" i="8" s="1"/>
  <c r="W186" i="8"/>
  <c r="W187" i="8" s="1"/>
  <c r="W188" i="8" s="1"/>
  <c r="W189" i="8" s="1"/>
  <c r="W190" i="8" s="1"/>
  <c r="W191" i="8" s="1"/>
  <c r="W192" i="8" s="1"/>
  <c r="W193" i="8" s="1"/>
  <c r="W194" i="8" s="1"/>
  <c r="W195" i="8" s="1"/>
  <c r="AC155" i="8"/>
  <c r="BR185" i="8"/>
  <c r="V186" i="8"/>
  <c r="AC47" i="8"/>
  <c r="V65" i="8"/>
  <c r="BU17" i="8"/>
  <c r="BU16" i="8"/>
  <c r="B12" i="8"/>
  <c r="F11" i="8"/>
  <c r="BR150" i="8"/>
  <c r="V151" i="8"/>
  <c r="V86" i="8"/>
  <c r="BS84" i="8" s="1"/>
  <c r="BT84" i="8" s="1"/>
  <c r="BR85" i="8"/>
  <c r="X186" i="8"/>
  <c r="X187" i="8" s="1"/>
  <c r="X188" i="8" s="1"/>
  <c r="X189" i="8" s="1"/>
  <c r="X190" i="8" s="1"/>
  <c r="AC75" i="8"/>
  <c r="Y192" i="8"/>
  <c r="G192" i="8"/>
  <c r="G193" i="8" s="1"/>
  <c r="G194" i="8" s="1"/>
  <c r="G195" i="8" s="1"/>
  <c r="G196" i="8" s="1"/>
  <c r="V111" i="8"/>
  <c r="BR32" i="8"/>
  <c r="V33" i="8"/>
  <c r="BS31" i="8" s="1"/>
  <c r="BT31" i="8" s="1"/>
  <c r="BS165" i="8"/>
  <c r="BT165" i="8" s="1"/>
  <c r="V18" i="8"/>
  <c r="BR17" i="8"/>
  <c r="BS27" i="6"/>
  <c r="BT27" i="6" s="1"/>
  <c r="Z68" i="6"/>
  <c r="Z69" i="6" s="1"/>
  <c r="AC30" i="6"/>
  <c r="BU12" i="6"/>
  <c r="AC43" i="6"/>
  <c r="V15" i="6"/>
  <c r="BR15" i="6" s="1"/>
  <c r="V30" i="6"/>
  <c r="V62" i="6"/>
  <c r="AR133" i="6"/>
  <c r="AR134" i="6" s="1"/>
  <c r="AR135" i="6" s="1"/>
  <c r="AQ133" i="6"/>
  <c r="AQ134" i="6" s="1"/>
  <c r="B10" i="6"/>
  <c r="F9" i="6"/>
  <c r="H136" i="6"/>
  <c r="AQ463" i="9" l="1"/>
  <c r="AQ24" i="9"/>
  <c r="DC23" i="9"/>
  <c r="DD22" i="9"/>
  <c r="DE22" i="9" s="1"/>
  <c r="DD21" i="9"/>
  <c r="DE21" i="9" s="1"/>
  <c r="AQ353" i="9"/>
  <c r="AS37" i="9"/>
  <c r="DF22" i="9" s="1"/>
  <c r="Y193" i="8"/>
  <c r="Y194" i="8" s="1"/>
  <c r="Y195" i="8" s="1"/>
  <c r="Y196" i="8" s="1"/>
  <c r="Y197" i="8" s="1"/>
  <c r="F17" i="9"/>
  <c r="B18" i="9"/>
  <c r="BR18" i="8"/>
  <c r="BS16" i="8"/>
  <c r="BT16" i="8" s="1"/>
  <c r="X197" i="8"/>
  <c r="G197" i="8"/>
  <c r="G198" i="8" s="1"/>
  <c r="G199" i="8" s="1"/>
  <c r="G200" i="8" s="1"/>
  <c r="G201" i="8" s="1"/>
  <c r="X191" i="8"/>
  <c r="X192" i="8" s="1"/>
  <c r="X193" i="8" s="1"/>
  <c r="X194" i="8" s="1"/>
  <c r="AK190" i="8"/>
  <c r="AK191" i="8" s="1"/>
  <c r="AK192" i="8" s="1"/>
  <c r="AK193" i="8" s="1"/>
  <c r="AK194" i="8" s="1"/>
  <c r="AK195" i="8" s="1"/>
  <c r="AK196" i="8" s="1"/>
  <c r="AK197" i="8" s="1"/>
  <c r="AK198" i="8" s="1"/>
  <c r="AK199" i="8" s="1"/>
  <c r="AK200" i="8" s="1"/>
  <c r="AK201" i="8" s="1"/>
  <c r="AK202" i="8" s="1"/>
  <c r="AK203" i="8" s="1"/>
  <c r="AK204" i="8" s="1"/>
  <c r="AK205" i="8" s="1"/>
  <c r="AK206" i="8" s="1"/>
  <c r="AK207" i="8" s="1"/>
  <c r="AK208" i="8" s="1"/>
  <c r="AK209" i="8" s="1"/>
  <c r="AK210" i="8" s="1"/>
  <c r="AK211" i="8" s="1"/>
  <c r="AK212" i="8" s="1"/>
  <c r="AK213" i="8" s="1"/>
  <c r="AK214" i="8" s="1"/>
  <c r="AK215" i="8" s="1"/>
  <c r="AK216" i="8" s="1"/>
  <c r="AK217" i="8" s="1"/>
  <c r="AK218" i="8" s="1"/>
  <c r="AK219" i="8" s="1"/>
  <c r="AK220" i="8" s="1"/>
  <c r="AK221" i="8" s="1"/>
  <c r="AK222" i="8" s="1"/>
  <c r="AK223" i="8" s="1"/>
  <c r="AK224" i="8" s="1"/>
  <c r="AK225" i="8" s="1"/>
  <c r="AK226" i="8" s="1"/>
  <c r="AK227" i="8" s="1"/>
  <c r="AK228" i="8" s="1"/>
  <c r="AK229" i="8" s="1"/>
  <c r="AK230" i="8" s="1"/>
  <c r="AK231" i="8" s="1"/>
  <c r="AK232" i="8" s="1"/>
  <c r="AK233" i="8" s="1"/>
  <c r="AK234" i="8" s="1"/>
  <c r="AK235" i="8" s="1"/>
  <c r="AK236" i="8" s="1"/>
  <c r="AK237" i="8" s="1"/>
  <c r="AK238" i="8" s="1"/>
  <c r="AK239" i="8" s="1"/>
  <c r="AK240" i="8" s="1"/>
  <c r="AK241" i="8" s="1"/>
  <c r="AK242" i="8" s="1"/>
  <c r="AK243" i="8" s="1"/>
  <c r="AK244" i="8" s="1"/>
  <c r="AK245" i="8" s="1"/>
  <c r="AK246" i="8" s="1"/>
  <c r="AK247" i="8" s="1"/>
  <c r="AK248" i="8" s="1"/>
  <c r="AK249" i="8" s="1"/>
  <c r="AK250" i="8" s="1"/>
  <c r="AK251" i="8" s="1"/>
  <c r="AK252" i="8" s="1"/>
  <c r="AK253" i="8" s="1"/>
  <c r="AK254" i="8" s="1"/>
  <c r="AK255" i="8" s="1"/>
  <c r="AK256" i="8" s="1"/>
  <c r="AK257" i="8" s="1"/>
  <c r="AK258" i="8" s="1"/>
  <c r="AK259" i="8" s="1"/>
  <c r="AK260" i="8" s="1"/>
  <c r="AK261" i="8" s="1"/>
  <c r="AK262" i="8" s="1"/>
  <c r="AK263" i="8" s="1"/>
  <c r="AK264" i="8" s="1"/>
  <c r="AK265" i="8" s="1"/>
  <c r="AK266" i="8" s="1"/>
  <c r="AK267" i="8" s="1"/>
  <c r="AK268" i="8" s="1"/>
  <c r="AK269" i="8" s="1"/>
  <c r="AK270" i="8" s="1"/>
  <c r="AK271" i="8" s="1"/>
  <c r="AK272" i="8" s="1"/>
  <c r="AK273" i="8" s="1"/>
  <c r="AK274" i="8" s="1"/>
  <c r="AK275" i="8" s="1"/>
  <c r="BR86" i="8"/>
  <c r="V87" i="8"/>
  <c r="V66" i="8"/>
  <c r="AC48" i="8"/>
  <c r="Z193" i="8"/>
  <c r="Z194" i="8" s="1"/>
  <c r="Z195" i="8" s="1"/>
  <c r="Z196" i="8" s="1"/>
  <c r="Z197" i="8" s="1"/>
  <c r="AL195" i="8"/>
  <c r="AL196" i="8" s="1"/>
  <c r="AL197" i="8" s="1"/>
  <c r="AL198" i="8" s="1"/>
  <c r="AL199" i="8" s="1"/>
  <c r="AL200" i="8" s="1"/>
  <c r="AL201" i="8" s="1"/>
  <c r="AL202" i="8" s="1"/>
  <c r="AL203" i="8" s="1"/>
  <c r="AL204" i="8" s="1"/>
  <c r="AL205" i="8" s="1"/>
  <c r="AL206" i="8" s="1"/>
  <c r="AL207" i="8" s="1"/>
  <c r="AL208" i="8" s="1"/>
  <c r="AL209" i="8" s="1"/>
  <c r="AL210" i="8" s="1"/>
  <c r="AL211" i="8" s="1"/>
  <c r="AL212" i="8" s="1"/>
  <c r="AL213" i="8" s="1"/>
  <c r="AL214" i="8" s="1"/>
  <c r="AL215" i="8" s="1"/>
  <c r="AL216" i="8" s="1"/>
  <c r="AL217" i="8" s="1"/>
  <c r="AL218" i="8" s="1"/>
  <c r="AL219" i="8" s="1"/>
  <c r="AL220" i="8" s="1"/>
  <c r="AL221" i="8" s="1"/>
  <c r="AL222" i="8" s="1"/>
  <c r="AL223" i="8" s="1"/>
  <c r="AL224" i="8" s="1"/>
  <c r="AL225" i="8" s="1"/>
  <c r="AL226" i="8" s="1"/>
  <c r="AL227" i="8" s="1"/>
  <c r="AL228" i="8" s="1"/>
  <c r="AL229" i="8" s="1"/>
  <c r="AL230" i="8" s="1"/>
  <c r="AL231" i="8" s="1"/>
  <c r="AL232" i="8" s="1"/>
  <c r="AL233" i="8" s="1"/>
  <c r="AL234" i="8" s="1"/>
  <c r="AL235" i="8" s="1"/>
  <c r="AL236" i="8" s="1"/>
  <c r="AL237" i="8" s="1"/>
  <c r="AL238" i="8" s="1"/>
  <c r="AL239" i="8" s="1"/>
  <c r="AL240" i="8" s="1"/>
  <c r="AL241" i="8" s="1"/>
  <c r="AL242" i="8" s="1"/>
  <c r="AL243" i="8" s="1"/>
  <c r="AL244" i="8" s="1"/>
  <c r="AL245" i="8" s="1"/>
  <c r="AL246" i="8" s="1"/>
  <c r="AL247" i="8" s="1"/>
  <c r="AL248" i="8" s="1"/>
  <c r="AL249" i="8" s="1"/>
  <c r="AL250" i="8" s="1"/>
  <c r="AL251" i="8" s="1"/>
  <c r="AL252" i="8" s="1"/>
  <c r="AL253" i="8" s="1"/>
  <c r="AL254" i="8" s="1"/>
  <c r="AL255" i="8" s="1"/>
  <c r="AL256" i="8" s="1"/>
  <c r="AL257" i="8" s="1"/>
  <c r="AL258" i="8" s="1"/>
  <c r="AL259" i="8" s="1"/>
  <c r="AL260" i="8" s="1"/>
  <c r="AL261" i="8" s="1"/>
  <c r="AL262" i="8" s="1"/>
  <c r="AL263" i="8" s="1"/>
  <c r="AL264" i="8" s="1"/>
  <c r="AL265" i="8" s="1"/>
  <c r="AL266" i="8" s="1"/>
  <c r="AL267" i="8" s="1"/>
  <c r="AL268" i="8" s="1"/>
  <c r="AL269" i="8" s="1"/>
  <c r="AL270" i="8" s="1"/>
  <c r="AL271" i="8" s="1"/>
  <c r="AL272" i="8" s="1"/>
  <c r="AL273" i="8" s="1"/>
  <c r="AL274" i="8" s="1"/>
  <c r="AL275" i="8" s="1"/>
  <c r="AL276" i="8" s="1"/>
  <c r="AL277" i="8" s="1"/>
  <c r="AL278" i="8" s="1"/>
  <c r="AL279" i="8" s="1"/>
  <c r="AL280" i="8" s="1"/>
  <c r="W196" i="8"/>
  <c r="W197" i="8" s="1"/>
  <c r="D12" i="8"/>
  <c r="E12" i="8"/>
  <c r="AA193" i="8"/>
  <c r="AA194" i="8" s="1"/>
  <c r="AA195" i="8" s="1"/>
  <c r="AA196" i="8" s="1"/>
  <c r="AA197" i="8" s="1"/>
  <c r="AA198" i="8" s="1"/>
  <c r="AA199" i="8" s="1"/>
  <c r="AA200" i="8" s="1"/>
  <c r="AA201" i="8" s="1"/>
  <c r="AA202" i="8" s="1"/>
  <c r="V169" i="8"/>
  <c r="V112" i="8"/>
  <c r="BR111" i="8"/>
  <c r="V187" i="8"/>
  <c r="BS185" i="8" s="1"/>
  <c r="BT185" i="8" s="1"/>
  <c r="BR186" i="8"/>
  <c r="Y198" i="8"/>
  <c r="Y199" i="8" s="1"/>
  <c r="Y200" i="8" s="1"/>
  <c r="Y201" i="8" s="1"/>
  <c r="Y202" i="8" s="1"/>
  <c r="BR33" i="8"/>
  <c r="V34" i="8"/>
  <c r="BS32" i="8" s="1"/>
  <c r="BT32" i="8" s="1"/>
  <c r="AC76" i="8"/>
  <c r="V152" i="8"/>
  <c r="BS184" i="8"/>
  <c r="BT184" i="8" s="1"/>
  <c r="AC156" i="8"/>
  <c r="V134" i="8"/>
  <c r="BS132" i="8" s="1"/>
  <c r="BT132" i="8" s="1"/>
  <c r="BR133" i="8"/>
  <c r="BS28" i="6"/>
  <c r="BT28" i="6" s="1"/>
  <c r="BR30" i="6"/>
  <c r="Z70" i="6"/>
  <c r="AC44" i="6"/>
  <c r="AC31" i="6"/>
  <c r="BU13" i="6"/>
  <c r="V31" i="6"/>
  <c r="BR31" i="6" s="1"/>
  <c r="V63" i="6"/>
  <c r="V16" i="6"/>
  <c r="BR16" i="6" s="1"/>
  <c r="BS14" i="6"/>
  <c r="BT14" i="6" s="1"/>
  <c r="AR136" i="6"/>
  <c r="E10" i="6"/>
  <c r="D10" i="6"/>
  <c r="H137" i="6"/>
  <c r="H138" i="6" s="1"/>
  <c r="H139" i="6" s="1"/>
  <c r="H140" i="6" s="1"/>
  <c r="AQ354" i="9" l="1"/>
  <c r="AQ25" i="9"/>
  <c r="DC24" i="9"/>
  <c r="DD23" i="9"/>
  <c r="DE23" i="9" s="1"/>
  <c r="AQ464" i="9"/>
  <c r="AS38" i="9"/>
  <c r="DF23" i="9" s="1"/>
  <c r="W198" i="8"/>
  <c r="W199" i="8" s="1"/>
  <c r="Z198" i="8"/>
  <c r="Z199" i="8" s="1"/>
  <c r="Z200" i="8" s="1"/>
  <c r="Z201" i="8" s="1"/>
  <c r="Z202" i="8" s="1"/>
  <c r="X198" i="8"/>
  <c r="X199" i="8" s="1"/>
  <c r="X200" i="8" s="1"/>
  <c r="X201" i="8" s="1"/>
  <c r="X202" i="8" s="1"/>
  <c r="D18" i="9"/>
  <c r="E18" i="9"/>
  <c r="V113" i="8"/>
  <c r="BS111" i="8" s="1"/>
  <c r="BT111" i="8" s="1"/>
  <c r="BR112" i="8"/>
  <c r="BS110" i="8"/>
  <c r="BT110" i="8" s="1"/>
  <c r="B13" i="8"/>
  <c r="F12" i="8"/>
  <c r="AC157" i="8"/>
  <c r="V153" i="8"/>
  <c r="BR34" i="8"/>
  <c r="V35" i="8"/>
  <c r="V170" i="8"/>
  <c r="AC49" i="8"/>
  <c r="V88" i="8"/>
  <c r="BR66" i="8"/>
  <c r="V67" i="8"/>
  <c r="BS65" i="8" s="1"/>
  <c r="BT65" i="8" s="1"/>
  <c r="G202" i="8"/>
  <c r="G203" i="8" s="1"/>
  <c r="G204" i="8" s="1"/>
  <c r="G205" i="8" s="1"/>
  <c r="G206" i="8" s="1"/>
  <c r="W202" i="8"/>
  <c r="W203" i="8" s="1"/>
  <c r="W204" i="8" s="1"/>
  <c r="W205" i="8" s="1"/>
  <c r="W206" i="8" s="1"/>
  <c r="W207" i="8" s="1"/>
  <c r="V135" i="8"/>
  <c r="BR134" i="8"/>
  <c r="AC77" i="8"/>
  <c r="V188" i="8"/>
  <c r="BS186" i="8" s="1"/>
  <c r="BT186" i="8" s="1"/>
  <c r="BR187" i="8"/>
  <c r="X203" i="8"/>
  <c r="X204" i="8" s="1"/>
  <c r="X205" i="8" s="1"/>
  <c r="X206" i="8" s="1"/>
  <c r="X207" i="8" s="1"/>
  <c r="Z71" i="6"/>
  <c r="BU14" i="6"/>
  <c r="AC32" i="6"/>
  <c r="AC45" i="6"/>
  <c r="V32" i="6"/>
  <c r="V17" i="6"/>
  <c r="BR17" i="6" s="1"/>
  <c r="BS29" i="6"/>
  <c r="BT29" i="6" s="1"/>
  <c r="V64" i="6"/>
  <c r="AR137" i="6"/>
  <c r="AR138" i="6" s="1"/>
  <c r="AR139" i="6" s="1"/>
  <c r="AR140" i="6" s="1"/>
  <c r="F10" i="6"/>
  <c r="B11" i="6"/>
  <c r="H141" i="6"/>
  <c r="H142" i="6" s="1"/>
  <c r="H143" i="6" s="1"/>
  <c r="H144" i="6" s="1"/>
  <c r="AQ465" i="9" l="1"/>
  <c r="AQ26" i="9"/>
  <c r="DC25" i="9"/>
  <c r="DD24" i="9"/>
  <c r="DE24" i="9" s="1"/>
  <c r="AQ355" i="9"/>
  <c r="AS39" i="9"/>
  <c r="DF24" i="9" s="1"/>
  <c r="F18" i="9"/>
  <c r="B19" i="9"/>
  <c r="AC50" i="8"/>
  <c r="V171" i="8"/>
  <c r="BS169" i="8" s="1"/>
  <c r="BT169" i="8" s="1"/>
  <c r="BR170" i="8"/>
  <c r="AC158" i="8"/>
  <c r="Y203" i="8"/>
  <c r="Y204" i="8" s="1"/>
  <c r="Y205" i="8" s="1"/>
  <c r="Y206" i="8" s="1"/>
  <c r="Y207" i="8" s="1"/>
  <c r="V189" i="8"/>
  <c r="BS187" i="8" s="1"/>
  <c r="BT187" i="8" s="1"/>
  <c r="BR188" i="8"/>
  <c r="AC78" i="8"/>
  <c r="V136" i="8"/>
  <c r="AQ135" i="8"/>
  <c r="AQ136" i="8" s="1"/>
  <c r="AQ137" i="8" s="1"/>
  <c r="AQ138" i="8" s="1"/>
  <c r="AQ139" i="8" s="1"/>
  <c r="AQ140" i="8" s="1"/>
  <c r="AQ141" i="8" s="1"/>
  <c r="AQ142" i="8" s="1"/>
  <c r="AQ143" i="8" s="1"/>
  <c r="AQ144" i="8" s="1"/>
  <c r="AQ145" i="8" s="1"/>
  <c r="AQ146" i="8" s="1"/>
  <c r="AQ147" i="8" s="1"/>
  <c r="AQ148" i="8" s="1"/>
  <c r="AQ149" i="8" s="1"/>
  <c r="AQ150" i="8" s="1"/>
  <c r="AQ151" i="8" s="1"/>
  <c r="AQ152" i="8" s="1"/>
  <c r="AQ153" i="8" s="1"/>
  <c r="AQ154" i="8" s="1"/>
  <c r="AQ155" i="8" s="1"/>
  <c r="AQ156" i="8" s="1"/>
  <c r="AQ157" i="8" s="1"/>
  <c r="AQ158" i="8" s="1"/>
  <c r="AQ159" i="8" s="1"/>
  <c r="AQ160" i="8" s="1"/>
  <c r="AQ161" i="8" s="1"/>
  <c r="AQ162" i="8" s="1"/>
  <c r="AQ163" i="8" s="1"/>
  <c r="AQ164" i="8" s="1"/>
  <c r="AQ165" i="8" s="1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Q184" i="8" s="1"/>
  <c r="AQ185" i="8" s="1"/>
  <c r="AQ186" i="8" s="1"/>
  <c r="AQ187" i="8" s="1"/>
  <c r="AQ188" i="8" s="1"/>
  <c r="AQ189" i="8" s="1"/>
  <c r="AQ190" i="8" s="1"/>
  <c r="AQ191" i="8" s="1"/>
  <c r="AQ192" i="8" s="1"/>
  <c r="AQ193" i="8" s="1"/>
  <c r="AQ194" i="8" s="1"/>
  <c r="AQ195" i="8" s="1"/>
  <c r="AQ196" i="8" s="1"/>
  <c r="AQ197" i="8" s="1"/>
  <c r="AQ198" i="8" s="1"/>
  <c r="AQ199" i="8" s="1"/>
  <c r="AQ200" i="8" s="1"/>
  <c r="AQ201" i="8" s="1"/>
  <c r="AQ202" i="8" s="1"/>
  <c r="AQ203" i="8" s="1"/>
  <c r="AQ204" i="8" s="1"/>
  <c r="AQ205" i="8" s="1"/>
  <c r="AQ206" i="8" s="1"/>
  <c r="AQ207" i="8" s="1"/>
  <c r="AQ208" i="8" s="1"/>
  <c r="AQ209" i="8" s="1"/>
  <c r="AQ210" i="8" s="1"/>
  <c r="AQ211" i="8" s="1"/>
  <c r="AQ212" i="8" s="1"/>
  <c r="AQ213" i="8" s="1"/>
  <c r="AQ214" i="8" s="1"/>
  <c r="AQ215" i="8" s="1"/>
  <c r="AQ216" i="8" s="1"/>
  <c r="AQ217" i="8" s="1"/>
  <c r="AQ218" i="8" s="1"/>
  <c r="AQ219" i="8" s="1"/>
  <c r="AQ220" i="8" s="1"/>
  <c r="AQ221" i="8" s="1"/>
  <c r="V89" i="8"/>
  <c r="BR35" i="8"/>
  <c r="V36" i="8"/>
  <c r="V207" i="8"/>
  <c r="G207" i="8"/>
  <c r="G208" i="8" s="1"/>
  <c r="G209" i="8" s="1"/>
  <c r="G210" i="8" s="1"/>
  <c r="G211" i="8" s="1"/>
  <c r="G212" i="8" s="1"/>
  <c r="G213" i="8" s="1"/>
  <c r="Z203" i="8"/>
  <c r="Z204" i="8" s="1"/>
  <c r="Z205" i="8" s="1"/>
  <c r="Z206" i="8" s="1"/>
  <c r="Z207" i="8" s="1"/>
  <c r="Z208" i="8" s="1"/>
  <c r="Z209" i="8" s="1"/>
  <c r="Z210" i="8" s="1"/>
  <c r="Z211" i="8" s="1"/>
  <c r="Z212" i="8" s="1"/>
  <c r="Z213" i="8" s="1"/>
  <c r="Z214" i="8" s="1"/>
  <c r="AA203" i="8"/>
  <c r="AA204" i="8" s="1"/>
  <c r="AA205" i="8" s="1"/>
  <c r="AA206" i="8" s="1"/>
  <c r="AA207" i="8" s="1"/>
  <c r="BR67" i="8"/>
  <c r="V68" i="8"/>
  <c r="BS33" i="8"/>
  <c r="BT33" i="8" s="1"/>
  <c r="BR153" i="8"/>
  <c r="V154" i="8"/>
  <c r="D13" i="8"/>
  <c r="X13" i="8"/>
  <c r="E13" i="8"/>
  <c r="BS13" i="8"/>
  <c r="BT13" i="8" s="1"/>
  <c r="V114" i="8"/>
  <c r="AM113" i="8"/>
  <c r="AM114" i="8" s="1"/>
  <c r="AM115" i="8" s="1"/>
  <c r="AM116" i="8" s="1"/>
  <c r="AM117" i="8" s="1"/>
  <c r="AM118" i="8" s="1"/>
  <c r="AM119" i="8" s="1"/>
  <c r="AM120" i="8" s="1"/>
  <c r="AM121" i="8" s="1"/>
  <c r="AM122" i="8" s="1"/>
  <c r="AM123" i="8" s="1"/>
  <c r="AM124" i="8" s="1"/>
  <c r="AM125" i="8" s="1"/>
  <c r="AM126" i="8" s="1"/>
  <c r="AM127" i="8" s="1"/>
  <c r="AM128" i="8" s="1"/>
  <c r="AM129" i="8" s="1"/>
  <c r="AM130" i="8" s="1"/>
  <c r="AM131" i="8" s="1"/>
  <c r="AM132" i="8" s="1"/>
  <c r="AM133" i="8" s="1"/>
  <c r="AM134" i="8" s="1"/>
  <c r="AM135" i="8" s="1"/>
  <c r="AM136" i="8" s="1"/>
  <c r="AM137" i="8" s="1"/>
  <c r="AM138" i="8" s="1"/>
  <c r="AM139" i="8" s="1"/>
  <c r="AM140" i="8" s="1"/>
  <c r="AM141" i="8" s="1"/>
  <c r="AM142" i="8" s="1"/>
  <c r="AM143" i="8" s="1"/>
  <c r="AM144" i="8" s="1"/>
  <c r="AM145" i="8" s="1"/>
  <c r="AM146" i="8" s="1"/>
  <c r="AM147" i="8" s="1"/>
  <c r="AM148" i="8" s="1"/>
  <c r="AM149" i="8" s="1"/>
  <c r="AM150" i="8" s="1"/>
  <c r="AM151" i="8" s="1"/>
  <c r="AM152" i="8" s="1"/>
  <c r="AM153" i="8" s="1"/>
  <c r="AM154" i="8" s="1"/>
  <c r="AM155" i="8" s="1"/>
  <c r="AM156" i="8" s="1"/>
  <c r="AM157" i="8" s="1"/>
  <c r="AM158" i="8" s="1"/>
  <c r="AM159" i="8" s="1"/>
  <c r="AM160" i="8" s="1"/>
  <c r="AM161" i="8" s="1"/>
  <c r="AM162" i="8" s="1"/>
  <c r="AM163" i="8" s="1"/>
  <c r="AM164" i="8" s="1"/>
  <c r="AM165" i="8" s="1"/>
  <c r="AM166" i="8" s="1"/>
  <c r="AM167" i="8" s="1"/>
  <c r="AM168" i="8" s="1"/>
  <c r="AM169" i="8" s="1"/>
  <c r="AM170" i="8" s="1"/>
  <c r="AM171" i="8" s="1"/>
  <c r="AM172" i="8" s="1"/>
  <c r="AM173" i="8" s="1"/>
  <c r="AM174" i="8" s="1"/>
  <c r="AM175" i="8" s="1"/>
  <c r="AM176" i="8" s="1"/>
  <c r="AM177" i="8" s="1"/>
  <c r="AM178" i="8" s="1"/>
  <c r="AM179" i="8" s="1"/>
  <c r="AM180" i="8" s="1"/>
  <c r="AM181" i="8" s="1"/>
  <c r="AM182" i="8" s="1"/>
  <c r="AM183" i="8" s="1"/>
  <c r="AM184" i="8" s="1"/>
  <c r="AM185" i="8" s="1"/>
  <c r="AM186" i="8" s="1"/>
  <c r="AM187" i="8" s="1"/>
  <c r="AM188" i="8" s="1"/>
  <c r="AM189" i="8" s="1"/>
  <c r="AM190" i="8" s="1"/>
  <c r="AM191" i="8" s="1"/>
  <c r="AM192" i="8" s="1"/>
  <c r="AM193" i="8" s="1"/>
  <c r="AM194" i="8" s="1"/>
  <c r="AM195" i="8" s="1"/>
  <c r="AM196" i="8" s="1"/>
  <c r="AM197" i="8" s="1"/>
  <c r="AM198" i="8" s="1"/>
  <c r="AM199" i="8" s="1"/>
  <c r="BR113" i="8"/>
  <c r="BS15" i="6"/>
  <c r="BT15" i="6" s="1"/>
  <c r="BS30" i="6"/>
  <c r="BT30" i="6" s="1"/>
  <c r="BR32" i="6"/>
  <c r="Z72" i="6"/>
  <c r="Z73" i="6" s="1"/>
  <c r="AC46" i="6"/>
  <c r="AC33" i="6"/>
  <c r="BU15" i="6"/>
  <c r="V18" i="6"/>
  <c r="V65" i="6"/>
  <c r="V33" i="6"/>
  <c r="AR141" i="6"/>
  <c r="E11" i="6"/>
  <c r="D11" i="6"/>
  <c r="H145" i="6"/>
  <c r="AQ356" i="9" l="1"/>
  <c r="AQ27" i="9"/>
  <c r="DC26" i="9"/>
  <c r="DD25" i="9"/>
  <c r="DE25" i="9" s="1"/>
  <c r="AQ466" i="9"/>
  <c r="AS40" i="9"/>
  <c r="DF25" i="9" s="1"/>
  <c r="D19" i="9"/>
  <c r="E19" i="9"/>
  <c r="BR154" i="8"/>
  <c r="V155" i="8"/>
  <c r="AD68" i="8"/>
  <c r="V69" i="8"/>
  <c r="BR36" i="8"/>
  <c r="AO36" i="8"/>
  <c r="V37" i="8"/>
  <c r="BS35" i="8" s="1"/>
  <c r="BT35" i="8" s="1"/>
  <c r="AN207" i="8"/>
  <c r="AN208" i="8" s="1"/>
  <c r="AN209" i="8" s="1"/>
  <c r="AN210" i="8" s="1"/>
  <c r="AN211" i="8" s="1"/>
  <c r="AN212" i="8" s="1"/>
  <c r="AN213" i="8" s="1"/>
  <c r="AN214" i="8" s="1"/>
  <c r="AN215" i="8" s="1"/>
  <c r="AN216" i="8" s="1"/>
  <c r="AN217" i="8" s="1"/>
  <c r="AN218" i="8" s="1"/>
  <c r="AN219" i="8" s="1"/>
  <c r="AN220" i="8" s="1"/>
  <c r="AN221" i="8" s="1"/>
  <c r="AN222" i="8" s="1"/>
  <c r="AN223" i="8" s="1"/>
  <c r="AN224" i="8" s="1"/>
  <c r="AN225" i="8" s="1"/>
  <c r="AN226" i="8" s="1"/>
  <c r="AN227" i="8" s="1"/>
  <c r="AN228" i="8" s="1"/>
  <c r="AN229" i="8" s="1"/>
  <c r="AN230" i="8" s="1"/>
  <c r="AN231" i="8" s="1"/>
  <c r="AN232" i="8" s="1"/>
  <c r="AN233" i="8" s="1"/>
  <c r="AN234" i="8" s="1"/>
  <c r="AN235" i="8" s="1"/>
  <c r="AN236" i="8" s="1"/>
  <c r="AN237" i="8" s="1"/>
  <c r="AN238" i="8" s="1"/>
  <c r="AN239" i="8" s="1"/>
  <c r="AN240" i="8" s="1"/>
  <c r="AN241" i="8" s="1"/>
  <c r="AN242" i="8" s="1"/>
  <c r="AN243" i="8" s="1"/>
  <c r="AN244" i="8" s="1"/>
  <c r="AN245" i="8" s="1"/>
  <c r="AN246" i="8" s="1"/>
  <c r="AN247" i="8" s="1"/>
  <c r="AN248" i="8" s="1"/>
  <c r="AN249" i="8" s="1"/>
  <c r="AN250" i="8" s="1"/>
  <c r="AN251" i="8" s="1"/>
  <c r="AN252" i="8" s="1"/>
  <c r="AN253" i="8" s="1"/>
  <c r="AN254" i="8" s="1"/>
  <c r="AN255" i="8" s="1"/>
  <c r="AN256" i="8" s="1"/>
  <c r="AN257" i="8" s="1"/>
  <c r="AN258" i="8" s="1"/>
  <c r="AN259" i="8" s="1"/>
  <c r="AN260" i="8" s="1"/>
  <c r="AN261" i="8" s="1"/>
  <c r="AN262" i="8" s="1"/>
  <c r="AN263" i="8" s="1"/>
  <c r="AN264" i="8" s="1"/>
  <c r="AN265" i="8" s="1"/>
  <c r="AN266" i="8" s="1"/>
  <c r="AN267" i="8" s="1"/>
  <c r="AN268" i="8" s="1"/>
  <c r="AN269" i="8" s="1"/>
  <c r="AN270" i="8" s="1"/>
  <c r="AN271" i="8" s="1"/>
  <c r="AN272" i="8" s="1"/>
  <c r="AN273" i="8" s="1"/>
  <c r="AN274" i="8" s="1"/>
  <c r="AN275" i="8" s="1"/>
  <c r="AN276" i="8" s="1"/>
  <c r="AN277" i="8" s="1"/>
  <c r="AN278" i="8" s="1"/>
  <c r="AN279" i="8" s="1"/>
  <c r="AN280" i="8" s="1"/>
  <c r="AN281" i="8" s="1"/>
  <c r="AN282" i="8" s="1"/>
  <c r="AN283" i="8" s="1"/>
  <c r="AN284" i="8" s="1"/>
  <c r="AN285" i="8" s="1"/>
  <c r="AN286" i="8" s="1"/>
  <c r="AN287" i="8" s="1"/>
  <c r="AN288" i="8" s="1"/>
  <c r="AN289" i="8" s="1"/>
  <c r="AN290" i="8" s="1"/>
  <c r="AN291" i="8" s="1"/>
  <c r="Y208" i="8"/>
  <c r="Y209" i="8" s="1"/>
  <c r="Y210" i="8" s="1"/>
  <c r="Y211" i="8" s="1"/>
  <c r="Y214" i="8"/>
  <c r="G214" i="8"/>
  <c r="G215" i="8" s="1"/>
  <c r="G216" i="8" s="1"/>
  <c r="G217" i="8" s="1"/>
  <c r="G218" i="8" s="1"/>
  <c r="BS34" i="8"/>
  <c r="BT34" i="8" s="1"/>
  <c r="V90" i="8"/>
  <c r="BS88" i="8" s="1"/>
  <c r="BT88" i="8" s="1"/>
  <c r="AI89" i="8"/>
  <c r="AI90" i="8" s="1"/>
  <c r="AI91" i="8" s="1"/>
  <c r="AI92" i="8" s="1"/>
  <c r="AI93" i="8" s="1"/>
  <c r="AI94" i="8" s="1"/>
  <c r="AI95" i="8" s="1"/>
  <c r="AI96" i="8" s="1"/>
  <c r="AI97" i="8" s="1"/>
  <c r="AI98" i="8" s="1"/>
  <c r="AI99" i="8" s="1"/>
  <c r="AI100" i="8" s="1"/>
  <c r="AI101" i="8" s="1"/>
  <c r="AI102" i="8" s="1"/>
  <c r="AI103" i="8" s="1"/>
  <c r="AI104" i="8" s="1"/>
  <c r="AI105" i="8" s="1"/>
  <c r="AI106" i="8" s="1"/>
  <c r="AI107" i="8" s="1"/>
  <c r="AI108" i="8" s="1"/>
  <c r="AI109" i="8" s="1"/>
  <c r="AI110" i="8" s="1"/>
  <c r="AI111" i="8" s="1"/>
  <c r="AI112" i="8" s="1"/>
  <c r="AI113" i="8" s="1"/>
  <c r="AI114" i="8" s="1"/>
  <c r="AI115" i="8" s="1"/>
  <c r="AI116" i="8" s="1"/>
  <c r="AI117" i="8" s="1"/>
  <c r="AI118" i="8" s="1"/>
  <c r="AI119" i="8" s="1"/>
  <c r="AI120" i="8" s="1"/>
  <c r="AI121" i="8" s="1"/>
  <c r="AI122" i="8" s="1"/>
  <c r="AI123" i="8" s="1"/>
  <c r="AI124" i="8" s="1"/>
  <c r="AI125" i="8" s="1"/>
  <c r="AI126" i="8" s="1"/>
  <c r="AI127" i="8" s="1"/>
  <c r="AI128" i="8" s="1"/>
  <c r="AI129" i="8" s="1"/>
  <c r="AI130" i="8" s="1"/>
  <c r="AI131" i="8" s="1"/>
  <c r="AI132" i="8" s="1"/>
  <c r="AI133" i="8" s="1"/>
  <c r="AI134" i="8" s="1"/>
  <c r="AI135" i="8" s="1"/>
  <c r="AI136" i="8" s="1"/>
  <c r="AI137" i="8" s="1"/>
  <c r="AI138" i="8" s="1"/>
  <c r="AI139" i="8" s="1"/>
  <c r="AI140" i="8" s="1"/>
  <c r="AI141" i="8" s="1"/>
  <c r="AI142" i="8" s="1"/>
  <c r="AI143" i="8" s="1"/>
  <c r="AI144" i="8" s="1"/>
  <c r="AI145" i="8" s="1"/>
  <c r="AI146" i="8" s="1"/>
  <c r="AI147" i="8" s="1"/>
  <c r="AI148" i="8" s="1"/>
  <c r="AI149" i="8" s="1"/>
  <c r="AI150" i="8" s="1"/>
  <c r="AI151" i="8" s="1"/>
  <c r="AI152" i="8" s="1"/>
  <c r="AI153" i="8" s="1"/>
  <c r="BR89" i="8"/>
  <c r="V137" i="8"/>
  <c r="V172" i="8"/>
  <c r="BR171" i="8"/>
  <c r="V115" i="8"/>
  <c r="B14" i="8"/>
  <c r="F13" i="8"/>
  <c r="V208" i="8"/>
  <c r="BR207" i="8"/>
  <c r="V190" i="8"/>
  <c r="BR189" i="8"/>
  <c r="AC159" i="8"/>
  <c r="BS11" i="8"/>
  <c r="BT11" i="8" s="1"/>
  <c r="BR13" i="8"/>
  <c r="BR14" i="8"/>
  <c r="BS12" i="8"/>
  <c r="BT12" i="8" s="1"/>
  <c r="BS152" i="8"/>
  <c r="BT152" i="8" s="1"/>
  <c r="AA208" i="8"/>
  <c r="AA209" i="8" s="1"/>
  <c r="AA210" i="8" s="1"/>
  <c r="AA211" i="8" s="1"/>
  <c r="AA212" i="8" s="1"/>
  <c r="AA213" i="8" s="1"/>
  <c r="AA214" i="8" s="1"/>
  <c r="X208" i="8"/>
  <c r="X209" i="8" s="1"/>
  <c r="X210" i="8" s="1"/>
  <c r="X211" i="8" s="1"/>
  <c r="X212" i="8" s="1"/>
  <c r="AC79" i="8"/>
  <c r="W208" i="8"/>
  <c r="W209" i="8" s="1"/>
  <c r="W210" i="8" s="1"/>
  <c r="W211" i="8" s="1"/>
  <c r="W212" i="8" s="1"/>
  <c r="W213" i="8" s="1"/>
  <c r="W214" i="8" s="1"/>
  <c r="AC51" i="8"/>
  <c r="BS31" i="6"/>
  <c r="BT31" i="6" s="1"/>
  <c r="BR33" i="6"/>
  <c r="BS16" i="6"/>
  <c r="BT16" i="6" s="1"/>
  <c r="BR18" i="6"/>
  <c r="Z74" i="6"/>
  <c r="BU17" i="6"/>
  <c r="BU16" i="6"/>
  <c r="AC47" i="6"/>
  <c r="V66" i="6"/>
  <c r="V34" i="6"/>
  <c r="BR34" i="6" s="1"/>
  <c r="H146" i="6"/>
  <c r="H147" i="6" s="1"/>
  <c r="H148" i="6" s="1"/>
  <c r="H149" i="6" s="1"/>
  <c r="B12" i="6"/>
  <c r="F11" i="6"/>
  <c r="AQ467" i="9" l="1"/>
  <c r="AQ28" i="9"/>
  <c r="DC27" i="9"/>
  <c r="DD26" i="9"/>
  <c r="DE26" i="9" s="1"/>
  <c r="AQ357" i="9"/>
  <c r="AS41" i="9"/>
  <c r="DF26" i="9" s="1"/>
  <c r="AA215" i="8"/>
  <c r="AA216" i="8" s="1"/>
  <c r="AA217" i="8" s="1"/>
  <c r="AA218" i="8" s="1"/>
  <c r="AA219" i="8" s="1"/>
  <c r="F19" i="9"/>
  <c r="B20" i="9"/>
  <c r="X213" i="8"/>
  <c r="X214" i="8" s="1"/>
  <c r="X215" i="8" s="1"/>
  <c r="X216" i="8" s="1"/>
  <c r="AO212" i="8"/>
  <c r="AO213" i="8" s="1"/>
  <c r="AO214" i="8" s="1"/>
  <c r="AO215" i="8" s="1"/>
  <c r="AO216" i="8" s="1"/>
  <c r="AO217" i="8" s="1"/>
  <c r="AO218" i="8" s="1"/>
  <c r="AO219" i="8" s="1"/>
  <c r="AO220" i="8" s="1"/>
  <c r="AO221" i="8" s="1"/>
  <c r="AO222" i="8" s="1"/>
  <c r="AO223" i="8" s="1"/>
  <c r="AO224" i="8" s="1"/>
  <c r="AO225" i="8" s="1"/>
  <c r="AO226" i="8" s="1"/>
  <c r="AO227" i="8" s="1"/>
  <c r="AO228" i="8" s="1"/>
  <c r="AO229" i="8" s="1"/>
  <c r="AO230" i="8" s="1"/>
  <c r="AO231" i="8" s="1"/>
  <c r="AO232" i="8" s="1"/>
  <c r="AO233" i="8" s="1"/>
  <c r="AO234" i="8" s="1"/>
  <c r="AO235" i="8" s="1"/>
  <c r="AO236" i="8" s="1"/>
  <c r="AO237" i="8" s="1"/>
  <c r="AO238" i="8" s="1"/>
  <c r="AO239" i="8" s="1"/>
  <c r="AO240" i="8" s="1"/>
  <c r="AO241" i="8" s="1"/>
  <c r="AO242" i="8" s="1"/>
  <c r="AO243" i="8" s="1"/>
  <c r="AO244" i="8" s="1"/>
  <c r="AO245" i="8" s="1"/>
  <c r="AO246" i="8" s="1"/>
  <c r="AO247" i="8" s="1"/>
  <c r="AO248" i="8" s="1"/>
  <c r="AO249" i="8" s="1"/>
  <c r="AO250" i="8" s="1"/>
  <c r="AO251" i="8" s="1"/>
  <c r="AO252" i="8" s="1"/>
  <c r="AO253" i="8" s="1"/>
  <c r="AO254" i="8" s="1"/>
  <c r="AO255" i="8" s="1"/>
  <c r="AO256" i="8" s="1"/>
  <c r="AO257" i="8" s="1"/>
  <c r="AO258" i="8" s="1"/>
  <c r="AO259" i="8" s="1"/>
  <c r="AO260" i="8" s="1"/>
  <c r="AO261" i="8" s="1"/>
  <c r="AO262" i="8" s="1"/>
  <c r="AO263" i="8" s="1"/>
  <c r="AO264" i="8" s="1"/>
  <c r="AO265" i="8" s="1"/>
  <c r="AO266" i="8" s="1"/>
  <c r="AO267" i="8" s="1"/>
  <c r="AO268" i="8" s="1"/>
  <c r="AO269" i="8" s="1"/>
  <c r="AO270" i="8" s="1"/>
  <c r="AO271" i="8" s="1"/>
  <c r="AO272" i="8" s="1"/>
  <c r="AO273" i="8" s="1"/>
  <c r="AO274" i="8" s="1"/>
  <c r="AO275" i="8" s="1"/>
  <c r="AO276" i="8" s="1"/>
  <c r="AO277" i="8" s="1"/>
  <c r="AO278" i="8" s="1"/>
  <c r="AO279" i="8" s="1"/>
  <c r="AO280" i="8" s="1"/>
  <c r="AO281" i="8" s="1"/>
  <c r="AO282" i="8" s="1"/>
  <c r="AO283" i="8" s="1"/>
  <c r="AO284" i="8" s="1"/>
  <c r="AO285" i="8" s="1"/>
  <c r="AO286" i="8" s="1"/>
  <c r="AO287" i="8" s="1"/>
  <c r="AO288" i="8" s="1"/>
  <c r="AO289" i="8" s="1"/>
  <c r="AO290" i="8" s="1"/>
  <c r="AO291" i="8" s="1"/>
  <c r="AO292" i="8" s="1"/>
  <c r="AO293" i="8" s="1"/>
  <c r="AO294" i="8" s="1"/>
  <c r="AO295" i="8" s="1"/>
  <c r="AO296" i="8" s="1"/>
  <c r="AC160" i="8"/>
  <c r="AI154" i="8"/>
  <c r="BU136" i="8"/>
  <c r="Y215" i="8"/>
  <c r="Y216" i="8" s="1"/>
  <c r="Y217" i="8" s="1"/>
  <c r="Y218" i="8" s="1"/>
  <c r="Y219" i="8" s="1"/>
  <c r="Y220" i="8" s="1"/>
  <c r="Y221" i="8" s="1"/>
  <c r="Y222" i="8" s="1"/>
  <c r="Y223" i="8" s="1"/>
  <c r="Y224" i="8" s="1"/>
  <c r="V70" i="8"/>
  <c r="BR155" i="8"/>
  <c r="V156" i="8"/>
  <c r="V173" i="8"/>
  <c r="BR172" i="8"/>
  <c r="AC80" i="8"/>
  <c r="V116" i="8"/>
  <c r="G219" i="8"/>
  <c r="G220" i="8" s="1"/>
  <c r="G221" i="8" s="1"/>
  <c r="G222" i="8" s="1"/>
  <c r="G223" i="8" s="1"/>
  <c r="X219" i="8"/>
  <c r="BR37" i="8"/>
  <c r="V38" i="8"/>
  <c r="BS36" i="8" s="1"/>
  <c r="BT36" i="8" s="1"/>
  <c r="Z215" i="8"/>
  <c r="Z216" i="8" s="1"/>
  <c r="Z217" i="8" s="1"/>
  <c r="Z218" i="8" s="1"/>
  <c r="Z219" i="8" s="1"/>
  <c r="AD69" i="8"/>
  <c r="BU51" i="8"/>
  <c r="AC52" i="8"/>
  <c r="BS206" i="8"/>
  <c r="BT206" i="8" s="1"/>
  <c r="D14" i="8"/>
  <c r="E14" i="8"/>
  <c r="W215" i="8"/>
  <c r="W216" i="8" s="1"/>
  <c r="W217" i="8" s="1"/>
  <c r="V191" i="8"/>
  <c r="V209" i="8"/>
  <c r="BS207" i="8" s="1"/>
  <c r="BT207" i="8" s="1"/>
  <c r="BR208" i="8"/>
  <c r="BS170" i="8"/>
  <c r="BT170" i="8" s="1"/>
  <c r="V138" i="8"/>
  <c r="BS136" i="8" s="1"/>
  <c r="BT136" i="8" s="1"/>
  <c r="BR137" i="8"/>
  <c r="V91" i="8"/>
  <c r="BS89" i="8" s="1"/>
  <c r="BT89" i="8" s="1"/>
  <c r="BR90" i="8"/>
  <c r="AO37" i="8"/>
  <c r="BU19" i="8"/>
  <c r="BS153" i="8"/>
  <c r="BT153" i="8" s="1"/>
  <c r="BS32" i="6"/>
  <c r="BT32" i="6" s="1"/>
  <c r="Z75" i="6"/>
  <c r="AC48" i="6"/>
  <c r="V35" i="6"/>
  <c r="V67" i="6"/>
  <c r="E12" i="6"/>
  <c r="D12" i="6"/>
  <c r="H150" i="6"/>
  <c r="H151" i="6" s="1"/>
  <c r="H152" i="6" s="1"/>
  <c r="H153" i="6" s="1"/>
  <c r="H154" i="6" s="1"/>
  <c r="H155" i="6" s="1"/>
  <c r="AQ29" i="9" l="1"/>
  <c r="DC28" i="9"/>
  <c r="DD27" i="9"/>
  <c r="DE27" i="9" s="1"/>
  <c r="AQ358" i="9"/>
  <c r="AS42" i="9"/>
  <c r="DF27" i="9" s="1"/>
  <c r="Z220" i="8"/>
  <c r="Z221" i="8" s="1"/>
  <c r="Z222" i="8" s="1"/>
  <c r="Z223" i="8" s="1"/>
  <c r="Z224" i="8" s="1"/>
  <c r="X220" i="8"/>
  <c r="X221" i="8" s="1"/>
  <c r="X222" i="8" s="1"/>
  <c r="X223" i="8" s="1"/>
  <c r="X224" i="8" s="1"/>
  <c r="D20" i="9"/>
  <c r="E20" i="9"/>
  <c r="V117" i="8"/>
  <c r="BR116" i="8"/>
  <c r="B15" i="8"/>
  <c r="F14" i="8"/>
  <c r="AC81" i="8"/>
  <c r="V157" i="8"/>
  <c r="AI155" i="8"/>
  <c r="BU137" i="8"/>
  <c r="V92" i="8"/>
  <c r="BR91" i="8"/>
  <c r="V210" i="8"/>
  <c r="BS208" i="8"/>
  <c r="BT208" i="8" s="1"/>
  <c r="BR209" i="8"/>
  <c r="W218" i="8"/>
  <c r="W219" i="8" s="1"/>
  <c r="W220" i="8" s="1"/>
  <c r="W221" i="8" s="1"/>
  <c r="AP217" i="8"/>
  <c r="AP218" i="8" s="1"/>
  <c r="AP219" i="8" s="1"/>
  <c r="AP220" i="8" s="1"/>
  <c r="AP221" i="8" s="1"/>
  <c r="AP222" i="8" s="1"/>
  <c r="AP223" i="8" s="1"/>
  <c r="AP224" i="8" s="1"/>
  <c r="AP225" i="8" s="1"/>
  <c r="AP226" i="8" s="1"/>
  <c r="AP227" i="8" s="1"/>
  <c r="AP228" i="8" s="1"/>
  <c r="AP229" i="8" s="1"/>
  <c r="AP230" i="8" s="1"/>
  <c r="AP231" i="8" s="1"/>
  <c r="AP232" i="8" s="1"/>
  <c r="AP233" i="8" s="1"/>
  <c r="AP234" i="8" s="1"/>
  <c r="AP235" i="8" s="1"/>
  <c r="AP236" i="8" s="1"/>
  <c r="AP237" i="8" s="1"/>
  <c r="AP238" i="8" s="1"/>
  <c r="AP239" i="8" s="1"/>
  <c r="AP240" i="8" s="1"/>
  <c r="AP241" i="8" s="1"/>
  <c r="AP242" i="8" s="1"/>
  <c r="AP243" i="8" s="1"/>
  <c r="AP244" i="8" s="1"/>
  <c r="AP245" i="8" s="1"/>
  <c r="AP246" i="8" s="1"/>
  <c r="AP247" i="8" s="1"/>
  <c r="AP248" i="8" s="1"/>
  <c r="AP249" i="8" s="1"/>
  <c r="AP250" i="8" s="1"/>
  <c r="AP251" i="8" s="1"/>
  <c r="AP252" i="8" s="1"/>
  <c r="AP253" i="8" s="1"/>
  <c r="AP254" i="8" s="1"/>
  <c r="AP255" i="8" s="1"/>
  <c r="AP256" i="8" s="1"/>
  <c r="AP257" i="8" s="1"/>
  <c r="AP258" i="8" s="1"/>
  <c r="AP259" i="8" s="1"/>
  <c r="AP260" i="8" s="1"/>
  <c r="AP261" i="8" s="1"/>
  <c r="AP262" i="8" s="1"/>
  <c r="AP263" i="8" s="1"/>
  <c r="AP264" i="8" s="1"/>
  <c r="AP265" i="8" s="1"/>
  <c r="AP266" i="8" s="1"/>
  <c r="AP267" i="8" s="1"/>
  <c r="AP268" i="8" s="1"/>
  <c r="AP269" i="8" s="1"/>
  <c r="AP270" i="8" s="1"/>
  <c r="AP271" i="8" s="1"/>
  <c r="AP272" i="8" s="1"/>
  <c r="AP273" i="8" s="1"/>
  <c r="AP274" i="8" s="1"/>
  <c r="AP275" i="8" s="1"/>
  <c r="AP276" i="8" s="1"/>
  <c r="AP277" i="8" s="1"/>
  <c r="AP278" i="8" s="1"/>
  <c r="AP279" i="8" s="1"/>
  <c r="AP280" i="8" s="1"/>
  <c r="AP281" i="8" s="1"/>
  <c r="AP282" i="8" s="1"/>
  <c r="AP283" i="8" s="1"/>
  <c r="AP284" i="8" s="1"/>
  <c r="AP285" i="8" s="1"/>
  <c r="AP286" i="8" s="1"/>
  <c r="AP287" i="8" s="1"/>
  <c r="AP288" i="8" s="1"/>
  <c r="AP289" i="8" s="1"/>
  <c r="AP290" i="8" s="1"/>
  <c r="AP291" i="8" s="1"/>
  <c r="AP292" i="8" s="1"/>
  <c r="AP293" i="8" s="1"/>
  <c r="AP294" i="8" s="1"/>
  <c r="AP295" i="8" s="1"/>
  <c r="AP296" i="8" s="1"/>
  <c r="AP297" i="8" s="1"/>
  <c r="AP298" i="8" s="1"/>
  <c r="AP299" i="8" s="1"/>
  <c r="AP300" i="8" s="1"/>
  <c r="AP301" i="8" s="1"/>
  <c r="AO38" i="8"/>
  <c r="BU20" i="8"/>
  <c r="AC53" i="8"/>
  <c r="V39" i="8"/>
  <c r="BS37" i="8"/>
  <c r="BT37" i="8" s="1"/>
  <c r="BR38" i="8"/>
  <c r="G224" i="8"/>
  <c r="G225" i="8" s="1"/>
  <c r="G226" i="8" s="1"/>
  <c r="G227" i="8" s="1"/>
  <c r="G228" i="8" s="1"/>
  <c r="W224" i="8"/>
  <c r="V174" i="8"/>
  <c r="BR70" i="8"/>
  <c r="V71" i="8"/>
  <c r="BS69" i="8"/>
  <c r="BT69" i="8" s="1"/>
  <c r="AC161" i="8"/>
  <c r="V139" i="8"/>
  <c r="BS137" i="8" s="1"/>
  <c r="BT137" i="8" s="1"/>
  <c r="BR138" i="8"/>
  <c r="V192" i="8"/>
  <c r="AD70" i="8"/>
  <c r="AA220" i="8"/>
  <c r="AA221" i="8" s="1"/>
  <c r="AA222" i="8" s="1"/>
  <c r="AA223" i="8" s="1"/>
  <c r="AA224" i="8" s="1"/>
  <c r="BS33" i="6"/>
  <c r="BT33" i="6" s="1"/>
  <c r="BR35" i="6"/>
  <c r="Z76" i="6"/>
  <c r="AC49" i="6"/>
  <c r="V68" i="6"/>
  <c r="V36" i="6"/>
  <c r="F12" i="6"/>
  <c r="B13" i="6"/>
  <c r="BS13" i="6" s="1"/>
  <c r="BT13" i="6" s="1"/>
  <c r="H156" i="6"/>
  <c r="H157" i="6" s="1"/>
  <c r="H158" i="6" s="1"/>
  <c r="AQ359" i="9" l="1"/>
  <c r="AQ30" i="9"/>
  <c r="DC29" i="9"/>
  <c r="DD28" i="9"/>
  <c r="DE28" i="9" s="1"/>
  <c r="AS43" i="9"/>
  <c r="DF28" i="9" s="1"/>
  <c r="F20" i="9"/>
  <c r="B21" i="9"/>
  <c r="V93" i="8"/>
  <c r="V211" i="8"/>
  <c r="BR210" i="8"/>
  <c r="D15" i="8"/>
  <c r="E15" i="8"/>
  <c r="BR117" i="8"/>
  <c r="V118" i="8"/>
  <c r="BS116" i="8" s="1"/>
  <c r="BT116" i="8" s="1"/>
  <c r="AD71" i="8"/>
  <c r="AC162" i="8"/>
  <c r="AC54" i="8"/>
  <c r="AI156" i="8"/>
  <c r="BU138" i="8"/>
  <c r="AC82" i="8"/>
  <c r="Y225" i="8"/>
  <c r="Y226" i="8" s="1"/>
  <c r="Y227" i="8" s="1"/>
  <c r="Y228" i="8" s="1"/>
  <c r="Y229" i="8" s="1"/>
  <c r="X225" i="8"/>
  <c r="X226" i="8" s="1"/>
  <c r="X227" i="8" s="1"/>
  <c r="X228" i="8" s="1"/>
  <c r="X229" i="8" s="1"/>
  <c r="X230" i="8" s="1"/>
  <c r="X231" i="8" s="1"/>
  <c r="X232" i="8" s="1"/>
  <c r="X233" i="8" s="1"/>
  <c r="X234" i="8" s="1"/>
  <c r="G229" i="8"/>
  <c r="G230" i="8" s="1"/>
  <c r="G231" i="8" s="1"/>
  <c r="G232" i="8" s="1"/>
  <c r="G233" i="8" s="1"/>
  <c r="G234" i="8" s="1"/>
  <c r="V229" i="8"/>
  <c r="Z225" i="8"/>
  <c r="Z226" i="8" s="1"/>
  <c r="Z227" i="8" s="1"/>
  <c r="Z228" i="8" s="1"/>
  <c r="Z229" i="8" s="1"/>
  <c r="Z230" i="8" s="1"/>
  <c r="Z231" i="8" s="1"/>
  <c r="Z232" i="8" s="1"/>
  <c r="Z233" i="8" s="1"/>
  <c r="Z234" i="8" s="1"/>
  <c r="Z235" i="8" s="1"/>
  <c r="AA225" i="8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BR139" i="8"/>
  <c r="BR71" i="8"/>
  <c r="V175" i="8"/>
  <c r="V193" i="8"/>
  <c r="BR192" i="8"/>
  <c r="W225" i="8"/>
  <c r="W226" i="8" s="1"/>
  <c r="W227" i="8" s="1"/>
  <c r="W228" i="8" s="1"/>
  <c r="W229" i="8" s="1"/>
  <c r="W230" i="8" s="1"/>
  <c r="W231" i="8" s="1"/>
  <c r="W232" i="8" s="1"/>
  <c r="W233" i="8" s="1"/>
  <c r="W234" i="8" s="1"/>
  <c r="W235" i="8" s="1"/>
  <c r="V40" i="8"/>
  <c r="BR39" i="8"/>
  <c r="AO39" i="8"/>
  <c r="BU21" i="8"/>
  <c r="V158" i="8"/>
  <c r="AE157" i="8"/>
  <c r="BS115" i="8"/>
  <c r="BT115" i="8" s="1"/>
  <c r="BS34" i="6"/>
  <c r="BT34" i="6" s="1"/>
  <c r="BR36" i="6"/>
  <c r="Z77" i="6"/>
  <c r="AC50" i="6"/>
  <c r="V37" i="6"/>
  <c r="BR37" i="6" s="1"/>
  <c r="AO36" i="6"/>
  <c r="V69" i="6"/>
  <c r="AD68" i="6"/>
  <c r="AD69" i="6" s="1"/>
  <c r="AD70" i="6" s="1"/>
  <c r="AD71" i="6" s="1"/>
  <c r="AD72" i="6" s="1"/>
  <c r="AD73" i="6" s="1"/>
  <c r="AD74" i="6" s="1"/>
  <c r="AD75" i="6" s="1"/>
  <c r="H159" i="6"/>
  <c r="H160" i="6" s="1"/>
  <c r="H161" i="6" s="1"/>
  <c r="H162" i="6" s="1"/>
  <c r="E13" i="6"/>
  <c r="D13" i="6"/>
  <c r="X13" i="6"/>
  <c r="AQ31" i="9" l="1"/>
  <c r="DD29" i="9" s="1"/>
  <c r="DE29" i="9" s="1"/>
  <c r="DC30" i="9"/>
  <c r="AQ360" i="9"/>
  <c r="AS44" i="9"/>
  <c r="DF29" i="9" s="1"/>
  <c r="D21" i="9"/>
  <c r="E21" i="9"/>
  <c r="X235" i="8"/>
  <c r="AC234" i="8"/>
  <c r="AC55" i="8"/>
  <c r="AD72" i="8"/>
  <c r="V212" i="8"/>
  <c r="BR211" i="8"/>
  <c r="V194" i="8"/>
  <c r="BS192" i="8" s="1"/>
  <c r="BT192" i="8" s="1"/>
  <c r="BR193" i="8"/>
  <c r="BR158" i="8"/>
  <c r="V159" i="8"/>
  <c r="BS157" i="8" s="1"/>
  <c r="BT157" i="8" s="1"/>
  <c r="AO40" i="8"/>
  <c r="BU22" i="8"/>
  <c r="Y230" i="8"/>
  <c r="Y231" i="8" s="1"/>
  <c r="Y232" i="8" s="1"/>
  <c r="AR229" i="8"/>
  <c r="AR230" i="8" s="1"/>
  <c r="AR231" i="8" s="1"/>
  <c r="AR232" i="8" s="1"/>
  <c r="AR233" i="8" s="1"/>
  <c r="AR234" i="8" s="1"/>
  <c r="AR235" i="8" s="1"/>
  <c r="AR236" i="8" s="1"/>
  <c r="AR237" i="8" s="1"/>
  <c r="AR238" i="8" s="1"/>
  <c r="AR239" i="8" s="1"/>
  <c r="AR240" i="8" s="1"/>
  <c r="AR241" i="8" s="1"/>
  <c r="AR242" i="8" s="1"/>
  <c r="AR243" i="8" s="1"/>
  <c r="AR244" i="8" s="1"/>
  <c r="AR245" i="8" s="1"/>
  <c r="AR246" i="8" s="1"/>
  <c r="AR247" i="8" s="1"/>
  <c r="AR248" i="8" s="1"/>
  <c r="AR249" i="8" s="1"/>
  <c r="AR250" i="8" s="1"/>
  <c r="AR251" i="8" s="1"/>
  <c r="AR252" i="8" s="1"/>
  <c r="AR253" i="8" s="1"/>
  <c r="AR254" i="8" s="1"/>
  <c r="AR255" i="8" s="1"/>
  <c r="AR256" i="8" s="1"/>
  <c r="AR257" i="8" s="1"/>
  <c r="AR258" i="8" s="1"/>
  <c r="AR259" i="8" s="1"/>
  <c r="AR260" i="8" s="1"/>
  <c r="AR261" i="8" s="1"/>
  <c r="AR262" i="8" s="1"/>
  <c r="AR263" i="8" s="1"/>
  <c r="AR264" i="8" s="1"/>
  <c r="AR265" i="8" s="1"/>
  <c r="AR266" i="8" s="1"/>
  <c r="AR267" i="8" s="1"/>
  <c r="AR268" i="8" s="1"/>
  <c r="AR269" i="8" s="1"/>
  <c r="AR270" i="8" s="1"/>
  <c r="AR271" i="8" s="1"/>
  <c r="AR272" i="8" s="1"/>
  <c r="AR273" i="8" s="1"/>
  <c r="AR274" i="8" s="1"/>
  <c r="AR275" i="8" s="1"/>
  <c r="AR276" i="8" s="1"/>
  <c r="AR277" i="8" s="1"/>
  <c r="AR278" i="8" s="1"/>
  <c r="AR279" i="8" s="1"/>
  <c r="AR280" i="8" s="1"/>
  <c r="AR281" i="8" s="1"/>
  <c r="AR282" i="8" s="1"/>
  <c r="AR283" i="8" s="1"/>
  <c r="AR284" i="8" s="1"/>
  <c r="AR285" i="8" s="1"/>
  <c r="AR286" i="8" s="1"/>
  <c r="AR287" i="8" s="1"/>
  <c r="AR288" i="8" s="1"/>
  <c r="AR289" i="8" s="1"/>
  <c r="AR290" i="8" s="1"/>
  <c r="AR291" i="8" s="1"/>
  <c r="AR292" i="8" s="1"/>
  <c r="AR293" i="8" s="1"/>
  <c r="AR294" i="8" s="1"/>
  <c r="AR295" i="8" s="1"/>
  <c r="AR296" i="8" s="1"/>
  <c r="AR297" i="8" s="1"/>
  <c r="AR298" i="8" s="1"/>
  <c r="AR299" i="8" s="1"/>
  <c r="AR300" i="8" s="1"/>
  <c r="AR301" i="8" s="1"/>
  <c r="AR302" i="8" s="1"/>
  <c r="AR303" i="8" s="1"/>
  <c r="AR304" i="8" s="1"/>
  <c r="AR305" i="8" s="1"/>
  <c r="AR306" i="8" s="1"/>
  <c r="AR307" i="8" s="1"/>
  <c r="AR308" i="8" s="1"/>
  <c r="AR309" i="8" s="1"/>
  <c r="AR310" i="8" s="1"/>
  <c r="AR311" i="8" s="1"/>
  <c r="AR312" i="8" s="1"/>
  <c r="AI157" i="8"/>
  <c r="AI158" i="8" s="1"/>
  <c r="AI159" i="8" s="1"/>
  <c r="AI160" i="8" s="1"/>
  <c r="AI161" i="8" s="1"/>
  <c r="AI162" i="8" s="1"/>
  <c r="AI163" i="8" s="1"/>
  <c r="AI164" i="8" s="1"/>
  <c r="AI165" i="8" s="1"/>
  <c r="AI166" i="8" s="1"/>
  <c r="AI167" i="8" s="1"/>
  <c r="AI168" i="8" s="1"/>
  <c r="AI169" i="8" s="1"/>
  <c r="AI170" i="8" s="1"/>
  <c r="AI171" i="8" s="1"/>
  <c r="AI172" i="8" s="1"/>
  <c r="AI173" i="8" s="1"/>
  <c r="AI174" i="8" s="1"/>
  <c r="AI175" i="8" s="1"/>
  <c r="AI176" i="8" s="1"/>
  <c r="AI177" i="8" s="1"/>
  <c r="BU139" i="8"/>
  <c r="B16" i="8"/>
  <c r="F15" i="8"/>
  <c r="V94" i="8"/>
  <c r="BR175" i="8"/>
  <c r="V176" i="8"/>
  <c r="BS174" i="8" s="1"/>
  <c r="BT174" i="8" s="1"/>
  <c r="BR229" i="8"/>
  <c r="V230" i="8"/>
  <c r="AC163" i="8"/>
  <c r="BR118" i="8"/>
  <c r="AE158" i="8"/>
  <c r="BU140" i="8"/>
  <c r="V41" i="8"/>
  <c r="BS39" i="8"/>
  <c r="BT39" i="8" s="1"/>
  <c r="BR40" i="8"/>
  <c r="BS191" i="8"/>
  <c r="BT191" i="8" s="1"/>
  <c r="G235" i="8"/>
  <c r="G236" i="8" s="1"/>
  <c r="G237" i="8" s="1"/>
  <c r="G238" i="8" s="1"/>
  <c r="G239" i="8" s="1"/>
  <c r="Y235" i="8"/>
  <c r="AC83" i="8"/>
  <c r="BS209" i="8"/>
  <c r="BT209" i="8" s="1"/>
  <c r="BR13" i="6"/>
  <c r="BR14" i="6"/>
  <c r="Z78" i="6"/>
  <c r="AC51" i="6"/>
  <c r="AO37" i="6"/>
  <c r="BU19" i="6"/>
  <c r="V38" i="6"/>
  <c r="BS35" i="6"/>
  <c r="BT35" i="6" s="1"/>
  <c r="BS11" i="6"/>
  <c r="BT11" i="6" s="1"/>
  <c r="BS12" i="6"/>
  <c r="BT12" i="6" s="1"/>
  <c r="V70" i="6"/>
  <c r="H163" i="6"/>
  <c r="H164" i="6" s="1"/>
  <c r="H165" i="6" s="1"/>
  <c r="H166" i="6" s="1"/>
  <c r="F13" i="6"/>
  <c r="B14" i="6"/>
  <c r="AQ361" i="9" l="1"/>
  <c r="AQ32" i="9"/>
  <c r="DD30" i="9"/>
  <c r="DE30" i="9" s="1"/>
  <c r="DC31" i="9"/>
  <c r="AS45" i="9"/>
  <c r="DF30" i="9" s="1"/>
  <c r="BS228" i="8"/>
  <c r="BT228" i="8" s="1"/>
  <c r="F21" i="9"/>
  <c r="B22" i="9"/>
  <c r="W236" i="8"/>
  <c r="W237" i="8" s="1"/>
  <c r="W238" i="8" s="1"/>
  <c r="W239" i="8" s="1"/>
  <c r="AC84" i="8"/>
  <c r="V42" i="8"/>
  <c r="BR41" i="8"/>
  <c r="BS40" i="8"/>
  <c r="BT40" i="8" s="1"/>
  <c r="BR230" i="8"/>
  <c r="V231" i="8"/>
  <c r="BS229" i="8" s="1"/>
  <c r="BT229" i="8" s="1"/>
  <c r="BR176" i="8"/>
  <c r="V177" i="8"/>
  <c r="BS175" i="8" s="1"/>
  <c r="BT175" i="8" s="1"/>
  <c r="D16" i="8"/>
  <c r="E16" i="8"/>
  <c r="BR159" i="8"/>
  <c r="V160" i="8"/>
  <c r="BS158" i="8" s="1"/>
  <c r="BT158" i="8" s="1"/>
  <c r="V213" i="8"/>
  <c r="AC56" i="8"/>
  <c r="AE159" i="8"/>
  <c r="BU141" i="8"/>
  <c r="AC164" i="8"/>
  <c r="Y236" i="8"/>
  <c r="Y237" i="8" s="1"/>
  <c r="Y238" i="8" s="1"/>
  <c r="Y239" i="8" s="1"/>
  <c r="Y240" i="8" s="1"/>
  <c r="V95" i="8"/>
  <c r="BS93" i="8" s="1"/>
  <c r="BT93" i="8" s="1"/>
  <c r="BR94" i="8"/>
  <c r="Z236" i="8"/>
  <c r="Z237" i="8" s="1"/>
  <c r="Z238" i="8" s="1"/>
  <c r="Z239" i="8" s="1"/>
  <c r="Z240" i="8" s="1"/>
  <c r="V195" i="8"/>
  <c r="BR194" i="8"/>
  <c r="AC235" i="8"/>
  <c r="G240" i="8"/>
  <c r="G241" i="8" s="1"/>
  <c r="G242" i="8" s="1"/>
  <c r="G243" i="8" s="1"/>
  <c r="G244" i="8" s="1"/>
  <c r="X240" i="8"/>
  <c r="X241" i="8" s="1"/>
  <c r="X242" i="8" s="1"/>
  <c r="X243" i="8" s="1"/>
  <c r="X244" i="8" s="1"/>
  <c r="X245" i="8" s="1"/>
  <c r="AD73" i="8"/>
  <c r="X236" i="8"/>
  <c r="X237" i="8" s="1"/>
  <c r="AO41" i="8"/>
  <c r="BU23" i="8"/>
  <c r="AA236" i="8"/>
  <c r="AA237" i="8" s="1"/>
  <c r="AA238" i="8" s="1"/>
  <c r="AA239" i="8" s="1"/>
  <c r="AA240" i="8" s="1"/>
  <c r="BS36" i="6"/>
  <c r="BT36" i="6" s="1"/>
  <c r="BR38" i="6"/>
  <c r="Z79" i="6"/>
  <c r="AO38" i="6"/>
  <c r="BU20" i="6"/>
  <c r="AC52" i="6"/>
  <c r="V71" i="6"/>
  <c r="V39" i="6"/>
  <c r="BR39" i="6" s="1"/>
  <c r="H167" i="6"/>
  <c r="H168" i="6" s="1"/>
  <c r="H169" i="6" s="1"/>
  <c r="H170" i="6" s="1"/>
  <c r="H171" i="6" s="1"/>
  <c r="E14" i="6"/>
  <c r="D14" i="6"/>
  <c r="AQ33" i="9" l="1"/>
  <c r="DD31" i="9"/>
  <c r="DE31" i="9" s="1"/>
  <c r="DC32" i="9"/>
  <c r="AQ362" i="9"/>
  <c r="AS46" i="9"/>
  <c r="DF31" i="9" s="1"/>
  <c r="AA241" i="8"/>
  <c r="AA242" i="8" s="1"/>
  <c r="AA243" i="8" s="1"/>
  <c r="AA244" i="8" s="1"/>
  <c r="AA245" i="8" s="1"/>
  <c r="Z241" i="8"/>
  <c r="Z242" i="8" s="1"/>
  <c r="Z243" i="8" s="1"/>
  <c r="Z244" i="8" s="1"/>
  <c r="Z245" i="8" s="1"/>
  <c r="BS37" i="6"/>
  <c r="BT37" i="6" s="1"/>
  <c r="D22" i="9"/>
  <c r="E22" i="9"/>
  <c r="V196" i="8"/>
  <c r="BR160" i="8"/>
  <c r="BR177" i="8"/>
  <c r="V178" i="8"/>
  <c r="BR42" i="8"/>
  <c r="V43" i="8"/>
  <c r="AD74" i="8"/>
  <c r="Y241" i="8"/>
  <c r="Y242" i="8" s="1"/>
  <c r="Y243" i="8" s="1"/>
  <c r="Y244" i="8" s="1"/>
  <c r="Y245" i="8" s="1"/>
  <c r="AE160" i="8"/>
  <c r="BU142" i="8"/>
  <c r="V214" i="8"/>
  <c r="AC85" i="8"/>
  <c r="AC236" i="8"/>
  <c r="AO42" i="8"/>
  <c r="BU24" i="8"/>
  <c r="G245" i="8"/>
  <c r="G246" i="8" s="1"/>
  <c r="G247" i="8" s="1"/>
  <c r="G248" i="8" s="1"/>
  <c r="G249" i="8" s="1"/>
  <c r="W245" i="8"/>
  <c r="V96" i="8"/>
  <c r="BR95" i="8"/>
  <c r="AC165" i="8"/>
  <c r="AC57" i="8"/>
  <c r="B17" i="8"/>
  <c r="F16" i="8"/>
  <c r="BR231" i="8"/>
  <c r="V232" i="8"/>
  <c r="BS230" i="8" s="1"/>
  <c r="BT230" i="8" s="1"/>
  <c r="W240" i="8"/>
  <c r="W241" i="8" s="1"/>
  <c r="W242" i="8" s="1"/>
  <c r="AD239" i="8"/>
  <c r="AD240" i="8" s="1"/>
  <c r="AD241" i="8" s="1"/>
  <c r="AD242" i="8" s="1"/>
  <c r="AD243" i="8" s="1"/>
  <c r="AD244" i="8" s="1"/>
  <c r="AD245" i="8" s="1"/>
  <c r="AD246" i="8" s="1"/>
  <c r="AD247" i="8" s="1"/>
  <c r="AD248" i="8" s="1"/>
  <c r="AD249" i="8" s="1"/>
  <c r="AD250" i="8" s="1"/>
  <c r="AD251" i="8" s="1"/>
  <c r="AD252" i="8" s="1"/>
  <c r="AD253" i="8" s="1"/>
  <c r="AD254" i="8" s="1"/>
  <c r="AD255" i="8" s="1"/>
  <c r="AD256" i="8" s="1"/>
  <c r="AD257" i="8" s="1"/>
  <c r="AD258" i="8" s="1"/>
  <c r="AD259" i="8" s="1"/>
  <c r="AD260" i="8" s="1"/>
  <c r="AD261" i="8" s="1"/>
  <c r="AD262" i="8" s="1"/>
  <c r="AD263" i="8" s="1"/>
  <c r="AD264" i="8" s="1"/>
  <c r="AD265" i="8" s="1"/>
  <c r="AD266" i="8" s="1"/>
  <c r="AD267" i="8" s="1"/>
  <c r="AD268" i="8" s="1"/>
  <c r="AD269" i="8" s="1"/>
  <c r="AD270" i="8" s="1"/>
  <c r="AD271" i="8" s="1"/>
  <c r="AD272" i="8" s="1"/>
  <c r="AD273" i="8" s="1"/>
  <c r="AD274" i="8" s="1"/>
  <c r="AD275" i="8" s="1"/>
  <c r="AD276" i="8" s="1"/>
  <c r="AD277" i="8" s="1"/>
  <c r="AD278" i="8" s="1"/>
  <c r="AD279" i="8" s="1"/>
  <c r="AD280" i="8" s="1"/>
  <c r="AD281" i="8" s="1"/>
  <c r="AD282" i="8" s="1"/>
  <c r="AD283" i="8" s="1"/>
  <c r="AD284" i="8" s="1"/>
  <c r="AD285" i="8" s="1"/>
  <c r="AD286" i="8" s="1"/>
  <c r="AD287" i="8" s="1"/>
  <c r="AD288" i="8" s="1"/>
  <c r="AD289" i="8" s="1"/>
  <c r="AD290" i="8" s="1"/>
  <c r="AD291" i="8" s="1"/>
  <c r="AD292" i="8" s="1"/>
  <c r="AD293" i="8" s="1"/>
  <c r="AD294" i="8" s="1"/>
  <c r="AD295" i="8" s="1"/>
  <c r="AD296" i="8" s="1"/>
  <c r="AD297" i="8" s="1"/>
  <c r="AD298" i="8" s="1"/>
  <c r="AD299" i="8" s="1"/>
  <c r="AD300" i="8" s="1"/>
  <c r="AD301" i="8" s="1"/>
  <c r="AD302" i="8" s="1"/>
  <c r="AD303" i="8" s="1"/>
  <c r="AD304" i="8" s="1"/>
  <c r="AD305" i="8" s="1"/>
  <c r="AD306" i="8" s="1"/>
  <c r="AD307" i="8" s="1"/>
  <c r="AD308" i="8" s="1"/>
  <c r="AD309" i="8" s="1"/>
  <c r="AD310" i="8" s="1"/>
  <c r="AD311" i="8" s="1"/>
  <c r="AD312" i="8" s="1"/>
  <c r="AD313" i="8" s="1"/>
  <c r="AD314" i="8" s="1"/>
  <c r="AD315" i="8" s="1"/>
  <c r="AD316" i="8" s="1"/>
  <c r="AD317" i="8" s="1"/>
  <c r="AD318" i="8" s="1"/>
  <c r="AD319" i="8" s="1"/>
  <c r="AD320" i="8" s="1"/>
  <c r="AD321" i="8" s="1"/>
  <c r="AD322" i="8" s="1"/>
  <c r="Z80" i="6"/>
  <c r="AC53" i="6"/>
  <c r="AO39" i="6"/>
  <c r="BU21" i="6"/>
  <c r="V40" i="6"/>
  <c r="BR40" i="6" s="1"/>
  <c r="F14" i="6"/>
  <c r="B15" i="6"/>
  <c r="H172" i="6"/>
  <c r="H173" i="6" s="1"/>
  <c r="H174" i="6" s="1"/>
  <c r="H175" i="6" s="1"/>
  <c r="H176" i="6" s="1"/>
  <c r="AQ363" i="9" l="1"/>
  <c r="AQ34" i="9"/>
  <c r="DC33" i="9"/>
  <c r="DD32" i="9"/>
  <c r="DE32" i="9" s="1"/>
  <c r="AS47" i="9"/>
  <c r="DF32" i="9" s="1"/>
  <c r="W246" i="8"/>
  <c r="W247" i="8" s="1"/>
  <c r="W248" i="8" s="1"/>
  <c r="W249" i="8" s="1"/>
  <c r="W250" i="8" s="1"/>
  <c r="Y246" i="8"/>
  <c r="Y247" i="8" s="1"/>
  <c r="Y248" i="8" s="1"/>
  <c r="Y249" i="8" s="1"/>
  <c r="Y250" i="8" s="1"/>
  <c r="F22" i="9"/>
  <c r="B23" i="9"/>
  <c r="BR96" i="8"/>
  <c r="V215" i="8"/>
  <c r="BS213" i="8" s="1"/>
  <c r="BT213" i="8" s="1"/>
  <c r="BR214" i="8"/>
  <c r="BS94" i="8"/>
  <c r="BT94" i="8" s="1"/>
  <c r="AO43" i="8"/>
  <c r="BU25" i="8"/>
  <c r="AC86" i="8"/>
  <c r="X246" i="8"/>
  <c r="X247" i="8" s="1"/>
  <c r="X248" i="8" s="1"/>
  <c r="X249" i="8" s="1"/>
  <c r="X250" i="8" s="1"/>
  <c r="Z246" i="8"/>
  <c r="Z247" i="8" s="1"/>
  <c r="Z248" i="8" s="1"/>
  <c r="Z249" i="8" s="1"/>
  <c r="Z250" i="8" s="1"/>
  <c r="V197" i="8"/>
  <c r="AC58" i="8"/>
  <c r="BR232" i="8"/>
  <c r="V233" i="8"/>
  <c r="D17" i="8"/>
  <c r="E17" i="8"/>
  <c r="AC166" i="8"/>
  <c r="G250" i="8"/>
  <c r="G251" i="8" s="1"/>
  <c r="G252" i="8" s="1"/>
  <c r="G253" i="8" s="1"/>
  <c r="G254" i="8" s="1"/>
  <c r="G255" i="8" s="1"/>
  <c r="V250" i="8"/>
  <c r="AC237" i="8"/>
  <c r="AE161" i="8"/>
  <c r="BU143" i="8"/>
  <c r="AD75" i="8"/>
  <c r="V179" i="8"/>
  <c r="AI178" i="8"/>
  <c r="AI179" i="8" s="1"/>
  <c r="AI180" i="8" s="1"/>
  <c r="AI181" i="8" s="1"/>
  <c r="AI182" i="8" s="1"/>
  <c r="AI183" i="8" s="1"/>
  <c r="AI184" i="8" s="1"/>
  <c r="AI185" i="8" s="1"/>
  <c r="AI186" i="8" s="1"/>
  <c r="AI187" i="8" s="1"/>
  <c r="AI188" i="8" s="1"/>
  <c r="AI189" i="8" s="1"/>
  <c r="AI190" i="8" s="1"/>
  <c r="AI191" i="8" s="1"/>
  <c r="AI192" i="8" s="1"/>
  <c r="AI193" i="8" s="1"/>
  <c r="AI194" i="8" s="1"/>
  <c r="AI195" i="8" s="1"/>
  <c r="AI196" i="8" s="1"/>
  <c r="AI197" i="8" s="1"/>
  <c r="AI198" i="8" s="1"/>
  <c r="AI199" i="8" s="1"/>
  <c r="AI200" i="8" s="1"/>
  <c r="AI201" i="8" s="1"/>
  <c r="AI202" i="8" s="1"/>
  <c r="AI203" i="8" s="1"/>
  <c r="AI204" i="8" s="1"/>
  <c r="AI205" i="8" s="1"/>
  <c r="AI206" i="8" s="1"/>
  <c r="AI207" i="8" s="1"/>
  <c r="AI208" i="8" s="1"/>
  <c r="AI209" i="8" s="1"/>
  <c r="AI210" i="8" s="1"/>
  <c r="AI211" i="8" s="1"/>
  <c r="AI212" i="8" s="1"/>
  <c r="AI213" i="8" s="1"/>
  <c r="AI214" i="8" s="1"/>
  <c r="AI215" i="8" s="1"/>
  <c r="AI216" i="8" s="1"/>
  <c r="AI217" i="8" s="1"/>
  <c r="AI218" i="8" s="1"/>
  <c r="AI219" i="8" s="1"/>
  <c r="AI220" i="8" s="1"/>
  <c r="AI221" i="8" s="1"/>
  <c r="AI222" i="8" s="1"/>
  <c r="AI223" i="8" s="1"/>
  <c r="AI224" i="8" s="1"/>
  <c r="AI225" i="8" s="1"/>
  <c r="AI226" i="8" s="1"/>
  <c r="AI227" i="8" s="1"/>
  <c r="AI228" i="8" s="1"/>
  <c r="AI229" i="8" s="1"/>
  <c r="AI230" i="8" s="1"/>
  <c r="AI231" i="8" s="1"/>
  <c r="AI232" i="8" s="1"/>
  <c r="AI233" i="8" s="1"/>
  <c r="AI234" i="8" s="1"/>
  <c r="AI235" i="8" s="1"/>
  <c r="AI236" i="8" s="1"/>
  <c r="AI237" i="8" s="1"/>
  <c r="AI238" i="8" s="1"/>
  <c r="AI239" i="8" s="1"/>
  <c r="AI240" i="8" s="1"/>
  <c r="AI241" i="8" s="1"/>
  <c r="AI242" i="8" s="1"/>
  <c r="AI243" i="8" s="1"/>
  <c r="AI244" i="8" s="1"/>
  <c r="AI245" i="8" s="1"/>
  <c r="AI246" i="8" s="1"/>
  <c r="AI247" i="8" s="1"/>
  <c r="AI248" i="8" s="1"/>
  <c r="AI249" i="8" s="1"/>
  <c r="AI250" i="8" s="1"/>
  <c r="AI251" i="8" s="1"/>
  <c r="AI252" i="8" s="1"/>
  <c r="AI253" i="8" s="1"/>
  <c r="AI254" i="8" s="1"/>
  <c r="AI255" i="8" s="1"/>
  <c r="AI256" i="8" s="1"/>
  <c r="AI257" i="8" s="1"/>
  <c r="AI258" i="8" s="1"/>
  <c r="AI259" i="8" s="1"/>
  <c r="AI260" i="8" s="1"/>
  <c r="AI261" i="8" s="1"/>
  <c r="AI262" i="8" s="1"/>
  <c r="AI263" i="8" s="1"/>
  <c r="AI264" i="8" s="1"/>
  <c r="AA246" i="8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Y251" i="8"/>
  <c r="Y252" i="8" s="1"/>
  <c r="Y253" i="8" s="1"/>
  <c r="AF250" i="8"/>
  <c r="AF251" i="8" s="1"/>
  <c r="AF252" i="8" s="1"/>
  <c r="AF253" i="8" s="1"/>
  <c r="AF254" i="8" s="1"/>
  <c r="AF255" i="8" s="1"/>
  <c r="AF256" i="8" s="1"/>
  <c r="AF257" i="8" s="1"/>
  <c r="AF258" i="8" s="1"/>
  <c r="AF259" i="8" s="1"/>
  <c r="AF260" i="8" s="1"/>
  <c r="AF261" i="8" s="1"/>
  <c r="AF262" i="8" s="1"/>
  <c r="AF263" i="8" s="1"/>
  <c r="AF264" i="8" s="1"/>
  <c r="AF265" i="8" s="1"/>
  <c r="AF266" i="8" s="1"/>
  <c r="AF267" i="8" s="1"/>
  <c r="AF268" i="8" s="1"/>
  <c r="AF269" i="8" s="1"/>
  <c r="AF270" i="8" s="1"/>
  <c r="AF271" i="8" s="1"/>
  <c r="AF272" i="8" s="1"/>
  <c r="AF273" i="8" s="1"/>
  <c r="AF274" i="8" s="1"/>
  <c r="AF275" i="8" s="1"/>
  <c r="AF276" i="8" s="1"/>
  <c r="AF277" i="8" s="1"/>
  <c r="AF278" i="8" s="1"/>
  <c r="AF279" i="8" s="1"/>
  <c r="AF280" i="8" s="1"/>
  <c r="AF281" i="8" s="1"/>
  <c r="AF282" i="8" s="1"/>
  <c r="AF283" i="8" s="1"/>
  <c r="AF284" i="8" s="1"/>
  <c r="AF285" i="8" s="1"/>
  <c r="AF286" i="8" s="1"/>
  <c r="AF287" i="8" s="1"/>
  <c r="AF288" i="8" s="1"/>
  <c r="AF289" i="8" s="1"/>
  <c r="AF290" i="8" s="1"/>
  <c r="AF291" i="8" s="1"/>
  <c r="AF292" i="8" s="1"/>
  <c r="AF293" i="8" s="1"/>
  <c r="AF294" i="8" s="1"/>
  <c r="AF295" i="8" s="1"/>
  <c r="AF296" i="8" s="1"/>
  <c r="AF297" i="8" s="1"/>
  <c r="AF298" i="8" s="1"/>
  <c r="AF299" i="8" s="1"/>
  <c r="AF300" i="8" s="1"/>
  <c r="AF301" i="8" s="1"/>
  <c r="AF302" i="8" s="1"/>
  <c r="AF303" i="8" s="1"/>
  <c r="AF304" i="8" s="1"/>
  <c r="AF305" i="8" s="1"/>
  <c r="AF306" i="8" s="1"/>
  <c r="AF307" i="8" s="1"/>
  <c r="AF308" i="8" s="1"/>
  <c r="AF309" i="8" s="1"/>
  <c r="AF310" i="8" s="1"/>
  <c r="AF311" i="8" s="1"/>
  <c r="AF312" i="8" s="1"/>
  <c r="AF313" i="8" s="1"/>
  <c r="AF314" i="8" s="1"/>
  <c r="AF315" i="8" s="1"/>
  <c r="AF316" i="8" s="1"/>
  <c r="AF317" i="8" s="1"/>
  <c r="AF318" i="8" s="1"/>
  <c r="AF319" i="8" s="1"/>
  <c r="AF320" i="8" s="1"/>
  <c r="AF321" i="8" s="1"/>
  <c r="AF322" i="8" s="1"/>
  <c r="AF323" i="8" s="1"/>
  <c r="AF324" i="8" s="1"/>
  <c r="AF325" i="8" s="1"/>
  <c r="AF326" i="8" s="1"/>
  <c r="AF327" i="8" s="1"/>
  <c r="AF328" i="8" s="1"/>
  <c r="AF329" i="8" s="1"/>
  <c r="AF330" i="8" s="1"/>
  <c r="AF331" i="8" s="1"/>
  <c r="AF332" i="8" s="1"/>
  <c r="AF333" i="8" s="1"/>
  <c r="BR43" i="8"/>
  <c r="V44" i="8"/>
  <c r="Z81" i="6"/>
  <c r="AO40" i="6"/>
  <c r="BU22" i="6"/>
  <c r="AC54" i="6"/>
  <c r="V41" i="6"/>
  <c r="E15" i="6"/>
  <c r="D15" i="6"/>
  <c r="H177" i="6"/>
  <c r="H178" i="6" s="1"/>
  <c r="AQ35" i="9" l="1"/>
  <c r="DC34" i="9"/>
  <c r="AQ364" i="9"/>
  <c r="AS48" i="9"/>
  <c r="DF33" i="9" s="1"/>
  <c r="D23" i="9"/>
  <c r="E23" i="9"/>
  <c r="V180" i="8"/>
  <c r="AD76" i="8"/>
  <c r="AC238" i="8"/>
  <c r="BS196" i="8"/>
  <c r="BT196" i="8" s="1"/>
  <c r="BR197" i="8"/>
  <c r="V198" i="8"/>
  <c r="W251" i="8"/>
  <c r="W252" i="8" s="1"/>
  <c r="W253" i="8" s="1"/>
  <c r="W254" i="8" s="1"/>
  <c r="W255" i="8" s="1"/>
  <c r="W256" i="8" s="1"/>
  <c r="AC87" i="8"/>
  <c r="V45" i="8"/>
  <c r="BR250" i="8"/>
  <c r="V251" i="8"/>
  <c r="Z251" i="8"/>
  <c r="Z252" i="8" s="1"/>
  <c r="Z253" i="8" s="1"/>
  <c r="Z254" i="8" s="1"/>
  <c r="Z255" i="8" s="1"/>
  <c r="Z256" i="8" s="1"/>
  <c r="AE162" i="8"/>
  <c r="BU144" i="8"/>
  <c r="G256" i="8"/>
  <c r="G257" i="8" s="1"/>
  <c r="G258" i="8" s="1"/>
  <c r="G259" i="8" s="1"/>
  <c r="G260" i="8" s="1"/>
  <c r="Y256" i="8"/>
  <c r="B18" i="8"/>
  <c r="F17" i="8"/>
  <c r="X251" i="8"/>
  <c r="X252" i="8" s="1"/>
  <c r="X253" i="8" s="1"/>
  <c r="X254" i="8" s="1"/>
  <c r="X255" i="8" s="1"/>
  <c r="AO44" i="8"/>
  <c r="BU26" i="8"/>
  <c r="V216" i="8"/>
  <c r="BS214" i="8"/>
  <c r="BT214" i="8" s="1"/>
  <c r="BR215" i="8"/>
  <c r="AC167" i="8"/>
  <c r="V234" i="8"/>
  <c r="AC59" i="8"/>
  <c r="BS39" i="6"/>
  <c r="BT39" i="6" s="1"/>
  <c r="BR41" i="6"/>
  <c r="Z82" i="6"/>
  <c r="Z83" i="6" s="1"/>
  <c r="AC55" i="6"/>
  <c r="AO41" i="6"/>
  <c r="BU23" i="6"/>
  <c r="V42" i="6"/>
  <c r="B16" i="6"/>
  <c r="F15" i="6"/>
  <c r="H179" i="6"/>
  <c r="H180" i="6" s="1"/>
  <c r="H181" i="6" s="1"/>
  <c r="H182" i="6" s="1"/>
  <c r="H183" i="6" s="1"/>
  <c r="AQ365" i="9" l="1"/>
  <c r="AQ36" i="9"/>
  <c r="DC35" i="9"/>
  <c r="DD34" i="9"/>
  <c r="DE34" i="9" s="1"/>
  <c r="DD33" i="9"/>
  <c r="DE33" i="9" s="1"/>
  <c r="AS49" i="9"/>
  <c r="DF34" i="9" s="1"/>
  <c r="B24" i="9"/>
  <c r="F23" i="9"/>
  <c r="V46" i="8"/>
  <c r="AC88" i="8"/>
  <c r="AD77" i="8"/>
  <c r="AC60" i="8"/>
  <c r="D18" i="8"/>
  <c r="E18" i="8"/>
  <c r="AE163" i="8"/>
  <c r="BU145" i="8"/>
  <c r="BR251" i="8"/>
  <c r="V252" i="8"/>
  <c r="BS250" i="8" s="1"/>
  <c r="BT250" i="8" s="1"/>
  <c r="W257" i="8"/>
  <c r="W258" i="8" s="1"/>
  <c r="W259" i="8" s="1"/>
  <c r="W260" i="8" s="1"/>
  <c r="BR180" i="8"/>
  <c r="V181" i="8"/>
  <c r="BS179" i="8" s="1"/>
  <c r="BT179" i="8" s="1"/>
  <c r="AC168" i="8"/>
  <c r="V217" i="8"/>
  <c r="BR216" i="8"/>
  <c r="V235" i="8"/>
  <c r="AO45" i="8"/>
  <c r="BU27" i="8"/>
  <c r="Y257" i="8"/>
  <c r="Y258" i="8" s="1"/>
  <c r="Y259" i="8" s="1"/>
  <c r="Y260" i="8" s="1"/>
  <c r="Y261" i="8" s="1"/>
  <c r="AA257" i="8"/>
  <c r="AA258" i="8" s="1"/>
  <c r="AA259" i="8" s="1"/>
  <c r="AA260" i="8" s="1"/>
  <c r="AA261" i="8" s="1"/>
  <c r="BS249" i="8"/>
  <c r="BT249" i="8" s="1"/>
  <c r="BR198" i="8"/>
  <c r="V199" i="8"/>
  <c r="AC239" i="8"/>
  <c r="X256" i="8"/>
  <c r="X257" i="8" s="1"/>
  <c r="X258" i="8" s="1"/>
  <c r="AG255" i="8"/>
  <c r="AG256" i="8" s="1"/>
  <c r="AG257" i="8" s="1"/>
  <c r="AG258" i="8" s="1"/>
  <c r="AG259" i="8" s="1"/>
  <c r="AG260" i="8" s="1"/>
  <c r="AG261" i="8" s="1"/>
  <c r="AG262" i="8" s="1"/>
  <c r="AG263" i="8" s="1"/>
  <c r="AG264" i="8" s="1"/>
  <c r="AG265" i="8" s="1"/>
  <c r="AG266" i="8" s="1"/>
  <c r="AG267" i="8" s="1"/>
  <c r="AG268" i="8" s="1"/>
  <c r="AG269" i="8" s="1"/>
  <c r="AG270" i="8" s="1"/>
  <c r="AG271" i="8" s="1"/>
  <c r="AG272" i="8" s="1"/>
  <c r="AG273" i="8" s="1"/>
  <c r="AG274" i="8" s="1"/>
  <c r="AG275" i="8" s="1"/>
  <c r="AG276" i="8" s="1"/>
  <c r="AG277" i="8" s="1"/>
  <c r="AG278" i="8" s="1"/>
  <c r="AG279" i="8" s="1"/>
  <c r="AG280" i="8" s="1"/>
  <c r="AG281" i="8" s="1"/>
  <c r="AG282" i="8" s="1"/>
  <c r="AG283" i="8" s="1"/>
  <c r="AG284" i="8" s="1"/>
  <c r="AG285" i="8" s="1"/>
  <c r="AG286" i="8" s="1"/>
  <c r="AG287" i="8" s="1"/>
  <c r="AG288" i="8" s="1"/>
  <c r="AG289" i="8" s="1"/>
  <c r="AG290" i="8" s="1"/>
  <c r="AG291" i="8" s="1"/>
  <c r="AG292" i="8" s="1"/>
  <c r="AG293" i="8" s="1"/>
  <c r="AG294" i="8" s="1"/>
  <c r="AG295" i="8" s="1"/>
  <c r="AG296" i="8" s="1"/>
  <c r="AG297" i="8" s="1"/>
  <c r="AG298" i="8" s="1"/>
  <c r="AG299" i="8" s="1"/>
  <c r="AG300" i="8" s="1"/>
  <c r="AG301" i="8" s="1"/>
  <c r="AG302" i="8" s="1"/>
  <c r="AG303" i="8" s="1"/>
  <c r="AG304" i="8" s="1"/>
  <c r="AG305" i="8" s="1"/>
  <c r="AG306" i="8" s="1"/>
  <c r="AG307" i="8" s="1"/>
  <c r="AG308" i="8" s="1"/>
  <c r="AG309" i="8" s="1"/>
  <c r="AG310" i="8" s="1"/>
  <c r="AG311" i="8" s="1"/>
  <c r="AG312" i="8" s="1"/>
  <c r="AG313" i="8" s="1"/>
  <c r="AG314" i="8" s="1"/>
  <c r="AG315" i="8" s="1"/>
  <c r="AG316" i="8" s="1"/>
  <c r="AG317" i="8" s="1"/>
  <c r="AG318" i="8" s="1"/>
  <c r="AG319" i="8" s="1"/>
  <c r="AG320" i="8" s="1"/>
  <c r="AG321" i="8" s="1"/>
  <c r="AG322" i="8" s="1"/>
  <c r="AG323" i="8" s="1"/>
  <c r="AG324" i="8" s="1"/>
  <c r="AG325" i="8" s="1"/>
  <c r="AG326" i="8" s="1"/>
  <c r="AG327" i="8" s="1"/>
  <c r="AG328" i="8" s="1"/>
  <c r="AG329" i="8" s="1"/>
  <c r="AG330" i="8" s="1"/>
  <c r="AG331" i="8" s="1"/>
  <c r="AG332" i="8" s="1"/>
  <c r="AG333" i="8" s="1"/>
  <c r="AG334" i="8" s="1"/>
  <c r="AG335" i="8" s="1"/>
  <c r="AG336" i="8" s="1"/>
  <c r="AG337" i="8" s="1"/>
  <c r="AG338" i="8" s="1"/>
  <c r="G261" i="8"/>
  <c r="G262" i="8" s="1"/>
  <c r="G263" i="8" s="1"/>
  <c r="G264" i="8" s="1"/>
  <c r="G265" i="8" s="1"/>
  <c r="X261" i="8"/>
  <c r="Z257" i="8"/>
  <c r="Z258" i="8" s="1"/>
  <c r="Z259" i="8" s="1"/>
  <c r="Z260" i="8" s="1"/>
  <c r="Z261" i="8" s="1"/>
  <c r="BS40" i="6"/>
  <c r="BT40" i="6" s="1"/>
  <c r="BR42" i="6"/>
  <c r="Z84" i="6"/>
  <c r="AO42" i="6"/>
  <c r="BU24" i="6"/>
  <c r="AC56" i="6"/>
  <c r="V43" i="6"/>
  <c r="BR43" i="6" s="1"/>
  <c r="H184" i="6"/>
  <c r="H185" i="6" s="1"/>
  <c r="H186" i="6" s="1"/>
  <c r="H187" i="6" s="1"/>
  <c r="E16" i="6"/>
  <c r="D16" i="6"/>
  <c r="AQ37" i="9" l="1"/>
  <c r="DC36" i="9"/>
  <c r="DD35" i="9"/>
  <c r="DE35" i="9" s="1"/>
  <c r="AQ366" i="9"/>
  <c r="AS50" i="9"/>
  <c r="DF35" i="9" s="1"/>
  <c r="Z262" i="8"/>
  <c r="Z263" i="8" s="1"/>
  <c r="Z264" i="8" s="1"/>
  <c r="Z265" i="8" s="1"/>
  <c r="Z266" i="8" s="1"/>
  <c r="X262" i="8"/>
  <c r="X263" i="8" s="1"/>
  <c r="X264" i="8" s="1"/>
  <c r="X265" i="8" s="1"/>
  <c r="X266" i="8" s="1"/>
  <c r="D24" i="9"/>
  <c r="E24" i="9"/>
  <c r="AA262" i="8"/>
  <c r="AA263" i="8" s="1"/>
  <c r="AA264" i="8" s="1"/>
  <c r="AA265" i="8" s="1"/>
  <c r="AA266" i="8" s="1"/>
  <c r="BR235" i="8"/>
  <c r="V236" i="8"/>
  <c r="BR252" i="8"/>
  <c r="V253" i="8"/>
  <c r="BS251" i="8" s="1"/>
  <c r="BT251" i="8" s="1"/>
  <c r="AE164" i="8"/>
  <c r="BU146" i="8"/>
  <c r="AC61" i="8"/>
  <c r="AC89" i="8"/>
  <c r="BR199" i="8"/>
  <c r="V200" i="8"/>
  <c r="G266" i="8"/>
  <c r="G267" i="8" s="1"/>
  <c r="G268" i="8" s="1"/>
  <c r="G269" i="8" s="1"/>
  <c r="G270" i="8" s="1"/>
  <c r="W266" i="8"/>
  <c r="BS197" i="8"/>
  <c r="BT197" i="8" s="1"/>
  <c r="Y262" i="8"/>
  <c r="Y263" i="8" s="1"/>
  <c r="Y264" i="8" s="1"/>
  <c r="Y265" i="8" s="1"/>
  <c r="Y266" i="8" s="1"/>
  <c r="V218" i="8"/>
  <c r="BR181" i="8"/>
  <c r="V182" i="8"/>
  <c r="BS180" i="8" s="1"/>
  <c r="BT180" i="8" s="1"/>
  <c r="AC240" i="8"/>
  <c r="BU222" i="8"/>
  <c r="AC169" i="8"/>
  <c r="B19" i="8"/>
  <c r="F18" i="8"/>
  <c r="AD78" i="8"/>
  <c r="BU60" i="8"/>
  <c r="V47" i="8"/>
  <c r="BR46" i="8"/>
  <c r="AO46" i="8"/>
  <c r="BU28" i="8"/>
  <c r="W261" i="8"/>
  <c r="W262" i="8" s="1"/>
  <c r="W263" i="8" s="1"/>
  <c r="AH260" i="8"/>
  <c r="AH261" i="8" s="1"/>
  <c r="AH262" i="8" s="1"/>
  <c r="AH263" i="8" s="1"/>
  <c r="AH264" i="8" s="1"/>
  <c r="AH265" i="8" s="1"/>
  <c r="AH266" i="8" s="1"/>
  <c r="AH267" i="8" s="1"/>
  <c r="AH268" i="8" s="1"/>
  <c r="AH269" i="8" s="1"/>
  <c r="AH270" i="8" s="1"/>
  <c r="AH271" i="8" s="1"/>
  <c r="AH272" i="8" s="1"/>
  <c r="AH273" i="8" s="1"/>
  <c r="AH274" i="8" s="1"/>
  <c r="AH275" i="8" s="1"/>
  <c r="AH276" i="8" s="1"/>
  <c r="AH277" i="8" s="1"/>
  <c r="AH278" i="8" s="1"/>
  <c r="AH279" i="8" s="1"/>
  <c r="AH280" i="8" s="1"/>
  <c r="AH281" i="8" s="1"/>
  <c r="AH282" i="8" s="1"/>
  <c r="AH283" i="8" s="1"/>
  <c r="AH284" i="8" s="1"/>
  <c r="AH285" i="8" s="1"/>
  <c r="AH286" i="8" s="1"/>
  <c r="AH287" i="8" s="1"/>
  <c r="AH288" i="8" s="1"/>
  <c r="AH289" i="8" s="1"/>
  <c r="AH290" i="8" s="1"/>
  <c r="AH291" i="8" s="1"/>
  <c r="AH292" i="8" s="1"/>
  <c r="AH293" i="8" s="1"/>
  <c r="AH294" i="8" s="1"/>
  <c r="AH295" i="8" s="1"/>
  <c r="AH296" i="8" s="1"/>
  <c r="AH297" i="8" s="1"/>
  <c r="AH298" i="8" s="1"/>
  <c r="AH299" i="8" s="1"/>
  <c r="AH300" i="8" s="1"/>
  <c r="AH301" i="8" s="1"/>
  <c r="AH302" i="8" s="1"/>
  <c r="AH303" i="8" s="1"/>
  <c r="AH304" i="8" s="1"/>
  <c r="AH305" i="8" s="1"/>
  <c r="AH306" i="8" s="1"/>
  <c r="AH307" i="8" s="1"/>
  <c r="AH308" i="8" s="1"/>
  <c r="AH309" i="8" s="1"/>
  <c r="AH310" i="8" s="1"/>
  <c r="AH311" i="8" s="1"/>
  <c r="AH312" i="8" s="1"/>
  <c r="AH313" i="8" s="1"/>
  <c r="AH314" i="8" s="1"/>
  <c r="AH315" i="8" s="1"/>
  <c r="AH316" i="8" s="1"/>
  <c r="AH317" i="8" s="1"/>
  <c r="AH318" i="8" s="1"/>
  <c r="AH319" i="8" s="1"/>
  <c r="AH320" i="8" s="1"/>
  <c r="AH321" i="8" s="1"/>
  <c r="AH322" i="8" s="1"/>
  <c r="AH323" i="8" s="1"/>
  <c r="AH324" i="8" s="1"/>
  <c r="AH325" i="8" s="1"/>
  <c r="AH326" i="8" s="1"/>
  <c r="AH327" i="8" s="1"/>
  <c r="AH328" i="8" s="1"/>
  <c r="AH329" i="8" s="1"/>
  <c r="AH330" i="8" s="1"/>
  <c r="AH331" i="8" s="1"/>
  <c r="AH332" i="8" s="1"/>
  <c r="AH333" i="8" s="1"/>
  <c r="AH334" i="8" s="1"/>
  <c r="AH335" i="8" s="1"/>
  <c r="AH336" i="8" s="1"/>
  <c r="AH337" i="8" s="1"/>
  <c r="AH338" i="8" s="1"/>
  <c r="AH339" i="8" s="1"/>
  <c r="AH340" i="8" s="1"/>
  <c r="AH341" i="8" s="1"/>
  <c r="AH342" i="8" s="1"/>
  <c r="AH343" i="8" s="1"/>
  <c r="Z85" i="6"/>
  <c r="AC57" i="6"/>
  <c r="AO43" i="6"/>
  <c r="BU25" i="6"/>
  <c r="V44" i="6"/>
  <c r="F16" i="6"/>
  <c r="B17" i="6"/>
  <c r="H188" i="6"/>
  <c r="H189" i="6" s="1"/>
  <c r="H190" i="6" s="1"/>
  <c r="H191" i="6" s="1"/>
  <c r="H192" i="6" s="1"/>
  <c r="AQ367" i="9" l="1"/>
  <c r="AQ38" i="9"/>
  <c r="DC37" i="9"/>
  <c r="DD36" i="9"/>
  <c r="DE36" i="9" s="1"/>
  <c r="AS51" i="9"/>
  <c r="DF36" i="9" s="1"/>
  <c r="Y267" i="8"/>
  <c r="Y268" i="8" s="1"/>
  <c r="Y269" i="8" s="1"/>
  <c r="Y270" i="8" s="1"/>
  <c r="Y271" i="8" s="1"/>
  <c r="F24" i="9"/>
  <c r="B25" i="9"/>
  <c r="AJ271" i="8"/>
  <c r="AJ272" i="8" s="1"/>
  <c r="AJ273" i="8" s="1"/>
  <c r="AJ274" i="8" s="1"/>
  <c r="AJ275" i="8" s="1"/>
  <c r="AJ276" i="8" s="1"/>
  <c r="AJ277" i="8" s="1"/>
  <c r="AJ278" i="8" s="1"/>
  <c r="AJ279" i="8" s="1"/>
  <c r="AJ280" i="8" s="1"/>
  <c r="AJ281" i="8" s="1"/>
  <c r="AJ282" i="8" s="1"/>
  <c r="AJ283" i="8" s="1"/>
  <c r="AJ284" i="8" s="1"/>
  <c r="AJ285" i="8" s="1"/>
  <c r="AJ286" i="8" s="1"/>
  <c r="AJ287" i="8" s="1"/>
  <c r="AJ288" i="8" s="1"/>
  <c r="AJ289" i="8" s="1"/>
  <c r="AJ290" i="8" s="1"/>
  <c r="AJ291" i="8" s="1"/>
  <c r="AJ292" i="8" s="1"/>
  <c r="AJ293" i="8" s="1"/>
  <c r="AJ294" i="8" s="1"/>
  <c r="AJ295" i="8" s="1"/>
  <c r="AJ296" i="8" s="1"/>
  <c r="AJ297" i="8" s="1"/>
  <c r="AJ298" i="8" s="1"/>
  <c r="AJ299" i="8" s="1"/>
  <c r="AJ300" i="8" s="1"/>
  <c r="AJ301" i="8" s="1"/>
  <c r="AJ302" i="8" s="1"/>
  <c r="AJ303" i="8" s="1"/>
  <c r="AJ304" i="8" s="1"/>
  <c r="AJ305" i="8" s="1"/>
  <c r="AJ306" i="8" s="1"/>
  <c r="AJ307" i="8" s="1"/>
  <c r="AJ308" i="8" s="1"/>
  <c r="AJ309" i="8" s="1"/>
  <c r="AJ310" i="8" s="1"/>
  <c r="AJ311" i="8" s="1"/>
  <c r="AJ312" i="8" s="1"/>
  <c r="AJ313" i="8" s="1"/>
  <c r="AJ314" i="8" s="1"/>
  <c r="AJ315" i="8" s="1"/>
  <c r="AJ316" i="8" s="1"/>
  <c r="AJ317" i="8" s="1"/>
  <c r="AJ318" i="8" s="1"/>
  <c r="AJ319" i="8" s="1"/>
  <c r="AJ320" i="8" s="1"/>
  <c r="AJ321" i="8" s="1"/>
  <c r="AJ322" i="8" s="1"/>
  <c r="AJ323" i="8" s="1"/>
  <c r="AJ324" i="8" s="1"/>
  <c r="AJ325" i="8" s="1"/>
  <c r="AJ326" i="8" s="1"/>
  <c r="AJ327" i="8" s="1"/>
  <c r="AJ328" i="8" s="1"/>
  <c r="AJ329" i="8" s="1"/>
  <c r="AJ330" i="8" s="1"/>
  <c r="AJ331" i="8" s="1"/>
  <c r="AJ332" i="8" s="1"/>
  <c r="AJ333" i="8" s="1"/>
  <c r="AJ334" i="8" s="1"/>
  <c r="AJ335" i="8" s="1"/>
  <c r="AJ336" i="8" s="1"/>
  <c r="AJ337" i="8" s="1"/>
  <c r="AJ338" i="8" s="1"/>
  <c r="AJ339" i="8" s="1"/>
  <c r="AJ340" i="8" s="1"/>
  <c r="AJ341" i="8" s="1"/>
  <c r="AJ342" i="8" s="1"/>
  <c r="AJ343" i="8" s="1"/>
  <c r="AJ344" i="8" s="1"/>
  <c r="AJ345" i="8" s="1"/>
  <c r="AJ346" i="8" s="1"/>
  <c r="AJ347" i="8" s="1"/>
  <c r="AJ348" i="8" s="1"/>
  <c r="AJ349" i="8" s="1"/>
  <c r="AJ350" i="8" s="1"/>
  <c r="AJ351" i="8" s="1"/>
  <c r="AJ352" i="8" s="1"/>
  <c r="AJ353" i="8" s="1"/>
  <c r="AJ354" i="8" s="1"/>
  <c r="V201" i="8"/>
  <c r="AM200" i="8"/>
  <c r="AM201" i="8" s="1"/>
  <c r="AM202" i="8" s="1"/>
  <c r="AM203" i="8" s="1"/>
  <c r="AM204" i="8" s="1"/>
  <c r="AM205" i="8" s="1"/>
  <c r="AM206" i="8" s="1"/>
  <c r="AM207" i="8" s="1"/>
  <c r="AM208" i="8" s="1"/>
  <c r="AM209" i="8" s="1"/>
  <c r="AM210" i="8" s="1"/>
  <c r="AM211" i="8" s="1"/>
  <c r="AM212" i="8" s="1"/>
  <c r="AM213" i="8" s="1"/>
  <c r="AM214" i="8" s="1"/>
  <c r="AM215" i="8" s="1"/>
  <c r="AM216" i="8" s="1"/>
  <c r="AM217" i="8" s="1"/>
  <c r="AM218" i="8" s="1"/>
  <c r="AM219" i="8" s="1"/>
  <c r="AM220" i="8" s="1"/>
  <c r="AM221" i="8" s="1"/>
  <c r="AM222" i="8" s="1"/>
  <c r="AM223" i="8" s="1"/>
  <c r="AM224" i="8" s="1"/>
  <c r="AM225" i="8" s="1"/>
  <c r="AM226" i="8" s="1"/>
  <c r="AM227" i="8" s="1"/>
  <c r="AM228" i="8" s="1"/>
  <c r="AM229" i="8" s="1"/>
  <c r="AM230" i="8" s="1"/>
  <c r="AM231" i="8" s="1"/>
  <c r="AM232" i="8" s="1"/>
  <c r="AM233" i="8" s="1"/>
  <c r="AM234" i="8" s="1"/>
  <c r="AM235" i="8" s="1"/>
  <c r="AM236" i="8" s="1"/>
  <c r="AM237" i="8" s="1"/>
  <c r="AM238" i="8" s="1"/>
  <c r="AM239" i="8" s="1"/>
  <c r="AM240" i="8" s="1"/>
  <c r="AM241" i="8" s="1"/>
  <c r="AM242" i="8" s="1"/>
  <c r="AM243" i="8" s="1"/>
  <c r="AM244" i="8" s="1"/>
  <c r="AM245" i="8" s="1"/>
  <c r="AM246" i="8" s="1"/>
  <c r="AM247" i="8" s="1"/>
  <c r="AM248" i="8" s="1"/>
  <c r="AM249" i="8" s="1"/>
  <c r="AM250" i="8" s="1"/>
  <c r="AM251" i="8" s="1"/>
  <c r="AM252" i="8" s="1"/>
  <c r="AM253" i="8" s="1"/>
  <c r="AM254" i="8" s="1"/>
  <c r="AM255" i="8" s="1"/>
  <c r="AM256" i="8" s="1"/>
  <c r="AM257" i="8" s="1"/>
  <c r="AM258" i="8" s="1"/>
  <c r="AM259" i="8" s="1"/>
  <c r="AM260" i="8" s="1"/>
  <c r="AM261" i="8" s="1"/>
  <c r="AM262" i="8" s="1"/>
  <c r="AM263" i="8" s="1"/>
  <c r="AM264" i="8" s="1"/>
  <c r="AM265" i="8" s="1"/>
  <c r="AM266" i="8" s="1"/>
  <c r="AM267" i="8" s="1"/>
  <c r="AM268" i="8" s="1"/>
  <c r="AM269" i="8" s="1"/>
  <c r="AM270" i="8" s="1"/>
  <c r="AM271" i="8" s="1"/>
  <c r="AM272" i="8" s="1"/>
  <c r="AM273" i="8" s="1"/>
  <c r="AM274" i="8" s="1"/>
  <c r="AM275" i="8" s="1"/>
  <c r="AM276" i="8" s="1"/>
  <c r="AM277" i="8" s="1"/>
  <c r="AM278" i="8" s="1"/>
  <c r="AM279" i="8" s="1"/>
  <c r="AM280" i="8" s="1"/>
  <c r="AM281" i="8" s="1"/>
  <c r="AM282" i="8" s="1"/>
  <c r="AM283" i="8" s="1"/>
  <c r="AM284" i="8" s="1"/>
  <c r="AM285" i="8" s="1"/>
  <c r="AA267" i="8"/>
  <c r="AA268" i="8" s="1"/>
  <c r="AA269" i="8" s="1"/>
  <c r="AA270" i="8" s="1"/>
  <c r="AA271" i="8" s="1"/>
  <c r="V48" i="8"/>
  <c r="D19" i="8"/>
  <c r="V19" i="8"/>
  <c r="W19" i="8"/>
  <c r="E19" i="8"/>
  <c r="BS19" i="8"/>
  <c r="BT19" i="8" s="1"/>
  <c r="AC241" i="8"/>
  <c r="AC90" i="8"/>
  <c r="AE165" i="8"/>
  <c r="BU147" i="8"/>
  <c r="BR236" i="8"/>
  <c r="V237" i="8"/>
  <c r="X267" i="8"/>
  <c r="X268" i="8" s="1"/>
  <c r="X269" i="8" s="1"/>
  <c r="X270" i="8" s="1"/>
  <c r="X271" i="8" s="1"/>
  <c r="AO47" i="8"/>
  <c r="BU29" i="8"/>
  <c r="W267" i="8"/>
  <c r="W268" i="8" s="1"/>
  <c r="W269" i="8" s="1"/>
  <c r="W270" i="8" s="1"/>
  <c r="W271" i="8" s="1"/>
  <c r="BR253" i="8"/>
  <c r="V254" i="8"/>
  <c r="BS234" i="8"/>
  <c r="BT234" i="8" s="1"/>
  <c r="AD79" i="8"/>
  <c r="AC170" i="8"/>
  <c r="BR182" i="8"/>
  <c r="V219" i="8"/>
  <c r="G271" i="8"/>
  <c r="G272" i="8" s="1"/>
  <c r="G273" i="8" s="1"/>
  <c r="G274" i="8" s="1"/>
  <c r="G275" i="8" s="1"/>
  <c r="G276" i="8" s="1"/>
  <c r="V271" i="8"/>
  <c r="Z267" i="8"/>
  <c r="Z268" i="8" s="1"/>
  <c r="Z269" i="8" s="1"/>
  <c r="Z270" i="8" s="1"/>
  <c r="Z271" i="8" s="1"/>
  <c r="Z272" i="8" s="1"/>
  <c r="Z273" i="8" s="1"/>
  <c r="Z274" i="8" s="1"/>
  <c r="Z275" i="8" s="1"/>
  <c r="Z276" i="8" s="1"/>
  <c r="Z277" i="8" s="1"/>
  <c r="AC62" i="8"/>
  <c r="Z86" i="6"/>
  <c r="AO44" i="6"/>
  <c r="BU26" i="6"/>
  <c r="AC58" i="6"/>
  <c r="V45" i="6"/>
  <c r="E17" i="6"/>
  <c r="D17" i="6"/>
  <c r="H193" i="6"/>
  <c r="H194" i="6" s="1"/>
  <c r="H195" i="6" s="1"/>
  <c r="H196" i="6" s="1"/>
  <c r="H197" i="6" s="1"/>
  <c r="AQ39" i="9" l="1"/>
  <c r="DC38" i="9"/>
  <c r="DD37" i="9"/>
  <c r="DE37" i="9" s="1"/>
  <c r="AQ368" i="9"/>
  <c r="AZ367" i="9"/>
  <c r="AZ368" i="9" s="1"/>
  <c r="AZ369" i="9" s="1"/>
  <c r="AZ370" i="9" s="1"/>
  <c r="AZ371" i="9" s="1"/>
  <c r="AZ372" i="9" s="1"/>
  <c r="AZ373" i="9" s="1"/>
  <c r="AZ374" i="9" s="1"/>
  <c r="AZ375" i="9" s="1"/>
  <c r="AZ376" i="9" s="1"/>
  <c r="AZ377" i="9" s="1"/>
  <c r="AZ378" i="9" s="1"/>
  <c r="AZ379" i="9" s="1"/>
  <c r="AZ380" i="9" s="1"/>
  <c r="AZ381" i="9" s="1"/>
  <c r="AZ382" i="9" s="1"/>
  <c r="AZ383" i="9" s="1"/>
  <c r="AZ384" i="9" s="1"/>
  <c r="AZ385" i="9" s="1"/>
  <c r="AZ386" i="9" s="1"/>
  <c r="AZ387" i="9" s="1"/>
  <c r="AZ388" i="9" s="1"/>
  <c r="AZ389" i="9" s="1"/>
  <c r="AZ390" i="9" s="1"/>
  <c r="AZ391" i="9" s="1"/>
  <c r="AZ392" i="9" s="1"/>
  <c r="AZ393" i="9" s="1"/>
  <c r="AZ394" i="9" s="1"/>
  <c r="AZ395" i="9" s="1"/>
  <c r="AZ396" i="9" s="1"/>
  <c r="AZ397" i="9" s="1"/>
  <c r="AZ398" i="9" s="1"/>
  <c r="AZ399" i="9" s="1"/>
  <c r="AZ400" i="9" s="1"/>
  <c r="AZ401" i="9" s="1"/>
  <c r="AZ402" i="9" s="1"/>
  <c r="AZ403" i="9" s="1"/>
  <c r="AZ404" i="9" s="1"/>
  <c r="AZ405" i="9" s="1"/>
  <c r="AZ406" i="9" s="1"/>
  <c r="AZ407" i="9" s="1"/>
  <c r="AZ408" i="9" s="1"/>
  <c r="AZ409" i="9" s="1"/>
  <c r="AZ410" i="9" s="1"/>
  <c r="AZ411" i="9" s="1"/>
  <c r="AZ412" i="9" s="1"/>
  <c r="AZ413" i="9" s="1"/>
  <c r="AZ414" i="9" s="1"/>
  <c r="AZ415" i="9" s="1"/>
  <c r="AZ416" i="9" s="1"/>
  <c r="AZ417" i="9" s="1"/>
  <c r="AZ418" i="9" s="1"/>
  <c r="AZ419" i="9" s="1"/>
  <c r="AZ420" i="9" s="1"/>
  <c r="AZ421" i="9" s="1"/>
  <c r="AZ422" i="9" s="1"/>
  <c r="AZ423" i="9" s="1"/>
  <c r="AZ424" i="9" s="1"/>
  <c r="AZ425" i="9" s="1"/>
  <c r="AZ426" i="9" s="1"/>
  <c r="AZ427" i="9" s="1"/>
  <c r="AZ428" i="9" s="1"/>
  <c r="AZ429" i="9" s="1"/>
  <c r="AZ430" i="9" s="1"/>
  <c r="AZ431" i="9" s="1"/>
  <c r="AZ432" i="9" s="1"/>
  <c r="AZ433" i="9" s="1"/>
  <c r="AZ434" i="9" s="1"/>
  <c r="AZ435" i="9" s="1"/>
  <c r="AZ436" i="9" s="1"/>
  <c r="AZ437" i="9" s="1"/>
  <c r="AZ438" i="9" s="1"/>
  <c r="AZ439" i="9" s="1"/>
  <c r="AZ440" i="9" s="1"/>
  <c r="AZ441" i="9" s="1"/>
  <c r="AZ442" i="9" s="1"/>
  <c r="AZ443" i="9" s="1"/>
  <c r="AZ444" i="9" s="1"/>
  <c r="AZ445" i="9" s="1"/>
  <c r="AZ446" i="9" s="1"/>
  <c r="AZ447" i="9" s="1"/>
  <c r="AZ448" i="9" s="1"/>
  <c r="AZ449" i="9" s="1"/>
  <c r="AZ450" i="9" s="1"/>
  <c r="AZ451" i="9" s="1"/>
  <c r="AZ452" i="9" s="1"/>
  <c r="AZ453" i="9" s="1"/>
  <c r="BA367" i="9"/>
  <c r="BA368" i="9" s="1"/>
  <c r="BA369" i="9" s="1"/>
  <c r="BA370" i="9" s="1"/>
  <c r="BA371" i="9" s="1"/>
  <c r="BA372" i="9" s="1"/>
  <c r="BA373" i="9" s="1"/>
  <c r="BA374" i="9" s="1"/>
  <c r="BA375" i="9" s="1"/>
  <c r="BA376" i="9" s="1"/>
  <c r="BA377" i="9" s="1"/>
  <c r="BA378" i="9" s="1"/>
  <c r="BA379" i="9" s="1"/>
  <c r="BA380" i="9" s="1"/>
  <c r="BA381" i="9" s="1"/>
  <c r="BA382" i="9" s="1"/>
  <c r="BA383" i="9" s="1"/>
  <c r="BA384" i="9" s="1"/>
  <c r="BA385" i="9" s="1"/>
  <c r="BA386" i="9" s="1"/>
  <c r="BA387" i="9" s="1"/>
  <c r="BA388" i="9" s="1"/>
  <c r="BA389" i="9" s="1"/>
  <c r="BA390" i="9" s="1"/>
  <c r="BA391" i="9" s="1"/>
  <c r="BA392" i="9" s="1"/>
  <c r="BA393" i="9" s="1"/>
  <c r="BA394" i="9" s="1"/>
  <c r="BA395" i="9" s="1"/>
  <c r="BA396" i="9" s="1"/>
  <c r="BA397" i="9" s="1"/>
  <c r="BA398" i="9" s="1"/>
  <c r="BA399" i="9" s="1"/>
  <c r="BA400" i="9" s="1"/>
  <c r="BA401" i="9" s="1"/>
  <c r="BA402" i="9" s="1"/>
  <c r="BA403" i="9" s="1"/>
  <c r="BA404" i="9" s="1"/>
  <c r="BA405" i="9" s="1"/>
  <c r="BA406" i="9" s="1"/>
  <c r="BA407" i="9" s="1"/>
  <c r="BA408" i="9" s="1"/>
  <c r="BA409" i="9" s="1"/>
  <c r="BA410" i="9" s="1"/>
  <c r="BA411" i="9" s="1"/>
  <c r="BA412" i="9" s="1"/>
  <c r="BA413" i="9" s="1"/>
  <c r="BA414" i="9" s="1"/>
  <c r="BA415" i="9" s="1"/>
  <c r="BA416" i="9" s="1"/>
  <c r="BA417" i="9" s="1"/>
  <c r="BA418" i="9" s="1"/>
  <c r="BA419" i="9" s="1"/>
  <c r="BA420" i="9" s="1"/>
  <c r="BA421" i="9" s="1"/>
  <c r="BA422" i="9" s="1"/>
  <c r="BA423" i="9" s="1"/>
  <c r="BA424" i="9" s="1"/>
  <c r="BA425" i="9" s="1"/>
  <c r="BA426" i="9" s="1"/>
  <c r="BA427" i="9" s="1"/>
  <c r="BA428" i="9" s="1"/>
  <c r="BA429" i="9" s="1"/>
  <c r="BA430" i="9" s="1"/>
  <c r="BA431" i="9" s="1"/>
  <c r="BA432" i="9" s="1"/>
  <c r="BA433" i="9" s="1"/>
  <c r="BA434" i="9" s="1"/>
  <c r="BA435" i="9" s="1"/>
  <c r="BA436" i="9" s="1"/>
  <c r="BA437" i="9" s="1"/>
  <c r="BA438" i="9" s="1"/>
  <c r="BA439" i="9" s="1"/>
  <c r="BA440" i="9" s="1"/>
  <c r="BA441" i="9" s="1"/>
  <c r="BA442" i="9" s="1"/>
  <c r="BA443" i="9" s="1"/>
  <c r="BA444" i="9" s="1"/>
  <c r="BA445" i="9" s="1"/>
  <c r="BA446" i="9" s="1"/>
  <c r="BA447" i="9" s="1"/>
  <c r="BA448" i="9" s="1"/>
  <c r="BA449" i="9" s="1"/>
  <c r="BA450" i="9" s="1"/>
  <c r="BA451" i="9" s="1"/>
  <c r="BA452" i="9" s="1"/>
  <c r="BA453" i="9" s="1"/>
  <c r="BA454" i="9" s="1"/>
  <c r="AS52" i="9"/>
  <c r="DF37" i="9" s="1"/>
  <c r="AA272" i="8"/>
  <c r="AA273" i="8" s="1"/>
  <c r="AA274" i="8" s="1"/>
  <c r="AA275" i="8" s="1"/>
  <c r="AA276" i="8" s="1"/>
  <c r="AA277" i="8" s="1"/>
  <c r="D25" i="9"/>
  <c r="E25" i="9"/>
  <c r="AC63" i="8"/>
  <c r="AD80" i="8"/>
  <c r="V272" i="8"/>
  <c r="BR271" i="8"/>
  <c r="V220" i="8"/>
  <c r="BR219" i="8"/>
  <c r="AC171" i="8"/>
  <c r="X272" i="8"/>
  <c r="X273" i="8" s="1"/>
  <c r="X274" i="8" s="1"/>
  <c r="X275" i="8" s="1"/>
  <c r="X276" i="8" s="1"/>
  <c r="AC242" i="8"/>
  <c r="V49" i="8"/>
  <c r="V202" i="8"/>
  <c r="Y272" i="8"/>
  <c r="Y273" i="8" s="1"/>
  <c r="Y274" i="8" s="1"/>
  <c r="BR237" i="8"/>
  <c r="V238" i="8"/>
  <c r="B20" i="8"/>
  <c r="F19" i="8"/>
  <c r="AO48" i="8"/>
  <c r="BU30" i="8"/>
  <c r="AC91" i="8"/>
  <c r="G277" i="8"/>
  <c r="G278" i="8" s="1"/>
  <c r="G279" i="8" s="1"/>
  <c r="G280" i="8" s="1"/>
  <c r="G281" i="8" s="1"/>
  <c r="Y277" i="8"/>
  <c r="Y278" i="8" s="1"/>
  <c r="Y279" i="8" s="1"/>
  <c r="Y280" i="8" s="1"/>
  <c r="Y281" i="8" s="1"/>
  <c r="Y282" i="8" s="1"/>
  <c r="V255" i="8"/>
  <c r="W272" i="8"/>
  <c r="W273" i="8" s="1"/>
  <c r="W274" i="8" s="1"/>
  <c r="W275" i="8" s="1"/>
  <c r="W276" i="8" s="1"/>
  <c r="W277" i="8" s="1"/>
  <c r="BS235" i="8"/>
  <c r="BT235" i="8" s="1"/>
  <c r="AE166" i="8"/>
  <c r="BU148" i="8"/>
  <c r="BS18" i="8"/>
  <c r="BT18" i="8" s="1"/>
  <c r="BR19" i="8"/>
  <c r="BR20" i="8"/>
  <c r="BS17" i="8"/>
  <c r="BT17" i="8" s="1"/>
  <c r="Z87" i="6"/>
  <c r="Z88" i="6" s="1"/>
  <c r="AC59" i="6"/>
  <c r="AO45" i="6"/>
  <c r="BU27" i="6"/>
  <c r="V46" i="6"/>
  <c r="BR46" i="6" s="1"/>
  <c r="H198" i="6"/>
  <c r="H199" i="6" s="1"/>
  <c r="H200" i="6" s="1"/>
  <c r="H201" i="6" s="1"/>
  <c r="H202" i="6" s="1"/>
  <c r="F17" i="6"/>
  <c r="B18" i="6"/>
  <c r="AQ369" i="9" l="1"/>
  <c r="BM368" i="9"/>
  <c r="BM369" i="9" s="1"/>
  <c r="BM370" i="9" s="1"/>
  <c r="BM371" i="9" s="1"/>
  <c r="BM372" i="9" s="1"/>
  <c r="BM373" i="9" s="1"/>
  <c r="BM374" i="9" s="1"/>
  <c r="BM375" i="9" s="1"/>
  <c r="BM376" i="9" s="1"/>
  <c r="BM377" i="9" s="1"/>
  <c r="BM378" i="9" s="1"/>
  <c r="BM379" i="9" s="1"/>
  <c r="BM380" i="9" s="1"/>
  <c r="BM381" i="9" s="1"/>
  <c r="BM382" i="9" s="1"/>
  <c r="BM383" i="9" s="1"/>
  <c r="BM384" i="9" s="1"/>
  <c r="BM385" i="9" s="1"/>
  <c r="BM386" i="9" s="1"/>
  <c r="BM387" i="9" s="1"/>
  <c r="BM388" i="9" s="1"/>
  <c r="BM389" i="9" s="1"/>
  <c r="BM390" i="9" s="1"/>
  <c r="BM391" i="9" s="1"/>
  <c r="BM392" i="9" s="1"/>
  <c r="BM393" i="9" s="1"/>
  <c r="BM394" i="9" s="1"/>
  <c r="BM395" i="9" s="1"/>
  <c r="BM396" i="9" s="1"/>
  <c r="BM397" i="9" s="1"/>
  <c r="BM398" i="9" s="1"/>
  <c r="BM399" i="9" s="1"/>
  <c r="BM400" i="9" s="1"/>
  <c r="BM401" i="9" s="1"/>
  <c r="BM402" i="9" s="1"/>
  <c r="BM403" i="9" s="1"/>
  <c r="BM404" i="9" s="1"/>
  <c r="BM405" i="9" s="1"/>
  <c r="BM406" i="9" s="1"/>
  <c r="BM407" i="9" s="1"/>
  <c r="BM408" i="9" s="1"/>
  <c r="BM409" i="9" s="1"/>
  <c r="BM410" i="9" s="1"/>
  <c r="BM411" i="9" s="1"/>
  <c r="BM412" i="9" s="1"/>
  <c r="BM413" i="9" s="1"/>
  <c r="BM414" i="9" s="1"/>
  <c r="BM415" i="9" s="1"/>
  <c r="BM416" i="9" s="1"/>
  <c r="BM417" i="9" s="1"/>
  <c r="BM418" i="9" s="1"/>
  <c r="BM419" i="9" s="1"/>
  <c r="BM420" i="9" s="1"/>
  <c r="BM421" i="9" s="1"/>
  <c r="BM422" i="9" s="1"/>
  <c r="BM423" i="9" s="1"/>
  <c r="BM424" i="9" s="1"/>
  <c r="BM425" i="9" s="1"/>
  <c r="BM426" i="9" s="1"/>
  <c r="BM427" i="9" s="1"/>
  <c r="BM428" i="9" s="1"/>
  <c r="BM429" i="9" s="1"/>
  <c r="BM430" i="9" s="1"/>
  <c r="BM431" i="9" s="1"/>
  <c r="BM432" i="9" s="1"/>
  <c r="BM433" i="9" s="1"/>
  <c r="BM434" i="9" s="1"/>
  <c r="BM435" i="9" s="1"/>
  <c r="BM436" i="9" s="1"/>
  <c r="BM437" i="9" s="1"/>
  <c r="BM438" i="9" s="1"/>
  <c r="BM439" i="9" s="1"/>
  <c r="BM440" i="9" s="1"/>
  <c r="BM441" i="9" s="1"/>
  <c r="BM442" i="9" s="1"/>
  <c r="BM443" i="9" s="1"/>
  <c r="BM444" i="9" s="1"/>
  <c r="BM445" i="9" s="1"/>
  <c r="BM446" i="9" s="1"/>
  <c r="BM447" i="9" s="1"/>
  <c r="BM448" i="9" s="1"/>
  <c r="BM449" i="9" s="1"/>
  <c r="AQ40" i="9"/>
  <c r="DC39" i="9"/>
  <c r="DD38" i="9"/>
  <c r="DE38" i="9" s="1"/>
  <c r="AS53" i="9"/>
  <c r="DF38" i="9" s="1"/>
  <c r="W278" i="8"/>
  <c r="W279" i="8" s="1"/>
  <c r="W280" i="8" s="1"/>
  <c r="W281" i="8" s="1"/>
  <c r="B26" i="9"/>
  <c r="F25" i="9"/>
  <c r="W282" i="8"/>
  <c r="AL281" i="8"/>
  <c r="AL282" i="8" s="1"/>
  <c r="AL283" i="8" s="1"/>
  <c r="AL284" i="8" s="1"/>
  <c r="AL285" i="8" s="1"/>
  <c r="AL286" i="8" s="1"/>
  <c r="AL287" i="8" s="1"/>
  <c r="AL288" i="8" s="1"/>
  <c r="AL289" i="8" s="1"/>
  <c r="AL290" i="8" s="1"/>
  <c r="AL291" i="8" s="1"/>
  <c r="AL292" i="8" s="1"/>
  <c r="AL293" i="8" s="1"/>
  <c r="AL294" i="8" s="1"/>
  <c r="AL295" i="8" s="1"/>
  <c r="AL296" i="8" s="1"/>
  <c r="AL297" i="8" s="1"/>
  <c r="AL298" i="8" s="1"/>
  <c r="AL299" i="8" s="1"/>
  <c r="AL300" i="8" s="1"/>
  <c r="AL301" i="8" s="1"/>
  <c r="AL302" i="8" s="1"/>
  <c r="AL303" i="8" s="1"/>
  <c r="AL304" i="8" s="1"/>
  <c r="AL305" i="8" s="1"/>
  <c r="AL306" i="8" s="1"/>
  <c r="AL307" i="8" s="1"/>
  <c r="AL308" i="8" s="1"/>
  <c r="AL309" i="8" s="1"/>
  <c r="AL310" i="8" s="1"/>
  <c r="AL311" i="8" s="1"/>
  <c r="AL312" i="8" s="1"/>
  <c r="AL313" i="8" s="1"/>
  <c r="AL314" i="8" s="1"/>
  <c r="AL315" i="8" s="1"/>
  <c r="AL316" i="8" s="1"/>
  <c r="AL317" i="8" s="1"/>
  <c r="AL318" i="8" s="1"/>
  <c r="AL319" i="8" s="1"/>
  <c r="AL320" i="8" s="1"/>
  <c r="AL321" i="8" s="1"/>
  <c r="AL322" i="8" s="1"/>
  <c r="AL323" i="8" s="1"/>
  <c r="AL324" i="8" s="1"/>
  <c r="AL325" i="8" s="1"/>
  <c r="AL326" i="8" s="1"/>
  <c r="AL327" i="8" s="1"/>
  <c r="AL328" i="8" s="1"/>
  <c r="AL329" i="8" s="1"/>
  <c r="AL330" i="8" s="1"/>
  <c r="AL331" i="8" s="1"/>
  <c r="AL332" i="8" s="1"/>
  <c r="AL333" i="8" s="1"/>
  <c r="AL334" i="8" s="1"/>
  <c r="AL335" i="8" s="1"/>
  <c r="AL336" i="8" s="1"/>
  <c r="AL337" i="8" s="1"/>
  <c r="AL338" i="8" s="1"/>
  <c r="AL339" i="8" s="1"/>
  <c r="AL340" i="8" s="1"/>
  <c r="AL341" i="8" s="1"/>
  <c r="AL342" i="8" s="1"/>
  <c r="AL343" i="8" s="1"/>
  <c r="AL344" i="8" s="1"/>
  <c r="AL345" i="8" s="1"/>
  <c r="AL346" i="8" s="1"/>
  <c r="AL347" i="8" s="1"/>
  <c r="AL348" i="8" s="1"/>
  <c r="AL349" i="8" s="1"/>
  <c r="AL350" i="8" s="1"/>
  <c r="AL351" i="8" s="1"/>
  <c r="AL352" i="8" s="1"/>
  <c r="AL353" i="8" s="1"/>
  <c r="AL354" i="8" s="1"/>
  <c r="AL355" i="8" s="1"/>
  <c r="AL356" i="8" s="1"/>
  <c r="AL357" i="8" s="1"/>
  <c r="AL358" i="8" s="1"/>
  <c r="AL359" i="8" s="1"/>
  <c r="AL360" i="8" s="1"/>
  <c r="AL361" i="8" s="1"/>
  <c r="AL362" i="8" s="1"/>
  <c r="AL363" i="8" s="1"/>
  <c r="AL364" i="8" s="1"/>
  <c r="AC243" i="8"/>
  <c r="AC172" i="8"/>
  <c r="G282" i="8"/>
  <c r="G283" i="8" s="1"/>
  <c r="G284" i="8" s="1"/>
  <c r="G285" i="8" s="1"/>
  <c r="G286" i="8" s="1"/>
  <c r="X282" i="8"/>
  <c r="X283" i="8" s="1"/>
  <c r="X284" i="8" s="1"/>
  <c r="X285" i="8" s="1"/>
  <c r="X286" i="8" s="1"/>
  <c r="X287" i="8" s="1"/>
  <c r="AO49" i="8"/>
  <c r="BU31" i="8"/>
  <c r="D20" i="8"/>
  <c r="E20" i="8"/>
  <c r="V50" i="8"/>
  <c r="BR49" i="8"/>
  <c r="AD81" i="8"/>
  <c r="Y283" i="8"/>
  <c r="Y284" i="8" s="1"/>
  <c r="Y285" i="8" s="1"/>
  <c r="Y286" i="8" s="1"/>
  <c r="Y287" i="8" s="1"/>
  <c r="Z278" i="8"/>
  <c r="Z279" i="8" s="1"/>
  <c r="Z280" i="8" s="1"/>
  <c r="Z281" i="8" s="1"/>
  <c r="Z282" i="8" s="1"/>
  <c r="Z283" i="8" s="1"/>
  <c r="Z284" i="8" s="1"/>
  <c r="Z285" i="8" s="1"/>
  <c r="Z286" i="8" s="1"/>
  <c r="Z287" i="8" s="1"/>
  <c r="BR202" i="8"/>
  <c r="V203" i="8"/>
  <c r="BS201" i="8"/>
  <c r="BT201" i="8" s="1"/>
  <c r="X277" i="8"/>
  <c r="X278" i="8" s="1"/>
  <c r="X279" i="8" s="1"/>
  <c r="AK276" i="8"/>
  <c r="AK277" i="8" s="1"/>
  <c r="AK278" i="8" s="1"/>
  <c r="AK279" i="8" s="1"/>
  <c r="AK280" i="8" s="1"/>
  <c r="AK281" i="8" s="1"/>
  <c r="AK282" i="8" s="1"/>
  <c r="AK283" i="8" s="1"/>
  <c r="AK284" i="8" s="1"/>
  <c r="AK285" i="8" s="1"/>
  <c r="AK286" i="8" s="1"/>
  <c r="AK287" i="8" s="1"/>
  <c r="AK288" i="8" s="1"/>
  <c r="AK289" i="8" s="1"/>
  <c r="AK290" i="8" s="1"/>
  <c r="AK291" i="8" s="1"/>
  <c r="AK292" i="8" s="1"/>
  <c r="AK293" i="8" s="1"/>
  <c r="AK294" i="8" s="1"/>
  <c r="AK295" i="8" s="1"/>
  <c r="AK296" i="8" s="1"/>
  <c r="AK297" i="8" s="1"/>
  <c r="AK298" i="8" s="1"/>
  <c r="AK299" i="8" s="1"/>
  <c r="AK300" i="8" s="1"/>
  <c r="AK301" i="8" s="1"/>
  <c r="AK302" i="8" s="1"/>
  <c r="AK303" i="8" s="1"/>
  <c r="AK304" i="8" s="1"/>
  <c r="AK305" i="8" s="1"/>
  <c r="AK306" i="8" s="1"/>
  <c r="AK307" i="8" s="1"/>
  <c r="AK308" i="8" s="1"/>
  <c r="AK309" i="8" s="1"/>
  <c r="AK310" i="8" s="1"/>
  <c r="AK311" i="8" s="1"/>
  <c r="AK312" i="8" s="1"/>
  <c r="AK313" i="8" s="1"/>
  <c r="AK314" i="8" s="1"/>
  <c r="AK315" i="8" s="1"/>
  <c r="AK316" i="8" s="1"/>
  <c r="AK317" i="8" s="1"/>
  <c r="AK318" i="8" s="1"/>
  <c r="AK319" i="8" s="1"/>
  <c r="AK320" i="8" s="1"/>
  <c r="AK321" i="8" s="1"/>
  <c r="AK322" i="8" s="1"/>
  <c r="AK323" i="8" s="1"/>
  <c r="AK324" i="8" s="1"/>
  <c r="AK325" i="8" s="1"/>
  <c r="AK326" i="8" s="1"/>
  <c r="AK327" i="8" s="1"/>
  <c r="AK328" i="8" s="1"/>
  <c r="AK329" i="8" s="1"/>
  <c r="AK330" i="8" s="1"/>
  <c r="AK331" i="8" s="1"/>
  <c r="AK332" i="8" s="1"/>
  <c r="AK333" i="8" s="1"/>
  <c r="AK334" i="8" s="1"/>
  <c r="AK335" i="8" s="1"/>
  <c r="AK336" i="8" s="1"/>
  <c r="AK337" i="8" s="1"/>
  <c r="AK338" i="8" s="1"/>
  <c r="AK339" i="8" s="1"/>
  <c r="AK340" i="8" s="1"/>
  <c r="AK341" i="8" s="1"/>
  <c r="AK342" i="8" s="1"/>
  <c r="AK343" i="8" s="1"/>
  <c r="AK344" i="8" s="1"/>
  <c r="AK345" i="8" s="1"/>
  <c r="AK346" i="8" s="1"/>
  <c r="AK347" i="8" s="1"/>
  <c r="AK348" i="8" s="1"/>
  <c r="AK349" i="8" s="1"/>
  <c r="AK350" i="8" s="1"/>
  <c r="AK351" i="8" s="1"/>
  <c r="AK352" i="8" s="1"/>
  <c r="AK353" i="8" s="1"/>
  <c r="AK354" i="8" s="1"/>
  <c r="AK355" i="8" s="1"/>
  <c r="AK356" i="8" s="1"/>
  <c r="AK357" i="8" s="1"/>
  <c r="AK358" i="8" s="1"/>
  <c r="AK359" i="8" s="1"/>
  <c r="V221" i="8"/>
  <c r="BR220" i="8"/>
  <c r="BS270" i="8"/>
  <c r="BT270" i="8" s="1"/>
  <c r="V256" i="8"/>
  <c r="AE167" i="8"/>
  <c r="BU149" i="8"/>
  <c r="AC92" i="8"/>
  <c r="AA278" i="8"/>
  <c r="AA279" i="8" s="1"/>
  <c r="AA280" i="8" s="1"/>
  <c r="AA281" i="8" s="1"/>
  <c r="AA282" i="8" s="1"/>
  <c r="AA283" i="8" s="1"/>
  <c r="AA284" i="8" s="1"/>
  <c r="AA285" i="8" s="1"/>
  <c r="AA286" i="8" s="1"/>
  <c r="AA287" i="8" s="1"/>
  <c r="V239" i="8"/>
  <c r="BS218" i="8"/>
  <c r="BT218" i="8" s="1"/>
  <c r="BR272" i="8"/>
  <c r="V273" i="8"/>
  <c r="BU47" i="8"/>
  <c r="Z89" i="6"/>
  <c r="AO46" i="6"/>
  <c r="BU28" i="6"/>
  <c r="AC60" i="6"/>
  <c r="V47" i="6"/>
  <c r="H203" i="6"/>
  <c r="H204" i="6" s="1"/>
  <c r="H205" i="6" s="1"/>
  <c r="H206" i="6" s="1"/>
  <c r="H207" i="6" s="1"/>
  <c r="H208" i="6" s="1"/>
  <c r="H209" i="6" s="1"/>
  <c r="E18" i="6"/>
  <c r="D18" i="6"/>
  <c r="AQ41" i="9" l="1"/>
  <c r="DC40" i="9"/>
  <c r="DD39" i="9"/>
  <c r="DE39" i="9" s="1"/>
  <c r="AQ370" i="9"/>
  <c r="BL369" i="9"/>
  <c r="BL370" i="9" s="1"/>
  <c r="BL371" i="9" s="1"/>
  <c r="BL372" i="9" s="1"/>
  <c r="BL373" i="9" s="1"/>
  <c r="BL374" i="9" s="1"/>
  <c r="BL375" i="9" s="1"/>
  <c r="BL376" i="9" s="1"/>
  <c r="BL377" i="9" s="1"/>
  <c r="BL378" i="9" s="1"/>
  <c r="BL379" i="9" s="1"/>
  <c r="BL380" i="9" s="1"/>
  <c r="BL381" i="9" s="1"/>
  <c r="BL382" i="9" s="1"/>
  <c r="BL383" i="9" s="1"/>
  <c r="BL384" i="9" s="1"/>
  <c r="BL385" i="9" s="1"/>
  <c r="BL386" i="9" s="1"/>
  <c r="BL387" i="9" s="1"/>
  <c r="BL388" i="9" s="1"/>
  <c r="BL389" i="9" s="1"/>
  <c r="BL390" i="9" s="1"/>
  <c r="BL391" i="9" s="1"/>
  <c r="BL392" i="9" s="1"/>
  <c r="BL393" i="9" s="1"/>
  <c r="BL394" i="9" s="1"/>
  <c r="BL395" i="9" s="1"/>
  <c r="BL396" i="9" s="1"/>
  <c r="BL397" i="9" s="1"/>
  <c r="BL398" i="9" s="1"/>
  <c r="BL399" i="9" s="1"/>
  <c r="BL400" i="9" s="1"/>
  <c r="BL401" i="9" s="1"/>
  <c r="BL402" i="9" s="1"/>
  <c r="BL403" i="9" s="1"/>
  <c r="BL404" i="9" s="1"/>
  <c r="BL405" i="9" s="1"/>
  <c r="BL406" i="9" s="1"/>
  <c r="BL407" i="9" s="1"/>
  <c r="BL408" i="9" s="1"/>
  <c r="BL409" i="9" s="1"/>
  <c r="BL410" i="9" s="1"/>
  <c r="BL411" i="9" s="1"/>
  <c r="BL412" i="9" s="1"/>
  <c r="BL413" i="9" s="1"/>
  <c r="BL414" i="9" s="1"/>
  <c r="BL415" i="9" s="1"/>
  <c r="BL416" i="9" s="1"/>
  <c r="BL417" i="9" s="1"/>
  <c r="BL418" i="9" s="1"/>
  <c r="BL419" i="9" s="1"/>
  <c r="BL420" i="9" s="1"/>
  <c r="BL421" i="9" s="1"/>
  <c r="BL422" i="9" s="1"/>
  <c r="BL423" i="9" s="1"/>
  <c r="BL424" i="9" s="1"/>
  <c r="BL425" i="9" s="1"/>
  <c r="BL426" i="9" s="1"/>
  <c r="BL427" i="9" s="1"/>
  <c r="BL428" i="9" s="1"/>
  <c r="BL429" i="9" s="1"/>
  <c r="BL430" i="9" s="1"/>
  <c r="BL431" i="9" s="1"/>
  <c r="BL432" i="9" s="1"/>
  <c r="BL433" i="9" s="1"/>
  <c r="BL434" i="9" s="1"/>
  <c r="BL435" i="9" s="1"/>
  <c r="BL436" i="9" s="1"/>
  <c r="BL437" i="9" s="1"/>
  <c r="BL438" i="9" s="1"/>
  <c r="BL439" i="9" s="1"/>
  <c r="BL440" i="9" s="1"/>
  <c r="BL441" i="9" s="1"/>
  <c r="BL442" i="9" s="1"/>
  <c r="BL443" i="9" s="1"/>
  <c r="BL444" i="9" s="1"/>
  <c r="BL445" i="9" s="1"/>
  <c r="BL446" i="9" s="1"/>
  <c r="BL447" i="9" s="1"/>
  <c r="BL448" i="9" s="1"/>
  <c r="BL449" i="9" s="1"/>
  <c r="BL450" i="9" s="1"/>
  <c r="BL451" i="9" s="1"/>
  <c r="BL452" i="9" s="1"/>
  <c r="BL453" i="9" s="1"/>
  <c r="BL454" i="9" s="1"/>
  <c r="BL455" i="9" s="1"/>
  <c r="BL456" i="9" s="1"/>
  <c r="BL457" i="9" s="1"/>
  <c r="BL458" i="9" s="1"/>
  <c r="BL459" i="9" s="1"/>
  <c r="BL460" i="9" s="1"/>
  <c r="BL461" i="9" s="1"/>
  <c r="BL462" i="9" s="1"/>
  <c r="BL463" i="9" s="1"/>
  <c r="BL464" i="9" s="1"/>
  <c r="BL465" i="9" s="1"/>
  <c r="BL466" i="9" s="1"/>
  <c r="BL467" i="9" s="1"/>
  <c r="BL468" i="9" s="1"/>
  <c r="BL469" i="9" s="1"/>
  <c r="BL470" i="9" s="1"/>
  <c r="BL471" i="9" s="1"/>
  <c r="BL472" i="9" s="1"/>
  <c r="BL473" i="9" s="1"/>
  <c r="BL474" i="9" s="1"/>
  <c r="BL475" i="9" s="1"/>
  <c r="BL476" i="9" s="1"/>
  <c r="BL477" i="9" s="1"/>
  <c r="BL478" i="9" s="1"/>
  <c r="BL479" i="9" s="1"/>
  <c r="BL480" i="9" s="1"/>
  <c r="BL481" i="9" s="1"/>
  <c r="BL482" i="9" s="1"/>
  <c r="BL483" i="9" s="1"/>
  <c r="BL484" i="9" s="1"/>
  <c r="BL485" i="9" s="1"/>
  <c r="BL486" i="9" s="1"/>
  <c r="BL487" i="9" s="1"/>
  <c r="BL488" i="9" s="1"/>
  <c r="BL489" i="9" s="1"/>
  <c r="BL490" i="9" s="1"/>
  <c r="BL491" i="9" s="1"/>
  <c r="BL492" i="9" s="1"/>
  <c r="BL493" i="9" s="1"/>
  <c r="BL494" i="9" s="1"/>
  <c r="BL495" i="9" s="1"/>
  <c r="BL496" i="9" s="1"/>
  <c r="BL497" i="9" s="1"/>
  <c r="BL498" i="9" s="1"/>
  <c r="BL499" i="9" s="1"/>
  <c r="BL500" i="9" s="1"/>
  <c r="BL501" i="9" s="1"/>
  <c r="BL502" i="9" s="1"/>
  <c r="BL503" i="9" s="1"/>
  <c r="BL504" i="9" s="1"/>
  <c r="BL505" i="9" s="1"/>
  <c r="BL506" i="9" s="1"/>
  <c r="BL507" i="9" s="1"/>
  <c r="BL508" i="9" s="1"/>
  <c r="BL509" i="9" s="1"/>
  <c r="BL510" i="9" s="1"/>
  <c r="BL511" i="9" s="1"/>
  <c r="BL512" i="9" s="1"/>
  <c r="BL513" i="9" s="1"/>
  <c r="BL514" i="9" s="1"/>
  <c r="BL515" i="9" s="1"/>
  <c r="BL516" i="9" s="1"/>
  <c r="BL517" i="9" s="1"/>
  <c r="BL518" i="9" s="1"/>
  <c r="BL519" i="9" s="1"/>
  <c r="BL520" i="9" s="1"/>
  <c r="BL521" i="9" s="1"/>
  <c r="BL522" i="9" s="1"/>
  <c r="BL523" i="9" s="1"/>
  <c r="BL524" i="9" s="1"/>
  <c r="BL525" i="9" s="1"/>
  <c r="BL526" i="9" s="1"/>
  <c r="BL527" i="9" s="1"/>
  <c r="BL528" i="9" s="1"/>
  <c r="BL529" i="9" s="1"/>
  <c r="BL530" i="9" s="1"/>
  <c r="BL531" i="9" s="1"/>
  <c r="BL532" i="9" s="1"/>
  <c r="BL533" i="9" s="1"/>
  <c r="BL534" i="9" s="1"/>
  <c r="BL535" i="9" s="1"/>
  <c r="BL536" i="9" s="1"/>
  <c r="BL537" i="9" s="1"/>
  <c r="BL538" i="9" s="1"/>
  <c r="BL539" i="9" s="1"/>
  <c r="BL540" i="9" s="1"/>
  <c r="BL541" i="9" s="1"/>
  <c r="BL542" i="9" s="1"/>
  <c r="BL543" i="9" s="1"/>
  <c r="BL544" i="9" s="1"/>
  <c r="BL545" i="9" s="1"/>
  <c r="BL546" i="9" s="1"/>
  <c r="BL547" i="9" s="1"/>
  <c r="BL548" i="9" s="1"/>
  <c r="BL549" i="9" s="1"/>
  <c r="BL550" i="9" s="1"/>
  <c r="BL551" i="9" s="1"/>
  <c r="BL552" i="9" s="1"/>
  <c r="BL553" i="9" s="1"/>
  <c r="BL554" i="9" s="1"/>
  <c r="BL555" i="9" s="1"/>
  <c r="BL556" i="9" s="1"/>
  <c r="BL557" i="9" s="1"/>
  <c r="BL558" i="9" s="1"/>
  <c r="BL559" i="9" s="1"/>
  <c r="BL560" i="9" s="1"/>
  <c r="BL561" i="9" s="1"/>
  <c r="BL562" i="9" s="1"/>
  <c r="BL563" i="9" s="1"/>
  <c r="BL564" i="9" s="1"/>
  <c r="BL565" i="9" s="1"/>
  <c r="BL566" i="9" s="1"/>
  <c r="BL567" i="9" s="1"/>
  <c r="BL568" i="9" s="1"/>
  <c r="BL569" i="9" s="1"/>
  <c r="BL570" i="9" s="1"/>
  <c r="BL571" i="9" s="1"/>
  <c r="BL572" i="9" s="1"/>
  <c r="BL573" i="9" s="1"/>
  <c r="BL574" i="9" s="1"/>
  <c r="BL575" i="9" s="1"/>
  <c r="BL576" i="9" s="1"/>
  <c r="BL577" i="9" s="1"/>
  <c r="BL578" i="9" s="1"/>
  <c r="BL579" i="9" s="1"/>
  <c r="BL580" i="9" s="1"/>
  <c r="BL581" i="9" s="1"/>
  <c r="BL582" i="9" s="1"/>
  <c r="BL583" i="9" s="1"/>
  <c r="BL584" i="9" s="1"/>
  <c r="BL585" i="9" s="1"/>
  <c r="BL586" i="9" s="1"/>
  <c r="BL587" i="9" s="1"/>
  <c r="BL588" i="9" s="1"/>
  <c r="BL589" i="9" s="1"/>
  <c r="BL590" i="9" s="1"/>
  <c r="BL591" i="9" s="1"/>
  <c r="BL592" i="9" s="1"/>
  <c r="BL593" i="9" s="1"/>
  <c r="BL594" i="9" s="1"/>
  <c r="BL595" i="9" s="1"/>
  <c r="BL596" i="9" s="1"/>
  <c r="BL597" i="9" s="1"/>
  <c r="BL598" i="9" s="1"/>
  <c r="BL599" i="9" s="1"/>
  <c r="BL600" i="9" s="1"/>
  <c r="BL601" i="9" s="1"/>
  <c r="BL602" i="9" s="1"/>
  <c r="BL603" i="9" s="1"/>
  <c r="BL604" i="9" s="1"/>
  <c r="BL605" i="9" s="1"/>
  <c r="BL606" i="9" s="1"/>
  <c r="BL607" i="9" s="1"/>
  <c r="BL608" i="9" s="1"/>
  <c r="BL609" i="9" s="1"/>
  <c r="BL610" i="9" s="1"/>
  <c r="BL611" i="9" s="1"/>
  <c r="BL612" i="9" s="1"/>
  <c r="BL613" i="9" s="1"/>
  <c r="BL614" i="9" s="1"/>
  <c r="BL615" i="9" s="1"/>
  <c r="BL616" i="9" s="1"/>
  <c r="BL617" i="9" s="1"/>
  <c r="BL618" i="9" s="1"/>
  <c r="BL619" i="9" s="1"/>
  <c r="BL620" i="9" s="1"/>
  <c r="BL621" i="9" s="1"/>
  <c r="BL622" i="9" s="1"/>
  <c r="BL623" i="9" s="1"/>
  <c r="BL624" i="9" s="1"/>
  <c r="BL625" i="9" s="1"/>
  <c r="BL626" i="9" s="1"/>
  <c r="BL627" i="9" s="1"/>
  <c r="BL628" i="9" s="1"/>
  <c r="BL629" i="9" s="1"/>
  <c r="BL630" i="9" s="1"/>
  <c r="BL631" i="9" s="1"/>
  <c r="BL632" i="9" s="1"/>
  <c r="BL633" i="9" s="1"/>
  <c r="BL634" i="9" s="1"/>
  <c r="BL635" i="9" s="1"/>
  <c r="BL636" i="9" s="1"/>
  <c r="BL637" i="9" s="1"/>
  <c r="BL638" i="9" s="1"/>
  <c r="BL639" i="9" s="1"/>
  <c r="BL640" i="9" s="1"/>
  <c r="BL641" i="9" s="1"/>
  <c r="BL642" i="9" s="1"/>
  <c r="BL643" i="9" s="1"/>
  <c r="BL644" i="9" s="1"/>
  <c r="BL645" i="9" s="1"/>
  <c r="BL646" i="9" s="1"/>
  <c r="BL647" i="9" s="1"/>
  <c r="BL648" i="9" s="1"/>
  <c r="BL649" i="9" s="1"/>
  <c r="BL650" i="9" s="1"/>
  <c r="BL651" i="9" s="1"/>
  <c r="BL652" i="9" s="1"/>
  <c r="BL653" i="9" s="1"/>
  <c r="BL654" i="9" s="1"/>
  <c r="BL655" i="9" s="1"/>
  <c r="BL656" i="9" s="1"/>
  <c r="BL657" i="9" s="1"/>
  <c r="BL658" i="9" s="1"/>
  <c r="BL659" i="9" s="1"/>
  <c r="BL660" i="9" s="1"/>
  <c r="BL661" i="9" s="1"/>
  <c r="BL662" i="9" s="1"/>
  <c r="BL663" i="9" s="1"/>
  <c r="BL664" i="9" s="1"/>
  <c r="BL665" i="9" s="1"/>
  <c r="BL666" i="9" s="1"/>
  <c r="BL667" i="9" s="1"/>
  <c r="BL668" i="9" s="1"/>
  <c r="BL669" i="9" s="1"/>
  <c r="BL670" i="9" s="1"/>
  <c r="BL671" i="9" s="1"/>
  <c r="BL672" i="9" s="1"/>
  <c r="BL673" i="9" s="1"/>
  <c r="BL674" i="9" s="1"/>
  <c r="BL675" i="9" s="1"/>
  <c r="BL676" i="9" s="1"/>
  <c r="BL677" i="9" s="1"/>
  <c r="BL678" i="9" s="1"/>
  <c r="BL679" i="9" s="1"/>
  <c r="BL680" i="9" s="1"/>
  <c r="BL681" i="9" s="1"/>
  <c r="BL682" i="9" s="1"/>
  <c r="BL683" i="9" s="1"/>
  <c r="BL684" i="9" s="1"/>
  <c r="BL685" i="9" s="1"/>
  <c r="BK369" i="9"/>
  <c r="BK370" i="9" s="1"/>
  <c r="BK371" i="9" s="1"/>
  <c r="BK372" i="9" s="1"/>
  <c r="BK373" i="9" s="1"/>
  <c r="BK374" i="9" s="1"/>
  <c r="BK375" i="9" s="1"/>
  <c r="BK376" i="9" s="1"/>
  <c r="BK377" i="9" s="1"/>
  <c r="BK378" i="9" s="1"/>
  <c r="BK379" i="9" s="1"/>
  <c r="BK380" i="9" s="1"/>
  <c r="BK381" i="9" s="1"/>
  <c r="BK382" i="9" s="1"/>
  <c r="BK383" i="9" s="1"/>
  <c r="BK384" i="9" s="1"/>
  <c r="BK385" i="9" s="1"/>
  <c r="BK386" i="9" s="1"/>
  <c r="BK387" i="9" s="1"/>
  <c r="BK388" i="9" s="1"/>
  <c r="BK389" i="9" s="1"/>
  <c r="BK390" i="9" s="1"/>
  <c r="BK391" i="9" s="1"/>
  <c r="BK392" i="9" s="1"/>
  <c r="BK393" i="9" s="1"/>
  <c r="BK394" i="9" s="1"/>
  <c r="BK395" i="9" s="1"/>
  <c r="BK396" i="9" s="1"/>
  <c r="BK397" i="9" s="1"/>
  <c r="BK398" i="9" s="1"/>
  <c r="BK399" i="9" s="1"/>
  <c r="BK400" i="9" s="1"/>
  <c r="BK401" i="9" s="1"/>
  <c r="BK402" i="9" s="1"/>
  <c r="BK403" i="9" s="1"/>
  <c r="BK404" i="9" s="1"/>
  <c r="BK405" i="9" s="1"/>
  <c r="BK406" i="9" s="1"/>
  <c r="BK407" i="9" s="1"/>
  <c r="BK408" i="9" s="1"/>
  <c r="BK409" i="9" s="1"/>
  <c r="BK410" i="9" s="1"/>
  <c r="BK411" i="9" s="1"/>
  <c r="BK412" i="9" s="1"/>
  <c r="BK413" i="9" s="1"/>
  <c r="BK414" i="9" s="1"/>
  <c r="BK415" i="9" s="1"/>
  <c r="BK416" i="9" s="1"/>
  <c r="BK417" i="9" s="1"/>
  <c r="BK418" i="9" s="1"/>
  <c r="BK419" i="9" s="1"/>
  <c r="BK420" i="9" s="1"/>
  <c r="BK421" i="9" s="1"/>
  <c r="BK422" i="9" s="1"/>
  <c r="BK423" i="9" s="1"/>
  <c r="BK424" i="9" s="1"/>
  <c r="BK425" i="9" s="1"/>
  <c r="BK426" i="9" s="1"/>
  <c r="BK427" i="9" s="1"/>
  <c r="BK428" i="9" s="1"/>
  <c r="BK429" i="9" s="1"/>
  <c r="BK430" i="9" s="1"/>
  <c r="BK431" i="9" s="1"/>
  <c r="BK432" i="9" s="1"/>
  <c r="BK433" i="9" s="1"/>
  <c r="BK434" i="9" s="1"/>
  <c r="BK435" i="9" s="1"/>
  <c r="BK436" i="9" s="1"/>
  <c r="BK437" i="9" s="1"/>
  <c r="BK438" i="9" s="1"/>
  <c r="BK439" i="9" s="1"/>
  <c r="BK440" i="9" s="1"/>
  <c r="BK441" i="9" s="1"/>
  <c r="BK442" i="9" s="1"/>
  <c r="BK443" i="9" s="1"/>
  <c r="BK444" i="9" s="1"/>
  <c r="BK445" i="9" s="1"/>
  <c r="BK446" i="9" s="1"/>
  <c r="BK447" i="9" s="1"/>
  <c r="AS54" i="9"/>
  <c r="DF39" i="9" s="1"/>
  <c r="W283" i="8"/>
  <c r="W284" i="8" s="1"/>
  <c r="D26" i="9"/>
  <c r="E26" i="9"/>
  <c r="AD82" i="8"/>
  <c r="BU64" i="8"/>
  <c r="AC244" i="8"/>
  <c r="BR273" i="8"/>
  <c r="V274" i="8"/>
  <c r="AE168" i="8"/>
  <c r="BU150" i="8"/>
  <c r="V240" i="8"/>
  <c r="AC93" i="8"/>
  <c r="BR256" i="8"/>
  <c r="V257" i="8"/>
  <c r="B21" i="8"/>
  <c r="F20" i="8"/>
  <c r="G287" i="8"/>
  <c r="G288" i="8" s="1"/>
  <c r="G289" i="8" s="1"/>
  <c r="G290" i="8" s="1"/>
  <c r="G291" i="8" s="1"/>
  <c r="W287" i="8"/>
  <c r="V222" i="8"/>
  <c r="BR221" i="8"/>
  <c r="BS49" i="8"/>
  <c r="BT49" i="8" s="1"/>
  <c r="BR50" i="8"/>
  <c r="BR51" i="8"/>
  <c r="BS271" i="8"/>
  <c r="BT271" i="8" s="1"/>
  <c r="AA288" i="8"/>
  <c r="AA289" i="8" s="1"/>
  <c r="AA290" i="8" s="1"/>
  <c r="AA291" i="8" s="1"/>
  <c r="AA292" i="8" s="1"/>
  <c r="BS219" i="8"/>
  <c r="BT219" i="8" s="1"/>
  <c r="BR203" i="8"/>
  <c r="V204" i="8"/>
  <c r="BS48" i="8"/>
  <c r="BT48" i="8" s="1"/>
  <c r="AO50" i="8"/>
  <c r="BU32" i="8"/>
  <c r="AC173" i="8"/>
  <c r="Z90" i="6"/>
  <c r="AC61" i="6"/>
  <c r="AO47" i="6"/>
  <c r="BU29" i="6"/>
  <c r="V48" i="6"/>
  <c r="F18" i="6"/>
  <c r="B19" i="6"/>
  <c r="BS19" i="6" s="1"/>
  <c r="BT19" i="6" s="1"/>
  <c r="H210" i="6"/>
  <c r="H211" i="6" s="1"/>
  <c r="H212" i="6" s="1"/>
  <c r="H213" i="6" s="1"/>
  <c r="H214" i="6" s="1"/>
  <c r="AQ371" i="9" l="1"/>
  <c r="AQ42" i="9"/>
  <c r="DC41" i="9"/>
  <c r="DD40" i="9"/>
  <c r="DE40" i="9" s="1"/>
  <c r="AS55" i="9"/>
  <c r="DF40" i="9" s="1"/>
  <c r="F26" i="9"/>
  <c r="B27" i="9"/>
  <c r="BR204" i="8"/>
  <c r="W288" i="8"/>
  <c r="W289" i="8" s="1"/>
  <c r="W290" i="8" s="1"/>
  <c r="W291" i="8" s="1"/>
  <c r="W292" i="8" s="1"/>
  <c r="Z288" i="8"/>
  <c r="Z289" i="8" s="1"/>
  <c r="Z290" i="8" s="1"/>
  <c r="Z291" i="8" s="1"/>
  <c r="Z292" i="8" s="1"/>
  <c r="AC94" i="8"/>
  <c r="BR274" i="8"/>
  <c r="V275" i="8"/>
  <c r="AO51" i="8"/>
  <c r="BU33" i="8"/>
  <c r="G292" i="8"/>
  <c r="G293" i="8" s="1"/>
  <c r="G294" i="8" s="1"/>
  <c r="G295" i="8" s="1"/>
  <c r="G296" i="8" s="1"/>
  <c r="G297" i="8" s="1"/>
  <c r="V292" i="8"/>
  <c r="V258" i="8"/>
  <c r="BR257" i="8"/>
  <c r="BS256" i="8"/>
  <c r="BT256" i="8" s="1"/>
  <c r="X288" i="8"/>
  <c r="X289" i="8" s="1"/>
  <c r="X290" i="8" s="1"/>
  <c r="X291" i="8" s="1"/>
  <c r="X292" i="8" s="1"/>
  <c r="V223" i="8"/>
  <c r="AQ222" i="8"/>
  <c r="AQ223" i="8" s="1"/>
  <c r="AQ224" i="8" s="1"/>
  <c r="AQ225" i="8" s="1"/>
  <c r="AQ226" i="8" s="1"/>
  <c r="AQ227" i="8" s="1"/>
  <c r="AQ228" i="8" s="1"/>
  <c r="AQ229" i="8" s="1"/>
  <c r="AQ230" i="8" s="1"/>
  <c r="AQ231" i="8" s="1"/>
  <c r="AQ232" i="8" s="1"/>
  <c r="AQ233" i="8" s="1"/>
  <c r="AQ234" i="8" s="1"/>
  <c r="AQ235" i="8" s="1"/>
  <c r="AQ236" i="8" s="1"/>
  <c r="AQ237" i="8" s="1"/>
  <c r="AQ238" i="8" s="1"/>
  <c r="AQ239" i="8" s="1"/>
  <c r="AQ240" i="8" s="1"/>
  <c r="AQ241" i="8" s="1"/>
  <c r="AQ242" i="8" s="1"/>
  <c r="AQ243" i="8" s="1"/>
  <c r="AQ244" i="8" s="1"/>
  <c r="AQ245" i="8" s="1"/>
  <c r="AQ246" i="8" s="1"/>
  <c r="AQ247" i="8" s="1"/>
  <c r="AQ248" i="8" s="1"/>
  <c r="AQ249" i="8" s="1"/>
  <c r="AQ250" i="8" s="1"/>
  <c r="AQ251" i="8" s="1"/>
  <c r="AQ252" i="8" s="1"/>
  <c r="AQ253" i="8" s="1"/>
  <c r="AQ254" i="8" s="1"/>
  <c r="AQ255" i="8" s="1"/>
  <c r="AQ256" i="8" s="1"/>
  <c r="AQ257" i="8" s="1"/>
  <c r="AQ258" i="8" s="1"/>
  <c r="AQ259" i="8" s="1"/>
  <c r="AQ260" i="8" s="1"/>
  <c r="AQ261" i="8" s="1"/>
  <c r="AQ262" i="8" s="1"/>
  <c r="AQ263" i="8" s="1"/>
  <c r="AQ264" i="8" s="1"/>
  <c r="AQ265" i="8" s="1"/>
  <c r="AQ266" i="8" s="1"/>
  <c r="AQ267" i="8" s="1"/>
  <c r="AQ268" i="8" s="1"/>
  <c r="AQ269" i="8" s="1"/>
  <c r="AQ270" i="8" s="1"/>
  <c r="AQ271" i="8" s="1"/>
  <c r="AQ272" i="8" s="1"/>
  <c r="AQ273" i="8" s="1"/>
  <c r="AQ274" i="8" s="1"/>
  <c r="AQ275" i="8" s="1"/>
  <c r="AQ276" i="8" s="1"/>
  <c r="AQ277" i="8" s="1"/>
  <c r="AQ278" i="8" s="1"/>
  <c r="AQ279" i="8" s="1"/>
  <c r="AQ280" i="8" s="1"/>
  <c r="AQ281" i="8" s="1"/>
  <c r="AQ282" i="8" s="1"/>
  <c r="AQ283" i="8" s="1"/>
  <c r="AQ284" i="8" s="1"/>
  <c r="AQ285" i="8" s="1"/>
  <c r="AQ286" i="8" s="1"/>
  <c r="AQ287" i="8" s="1"/>
  <c r="AQ288" i="8" s="1"/>
  <c r="AQ289" i="8" s="1"/>
  <c r="AQ290" i="8" s="1"/>
  <c r="AQ291" i="8" s="1"/>
  <c r="AQ292" i="8" s="1"/>
  <c r="AQ293" i="8" s="1"/>
  <c r="AQ294" i="8" s="1"/>
  <c r="AQ295" i="8" s="1"/>
  <c r="AQ296" i="8" s="1"/>
  <c r="AQ297" i="8" s="1"/>
  <c r="AQ298" i="8" s="1"/>
  <c r="AQ299" i="8" s="1"/>
  <c r="AQ300" i="8" s="1"/>
  <c r="AQ301" i="8" s="1"/>
  <c r="AQ302" i="8" s="1"/>
  <c r="AQ303" i="8" s="1"/>
  <c r="AQ304" i="8" s="1"/>
  <c r="AQ305" i="8" s="1"/>
  <c r="AQ306" i="8" s="1"/>
  <c r="AE169" i="8"/>
  <c r="BU151" i="8"/>
  <c r="BS272" i="8"/>
  <c r="BT272" i="8" s="1"/>
  <c r="AC174" i="8"/>
  <c r="BS202" i="8"/>
  <c r="BT202" i="8" s="1"/>
  <c r="D21" i="8"/>
  <c r="E21" i="8"/>
  <c r="BS255" i="8"/>
  <c r="BT255" i="8" s="1"/>
  <c r="V241" i="8"/>
  <c r="BS239" i="8" s="1"/>
  <c r="BT239" i="8" s="1"/>
  <c r="BR240" i="8"/>
  <c r="Y288" i="8"/>
  <c r="Y289" i="8" s="1"/>
  <c r="Y290" i="8" s="1"/>
  <c r="Y291" i="8" s="1"/>
  <c r="Y292" i="8" s="1"/>
  <c r="AC245" i="8"/>
  <c r="AD83" i="8"/>
  <c r="Z91" i="6"/>
  <c r="AO48" i="6"/>
  <c r="BU30" i="6"/>
  <c r="AC62" i="6"/>
  <c r="V49" i="6"/>
  <c r="BR49" i="6" s="1"/>
  <c r="H215" i="6"/>
  <c r="H216" i="6" s="1"/>
  <c r="H217" i="6" s="1"/>
  <c r="H218" i="6" s="1"/>
  <c r="H219" i="6" s="1"/>
  <c r="V19" i="6"/>
  <c r="E19" i="6"/>
  <c r="D19" i="6"/>
  <c r="W19" i="6"/>
  <c r="AQ43" i="9" l="1"/>
  <c r="DC42" i="9"/>
  <c r="DD41" i="9"/>
  <c r="DE41" i="9" s="1"/>
  <c r="AQ372" i="9"/>
  <c r="AS56" i="9"/>
  <c r="DF41" i="9" s="1"/>
  <c r="D27" i="9"/>
  <c r="E27" i="9"/>
  <c r="W293" i="8"/>
  <c r="W294" i="8" s="1"/>
  <c r="W295" i="8" s="1"/>
  <c r="W296" i="8" s="1"/>
  <c r="W297" i="8" s="1"/>
  <c r="W298" i="8" s="1"/>
  <c r="V224" i="8"/>
  <c r="AD84" i="8"/>
  <c r="AE170" i="8"/>
  <c r="BU152" i="8"/>
  <c r="V259" i="8"/>
  <c r="BR258" i="8"/>
  <c r="AO52" i="8"/>
  <c r="BU34" i="8"/>
  <c r="AC95" i="8"/>
  <c r="AA293" i="8"/>
  <c r="AA294" i="8" s="1"/>
  <c r="AA295" i="8" s="1"/>
  <c r="AA296" i="8" s="1"/>
  <c r="AA297" i="8" s="1"/>
  <c r="AA298" i="8" s="1"/>
  <c r="V242" i="8"/>
  <c r="BS240" i="8" s="1"/>
  <c r="BT240" i="8" s="1"/>
  <c r="BR241" i="8"/>
  <c r="Y293" i="8"/>
  <c r="Y294" i="8" s="1"/>
  <c r="Y295" i="8" s="1"/>
  <c r="AN292" i="8"/>
  <c r="AN293" i="8" s="1"/>
  <c r="AN294" i="8" s="1"/>
  <c r="AN295" i="8" s="1"/>
  <c r="AN296" i="8" s="1"/>
  <c r="AN297" i="8" s="1"/>
  <c r="AN298" i="8" s="1"/>
  <c r="AN299" i="8" s="1"/>
  <c r="AN300" i="8" s="1"/>
  <c r="AN301" i="8" s="1"/>
  <c r="AN302" i="8" s="1"/>
  <c r="AN303" i="8" s="1"/>
  <c r="AN304" i="8" s="1"/>
  <c r="AN305" i="8" s="1"/>
  <c r="AN306" i="8" s="1"/>
  <c r="AN307" i="8" s="1"/>
  <c r="AN308" i="8" s="1"/>
  <c r="AN309" i="8" s="1"/>
  <c r="AN310" i="8" s="1"/>
  <c r="AN311" i="8" s="1"/>
  <c r="AN312" i="8" s="1"/>
  <c r="AN313" i="8" s="1"/>
  <c r="AN314" i="8" s="1"/>
  <c r="AN315" i="8" s="1"/>
  <c r="AN316" i="8" s="1"/>
  <c r="AN317" i="8" s="1"/>
  <c r="AN318" i="8" s="1"/>
  <c r="AN319" i="8" s="1"/>
  <c r="AN320" i="8" s="1"/>
  <c r="AN321" i="8" s="1"/>
  <c r="AN322" i="8" s="1"/>
  <c r="AN323" i="8" s="1"/>
  <c r="AN324" i="8" s="1"/>
  <c r="AN325" i="8" s="1"/>
  <c r="AN326" i="8" s="1"/>
  <c r="AN327" i="8" s="1"/>
  <c r="AN328" i="8" s="1"/>
  <c r="AN329" i="8" s="1"/>
  <c r="AN330" i="8" s="1"/>
  <c r="AN331" i="8" s="1"/>
  <c r="AN332" i="8" s="1"/>
  <c r="AN333" i="8" s="1"/>
  <c r="AN334" i="8" s="1"/>
  <c r="AN335" i="8" s="1"/>
  <c r="AN336" i="8" s="1"/>
  <c r="AN337" i="8" s="1"/>
  <c r="AN338" i="8" s="1"/>
  <c r="AN339" i="8" s="1"/>
  <c r="AN340" i="8" s="1"/>
  <c r="AN341" i="8" s="1"/>
  <c r="AN342" i="8" s="1"/>
  <c r="AN343" i="8" s="1"/>
  <c r="AN344" i="8" s="1"/>
  <c r="AN345" i="8" s="1"/>
  <c r="AN346" i="8" s="1"/>
  <c r="AN347" i="8" s="1"/>
  <c r="AN348" i="8" s="1"/>
  <c r="AN349" i="8" s="1"/>
  <c r="AN350" i="8" s="1"/>
  <c r="AN351" i="8" s="1"/>
  <c r="AN352" i="8" s="1"/>
  <c r="AN353" i="8" s="1"/>
  <c r="AN354" i="8" s="1"/>
  <c r="AN355" i="8" s="1"/>
  <c r="AN356" i="8" s="1"/>
  <c r="AN357" i="8" s="1"/>
  <c r="AN358" i="8" s="1"/>
  <c r="AN359" i="8" s="1"/>
  <c r="AN360" i="8" s="1"/>
  <c r="AN361" i="8" s="1"/>
  <c r="AN362" i="8" s="1"/>
  <c r="AN363" i="8" s="1"/>
  <c r="AN364" i="8" s="1"/>
  <c r="AN365" i="8" s="1"/>
  <c r="AN366" i="8" s="1"/>
  <c r="AN367" i="8" s="1"/>
  <c r="AN368" i="8" s="1"/>
  <c r="AN369" i="8" s="1"/>
  <c r="AN370" i="8" s="1"/>
  <c r="AN371" i="8" s="1"/>
  <c r="AN372" i="8" s="1"/>
  <c r="AN373" i="8" s="1"/>
  <c r="AN374" i="8" s="1"/>
  <c r="AN375" i="8" s="1"/>
  <c r="AC246" i="8"/>
  <c r="B22" i="8"/>
  <c r="F21" i="8"/>
  <c r="AC175" i="8"/>
  <c r="X293" i="8"/>
  <c r="X294" i="8" s="1"/>
  <c r="X295" i="8" s="1"/>
  <c r="X296" i="8" s="1"/>
  <c r="X297" i="8" s="1"/>
  <c r="BR292" i="8"/>
  <c r="V293" i="8"/>
  <c r="V276" i="8"/>
  <c r="G298" i="8"/>
  <c r="G299" i="8" s="1"/>
  <c r="G300" i="8" s="1"/>
  <c r="G301" i="8" s="1"/>
  <c r="G302" i="8" s="1"/>
  <c r="Y298" i="8"/>
  <c r="Z293" i="8"/>
  <c r="Z294" i="8" s="1"/>
  <c r="Z295" i="8" s="1"/>
  <c r="Z296" i="8" s="1"/>
  <c r="Z297" i="8" s="1"/>
  <c r="Z298" i="8" s="1"/>
  <c r="BR19" i="6"/>
  <c r="BR20" i="6"/>
  <c r="Z92" i="6"/>
  <c r="Z93" i="6" s="1"/>
  <c r="AC63" i="6"/>
  <c r="AO49" i="6"/>
  <c r="BU31" i="6"/>
  <c r="V50" i="6"/>
  <c r="BS48" i="6" s="1"/>
  <c r="BT48" i="6" s="1"/>
  <c r="BS18" i="6"/>
  <c r="BT18" i="6" s="1"/>
  <c r="BS17" i="6"/>
  <c r="BT17" i="6" s="1"/>
  <c r="H220" i="6"/>
  <c r="H221" i="6" s="1"/>
  <c r="H222" i="6" s="1"/>
  <c r="H223" i="6" s="1"/>
  <c r="H224" i="6" s="1"/>
  <c r="B20" i="6"/>
  <c r="F19" i="6"/>
  <c r="AQ373" i="9" l="1"/>
  <c r="AQ44" i="9"/>
  <c r="DC43" i="9"/>
  <c r="DD42" i="9"/>
  <c r="DE42" i="9" s="1"/>
  <c r="AS57" i="9"/>
  <c r="DF42" i="9" s="1"/>
  <c r="Y299" i="8"/>
  <c r="Y300" i="8" s="1"/>
  <c r="Y301" i="8" s="1"/>
  <c r="Y302" i="8" s="1"/>
  <c r="Y303" i="8" s="1"/>
  <c r="F27" i="9"/>
  <c r="B28" i="9"/>
  <c r="BR293" i="8"/>
  <c r="V294" i="8"/>
  <c r="AC96" i="8"/>
  <c r="BR224" i="8"/>
  <c r="V225" i="8"/>
  <c r="BS223" i="8" s="1"/>
  <c r="BT223" i="8" s="1"/>
  <c r="G303" i="8"/>
  <c r="G304" i="8" s="1"/>
  <c r="G305" i="8" s="1"/>
  <c r="G306" i="8" s="1"/>
  <c r="G307" i="8" s="1"/>
  <c r="X303" i="8"/>
  <c r="X304" i="8" s="1"/>
  <c r="X305" i="8" s="1"/>
  <c r="X306" i="8" s="1"/>
  <c r="X307" i="8" s="1"/>
  <c r="X308" i="8" s="1"/>
  <c r="V277" i="8"/>
  <c r="Z299" i="8"/>
  <c r="Z300" i="8" s="1"/>
  <c r="Z301" i="8" s="1"/>
  <c r="Z302" i="8" s="1"/>
  <c r="Z303" i="8" s="1"/>
  <c r="BS291" i="8"/>
  <c r="BT291" i="8" s="1"/>
  <c r="AC176" i="8"/>
  <c r="AC247" i="8"/>
  <c r="AE171" i="8"/>
  <c r="BU153" i="8"/>
  <c r="V243" i="8"/>
  <c r="BR242" i="8"/>
  <c r="V260" i="8"/>
  <c r="X298" i="8"/>
  <c r="X299" i="8" s="1"/>
  <c r="X300" i="8" s="1"/>
  <c r="AO297" i="8"/>
  <c r="AO298" i="8" s="1"/>
  <c r="AO299" i="8" s="1"/>
  <c r="AO300" i="8" s="1"/>
  <c r="AO301" i="8" s="1"/>
  <c r="AO302" i="8" s="1"/>
  <c r="AO303" i="8" s="1"/>
  <c r="AO304" i="8" s="1"/>
  <c r="AO305" i="8" s="1"/>
  <c r="AO306" i="8" s="1"/>
  <c r="AO307" i="8" s="1"/>
  <c r="AO308" i="8" s="1"/>
  <c r="AO309" i="8" s="1"/>
  <c r="AO310" i="8" s="1"/>
  <c r="AO311" i="8" s="1"/>
  <c r="AO312" i="8" s="1"/>
  <c r="AO313" i="8" s="1"/>
  <c r="AO314" i="8" s="1"/>
  <c r="AO315" i="8" s="1"/>
  <c r="AO316" i="8" s="1"/>
  <c r="AO317" i="8" s="1"/>
  <c r="AO318" i="8" s="1"/>
  <c r="AO319" i="8" s="1"/>
  <c r="AO320" i="8" s="1"/>
  <c r="AO321" i="8" s="1"/>
  <c r="AO322" i="8" s="1"/>
  <c r="AO323" i="8" s="1"/>
  <c r="AO324" i="8" s="1"/>
  <c r="AO325" i="8" s="1"/>
  <c r="AO326" i="8" s="1"/>
  <c r="AO327" i="8" s="1"/>
  <c r="AO328" i="8" s="1"/>
  <c r="AO329" i="8" s="1"/>
  <c r="AO330" i="8" s="1"/>
  <c r="AO331" i="8" s="1"/>
  <c r="AO332" i="8" s="1"/>
  <c r="AO333" i="8" s="1"/>
  <c r="AO334" i="8" s="1"/>
  <c r="AO335" i="8" s="1"/>
  <c r="AO336" i="8" s="1"/>
  <c r="AO337" i="8" s="1"/>
  <c r="AO338" i="8" s="1"/>
  <c r="AO339" i="8" s="1"/>
  <c r="AO340" i="8" s="1"/>
  <c r="AO341" i="8" s="1"/>
  <c r="AO342" i="8" s="1"/>
  <c r="AO343" i="8" s="1"/>
  <c r="AO344" i="8" s="1"/>
  <c r="AO345" i="8" s="1"/>
  <c r="AO346" i="8" s="1"/>
  <c r="AO347" i="8" s="1"/>
  <c r="AO348" i="8" s="1"/>
  <c r="AO349" i="8" s="1"/>
  <c r="AO350" i="8" s="1"/>
  <c r="AO351" i="8" s="1"/>
  <c r="AO352" i="8" s="1"/>
  <c r="AO353" i="8" s="1"/>
  <c r="AO354" i="8" s="1"/>
  <c r="AO355" i="8" s="1"/>
  <c r="AO356" i="8" s="1"/>
  <c r="AO357" i="8" s="1"/>
  <c r="AO358" i="8" s="1"/>
  <c r="AO359" i="8" s="1"/>
  <c r="AO360" i="8" s="1"/>
  <c r="AO361" i="8" s="1"/>
  <c r="AO362" i="8" s="1"/>
  <c r="AO363" i="8" s="1"/>
  <c r="AO364" i="8" s="1"/>
  <c r="AO365" i="8" s="1"/>
  <c r="AO366" i="8" s="1"/>
  <c r="AO367" i="8" s="1"/>
  <c r="AO368" i="8" s="1"/>
  <c r="AO369" i="8" s="1"/>
  <c r="AO370" i="8" s="1"/>
  <c r="AO371" i="8" s="1"/>
  <c r="AO372" i="8" s="1"/>
  <c r="AO373" i="8" s="1"/>
  <c r="AO374" i="8" s="1"/>
  <c r="AO375" i="8" s="1"/>
  <c r="AO376" i="8" s="1"/>
  <c r="AO377" i="8" s="1"/>
  <c r="AO378" i="8" s="1"/>
  <c r="AO379" i="8" s="1"/>
  <c r="AO380" i="8" s="1"/>
  <c r="D22" i="8"/>
  <c r="E22" i="8"/>
  <c r="AA299" i="8"/>
  <c r="AA300" i="8" s="1"/>
  <c r="AA301" i="8" s="1"/>
  <c r="AA302" i="8" s="1"/>
  <c r="AA303" i="8" s="1"/>
  <c r="AA304" i="8" s="1"/>
  <c r="AA305" i="8" s="1"/>
  <c r="AA306" i="8" s="1"/>
  <c r="AA307" i="8" s="1"/>
  <c r="AA308" i="8" s="1"/>
  <c r="AO53" i="8"/>
  <c r="BU35" i="8"/>
  <c r="AD85" i="8"/>
  <c r="W299" i="8"/>
  <c r="W300" i="8" s="1"/>
  <c r="W301" i="8" s="1"/>
  <c r="W302" i="8" s="1"/>
  <c r="BS49" i="6"/>
  <c r="BT49" i="6" s="1"/>
  <c r="BR50" i="6"/>
  <c r="BR51" i="6"/>
  <c r="Z94" i="6"/>
  <c r="AO50" i="6"/>
  <c r="BU32" i="6"/>
  <c r="AC64" i="6"/>
  <c r="E20" i="6"/>
  <c r="D20" i="6"/>
  <c r="H225" i="6"/>
  <c r="H226" i="6" s="1"/>
  <c r="H227" i="6" s="1"/>
  <c r="H228" i="6" s="1"/>
  <c r="H229" i="6" s="1"/>
  <c r="H230" i="6" s="1"/>
  <c r="H231" i="6" s="1"/>
  <c r="AQ45" i="9" l="1"/>
  <c r="DC44" i="9"/>
  <c r="DD43" i="9"/>
  <c r="DE43" i="9" s="1"/>
  <c r="AQ374" i="9"/>
  <c r="AS58" i="9"/>
  <c r="DF43" i="9" s="1"/>
  <c r="Z304" i="8"/>
  <c r="Z305" i="8" s="1"/>
  <c r="Z306" i="8" s="1"/>
  <c r="Z307" i="8" s="1"/>
  <c r="Z308" i="8" s="1"/>
  <c r="D28" i="9"/>
  <c r="E28" i="9"/>
  <c r="V261" i="8"/>
  <c r="AC248" i="8"/>
  <c r="B23" i="8"/>
  <c r="F22" i="8"/>
  <c r="V244" i="8"/>
  <c r="BR294" i="8"/>
  <c r="V295" i="8"/>
  <c r="BR277" i="8"/>
  <c r="V278" i="8"/>
  <c r="BS276" i="8" s="1"/>
  <c r="BT276" i="8" s="1"/>
  <c r="G308" i="8"/>
  <c r="G309" i="8" s="1"/>
  <c r="G310" i="8" s="1"/>
  <c r="G311" i="8" s="1"/>
  <c r="G312" i="8" s="1"/>
  <c r="W308" i="8"/>
  <c r="W309" i="8" s="1"/>
  <c r="W310" i="8" s="1"/>
  <c r="W311" i="8" s="1"/>
  <c r="W312" i="8" s="1"/>
  <c r="W313" i="8" s="1"/>
  <c r="AC97" i="8"/>
  <c r="BS292" i="8"/>
  <c r="BT292" i="8" s="1"/>
  <c r="W303" i="8"/>
  <c r="W304" i="8" s="1"/>
  <c r="W305" i="8" s="1"/>
  <c r="AP302" i="8"/>
  <c r="AP303" i="8" s="1"/>
  <c r="AP304" i="8" s="1"/>
  <c r="AP305" i="8" s="1"/>
  <c r="AP306" i="8" s="1"/>
  <c r="AP307" i="8" s="1"/>
  <c r="AP308" i="8" s="1"/>
  <c r="AP309" i="8" s="1"/>
  <c r="AP310" i="8" s="1"/>
  <c r="AP311" i="8" s="1"/>
  <c r="AP312" i="8" s="1"/>
  <c r="AP313" i="8" s="1"/>
  <c r="AP314" i="8" s="1"/>
  <c r="AP315" i="8" s="1"/>
  <c r="AP316" i="8" s="1"/>
  <c r="AP317" i="8" s="1"/>
  <c r="AP318" i="8" s="1"/>
  <c r="AP319" i="8" s="1"/>
  <c r="AP320" i="8" s="1"/>
  <c r="AP321" i="8" s="1"/>
  <c r="AP322" i="8" s="1"/>
  <c r="AP323" i="8" s="1"/>
  <c r="AP324" i="8" s="1"/>
  <c r="AP325" i="8" s="1"/>
  <c r="AP326" i="8" s="1"/>
  <c r="AP327" i="8" s="1"/>
  <c r="AP328" i="8" s="1"/>
  <c r="AP329" i="8" s="1"/>
  <c r="AP330" i="8" s="1"/>
  <c r="AP331" i="8" s="1"/>
  <c r="AP332" i="8" s="1"/>
  <c r="AP333" i="8" s="1"/>
  <c r="AP334" i="8" s="1"/>
  <c r="AP335" i="8" s="1"/>
  <c r="AP336" i="8" s="1"/>
  <c r="AP337" i="8" s="1"/>
  <c r="AP338" i="8" s="1"/>
  <c r="AP339" i="8" s="1"/>
  <c r="AP340" i="8" s="1"/>
  <c r="AP341" i="8" s="1"/>
  <c r="AP342" i="8" s="1"/>
  <c r="AP343" i="8" s="1"/>
  <c r="AP344" i="8" s="1"/>
  <c r="AP345" i="8" s="1"/>
  <c r="AP346" i="8" s="1"/>
  <c r="AP347" i="8" s="1"/>
  <c r="AP348" i="8" s="1"/>
  <c r="AP349" i="8" s="1"/>
  <c r="AP350" i="8" s="1"/>
  <c r="AP351" i="8" s="1"/>
  <c r="AP352" i="8" s="1"/>
  <c r="AP353" i="8" s="1"/>
  <c r="AP354" i="8" s="1"/>
  <c r="AP355" i="8" s="1"/>
  <c r="AP356" i="8" s="1"/>
  <c r="AP357" i="8" s="1"/>
  <c r="AP358" i="8" s="1"/>
  <c r="AP359" i="8" s="1"/>
  <c r="AP360" i="8" s="1"/>
  <c r="AP361" i="8" s="1"/>
  <c r="AP362" i="8" s="1"/>
  <c r="AP363" i="8" s="1"/>
  <c r="AP364" i="8" s="1"/>
  <c r="AP365" i="8" s="1"/>
  <c r="AP366" i="8" s="1"/>
  <c r="AP367" i="8" s="1"/>
  <c r="AP368" i="8" s="1"/>
  <c r="AP369" i="8" s="1"/>
  <c r="AP370" i="8" s="1"/>
  <c r="AP371" i="8" s="1"/>
  <c r="AP372" i="8" s="1"/>
  <c r="AP373" i="8" s="1"/>
  <c r="AP374" i="8" s="1"/>
  <c r="AP375" i="8" s="1"/>
  <c r="AP376" i="8" s="1"/>
  <c r="AP377" i="8" s="1"/>
  <c r="AP378" i="8" s="1"/>
  <c r="AP379" i="8" s="1"/>
  <c r="AP380" i="8" s="1"/>
  <c r="AP381" i="8" s="1"/>
  <c r="AP382" i="8" s="1"/>
  <c r="AP383" i="8" s="1"/>
  <c r="AP384" i="8" s="1"/>
  <c r="AP385" i="8" s="1"/>
  <c r="AO54" i="8"/>
  <c r="BU36" i="8"/>
  <c r="AA309" i="8"/>
  <c r="AA310" i="8" s="1"/>
  <c r="AA311" i="8" s="1"/>
  <c r="AA312" i="8" s="1"/>
  <c r="AA313" i="8" s="1"/>
  <c r="AD86" i="8"/>
  <c r="BU68" i="8"/>
  <c r="AE172" i="8"/>
  <c r="BU154" i="8"/>
  <c r="AC177" i="8"/>
  <c r="BR225" i="8"/>
  <c r="V226" i="8"/>
  <c r="BS224" i="8" s="1"/>
  <c r="BT224" i="8" s="1"/>
  <c r="Y304" i="8"/>
  <c r="Y305" i="8" s="1"/>
  <c r="Y306" i="8" s="1"/>
  <c r="Y307" i="8" s="1"/>
  <c r="Y308" i="8" s="1"/>
  <c r="Y309" i="8" s="1"/>
  <c r="Y310" i="8" s="1"/>
  <c r="Y311" i="8" s="1"/>
  <c r="Y312" i="8" s="1"/>
  <c r="Y313" i="8" s="1"/>
  <c r="Z95" i="6"/>
  <c r="AC65" i="6"/>
  <c r="BU47" i="6"/>
  <c r="AO51" i="6"/>
  <c r="BU33" i="6"/>
  <c r="F20" i="6"/>
  <c r="B21" i="6"/>
  <c r="H232" i="6"/>
  <c r="H233" i="6" s="1"/>
  <c r="H234" i="6" s="1"/>
  <c r="H235" i="6" s="1"/>
  <c r="H236" i="6" s="1"/>
  <c r="AQ375" i="9" l="1"/>
  <c r="AQ46" i="9"/>
  <c r="DC45" i="9"/>
  <c r="DD44" i="9"/>
  <c r="DE44" i="9" s="1"/>
  <c r="AS59" i="9"/>
  <c r="DF44" i="9" s="1"/>
  <c r="X309" i="8"/>
  <c r="X310" i="8" s="1"/>
  <c r="X311" i="8" s="1"/>
  <c r="X312" i="8" s="1"/>
  <c r="X313" i="8" s="1"/>
  <c r="B29" i="9"/>
  <c r="F28" i="9"/>
  <c r="AR313" i="8"/>
  <c r="AR314" i="8" s="1"/>
  <c r="AR315" i="8" s="1"/>
  <c r="AR316" i="8" s="1"/>
  <c r="AR317" i="8" s="1"/>
  <c r="AR318" i="8" s="1"/>
  <c r="AR319" i="8" s="1"/>
  <c r="AR320" i="8" s="1"/>
  <c r="AR321" i="8" s="1"/>
  <c r="AR322" i="8" s="1"/>
  <c r="AR323" i="8" s="1"/>
  <c r="AR324" i="8" s="1"/>
  <c r="AR325" i="8" s="1"/>
  <c r="AR326" i="8" s="1"/>
  <c r="AR327" i="8" s="1"/>
  <c r="AR328" i="8" s="1"/>
  <c r="AR329" i="8" s="1"/>
  <c r="AR330" i="8" s="1"/>
  <c r="AR331" i="8" s="1"/>
  <c r="AR332" i="8" s="1"/>
  <c r="AR333" i="8" s="1"/>
  <c r="AR334" i="8" s="1"/>
  <c r="AR335" i="8" s="1"/>
  <c r="AR336" i="8" s="1"/>
  <c r="AR337" i="8" s="1"/>
  <c r="AR338" i="8" s="1"/>
  <c r="AR339" i="8" s="1"/>
  <c r="AR340" i="8" s="1"/>
  <c r="AR341" i="8" s="1"/>
  <c r="AR342" i="8" s="1"/>
  <c r="AR343" i="8" s="1"/>
  <c r="AR344" i="8" s="1"/>
  <c r="AR345" i="8" s="1"/>
  <c r="AR346" i="8" s="1"/>
  <c r="AR347" i="8" s="1"/>
  <c r="AR348" i="8" s="1"/>
  <c r="AR349" i="8" s="1"/>
  <c r="AR350" i="8" s="1"/>
  <c r="AR351" i="8" s="1"/>
  <c r="AR352" i="8" s="1"/>
  <c r="AR353" i="8" s="1"/>
  <c r="AR354" i="8" s="1"/>
  <c r="AR355" i="8" s="1"/>
  <c r="AR356" i="8" s="1"/>
  <c r="AR357" i="8" s="1"/>
  <c r="AR358" i="8" s="1"/>
  <c r="AR359" i="8" s="1"/>
  <c r="AR360" i="8" s="1"/>
  <c r="AR361" i="8" s="1"/>
  <c r="AR362" i="8" s="1"/>
  <c r="AR363" i="8" s="1"/>
  <c r="AR364" i="8" s="1"/>
  <c r="AR365" i="8" s="1"/>
  <c r="AR366" i="8" s="1"/>
  <c r="AR367" i="8" s="1"/>
  <c r="AR368" i="8" s="1"/>
  <c r="AR369" i="8" s="1"/>
  <c r="AR370" i="8" s="1"/>
  <c r="AR371" i="8" s="1"/>
  <c r="AR372" i="8" s="1"/>
  <c r="AR373" i="8" s="1"/>
  <c r="AR374" i="8" s="1"/>
  <c r="AR375" i="8" s="1"/>
  <c r="AR376" i="8" s="1"/>
  <c r="AR377" i="8" s="1"/>
  <c r="AR378" i="8" s="1"/>
  <c r="AR379" i="8" s="1"/>
  <c r="AR380" i="8" s="1"/>
  <c r="AR381" i="8" s="1"/>
  <c r="AR382" i="8" s="1"/>
  <c r="AR383" i="8" s="1"/>
  <c r="AR384" i="8" s="1"/>
  <c r="AR385" i="8" s="1"/>
  <c r="AR386" i="8" s="1"/>
  <c r="AR387" i="8" s="1"/>
  <c r="AR388" i="8" s="1"/>
  <c r="AR389" i="8" s="1"/>
  <c r="AR390" i="8" s="1"/>
  <c r="AR391" i="8" s="1"/>
  <c r="AR392" i="8" s="1"/>
  <c r="AR393" i="8" s="1"/>
  <c r="AR394" i="8" s="1"/>
  <c r="AR395" i="8" s="1"/>
  <c r="AR396" i="8" s="1"/>
  <c r="AC249" i="8"/>
  <c r="AE173" i="8"/>
  <c r="BU155" i="8"/>
  <c r="AD87" i="8"/>
  <c r="BR226" i="8"/>
  <c r="AC178" i="8"/>
  <c r="G313" i="8"/>
  <c r="G314" i="8" s="1"/>
  <c r="G315" i="8" s="1"/>
  <c r="G316" i="8" s="1"/>
  <c r="G317" i="8" s="1"/>
  <c r="G318" i="8" s="1"/>
  <c r="V313" i="8"/>
  <c r="Z309" i="8"/>
  <c r="Z310" i="8" s="1"/>
  <c r="Z311" i="8" s="1"/>
  <c r="Z312" i="8" s="1"/>
  <c r="Z313" i="8" s="1"/>
  <c r="D23" i="8"/>
  <c r="E23" i="8"/>
  <c r="AO55" i="8"/>
  <c r="BU37" i="8"/>
  <c r="AC98" i="8"/>
  <c r="BS277" i="8"/>
  <c r="BT277" i="8" s="1"/>
  <c r="BR278" i="8"/>
  <c r="V279" i="8"/>
  <c r="BR295" i="8"/>
  <c r="V296" i="8"/>
  <c r="BS293" i="8"/>
  <c r="BT293" i="8" s="1"/>
  <c r="V245" i="8"/>
  <c r="AE244" i="8"/>
  <c r="V262" i="8"/>
  <c r="BS260" i="8" s="1"/>
  <c r="BT260" i="8" s="1"/>
  <c r="BR261" i="8"/>
  <c r="Z96" i="6"/>
  <c r="AO52" i="6"/>
  <c r="BU34" i="6"/>
  <c r="AC66" i="6"/>
  <c r="E21" i="6"/>
  <c r="D21" i="6"/>
  <c r="H237" i="6"/>
  <c r="H238" i="6" s="1"/>
  <c r="H239" i="6" s="1"/>
  <c r="H240" i="6" s="1"/>
  <c r="H241" i="6" s="1"/>
  <c r="AQ47" i="9" l="1"/>
  <c r="DC46" i="9"/>
  <c r="DD45" i="9"/>
  <c r="DE45" i="9" s="1"/>
  <c r="AQ376" i="9"/>
  <c r="AS60" i="9"/>
  <c r="DF45" i="9" s="1"/>
  <c r="X314" i="8"/>
  <c r="X315" i="8" s="1"/>
  <c r="X316" i="8" s="1"/>
  <c r="X317" i="8" s="1"/>
  <c r="X318" i="8" s="1"/>
  <c r="Z314" i="8"/>
  <c r="Z315" i="8" s="1"/>
  <c r="Z316" i="8" s="1"/>
  <c r="Z317" i="8" s="1"/>
  <c r="Z318" i="8" s="1"/>
  <c r="Z319" i="8" s="1"/>
  <c r="D29" i="9"/>
  <c r="E29" i="9"/>
  <c r="AC179" i="8"/>
  <c r="G319" i="8"/>
  <c r="G320" i="8" s="1"/>
  <c r="G321" i="8" s="1"/>
  <c r="G322" i="8" s="1"/>
  <c r="G323" i="8" s="1"/>
  <c r="Y319" i="8"/>
  <c r="AE174" i="8"/>
  <c r="BU156" i="8"/>
  <c r="AA314" i="8"/>
  <c r="AA315" i="8" s="1"/>
  <c r="AA316" i="8" s="1"/>
  <c r="AA317" i="8" s="1"/>
  <c r="AA318" i="8" s="1"/>
  <c r="AA319" i="8" s="1"/>
  <c r="AA320" i="8" s="1"/>
  <c r="AA321" i="8" s="1"/>
  <c r="AA322" i="8" s="1"/>
  <c r="AA323" i="8" s="1"/>
  <c r="AA324" i="8" s="1"/>
  <c r="AE245" i="8"/>
  <c r="AC250" i="8"/>
  <c r="V246" i="8"/>
  <c r="BR245" i="8"/>
  <c r="V297" i="8"/>
  <c r="X319" i="8"/>
  <c r="AC318" i="8"/>
  <c r="BR279" i="8"/>
  <c r="V280" i="8"/>
  <c r="AC99" i="8"/>
  <c r="B24" i="8"/>
  <c r="F23" i="8"/>
  <c r="Y314" i="8"/>
  <c r="Y315" i="8" s="1"/>
  <c r="Y316" i="8" s="1"/>
  <c r="AD88" i="8"/>
  <c r="V263" i="8"/>
  <c r="BR262" i="8"/>
  <c r="AO56" i="8"/>
  <c r="BU38" i="8"/>
  <c r="BR313" i="8"/>
  <c r="V314" i="8"/>
  <c r="W314" i="8"/>
  <c r="W315" i="8" s="1"/>
  <c r="W316" i="8" s="1"/>
  <c r="W317" i="8" s="1"/>
  <c r="W318" i="8" s="1"/>
  <c r="W319" i="8" s="1"/>
  <c r="Z97" i="6"/>
  <c r="Z98" i="6" s="1"/>
  <c r="AC67" i="6"/>
  <c r="AO53" i="6"/>
  <c r="BU35" i="6"/>
  <c r="H242" i="6"/>
  <c r="H243" i="6" s="1"/>
  <c r="H244" i="6" s="1"/>
  <c r="H245" i="6" s="1"/>
  <c r="H246" i="6" s="1"/>
  <c r="F21" i="6"/>
  <c r="B22" i="6"/>
  <c r="AQ377" i="9" l="1"/>
  <c r="BO376" i="9"/>
  <c r="BO377" i="9" s="1"/>
  <c r="BO378" i="9" s="1"/>
  <c r="BO379" i="9" s="1"/>
  <c r="BO380" i="9" s="1"/>
  <c r="BO381" i="9" s="1"/>
  <c r="BO382" i="9" s="1"/>
  <c r="BO383" i="9" s="1"/>
  <c r="BO384" i="9" s="1"/>
  <c r="BO385" i="9" s="1"/>
  <c r="BO386" i="9" s="1"/>
  <c r="BO387" i="9" s="1"/>
  <c r="BO388" i="9" s="1"/>
  <c r="BO389" i="9" s="1"/>
  <c r="BO390" i="9" s="1"/>
  <c r="BO391" i="9" s="1"/>
  <c r="BO392" i="9" s="1"/>
  <c r="BO393" i="9" s="1"/>
  <c r="BO394" i="9" s="1"/>
  <c r="BO395" i="9" s="1"/>
  <c r="BO396" i="9" s="1"/>
  <c r="BO397" i="9" s="1"/>
  <c r="BO398" i="9" s="1"/>
  <c r="BO399" i="9" s="1"/>
  <c r="BO400" i="9" s="1"/>
  <c r="BO401" i="9" s="1"/>
  <c r="BO402" i="9" s="1"/>
  <c r="BO403" i="9" s="1"/>
  <c r="BO404" i="9" s="1"/>
  <c r="BO405" i="9" s="1"/>
  <c r="BO406" i="9" s="1"/>
  <c r="BO407" i="9" s="1"/>
  <c r="BO408" i="9" s="1"/>
  <c r="BO409" i="9" s="1"/>
  <c r="BO410" i="9" s="1"/>
  <c r="BO411" i="9" s="1"/>
  <c r="BO412" i="9" s="1"/>
  <c r="BO413" i="9" s="1"/>
  <c r="BO414" i="9" s="1"/>
  <c r="BO415" i="9" s="1"/>
  <c r="BO416" i="9" s="1"/>
  <c r="BO417" i="9" s="1"/>
  <c r="BO418" i="9" s="1"/>
  <c r="BO419" i="9" s="1"/>
  <c r="BO420" i="9" s="1"/>
  <c r="BO421" i="9" s="1"/>
  <c r="BO422" i="9" s="1"/>
  <c r="BO423" i="9" s="1"/>
  <c r="BO424" i="9" s="1"/>
  <c r="BO425" i="9" s="1"/>
  <c r="BO426" i="9" s="1"/>
  <c r="BO427" i="9" s="1"/>
  <c r="BO428" i="9" s="1"/>
  <c r="BO429" i="9" s="1"/>
  <c r="BO430" i="9" s="1"/>
  <c r="BO431" i="9" s="1"/>
  <c r="BO432" i="9" s="1"/>
  <c r="BO433" i="9" s="1"/>
  <c r="BO434" i="9" s="1"/>
  <c r="BO435" i="9" s="1"/>
  <c r="BO436" i="9" s="1"/>
  <c r="BO437" i="9" s="1"/>
  <c r="BO438" i="9" s="1"/>
  <c r="BO439" i="9" s="1"/>
  <c r="BO440" i="9" s="1"/>
  <c r="BO441" i="9" s="1"/>
  <c r="BO442" i="9" s="1"/>
  <c r="BO443" i="9" s="1"/>
  <c r="BO444" i="9" s="1"/>
  <c r="BO445" i="9" s="1"/>
  <c r="BO446" i="9" s="1"/>
  <c r="BO447" i="9" s="1"/>
  <c r="BO448" i="9" s="1"/>
  <c r="BO449" i="9" s="1"/>
  <c r="BO450" i="9" s="1"/>
  <c r="BO451" i="9" s="1"/>
  <c r="BO452" i="9" s="1"/>
  <c r="BO453" i="9" s="1"/>
  <c r="BO454" i="9" s="1"/>
  <c r="BO455" i="9" s="1"/>
  <c r="BO456" i="9" s="1"/>
  <c r="BO457" i="9" s="1"/>
  <c r="AQ48" i="9"/>
  <c r="DC47" i="9"/>
  <c r="DD46" i="9"/>
  <c r="DE46" i="9" s="1"/>
  <c r="AS61" i="9"/>
  <c r="DF46" i="9" s="1"/>
  <c r="X320" i="8"/>
  <c r="X321" i="8" s="1"/>
  <c r="W320" i="8"/>
  <c r="W321" i="8" s="1"/>
  <c r="W322" i="8" s="1"/>
  <c r="W323" i="8" s="1"/>
  <c r="Y320" i="8"/>
  <c r="Y321" i="8" s="1"/>
  <c r="Y322" i="8" s="1"/>
  <c r="Y323" i="8" s="1"/>
  <c r="Y324" i="8" s="1"/>
  <c r="Y325" i="8" s="1"/>
  <c r="Y326" i="8" s="1"/>
  <c r="Y327" i="8" s="1"/>
  <c r="Y328" i="8" s="1"/>
  <c r="Y329" i="8" s="1"/>
  <c r="B30" i="9"/>
  <c r="F29" i="9"/>
  <c r="V264" i="8"/>
  <c r="BR263" i="8"/>
  <c r="AC100" i="8"/>
  <c r="V298" i="8"/>
  <c r="V247" i="8"/>
  <c r="BS245" i="8" s="1"/>
  <c r="BT245" i="8" s="1"/>
  <c r="BR246" i="8"/>
  <c r="AO57" i="8"/>
  <c r="BU39" i="8"/>
  <c r="G324" i="8"/>
  <c r="G325" i="8" s="1"/>
  <c r="G326" i="8" s="1"/>
  <c r="G327" i="8" s="1"/>
  <c r="G328" i="8" s="1"/>
  <c r="X324" i="8"/>
  <c r="X325" i="8" s="1"/>
  <c r="X326" i="8" s="1"/>
  <c r="X327" i="8" s="1"/>
  <c r="X328" i="8" s="1"/>
  <c r="X329" i="8" s="1"/>
  <c r="V281" i="8"/>
  <c r="BR314" i="8"/>
  <c r="V315" i="8"/>
  <c r="BS313" i="8"/>
  <c r="BT313" i="8" s="1"/>
  <c r="BS261" i="8"/>
  <c r="BT261" i="8" s="1"/>
  <c r="AD89" i="8"/>
  <c r="D24" i="8"/>
  <c r="E24" i="8"/>
  <c r="BS244" i="8"/>
  <c r="BT244" i="8" s="1"/>
  <c r="AC251" i="8"/>
  <c r="AC319" i="8"/>
  <c r="AE246" i="8"/>
  <c r="BU228" i="8"/>
  <c r="BS312" i="8"/>
  <c r="BT312" i="8" s="1"/>
  <c r="W324" i="8"/>
  <c r="W325" i="8" s="1"/>
  <c r="W326" i="8" s="1"/>
  <c r="AD323" i="8"/>
  <c r="AD324" i="8" s="1"/>
  <c r="AD325" i="8" s="1"/>
  <c r="AD326" i="8" s="1"/>
  <c r="AD327" i="8" s="1"/>
  <c r="AD328" i="8" s="1"/>
  <c r="AD329" i="8" s="1"/>
  <c r="AD330" i="8" s="1"/>
  <c r="AD331" i="8" s="1"/>
  <c r="AD332" i="8" s="1"/>
  <c r="AD333" i="8" s="1"/>
  <c r="AD334" i="8" s="1"/>
  <c r="AD335" i="8" s="1"/>
  <c r="AD336" i="8" s="1"/>
  <c r="AD337" i="8" s="1"/>
  <c r="AD338" i="8" s="1"/>
  <c r="AD339" i="8" s="1"/>
  <c r="AD340" i="8" s="1"/>
  <c r="AD341" i="8" s="1"/>
  <c r="AD342" i="8" s="1"/>
  <c r="AD343" i="8" s="1"/>
  <c r="AD344" i="8" s="1"/>
  <c r="AD345" i="8" s="1"/>
  <c r="AD346" i="8" s="1"/>
  <c r="AD347" i="8" s="1"/>
  <c r="AD348" i="8" s="1"/>
  <c r="AD349" i="8" s="1"/>
  <c r="AD350" i="8" s="1"/>
  <c r="AD351" i="8" s="1"/>
  <c r="AD352" i="8" s="1"/>
  <c r="AD353" i="8" s="1"/>
  <c r="AD354" i="8" s="1"/>
  <c r="AD355" i="8" s="1"/>
  <c r="AD356" i="8" s="1"/>
  <c r="AD357" i="8" s="1"/>
  <c r="AD358" i="8" s="1"/>
  <c r="AD359" i="8" s="1"/>
  <c r="AD360" i="8" s="1"/>
  <c r="AD361" i="8" s="1"/>
  <c r="AD362" i="8" s="1"/>
  <c r="AD363" i="8" s="1"/>
  <c r="AD364" i="8" s="1"/>
  <c r="AD365" i="8" s="1"/>
  <c r="AD366" i="8" s="1"/>
  <c r="AD367" i="8" s="1"/>
  <c r="AD368" i="8" s="1"/>
  <c r="AD369" i="8" s="1"/>
  <c r="AD370" i="8" s="1"/>
  <c r="AD371" i="8" s="1"/>
  <c r="AD372" i="8" s="1"/>
  <c r="AD373" i="8" s="1"/>
  <c r="AD374" i="8" s="1"/>
  <c r="AD375" i="8" s="1"/>
  <c r="AD376" i="8" s="1"/>
  <c r="AD377" i="8" s="1"/>
  <c r="AD378" i="8" s="1"/>
  <c r="AD379" i="8" s="1"/>
  <c r="AD380" i="8" s="1"/>
  <c r="AD381" i="8" s="1"/>
  <c r="AD382" i="8" s="1"/>
  <c r="AD383" i="8" s="1"/>
  <c r="AD384" i="8" s="1"/>
  <c r="AD385" i="8" s="1"/>
  <c r="AD386" i="8" s="1"/>
  <c r="AD387" i="8" s="1"/>
  <c r="AD388" i="8" s="1"/>
  <c r="AD389" i="8" s="1"/>
  <c r="AD390" i="8" s="1"/>
  <c r="AD391" i="8" s="1"/>
  <c r="AD392" i="8" s="1"/>
  <c r="AD393" i="8" s="1"/>
  <c r="AD394" i="8" s="1"/>
  <c r="AD395" i="8" s="1"/>
  <c r="AD396" i="8" s="1"/>
  <c r="AD397" i="8" s="1"/>
  <c r="AD398" i="8" s="1"/>
  <c r="AD399" i="8" s="1"/>
  <c r="AD400" i="8" s="1"/>
  <c r="AD401" i="8" s="1"/>
  <c r="AD402" i="8" s="1"/>
  <c r="AD403" i="8" s="1"/>
  <c r="AD404" i="8" s="1"/>
  <c r="AD405" i="8" s="1"/>
  <c r="AD406" i="8" s="1"/>
  <c r="AD407" i="8" s="1"/>
  <c r="AD408" i="8" s="1"/>
  <c r="AD409" i="8" s="1"/>
  <c r="AD410" i="8" s="1"/>
  <c r="AD411" i="8" s="1"/>
  <c r="AD412" i="8" s="1"/>
  <c r="AD413" i="8" s="1"/>
  <c r="AD414" i="8" s="1"/>
  <c r="AD415" i="8" s="1"/>
  <c r="AD416" i="8" s="1"/>
  <c r="AD417" i="8" s="1"/>
  <c r="AD418" i="8" s="1"/>
  <c r="AD419" i="8" s="1"/>
  <c r="AD420" i="8" s="1"/>
  <c r="AD421" i="8" s="1"/>
  <c r="Z320" i="8"/>
  <c r="Z321" i="8" s="1"/>
  <c r="Z322" i="8" s="1"/>
  <c r="Z323" i="8" s="1"/>
  <c r="Z324" i="8" s="1"/>
  <c r="Z325" i="8" s="1"/>
  <c r="Z326" i="8" s="1"/>
  <c r="Z327" i="8" s="1"/>
  <c r="Z328" i="8" s="1"/>
  <c r="Z329" i="8" s="1"/>
  <c r="AE175" i="8"/>
  <c r="BU157" i="8"/>
  <c r="AC180" i="8"/>
  <c r="Z99" i="6"/>
  <c r="AO54" i="6"/>
  <c r="BU36" i="6"/>
  <c r="AC68" i="6"/>
  <c r="E22" i="6"/>
  <c r="D22" i="6"/>
  <c r="H247" i="6"/>
  <c r="H248" i="6" s="1"/>
  <c r="H249" i="6" s="1"/>
  <c r="H250" i="6" s="1"/>
  <c r="H251" i="6" s="1"/>
  <c r="H252" i="6" s="1"/>
  <c r="H253" i="6" s="1"/>
  <c r="AQ49" i="9" l="1"/>
  <c r="DD47" i="9"/>
  <c r="DE47" i="9" s="1"/>
  <c r="DC48" i="9"/>
  <c r="AQ378" i="9"/>
  <c r="BQ377" i="9"/>
  <c r="BQ378" i="9" s="1"/>
  <c r="BQ379" i="9" s="1"/>
  <c r="BQ380" i="9" s="1"/>
  <c r="BQ381" i="9" s="1"/>
  <c r="BQ382" i="9" s="1"/>
  <c r="BQ383" i="9" s="1"/>
  <c r="BQ384" i="9" s="1"/>
  <c r="BQ385" i="9" s="1"/>
  <c r="BQ386" i="9" s="1"/>
  <c r="BQ387" i="9" s="1"/>
  <c r="BQ388" i="9" s="1"/>
  <c r="BQ389" i="9" s="1"/>
  <c r="BQ390" i="9" s="1"/>
  <c r="BQ391" i="9" s="1"/>
  <c r="BQ392" i="9" s="1"/>
  <c r="BQ393" i="9" s="1"/>
  <c r="BQ394" i="9" s="1"/>
  <c r="BQ395" i="9" s="1"/>
  <c r="BQ396" i="9" s="1"/>
  <c r="BQ397" i="9" s="1"/>
  <c r="BQ398" i="9" s="1"/>
  <c r="BQ399" i="9" s="1"/>
  <c r="BQ400" i="9" s="1"/>
  <c r="BQ401" i="9" s="1"/>
  <c r="BQ402" i="9" s="1"/>
  <c r="BQ403" i="9" s="1"/>
  <c r="BQ404" i="9" s="1"/>
  <c r="BQ405" i="9" s="1"/>
  <c r="BQ406" i="9" s="1"/>
  <c r="BQ407" i="9" s="1"/>
  <c r="BQ408" i="9" s="1"/>
  <c r="BQ409" i="9" s="1"/>
  <c r="BQ410" i="9" s="1"/>
  <c r="BQ411" i="9" s="1"/>
  <c r="BQ412" i="9" s="1"/>
  <c r="BQ413" i="9" s="1"/>
  <c r="BQ414" i="9" s="1"/>
  <c r="BQ415" i="9" s="1"/>
  <c r="BQ416" i="9" s="1"/>
  <c r="BQ417" i="9" s="1"/>
  <c r="BQ418" i="9" s="1"/>
  <c r="BQ419" i="9" s="1"/>
  <c r="BQ420" i="9" s="1"/>
  <c r="BQ421" i="9" s="1"/>
  <c r="BQ422" i="9" s="1"/>
  <c r="BQ423" i="9" s="1"/>
  <c r="BQ424" i="9" s="1"/>
  <c r="BQ425" i="9" s="1"/>
  <c r="BQ426" i="9" s="1"/>
  <c r="BQ427" i="9" s="1"/>
  <c r="BQ428" i="9" s="1"/>
  <c r="BQ429" i="9" s="1"/>
  <c r="BQ430" i="9" s="1"/>
  <c r="BQ431" i="9" s="1"/>
  <c r="BQ432" i="9" s="1"/>
  <c r="BQ433" i="9" s="1"/>
  <c r="BQ434" i="9" s="1"/>
  <c r="BQ435" i="9" s="1"/>
  <c r="BQ436" i="9" s="1"/>
  <c r="BQ437" i="9" s="1"/>
  <c r="BQ438" i="9" s="1"/>
  <c r="BQ439" i="9" s="1"/>
  <c r="BQ440" i="9" s="1"/>
  <c r="BQ441" i="9" s="1"/>
  <c r="BQ442" i="9" s="1"/>
  <c r="BQ443" i="9" s="1"/>
  <c r="BQ444" i="9" s="1"/>
  <c r="BQ445" i="9" s="1"/>
  <c r="BQ446" i="9" s="1"/>
  <c r="BQ447" i="9" s="1"/>
  <c r="BQ448" i="9" s="1"/>
  <c r="BQ449" i="9" s="1"/>
  <c r="BQ450" i="9" s="1"/>
  <c r="BQ451" i="9" s="1"/>
  <c r="BQ452" i="9" s="1"/>
  <c r="BQ453" i="9" s="1"/>
  <c r="BQ454" i="9" s="1"/>
  <c r="BQ455" i="9" s="1"/>
  <c r="BQ456" i="9" s="1"/>
  <c r="BQ457" i="9" s="1"/>
  <c r="BQ458" i="9" s="1"/>
  <c r="BR377" i="9"/>
  <c r="BR378" i="9" s="1"/>
  <c r="BR379" i="9" s="1"/>
  <c r="BR380" i="9" s="1"/>
  <c r="BR381" i="9" s="1"/>
  <c r="BR382" i="9" s="1"/>
  <c r="BR383" i="9" s="1"/>
  <c r="BR384" i="9" s="1"/>
  <c r="BR385" i="9" s="1"/>
  <c r="BR386" i="9" s="1"/>
  <c r="BR387" i="9" s="1"/>
  <c r="BR388" i="9" s="1"/>
  <c r="BR389" i="9" s="1"/>
  <c r="BR390" i="9" s="1"/>
  <c r="BR391" i="9" s="1"/>
  <c r="BR392" i="9" s="1"/>
  <c r="BR393" i="9" s="1"/>
  <c r="BR394" i="9" s="1"/>
  <c r="BR395" i="9" s="1"/>
  <c r="BR396" i="9" s="1"/>
  <c r="BR397" i="9" s="1"/>
  <c r="BR398" i="9" s="1"/>
  <c r="BR399" i="9" s="1"/>
  <c r="BR400" i="9" s="1"/>
  <c r="BR401" i="9" s="1"/>
  <c r="BR402" i="9" s="1"/>
  <c r="BR403" i="9" s="1"/>
  <c r="BR404" i="9" s="1"/>
  <c r="BR405" i="9" s="1"/>
  <c r="BR406" i="9" s="1"/>
  <c r="BR407" i="9" s="1"/>
  <c r="BR408" i="9" s="1"/>
  <c r="BR409" i="9" s="1"/>
  <c r="BR410" i="9" s="1"/>
  <c r="BR411" i="9" s="1"/>
  <c r="BR412" i="9" s="1"/>
  <c r="BR413" i="9" s="1"/>
  <c r="BR414" i="9" s="1"/>
  <c r="BR415" i="9" s="1"/>
  <c r="BR416" i="9" s="1"/>
  <c r="BR417" i="9" s="1"/>
  <c r="BR418" i="9" s="1"/>
  <c r="BR419" i="9" s="1"/>
  <c r="BR420" i="9" s="1"/>
  <c r="BR421" i="9" s="1"/>
  <c r="BR422" i="9" s="1"/>
  <c r="BR423" i="9" s="1"/>
  <c r="BR424" i="9" s="1"/>
  <c r="BR425" i="9" s="1"/>
  <c r="BR426" i="9" s="1"/>
  <c r="BR427" i="9" s="1"/>
  <c r="BR428" i="9" s="1"/>
  <c r="BR429" i="9" s="1"/>
  <c r="BR430" i="9" s="1"/>
  <c r="BR431" i="9" s="1"/>
  <c r="BR432" i="9" s="1"/>
  <c r="BR433" i="9" s="1"/>
  <c r="BR434" i="9" s="1"/>
  <c r="BR435" i="9" s="1"/>
  <c r="BR436" i="9" s="1"/>
  <c r="BR437" i="9" s="1"/>
  <c r="BR438" i="9" s="1"/>
  <c r="BR439" i="9" s="1"/>
  <c r="BR440" i="9" s="1"/>
  <c r="BR441" i="9" s="1"/>
  <c r="BR442" i="9" s="1"/>
  <c r="BR443" i="9" s="1"/>
  <c r="BR444" i="9" s="1"/>
  <c r="BR445" i="9" s="1"/>
  <c r="BR446" i="9" s="1"/>
  <c r="BR447" i="9" s="1"/>
  <c r="BR448" i="9" s="1"/>
  <c r="BR449" i="9" s="1"/>
  <c r="BR450" i="9" s="1"/>
  <c r="BR451" i="9" s="1"/>
  <c r="BR452" i="9" s="1"/>
  <c r="BR453" i="9" s="1"/>
  <c r="BR454" i="9" s="1"/>
  <c r="BR455" i="9" s="1"/>
  <c r="BR456" i="9" s="1"/>
  <c r="BR457" i="9" s="1"/>
  <c r="BR458" i="9" s="1"/>
  <c r="AS62" i="9"/>
  <c r="DF47" i="9" s="1"/>
  <c r="D30" i="9"/>
  <c r="E30" i="9"/>
  <c r="AC181" i="8"/>
  <c r="AO58" i="8"/>
  <c r="BU40" i="8"/>
  <c r="AC101" i="8"/>
  <c r="AE247" i="8"/>
  <c r="BU229" i="8"/>
  <c r="AC252" i="8"/>
  <c r="B25" i="8"/>
  <c r="F24" i="8"/>
  <c r="V282" i="8"/>
  <c r="G329" i="8"/>
  <c r="G330" i="8" s="1"/>
  <c r="G331" i="8" s="1"/>
  <c r="G332" i="8" s="1"/>
  <c r="G333" i="8" s="1"/>
  <c r="W329" i="8"/>
  <c r="BR298" i="8"/>
  <c r="V299" i="8"/>
  <c r="BS297" i="8" s="1"/>
  <c r="BT297" i="8" s="1"/>
  <c r="AE176" i="8"/>
  <c r="BU158" i="8"/>
  <c r="BR315" i="8"/>
  <c r="V316" i="8"/>
  <c r="BS314" i="8" s="1"/>
  <c r="BT314" i="8" s="1"/>
  <c r="AA325" i="8"/>
  <c r="AA326" i="8" s="1"/>
  <c r="AA327" i="8" s="1"/>
  <c r="AA328" i="8" s="1"/>
  <c r="AA329" i="8" s="1"/>
  <c r="AA330" i="8" s="1"/>
  <c r="AA331" i="8" s="1"/>
  <c r="AA332" i="8" s="1"/>
  <c r="AA333" i="8" s="1"/>
  <c r="AA334" i="8" s="1"/>
  <c r="V265" i="8"/>
  <c r="AC320" i="8"/>
  <c r="AD90" i="8"/>
  <c r="BU72" i="8"/>
  <c r="BR247" i="8"/>
  <c r="Z100" i="6"/>
  <c r="AC69" i="6"/>
  <c r="BU51" i="6"/>
  <c r="AO55" i="6"/>
  <c r="BU38" i="6" s="1"/>
  <c r="BU37" i="6"/>
  <c r="F22" i="6"/>
  <c r="B23" i="6"/>
  <c r="H254" i="6"/>
  <c r="H255" i="6" s="1"/>
  <c r="H256" i="6" s="1"/>
  <c r="H257" i="6" s="1"/>
  <c r="H258" i="6" s="1"/>
  <c r="AQ379" i="9" l="1"/>
  <c r="AQ50" i="9"/>
  <c r="DC49" i="9"/>
  <c r="DD48" i="9"/>
  <c r="DE48" i="9" s="1"/>
  <c r="AS63" i="9"/>
  <c r="DF48" i="9" s="1"/>
  <c r="Y330" i="8"/>
  <c r="Y331" i="8" s="1"/>
  <c r="Y332" i="8" s="1"/>
  <c r="Y333" i="8" s="1"/>
  <c r="Y334" i="8" s="1"/>
  <c r="F30" i="9"/>
  <c r="B31" i="9"/>
  <c r="BR299" i="8"/>
  <c r="V300" i="8"/>
  <c r="BS298" i="8"/>
  <c r="BT298" i="8" s="1"/>
  <c r="D25" i="8"/>
  <c r="E25" i="8"/>
  <c r="AE248" i="8"/>
  <c r="BU230" i="8"/>
  <c r="AO59" i="8"/>
  <c r="BU41" i="8"/>
  <c r="AE177" i="8"/>
  <c r="BU159" i="8"/>
  <c r="BR282" i="8"/>
  <c r="V283" i="8"/>
  <c r="BS281" i="8" s="1"/>
  <c r="BT281" i="8" s="1"/>
  <c r="X330" i="8"/>
  <c r="X331" i="8" s="1"/>
  <c r="X332" i="8" s="1"/>
  <c r="X333" i="8" s="1"/>
  <c r="X334" i="8" s="1"/>
  <c r="AF334" i="8"/>
  <c r="AF335" i="8" s="1"/>
  <c r="AF336" i="8" s="1"/>
  <c r="AF337" i="8" s="1"/>
  <c r="AF338" i="8" s="1"/>
  <c r="AF339" i="8" s="1"/>
  <c r="AF340" i="8" s="1"/>
  <c r="AF341" i="8" s="1"/>
  <c r="AF342" i="8" s="1"/>
  <c r="AF343" i="8" s="1"/>
  <c r="AF344" i="8" s="1"/>
  <c r="AF345" i="8" s="1"/>
  <c r="AF346" i="8" s="1"/>
  <c r="AF347" i="8" s="1"/>
  <c r="AF348" i="8" s="1"/>
  <c r="AF349" i="8" s="1"/>
  <c r="AF350" i="8" s="1"/>
  <c r="AF351" i="8" s="1"/>
  <c r="AF352" i="8" s="1"/>
  <c r="AF353" i="8" s="1"/>
  <c r="AF354" i="8" s="1"/>
  <c r="AF355" i="8" s="1"/>
  <c r="AF356" i="8" s="1"/>
  <c r="AF357" i="8" s="1"/>
  <c r="AF358" i="8" s="1"/>
  <c r="AF359" i="8" s="1"/>
  <c r="AF360" i="8" s="1"/>
  <c r="AF361" i="8" s="1"/>
  <c r="AF362" i="8" s="1"/>
  <c r="AF363" i="8" s="1"/>
  <c r="AF364" i="8" s="1"/>
  <c r="AF365" i="8" s="1"/>
  <c r="AF366" i="8" s="1"/>
  <c r="AF367" i="8" s="1"/>
  <c r="AF368" i="8" s="1"/>
  <c r="AF369" i="8" s="1"/>
  <c r="AF370" i="8" s="1"/>
  <c r="AF371" i="8" s="1"/>
  <c r="AF372" i="8" s="1"/>
  <c r="AF373" i="8" s="1"/>
  <c r="AF374" i="8" s="1"/>
  <c r="AF375" i="8" s="1"/>
  <c r="AF376" i="8" s="1"/>
  <c r="AF377" i="8" s="1"/>
  <c r="AF378" i="8" s="1"/>
  <c r="AF379" i="8" s="1"/>
  <c r="AF380" i="8" s="1"/>
  <c r="AF381" i="8" s="1"/>
  <c r="AF382" i="8" s="1"/>
  <c r="AF383" i="8" s="1"/>
  <c r="AF384" i="8" s="1"/>
  <c r="AF385" i="8" s="1"/>
  <c r="AF386" i="8" s="1"/>
  <c r="AF387" i="8" s="1"/>
  <c r="AF388" i="8" s="1"/>
  <c r="AF389" i="8" s="1"/>
  <c r="AF390" i="8" s="1"/>
  <c r="AF391" i="8" s="1"/>
  <c r="AF392" i="8" s="1"/>
  <c r="AF393" i="8" s="1"/>
  <c r="AF394" i="8" s="1"/>
  <c r="AF395" i="8" s="1"/>
  <c r="AF396" i="8" s="1"/>
  <c r="AF397" i="8" s="1"/>
  <c r="AF398" i="8" s="1"/>
  <c r="AF399" i="8" s="1"/>
  <c r="AF400" i="8" s="1"/>
  <c r="AF401" i="8" s="1"/>
  <c r="AF402" i="8" s="1"/>
  <c r="AF403" i="8" s="1"/>
  <c r="AF404" i="8" s="1"/>
  <c r="AF405" i="8" s="1"/>
  <c r="AF406" i="8" s="1"/>
  <c r="AF407" i="8" s="1"/>
  <c r="AF408" i="8" s="1"/>
  <c r="AF409" i="8" s="1"/>
  <c r="AF410" i="8" s="1"/>
  <c r="AF411" i="8" s="1"/>
  <c r="AF412" i="8" s="1"/>
  <c r="AF413" i="8" s="1"/>
  <c r="AF414" i="8" s="1"/>
  <c r="AF415" i="8" s="1"/>
  <c r="AF416" i="8" s="1"/>
  <c r="AF417" i="8" s="1"/>
  <c r="AF418" i="8" s="1"/>
  <c r="AF419" i="8" s="1"/>
  <c r="AF420" i="8" s="1"/>
  <c r="AF421" i="8" s="1"/>
  <c r="AC321" i="8"/>
  <c r="AD91" i="8"/>
  <c r="V266" i="8"/>
  <c r="AI265" i="8"/>
  <c r="AI266" i="8" s="1"/>
  <c r="AI267" i="8" s="1"/>
  <c r="AI268" i="8" s="1"/>
  <c r="AI269" i="8" s="1"/>
  <c r="AI270" i="8" s="1"/>
  <c r="AI271" i="8" s="1"/>
  <c r="AI272" i="8" s="1"/>
  <c r="AI273" i="8" s="1"/>
  <c r="AI274" i="8" s="1"/>
  <c r="AI275" i="8" s="1"/>
  <c r="AI276" i="8" s="1"/>
  <c r="AI277" i="8" s="1"/>
  <c r="AI278" i="8" s="1"/>
  <c r="AI279" i="8" s="1"/>
  <c r="AI280" i="8" s="1"/>
  <c r="AI281" i="8" s="1"/>
  <c r="AI282" i="8" s="1"/>
  <c r="AI283" i="8" s="1"/>
  <c r="AI284" i="8" s="1"/>
  <c r="AI285" i="8" s="1"/>
  <c r="AI286" i="8" s="1"/>
  <c r="AI287" i="8" s="1"/>
  <c r="AI288" i="8" s="1"/>
  <c r="AI289" i="8" s="1"/>
  <c r="AI290" i="8" s="1"/>
  <c r="AI291" i="8" s="1"/>
  <c r="AI292" i="8" s="1"/>
  <c r="AI293" i="8" s="1"/>
  <c r="AI294" i="8" s="1"/>
  <c r="AI295" i="8" s="1"/>
  <c r="AI296" i="8" s="1"/>
  <c r="AI297" i="8" s="1"/>
  <c r="AI298" i="8" s="1"/>
  <c r="AI299" i="8" s="1"/>
  <c r="AI300" i="8" s="1"/>
  <c r="AI301" i="8" s="1"/>
  <c r="AI302" i="8" s="1"/>
  <c r="AI303" i="8" s="1"/>
  <c r="AI304" i="8" s="1"/>
  <c r="AI305" i="8" s="1"/>
  <c r="AI306" i="8" s="1"/>
  <c r="AI307" i="8" s="1"/>
  <c r="AI308" i="8" s="1"/>
  <c r="AI309" i="8" s="1"/>
  <c r="AI310" i="8" s="1"/>
  <c r="AI311" i="8" s="1"/>
  <c r="AI312" i="8" s="1"/>
  <c r="AI313" i="8" s="1"/>
  <c r="AI314" i="8" s="1"/>
  <c r="AI315" i="8" s="1"/>
  <c r="AI316" i="8" s="1"/>
  <c r="AI317" i="8" s="1"/>
  <c r="AI318" i="8" s="1"/>
  <c r="AI319" i="8" s="1"/>
  <c r="AI320" i="8" s="1"/>
  <c r="AI321" i="8" s="1"/>
  <c r="AI322" i="8" s="1"/>
  <c r="AI323" i="8" s="1"/>
  <c r="AI324" i="8" s="1"/>
  <c r="AI325" i="8" s="1"/>
  <c r="AI326" i="8" s="1"/>
  <c r="AI327" i="8" s="1"/>
  <c r="AI328" i="8" s="1"/>
  <c r="AI329" i="8" s="1"/>
  <c r="AI330" i="8" s="1"/>
  <c r="AI331" i="8" s="1"/>
  <c r="AI332" i="8" s="1"/>
  <c r="AI333" i="8" s="1"/>
  <c r="AI334" i="8" s="1"/>
  <c r="AI335" i="8" s="1"/>
  <c r="AI336" i="8" s="1"/>
  <c r="AI337" i="8" s="1"/>
  <c r="AI338" i="8" s="1"/>
  <c r="AI339" i="8" s="1"/>
  <c r="AI340" i="8" s="1"/>
  <c r="AI341" i="8" s="1"/>
  <c r="AI342" i="8" s="1"/>
  <c r="AI343" i="8" s="1"/>
  <c r="AI344" i="8" s="1"/>
  <c r="AI345" i="8" s="1"/>
  <c r="AI346" i="8" s="1"/>
  <c r="AI347" i="8" s="1"/>
  <c r="AI348" i="8" s="1"/>
  <c r="BR316" i="8"/>
  <c r="V317" i="8"/>
  <c r="Z330" i="8"/>
  <c r="Z331" i="8" s="1"/>
  <c r="Z332" i="8" s="1"/>
  <c r="Z333" i="8" s="1"/>
  <c r="Z334" i="8" s="1"/>
  <c r="W330" i="8"/>
  <c r="W331" i="8" s="1"/>
  <c r="W332" i="8" s="1"/>
  <c r="W333" i="8" s="1"/>
  <c r="W334" i="8" s="1"/>
  <c r="AC253" i="8"/>
  <c r="AC102" i="8"/>
  <c r="G334" i="8"/>
  <c r="G335" i="8" s="1"/>
  <c r="G336" i="8" s="1"/>
  <c r="G337" i="8" s="1"/>
  <c r="G338" i="8" s="1"/>
  <c r="G339" i="8" s="1"/>
  <c r="V334" i="8"/>
  <c r="AC182" i="8"/>
  <c r="Z101" i="6"/>
  <c r="AO56" i="6"/>
  <c r="AC70" i="6"/>
  <c r="H259" i="6"/>
  <c r="H260" i="6" s="1"/>
  <c r="H261" i="6" s="1"/>
  <c r="H262" i="6" s="1"/>
  <c r="E23" i="6"/>
  <c r="D23" i="6"/>
  <c r="AQ51" i="9" l="1"/>
  <c r="DC50" i="9"/>
  <c r="DD49" i="9"/>
  <c r="DE49" i="9" s="1"/>
  <c r="AQ380" i="9"/>
  <c r="AS64" i="9"/>
  <c r="DF49" i="9" s="1"/>
  <c r="Z335" i="8"/>
  <c r="Z336" i="8" s="1"/>
  <c r="Z337" i="8" s="1"/>
  <c r="Z338" i="8" s="1"/>
  <c r="Z339" i="8" s="1"/>
  <c r="Z340" i="8" s="1"/>
  <c r="D31" i="9"/>
  <c r="E31" i="9"/>
  <c r="AC183" i="8"/>
  <c r="AC103" i="8"/>
  <c r="G340" i="8"/>
  <c r="G341" i="8" s="1"/>
  <c r="G342" i="8" s="1"/>
  <c r="G343" i="8" s="1"/>
  <c r="G344" i="8" s="1"/>
  <c r="Y340" i="8"/>
  <c r="V318" i="8"/>
  <c r="V267" i="8"/>
  <c r="BS265" i="8" s="1"/>
  <c r="BT265" i="8" s="1"/>
  <c r="BR266" i="8"/>
  <c r="V335" i="8"/>
  <c r="BR334" i="8"/>
  <c r="AC254" i="8"/>
  <c r="X335" i="8"/>
  <c r="X336" i="8" s="1"/>
  <c r="X337" i="8" s="1"/>
  <c r="X338" i="8" s="1"/>
  <c r="X339" i="8" s="1"/>
  <c r="W335" i="8"/>
  <c r="W336" i="8" s="1"/>
  <c r="W337" i="8" s="1"/>
  <c r="W338" i="8" s="1"/>
  <c r="W339" i="8" s="1"/>
  <c r="W340" i="8" s="1"/>
  <c r="AC322" i="8"/>
  <c r="AE178" i="8"/>
  <c r="BU160" i="8"/>
  <c r="AE249" i="8"/>
  <c r="BU231" i="8"/>
  <c r="BR300" i="8"/>
  <c r="V301" i="8"/>
  <c r="BR283" i="8"/>
  <c r="V284" i="8"/>
  <c r="AD92" i="8"/>
  <c r="Y335" i="8"/>
  <c r="Y336" i="8" s="1"/>
  <c r="Y337" i="8" s="1"/>
  <c r="AO60" i="8"/>
  <c r="BU42" i="8"/>
  <c r="B26" i="8"/>
  <c r="F25" i="8"/>
  <c r="AA335" i="8"/>
  <c r="AA336" i="8" s="1"/>
  <c r="AA337" i="8" s="1"/>
  <c r="AA338" i="8" s="1"/>
  <c r="AA339" i="8" s="1"/>
  <c r="AA340" i="8" s="1"/>
  <c r="Z102" i="6"/>
  <c r="AC71" i="6"/>
  <c r="AO57" i="6"/>
  <c r="BU39" i="6"/>
  <c r="H263" i="6"/>
  <c r="F23" i="6"/>
  <c r="B24" i="6"/>
  <c r="AQ381" i="9" l="1"/>
  <c r="AQ52" i="9"/>
  <c r="DC51" i="9"/>
  <c r="DD50" i="9"/>
  <c r="DE50" i="9" s="1"/>
  <c r="AS65" i="9"/>
  <c r="DF50" i="9" s="1"/>
  <c r="AA341" i="8"/>
  <c r="AA342" i="8" s="1"/>
  <c r="AA343" i="8" s="1"/>
  <c r="AA344" i="8" s="1"/>
  <c r="AA345" i="8" s="1"/>
  <c r="W341" i="8"/>
  <c r="W342" i="8" s="1"/>
  <c r="W343" i="8" s="1"/>
  <c r="W344" i="8" s="1"/>
  <c r="W345" i="8" s="1"/>
  <c r="Z341" i="8"/>
  <c r="Z342" i="8" s="1"/>
  <c r="Z343" i="8" s="1"/>
  <c r="Z344" i="8" s="1"/>
  <c r="Z345" i="8" s="1"/>
  <c r="Y341" i="8"/>
  <c r="Y342" i="8" s="1"/>
  <c r="Y343" i="8" s="1"/>
  <c r="Y344" i="8" s="1"/>
  <c r="Y345" i="8" s="1"/>
  <c r="F31" i="9"/>
  <c r="B32" i="9"/>
  <c r="BS333" i="8"/>
  <c r="BT333" i="8" s="1"/>
  <c r="V285" i="8"/>
  <c r="BR284" i="8"/>
  <c r="D26" i="8"/>
  <c r="E26" i="8"/>
  <c r="X340" i="8"/>
  <c r="X341" i="8" s="1"/>
  <c r="X342" i="8" s="1"/>
  <c r="AG339" i="8"/>
  <c r="AG340" i="8" s="1"/>
  <c r="AG341" i="8" s="1"/>
  <c r="AG342" i="8" s="1"/>
  <c r="AG343" i="8" s="1"/>
  <c r="AG344" i="8" s="1"/>
  <c r="AG345" i="8" s="1"/>
  <c r="AG346" i="8" s="1"/>
  <c r="AG347" i="8" s="1"/>
  <c r="AG348" i="8" s="1"/>
  <c r="AG349" i="8" s="1"/>
  <c r="AG350" i="8" s="1"/>
  <c r="AG351" i="8" s="1"/>
  <c r="AG352" i="8" s="1"/>
  <c r="AG353" i="8" s="1"/>
  <c r="AG354" i="8" s="1"/>
  <c r="AG355" i="8" s="1"/>
  <c r="AG356" i="8" s="1"/>
  <c r="AG357" i="8" s="1"/>
  <c r="AG358" i="8" s="1"/>
  <c r="AG359" i="8" s="1"/>
  <c r="AG360" i="8" s="1"/>
  <c r="AG361" i="8" s="1"/>
  <c r="AG362" i="8" s="1"/>
  <c r="AG363" i="8" s="1"/>
  <c r="AG364" i="8" s="1"/>
  <c r="AG365" i="8" s="1"/>
  <c r="AG366" i="8" s="1"/>
  <c r="AG367" i="8" s="1"/>
  <c r="AG368" i="8" s="1"/>
  <c r="AG369" i="8" s="1"/>
  <c r="AG370" i="8" s="1"/>
  <c r="AG371" i="8" s="1"/>
  <c r="AG372" i="8" s="1"/>
  <c r="AG373" i="8" s="1"/>
  <c r="AG374" i="8" s="1"/>
  <c r="AG375" i="8" s="1"/>
  <c r="AG376" i="8" s="1"/>
  <c r="AG377" i="8" s="1"/>
  <c r="AG378" i="8" s="1"/>
  <c r="AG379" i="8" s="1"/>
  <c r="AG380" i="8" s="1"/>
  <c r="AG381" i="8" s="1"/>
  <c r="AG382" i="8" s="1"/>
  <c r="AG383" i="8" s="1"/>
  <c r="AG384" i="8" s="1"/>
  <c r="AG385" i="8" s="1"/>
  <c r="AG386" i="8" s="1"/>
  <c r="AG387" i="8" s="1"/>
  <c r="AG388" i="8" s="1"/>
  <c r="AG389" i="8" s="1"/>
  <c r="AG390" i="8" s="1"/>
  <c r="AG391" i="8" s="1"/>
  <c r="AG392" i="8" s="1"/>
  <c r="AG393" i="8" s="1"/>
  <c r="AG394" i="8" s="1"/>
  <c r="AG395" i="8" s="1"/>
  <c r="AG396" i="8" s="1"/>
  <c r="AG397" i="8" s="1"/>
  <c r="AG398" i="8" s="1"/>
  <c r="AG399" i="8" s="1"/>
  <c r="AG400" i="8" s="1"/>
  <c r="AG401" i="8" s="1"/>
  <c r="AG402" i="8" s="1"/>
  <c r="AG403" i="8" s="1"/>
  <c r="AG404" i="8" s="1"/>
  <c r="AG405" i="8" s="1"/>
  <c r="AG406" i="8" s="1"/>
  <c r="AG407" i="8" s="1"/>
  <c r="AG408" i="8" s="1"/>
  <c r="AG409" i="8" s="1"/>
  <c r="AG410" i="8" s="1"/>
  <c r="AG411" i="8" s="1"/>
  <c r="AG412" i="8" s="1"/>
  <c r="AG413" i="8" s="1"/>
  <c r="AG414" i="8" s="1"/>
  <c r="AG415" i="8" s="1"/>
  <c r="AG416" i="8" s="1"/>
  <c r="AG417" i="8" s="1"/>
  <c r="AG418" i="8" s="1"/>
  <c r="AG419" i="8" s="1"/>
  <c r="AG420" i="8" s="1"/>
  <c r="AG421" i="8" s="1"/>
  <c r="V319" i="8"/>
  <c r="AD93" i="8"/>
  <c r="AE250" i="8"/>
  <c r="BU232" i="8"/>
  <c r="AC323" i="8"/>
  <c r="AC104" i="8"/>
  <c r="AO61" i="8"/>
  <c r="BU43" i="8"/>
  <c r="BS282" i="8"/>
  <c r="BT282" i="8" s="1"/>
  <c r="V302" i="8"/>
  <c r="AC255" i="8"/>
  <c r="V336" i="8"/>
  <c r="BS334" i="8" s="1"/>
  <c r="BT334" i="8" s="1"/>
  <c r="BR335" i="8"/>
  <c r="V268" i="8"/>
  <c r="BS266" i="8" s="1"/>
  <c r="BT266" i="8" s="1"/>
  <c r="BR267" i="8"/>
  <c r="AE179" i="8"/>
  <c r="BU161" i="8"/>
  <c r="Z346" i="8"/>
  <c r="Z347" i="8" s="1"/>
  <c r="Z348" i="8" s="1"/>
  <c r="Z349" i="8" s="1"/>
  <c r="Z350" i="8" s="1"/>
  <c r="G345" i="8"/>
  <c r="G346" i="8" s="1"/>
  <c r="G347" i="8" s="1"/>
  <c r="G348" i="8" s="1"/>
  <c r="G349" i="8" s="1"/>
  <c r="X345" i="8"/>
  <c r="X346" i="8" s="1"/>
  <c r="X347" i="8" s="1"/>
  <c r="X348" i="8" s="1"/>
  <c r="X349" i="8" s="1"/>
  <c r="X350" i="8" s="1"/>
  <c r="AC184" i="8"/>
  <c r="Z103" i="6"/>
  <c r="AO58" i="6"/>
  <c r="BU40" i="6"/>
  <c r="AC72" i="6"/>
  <c r="H264" i="6"/>
  <c r="H265" i="6" s="1"/>
  <c r="H266" i="6" s="1"/>
  <c r="H267" i="6" s="1"/>
  <c r="H268" i="6" s="1"/>
  <c r="E24" i="6"/>
  <c r="D24" i="6"/>
  <c r="AQ53" i="9" l="1"/>
  <c r="DC52" i="9"/>
  <c r="DD51" i="9"/>
  <c r="DE51" i="9" s="1"/>
  <c r="AQ382" i="9"/>
  <c r="AS66" i="9"/>
  <c r="DF51" i="9" s="1"/>
  <c r="Y346" i="8"/>
  <c r="Y347" i="8" s="1"/>
  <c r="Y348" i="8" s="1"/>
  <c r="Y349" i="8" s="1"/>
  <c r="Y350" i="8" s="1"/>
  <c r="AH344" i="8"/>
  <c r="AH345" i="8" s="1"/>
  <c r="AH346" i="8" s="1"/>
  <c r="AH347" i="8" s="1"/>
  <c r="AH348" i="8" s="1"/>
  <c r="AH349" i="8" s="1"/>
  <c r="AH350" i="8" s="1"/>
  <c r="AH351" i="8" s="1"/>
  <c r="AH352" i="8" s="1"/>
  <c r="AH353" i="8" s="1"/>
  <c r="AH354" i="8" s="1"/>
  <c r="AH355" i="8" s="1"/>
  <c r="AH356" i="8" s="1"/>
  <c r="AH357" i="8" s="1"/>
  <c r="AH358" i="8" s="1"/>
  <c r="AH359" i="8" s="1"/>
  <c r="AH360" i="8" s="1"/>
  <c r="AH361" i="8" s="1"/>
  <c r="AH362" i="8" s="1"/>
  <c r="AH363" i="8" s="1"/>
  <c r="AH364" i="8" s="1"/>
  <c r="AH365" i="8" s="1"/>
  <c r="AH366" i="8" s="1"/>
  <c r="AH367" i="8" s="1"/>
  <c r="AH368" i="8" s="1"/>
  <c r="AH369" i="8" s="1"/>
  <c r="AH370" i="8" s="1"/>
  <c r="AH371" i="8" s="1"/>
  <c r="AH372" i="8" s="1"/>
  <c r="AH373" i="8" s="1"/>
  <c r="AH374" i="8" s="1"/>
  <c r="AH375" i="8" s="1"/>
  <c r="AH376" i="8" s="1"/>
  <c r="AH377" i="8" s="1"/>
  <c r="AH378" i="8" s="1"/>
  <c r="AH379" i="8" s="1"/>
  <c r="AH380" i="8" s="1"/>
  <c r="AH381" i="8" s="1"/>
  <c r="AH382" i="8" s="1"/>
  <c r="AH383" i="8" s="1"/>
  <c r="AH384" i="8" s="1"/>
  <c r="AH385" i="8" s="1"/>
  <c r="AH386" i="8" s="1"/>
  <c r="AH387" i="8" s="1"/>
  <c r="AH388" i="8" s="1"/>
  <c r="AH389" i="8" s="1"/>
  <c r="AH390" i="8" s="1"/>
  <c r="AH391" i="8" s="1"/>
  <c r="AH392" i="8" s="1"/>
  <c r="AH393" i="8" s="1"/>
  <c r="AH394" i="8" s="1"/>
  <c r="AH395" i="8" s="1"/>
  <c r="AH396" i="8" s="1"/>
  <c r="AH397" i="8" s="1"/>
  <c r="AH398" i="8" s="1"/>
  <c r="AH399" i="8" s="1"/>
  <c r="AH400" i="8" s="1"/>
  <c r="AH401" i="8" s="1"/>
  <c r="AH402" i="8" s="1"/>
  <c r="AH403" i="8" s="1"/>
  <c r="AH404" i="8" s="1"/>
  <c r="AH405" i="8" s="1"/>
  <c r="AH406" i="8" s="1"/>
  <c r="AH407" i="8" s="1"/>
  <c r="AH408" i="8" s="1"/>
  <c r="AH409" i="8" s="1"/>
  <c r="AH410" i="8" s="1"/>
  <c r="AH411" i="8" s="1"/>
  <c r="AH412" i="8" s="1"/>
  <c r="AH413" i="8" s="1"/>
  <c r="AH414" i="8" s="1"/>
  <c r="AH415" i="8" s="1"/>
  <c r="AH416" i="8" s="1"/>
  <c r="AH417" i="8" s="1"/>
  <c r="AH418" i="8" s="1"/>
  <c r="AH419" i="8" s="1"/>
  <c r="AH420" i="8" s="1"/>
  <c r="AH421" i="8" s="1"/>
  <c r="AA346" i="8"/>
  <c r="AA347" i="8" s="1"/>
  <c r="AA348" i="8" s="1"/>
  <c r="AA349" i="8" s="1"/>
  <c r="AA350" i="8" s="1"/>
  <c r="D32" i="9"/>
  <c r="E32" i="9"/>
  <c r="AC185" i="8"/>
  <c r="AE180" i="8"/>
  <c r="BU162" i="8"/>
  <c r="AC324" i="8"/>
  <c r="BU306" i="8"/>
  <c r="AD94" i="8"/>
  <c r="Y351" i="8"/>
  <c r="Y352" i="8" s="1"/>
  <c r="Y353" i="8" s="1"/>
  <c r="Y354" i="8" s="1"/>
  <c r="Y355" i="8" s="1"/>
  <c r="AC256" i="8"/>
  <c r="G350" i="8"/>
  <c r="G351" i="8" s="1"/>
  <c r="G352" i="8" s="1"/>
  <c r="G353" i="8" s="1"/>
  <c r="G354" i="8" s="1"/>
  <c r="W350" i="8"/>
  <c r="W351" i="8" s="1"/>
  <c r="W352" i="8" s="1"/>
  <c r="W353" i="8" s="1"/>
  <c r="W354" i="8" s="1"/>
  <c r="W355" i="8" s="1"/>
  <c r="W346" i="8"/>
  <c r="W347" i="8" s="1"/>
  <c r="AC105" i="8"/>
  <c r="AE251" i="8"/>
  <c r="BU233" i="8"/>
  <c r="BR319" i="8"/>
  <c r="V320" i="8"/>
  <c r="BS318" i="8" s="1"/>
  <c r="BT318" i="8" s="1"/>
  <c r="V286" i="8"/>
  <c r="Z351" i="8"/>
  <c r="Z352" i="8" s="1"/>
  <c r="Z353" i="8" s="1"/>
  <c r="Z354" i="8" s="1"/>
  <c r="Z355" i="8" s="1"/>
  <c r="BR268" i="8"/>
  <c r="X351" i="8"/>
  <c r="X352" i="8" s="1"/>
  <c r="X353" i="8" s="1"/>
  <c r="X354" i="8" s="1"/>
  <c r="X355" i="8" s="1"/>
  <c r="V337" i="8"/>
  <c r="BS335" i="8"/>
  <c r="BT335" i="8" s="1"/>
  <c r="BR336" i="8"/>
  <c r="V303" i="8"/>
  <c r="AO62" i="8"/>
  <c r="BU44" i="8"/>
  <c r="B27" i="8"/>
  <c r="F26" i="8"/>
  <c r="Z104" i="6"/>
  <c r="Z105" i="6" s="1"/>
  <c r="AC73" i="6"/>
  <c r="AO59" i="6"/>
  <c r="BU41" i="6"/>
  <c r="F24" i="6"/>
  <c r="B25" i="6"/>
  <c r="H269" i="6"/>
  <c r="H270" i="6" s="1"/>
  <c r="H271" i="6" s="1"/>
  <c r="H272" i="6" s="1"/>
  <c r="H273" i="6" s="1"/>
  <c r="H274" i="6" s="1"/>
  <c r="H275" i="6" s="1"/>
  <c r="AQ384" i="9" l="1"/>
  <c r="AQ54" i="9"/>
  <c r="DC53" i="9"/>
  <c r="DD52" i="9"/>
  <c r="DE52" i="9" s="1"/>
  <c r="AS67" i="9"/>
  <c r="DF52" i="9" s="1"/>
  <c r="F32" i="9"/>
  <c r="B33" i="9"/>
  <c r="AC257" i="8"/>
  <c r="D27" i="8"/>
  <c r="E27" i="8"/>
  <c r="V338" i="8"/>
  <c r="BR337" i="8"/>
  <c r="AE252" i="8"/>
  <c r="BU234" i="8"/>
  <c r="AJ355" i="8"/>
  <c r="AJ356" i="8" s="1"/>
  <c r="AJ357" i="8" s="1"/>
  <c r="AJ358" i="8" s="1"/>
  <c r="AJ359" i="8" s="1"/>
  <c r="AJ360" i="8" s="1"/>
  <c r="AJ361" i="8" s="1"/>
  <c r="AJ362" i="8" s="1"/>
  <c r="AJ363" i="8" s="1"/>
  <c r="AJ364" i="8" s="1"/>
  <c r="AJ365" i="8" s="1"/>
  <c r="AJ366" i="8" s="1"/>
  <c r="AJ367" i="8" s="1"/>
  <c r="AJ368" i="8" s="1"/>
  <c r="AJ369" i="8" s="1"/>
  <c r="AJ370" i="8" s="1"/>
  <c r="AJ371" i="8" s="1"/>
  <c r="AJ372" i="8" s="1"/>
  <c r="AJ373" i="8" s="1"/>
  <c r="AJ374" i="8" s="1"/>
  <c r="AJ375" i="8" s="1"/>
  <c r="AJ376" i="8" s="1"/>
  <c r="AJ377" i="8" s="1"/>
  <c r="AJ378" i="8" s="1"/>
  <c r="AJ379" i="8" s="1"/>
  <c r="AJ380" i="8" s="1"/>
  <c r="AJ381" i="8" s="1"/>
  <c r="AJ382" i="8" s="1"/>
  <c r="AJ383" i="8" s="1"/>
  <c r="AJ384" i="8" s="1"/>
  <c r="AJ385" i="8" s="1"/>
  <c r="AJ386" i="8" s="1"/>
  <c r="AJ387" i="8" s="1"/>
  <c r="AJ388" i="8" s="1"/>
  <c r="AJ389" i="8" s="1"/>
  <c r="AJ390" i="8" s="1"/>
  <c r="AJ391" i="8" s="1"/>
  <c r="AJ392" i="8" s="1"/>
  <c r="AJ393" i="8" s="1"/>
  <c r="AJ394" i="8" s="1"/>
  <c r="AJ395" i="8" s="1"/>
  <c r="AJ396" i="8" s="1"/>
  <c r="AJ397" i="8" s="1"/>
  <c r="AJ398" i="8" s="1"/>
  <c r="AJ399" i="8" s="1"/>
  <c r="AJ400" i="8" s="1"/>
  <c r="AJ401" i="8" s="1"/>
  <c r="AJ402" i="8" s="1"/>
  <c r="AJ403" i="8" s="1"/>
  <c r="AJ404" i="8" s="1"/>
  <c r="AJ405" i="8" s="1"/>
  <c r="AJ406" i="8" s="1"/>
  <c r="AJ407" i="8" s="1"/>
  <c r="AJ408" i="8" s="1"/>
  <c r="AJ409" i="8" s="1"/>
  <c r="AJ410" i="8" s="1"/>
  <c r="AJ411" i="8" s="1"/>
  <c r="AJ412" i="8" s="1"/>
  <c r="AJ413" i="8" s="1"/>
  <c r="AJ414" i="8" s="1"/>
  <c r="AJ415" i="8" s="1"/>
  <c r="AJ416" i="8" s="1"/>
  <c r="AJ417" i="8" s="1"/>
  <c r="AJ418" i="8" s="1"/>
  <c r="AJ419" i="8" s="1"/>
  <c r="AJ420" i="8" s="1"/>
  <c r="AJ421" i="8" s="1"/>
  <c r="AC325" i="8"/>
  <c r="AE181" i="8"/>
  <c r="BU163" i="8"/>
  <c r="BR303" i="8"/>
  <c r="V304" i="8"/>
  <c r="BS302" i="8"/>
  <c r="BT302" i="8" s="1"/>
  <c r="V287" i="8"/>
  <c r="AM286" i="8"/>
  <c r="AM287" i="8" s="1"/>
  <c r="AM288" i="8" s="1"/>
  <c r="AM289" i="8" s="1"/>
  <c r="AM290" i="8" s="1"/>
  <c r="AM291" i="8" s="1"/>
  <c r="AM292" i="8" s="1"/>
  <c r="AM293" i="8" s="1"/>
  <c r="AM294" i="8" s="1"/>
  <c r="AM295" i="8" s="1"/>
  <c r="AM296" i="8" s="1"/>
  <c r="AM297" i="8" s="1"/>
  <c r="AM298" i="8" s="1"/>
  <c r="AM299" i="8" s="1"/>
  <c r="AM300" i="8" s="1"/>
  <c r="AM301" i="8" s="1"/>
  <c r="AM302" i="8" s="1"/>
  <c r="AM303" i="8" s="1"/>
  <c r="AM304" i="8" s="1"/>
  <c r="AM305" i="8" s="1"/>
  <c r="AM306" i="8" s="1"/>
  <c r="AM307" i="8" s="1"/>
  <c r="AM308" i="8" s="1"/>
  <c r="AM309" i="8" s="1"/>
  <c r="AM310" i="8" s="1"/>
  <c r="AM311" i="8" s="1"/>
  <c r="AM312" i="8" s="1"/>
  <c r="AM313" i="8" s="1"/>
  <c r="AM314" i="8" s="1"/>
  <c r="AM315" i="8" s="1"/>
  <c r="AM316" i="8" s="1"/>
  <c r="AM317" i="8" s="1"/>
  <c r="AM318" i="8" s="1"/>
  <c r="AM319" i="8" s="1"/>
  <c r="AM320" i="8" s="1"/>
  <c r="AM321" i="8" s="1"/>
  <c r="AM322" i="8" s="1"/>
  <c r="AM323" i="8" s="1"/>
  <c r="AM324" i="8" s="1"/>
  <c r="AM325" i="8" s="1"/>
  <c r="AM326" i="8" s="1"/>
  <c r="AM327" i="8" s="1"/>
  <c r="AM328" i="8" s="1"/>
  <c r="AM329" i="8" s="1"/>
  <c r="AM330" i="8" s="1"/>
  <c r="AM331" i="8" s="1"/>
  <c r="AM332" i="8" s="1"/>
  <c r="AM333" i="8" s="1"/>
  <c r="AM334" i="8" s="1"/>
  <c r="AM335" i="8" s="1"/>
  <c r="AM336" i="8" s="1"/>
  <c r="AM337" i="8" s="1"/>
  <c r="AM338" i="8" s="1"/>
  <c r="AM339" i="8" s="1"/>
  <c r="AM340" i="8" s="1"/>
  <c r="AM341" i="8" s="1"/>
  <c r="AM342" i="8" s="1"/>
  <c r="AM343" i="8" s="1"/>
  <c r="AM344" i="8" s="1"/>
  <c r="AM345" i="8" s="1"/>
  <c r="AM346" i="8" s="1"/>
  <c r="AM347" i="8" s="1"/>
  <c r="AM348" i="8" s="1"/>
  <c r="AM349" i="8" s="1"/>
  <c r="AM350" i="8" s="1"/>
  <c r="AM351" i="8" s="1"/>
  <c r="AM352" i="8" s="1"/>
  <c r="AM353" i="8" s="1"/>
  <c r="AM354" i="8" s="1"/>
  <c r="AM355" i="8" s="1"/>
  <c r="AM356" i="8" s="1"/>
  <c r="AM357" i="8" s="1"/>
  <c r="AM358" i="8" s="1"/>
  <c r="AM359" i="8" s="1"/>
  <c r="AM360" i="8" s="1"/>
  <c r="AM361" i="8" s="1"/>
  <c r="AM362" i="8" s="1"/>
  <c r="AM363" i="8" s="1"/>
  <c r="AM364" i="8" s="1"/>
  <c r="AM365" i="8" s="1"/>
  <c r="AM366" i="8" s="1"/>
  <c r="AM367" i="8" s="1"/>
  <c r="AM368" i="8" s="1"/>
  <c r="AM369" i="8" s="1"/>
  <c r="BR320" i="8"/>
  <c r="V321" i="8"/>
  <c r="BS319" i="8" s="1"/>
  <c r="BT319" i="8" s="1"/>
  <c r="G355" i="8"/>
  <c r="G356" i="8" s="1"/>
  <c r="G357" i="8" s="1"/>
  <c r="G358" i="8" s="1"/>
  <c r="G359" i="8" s="1"/>
  <c r="G360" i="8" s="1"/>
  <c r="V355" i="8"/>
  <c r="AA351" i="8"/>
  <c r="AA352" i="8" s="1"/>
  <c r="AA353" i="8" s="1"/>
  <c r="AA354" i="8" s="1"/>
  <c r="AA355" i="8" s="1"/>
  <c r="AC186" i="8"/>
  <c r="AO63" i="8"/>
  <c r="BU45" i="8"/>
  <c r="AC106" i="8"/>
  <c r="AD95" i="8"/>
  <c r="Z106" i="6"/>
  <c r="AO60" i="6"/>
  <c r="BU42" i="6"/>
  <c r="AC74" i="6"/>
  <c r="E25" i="6"/>
  <c r="D25" i="6"/>
  <c r="H276" i="6"/>
  <c r="H277" i="6" s="1"/>
  <c r="H278" i="6" s="1"/>
  <c r="H279" i="6" s="1"/>
  <c r="H280" i="6" s="1"/>
  <c r="AQ55" i="9" l="1"/>
  <c r="DC54" i="9"/>
  <c r="DD53" i="9"/>
  <c r="DE53" i="9" s="1"/>
  <c r="AQ385" i="9"/>
  <c r="AS68" i="9"/>
  <c r="DF53" i="9" s="1"/>
  <c r="AA356" i="8"/>
  <c r="AA357" i="8" s="1"/>
  <c r="AA358" i="8" s="1"/>
  <c r="AA359" i="8" s="1"/>
  <c r="AA360" i="8" s="1"/>
  <c r="AA361" i="8" s="1"/>
  <c r="D33" i="9"/>
  <c r="E33" i="9"/>
  <c r="X356" i="8"/>
  <c r="X357" i="8" s="1"/>
  <c r="X358" i="8" s="1"/>
  <c r="X359" i="8" s="1"/>
  <c r="X360" i="8" s="1"/>
  <c r="AC326" i="8"/>
  <c r="AE253" i="8"/>
  <c r="BU235" i="8"/>
  <c r="AO64" i="8"/>
  <c r="AO65" i="8" s="1"/>
  <c r="BU46" i="8"/>
  <c r="G361" i="8"/>
  <c r="G362" i="8" s="1"/>
  <c r="G363" i="8" s="1"/>
  <c r="G364" i="8" s="1"/>
  <c r="G365" i="8" s="1"/>
  <c r="Y361" i="8"/>
  <c r="Y362" i="8" s="1"/>
  <c r="Y363" i="8" s="1"/>
  <c r="Y364" i="8" s="1"/>
  <c r="Y365" i="8" s="1"/>
  <c r="Y366" i="8" s="1"/>
  <c r="AD96" i="8"/>
  <c r="AC187" i="8"/>
  <c r="BR287" i="8"/>
  <c r="V288" i="8"/>
  <c r="BS286" i="8" s="1"/>
  <c r="BT286" i="8" s="1"/>
  <c r="W356" i="8"/>
  <c r="W357" i="8" s="1"/>
  <c r="W358" i="8" s="1"/>
  <c r="W359" i="8" s="1"/>
  <c r="W360" i="8" s="1"/>
  <c r="W361" i="8" s="1"/>
  <c r="Y356" i="8"/>
  <c r="Y357" i="8" s="1"/>
  <c r="Y358" i="8" s="1"/>
  <c r="B28" i="8"/>
  <c r="F27" i="8"/>
  <c r="AA362" i="8"/>
  <c r="AA363" i="8" s="1"/>
  <c r="AA364" i="8" s="1"/>
  <c r="AA365" i="8" s="1"/>
  <c r="AA366" i="8" s="1"/>
  <c r="BR321" i="8"/>
  <c r="V322" i="8"/>
  <c r="AE182" i="8"/>
  <c r="BU164" i="8"/>
  <c r="AC107" i="8"/>
  <c r="Z356" i="8"/>
  <c r="Z357" i="8" s="1"/>
  <c r="Z358" i="8" s="1"/>
  <c r="Z359" i="8" s="1"/>
  <c r="Z360" i="8" s="1"/>
  <c r="Z361" i="8" s="1"/>
  <c r="Z362" i="8" s="1"/>
  <c r="Z363" i="8" s="1"/>
  <c r="Z364" i="8" s="1"/>
  <c r="Z365" i="8" s="1"/>
  <c r="Z366" i="8" s="1"/>
  <c r="V356" i="8"/>
  <c r="BR355" i="8"/>
  <c r="BR304" i="8"/>
  <c r="V305" i="8"/>
  <c r="V339" i="8"/>
  <c r="AC258" i="8"/>
  <c r="Z107" i="6"/>
  <c r="AC75" i="6"/>
  <c r="AO61" i="6"/>
  <c r="BU43" i="6"/>
  <c r="F25" i="6"/>
  <c r="B26" i="6"/>
  <c r="H281" i="6"/>
  <c r="H282" i="6" s="1"/>
  <c r="H283" i="6" s="1"/>
  <c r="H284" i="6" s="1"/>
  <c r="H285" i="6" s="1"/>
  <c r="AQ386" i="9" l="1"/>
  <c r="AQ56" i="9"/>
  <c r="DC55" i="9"/>
  <c r="DD54" i="9"/>
  <c r="DE54" i="9" s="1"/>
  <c r="AS69" i="9"/>
  <c r="DF54" i="9" s="1"/>
  <c r="W362" i="8"/>
  <c r="W363" i="8" s="1"/>
  <c r="W364" i="8" s="1"/>
  <c r="W365" i="8" s="1"/>
  <c r="F33" i="9"/>
  <c r="B34" i="9"/>
  <c r="BS354" i="8"/>
  <c r="BT354" i="8" s="1"/>
  <c r="AE183" i="8"/>
  <c r="BU165" i="8"/>
  <c r="BR305" i="8"/>
  <c r="V306" i="8"/>
  <c r="AC108" i="8"/>
  <c r="V323" i="8"/>
  <c r="D28" i="8"/>
  <c r="E28" i="8"/>
  <c r="V357" i="8"/>
  <c r="BS355" i="8" s="1"/>
  <c r="BT355" i="8" s="1"/>
  <c r="BR356" i="8"/>
  <c r="AD97" i="8"/>
  <c r="AO66" i="8"/>
  <c r="BU48" i="8"/>
  <c r="AC327" i="8"/>
  <c r="W366" i="8"/>
  <c r="W367" i="8" s="1"/>
  <c r="W368" i="8" s="1"/>
  <c r="AL365" i="8"/>
  <c r="AL366" i="8" s="1"/>
  <c r="AL367" i="8" s="1"/>
  <c r="AL368" i="8" s="1"/>
  <c r="AL369" i="8" s="1"/>
  <c r="AL370" i="8" s="1"/>
  <c r="AL371" i="8" s="1"/>
  <c r="AL372" i="8" s="1"/>
  <c r="AL373" i="8" s="1"/>
  <c r="AL374" i="8" s="1"/>
  <c r="AL375" i="8" s="1"/>
  <c r="AL376" i="8" s="1"/>
  <c r="AL377" i="8" s="1"/>
  <c r="AL378" i="8" s="1"/>
  <c r="AL379" i="8" s="1"/>
  <c r="AL380" i="8" s="1"/>
  <c r="AL381" i="8" s="1"/>
  <c r="AL382" i="8" s="1"/>
  <c r="AL383" i="8" s="1"/>
  <c r="AL384" i="8" s="1"/>
  <c r="AL385" i="8" s="1"/>
  <c r="AL386" i="8" s="1"/>
  <c r="AL387" i="8" s="1"/>
  <c r="AL388" i="8" s="1"/>
  <c r="AL389" i="8" s="1"/>
  <c r="AL390" i="8" s="1"/>
  <c r="AL391" i="8" s="1"/>
  <c r="AL392" i="8" s="1"/>
  <c r="AL393" i="8" s="1"/>
  <c r="AL394" i="8" s="1"/>
  <c r="AL395" i="8" s="1"/>
  <c r="AL396" i="8" s="1"/>
  <c r="AL397" i="8" s="1"/>
  <c r="AL398" i="8" s="1"/>
  <c r="AL399" i="8" s="1"/>
  <c r="AL400" i="8" s="1"/>
  <c r="AL401" i="8" s="1"/>
  <c r="AL402" i="8" s="1"/>
  <c r="AL403" i="8" s="1"/>
  <c r="AL404" i="8" s="1"/>
  <c r="AL405" i="8" s="1"/>
  <c r="AL406" i="8" s="1"/>
  <c r="AL407" i="8" s="1"/>
  <c r="AL408" i="8" s="1"/>
  <c r="AL409" i="8" s="1"/>
  <c r="AL410" i="8" s="1"/>
  <c r="AL411" i="8" s="1"/>
  <c r="AL412" i="8" s="1"/>
  <c r="AL413" i="8" s="1"/>
  <c r="AL414" i="8" s="1"/>
  <c r="AL415" i="8" s="1"/>
  <c r="AL416" i="8" s="1"/>
  <c r="AL417" i="8" s="1"/>
  <c r="AL418" i="8" s="1"/>
  <c r="AL419" i="8" s="1"/>
  <c r="AL420" i="8" s="1"/>
  <c r="AL421" i="8" s="1"/>
  <c r="AC188" i="8"/>
  <c r="X361" i="8"/>
  <c r="X362" i="8" s="1"/>
  <c r="X363" i="8" s="1"/>
  <c r="AK360" i="8"/>
  <c r="AK361" i="8" s="1"/>
  <c r="AK362" i="8" s="1"/>
  <c r="AK363" i="8" s="1"/>
  <c r="AK364" i="8" s="1"/>
  <c r="AK365" i="8" s="1"/>
  <c r="AK366" i="8" s="1"/>
  <c r="AK367" i="8" s="1"/>
  <c r="AK368" i="8" s="1"/>
  <c r="AK369" i="8" s="1"/>
  <c r="AK370" i="8" s="1"/>
  <c r="AK371" i="8" s="1"/>
  <c r="AK372" i="8" s="1"/>
  <c r="AK373" i="8" s="1"/>
  <c r="AK374" i="8" s="1"/>
  <c r="AK375" i="8" s="1"/>
  <c r="AK376" i="8" s="1"/>
  <c r="AK377" i="8" s="1"/>
  <c r="AK378" i="8" s="1"/>
  <c r="AK379" i="8" s="1"/>
  <c r="AK380" i="8" s="1"/>
  <c r="AK381" i="8" s="1"/>
  <c r="AK382" i="8" s="1"/>
  <c r="AK383" i="8" s="1"/>
  <c r="AK384" i="8" s="1"/>
  <c r="AK385" i="8" s="1"/>
  <c r="AK386" i="8" s="1"/>
  <c r="AK387" i="8" s="1"/>
  <c r="AK388" i="8" s="1"/>
  <c r="AK389" i="8" s="1"/>
  <c r="AK390" i="8" s="1"/>
  <c r="AK391" i="8" s="1"/>
  <c r="AK392" i="8" s="1"/>
  <c r="AK393" i="8" s="1"/>
  <c r="AK394" i="8" s="1"/>
  <c r="AK395" i="8" s="1"/>
  <c r="AK396" i="8" s="1"/>
  <c r="AK397" i="8" s="1"/>
  <c r="AK398" i="8" s="1"/>
  <c r="AK399" i="8" s="1"/>
  <c r="AK400" i="8" s="1"/>
  <c r="AK401" i="8" s="1"/>
  <c r="AK402" i="8" s="1"/>
  <c r="AK403" i="8" s="1"/>
  <c r="AK404" i="8" s="1"/>
  <c r="AK405" i="8" s="1"/>
  <c r="AK406" i="8" s="1"/>
  <c r="AK407" i="8" s="1"/>
  <c r="AK408" i="8" s="1"/>
  <c r="AK409" i="8" s="1"/>
  <c r="AK410" i="8" s="1"/>
  <c r="AK411" i="8" s="1"/>
  <c r="AK412" i="8" s="1"/>
  <c r="AK413" i="8" s="1"/>
  <c r="AK414" i="8" s="1"/>
  <c r="AK415" i="8" s="1"/>
  <c r="AK416" i="8" s="1"/>
  <c r="AK417" i="8" s="1"/>
  <c r="AK418" i="8" s="1"/>
  <c r="AK419" i="8" s="1"/>
  <c r="AK420" i="8" s="1"/>
  <c r="AK421" i="8" s="1"/>
  <c r="V340" i="8"/>
  <c r="AC259" i="8"/>
  <c r="BS303" i="8"/>
  <c r="BT303" i="8" s="1"/>
  <c r="BR288" i="8"/>
  <c r="V289" i="8"/>
  <c r="G366" i="8"/>
  <c r="G367" i="8" s="1"/>
  <c r="G368" i="8" s="1"/>
  <c r="G369" i="8" s="1"/>
  <c r="G370" i="8" s="1"/>
  <c r="X366" i="8"/>
  <c r="X367" i="8" s="1"/>
  <c r="X368" i="8" s="1"/>
  <c r="X369" i="8" s="1"/>
  <c r="X370" i="8" s="1"/>
  <c r="X371" i="8" s="1"/>
  <c r="AE254" i="8"/>
  <c r="BU236" i="8"/>
  <c r="Z108" i="6"/>
  <c r="AO62" i="6"/>
  <c r="BU44" i="6"/>
  <c r="AC76" i="6"/>
  <c r="E26" i="6"/>
  <c r="D26" i="6"/>
  <c r="H286" i="6"/>
  <c r="H287" i="6" s="1"/>
  <c r="H288" i="6" s="1"/>
  <c r="H289" i="6" s="1"/>
  <c r="H290" i="6" s="1"/>
  <c r="AQ57" i="9" l="1"/>
  <c r="DC56" i="9"/>
  <c r="DD55" i="9"/>
  <c r="DE55" i="9" s="1"/>
  <c r="AQ387" i="9"/>
  <c r="AS70" i="9"/>
  <c r="DF55" i="9" s="1"/>
  <c r="AA367" i="8"/>
  <c r="AA368" i="8" s="1"/>
  <c r="AA369" i="8" s="1"/>
  <c r="AA370" i="8" s="1"/>
  <c r="AA371" i="8" s="1"/>
  <c r="AA372" i="8" s="1"/>
  <c r="AA373" i="8" s="1"/>
  <c r="AA374" i="8" s="1"/>
  <c r="AA375" i="8" s="1"/>
  <c r="AA376" i="8" s="1"/>
  <c r="D34" i="9"/>
  <c r="E34" i="9"/>
  <c r="AE255" i="8"/>
  <c r="BU237" i="8"/>
  <c r="AO67" i="8"/>
  <c r="BU49" i="8"/>
  <c r="AC109" i="8"/>
  <c r="AC328" i="8"/>
  <c r="V358" i="8"/>
  <c r="BS356" i="8" s="1"/>
  <c r="BT356" i="8" s="1"/>
  <c r="BR357" i="8"/>
  <c r="V324" i="8"/>
  <c r="AE184" i="8"/>
  <c r="BU166" i="8"/>
  <c r="BR289" i="8"/>
  <c r="BS287" i="8"/>
  <c r="BT287" i="8" s="1"/>
  <c r="AC260" i="8"/>
  <c r="AC189" i="8"/>
  <c r="G371" i="8"/>
  <c r="G372" i="8" s="1"/>
  <c r="G373" i="8" s="1"/>
  <c r="G374" i="8" s="1"/>
  <c r="G375" i="8" s="1"/>
  <c r="W371" i="8"/>
  <c r="Y367" i="8"/>
  <c r="Y368" i="8" s="1"/>
  <c r="Y369" i="8" s="1"/>
  <c r="Y370" i="8" s="1"/>
  <c r="Y371" i="8" s="1"/>
  <c r="V341" i="8"/>
  <c r="BR340" i="8"/>
  <c r="AD98" i="8"/>
  <c r="V307" i="8"/>
  <c r="Z367" i="8"/>
  <c r="Z368" i="8" s="1"/>
  <c r="Z369" i="8" s="1"/>
  <c r="Z370" i="8" s="1"/>
  <c r="Z371" i="8" s="1"/>
  <c r="B29" i="8"/>
  <c r="F28" i="8"/>
  <c r="Z109" i="6"/>
  <c r="Z110" i="6" s="1"/>
  <c r="AC77" i="6"/>
  <c r="AO63" i="6"/>
  <c r="BU45" i="6"/>
  <c r="F26" i="6"/>
  <c r="B27" i="6"/>
  <c r="H291" i="6"/>
  <c r="H292" i="6" s="1"/>
  <c r="H293" i="6" s="1"/>
  <c r="H294" i="6" s="1"/>
  <c r="H295" i="6" s="1"/>
  <c r="H296" i="6" s="1"/>
  <c r="H297" i="6" s="1"/>
  <c r="AQ388" i="9" l="1"/>
  <c r="AQ58" i="9"/>
  <c r="DC57" i="9"/>
  <c r="DD56" i="9"/>
  <c r="DE56" i="9" s="1"/>
  <c r="AS71" i="9"/>
  <c r="DF56" i="9" s="1"/>
  <c r="Z372" i="8"/>
  <c r="Z373" i="8" s="1"/>
  <c r="Z374" i="8" s="1"/>
  <c r="Z375" i="8" s="1"/>
  <c r="Z376" i="8" s="1"/>
  <c r="Y372" i="8"/>
  <c r="Y373" i="8" s="1"/>
  <c r="Y374" i="8" s="1"/>
  <c r="Y375" i="8" s="1"/>
  <c r="Y376" i="8" s="1"/>
  <c r="W372" i="8"/>
  <c r="W373" i="8" s="1"/>
  <c r="W374" i="8" s="1"/>
  <c r="W375" i="8" s="1"/>
  <c r="W376" i="8" s="1"/>
  <c r="F34" i="9"/>
  <c r="B35" i="9"/>
  <c r="AC190" i="8"/>
  <c r="V342" i="8"/>
  <c r="BS340" i="8" s="1"/>
  <c r="BT340" i="8" s="1"/>
  <c r="BR341" i="8"/>
  <c r="AD99" i="8"/>
  <c r="AN376" i="8"/>
  <c r="AN377" i="8" s="1"/>
  <c r="AN378" i="8" s="1"/>
  <c r="AN379" i="8" s="1"/>
  <c r="AN380" i="8" s="1"/>
  <c r="AN381" i="8" s="1"/>
  <c r="AN382" i="8" s="1"/>
  <c r="AN383" i="8" s="1"/>
  <c r="AN384" i="8" s="1"/>
  <c r="AN385" i="8" s="1"/>
  <c r="AN386" i="8" s="1"/>
  <c r="AN387" i="8" s="1"/>
  <c r="AN388" i="8" s="1"/>
  <c r="AN389" i="8" s="1"/>
  <c r="AN390" i="8" s="1"/>
  <c r="AN391" i="8" s="1"/>
  <c r="AN392" i="8" s="1"/>
  <c r="AN393" i="8" s="1"/>
  <c r="AN394" i="8" s="1"/>
  <c r="AN395" i="8" s="1"/>
  <c r="AN396" i="8" s="1"/>
  <c r="AN397" i="8" s="1"/>
  <c r="AN398" i="8" s="1"/>
  <c r="AN399" i="8" s="1"/>
  <c r="AN400" i="8" s="1"/>
  <c r="AN401" i="8" s="1"/>
  <c r="AN402" i="8" s="1"/>
  <c r="AN403" i="8" s="1"/>
  <c r="AN404" i="8" s="1"/>
  <c r="AN405" i="8" s="1"/>
  <c r="AN406" i="8" s="1"/>
  <c r="AN407" i="8" s="1"/>
  <c r="AN408" i="8" s="1"/>
  <c r="AN409" i="8" s="1"/>
  <c r="AN410" i="8" s="1"/>
  <c r="AN411" i="8" s="1"/>
  <c r="AN412" i="8" s="1"/>
  <c r="AN413" i="8" s="1"/>
  <c r="AN414" i="8" s="1"/>
  <c r="AN415" i="8" s="1"/>
  <c r="AN416" i="8" s="1"/>
  <c r="AN417" i="8" s="1"/>
  <c r="AN418" i="8" s="1"/>
  <c r="AN419" i="8" s="1"/>
  <c r="AN420" i="8" s="1"/>
  <c r="AN421" i="8" s="1"/>
  <c r="X372" i="8"/>
  <c r="X373" i="8" s="1"/>
  <c r="X374" i="8" s="1"/>
  <c r="X375" i="8" s="1"/>
  <c r="X376" i="8" s="1"/>
  <c r="AE185" i="8"/>
  <c r="BU167" i="8"/>
  <c r="AC329" i="8"/>
  <c r="AO68" i="8"/>
  <c r="AO69" i="8" s="1"/>
  <c r="BU50" i="8"/>
  <c r="D29" i="8"/>
  <c r="E29" i="8"/>
  <c r="V308" i="8"/>
  <c r="AQ307" i="8"/>
  <c r="AQ308" i="8" s="1"/>
  <c r="AQ309" i="8" s="1"/>
  <c r="AQ310" i="8" s="1"/>
  <c r="AQ311" i="8" s="1"/>
  <c r="AQ312" i="8" s="1"/>
  <c r="AQ313" i="8" s="1"/>
  <c r="AQ314" i="8" s="1"/>
  <c r="AQ315" i="8" s="1"/>
  <c r="AQ316" i="8" s="1"/>
  <c r="AQ317" i="8" s="1"/>
  <c r="AQ318" i="8" s="1"/>
  <c r="AQ319" i="8" s="1"/>
  <c r="AQ320" i="8" s="1"/>
  <c r="AQ321" i="8" s="1"/>
  <c r="AQ322" i="8" s="1"/>
  <c r="AQ323" i="8" s="1"/>
  <c r="AQ324" i="8" s="1"/>
  <c r="AQ325" i="8" s="1"/>
  <c r="AQ326" i="8" s="1"/>
  <c r="AQ327" i="8" s="1"/>
  <c r="AQ328" i="8" s="1"/>
  <c r="AQ329" i="8" s="1"/>
  <c r="AQ330" i="8" s="1"/>
  <c r="AQ331" i="8" s="1"/>
  <c r="AQ332" i="8" s="1"/>
  <c r="AQ333" i="8" s="1"/>
  <c r="AQ334" i="8" s="1"/>
  <c r="AQ335" i="8" s="1"/>
  <c r="AQ336" i="8" s="1"/>
  <c r="AQ337" i="8" s="1"/>
  <c r="AQ338" i="8" s="1"/>
  <c r="AQ339" i="8" s="1"/>
  <c r="AQ340" i="8" s="1"/>
  <c r="AQ341" i="8" s="1"/>
  <c r="AQ342" i="8" s="1"/>
  <c r="AQ343" i="8" s="1"/>
  <c r="AQ344" i="8" s="1"/>
  <c r="AQ345" i="8" s="1"/>
  <c r="AQ346" i="8" s="1"/>
  <c r="AQ347" i="8" s="1"/>
  <c r="AQ348" i="8" s="1"/>
  <c r="AQ349" i="8" s="1"/>
  <c r="AQ350" i="8" s="1"/>
  <c r="AQ351" i="8" s="1"/>
  <c r="AQ352" i="8" s="1"/>
  <c r="AQ353" i="8" s="1"/>
  <c r="AQ354" i="8" s="1"/>
  <c r="AQ355" i="8" s="1"/>
  <c r="AQ356" i="8" s="1"/>
  <c r="AQ357" i="8" s="1"/>
  <c r="AQ358" i="8" s="1"/>
  <c r="AQ359" i="8" s="1"/>
  <c r="AQ360" i="8" s="1"/>
  <c r="AQ361" i="8" s="1"/>
  <c r="AQ362" i="8" s="1"/>
  <c r="AQ363" i="8" s="1"/>
  <c r="AQ364" i="8" s="1"/>
  <c r="AQ365" i="8" s="1"/>
  <c r="AQ366" i="8" s="1"/>
  <c r="AQ367" i="8" s="1"/>
  <c r="AQ368" i="8" s="1"/>
  <c r="AQ369" i="8" s="1"/>
  <c r="AQ370" i="8" s="1"/>
  <c r="AQ371" i="8" s="1"/>
  <c r="AQ372" i="8" s="1"/>
  <c r="AQ373" i="8" s="1"/>
  <c r="AQ374" i="8" s="1"/>
  <c r="AQ375" i="8" s="1"/>
  <c r="AQ376" i="8" s="1"/>
  <c r="AQ377" i="8" s="1"/>
  <c r="AQ378" i="8" s="1"/>
  <c r="AQ379" i="8" s="1"/>
  <c r="AQ380" i="8" s="1"/>
  <c r="AQ381" i="8" s="1"/>
  <c r="AQ382" i="8" s="1"/>
  <c r="AQ383" i="8" s="1"/>
  <c r="AQ384" i="8" s="1"/>
  <c r="AQ385" i="8" s="1"/>
  <c r="AQ386" i="8" s="1"/>
  <c r="AQ387" i="8" s="1"/>
  <c r="AQ388" i="8" s="1"/>
  <c r="AQ389" i="8" s="1"/>
  <c r="AQ390" i="8" s="1"/>
  <c r="BS339" i="8"/>
  <c r="BT339" i="8" s="1"/>
  <c r="G376" i="8"/>
  <c r="G377" i="8" s="1"/>
  <c r="G378" i="8" s="1"/>
  <c r="G379" i="8" s="1"/>
  <c r="G380" i="8" s="1"/>
  <c r="G381" i="8" s="1"/>
  <c r="V376" i="8"/>
  <c r="AC261" i="8"/>
  <c r="BR324" i="8"/>
  <c r="V325" i="8"/>
  <c r="BS323" i="8" s="1"/>
  <c r="BT323" i="8" s="1"/>
  <c r="BR358" i="8"/>
  <c r="V359" i="8"/>
  <c r="AC110" i="8"/>
  <c r="AE256" i="8"/>
  <c r="BU238" i="8"/>
  <c r="Z111" i="6"/>
  <c r="AO64" i="6"/>
  <c r="AO65" i="6" s="1"/>
  <c r="BU46" i="6"/>
  <c r="AC78" i="6"/>
  <c r="E27" i="6"/>
  <c r="D27" i="6"/>
  <c r="H298" i="6"/>
  <c r="H299" i="6" s="1"/>
  <c r="H300" i="6" s="1"/>
  <c r="H301" i="6" s="1"/>
  <c r="H302" i="6" s="1"/>
  <c r="AQ59" i="9" l="1"/>
  <c r="DC58" i="9"/>
  <c r="DD57" i="9"/>
  <c r="DE57" i="9" s="1"/>
  <c r="AQ389" i="9"/>
  <c r="AY388" i="9"/>
  <c r="AY389" i="9" s="1"/>
  <c r="AY390" i="9" s="1"/>
  <c r="AY391" i="9" s="1"/>
  <c r="AY392" i="9" s="1"/>
  <c r="AY393" i="9" s="1"/>
  <c r="AY394" i="9" s="1"/>
  <c r="AY395" i="9" s="1"/>
  <c r="AY396" i="9" s="1"/>
  <c r="AY397" i="9" s="1"/>
  <c r="AY398" i="9" s="1"/>
  <c r="AY399" i="9" s="1"/>
  <c r="AY400" i="9" s="1"/>
  <c r="AY401" i="9" s="1"/>
  <c r="AY402" i="9" s="1"/>
  <c r="AY403" i="9" s="1"/>
  <c r="AY404" i="9" s="1"/>
  <c r="AY405" i="9" s="1"/>
  <c r="AY406" i="9" s="1"/>
  <c r="AY407" i="9" s="1"/>
  <c r="AY408" i="9" s="1"/>
  <c r="AY409" i="9" s="1"/>
  <c r="AY410" i="9" s="1"/>
  <c r="AY411" i="9" s="1"/>
  <c r="AY412" i="9" s="1"/>
  <c r="AY413" i="9" s="1"/>
  <c r="AY414" i="9" s="1"/>
  <c r="AY415" i="9" s="1"/>
  <c r="AY416" i="9" s="1"/>
  <c r="AY417" i="9" s="1"/>
  <c r="AY418" i="9" s="1"/>
  <c r="AY419" i="9" s="1"/>
  <c r="AY420" i="9" s="1"/>
  <c r="AY421" i="9" s="1"/>
  <c r="AY422" i="9" s="1"/>
  <c r="AY423" i="9" s="1"/>
  <c r="AY424" i="9" s="1"/>
  <c r="AY425" i="9" s="1"/>
  <c r="AY426" i="9" s="1"/>
  <c r="AY427" i="9" s="1"/>
  <c r="AY428" i="9" s="1"/>
  <c r="AY429" i="9" s="1"/>
  <c r="AY430" i="9" s="1"/>
  <c r="AY431" i="9" s="1"/>
  <c r="AY432" i="9" s="1"/>
  <c r="AY433" i="9" s="1"/>
  <c r="AY434" i="9" s="1"/>
  <c r="AY435" i="9" s="1"/>
  <c r="AY436" i="9" s="1"/>
  <c r="AY437" i="9" s="1"/>
  <c r="AY438" i="9" s="1"/>
  <c r="AY439" i="9" s="1"/>
  <c r="AY440" i="9" s="1"/>
  <c r="AY441" i="9" s="1"/>
  <c r="AY442" i="9" s="1"/>
  <c r="AY443" i="9" s="1"/>
  <c r="AY444" i="9" s="1"/>
  <c r="AY445" i="9" s="1"/>
  <c r="AY446" i="9" s="1"/>
  <c r="AY447" i="9" s="1"/>
  <c r="AY448" i="9" s="1"/>
  <c r="AY449" i="9" s="1"/>
  <c r="AY450" i="9" s="1"/>
  <c r="AY451" i="9" s="1"/>
  <c r="AY452" i="9" s="1"/>
  <c r="AY453" i="9" s="1"/>
  <c r="AY454" i="9" s="1"/>
  <c r="AY455" i="9" s="1"/>
  <c r="AY456" i="9" s="1"/>
  <c r="AY457" i="9" s="1"/>
  <c r="AY458" i="9" s="1"/>
  <c r="AY459" i="9" s="1"/>
  <c r="AY460" i="9" s="1"/>
  <c r="AY461" i="9" s="1"/>
  <c r="AY462" i="9" s="1"/>
  <c r="AY463" i="9" s="1"/>
  <c r="AY464" i="9" s="1"/>
  <c r="AY465" i="9" s="1"/>
  <c r="AY466" i="9" s="1"/>
  <c r="AY467" i="9" s="1"/>
  <c r="AY468" i="9" s="1"/>
  <c r="AY469" i="9" s="1"/>
  <c r="AY470" i="9" s="1"/>
  <c r="AY471" i="9" s="1"/>
  <c r="AY472" i="9" s="1"/>
  <c r="AY473" i="9" s="1"/>
  <c r="AS72" i="9"/>
  <c r="DF57" i="9" s="1"/>
  <c r="AO70" i="8"/>
  <c r="BU52" i="8"/>
  <c r="D35" i="9"/>
  <c r="E35" i="9"/>
  <c r="B30" i="8"/>
  <c r="F29" i="8"/>
  <c r="X377" i="8"/>
  <c r="X378" i="8" s="1"/>
  <c r="X379" i="8" s="1"/>
  <c r="X380" i="8" s="1"/>
  <c r="X381" i="8" s="1"/>
  <c r="AD100" i="8"/>
  <c r="BU82" i="8"/>
  <c r="Z377" i="8"/>
  <c r="Z378" i="8" s="1"/>
  <c r="Z379" i="8" s="1"/>
  <c r="Z380" i="8" s="1"/>
  <c r="Z381" i="8" s="1"/>
  <c r="Z382" i="8" s="1"/>
  <c r="AC191" i="8"/>
  <c r="AE257" i="8"/>
  <c r="BU239" i="8"/>
  <c r="V360" i="8"/>
  <c r="G382" i="8"/>
  <c r="G383" i="8" s="1"/>
  <c r="G384" i="8" s="1"/>
  <c r="G385" i="8" s="1"/>
  <c r="G386" i="8" s="1"/>
  <c r="Y382" i="8"/>
  <c r="BR308" i="8"/>
  <c r="V309" i="8"/>
  <c r="BS307" i="8" s="1"/>
  <c r="BT307" i="8" s="1"/>
  <c r="W377" i="8"/>
  <c r="W378" i="8" s="1"/>
  <c r="W379" i="8" s="1"/>
  <c r="W380" i="8" s="1"/>
  <c r="W381" i="8" s="1"/>
  <c r="W382" i="8" s="1"/>
  <c r="W383" i="8" s="1"/>
  <c r="W384" i="8" s="1"/>
  <c r="W385" i="8" s="1"/>
  <c r="W386" i="8" s="1"/>
  <c r="AC330" i="8"/>
  <c r="AC111" i="8"/>
  <c r="AC262" i="8"/>
  <c r="AA377" i="8"/>
  <c r="AA378" i="8" s="1"/>
  <c r="AA379" i="8" s="1"/>
  <c r="AA380" i="8" s="1"/>
  <c r="AA381" i="8" s="1"/>
  <c r="AA382" i="8" s="1"/>
  <c r="AA383" i="8" s="1"/>
  <c r="AA384" i="8" s="1"/>
  <c r="AA385" i="8" s="1"/>
  <c r="AA386" i="8" s="1"/>
  <c r="AA387" i="8" s="1"/>
  <c r="Y377" i="8"/>
  <c r="Y378" i="8" s="1"/>
  <c r="Y379" i="8" s="1"/>
  <c r="V343" i="8"/>
  <c r="BR342" i="8"/>
  <c r="BR325" i="8"/>
  <c r="V326" i="8"/>
  <c r="BS324" i="8" s="1"/>
  <c r="BT324" i="8" s="1"/>
  <c r="BR376" i="8"/>
  <c r="V377" i="8"/>
  <c r="AO71" i="8"/>
  <c r="BU53" i="8"/>
  <c r="AE186" i="8"/>
  <c r="BU168" i="8"/>
  <c r="Z112" i="6"/>
  <c r="AC79" i="6"/>
  <c r="AO66" i="6"/>
  <c r="BU48" i="6"/>
  <c r="H303" i="6"/>
  <c r="H304" i="6" s="1"/>
  <c r="H305" i="6" s="1"/>
  <c r="H306" i="6" s="1"/>
  <c r="H307" i="6" s="1"/>
  <c r="F27" i="6"/>
  <c r="B28" i="6"/>
  <c r="AQ390" i="9" l="1"/>
  <c r="AQ60" i="9"/>
  <c r="DC59" i="9"/>
  <c r="DD58" i="9"/>
  <c r="DE58" i="9" s="1"/>
  <c r="AS73" i="9"/>
  <c r="DF58" i="9" s="1"/>
  <c r="F35" i="9"/>
  <c r="B36" i="9"/>
  <c r="BR377" i="8"/>
  <c r="V378" i="8"/>
  <c r="BS376" i="8" s="1"/>
  <c r="BT376" i="8" s="1"/>
  <c r="BS375" i="8"/>
  <c r="BT375" i="8" s="1"/>
  <c r="V344" i="8"/>
  <c r="AC263" i="8"/>
  <c r="AC331" i="8"/>
  <c r="AD101" i="8"/>
  <c r="W387" i="8"/>
  <c r="AP386" i="8"/>
  <c r="AP387" i="8" s="1"/>
  <c r="AP388" i="8" s="1"/>
  <c r="AP389" i="8" s="1"/>
  <c r="AP390" i="8" s="1"/>
  <c r="AP391" i="8" s="1"/>
  <c r="AP392" i="8" s="1"/>
  <c r="AP393" i="8" s="1"/>
  <c r="AP394" i="8" s="1"/>
  <c r="AP395" i="8" s="1"/>
  <c r="AP396" i="8" s="1"/>
  <c r="AP397" i="8" s="1"/>
  <c r="AP398" i="8" s="1"/>
  <c r="AP399" i="8" s="1"/>
  <c r="AP400" i="8" s="1"/>
  <c r="AP401" i="8" s="1"/>
  <c r="AP402" i="8" s="1"/>
  <c r="AP403" i="8" s="1"/>
  <c r="AP404" i="8" s="1"/>
  <c r="AP405" i="8" s="1"/>
  <c r="AP406" i="8" s="1"/>
  <c r="AP407" i="8" s="1"/>
  <c r="AP408" i="8" s="1"/>
  <c r="AP409" i="8" s="1"/>
  <c r="AP410" i="8" s="1"/>
  <c r="AP411" i="8" s="1"/>
  <c r="AP412" i="8" s="1"/>
  <c r="AP413" i="8" s="1"/>
  <c r="AP414" i="8" s="1"/>
  <c r="AP415" i="8" s="1"/>
  <c r="AP416" i="8" s="1"/>
  <c r="AP417" i="8" s="1"/>
  <c r="AP418" i="8" s="1"/>
  <c r="AP419" i="8" s="1"/>
  <c r="AP420" i="8" s="1"/>
  <c r="AP421" i="8" s="1"/>
  <c r="Y383" i="8"/>
  <c r="Y384" i="8" s="1"/>
  <c r="Y385" i="8" s="1"/>
  <c r="Y386" i="8" s="1"/>
  <c r="Y387" i="8" s="1"/>
  <c r="V361" i="8"/>
  <c r="AC192" i="8"/>
  <c r="X382" i="8"/>
  <c r="X383" i="8" s="1"/>
  <c r="X384" i="8" s="1"/>
  <c r="AO381" i="8"/>
  <c r="AO382" i="8" s="1"/>
  <c r="AO383" i="8" s="1"/>
  <c r="AO384" i="8" s="1"/>
  <c r="AO385" i="8" s="1"/>
  <c r="AO386" i="8" s="1"/>
  <c r="AO387" i="8" s="1"/>
  <c r="AO388" i="8" s="1"/>
  <c r="AO389" i="8" s="1"/>
  <c r="AO390" i="8" s="1"/>
  <c r="AO391" i="8" s="1"/>
  <c r="AO392" i="8" s="1"/>
  <c r="AO393" i="8" s="1"/>
  <c r="AO394" i="8" s="1"/>
  <c r="AO395" i="8" s="1"/>
  <c r="AO396" i="8" s="1"/>
  <c r="AO397" i="8" s="1"/>
  <c r="AO398" i="8" s="1"/>
  <c r="AO399" i="8" s="1"/>
  <c r="AO400" i="8" s="1"/>
  <c r="AO401" i="8" s="1"/>
  <c r="AO402" i="8" s="1"/>
  <c r="AO403" i="8" s="1"/>
  <c r="AO404" i="8" s="1"/>
  <c r="AO405" i="8" s="1"/>
  <c r="AO406" i="8" s="1"/>
  <c r="AO407" i="8" s="1"/>
  <c r="AO408" i="8" s="1"/>
  <c r="AO409" i="8" s="1"/>
  <c r="AO410" i="8" s="1"/>
  <c r="AO411" i="8" s="1"/>
  <c r="AO412" i="8" s="1"/>
  <c r="AO413" i="8" s="1"/>
  <c r="AO414" i="8" s="1"/>
  <c r="AO415" i="8" s="1"/>
  <c r="AO416" i="8" s="1"/>
  <c r="AO417" i="8" s="1"/>
  <c r="AO418" i="8" s="1"/>
  <c r="AO419" i="8" s="1"/>
  <c r="AO420" i="8" s="1"/>
  <c r="AO421" i="8" s="1"/>
  <c r="AO72" i="8"/>
  <c r="BU54" i="8"/>
  <c r="G387" i="8"/>
  <c r="G388" i="8" s="1"/>
  <c r="G389" i="8" s="1"/>
  <c r="G390" i="8" s="1"/>
  <c r="G391" i="8" s="1"/>
  <c r="X387" i="8"/>
  <c r="X388" i="8" s="1"/>
  <c r="X389" i="8" s="1"/>
  <c r="X390" i="8" s="1"/>
  <c r="X391" i="8" s="1"/>
  <c r="X392" i="8" s="1"/>
  <c r="Z383" i="8"/>
  <c r="Z384" i="8" s="1"/>
  <c r="Z385" i="8" s="1"/>
  <c r="Z386" i="8" s="1"/>
  <c r="Z387" i="8" s="1"/>
  <c r="AC112" i="8"/>
  <c r="AE187" i="8"/>
  <c r="BU169" i="8"/>
  <c r="V327" i="8"/>
  <c r="BR326" i="8"/>
  <c r="BR309" i="8"/>
  <c r="V310" i="8"/>
  <c r="AE258" i="8"/>
  <c r="BU240" i="8"/>
  <c r="D30" i="8"/>
  <c r="E30" i="8"/>
  <c r="Z113" i="6"/>
  <c r="AO67" i="6"/>
  <c r="BU49" i="6"/>
  <c r="AC80" i="6"/>
  <c r="H308" i="6"/>
  <c r="H309" i="6" s="1"/>
  <c r="H310" i="6" s="1"/>
  <c r="H311" i="6" s="1"/>
  <c r="H312" i="6" s="1"/>
  <c r="E28" i="6"/>
  <c r="D28" i="6"/>
  <c r="AQ61" i="9" l="1"/>
  <c r="DC60" i="9"/>
  <c r="DD59" i="9"/>
  <c r="DE59" i="9" s="1"/>
  <c r="AQ391" i="9"/>
  <c r="AS74" i="9"/>
  <c r="DF59" i="9" s="1"/>
  <c r="AA388" i="8"/>
  <c r="AA389" i="8" s="1"/>
  <c r="AA390" i="8" s="1"/>
  <c r="AA391" i="8" s="1"/>
  <c r="AA392" i="8" s="1"/>
  <c r="Z388" i="8"/>
  <c r="Z389" i="8" s="1"/>
  <c r="Z390" i="8" s="1"/>
  <c r="Z391" i="8" s="1"/>
  <c r="Z392" i="8" s="1"/>
  <c r="Y388" i="8"/>
  <c r="Y389" i="8" s="1"/>
  <c r="Y390" i="8" s="1"/>
  <c r="Y391" i="8" s="1"/>
  <c r="Y392" i="8" s="1"/>
  <c r="D36" i="9"/>
  <c r="E36" i="9"/>
  <c r="BR310" i="8"/>
  <c r="B31" i="8"/>
  <c r="F30" i="8"/>
  <c r="BS308" i="8"/>
  <c r="BT308" i="8" s="1"/>
  <c r="AE188" i="8"/>
  <c r="BU170" i="8"/>
  <c r="AO73" i="8"/>
  <c r="BU55" i="8"/>
  <c r="AC193" i="8"/>
  <c r="AD102" i="8"/>
  <c r="AE259" i="8"/>
  <c r="BU241" i="8"/>
  <c r="V328" i="8"/>
  <c r="AC113" i="8"/>
  <c r="G392" i="8"/>
  <c r="G393" i="8" s="1"/>
  <c r="G394" i="8" s="1"/>
  <c r="G395" i="8" s="1"/>
  <c r="G396" i="8" s="1"/>
  <c r="W392" i="8"/>
  <c r="W388" i="8"/>
  <c r="W389" i="8" s="1"/>
  <c r="AC332" i="8"/>
  <c r="BR378" i="8"/>
  <c r="V379" i="8"/>
  <c r="BS377" i="8"/>
  <c r="BT377" i="8" s="1"/>
  <c r="V362" i="8"/>
  <c r="BS360" i="8" s="1"/>
  <c r="BT360" i="8" s="1"/>
  <c r="BR361" i="8"/>
  <c r="AC264" i="8"/>
  <c r="V345" i="8"/>
  <c r="Z114" i="6"/>
  <c r="Z115" i="6" s="1"/>
  <c r="AC81" i="6"/>
  <c r="AO68" i="6"/>
  <c r="AO69" i="6" s="1"/>
  <c r="BU50" i="6"/>
  <c r="F28" i="6"/>
  <c r="B29" i="6"/>
  <c r="H313" i="6"/>
  <c r="H314" i="6" s="1"/>
  <c r="H315" i="6" s="1"/>
  <c r="H316" i="6" s="1"/>
  <c r="H317" i="6" s="1"/>
  <c r="H318" i="6" s="1"/>
  <c r="H319" i="6" s="1"/>
  <c r="H320" i="6" s="1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53" i="6" s="1"/>
  <c r="H354" i="6" s="1"/>
  <c r="H355" i="6" s="1"/>
  <c r="H356" i="6" s="1"/>
  <c r="H357" i="6" s="1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AQ392" i="9" l="1"/>
  <c r="AQ62" i="9"/>
  <c r="DC61" i="9"/>
  <c r="DD60" i="9"/>
  <c r="DE60" i="9" s="1"/>
  <c r="AS75" i="9"/>
  <c r="DF60" i="9" s="1"/>
  <c r="X393" i="8"/>
  <c r="X394" i="8" s="1"/>
  <c r="X395" i="8" s="1"/>
  <c r="X396" i="8" s="1"/>
  <c r="X397" i="8" s="1"/>
  <c r="B37" i="9"/>
  <c r="F36" i="9"/>
  <c r="V329" i="8"/>
  <c r="AE328" i="8"/>
  <c r="AD103" i="8"/>
  <c r="AE189" i="8"/>
  <c r="BU171" i="8"/>
  <c r="Y393" i="8"/>
  <c r="Y394" i="8" s="1"/>
  <c r="Y395" i="8" s="1"/>
  <c r="Y396" i="8" s="1"/>
  <c r="Y397" i="8" s="1"/>
  <c r="AO74" i="8"/>
  <c r="BU56" i="8"/>
  <c r="V346" i="8"/>
  <c r="BR345" i="8"/>
  <c r="AC333" i="8"/>
  <c r="V363" i="8"/>
  <c r="BS361" i="8" s="1"/>
  <c r="BT361" i="8" s="1"/>
  <c r="BR362" i="8"/>
  <c r="BR379" i="8"/>
  <c r="V380" i="8"/>
  <c r="AC114" i="8"/>
  <c r="AC265" i="8"/>
  <c r="AA393" i="8"/>
  <c r="AA394" i="8" s="1"/>
  <c r="AA395" i="8" s="1"/>
  <c r="AA396" i="8" s="1"/>
  <c r="AA397" i="8" s="1"/>
  <c r="W393" i="8"/>
  <c r="W394" i="8" s="1"/>
  <c r="W395" i="8" s="1"/>
  <c r="W396" i="8" s="1"/>
  <c r="W397" i="8" s="1"/>
  <c r="AE260" i="8"/>
  <c r="BU242" i="8"/>
  <c r="Z393" i="8"/>
  <c r="Z394" i="8" s="1"/>
  <c r="Z395" i="8" s="1"/>
  <c r="Z396" i="8" s="1"/>
  <c r="Z397" i="8" s="1"/>
  <c r="G397" i="8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V397" i="8"/>
  <c r="AC194" i="8"/>
  <c r="D31" i="8"/>
  <c r="E31" i="8"/>
  <c r="Z116" i="6"/>
  <c r="AO70" i="6"/>
  <c r="AC82" i="6"/>
  <c r="E29" i="6"/>
  <c r="D29" i="6"/>
  <c r="AQ63" i="9" l="1"/>
  <c r="DD61" i="9"/>
  <c r="DE61" i="9" s="1"/>
  <c r="DC62" i="9"/>
  <c r="AQ393" i="9"/>
  <c r="AS76" i="9"/>
  <c r="DF61" i="9" s="1"/>
  <c r="W398" i="8"/>
  <c r="W399" i="8" s="1"/>
  <c r="W400" i="8" s="1"/>
  <c r="W401" i="8" s="1"/>
  <c r="W402" i="8" s="1"/>
  <c r="W403" i="8" s="1"/>
  <c r="W404" i="8" s="1"/>
  <c r="W405" i="8" s="1"/>
  <c r="W406" i="8" s="1"/>
  <c r="W407" i="8" s="1"/>
  <c r="W408" i="8" s="1"/>
  <c r="W409" i="8" s="1"/>
  <c r="W410" i="8" s="1"/>
  <c r="W411" i="8" s="1"/>
  <c r="W412" i="8" s="1"/>
  <c r="W413" i="8" s="1"/>
  <c r="W414" i="8" s="1"/>
  <c r="W415" i="8" s="1"/>
  <c r="W416" i="8" s="1"/>
  <c r="W417" i="8" s="1"/>
  <c r="W418" i="8" s="1"/>
  <c r="W419" i="8" s="1"/>
  <c r="W420" i="8" s="1"/>
  <c r="W421" i="8" s="1"/>
  <c r="Z398" i="8"/>
  <c r="Z399" i="8" s="1"/>
  <c r="Z400" i="8" s="1"/>
  <c r="Z401" i="8" s="1"/>
  <c r="Z402" i="8" s="1"/>
  <c r="Z403" i="8" s="1"/>
  <c r="Z404" i="8" s="1"/>
  <c r="Z405" i="8" s="1"/>
  <c r="Z406" i="8" s="1"/>
  <c r="Z407" i="8" s="1"/>
  <c r="Z408" i="8" s="1"/>
  <c r="Z409" i="8" s="1"/>
  <c r="Z410" i="8" s="1"/>
  <c r="Z411" i="8" s="1"/>
  <c r="Z412" i="8" s="1"/>
  <c r="Z413" i="8" s="1"/>
  <c r="Z414" i="8" s="1"/>
  <c r="Z415" i="8" s="1"/>
  <c r="Z416" i="8" s="1"/>
  <c r="Z417" i="8" s="1"/>
  <c r="Z418" i="8" s="1"/>
  <c r="Z419" i="8" s="1"/>
  <c r="Z420" i="8" s="1"/>
  <c r="Z421" i="8" s="1"/>
  <c r="AA398" i="8"/>
  <c r="AA399" i="8" s="1"/>
  <c r="AA400" i="8" s="1"/>
  <c r="AA401" i="8" s="1"/>
  <c r="AA402" i="8" s="1"/>
  <c r="AA403" i="8" s="1"/>
  <c r="AA404" i="8" s="1"/>
  <c r="AA405" i="8" s="1"/>
  <c r="AA406" i="8" s="1"/>
  <c r="AA407" i="8" s="1"/>
  <c r="AA408" i="8" s="1"/>
  <c r="AA409" i="8" s="1"/>
  <c r="AA410" i="8" s="1"/>
  <c r="AA411" i="8" s="1"/>
  <c r="AA412" i="8" s="1"/>
  <c r="AA413" i="8" s="1"/>
  <c r="AA414" i="8" s="1"/>
  <c r="AA415" i="8" s="1"/>
  <c r="AA416" i="8" s="1"/>
  <c r="AA417" i="8" s="1"/>
  <c r="AA418" i="8" s="1"/>
  <c r="AA419" i="8" s="1"/>
  <c r="AA420" i="8" s="1"/>
  <c r="AA421" i="8" s="1"/>
  <c r="D37" i="9"/>
  <c r="E37" i="9"/>
  <c r="V347" i="8"/>
  <c r="BS345" i="8" s="1"/>
  <c r="BT345" i="8" s="1"/>
  <c r="BR346" i="8"/>
  <c r="AC115" i="8"/>
  <c r="AC334" i="8"/>
  <c r="AE190" i="8"/>
  <c r="BU172" i="8"/>
  <c r="AC266" i="8"/>
  <c r="AO75" i="8"/>
  <c r="BU57" i="8"/>
  <c r="AE329" i="8"/>
  <c r="B32" i="8"/>
  <c r="F31" i="8"/>
  <c r="V398" i="8"/>
  <c r="BR397" i="8"/>
  <c r="AC195" i="8"/>
  <c r="X398" i="8"/>
  <c r="X399" i="8" s="1"/>
  <c r="X400" i="8" s="1"/>
  <c r="X401" i="8" s="1"/>
  <c r="X402" i="8" s="1"/>
  <c r="X403" i="8" s="1"/>
  <c r="X404" i="8" s="1"/>
  <c r="X405" i="8" s="1"/>
  <c r="X406" i="8" s="1"/>
  <c r="X407" i="8" s="1"/>
  <c r="X408" i="8" s="1"/>
  <c r="X409" i="8" s="1"/>
  <c r="X410" i="8" s="1"/>
  <c r="X411" i="8" s="1"/>
  <c r="X412" i="8" s="1"/>
  <c r="X413" i="8" s="1"/>
  <c r="X414" i="8" s="1"/>
  <c r="X415" i="8" s="1"/>
  <c r="X416" i="8" s="1"/>
  <c r="X417" i="8" s="1"/>
  <c r="X418" i="8" s="1"/>
  <c r="X419" i="8" s="1"/>
  <c r="X420" i="8" s="1"/>
  <c r="X421" i="8" s="1"/>
  <c r="AE261" i="8"/>
  <c r="BU243" i="8"/>
  <c r="V381" i="8"/>
  <c r="V364" i="8"/>
  <c r="BR363" i="8"/>
  <c r="BS344" i="8"/>
  <c r="BT344" i="8" s="1"/>
  <c r="AR397" i="8"/>
  <c r="AR398" i="8" s="1"/>
  <c r="AR399" i="8" s="1"/>
  <c r="AR400" i="8" s="1"/>
  <c r="AR401" i="8" s="1"/>
  <c r="AR402" i="8" s="1"/>
  <c r="AR403" i="8" s="1"/>
  <c r="AR404" i="8" s="1"/>
  <c r="AR405" i="8" s="1"/>
  <c r="AR406" i="8" s="1"/>
  <c r="AR407" i="8" s="1"/>
  <c r="AR408" i="8" s="1"/>
  <c r="AR409" i="8" s="1"/>
  <c r="AR410" i="8" s="1"/>
  <c r="AR411" i="8" s="1"/>
  <c r="AR412" i="8" s="1"/>
  <c r="AR413" i="8" s="1"/>
  <c r="AR414" i="8" s="1"/>
  <c r="AR415" i="8" s="1"/>
  <c r="AR416" i="8" s="1"/>
  <c r="AR417" i="8" s="1"/>
  <c r="AR418" i="8" s="1"/>
  <c r="AR419" i="8" s="1"/>
  <c r="AR420" i="8" s="1"/>
  <c r="AR421" i="8" s="1"/>
  <c r="Y398" i="8"/>
  <c r="Y399" i="8" s="1"/>
  <c r="Y400" i="8" s="1"/>
  <c r="Y401" i="8" s="1"/>
  <c r="Y402" i="8" s="1"/>
  <c r="Y403" i="8" s="1"/>
  <c r="Y404" i="8" s="1"/>
  <c r="Y405" i="8" s="1"/>
  <c r="Y406" i="8" s="1"/>
  <c r="Y407" i="8" s="1"/>
  <c r="Y408" i="8" s="1"/>
  <c r="Y409" i="8" s="1"/>
  <c r="Y410" i="8" s="1"/>
  <c r="Y411" i="8" s="1"/>
  <c r="Y412" i="8" s="1"/>
  <c r="Y413" i="8" s="1"/>
  <c r="Y414" i="8" s="1"/>
  <c r="Y415" i="8" s="1"/>
  <c r="Y416" i="8" s="1"/>
  <c r="Y417" i="8" s="1"/>
  <c r="Y418" i="8" s="1"/>
  <c r="Y419" i="8" s="1"/>
  <c r="Y420" i="8" s="1"/>
  <c r="Y421" i="8" s="1"/>
  <c r="AD104" i="8"/>
  <c r="V330" i="8"/>
  <c r="BS328" i="8"/>
  <c r="BT328" i="8" s="1"/>
  <c r="BR329" i="8"/>
  <c r="Z117" i="6"/>
  <c r="AC83" i="6"/>
  <c r="AO71" i="6"/>
  <c r="F29" i="6"/>
  <c r="B30" i="6"/>
  <c r="AQ394" i="9" l="1"/>
  <c r="AQ64" i="9"/>
  <c r="DD62" i="9"/>
  <c r="DE62" i="9" s="1"/>
  <c r="DC63" i="9"/>
  <c r="AS77" i="9"/>
  <c r="DF62" i="9" s="1"/>
  <c r="B38" i="9"/>
  <c r="F37" i="9"/>
  <c r="AD105" i="8"/>
  <c r="BU87" i="8"/>
  <c r="V365" i="8"/>
  <c r="AC196" i="8"/>
  <c r="V399" i="8"/>
  <c r="BS397" i="8"/>
  <c r="BT397" i="8" s="1"/>
  <c r="BR398" i="8"/>
  <c r="AE330" i="8"/>
  <c r="BU312" i="8"/>
  <c r="AC267" i="8"/>
  <c r="AC335" i="8"/>
  <c r="V331" i="8"/>
  <c r="BS329" i="8" s="1"/>
  <c r="BT329" i="8" s="1"/>
  <c r="BR330" i="8"/>
  <c r="AE262" i="8"/>
  <c r="BU244" i="8"/>
  <c r="V348" i="8"/>
  <c r="BR347" i="8"/>
  <c r="V382" i="8"/>
  <c r="BS396" i="8"/>
  <c r="BT396" i="8" s="1"/>
  <c r="D32" i="8"/>
  <c r="E32" i="8"/>
  <c r="AO76" i="8"/>
  <c r="BU58" i="8"/>
  <c r="AE191" i="8"/>
  <c r="BU173" i="8"/>
  <c r="AC116" i="8"/>
  <c r="Z118" i="6"/>
  <c r="AO72" i="6"/>
  <c r="AC84" i="6"/>
  <c r="E30" i="6"/>
  <c r="D30" i="6"/>
  <c r="AQ65" i="9" l="1"/>
  <c r="DD63" i="9"/>
  <c r="DE63" i="9" s="1"/>
  <c r="DC64" i="9"/>
  <c r="AQ395" i="9"/>
  <c r="AS78" i="9"/>
  <c r="DF63" i="9" s="1"/>
  <c r="D38" i="9"/>
  <c r="E38" i="9"/>
  <c r="AC117" i="8"/>
  <c r="AO77" i="8"/>
  <c r="AO78" i="8" s="1"/>
  <c r="BU59" i="8"/>
  <c r="AC336" i="8"/>
  <c r="AE331" i="8"/>
  <c r="BU313" i="8"/>
  <c r="V366" i="8"/>
  <c r="BR382" i="8"/>
  <c r="V383" i="8"/>
  <c r="BS381" i="8" s="1"/>
  <c r="BT381" i="8" s="1"/>
  <c r="V349" i="8"/>
  <c r="AC197" i="8"/>
  <c r="AC268" i="8"/>
  <c r="AD106" i="8"/>
  <c r="AE192" i="8"/>
  <c r="BU174" i="8"/>
  <c r="B33" i="8"/>
  <c r="F32" i="8"/>
  <c r="BR331" i="8"/>
  <c r="AE263" i="8"/>
  <c r="BU245" i="8"/>
  <c r="V400" i="8"/>
  <c r="BR399" i="8"/>
  <c r="Z119" i="6"/>
  <c r="Z120" i="6" s="1"/>
  <c r="AC85" i="6"/>
  <c r="AO73" i="6"/>
  <c r="AO74" i="6" s="1"/>
  <c r="AO75" i="6" s="1"/>
  <c r="AO76" i="6" s="1"/>
  <c r="AO77" i="6" s="1"/>
  <c r="AO78" i="6" s="1"/>
  <c r="AO79" i="6" s="1"/>
  <c r="AO80" i="6" s="1"/>
  <c r="AO81" i="6" s="1"/>
  <c r="AO82" i="6" s="1"/>
  <c r="AO83" i="6" s="1"/>
  <c r="AO84" i="6" s="1"/>
  <c r="AO85" i="6" s="1"/>
  <c r="AO86" i="6" s="1"/>
  <c r="AO87" i="6" s="1"/>
  <c r="AO88" i="6" s="1"/>
  <c r="AO89" i="6" s="1"/>
  <c r="AO90" i="6" s="1"/>
  <c r="AO91" i="6" s="1"/>
  <c r="AO92" i="6" s="1"/>
  <c r="AO93" i="6" s="1"/>
  <c r="AO94" i="6" s="1"/>
  <c r="AO95" i="6" s="1"/>
  <c r="AO96" i="6" s="1"/>
  <c r="AO97" i="6" s="1"/>
  <c r="AO98" i="6" s="1"/>
  <c r="AO99" i="6" s="1"/>
  <c r="AO100" i="6" s="1"/>
  <c r="AO101" i="6" s="1"/>
  <c r="AO102" i="6" s="1"/>
  <c r="AO103" i="6" s="1"/>
  <c r="AO104" i="6" s="1"/>
  <c r="AO105" i="6" s="1"/>
  <c r="AO106" i="6" s="1"/>
  <c r="AO107" i="6" s="1"/>
  <c r="AO108" i="6" s="1"/>
  <c r="AO109" i="6" s="1"/>
  <c r="AO110" i="6" s="1"/>
  <c r="AO111" i="6" s="1"/>
  <c r="AO112" i="6" s="1"/>
  <c r="AO113" i="6" s="1"/>
  <c r="AO114" i="6" s="1"/>
  <c r="AO115" i="6" s="1"/>
  <c r="AO116" i="6" s="1"/>
  <c r="AO117" i="6" s="1"/>
  <c r="AO118" i="6" s="1"/>
  <c r="AO119" i="6" s="1"/>
  <c r="AO120" i="6" s="1"/>
  <c r="AO121" i="6" s="1"/>
  <c r="AO122" i="6" s="1"/>
  <c r="AO123" i="6" s="1"/>
  <c r="AO124" i="6" s="1"/>
  <c r="AO125" i="6" s="1"/>
  <c r="F30" i="6"/>
  <c r="B31" i="6"/>
  <c r="AQ396" i="9" l="1"/>
  <c r="AQ66" i="9"/>
  <c r="DC65" i="9"/>
  <c r="DD64" i="9"/>
  <c r="DE64" i="9" s="1"/>
  <c r="AS79" i="9"/>
  <c r="DF64" i="9" s="1"/>
  <c r="B39" i="9"/>
  <c r="F38" i="9"/>
  <c r="V401" i="8"/>
  <c r="BS399" i="8" s="1"/>
  <c r="BT399" i="8" s="1"/>
  <c r="BR400" i="8"/>
  <c r="AE264" i="8"/>
  <c r="BU246" i="8"/>
  <c r="D33" i="8"/>
  <c r="E33" i="8"/>
  <c r="AD107" i="8"/>
  <c r="AC198" i="8"/>
  <c r="AC269" i="8"/>
  <c r="BS398" i="8"/>
  <c r="BT398" i="8" s="1"/>
  <c r="BR383" i="8"/>
  <c r="V384" i="8"/>
  <c r="V367" i="8"/>
  <c r="BS365" i="8" s="1"/>
  <c r="BT365" i="8" s="1"/>
  <c r="BR366" i="8"/>
  <c r="AC337" i="8"/>
  <c r="AC118" i="8"/>
  <c r="AE193" i="8"/>
  <c r="BU175" i="8"/>
  <c r="V350" i="8"/>
  <c r="AI349" i="8"/>
  <c r="AI350" i="8" s="1"/>
  <c r="AI351" i="8" s="1"/>
  <c r="AI352" i="8" s="1"/>
  <c r="AI353" i="8" s="1"/>
  <c r="AI354" i="8" s="1"/>
  <c r="AI355" i="8" s="1"/>
  <c r="AI356" i="8" s="1"/>
  <c r="AI357" i="8" s="1"/>
  <c r="AI358" i="8" s="1"/>
  <c r="AI359" i="8" s="1"/>
  <c r="AI360" i="8" s="1"/>
  <c r="AI361" i="8" s="1"/>
  <c r="AI362" i="8" s="1"/>
  <c r="AI363" i="8" s="1"/>
  <c r="AI364" i="8" s="1"/>
  <c r="AI365" i="8" s="1"/>
  <c r="AI366" i="8" s="1"/>
  <c r="AI367" i="8" s="1"/>
  <c r="AI368" i="8" s="1"/>
  <c r="AI369" i="8" s="1"/>
  <c r="AI370" i="8" s="1"/>
  <c r="AI371" i="8" s="1"/>
  <c r="AI372" i="8" s="1"/>
  <c r="AI373" i="8" s="1"/>
  <c r="AI374" i="8" s="1"/>
  <c r="AI375" i="8" s="1"/>
  <c r="AI376" i="8" s="1"/>
  <c r="AI377" i="8" s="1"/>
  <c r="AI378" i="8" s="1"/>
  <c r="AI379" i="8" s="1"/>
  <c r="AI380" i="8" s="1"/>
  <c r="AI381" i="8" s="1"/>
  <c r="AI382" i="8" s="1"/>
  <c r="AI383" i="8" s="1"/>
  <c r="AI384" i="8" s="1"/>
  <c r="AI385" i="8" s="1"/>
  <c r="AI386" i="8" s="1"/>
  <c r="AI387" i="8" s="1"/>
  <c r="AI388" i="8" s="1"/>
  <c r="AI389" i="8" s="1"/>
  <c r="AI390" i="8" s="1"/>
  <c r="AI391" i="8" s="1"/>
  <c r="AI392" i="8" s="1"/>
  <c r="AI393" i="8" s="1"/>
  <c r="AI394" i="8" s="1"/>
  <c r="AI395" i="8" s="1"/>
  <c r="AI396" i="8" s="1"/>
  <c r="AI397" i="8" s="1"/>
  <c r="AI398" i="8" s="1"/>
  <c r="AI399" i="8" s="1"/>
  <c r="AI400" i="8" s="1"/>
  <c r="AI401" i="8" s="1"/>
  <c r="AI402" i="8" s="1"/>
  <c r="AI403" i="8" s="1"/>
  <c r="AI404" i="8" s="1"/>
  <c r="AI405" i="8" s="1"/>
  <c r="AI406" i="8" s="1"/>
  <c r="AI407" i="8" s="1"/>
  <c r="AI408" i="8" s="1"/>
  <c r="AI409" i="8" s="1"/>
  <c r="AI410" i="8" s="1"/>
  <c r="AI411" i="8" s="1"/>
  <c r="AI412" i="8" s="1"/>
  <c r="AI413" i="8" s="1"/>
  <c r="AI414" i="8" s="1"/>
  <c r="AI415" i="8" s="1"/>
  <c r="AI416" i="8" s="1"/>
  <c r="AI417" i="8" s="1"/>
  <c r="AI418" i="8" s="1"/>
  <c r="AI419" i="8" s="1"/>
  <c r="AI420" i="8" s="1"/>
  <c r="AI421" i="8" s="1"/>
  <c r="AE332" i="8"/>
  <c r="BU314" i="8"/>
  <c r="AO79" i="8"/>
  <c r="BU61" i="8"/>
  <c r="Z121" i="6"/>
  <c r="AC86" i="6"/>
  <c r="E31" i="6"/>
  <c r="D31" i="6"/>
  <c r="AQ67" i="9" l="1"/>
  <c r="DC66" i="9"/>
  <c r="DD65" i="9"/>
  <c r="DE65" i="9" s="1"/>
  <c r="AQ397" i="9"/>
  <c r="AS80" i="9"/>
  <c r="DF65" i="9" s="1"/>
  <c r="D39" i="9"/>
  <c r="E39" i="9"/>
  <c r="BR384" i="8"/>
  <c r="V385" i="8"/>
  <c r="AC270" i="8"/>
  <c r="AD108" i="8"/>
  <c r="AE265" i="8"/>
  <c r="BU247" i="8"/>
  <c r="AE333" i="8"/>
  <c r="BU315" i="8"/>
  <c r="V351" i="8"/>
  <c r="BR350" i="8"/>
  <c r="AC119" i="8"/>
  <c r="AC199" i="8"/>
  <c r="B34" i="8"/>
  <c r="F33" i="8"/>
  <c r="V368" i="8"/>
  <c r="BS366" i="8" s="1"/>
  <c r="BT366" i="8" s="1"/>
  <c r="BR367" i="8"/>
  <c r="AO80" i="8"/>
  <c r="BU62" i="8"/>
  <c r="AE194" i="8"/>
  <c r="BU176" i="8"/>
  <c r="AC338" i="8"/>
  <c r="BS382" i="8"/>
  <c r="BT382" i="8" s="1"/>
  <c r="V402" i="8"/>
  <c r="BR401" i="8"/>
  <c r="Z122" i="6"/>
  <c r="AC87" i="6"/>
  <c r="F31" i="6"/>
  <c r="B32" i="6"/>
  <c r="AQ398" i="9" l="1"/>
  <c r="AQ68" i="9"/>
  <c r="DD66" i="9" s="1"/>
  <c r="DE66" i="9" s="1"/>
  <c r="DC67" i="9"/>
  <c r="AS81" i="9"/>
  <c r="DF66" i="9" s="1"/>
  <c r="B40" i="9"/>
  <c r="F39" i="9"/>
  <c r="V352" i="8"/>
  <c r="BS350" i="8"/>
  <c r="BT350" i="8" s="1"/>
  <c r="BR351" i="8"/>
  <c r="V403" i="8"/>
  <c r="BS401" i="8" s="1"/>
  <c r="BT401" i="8" s="1"/>
  <c r="BR402" i="8"/>
  <c r="AO81" i="8"/>
  <c r="AO82" i="8" s="1"/>
  <c r="BU63" i="8"/>
  <c r="AC120" i="8"/>
  <c r="AE195" i="8"/>
  <c r="BU177" i="8"/>
  <c r="AE334" i="8"/>
  <c r="BU316" i="8"/>
  <c r="AD109" i="8"/>
  <c r="BU91" i="8"/>
  <c r="V386" i="8"/>
  <c r="AC339" i="8"/>
  <c r="AE266" i="8"/>
  <c r="BU248" i="8"/>
  <c r="AC271" i="8"/>
  <c r="D34" i="8"/>
  <c r="E34" i="8"/>
  <c r="BS400" i="8"/>
  <c r="BT400" i="8" s="1"/>
  <c r="V369" i="8"/>
  <c r="BR368" i="8"/>
  <c r="AC200" i="8"/>
  <c r="BS349" i="8"/>
  <c r="BT349" i="8" s="1"/>
  <c r="Z123" i="6"/>
  <c r="AC88" i="6"/>
  <c r="E32" i="6"/>
  <c r="D32" i="6"/>
  <c r="AQ69" i="9" l="1"/>
  <c r="DC68" i="9"/>
  <c r="DD67" i="9"/>
  <c r="DE67" i="9" s="1"/>
  <c r="AQ399" i="9"/>
  <c r="AS82" i="9"/>
  <c r="DF67" i="9" s="1"/>
  <c r="E40" i="9"/>
  <c r="D40" i="9"/>
  <c r="AC272" i="8"/>
  <c r="AC340" i="8"/>
  <c r="V404" i="8"/>
  <c r="BS402" i="8" s="1"/>
  <c r="BT402" i="8" s="1"/>
  <c r="BR403" i="8"/>
  <c r="AC201" i="8"/>
  <c r="AD110" i="8"/>
  <c r="AE196" i="8"/>
  <c r="BU178" i="8"/>
  <c r="AO83" i="8"/>
  <c r="BU65" i="8"/>
  <c r="B35" i="8"/>
  <c r="F34" i="8"/>
  <c r="AE267" i="8"/>
  <c r="BU249" i="8"/>
  <c r="V387" i="8"/>
  <c r="V370" i="8"/>
  <c r="AE335" i="8"/>
  <c r="BU317" i="8"/>
  <c r="AC121" i="8"/>
  <c r="BR352" i="8"/>
  <c r="Z124" i="6"/>
  <c r="AC89" i="6"/>
  <c r="F32" i="6"/>
  <c r="B33" i="6"/>
  <c r="AQ400" i="9" l="1"/>
  <c r="BG399" i="9"/>
  <c r="BG400" i="9" s="1"/>
  <c r="BG401" i="9" s="1"/>
  <c r="BG402" i="9" s="1"/>
  <c r="BG403" i="9" s="1"/>
  <c r="BG404" i="9" s="1"/>
  <c r="BG405" i="9" s="1"/>
  <c r="BG406" i="9" s="1"/>
  <c r="BG407" i="9" s="1"/>
  <c r="BG408" i="9" s="1"/>
  <c r="BG409" i="9" s="1"/>
  <c r="BG410" i="9" s="1"/>
  <c r="BG411" i="9" s="1"/>
  <c r="BG412" i="9" s="1"/>
  <c r="BG413" i="9" s="1"/>
  <c r="BG414" i="9" s="1"/>
  <c r="BG415" i="9" s="1"/>
  <c r="BG416" i="9" s="1"/>
  <c r="BG417" i="9" s="1"/>
  <c r="BG418" i="9" s="1"/>
  <c r="BG419" i="9" s="1"/>
  <c r="BG420" i="9" s="1"/>
  <c r="BG421" i="9" s="1"/>
  <c r="BG422" i="9" s="1"/>
  <c r="BG423" i="9" s="1"/>
  <c r="BG424" i="9" s="1"/>
  <c r="BG425" i="9" s="1"/>
  <c r="BG426" i="9" s="1"/>
  <c r="BG427" i="9" s="1"/>
  <c r="BG428" i="9" s="1"/>
  <c r="BG429" i="9" s="1"/>
  <c r="BG430" i="9" s="1"/>
  <c r="BG431" i="9" s="1"/>
  <c r="BG432" i="9" s="1"/>
  <c r="BG433" i="9" s="1"/>
  <c r="BG434" i="9" s="1"/>
  <c r="BG435" i="9" s="1"/>
  <c r="BG436" i="9" s="1"/>
  <c r="BG437" i="9" s="1"/>
  <c r="BG438" i="9" s="1"/>
  <c r="BG439" i="9" s="1"/>
  <c r="BG440" i="9" s="1"/>
  <c r="BG441" i="9" s="1"/>
  <c r="BG442" i="9" s="1"/>
  <c r="BG443" i="9" s="1"/>
  <c r="BG444" i="9" s="1"/>
  <c r="BG445" i="9" s="1"/>
  <c r="BG446" i="9" s="1"/>
  <c r="BG447" i="9" s="1"/>
  <c r="BG448" i="9" s="1"/>
  <c r="BG449" i="9" s="1"/>
  <c r="BG450" i="9" s="1"/>
  <c r="BG451" i="9" s="1"/>
  <c r="BG452" i="9" s="1"/>
  <c r="BG453" i="9" s="1"/>
  <c r="BG454" i="9" s="1"/>
  <c r="BG455" i="9" s="1"/>
  <c r="BG456" i="9" s="1"/>
  <c r="BG457" i="9" s="1"/>
  <c r="BG458" i="9" s="1"/>
  <c r="BG459" i="9" s="1"/>
  <c r="BG460" i="9" s="1"/>
  <c r="BG461" i="9" s="1"/>
  <c r="BG462" i="9" s="1"/>
  <c r="BG463" i="9" s="1"/>
  <c r="BG464" i="9" s="1"/>
  <c r="BG465" i="9" s="1"/>
  <c r="BG466" i="9" s="1"/>
  <c r="BG467" i="9" s="1"/>
  <c r="BG468" i="9" s="1"/>
  <c r="BG469" i="9" s="1"/>
  <c r="BG470" i="9" s="1"/>
  <c r="BG471" i="9" s="1"/>
  <c r="BG472" i="9" s="1"/>
  <c r="BG473" i="9" s="1"/>
  <c r="BG474" i="9" s="1"/>
  <c r="BG475" i="9" s="1"/>
  <c r="BG476" i="9" s="1"/>
  <c r="BG477" i="9" s="1"/>
  <c r="BG478" i="9" s="1"/>
  <c r="BG479" i="9" s="1"/>
  <c r="BG480" i="9" s="1"/>
  <c r="BG481" i="9" s="1"/>
  <c r="BG482" i="9" s="1"/>
  <c r="BG483" i="9" s="1"/>
  <c r="BG484" i="9" s="1"/>
  <c r="BG485" i="9" s="1"/>
  <c r="BG486" i="9" s="1"/>
  <c r="BG487" i="9" s="1"/>
  <c r="BG488" i="9" s="1"/>
  <c r="BG489" i="9" s="1"/>
  <c r="BG490" i="9" s="1"/>
  <c r="BG491" i="9" s="1"/>
  <c r="BG492" i="9" s="1"/>
  <c r="BG493" i="9" s="1"/>
  <c r="BG494" i="9" s="1"/>
  <c r="BG495" i="9" s="1"/>
  <c r="BG496" i="9" s="1"/>
  <c r="BG497" i="9" s="1"/>
  <c r="BG498" i="9" s="1"/>
  <c r="BG499" i="9" s="1"/>
  <c r="BG500" i="9" s="1"/>
  <c r="BG501" i="9" s="1"/>
  <c r="BG502" i="9" s="1"/>
  <c r="BG503" i="9" s="1"/>
  <c r="BG504" i="9" s="1"/>
  <c r="BG505" i="9" s="1"/>
  <c r="BG506" i="9" s="1"/>
  <c r="BG507" i="9" s="1"/>
  <c r="BG508" i="9" s="1"/>
  <c r="BG509" i="9" s="1"/>
  <c r="BG510" i="9" s="1"/>
  <c r="BG511" i="9" s="1"/>
  <c r="BG512" i="9" s="1"/>
  <c r="BG513" i="9" s="1"/>
  <c r="BG514" i="9" s="1"/>
  <c r="BG515" i="9" s="1"/>
  <c r="BG516" i="9" s="1"/>
  <c r="BG517" i="9" s="1"/>
  <c r="BG518" i="9" s="1"/>
  <c r="BG519" i="9" s="1"/>
  <c r="BG520" i="9" s="1"/>
  <c r="BG521" i="9" s="1"/>
  <c r="BG522" i="9" s="1"/>
  <c r="BG523" i="9" s="1"/>
  <c r="BG524" i="9" s="1"/>
  <c r="BG525" i="9" s="1"/>
  <c r="BG526" i="9" s="1"/>
  <c r="BG527" i="9" s="1"/>
  <c r="BG528" i="9" s="1"/>
  <c r="BG529" i="9" s="1"/>
  <c r="BG530" i="9" s="1"/>
  <c r="BG531" i="9" s="1"/>
  <c r="BG532" i="9" s="1"/>
  <c r="BG533" i="9" s="1"/>
  <c r="BG534" i="9" s="1"/>
  <c r="BG535" i="9" s="1"/>
  <c r="BG536" i="9" s="1"/>
  <c r="BG537" i="9" s="1"/>
  <c r="BG538" i="9" s="1"/>
  <c r="BG539" i="9" s="1"/>
  <c r="BG540" i="9" s="1"/>
  <c r="BG541" i="9" s="1"/>
  <c r="BG542" i="9" s="1"/>
  <c r="BG543" i="9" s="1"/>
  <c r="BG544" i="9" s="1"/>
  <c r="BG545" i="9" s="1"/>
  <c r="BG546" i="9" s="1"/>
  <c r="BG547" i="9" s="1"/>
  <c r="BG548" i="9" s="1"/>
  <c r="BG549" i="9" s="1"/>
  <c r="BG550" i="9" s="1"/>
  <c r="BG551" i="9" s="1"/>
  <c r="BG552" i="9" s="1"/>
  <c r="BG553" i="9" s="1"/>
  <c r="BG554" i="9" s="1"/>
  <c r="BG555" i="9" s="1"/>
  <c r="BG556" i="9" s="1"/>
  <c r="BG557" i="9" s="1"/>
  <c r="BG558" i="9" s="1"/>
  <c r="BG559" i="9" s="1"/>
  <c r="BG560" i="9" s="1"/>
  <c r="BG561" i="9" s="1"/>
  <c r="BG562" i="9" s="1"/>
  <c r="BG563" i="9" s="1"/>
  <c r="BG564" i="9" s="1"/>
  <c r="BG565" i="9" s="1"/>
  <c r="BG566" i="9" s="1"/>
  <c r="BG567" i="9" s="1"/>
  <c r="BG568" i="9" s="1"/>
  <c r="BG569" i="9" s="1"/>
  <c r="BG570" i="9" s="1"/>
  <c r="BG571" i="9" s="1"/>
  <c r="BG572" i="9" s="1"/>
  <c r="BG573" i="9" s="1"/>
  <c r="BG574" i="9" s="1"/>
  <c r="BG575" i="9" s="1"/>
  <c r="BG576" i="9" s="1"/>
  <c r="BG577" i="9" s="1"/>
  <c r="BG578" i="9" s="1"/>
  <c r="BG579" i="9" s="1"/>
  <c r="BG580" i="9" s="1"/>
  <c r="BG581" i="9" s="1"/>
  <c r="BG582" i="9" s="1"/>
  <c r="BG583" i="9" s="1"/>
  <c r="BG584" i="9" s="1"/>
  <c r="BG585" i="9" s="1"/>
  <c r="BG586" i="9" s="1"/>
  <c r="BG587" i="9" s="1"/>
  <c r="BG588" i="9" s="1"/>
  <c r="BG589" i="9" s="1"/>
  <c r="BG590" i="9" s="1"/>
  <c r="BG591" i="9" s="1"/>
  <c r="BG592" i="9" s="1"/>
  <c r="BG593" i="9" s="1"/>
  <c r="BG594" i="9" s="1"/>
  <c r="BG595" i="9" s="1"/>
  <c r="BG596" i="9" s="1"/>
  <c r="BG597" i="9" s="1"/>
  <c r="BG598" i="9" s="1"/>
  <c r="BG599" i="9" s="1"/>
  <c r="BG600" i="9" s="1"/>
  <c r="BG601" i="9" s="1"/>
  <c r="BG602" i="9" s="1"/>
  <c r="BG603" i="9" s="1"/>
  <c r="BG604" i="9" s="1"/>
  <c r="BG605" i="9" s="1"/>
  <c r="BG606" i="9" s="1"/>
  <c r="BG607" i="9" s="1"/>
  <c r="BG608" i="9" s="1"/>
  <c r="BG609" i="9" s="1"/>
  <c r="BG610" i="9" s="1"/>
  <c r="BG611" i="9" s="1"/>
  <c r="BG612" i="9" s="1"/>
  <c r="BG613" i="9" s="1"/>
  <c r="BG614" i="9" s="1"/>
  <c r="BG615" i="9" s="1"/>
  <c r="BG616" i="9" s="1"/>
  <c r="BG617" i="9" s="1"/>
  <c r="BG618" i="9" s="1"/>
  <c r="BG619" i="9" s="1"/>
  <c r="BG620" i="9" s="1"/>
  <c r="BG621" i="9" s="1"/>
  <c r="BG622" i="9" s="1"/>
  <c r="BG623" i="9" s="1"/>
  <c r="BG624" i="9" s="1"/>
  <c r="BG625" i="9" s="1"/>
  <c r="BG626" i="9" s="1"/>
  <c r="BG627" i="9" s="1"/>
  <c r="BG628" i="9" s="1"/>
  <c r="BG629" i="9" s="1"/>
  <c r="BG630" i="9" s="1"/>
  <c r="BG631" i="9" s="1"/>
  <c r="BG632" i="9" s="1"/>
  <c r="BG633" i="9" s="1"/>
  <c r="BG634" i="9" s="1"/>
  <c r="BG635" i="9" s="1"/>
  <c r="BG636" i="9" s="1"/>
  <c r="BG637" i="9" s="1"/>
  <c r="BG638" i="9" s="1"/>
  <c r="BG639" i="9" s="1"/>
  <c r="BG640" i="9" s="1"/>
  <c r="BG641" i="9" s="1"/>
  <c r="BG642" i="9" s="1"/>
  <c r="BG643" i="9" s="1"/>
  <c r="BG644" i="9" s="1"/>
  <c r="BG645" i="9" s="1"/>
  <c r="BG646" i="9" s="1"/>
  <c r="BG647" i="9" s="1"/>
  <c r="BG648" i="9" s="1"/>
  <c r="BG649" i="9" s="1"/>
  <c r="BG650" i="9" s="1"/>
  <c r="BG651" i="9" s="1"/>
  <c r="BG652" i="9" s="1"/>
  <c r="BG653" i="9" s="1"/>
  <c r="BG654" i="9" s="1"/>
  <c r="BG655" i="9" s="1"/>
  <c r="BG656" i="9" s="1"/>
  <c r="BG657" i="9" s="1"/>
  <c r="BG658" i="9" s="1"/>
  <c r="BG659" i="9" s="1"/>
  <c r="BG660" i="9" s="1"/>
  <c r="BG661" i="9" s="1"/>
  <c r="BG662" i="9" s="1"/>
  <c r="BG663" i="9" s="1"/>
  <c r="BG664" i="9" s="1"/>
  <c r="BG665" i="9" s="1"/>
  <c r="BG666" i="9" s="1"/>
  <c r="BG667" i="9" s="1"/>
  <c r="BG668" i="9" s="1"/>
  <c r="BG669" i="9" s="1"/>
  <c r="BG670" i="9" s="1"/>
  <c r="BG671" i="9" s="1"/>
  <c r="BG672" i="9" s="1"/>
  <c r="BG673" i="9" s="1"/>
  <c r="BG674" i="9" s="1"/>
  <c r="BG675" i="9" s="1"/>
  <c r="BG676" i="9" s="1"/>
  <c r="BG677" i="9" s="1"/>
  <c r="BG678" i="9" s="1"/>
  <c r="BG679" i="9" s="1"/>
  <c r="BG680" i="9" s="1"/>
  <c r="BG681" i="9" s="1"/>
  <c r="BG682" i="9" s="1"/>
  <c r="BG683" i="9" s="1"/>
  <c r="BG684" i="9" s="1"/>
  <c r="BG685" i="9" s="1"/>
  <c r="BH399" i="9"/>
  <c r="BH400" i="9" s="1"/>
  <c r="BH401" i="9" s="1"/>
  <c r="BH402" i="9" s="1"/>
  <c r="BH403" i="9" s="1"/>
  <c r="BH404" i="9" s="1"/>
  <c r="BH405" i="9" s="1"/>
  <c r="BH406" i="9" s="1"/>
  <c r="BH407" i="9" s="1"/>
  <c r="BH408" i="9" s="1"/>
  <c r="BH409" i="9" s="1"/>
  <c r="BH410" i="9" s="1"/>
  <c r="BH411" i="9" s="1"/>
  <c r="BH412" i="9" s="1"/>
  <c r="BH413" i="9" s="1"/>
  <c r="BH414" i="9" s="1"/>
  <c r="BH415" i="9" s="1"/>
  <c r="BH416" i="9" s="1"/>
  <c r="BH417" i="9" s="1"/>
  <c r="BH418" i="9" s="1"/>
  <c r="BH419" i="9" s="1"/>
  <c r="BH420" i="9" s="1"/>
  <c r="BH421" i="9" s="1"/>
  <c r="BH422" i="9" s="1"/>
  <c r="BH423" i="9" s="1"/>
  <c r="BH424" i="9" s="1"/>
  <c r="BH425" i="9" s="1"/>
  <c r="BH426" i="9" s="1"/>
  <c r="BH427" i="9" s="1"/>
  <c r="BH428" i="9" s="1"/>
  <c r="BH429" i="9" s="1"/>
  <c r="BH430" i="9" s="1"/>
  <c r="BH431" i="9" s="1"/>
  <c r="BH432" i="9" s="1"/>
  <c r="BH433" i="9" s="1"/>
  <c r="BH434" i="9" s="1"/>
  <c r="BH435" i="9" s="1"/>
  <c r="BH436" i="9" s="1"/>
  <c r="BH437" i="9" s="1"/>
  <c r="BH438" i="9" s="1"/>
  <c r="BH439" i="9" s="1"/>
  <c r="BH440" i="9" s="1"/>
  <c r="BH441" i="9" s="1"/>
  <c r="BH442" i="9" s="1"/>
  <c r="BH443" i="9" s="1"/>
  <c r="BH444" i="9" s="1"/>
  <c r="BH445" i="9" s="1"/>
  <c r="BH446" i="9" s="1"/>
  <c r="BH447" i="9" s="1"/>
  <c r="BH448" i="9" s="1"/>
  <c r="BH449" i="9" s="1"/>
  <c r="BH450" i="9" s="1"/>
  <c r="BH451" i="9" s="1"/>
  <c r="BH452" i="9" s="1"/>
  <c r="BH453" i="9" s="1"/>
  <c r="BH454" i="9" s="1"/>
  <c r="BH455" i="9" s="1"/>
  <c r="BH456" i="9" s="1"/>
  <c r="BH457" i="9" s="1"/>
  <c r="BH458" i="9" s="1"/>
  <c r="BH459" i="9" s="1"/>
  <c r="BH460" i="9" s="1"/>
  <c r="BH461" i="9" s="1"/>
  <c r="BH462" i="9" s="1"/>
  <c r="BH463" i="9" s="1"/>
  <c r="BH464" i="9" s="1"/>
  <c r="BH465" i="9" s="1"/>
  <c r="BH466" i="9" s="1"/>
  <c r="BH467" i="9" s="1"/>
  <c r="BH468" i="9" s="1"/>
  <c r="BH469" i="9" s="1"/>
  <c r="BH470" i="9" s="1"/>
  <c r="BH471" i="9" s="1"/>
  <c r="BH472" i="9" s="1"/>
  <c r="BH473" i="9" s="1"/>
  <c r="BH474" i="9" s="1"/>
  <c r="BH475" i="9" s="1"/>
  <c r="BH476" i="9" s="1"/>
  <c r="BH477" i="9" s="1"/>
  <c r="BH478" i="9" s="1"/>
  <c r="BH479" i="9" s="1"/>
  <c r="BH480" i="9" s="1"/>
  <c r="BH481" i="9" s="1"/>
  <c r="BH482" i="9" s="1"/>
  <c r="BH483" i="9" s="1"/>
  <c r="BH484" i="9" s="1"/>
  <c r="BH485" i="9" s="1"/>
  <c r="BH486" i="9" s="1"/>
  <c r="BH487" i="9" s="1"/>
  <c r="BH488" i="9" s="1"/>
  <c r="BH489" i="9" s="1"/>
  <c r="BH490" i="9" s="1"/>
  <c r="BH491" i="9" s="1"/>
  <c r="BH492" i="9" s="1"/>
  <c r="BH493" i="9" s="1"/>
  <c r="BH494" i="9" s="1"/>
  <c r="BH495" i="9" s="1"/>
  <c r="BH496" i="9" s="1"/>
  <c r="BH497" i="9" s="1"/>
  <c r="BH498" i="9" s="1"/>
  <c r="BH499" i="9" s="1"/>
  <c r="BH500" i="9" s="1"/>
  <c r="BH501" i="9" s="1"/>
  <c r="BH502" i="9" s="1"/>
  <c r="BH503" i="9" s="1"/>
  <c r="BH504" i="9" s="1"/>
  <c r="BH505" i="9" s="1"/>
  <c r="BH506" i="9" s="1"/>
  <c r="BH507" i="9" s="1"/>
  <c r="BH508" i="9" s="1"/>
  <c r="BH509" i="9" s="1"/>
  <c r="BH510" i="9" s="1"/>
  <c r="BH511" i="9" s="1"/>
  <c r="BH512" i="9" s="1"/>
  <c r="BH513" i="9" s="1"/>
  <c r="BH514" i="9" s="1"/>
  <c r="BH515" i="9" s="1"/>
  <c r="BH516" i="9" s="1"/>
  <c r="BH517" i="9" s="1"/>
  <c r="BH518" i="9" s="1"/>
  <c r="BH519" i="9" s="1"/>
  <c r="BH520" i="9" s="1"/>
  <c r="BH521" i="9" s="1"/>
  <c r="BH522" i="9" s="1"/>
  <c r="BH523" i="9" s="1"/>
  <c r="BH524" i="9" s="1"/>
  <c r="BH525" i="9" s="1"/>
  <c r="BH526" i="9" s="1"/>
  <c r="BH527" i="9" s="1"/>
  <c r="BH528" i="9" s="1"/>
  <c r="BH529" i="9" s="1"/>
  <c r="BH530" i="9" s="1"/>
  <c r="BH531" i="9" s="1"/>
  <c r="BH532" i="9" s="1"/>
  <c r="BH533" i="9" s="1"/>
  <c r="BH534" i="9" s="1"/>
  <c r="BH535" i="9" s="1"/>
  <c r="BH536" i="9" s="1"/>
  <c r="BH537" i="9" s="1"/>
  <c r="BH538" i="9" s="1"/>
  <c r="BH539" i="9" s="1"/>
  <c r="BH540" i="9" s="1"/>
  <c r="BH541" i="9" s="1"/>
  <c r="BH542" i="9" s="1"/>
  <c r="BH543" i="9" s="1"/>
  <c r="BH544" i="9" s="1"/>
  <c r="BH545" i="9" s="1"/>
  <c r="BH546" i="9" s="1"/>
  <c r="BH547" i="9" s="1"/>
  <c r="BH548" i="9" s="1"/>
  <c r="BH549" i="9" s="1"/>
  <c r="BH550" i="9" s="1"/>
  <c r="BH551" i="9" s="1"/>
  <c r="BH552" i="9" s="1"/>
  <c r="BH553" i="9" s="1"/>
  <c r="BH554" i="9" s="1"/>
  <c r="BH555" i="9" s="1"/>
  <c r="BH556" i="9" s="1"/>
  <c r="BH557" i="9" s="1"/>
  <c r="BH558" i="9" s="1"/>
  <c r="BH559" i="9" s="1"/>
  <c r="BH560" i="9" s="1"/>
  <c r="BH561" i="9" s="1"/>
  <c r="BH562" i="9" s="1"/>
  <c r="BH563" i="9" s="1"/>
  <c r="BH564" i="9" s="1"/>
  <c r="BH565" i="9" s="1"/>
  <c r="BH566" i="9" s="1"/>
  <c r="BH567" i="9" s="1"/>
  <c r="BH568" i="9" s="1"/>
  <c r="BH569" i="9" s="1"/>
  <c r="BH570" i="9" s="1"/>
  <c r="BH571" i="9" s="1"/>
  <c r="BH572" i="9" s="1"/>
  <c r="BH573" i="9" s="1"/>
  <c r="BH574" i="9" s="1"/>
  <c r="BH575" i="9" s="1"/>
  <c r="BH576" i="9" s="1"/>
  <c r="BH577" i="9" s="1"/>
  <c r="BH578" i="9" s="1"/>
  <c r="BH579" i="9" s="1"/>
  <c r="BH580" i="9" s="1"/>
  <c r="BH581" i="9" s="1"/>
  <c r="BH582" i="9" s="1"/>
  <c r="BH583" i="9" s="1"/>
  <c r="BH584" i="9" s="1"/>
  <c r="BH585" i="9" s="1"/>
  <c r="BH586" i="9" s="1"/>
  <c r="BH587" i="9" s="1"/>
  <c r="BH588" i="9" s="1"/>
  <c r="BH589" i="9" s="1"/>
  <c r="BH590" i="9" s="1"/>
  <c r="BH591" i="9" s="1"/>
  <c r="BH592" i="9" s="1"/>
  <c r="BH593" i="9" s="1"/>
  <c r="BH594" i="9" s="1"/>
  <c r="BH595" i="9" s="1"/>
  <c r="BH596" i="9" s="1"/>
  <c r="BH597" i="9" s="1"/>
  <c r="BH598" i="9" s="1"/>
  <c r="BH599" i="9" s="1"/>
  <c r="BH600" i="9" s="1"/>
  <c r="BH601" i="9" s="1"/>
  <c r="BH602" i="9" s="1"/>
  <c r="BH603" i="9" s="1"/>
  <c r="BH604" i="9" s="1"/>
  <c r="BH605" i="9" s="1"/>
  <c r="BH606" i="9" s="1"/>
  <c r="BH607" i="9" s="1"/>
  <c r="BH608" i="9" s="1"/>
  <c r="BH609" i="9" s="1"/>
  <c r="BH610" i="9" s="1"/>
  <c r="BH611" i="9" s="1"/>
  <c r="BH612" i="9" s="1"/>
  <c r="BH613" i="9" s="1"/>
  <c r="BH614" i="9" s="1"/>
  <c r="BH615" i="9" s="1"/>
  <c r="BH616" i="9" s="1"/>
  <c r="BH617" i="9" s="1"/>
  <c r="BH618" i="9" s="1"/>
  <c r="BH619" i="9" s="1"/>
  <c r="BH620" i="9" s="1"/>
  <c r="BH621" i="9" s="1"/>
  <c r="BH622" i="9" s="1"/>
  <c r="BH623" i="9" s="1"/>
  <c r="BH624" i="9" s="1"/>
  <c r="BH625" i="9" s="1"/>
  <c r="BH626" i="9" s="1"/>
  <c r="BH627" i="9" s="1"/>
  <c r="BH628" i="9" s="1"/>
  <c r="BH629" i="9" s="1"/>
  <c r="BH630" i="9" s="1"/>
  <c r="BH631" i="9" s="1"/>
  <c r="BH632" i="9" s="1"/>
  <c r="BH633" i="9" s="1"/>
  <c r="BH634" i="9" s="1"/>
  <c r="BH635" i="9" s="1"/>
  <c r="BH636" i="9" s="1"/>
  <c r="BH637" i="9" s="1"/>
  <c r="BH638" i="9" s="1"/>
  <c r="BH639" i="9" s="1"/>
  <c r="BH640" i="9" s="1"/>
  <c r="BH641" i="9" s="1"/>
  <c r="BH642" i="9" s="1"/>
  <c r="BH643" i="9" s="1"/>
  <c r="BH644" i="9" s="1"/>
  <c r="BH645" i="9" s="1"/>
  <c r="BH646" i="9" s="1"/>
  <c r="BH647" i="9" s="1"/>
  <c r="BH648" i="9" s="1"/>
  <c r="BH649" i="9" s="1"/>
  <c r="BH650" i="9" s="1"/>
  <c r="BH651" i="9" s="1"/>
  <c r="BH652" i="9" s="1"/>
  <c r="BH653" i="9" s="1"/>
  <c r="BH654" i="9" s="1"/>
  <c r="BH655" i="9" s="1"/>
  <c r="BH656" i="9" s="1"/>
  <c r="BH657" i="9" s="1"/>
  <c r="BH658" i="9" s="1"/>
  <c r="BH659" i="9" s="1"/>
  <c r="BH660" i="9" s="1"/>
  <c r="BH661" i="9" s="1"/>
  <c r="BH662" i="9" s="1"/>
  <c r="BH663" i="9" s="1"/>
  <c r="BH664" i="9" s="1"/>
  <c r="BH665" i="9" s="1"/>
  <c r="BH666" i="9" s="1"/>
  <c r="BH667" i="9" s="1"/>
  <c r="BH668" i="9" s="1"/>
  <c r="BH669" i="9" s="1"/>
  <c r="BH670" i="9" s="1"/>
  <c r="BH671" i="9" s="1"/>
  <c r="BH672" i="9" s="1"/>
  <c r="BH673" i="9" s="1"/>
  <c r="BH674" i="9" s="1"/>
  <c r="BH675" i="9" s="1"/>
  <c r="BH676" i="9" s="1"/>
  <c r="BH677" i="9" s="1"/>
  <c r="BH678" i="9" s="1"/>
  <c r="BH679" i="9" s="1"/>
  <c r="BH680" i="9" s="1"/>
  <c r="BH681" i="9" s="1"/>
  <c r="BH682" i="9" s="1"/>
  <c r="BH683" i="9" s="1"/>
  <c r="BH684" i="9" s="1"/>
  <c r="BH685" i="9" s="1"/>
  <c r="AQ70" i="9"/>
  <c r="DD68" i="9" s="1"/>
  <c r="DE68" i="9" s="1"/>
  <c r="DC69" i="9"/>
  <c r="AS83" i="9"/>
  <c r="DF68" i="9" s="1"/>
  <c r="B41" i="9"/>
  <c r="F40" i="9"/>
  <c r="AC341" i="8"/>
  <c r="AE336" i="8"/>
  <c r="BU318" i="8"/>
  <c r="AO84" i="8"/>
  <c r="BU66" i="8"/>
  <c r="BR387" i="8"/>
  <c r="V388" i="8"/>
  <c r="V405" i="8"/>
  <c r="BS403" i="8" s="1"/>
  <c r="BT403" i="8" s="1"/>
  <c r="BR404" i="8"/>
  <c r="AC273" i="8"/>
  <c r="V371" i="8"/>
  <c r="AM370" i="8"/>
  <c r="AM371" i="8" s="1"/>
  <c r="AM372" i="8" s="1"/>
  <c r="AM373" i="8" s="1"/>
  <c r="AM374" i="8" s="1"/>
  <c r="AM375" i="8" s="1"/>
  <c r="AM376" i="8" s="1"/>
  <c r="AM377" i="8" s="1"/>
  <c r="AM378" i="8" s="1"/>
  <c r="AM379" i="8" s="1"/>
  <c r="AM380" i="8" s="1"/>
  <c r="AM381" i="8" s="1"/>
  <c r="AM382" i="8" s="1"/>
  <c r="AM383" i="8" s="1"/>
  <c r="AM384" i="8" s="1"/>
  <c r="AM385" i="8" s="1"/>
  <c r="AM386" i="8" s="1"/>
  <c r="AM387" i="8" s="1"/>
  <c r="AM388" i="8" s="1"/>
  <c r="AM389" i="8" s="1"/>
  <c r="AM390" i="8" s="1"/>
  <c r="AM391" i="8" s="1"/>
  <c r="AM392" i="8" s="1"/>
  <c r="AM393" i="8" s="1"/>
  <c r="AM394" i="8" s="1"/>
  <c r="AM395" i="8" s="1"/>
  <c r="AM396" i="8" s="1"/>
  <c r="AM397" i="8" s="1"/>
  <c r="AM398" i="8" s="1"/>
  <c r="AM399" i="8" s="1"/>
  <c r="AM400" i="8" s="1"/>
  <c r="AM401" i="8" s="1"/>
  <c r="AM402" i="8" s="1"/>
  <c r="AM403" i="8" s="1"/>
  <c r="AM404" i="8" s="1"/>
  <c r="AM405" i="8" s="1"/>
  <c r="AM406" i="8" s="1"/>
  <c r="AM407" i="8" s="1"/>
  <c r="AM408" i="8" s="1"/>
  <c r="AM409" i="8" s="1"/>
  <c r="AM410" i="8" s="1"/>
  <c r="AM411" i="8" s="1"/>
  <c r="AM412" i="8" s="1"/>
  <c r="AM413" i="8" s="1"/>
  <c r="AM414" i="8" s="1"/>
  <c r="AM415" i="8" s="1"/>
  <c r="AM416" i="8" s="1"/>
  <c r="AM417" i="8" s="1"/>
  <c r="AM418" i="8" s="1"/>
  <c r="AM419" i="8" s="1"/>
  <c r="AM420" i="8" s="1"/>
  <c r="AM421" i="8" s="1"/>
  <c r="AE268" i="8"/>
  <c r="BU250" i="8"/>
  <c r="AD111" i="8"/>
  <c r="AC122" i="8"/>
  <c r="D35" i="8"/>
  <c r="E35" i="8"/>
  <c r="AE197" i="8"/>
  <c r="BU179" i="8"/>
  <c r="AC202" i="8"/>
  <c r="Z125" i="6"/>
  <c r="Z126" i="6" s="1"/>
  <c r="AC90" i="6"/>
  <c r="E33" i="6"/>
  <c r="D33" i="6"/>
  <c r="AQ71" i="9" l="1"/>
  <c r="DC70" i="9"/>
  <c r="DD69" i="9"/>
  <c r="DE69" i="9" s="1"/>
  <c r="AQ401" i="9"/>
  <c r="BJ400" i="9"/>
  <c r="BJ401" i="9" s="1"/>
  <c r="BJ402" i="9" s="1"/>
  <c r="BJ403" i="9" s="1"/>
  <c r="BJ404" i="9" s="1"/>
  <c r="BJ405" i="9" s="1"/>
  <c r="BJ406" i="9" s="1"/>
  <c r="BJ407" i="9" s="1"/>
  <c r="BJ408" i="9" s="1"/>
  <c r="BJ409" i="9" s="1"/>
  <c r="BJ410" i="9" s="1"/>
  <c r="BJ411" i="9" s="1"/>
  <c r="BJ412" i="9" s="1"/>
  <c r="BJ413" i="9" s="1"/>
  <c r="BJ414" i="9" s="1"/>
  <c r="BJ415" i="9" s="1"/>
  <c r="BJ416" i="9" s="1"/>
  <c r="BJ417" i="9" s="1"/>
  <c r="BJ418" i="9" s="1"/>
  <c r="BJ419" i="9" s="1"/>
  <c r="BJ420" i="9" s="1"/>
  <c r="BJ421" i="9" s="1"/>
  <c r="BJ422" i="9" s="1"/>
  <c r="BJ423" i="9" s="1"/>
  <c r="BJ424" i="9" s="1"/>
  <c r="BJ425" i="9" s="1"/>
  <c r="BJ426" i="9" s="1"/>
  <c r="BJ427" i="9" s="1"/>
  <c r="BJ428" i="9" s="1"/>
  <c r="BJ429" i="9" s="1"/>
  <c r="BJ430" i="9" s="1"/>
  <c r="BJ431" i="9" s="1"/>
  <c r="BJ432" i="9" s="1"/>
  <c r="BJ433" i="9" s="1"/>
  <c r="BJ434" i="9" s="1"/>
  <c r="BJ435" i="9" s="1"/>
  <c r="BJ436" i="9" s="1"/>
  <c r="BJ437" i="9" s="1"/>
  <c r="BJ438" i="9" s="1"/>
  <c r="BJ439" i="9" s="1"/>
  <c r="BJ440" i="9" s="1"/>
  <c r="BJ441" i="9" s="1"/>
  <c r="BJ442" i="9" s="1"/>
  <c r="BJ443" i="9" s="1"/>
  <c r="BJ444" i="9" s="1"/>
  <c r="BJ445" i="9" s="1"/>
  <c r="BJ446" i="9" s="1"/>
  <c r="BJ447" i="9" s="1"/>
  <c r="BJ448" i="9" s="1"/>
  <c r="BJ449" i="9" s="1"/>
  <c r="BJ450" i="9" s="1"/>
  <c r="BJ451" i="9" s="1"/>
  <c r="BJ452" i="9" s="1"/>
  <c r="BJ453" i="9" s="1"/>
  <c r="BJ454" i="9" s="1"/>
  <c r="BJ455" i="9" s="1"/>
  <c r="BJ456" i="9" s="1"/>
  <c r="BJ457" i="9" s="1"/>
  <c r="BJ458" i="9" s="1"/>
  <c r="BJ459" i="9" s="1"/>
  <c r="BJ460" i="9" s="1"/>
  <c r="BJ461" i="9" s="1"/>
  <c r="BJ462" i="9" s="1"/>
  <c r="BJ463" i="9" s="1"/>
  <c r="BJ464" i="9" s="1"/>
  <c r="BJ465" i="9" s="1"/>
  <c r="BJ466" i="9" s="1"/>
  <c r="BJ467" i="9" s="1"/>
  <c r="BJ468" i="9" s="1"/>
  <c r="BJ469" i="9" s="1"/>
  <c r="BJ470" i="9" s="1"/>
  <c r="BJ471" i="9" s="1"/>
  <c r="BJ472" i="9" s="1"/>
  <c r="BJ473" i="9" s="1"/>
  <c r="BJ474" i="9" s="1"/>
  <c r="BJ475" i="9" s="1"/>
  <c r="BJ476" i="9" s="1"/>
  <c r="BJ477" i="9" s="1"/>
  <c r="BJ478" i="9" s="1"/>
  <c r="BJ479" i="9" s="1"/>
  <c r="BJ480" i="9" s="1"/>
  <c r="BJ481" i="9" s="1"/>
  <c r="BJ482" i="9" s="1"/>
  <c r="BJ483" i="9" s="1"/>
  <c r="BJ484" i="9" s="1"/>
  <c r="BJ485" i="9" s="1"/>
  <c r="BJ486" i="9" s="1"/>
  <c r="BJ487" i="9" s="1"/>
  <c r="BJ488" i="9" s="1"/>
  <c r="BJ489" i="9" s="1"/>
  <c r="BJ490" i="9" s="1"/>
  <c r="BJ491" i="9" s="1"/>
  <c r="BJ492" i="9" s="1"/>
  <c r="BJ493" i="9" s="1"/>
  <c r="BJ494" i="9" s="1"/>
  <c r="BJ495" i="9" s="1"/>
  <c r="BJ496" i="9" s="1"/>
  <c r="BJ497" i="9" s="1"/>
  <c r="BJ498" i="9" s="1"/>
  <c r="BJ499" i="9" s="1"/>
  <c r="BJ500" i="9" s="1"/>
  <c r="BJ501" i="9" s="1"/>
  <c r="BJ502" i="9" s="1"/>
  <c r="BJ503" i="9" s="1"/>
  <c r="BJ504" i="9" s="1"/>
  <c r="BJ505" i="9" s="1"/>
  <c r="BJ506" i="9" s="1"/>
  <c r="BJ507" i="9" s="1"/>
  <c r="BJ508" i="9" s="1"/>
  <c r="BJ509" i="9" s="1"/>
  <c r="BJ510" i="9" s="1"/>
  <c r="BJ511" i="9" s="1"/>
  <c r="BJ512" i="9" s="1"/>
  <c r="BJ513" i="9" s="1"/>
  <c r="BJ514" i="9" s="1"/>
  <c r="BJ515" i="9" s="1"/>
  <c r="BJ516" i="9" s="1"/>
  <c r="BJ517" i="9" s="1"/>
  <c r="BJ518" i="9" s="1"/>
  <c r="BJ519" i="9" s="1"/>
  <c r="BJ520" i="9" s="1"/>
  <c r="BJ521" i="9" s="1"/>
  <c r="BJ522" i="9" s="1"/>
  <c r="BJ523" i="9" s="1"/>
  <c r="BJ524" i="9" s="1"/>
  <c r="BJ525" i="9" s="1"/>
  <c r="BJ526" i="9" s="1"/>
  <c r="BJ527" i="9" s="1"/>
  <c r="BJ528" i="9" s="1"/>
  <c r="BJ529" i="9" s="1"/>
  <c r="BJ530" i="9" s="1"/>
  <c r="BJ531" i="9" s="1"/>
  <c r="BJ532" i="9" s="1"/>
  <c r="BJ533" i="9" s="1"/>
  <c r="BJ534" i="9" s="1"/>
  <c r="BJ535" i="9" s="1"/>
  <c r="BJ536" i="9" s="1"/>
  <c r="BJ537" i="9" s="1"/>
  <c r="BJ538" i="9" s="1"/>
  <c r="BJ539" i="9" s="1"/>
  <c r="BJ540" i="9" s="1"/>
  <c r="BJ541" i="9" s="1"/>
  <c r="BJ542" i="9" s="1"/>
  <c r="BJ543" i="9" s="1"/>
  <c r="BJ544" i="9" s="1"/>
  <c r="BJ545" i="9" s="1"/>
  <c r="BJ546" i="9" s="1"/>
  <c r="BJ547" i="9" s="1"/>
  <c r="BJ548" i="9" s="1"/>
  <c r="BJ549" i="9" s="1"/>
  <c r="BJ550" i="9" s="1"/>
  <c r="BJ551" i="9" s="1"/>
  <c r="BJ552" i="9" s="1"/>
  <c r="BJ553" i="9" s="1"/>
  <c r="BJ554" i="9" s="1"/>
  <c r="BJ555" i="9" s="1"/>
  <c r="BJ556" i="9" s="1"/>
  <c r="BJ557" i="9" s="1"/>
  <c r="BJ558" i="9" s="1"/>
  <c r="BJ559" i="9" s="1"/>
  <c r="BJ560" i="9" s="1"/>
  <c r="BJ561" i="9" s="1"/>
  <c r="BJ562" i="9" s="1"/>
  <c r="BJ563" i="9" s="1"/>
  <c r="BJ564" i="9" s="1"/>
  <c r="BJ565" i="9" s="1"/>
  <c r="BJ566" i="9" s="1"/>
  <c r="BJ567" i="9" s="1"/>
  <c r="BJ568" i="9" s="1"/>
  <c r="BJ569" i="9" s="1"/>
  <c r="BJ570" i="9" s="1"/>
  <c r="BJ571" i="9" s="1"/>
  <c r="BJ572" i="9" s="1"/>
  <c r="BJ573" i="9" s="1"/>
  <c r="BJ574" i="9" s="1"/>
  <c r="BJ575" i="9" s="1"/>
  <c r="BJ576" i="9" s="1"/>
  <c r="BJ577" i="9" s="1"/>
  <c r="BJ578" i="9" s="1"/>
  <c r="BJ579" i="9" s="1"/>
  <c r="BJ580" i="9" s="1"/>
  <c r="BJ581" i="9" s="1"/>
  <c r="BJ582" i="9" s="1"/>
  <c r="BJ583" i="9" s="1"/>
  <c r="BJ584" i="9" s="1"/>
  <c r="BJ585" i="9" s="1"/>
  <c r="BJ586" i="9" s="1"/>
  <c r="BJ587" i="9" s="1"/>
  <c r="BJ588" i="9" s="1"/>
  <c r="BJ589" i="9" s="1"/>
  <c r="BJ590" i="9" s="1"/>
  <c r="BJ591" i="9" s="1"/>
  <c r="BJ592" i="9" s="1"/>
  <c r="BJ593" i="9" s="1"/>
  <c r="BJ594" i="9" s="1"/>
  <c r="BJ595" i="9" s="1"/>
  <c r="BJ596" i="9" s="1"/>
  <c r="BJ597" i="9" s="1"/>
  <c r="BJ598" i="9" s="1"/>
  <c r="BJ599" i="9" s="1"/>
  <c r="BJ600" i="9" s="1"/>
  <c r="BJ601" i="9" s="1"/>
  <c r="BJ602" i="9" s="1"/>
  <c r="BJ603" i="9" s="1"/>
  <c r="BJ604" i="9" s="1"/>
  <c r="BJ605" i="9" s="1"/>
  <c r="BJ606" i="9" s="1"/>
  <c r="BJ607" i="9" s="1"/>
  <c r="BJ608" i="9" s="1"/>
  <c r="BJ609" i="9" s="1"/>
  <c r="BJ610" i="9" s="1"/>
  <c r="BJ611" i="9" s="1"/>
  <c r="BJ612" i="9" s="1"/>
  <c r="BJ613" i="9" s="1"/>
  <c r="BJ614" i="9" s="1"/>
  <c r="BJ615" i="9" s="1"/>
  <c r="BJ616" i="9" s="1"/>
  <c r="BJ617" i="9" s="1"/>
  <c r="BJ618" i="9" s="1"/>
  <c r="BJ619" i="9" s="1"/>
  <c r="BJ620" i="9" s="1"/>
  <c r="BJ621" i="9" s="1"/>
  <c r="BJ622" i="9" s="1"/>
  <c r="BJ623" i="9" s="1"/>
  <c r="BJ624" i="9" s="1"/>
  <c r="BJ625" i="9" s="1"/>
  <c r="BJ626" i="9" s="1"/>
  <c r="BJ627" i="9" s="1"/>
  <c r="BJ628" i="9" s="1"/>
  <c r="BJ629" i="9" s="1"/>
  <c r="BJ630" i="9" s="1"/>
  <c r="BJ631" i="9" s="1"/>
  <c r="BJ632" i="9" s="1"/>
  <c r="BJ633" i="9" s="1"/>
  <c r="BJ634" i="9" s="1"/>
  <c r="BJ635" i="9" s="1"/>
  <c r="BJ636" i="9" s="1"/>
  <c r="BJ637" i="9" s="1"/>
  <c r="BJ638" i="9" s="1"/>
  <c r="BJ639" i="9" s="1"/>
  <c r="BJ640" i="9" s="1"/>
  <c r="BJ641" i="9" s="1"/>
  <c r="BJ642" i="9" s="1"/>
  <c r="BJ643" i="9" s="1"/>
  <c r="BJ644" i="9" s="1"/>
  <c r="BJ645" i="9" s="1"/>
  <c r="BJ646" i="9" s="1"/>
  <c r="BJ647" i="9" s="1"/>
  <c r="BJ648" i="9" s="1"/>
  <c r="BJ649" i="9" s="1"/>
  <c r="BJ650" i="9" s="1"/>
  <c r="BJ651" i="9" s="1"/>
  <c r="BJ652" i="9" s="1"/>
  <c r="BJ653" i="9" s="1"/>
  <c r="BJ654" i="9" s="1"/>
  <c r="BJ655" i="9" s="1"/>
  <c r="BJ656" i="9" s="1"/>
  <c r="BJ657" i="9" s="1"/>
  <c r="BJ658" i="9" s="1"/>
  <c r="BJ659" i="9" s="1"/>
  <c r="BJ660" i="9" s="1"/>
  <c r="BJ661" i="9" s="1"/>
  <c r="BJ662" i="9" s="1"/>
  <c r="BJ663" i="9" s="1"/>
  <c r="BJ664" i="9" s="1"/>
  <c r="BJ665" i="9" s="1"/>
  <c r="BJ666" i="9" s="1"/>
  <c r="BJ667" i="9" s="1"/>
  <c r="BJ668" i="9" s="1"/>
  <c r="BJ669" i="9" s="1"/>
  <c r="BJ670" i="9" s="1"/>
  <c r="BJ671" i="9" s="1"/>
  <c r="BJ672" i="9" s="1"/>
  <c r="BJ673" i="9" s="1"/>
  <c r="BJ674" i="9" s="1"/>
  <c r="BJ675" i="9" s="1"/>
  <c r="BJ676" i="9" s="1"/>
  <c r="BJ677" i="9" s="1"/>
  <c r="BJ678" i="9" s="1"/>
  <c r="BJ679" i="9" s="1"/>
  <c r="BJ680" i="9" s="1"/>
  <c r="BJ681" i="9" s="1"/>
  <c r="BJ682" i="9" s="1"/>
  <c r="BJ683" i="9" s="1"/>
  <c r="BJ684" i="9" s="1"/>
  <c r="BJ685" i="9" s="1"/>
  <c r="BI400" i="9"/>
  <c r="BI401" i="9" s="1"/>
  <c r="BI402" i="9" s="1"/>
  <c r="BI403" i="9" s="1"/>
  <c r="BI404" i="9" s="1"/>
  <c r="BI405" i="9" s="1"/>
  <c r="BI406" i="9" s="1"/>
  <c r="BI407" i="9" s="1"/>
  <c r="BI408" i="9" s="1"/>
  <c r="BI409" i="9" s="1"/>
  <c r="BI410" i="9" s="1"/>
  <c r="BI411" i="9" s="1"/>
  <c r="BI412" i="9" s="1"/>
  <c r="BI413" i="9" s="1"/>
  <c r="BI414" i="9" s="1"/>
  <c r="BI415" i="9" s="1"/>
  <c r="BI416" i="9" s="1"/>
  <c r="BI417" i="9" s="1"/>
  <c r="BI418" i="9" s="1"/>
  <c r="BI419" i="9" s="1"/>
  <c r="BI420" i="9" s="1"/>
  <c r="BI421" i="9" s="1"/>
  <c r="BI422" i="9" s="1"/>
  <c r="BI423" i="9" s="1"/>
  <c r="BI424" i="9" s="1"/>
  <c r="BI425" i="9" s="1"/>
  <c r="BI426" i="9" s="1"/>
  <c r="BI427" i="9" s="1"/>
  <c r="BI428" i="9" s="1"/>
  <c r="BI429" i="9" s="1"/>
  <c r="BI430" i="9" s="1"/>
  <c r="BI431" i="9" s="1"/>
  <c r="BI432" i="9" s="1"/>
  <c r="BI433" i="9" s="1"/>
  <c r="BI434" i="9" s="1"/>
  <c r="BI435" i="9" s="1"/>
  <c r="BI436" i="9" s="1"/>
  <c r="BI437" i="9" s="1"/>
  <c r="BI438" i="9" s="1"/>
  <c r="BI439" i="9" s="1"/>
  <c r="BI440" i="9" s="1"/>
  <c r="BI441" i="9" s="1"/>
  <c r="BI442" i="9" s="1"/>
  <c r="BI443" i="9" s="1"/>
  <c r="BI444" i="9" s="1"/>
  <c r="BI445" i="9" s="1"/>
  <c r="BI446" i="9" s="1"/>
  <c r="BI447" i="9" s="1"/>
  <c r="BI448" i="9" s="1"/>
  <c r="BI449" i="9" s="1"/>
  <c r="BI450" i="9" s="1"/>
  <c r="BI451" i="9" s="1"/>
  <c r="BI452" i="9" s="1"/>
  <c r="BI453" i="9" s="1"/>
  <c r="BI454" i="9" s="1"/>
  <c r="BI455" i="9" s="1"/>
  <c r="BI456" i="9" s="1"/>
  <c r="BI457" i="9" s="1"/>
  <c r="BI458" i="9" s="1"/>
  <c r="BI459" i="9" s="1"/>
  <c r="BI460" i="9" s="1"/>
  <c r="BI461" i="9" s="1"/>
  <c r="BI462" i="9" s="1"/>
  <c r="BI463" i="9" s="1"/>
  <c r="BI464" i="9" s="1"/>
  <c r="BI465" i="9" s="1"/>
  <c r="BI466" i="9" s="1"/>
  <c r="BI467" i="9" s="1"/>
  <c r="BI468" i="9" s="1"/>
  <c r="BI469" i="9" s="1"/>
  <c r="BI470" i="9" s="1"/>
  <c r="BI471" i="9" s="1"/>
  <c r="BI472" i="9" s="1"/>
  <c r="BI473" i="9" s="1"/>
  <c r="BI474" i="9" s="1"/>
  <c r="BI475" i="9" s="1"/>
  <c r="BI476" i="9" s="1"/>
  <c r="BI477" i="9" s="1"/>
  <c r="BI478" i="9" s="1"/>
  <c r="BI479" i="9" s="1"/>
  <c r="BI480" i="9" s="1"/>
  <c r="BI481" i="9" s="1"/>
  <c r="BI482" i="9" s="1"/>
  <c r="BI483" i="9" s="1"/>
  <c r="BI484" i="9" s="1"/>
  <c r="BI485" i="9" s="1"/>
  <c r="BI486" i="9" s="1"/>
  <c r="BI487" i="9" s="1"/>
  <c r="BI488" i="9" s="1"/>
  <c r="BI489" i="9" s="1"/>
  <c r="BI490" i="9" s="1"/>
  <c r="BI491" i="9" s="1"/>
  <c r="BI492" i="9" s="1"/>
  <c r="BI493" i="9" s="1"/>
  <c r="BI494" i="9" s="1"/>
  <c r="BI495" i="9" s="1"/>
  <c r="BI496" i="9" s="1"/>
  <c r="BI497" i="9" s="1"/>
  <c r="BI498" i="9" s="1"/>
  <c r="BI499" i="9" s="1"/>
  <c r="BI500" i="9" s="1"/>
  <c r="BI501" i="9" s="1"/>
  <c r="BI502" i="9" s="1"/>
  <c r="BI503" i="9" s="1"/>
  <c r="BI504" i="9" s="1"/>
  <c r="BI505" i="9" s="1"/>
  <c r="BI506" i="9" s="1"/>
  <c r="BI507" i="9" s="1"/>
  <c r="BI508" i="9" s="1"/>
  <c r="BI509" i="9" s="1"/>
  <c r="BI510" i="9" s="1"/>
  <c r="BI511" i="9" s="1"/>
  <c r="BI512" i="9" s="1"/>
  <c r="BI513" i="9" s="1"/>
  <c r="BI514" i="9" s="1"/>
  <c r="BI515" i="9" s="1"/>
  <c r="BI516" i="9" s="1"/>
  <c r="BI517" i="9" s="1"/>
  <c r="BI518" i="9" s="1"/>
  <c r="BI519" i="9" s="1"/>
  <c r="BI520" i="9" s="1"/>
  <c r="BI521" i="9" s="1"/>
  <c r="BI522" i="9" s="1"/>
  <c r="BI523" i="9" s="1"/>
  <c r="BI524" i="9" s="1"/>
  <c r="BI525" i="9" s="1"/>
  <c r="BI526" i="9" s="1"/>
  <c r="BI527" i="9" s="1"/>
  <c r="BI528" i="9" s="1"/>
  <c r="BI529" i="9" s="1"/>
  <c r="BI530" i="9" s="1"/>
  <c r="BI531" i="9" s="1"/>
  <c r="BI532" i="9" s="1"/>
  <c r="BI533" i="9" s="1"/>
  <c r="BI534" i="9" s="1"/>
  <c r="BI535" i="9" s="1"/>
  <c r="BI536" i="9" s="1"/>
  <c r="BI537" i="9" s="1"/>
  <c r="BI538" i="9" s="1"/>
  <c r="BI539" i="9" s="1"/>
  <c r="BI540" i="9" s="1"/>
  <c r="BI541" i="9" s="1"/>
  <c r="BI542" i="9" s="1"/>
  <c r="BI543" i="9" s="1"/>
  <c r="BI544" i="9" s="1"/>
  <c r="BI545" i="9" s="1"/>
  <c r="BI546" i="9" s="1"/>
  <c r="BI547" i="9" s="1"/>
  <c r="BI548" i="9" s="1"/>
  <c r="BI549" i="9" s="1"/>
  <c r="BI550" i="9" s="1"/>
  <c r="BI551" i="9" s="1"/>
  <c r="BI552" i="9" s="1"/>
  <c r="BI553" i="9" s="1"/>
  <c r="BI554" i="9" s="1"/>
  <c r="BI555" i="9" s="1"/>
  <c r="BI556" i="9" s="1"/>
  <c r="BI557" i="9" s="1"/>
  <c r="BI558" i="9" s="1"/>
  <c r="BI559" i="9" s="1"/>
  <c r="BI560" i="9" s="1"/>
  <c r="BI561" i="9" s="1"/>
  <c r="BI562" i="9" s="1"/>
  <c r="BI563" i="9" s="1"/>
  <c r="BI564" i="9" s="1"/>
  <c r="BI565" i="9" s="1"/>
  <c r="BI566" i="9" s="1"/>
  <c r="BI567" i="9" s="1"/>
  <c r="BI568" i="9" s="1"/>
  <c r="BI569" i="9" s="1"/>
  <c r="BI570" i="9" s="1"/>
  <c r="BI571" i="9" s="1"/>
  <c r="BI572" i="9" s="1"/>
  <c r="BI573" i="9" s="1"/>
  <c r="BI574" i="9" s="1"/>
  <c r="BI575" i="9" s="1"/>
  <c r="BI576" i="9" s="1"/>
  <c r="BI577" i="9" s="1"/>
  <c r="BI578" i="9" s="1"/>
  <c r="BI579" i="9" s="1"/>
  <c r="BI580" i="9" s="1"/>
  <c r="BI581" i="9" s="1"/>
  <c r="BI582" i="9" s="1"/>
  <c r="BI583" i="9" s="1"/>
  <c r="BI584" i="9" s="1"/>
  <c r="BI585" i="9" s="1"/>
  <c r="BI586" i="9" s="1"/>
  <c r="BI587" i="9" s="1"/>
  <c r="BI588" i="9" s="1"/>
  <c r="BI589" i="9" s="1"/>
  <c r="BI590" i="9" s="1"/>
  <c r="BI591" i="9" s="1"/>
  <c r="BI592" i="9" s="1"/>
  <c r="BI593" i="9" s="1"/>
  <c r="BI594" i="9" s="1"/>
  <c r="BI595" i="9" s="1"/>
  <c r="BI596" i="9" s="1"/>
  <c r="BI597" i="9" s="1"/>
  <c r="BI598" i="9" s="1"/>
  <c r="BI599" i="9" s="1"/>
  <c r="BI600" i="9" s="1"/>
  <c r="BI601" i="9" s="1"/>
  <c r="BI602" i="9" s="1"/>
  <c r="BI603" i="9" s="1"/>
  <c r="BI604" i="9" s="1"/>
  <c r="BI605" i="9" s="1"/>
  <c r="BI606" i="9" s="1"/>
  <c r="BI607" i="9" s="1"/>
  <c r="BI608" i="9" s="1"/>
  <c r="BI609" i="9" s="1"/>
  <c r="BI610" i="9" s="1"/>
  <c r="BI611" i="9" s="1"/>
  <c r="BI612" i="9" s="1"/>
  <c r="BI613" i="9" s="1"/>
  <c r="BI614" i="9" s="1"/>
  <c r="BI615" i="9" s="1"/>
  <c r="BI616" i="9" s="1"/>
  <c r="BI617" i="9" s="1"/>
  <c r="BI618" i="9" s="1"/>
  <c r="BI619" i="9" s="1"/>
  <c r="BI620" i="9" s="1"/>
  <c r="BI621" i="9" s="1"/>
  <c r="BI622" i="9" s="1"/>
  <c r="BI623" i="9" s="1"/>
  <c r="BI624" i="9" s="1"/>
  <c r="BI625" i="9" s="1"/>
  <c r="BI626" i="9" s="1"/>
  <c r="BI627" i="9" s="1"/>
  <c r="BI628" i="9" s="1"/>
  <c r="BI629" i="9" s="1"/>
  <c r="BI630" i="9" s="1"/>
  <c r="BI631" i="9" s="1"/>
  <c r="BI632" i="9" s="1"/>
  <c r="BI633" i="9" s="1"/>
  <c r="BI634" i="9" s="1"/>
  <c r="BI635" i="9" s="1"/>
  <c r="BI636" i="9" s="1"/>
  <c r="BI637" i="9" s="1"/>
  <c r="BI638" i="9" s="1"/>
  <c r="BI639" i="9" s="1"/>
  <c r="BI640" i="9" s="1"/>
  <c r="BI641" i="9" s="1"/>
  <c r="BI642" i="9" s="1"/>
  <c r="BI643" i="9" s="1"/>
  <c r="BI644" i="9" s="1"/>
  <c r="BI645" i="9" s="1"/>
  <c r="BI646" i="9" s="1"/>
  <c r="BI647" i="9" s="1"/>
  <c r="BI648" i="9" s="1"/>
  <c r="BI649" i="9" s="1"/>
  <c r="BI650" i="9" s="1"/>
  <c r="BI651" i="9" s="1"/>
  <c r="BI652" i="9" s="1"/>
  <c r="BI653" i="9" s="1"/>
  <c r="BI654" i="9" s="1"/>
  <c r="BI655" i="9" s="1"/>
  <c r="BI656" i="9" s="1"/>
  <c r="BI657" i="9" s="1"/>
  <c r="BI658" i="9" s="1"/>
  <c r="BI659" i="9" s="1"/>
  <c r="BI660" i="9" s="1"/>
  <c r="BI661" i="9" s="1"/>
  <c r="BI662" i="9" s="1"/>
  <c r="BI663" i="9" s="1"/>
  <c r="BI664" i="9" s="1"/>
  <c r="BI665" i="9" s="1"/>
  <c r="BI666" i="9" s="1"/>
  <c r="BI667" i="9" s="1"/>
  <c r="BI668" i="9" s="1"/>
  <c r="BI669" i="9" s="1"/>
  <c r="BI670" i="9" s="1"/>
  <c r="BI671" i="9" s="1"/>
  <c r="BI672" i="9" s="1"/>
  <c r="BI673" i="9" s="1"/>
  <c r="BI674" i="9" s="1"/>
  <c r="BI675" i="9" s="1"/>
  <c r="BI676" i="9" s="1"/>
  <c r="BI677" i="9" s="1"/>
  <c r="BI678" i="9" s="1"/>
  <c r="BI679" i="9" s="1"/>
  <c r="BI680" i="9" s="1"/>
  <c r="BI681" i="9" s="1"/>
  <c r="BI682" i="9" s="1"/>
  <c r="BI683" i="9" s="1"/>
  <c r="BI684" i="9" s="1"/>
  <c r="BI685" i="9" s="1"/>
  <c r="AS84" i="9"/>
  <c r="DF69" i="9" s="1"/>
  <c r="CU41" i="9"/>
  <c r="E41" i="9"/>
  <c r="D41" i="9"/>
  <c r="AC123" i="8"/>
  <c r="BR388" i="8"/>
  <c r="V389" i="8"/>
  <c r="BS387" i="8" s="1"/>
  <c r="BT387" i="8" s="1"/>
  <c r="AE269" i="8"/>
  <c r="BU251" i="8"/>
  <c r="V372" i="8"/>
  <c r="BS370" i="8" s="1"/>
  <c r="BT370" i="8" s="1"/>
  <c r="BR371" i="8"/>
  <c r="AE337" i="8"/>
  <c r="BU319" i="8"/>
  <c r="B36" i="8"/>
  <c r="F35" i="8"/>
  <c r="V406" i="8"/>
  <c r="BS404" i="8"/>
  <c r="BT404" i="8" s="1"/>
  <c r="BR405" i="8"/>
  <c r="AE198" i="8"/>
  <c r="BU180" i="8"/>
  <c r="AC203" i="8"/>
  <c r="AD112" i="8"/>
  <c r="AC274" i="8"/>
  <c r="BS386" i="8"/>
  <c r="BT386" i="8" s="1"/>
  <c r="AO85" i="8"/>
  <c r="AO86" i="8" s="1"/>
  <c r="BU67" i="8"/>
  <c r="AC342" i="8"/>
  <c r="Z127" i="6"/>
  <c r="AC91" i="6"/>
  <c r="B34" i="6"/>
  <c r="F33" i="6"/>
  <c r="AQ402" i="9" l="1"/>
  <c r="AQ72" i="9"/>
  <c r="DC71" i="9"/>
  <c r="DD70" i="9"/>
  <c r="DE70" i="9" s="1"/>
  <c r="AS85" i="9"/>
  <c r="DF70" i="9" s="1"/>
  <c r="F41" i="9"/>
  <c r="B42" i="9"/>
  <c r="AO87" i="8"/>
  <c r="BU69" i="8"/>
  <c r="AC204" i="8"/>
  <c r="BR372" i="8"/>
  <c r="V373" i="8"/>
  <c r="BS371" i="8" s="1"/>
  <c r="BT371" i="8" s="1"/>
  <c r="BR389" i="8"/>
  <c r="V390" i="8"/>
  <c r="V407" i="8"/>
  <c r="BS405" i="8" s="1"/>
  <c r="BT405" i="8" s="1"/>
  <c r="BR406" i="8"/>
  <c r="AE338" i="8"/>
  <c r="BU320" i="8"/>
  <c r="AC343" i="8"/>
  <c r="AD113" i="8"/>
  <c r="AE199" i="8"/>
  <c r="BU181" i="8"/>
  <c r="AE270" i="8"/>
  <c r="BU252" i="8"/>
  <c r="AC275" i="8"/>
  <c r="D36" i="8"/>
  <c r="E36" i="8"/>
  <c r="AC124" i="8"/>
  <c r="Z128" i="6"/>
  <c r="AC92" i="6"/>
  <c r="E34" i="6"/>
  <c r="D34" i="6"/>
  <c r="AQ73" i="9" l="1"/>
  <c r="DC72" i="9"/>
  <c r="DD71" i="9"/>
  <c r="DE71" i="9" s="1"/>
  <c r="AQ403" i="9"/>
  <c r="AS86" i="9"/>
  <c r="DF71" i="9" s="1"/>
  <c r="E42" i="9"/>
  <c r="D42" i="9"/>
  <c r="AC125" i="8"/>
  <c r="AC276" i="8"/>
  <c r="AE200" i="8"/>
  <c r="BU182" i="8"/>
  <c r="AC344" i="8"/>
  <c r="V408" i="8"/>
  <c r="BS406" i="8" s="1"/>
  <c r="BT406" i="8" s="1"/>
  <c r="BR407" i="8"/>
  <c r="AC205" i="8"/>
  <c r="B37" i="8"/>
  <c r="F36" i="8"/>
  <c r="AE271" i="8"/>
  <c r="BU253" i="8"/>
  <c r="AD114" i="8"/>
  <c r="BU96" i="8"/>
  <c r="AE339" i="8"/>
  <c r="BU321" i="8"/>
  <c r="BR373" i="8"/>
  <c r="V391" i="8"/>
  <c r="AO88" i="8"/>
  <c r="BU70" i="8"/>
  <c r="Z129" i="6"/>
  <c r="AC93" i="6"/>
  <c r="B35" i="6"/>
  <c r="F34" i="6"/>
  <c r="AQ404" i="9" l="1"/>
  <c r="AQ74" i="9"/>
  <c r="DC73" i="9"/>
  <c r="DD72" i="9"/>
  <c r="DE72" i="9" s="1"/>
  <c r="AS87" i="9"/>
  <c r="DF72" i="9" s="1"/>
  <c r="F42" i="9"/>
  <c r="B43" i="9"/>
  <c r="AC345" i="8"/>
  <c r="AC277" i="8"/>
  <c r="AO89" i="8"/>
  <c r="AO90" i="8" s="1"/>
  <c r="BU71" i="8"/>
  <c r="AD115" i="8"/>
  <c r="D37" i="8"/>
  <c r="E37" i="8"/>
  <c r="V409" i="8"/>
  <c r="BR408" i="8"/>
  <c r="AE201" i="8"/>
  <c r="BU183" i="8"/>
  <c r="AC126" i="8"/>
  <c r="V392" i="8"/>
  <c r="AQ391" i="8"/>
  <c r="AQ392" i="8" s="1"/>
  <c r="AQ393" i="8" s="1"/>
  <c r="AQ394" i="8" s="1"/>
  <c r="AQ395" i="8" s="1"/>
  <c r="AQ396" i="8" s="1"/>
  <c r="AQ397" i="8" s="1"/>
  <c r="AQ398" i="8" s="1"/>
  <c r="AQ399" i="8" s="1"/>
  <c r="AQ400" i="8" s="1"/>
  <c r="AQ401" i="8" s="1"/>
  <c r="AQ402" i="8" s="1"/>
  <c r="AQ403" i="8" s="1"/>
  <c r="AQ404" i="8" s="1"/>
  <c r="AQ405" i="8" s="1"/>
  <c r="AQ406" i="8" s="1"/>
  <c r="AQ407" i="8" s="1"/>
  <c r="AQ408" i="8" s="1"/>
  <c r="AQ409" i="8" s="1"/>
  <c r="AQ410" i="8" s="1"/>
  <c r="AQ411" i="8" s="1"/>
  <c r="AQ412" i="8" s="1"/>
  <c r="AQ413" i="8" s="1"/>
  <c r="AQ414" i="8" s="1"/>
  <c r="AQ415" i="8" s="1"/>
  <c r="AQ416" i="8" s="1"/>
  <c r="AQ417" i="8" s="1"/>
  <c r="AQ418" i="8" s="1"/>
  <c r="AQ419" i="8" s="1"/>
  <c r="AQ420" i="8" s="1"/>
  <c r="AQ421" i="8" s="1"/>
  <c r="AE340" i="8"/>
  <c r="BU322" i="8"/>
  <c r="AE272" i="8"/>
  <c r="BU254" i="8"/>
  <c r="AC206" i="8"/>
  <c r="Z130" i="6"/>
  <c r="Z131" i="6" s="1"/>
  <c r="AC94" i="6"/>
  <c r="D35" i="6"/>
  <c r="E35" i="6"/>
  <c r="AQ75" i="9" l="1"/>
  <c r="DC74" i="9"/>
  <c r="DD73" i="9"/>
  <c r="DE73" i="9" s="1"/>
  <c r="AQ405" i="9"/>
  <c r="BE404" i="9"/>
  <c r="BE405" i="9" s="1"/>
  <c r="BE406" i="9" s="1"/>
  <c r="BE407" i="9" s="1"/>
  <c r="BE408" i="9" s="1"/>
  <c r="BE409" i="9" s="1"/>
  <c r="BE410" i="9" s="1"/>
  <c r="BE411" i="9" s="1"/>
  <c r="BE412" i="9" s="1"/>
  <c r="BE413" i="9" s="1"/>
  <c r="BE414" i="9" s="1"/>
  <c r="BE415" i="9" s="1"/>
  <c r="BE416" i="9" s="1"/>
  <c r="BE417" i="9" s="1"/>
  <c r="BE418" i="9" s="1"/>
  <c r="BE419" i="9" s="1"/>
  <c r="BE420" i="9" s="1"/>
  <c r="BE421" i="9" s="1"/>
  <c r="BE422" i="9" s="1"/>
  <c r="BE423" i="9" s="1"/>
  <c r="BE424" i="9" s="1"/>
  <c r="BE425" i="9" s="1"/>
  <c r="BE426" i="9" s="1"/>
  <c r="BE427" i="9" s="1"/>
  <c r="BE428" i="9" s="1"/>
  <c r="BE429" i="9" s="1"/>
  <c r="BE430" i="9" s="1"/>
  <c r="BE431" i="9" s="1"/>
  <c r="BE432" i="9" s="1"/>
  <c r="BE433" i="9" s="1"/>
  <c r="BE434" i="9" s="1"/>
  <c r="BE435" i="9" s="1"/>
  <c r="BE436" i="9" s="1"/>
  <c r="BE437" i="9" s="1"/>
  <c r="BE438" i="9" s="1"/>
  <c r="BE439" i="9" s="1"/>
  <c r="BE440" i="9" s="1"/>
  <c r="BE441" i="9" s="1"/>
  <c r="BE442" i="9" s="1"/>
  <c r="BE443" i="9" s="1"/>
  <c r="BE444" i="9" s="1"/>
  <c r="BE445" i="9" s="1"/>
  <c r="BE446" i="9" s="1"/>
  <c r="BE447" i="9" s="1"/>
  <c r="BE448" i="9" s="1"/>
  <c r="BE449" i="9" s="1"/>
  <c r="BE450" i="9" s="1"/>
  <c r="BE451" i="9" s="1"/>
  <c r="BE452" i="9" s="1"/>
  <c r="BE453" i="9" s="1"/>
  <c r="BE454" i="9" s="1"/>
  <c r="BE455" i="9" s="1"/>
  <c r="BE456" i="9" s="1"/>
  <c r="BE457" i="9" s="1"/>
  <c r="BE458" i="9" s="1"/>
  <c r="BE459" i="9" s="1"/>
  <c r="BE460" i="9" s="1"/>
  <c r="BE461" i="9" s="1"/>
  <c r="BE462" i="9" s="1"/>
  <c r="BE463" i="9" s="1"/>
  <c r="BE464" i="9" s="1"/>
  <c r="BE465" i="9" s="1"/>
  <c r="BE466" i="9" s="1"/>
  <c r="BE467" i="9" s="1"/>
  <c r="BE468" i="9" s="1"/>
  <c r="BE469" i="9" s="1"/>
  <c r="BE470" i="9" s="1"/>
  <c r="BE471" i="9" s="1"/>
  <c r="BE472" i="9" s="1"/>
  <c r="BE473" i="9" s="1"/>
  <c r="BE474" i="9" s="1"/>
  <c r="BE475" i="9" s="1"/>
  <c r="BE476" i="9" s="1"/>
  <c r="BE477" i="9" s="1"/>
  <c r="BE478" i="9" s="1"/>
  <c r="BE479" i="9" s="1"/>
  <c r="BE480" i="9" s="1"/>
  <c r="BE481" i="9" s="1"/>
  <c r="BE482" i="9" s="1"/>
  <c r="BE483" i="9" s="1"/>
  <c r="BE484" i="9" s="1"/>
  <c r="BE485" i="9" s="1"/>
  <c r="BE486" i="9" s="1"/>
  <c r="BE487" i="9" s="1"/>
  <c r="BE488" i="9" s="1"/>
  <c r="BE489" i="9" s="1"/>
  <c r="BE490" i="9" s="1"/>
  <c r="BE491" i="9" s="1"/>
  <c r="BE492" i="9" s="1"/>
  <c r="BE493" i="9" s="1"/>
  <c r="BE494" i="9" s="1"/>
  <c r="BE495" i="9" s="1"/>
  <c r="BE496" i="9" s="1"/>
  <c r="BE497" i="9" s="1"/>
  <c r="BE498" i="9" s="1"/>
  <c r="BE499" i="9" s="1"/>
  <c r="BE500" i="9" s="1"/>
  <c r="BE501" i="9" s="1"/>
  <c r="BE502" i="9" s="1"/>
  <c r="BE503" i="9" s="1"/>
  <c r="BE504" i="9" s="1"/>
  <c r="BE505" i="9" s="1"/>
  <c r="BE506" i="9" s="1"/>
  <c r="BE507" i="9" s="1"/>
  <c r="BE508" i="9" s="1"/>
  <c r="BE509" i="9" s="1"/>
  <c r="BE510" i="9" s="1"/>
  <c r="BE511" i="9" s="1"/>
  <c r="BE512" i="9" s="1"/>
  <c r="BE513" i="9" s="1"/>
  <c r="BE514" i="9" s="1"/>
  <c r="BE515" i="9" s="1"/>
  <c r="BE516" i="9" s="1"/>
  <c r="BE517" i="9" s="1"/>
  <c r="BE518" i="9" s="1"/>
  <c r="BE519" i="9" s="1"/>
  <c r="BE520" i="9" s="1"/>
  <c r="BE521" i="9" s="1"/>
  <c r="BE522" i="9" s="1"/>
  <c r="BE523" i="9" s="1"/>
  <c r="BE524" i="9" s="1"/>
  <c r="BE525" i="9" s="1"/>
  <c r="BE526" i="9" s="1"/>
  <c r="BE527" i="9" s="1"/>
  <c r="BE528" i="9" s="1"/>
  <c r="BE529" i="9" s="1"/>
  <c r="BE530" i="9" s="1"/>
  <c r="BE531" i="9" s="1"/>
  <c r="BE532" i="9" s="1"/>
  <c r="BE533" i="9" s="1"/>
  <c r="BE534" i="9" s="1"/>
  <c r="BE535" i="9" s="1"/>
  <c r="BE536" i="9" s="1"/>
  <c r="BE537" i="9" s="1"/>
  <c r="BE538" i="9" s="1"/>
  <c r="BE539" i="9" s="1"/>
  <c r="BE540" i="9" s="1"/>
  <c r="BE541" i="9" s="1"/>
  <c r="BE542" i="9" s="1"/>
  <c r="BE543" i="9" s="1"/>
  <c r="BE544" i="9" s="1"/>
  <c r="BE545" i="9" s="1"/>
  <c r="BE546" i="9" s="1"/>
  <c r="BE547" i="9" s="1"/>
  <c r="BE548" i="9" s="1"/>
  <c r="BE549" i="9" s="1"/>
  <c r="BE550" i="9" s="1"/>
  <c r="BE551" i="9" s="1"/>
  <c r="BE552" i="9" s="1"/>
  <c r="BE553" i="9" s="1"/>
  <c r="BE554" i="9" s="1"/>
  <c r="BE555" i="9" s="1"/>
  <c r="BE556" i="9" s="1"/>
  <c r="BE557" i="9" s="1"/>
  <c r="BE558" i="9" s="1"/>
  <c r="BE559" i="9" s="1"/>
  <c r="BE560" i="9" s="1"/>
  <c r="BE561" i="9" s="1"/>
  <c r="BE562" i="9" s="1"/>
  <c r="BE563" i="9" s="1"/>
  <c r="BE564" i="9" s="1"/>
  <c r="BE565" i="9" s="1"/>
  <c r="BE566" i="9" s="1"/>
  <c r="BE567" i="9" s="1"/>
  <c r="BE568" i="9" s="1"/>
  <c r="BE569" i="9" s="1"/>
  <c r="BE570" i="9" s="1"/>
  <c r="BE571" i="9" s="1"/>
  <c r="BE572" i="9" s="1"/>
  <c r="BE573" i="9" s="1"/>
  <c r="BE574" i="9" s="1"/>
  <c r="BE575" i="9" s="1"/>
  <c r="BE576" i="9" s="1"/>
  <c r="BE577" i="9" s="1"/>
  <c r="BE578" i="9" s="1"/>
  <c r="BE579" i="9" s="1"/>
  <c r="BE580" i="9" s="1"/>
  <c r="BE581" i="9" s="1"/>
  <c r="BE582" i="9" s="1"/>
  <c r="BE583" i="9" s="1"/>
  <c r="BE584" i="9" s="1"/>
  <c r="BE585" i="9" s="1"/>
  <c r="BE586" i="9" s="1"/>
  <c r="BE587" i="9" s="1"/>
  <c r="BE588" i="9" s="1"/>
  <c r="BE589" i="9" s="1"/>
  <c r="BE590" i="9" s="1"/>
  <c r="BE591" i="9" s="1"/>
  <c r="BE592" i="9" s="1"/>
  <c r="BE593" i="9" s="1"/>
  <c r="BE594" i="9" s="1"/>
  <c r="BE595" i="9" s="1"/>
  <c r="BE596" i="9" s="1"/>
  <c r="BE597" i="9" s="1"/>
  <c r="BE598" i="9" s="1"/>
  <c r="BE599" i="9" s="1"/>
  <c r="BE600" i="9" s="1"/>
  <c r="BE601" i="9" s="1"/>
  <c r="BE602" i="9" s="1"/>
  <c r="BE603" i="9" s="1"/>
  <c r="BE604" i="9" s="1"/>
  <c r="BE605" i="9" s="1"/>
  <c r="BE606" i="9" s="1"/>
  <c r="BE607" i="9" s="1"/>
  <c r="BE608" i="9" s="1"/>
  <c r="BE609" i="9" s="1"/>
  <c r="BE610" i="9" s="1"/>
  <c r="BE611" i="9" s="1"/>
  <c r="BE612" i="9" s="1"/>
  <c r="BE613" i="9" s="1"/>
  <c r="BE614" i="9" s="1"/>
  <c r="BE615" i="9" s="1"/>
  <c r="BE616" i="9" s="1"/>
  <c r="BE617" i="9" s="1"/>
  <c r="BE618" i="9" s="1"/>
  <c r="BE619" i="9" s="1"/>
  <c r="BE620" i="9" s="1"/>
  <c r="BE621" i="9" s="1"/>
  <c r="BE622" i="9" s="1"/>
  <c r="BE623" i="9" s="1"/>
  <c r="BE624" i="9" s="1"/>
  <c r="BE625" i="9" s="1"/>
  <c r="BE626" i="9" s="1"/>
  <c r="BE627" i="9" s="1"/>
  <c r="BE628" i="9" s="1"/>
  <c r="BE629" i="9" s="1"/>
  <c r="BE630" i="9" s="1"/>
  <c r="BE631" i="9" s="1"/>
  <c r="BE632" i="9" s="1"/>
  <c r="BE633" i="9" s="1"/>
  <c r="BE634" i="9" s="1"/>
  <c r="BE635" i="9" s="1"/>
  <c r="BE636" i="9" s="1"/>
  <c r="BE637" i="9" s="1"/>
  <c r="BE638" i="9" s="1"/>
  <c r="BE639" i="9" s="1"/>
  <c r="BE640" i="9" s="1"/>
  <c r="BE641" i="9" s="1"/>
  <c r="BE642" i="9" s="1"/>
  <c r="BE643" i="9" s="1"/>
  <c r="BE644" i="9" s="1"/>
  <c r="BE645" i="9" s="1"/>
  <c r="BE646" i="9" s="1"/>
  <c r="BE647" i="9" s="1"/>
  <c r="BE648" i="9" s="1"/>
  <c r="BE649" i="9" s="1"/>
  <c r="BE650" i="9" s="1"/>
  <c r="BE651" i="9" s="1"/>
  <c r="BE652" i="9" s="1"/>
  <c r="BE653" i="9" s="1"/>
  <c r="BE654" i="9" s="1"/>
  <c r="BE655" i="9" s="1"/>
  <c r="BE656" i="9" s="1"/>
  <c r="BE657" i="9" s="1"/>
  <c r="BE658" i="9" s="1"/>
  <c r="BE659" i="9" s="1"/>
  <c r="BE660" i="9" s="1"/>
  <c r="BE661" i="9" s="1"/>
  <c r="BE662" i="9" s="1"/>
  <c r="BE663" i="9" s="1"/>
  <c r="BE664" i="9" s="1"/>
  <c r="BE665" i="9" s="1"/>
  <c r="BE666" i="9" s="1"/>
  <c r="BE667" i="9" s="1"/>
  <c r="BE668" i="9" s="1"/>
  <c r="BE669" i="9" s="1"/>
  <c r="BE670" i="9" s="1"/>
  <c r="BE671" i="9" s="1"/>
  <c r="BE672" i="9" s="1"/>
  <c r="BE673" i="9" s="1"/>
  <c r="BE674" i="9" s="1"/>
  <c r="BE675" i="9" s="1"/>
  <c r="BE676" i="9" s="1"/>
  <c r="BE677" i="9" s="1"/>
  <c r="BE678" i="9" s="1"/>
  <c r="BE679" i="9" s="1"/>
  <c r="BE680" i="9" s="1"/>
  <c r="BE681" i="9" s="1"/>
  <c r="BE682" i="9" s="1"/>
  <c r="BE683" i="9" s="1"/>
  <c r="BE684" i="9" s="1"/>
  <c r="BE685" i="9" s="1"/>
  <c r="BF404" i="9"/>
  <c r="BF405" i="9" s="1"/>
  <c r="BF406" i="9" s="1"/>
  <c r="BF407" i="9" s="1"/>
  <c r="BF408" i="9" s="1"/>
  <c r="BF409" i="9" s="1"/>
  <c r="BF410" i="9" s="1"/>
  <c r="BF411" i="9" s="1"/>
  <c r="BF412" i="9" s="1"/>
  <c r="BF413" i="9" s="1"/>
  <c r="BF414" i="9" s="1"/>
  <c r="BF415" i="9" s="1"/>
  <c r="BF416" i="9" s="1"/>
  <c r="BF417" i="9" s="1"/>
  <c r="BF418" i="9" s="1"/>
  <c r="BF419" i="9" s="1"/>
  <c r="BF420" i="9" s="1"/>
  <c r="BF421" i="9" s="1"/>
  <c r="BF422" i="9" s="1"/>
  <c r="BF423" i="9" s="1"/>
  <c r="BF424" i="9" s="1"/>
  <c r="BF425" i="9" s="1"/>
  <c r="BF426" i="9" s="1"/>
  <c r="BF427" i="9" s="1"/>
  <c r="BF428" i="9" s="1"/>
  <c r="BF429" i="9" s="1"/>
  <c r="BF430" i="9" s="1"/>
  <c r="BF431" i="9" s="1"/>
  <c r="BF432" i="9" s="1"/>
  <c r="BF433" i="9" s="1"/>
  <c r="BF434" i="9" s="1"/>
  <c r="BF435" i="9" s="1"/>
  <c r="BF436" i="9" s="1"/>
  <c r="BF437" i="9" s="1"/>
  <c r="BF438" i="9" s="1"/>
  <c r="BF439" i="9" s="1"/>
  <c r="BF440" i="9" s="1"/>
  <c r="BF441" i="9" s="1"/>
  <c r="BF442" i="9" s="1"/>
  <c r="BF443" i="9" s="1"/>
  <c r="BF444" i="9" s="1"/>
  <c r="BF445" i="9" s="1"/>
  <c r="BF446" i="9" s="1"/>
  <c r="BF447" i="9" s="1"/>
  <c r="BF448" i="9" s="1"/>
  <c r="BF449" i="9" s="1"/>
  <c r="BF450" i="9" s="1"/>
  <c r="BF451" i="9" s="1"/>
  <c r="BF452" i="9" s="1"/>
  <c r="BF453" i="9" s="1"/>
  <c r="BF454" i="9" s="1"/>
  <c r="BF455" i="9" s="1"/>
  <c r="BF456" i="9" s="1"/>
  <c r="BF457" i="9" s="1"/>
  <c r="BF458" i="9" s="1"/>
  <c r="BF459" i="9" s="1"/>
  <c r="BF460" i="9" s="1"/>
  <c r="BF461" i="9" s="1"/>
  <c r="BF462" i="9" s="1"/>
  <c r="BF463" i="9" s="1"/>
  <c r="BF464" i="9" s="1"/>
  <c r="BF465" i="9" s="1"/>
  <c r="BF466" i="9" s="1"/>
  <c r="BF467" i="9" s="1"/>
  <c r="BF468" i="9" s="1"/>
  <c r="BF469" i="9" s="1"/>
  <c r="BF470" i="9" s="1"/>
  <c r="BF471" i="9" s="1"/>
  <c r="BF472" i="9" s="1"/>
  <c r="BF473" i="9" s="1"/>
  <c r="BF474" i="9" s="1"/>
  <c r="BF475" i="9" s="1"/>
  <c r="BF476" i="9" s="1"/>
  <c r="BF477" i="9" s="1"/>
  <c r="BF478" i="9" s="1"/>
  <c r="BF479" i="9" s="1"/>
  <c r="BF480" i="9" s="1"/>
  <c r="BF481" i="9" s="1"/>
  <c r="BF482" i="9" s="1"/>
  <c r="BF483" i="9" s="1"/>
  <c r="BF484" i="9" s="1"/>
  <c r="BF485" i="9" s="1"/>
  <c r="BF486" i="9" s="1"/>
  <c r="BF487" i="9" s="1"/>
  <c r="BF488" i="9" s="1"/>
  <c r="BF489" i="9" s="1"/>
  <c r="BF490" i="9" s="1"/>
  <c r="BF491" i="9" s="1"/>
  <c r="BF492" i="9" s="1"/>
  <c r="BF493" i="9" s="1"/>
  <c r="BF494" i="9" s="1"/>
  <c r="BF495" i="9" s="1"/>
  <c r="BF496" i="9" s="1"/>
  <c r="BF497" i="9" s="1"/>
  <c r="BF498" i="9" s="1"/>
  <c r="BF499" i="9" s="1"/>
  <c r="BF500" i="9" s="1"/>
  <c r="BF501" i="9" s="1"/>
  <c r="BF502" i="9" s="1"/>
  <c r="BF503" i="9" s="1"/>
  <c r="BF504" i="9" s="1"/>
  <c r="BF505" i="9" s="1"/>
  <c r="BF506" i="9" s="1"/>
  <c r="BF507" i="9" s="1"/>
  <c r="BF508" i="9" s="1"/>
  <c r="BF509" i="9" s="1"/>
  <c r="BF510" i="9" s="1"/>
  <c r="BF511" i="9" s="1"/>
  <c r="BF512" i="9" s="1"/>
  <c r="BF513" i="9" s="1"/>
  <c r="BF514" i="9" s="1"/>
  <c r="BF515" i="9" s="1"/>
  <c r="BF516" i="9" s="1"/>
  <c r="BF517" i="9" s="1"/>
  <c r="BF518" i="9" s="1"/>
  <c r="BF519" i="9" s="1"/>
  <c r="BF520" i="9" s="1"/>
  <c r="BF521" i="9" s="1"/>
  <c r="BF522" i="9" s="1"/>
  <c r="BF523" i="9" s="1"/>
  <c r="BF524" i="9" s="1"/>
  <c r="BF525" i="9" s="1"/>
  <c r="BF526" i="9" s="1"/>
  <c r="BF527" i="9" s="1"/>
  <c r="BF528" i="9" s="1"/>
  <c r="BF529" i="9" s="1"/>
  <c r="BF530" i="9" s="1"/>
  <c r="BF531" i="9" s="1"/>
  <c r="BF532" i="9" s="1"/>
  <c r="BF533" i="9" s="1"/>
  <c r="BF534" i="9" s="1"/>
  <c r="BF535" i="9" s="1"/>
  <c r="BF536" i="9" s="1"/>
  <c r="BF537" i="9" s="1"/>
  <c r="BF538" i="9" s="1"/>
  <c r="BF539" i="9" s="1"/>
  <c r="BF540" i="9" s="1"/>
  <c r="BF541" i="9" s="1"/>
  <c r="BF542" i="9" s="1"/>
  <c r="BF543" i="9" s="1"/>
  <c r="BF544" i="9" s="1"/>
  <c r="BF545" i="9" s="1"/>
  <c r="BF546" i="9" s="1"/>
  <c r="BF547" i="9" s="1"/>
  <c r="BF548" i="9" s="1"/>
  <c r="BF549" i="9" s="1"/>
  <c r="BF550" i="9" s="1"/>
  <c r="BF551" i="9" s="1"/>
  <c r="BF552" i="9" s="1"/>
  <c r="BF553" i="9" s="1"/>
  <c r="BF554" i="9" s="1"/>
  <c r="BF555" i="9" s="1"/>
  <c r="BF556" i="9" s="1"/>
  <c r="BF557" i="9" s="1"/>
  <c r="BF558" i="9" s="1"/>
  <c r="BF559" i="9" s="1"/>
  <c r="BF560" i="9" s="1"/>
  <c r="BF561" i="9" s="1"/>
  <c r="BF562" i="9" s="1"/>
  <c r="BF563" i="9" s="1"/>
  <c r="BF564" i="9" s="1"/>
  <c r="BF565" i="9" s="1"/>
  <c r="BF566" i="9" s="1"/>
  <c r="BF567" i="9" s="1"/>
  <c r="BF568" i="9" s="1"/>
  <c r="BF569" i="9" s="1"/>
  <c r="BF570" i="9" s="1"/>
  <c r="BF571" i="9" s="1"/>
  <c r="BF572" i="9" s="1"/>
  <c r="BF573" i="9" s="1"/>
  <c r="BF574" i="9" s="1"/>
  <c r="BF575" i="9" s="1"/>
  <c r="BF576" i="9" s="1"/>
  <c r="BF577" i="9" s="1"/>
  <c r="BF578" i="9" s="1"/>
  <c r="BF579" i="9" s="1"/>
  <c r="BF580" i="9" s="1"/>
  <c r="BF581" i="9" s="1"/>
  <c r="BF582" i="9" s="1"/>
  <c r="BF583" i="9" s="1"/>
  <c r="BF584" i="9" s="1"/>
  <c r="BF585" i="9" s="1"/>
  <c r="BF586" i="9" s="1"/>
  <c r="BF587" i="9" s="1"/>
  <c r="BF588" i="9" s="1"/>
  <c r="BF589" i="9" s="1"/>
  <c r="BF590" i="9" s="1"/>
  <c r="BF591" i="9" s="1"/>
  <c r="BF592" i="9" s="1"/>
  <c r="BF593" i="9" s="1"/>
  <c r="BF594" i="9" s="1"/>
  <c r="BF595" i="9" s="1"/>
  <c r="BF596" i="9" s="1"/>
  <c r="BF597" i="9" s="1"/>
  <c r="BF598" i="9" s="1"/>
  <c r="BF599" i="9" s="1"/>
  <c r="BF600" i="9" s="1"/>
  <c r="BF601" i="9" s="1"/>
  <c r="BF602" i="9" s="1"/>
  <c r="BF603" i="9" s="1"/>
  <c r="BF604" i="9" s="1"/>
  <c r="BF605" i="9" s="1"/>
  <c r="BF606" i="9" s="1"/>
  <c r="BF607" i="9" s="1"/>
  <c r="BF608" i="9" s="1"/>
  <c r="BF609" i="9" s="1"/>
  <c r="BF610" i="9" s="1"/>
  <c r="BF611" i="9" s="1"/>
  <c r="BF612" i="9" s="1"/>
  <c r="BF613" i="9" s="1"/>
  <c r="BF614" i="9" s="1"/>
  <c r="BF615" i="9" s="1"/>
  <c r="BF616" i="9" s="1"/>
  <c r="BF617" i="9" s="1"/>
  <c r="BF618" i="9" s="1"/>
  <c r="BF619" i="9" s="1"/>
  <c r="BF620" i="9" s="1"/>
  <c r="BF621" i="9" s="1"/>
  <c r="BF622" i="9" s="1"/>
  <c r="BF623" i="9" s="1"/>
  <c r="BF624" i="9" s="1"/>
  <c r="BF625" i="9" s="1"/>
  <c r="BF626" i="9" s="1"/>
  <c r="BF627" i="9" s="1"/>
  <c r="BF628" i="9" s="1"/>
  <c r="BF629" i="9" s="1"/>
  <c r="BF630" i="9" s="1"/>
  <c r="BF631" i="9" s="1"/>
  <c r="BF632" i="9" s="1"/>
  <c r="BF633" i="9" s="1"/>
  <c r="BF634" i="9" s="1"/>
  <c r="BF635" i="9" s="1"/>
  <c r="BF636" i="9" s="1"/>
  <c r="BF637" i="9" s="1"/>
  <c r="BF638" i="9" s="1"/>
  <c r="BF639" i="9" s="1"/>
  <c r="BF640" i="9" s="1"/>
  <c r="BF641" i="9" s="1"/>
  <c r="BF642" i="9" s="1"/>
  <c r="BF643" i="9" s="1"/>
  <c r="BF644" i="9" s="1"/>
  <c r="BF645" i="9" s="1"/>
  <c r="BF646" i="9" s="1"/>
  <c r="BF647" i="9" s="1"/>
  <c r="BF648" i="9" s="1"/>
  <c r="BF649" i="9" s="1"/>
  <c r="BF650" i="9" s="1"/>
  <c r="BF651" i="9" s="1"/>
  <c r="BF652" i="9" s="1"/>
  <c r="BF653" i="9" s="1"/>
  <c r="BF654" i="9" s="1"/>
  <c r="BF655" i="9" s="1"/>
  <c r="BF656" i="9" s="1"/>
  <c r="BF657" i="9" s="1"/>
  <c r="BF658" i="9" s="1"/>
  <c r="BF659" i="9" s="1"/>
  <c r="BF660" i="9" s="1"/>
  <c r="BF661" i="9" s="1"/>
  <c r="BF662" i="9" s="1"/>
  <c r="BF663" i="9" s="1"/>
  <c r="BF664" i="9" s="1"/>
  <c r="BF665" i="9" s="1"/>
  <c r="BF666" i="9" s="1"/>
  <c r="BF667" i="9" s="1"/>
  <c r="BF668" i="9" s="1"/>
  <c r="BF669" i="9" s="1"/>
  <c r="BF670" i="9" s="1"/>
  <c r="BF671" i="9" s="1"/>
  <c r="BF672" i="9" s="1"/>
  <c r="BF673" i="9" s="1"/>
  <c r="BF674" i="9" s="1"/>
  <c r="BF675" i="9" s="1"/>
  <c r="BF676" i="9" s="1"/>
  <c r="BF677" i="9" s="1"/>
  <c r="BF678" i="9" s="1"/>
  <c r="BF679" i="9" s="1"/>
  <c r="BF680" i="9" s="1"/>
  <c r="BF681" i="9" s="1"/>
  <c r="BF682" i="9" s="1"/>
  <c r="BF683" i="9" s="1"/>
  <c r="BF684" i="9" s="1"/>
  <c r="BF685" i="9" s="1"/>
  <c r="AS88" i="9"/>
  <c r="DF73" i="9" s="1"/>
  <c r="E43" i="9"/>
  <c r="D43" i="9"/>
  <c r="AE273" i="8"/>
  <c r="BU255" i="8"/>
  <c r="AC127" i="8"/>
  <c r="BR409" i="8"/>
  <c r="V410" i="8"/>
  <c r="BS408" i="8" s="1"/>
  <c r="BT408" i="8" s="1"/>
  <c r="AD116" i="8"/>
  <c r="AC278" i="8"/>
  <c r="AC207" i="8"/>
  <c r="V393" i="8"/>
  <c r="BS391" i="8" s="1"/>
  <c r="BT391" i="8" s="1"/>
  <c r="BR392" i="8"/>
  <c r="AE341" i="8"/>
  <c r="BU323" i="8"/>
  <c r="AE202" i="8"/>
  <c r="BU184" i="8"/>
  <c r="BS407" i="8"/>
  <c r="BT407" i="8" s="1"/>
  <c r="B38" i="8"/>
  <c r="F37" i="8"/>
  <c r="AO91" i="8"/>
  <c r="BU73" i="8"/>
  <c r="AC346" i="8"/>
  <c r="Z132" i="6"/>
  <c r="AC95" i="6"/>
  <c r="F35" i="6"/>
  <c r="B36" i="6"/>
  <c r="AQ406" i="9" l="1"/>
  <c r="AQ76" i="9"/>
  <c r="DC75" i="9"/>
  <c r="DD74" i="9"/>
  <c r="DE74" i="9" s="1"/>
  <c r="AS89" i="9"/>
  <c r="DF74" i="9" s="1"/>
  <c r="F43" i="9"/>
  <c r="B44" i="9"/>
  <c r="AC208" i="8"/>
  <c r="AD117" i="8"/>
  <c r="AC128" i="8"/>
  <c r="AO92" i="8"/>
  <c r="BU74" i="8"/>
  <c r="AC347" i="8"/>
  <c r="BJ38" i="8"/>
  <c r="E38" i="8"/>
  <c r="D38" i="8"/>
  <c r="BS38" i="8"/>
  <c r="BT38" i="8" s="1"/>
  <c r="AE203" i="8"/>
  <c r="BU185" i="8"/>
  <c r="V411" i="8"/>
  <c r="BR410" i="8"/>
  <c r="V394" i="8"/>
  <c r="BR393" i="8"/>
  <c r="AC279" i="8"/>
  <c r="AE342" i="8"/>
  <c r="BU324" i="8"/>
  <c r="AE274" i="8"/>
  <c r="BU256" i="8"/>
  <c r="Z133" i="6"/>
  <c r="AC96" i="6"/>
  <c r="E36" i="6"/>
  <c r="D36" i="6"/>
  <c r="AQ77" i="9" l="1"/>
  <c r="DC76" i="9"/>
  <c r="DD75" i="9"/>
  <c r="DE75" i="9" s="1"/>
  <c r="AQ407" i="9"/>
  <c r="AS90" i="9"/>
  <c r="DF75" i="9" s="1"/>
  <c r="E44" i="9"/>
  <c r="D44" i="9"/>
  <c r="BR394" i="8"/>
  <c r="AE275" i="8"/>
  <c r="BU257" i="8"/>
  <c r="AC280" i="8"/>
  <c r="AE204" i="8"/>
  <c r="BU186" i="8"/>
  <c r="AO93" i="8"/>
  <c r="BU75" i="8"/>
  <c r="AD118" i="8"/>
  <c r="V412" i="8"/>
  <c r="BS410" i="8" s="1"/>
  <c r="BT410" i="8" s="1"/>
  <c r="BR411" i="8"/>
  <c r="AC209" i="8"/>
  <c r="AE343" i="8"/>
  <c r="BU325" i="8"/>
  <c r="BS392" i="8"/>
  <c r="BT392" i="8" s="1"/>
  <c r="BS409" i="8"/>
  <c r="BT409" i="8" s="1"/>
  <c r="F38" i="8"/>
  <c r="B39" i="8"/>
  <c r="AC348" i="8"/>
  <c r="AC129" i="8"/>
  <c r="Z134" i="6"/>
  <c r="AC97" i="6"/>
  <c r="F36" i="6"/>
  <c r="B37" i="6"/>
  <c r="AQ408" i="9" l="1"/>
  <c r="AQ78" i="9"/>
  <c r="DD76" i="9" s="1"/>
  <c r="DE76" i="9" s="1"/>
  <c r="DC77" i="9"/>
  <c r="AS91" i="9"/>
  <c r="DF76" i="9" s="1"/>
  <c r="F44" i="9"/>
  <c r="B45" i="9"/>
  <c r="AD119" i="8"/>
  <c r="AE205" i="8"/>
  <c r="BU187" i="8"/>
  <c r="AE276" i="8"/>
  <c r="BU258" i="8"/>
  <c r="AC210" i="8"/>
  <c r="E39" i="8"/>
  <c r="D39" i="8"/>
  <c r="AC130" i="8"/>
  <c r="AC349" i="8"/>
  <c r="AE344" i="8"/>
  <c r="BU326" i="8"/>
  <c r="BR412" i="8"/>
  <c r="V413" i="8"/>
  <c r="BS411" i="8" s="1"/>
  <c r="BT411" i="8" s="1"/>
  <c r="AO94" i="8"/>
  <c r="BU76" i="8"/>
  <c r="AC281" i="8"/>
  <c r="Z135" i="6"/>
  <c r="Z136" i="6" s="1"/>
  <c r="AC98" i="6"/>
  <c r="E37" i="6"/>
  <c r="D37" i="6"/>
  <c r="AQ79" i="9" l="1"/>
  <c r="DD77" i="9" s="1"/>
  <c r="DE77" i="9" s="1"/>
  <c r="DC78" i="9"/>
  <c r="AQ409" i="9"/>
  <c r="AS92" i="9"/>
  <c r="DF77" i="9" s="1"/>
  <c r="D45" i="9"/>
  <c r="E45" i="9"/>
  <c r="AC282" i="8"/>
  <c r="AO95" i="8"/>
  <c r="BU77" i="8"/>
  <c r="BR413" i="8"/>
  <c r="V414" i="8"/>
  <c r="AE345" i="8"/>
  <c r="BU327" i="8"/>
  <c r="AC131" i="8"/>
  <c r="AC211" i="8"/>
  <c r="AE206" i="8"/>
  <c r="BU188" i="8"/>
  <c r="F39" i="8"/>
  <c r="B40" i="8"/>
  <c r="AC350" i="8"/>
  <c r="AE277" i="8"/>
  <c r="BU259" i="8"/>
  <c r="AD120" i="8"/>
  <c r="Z137" i="6"/>
  <c r="AC99" i="6"/>
  <c r="F37" i="6"/>
  <c r="B38" i="6"/>
  <c r="BS38" i="6" s="1"/>
  <c r="BT38" i="6" s="1"/>
  <c r="AQ410" i="9" l="1"/>
  <c r="AQ80" i="9"/>
  <c r="DC79" i="9"/>
  <c r="DD78" i="9"/>
  <c r="DE78" i="9" s="1"/>
  <c r="AS93" i="9"/>
  <c r="DF78" i="9" s="1"/>
  <c r="F45" i="9"/>
  <c r="B46" i="9"/>
  <c r="AC212" i="8"/>
  <c r="AE346" i="8"/>
  <c r="BU328" i="8"/>
  <c r="V415" i="8"/>
  <c r="BR414" i="8"/>
  <c r="AO96" i="8"/>
  <c r="BU78" i="8"/>
  <c r="AC351" i="8"/>
  <c r="AE207" i="8"/>
  <c r="BU189" i="8"/>
  <c r="AC132" i="8"/>
  <c r="AE278" i="8"/>
  <c r="BU260" i="8"/>
  <c r="AD121" i="8"/>
  <c r="E40" i="8"/>
  <c r="D40" i="8"/>
  <c r="BS412" i="8"/>
  <c r="BT412" i="8" s="1"/>
  <c r="AC283" i="8"/>
  <c r="Z138" i="6"/>
  <c r="AC100" i="6"/>
  <c r="E38" i="6"/>
  <c r="BJ38" i="6"/>
  <c r="D38" i="6"/>
  <c r="AQ81" i="9" l="1"/>
  <c r="DD79" i="9"/>
  <c r="DE79" i="9" s="1"/>
  <c r="DC80" i="9"/>
  <c r="AQ411" i="9"/>
  <c r="AS94" i="9"/>
  <c r="DF79" i="9" s="1"/>
  <c r="D46" i="9"/>
  <c r="E46" i="9"/>
  <c r="AE279" i="8"/>
  <c r="BU261" i="8"/>
  <c r="AE208" i="8"/>
  <c r="BU190" i="8"/>
  <c r="AO97" i="8"/>
  <c r="BU79" i="8"/>
  <c r="F40" i="8"/>
  <c r="B41" i="8"/>
  <c r="AC284" i="8"/>
  <c r="AC133" i="8"/>
  <c r="AE347" i="8"/>
  <c r="BU329" i="8"/>
  <c r="AD122" i="8"/>
  <c r="BU104" i="8"/>
  <c r="AC352" i="8"/>
  <c r="V416" i="8"/>
  <c r="BR415" i="8"/>
  <c r="BS413" i="8"/>
  <c r="BT413" i="8" s="1"/>
  <c r="AC213" i="8"/>
  <c r="Z139" i="6"/>
  <c r="AC101" i="6"/>
  <c r="F38" i="6"/>
  <c r="B39" i="6"/>
  <c r="AQ412" i="9" l="1"/>
  <c r="AQ82" i="9"/>
  <c r="DC81" i="9"/>
  <c r="AS95" i="9"/>
  <c r="DF80" i="9" s="1"/>
  <c r="F46" i="9"/>
  <c r="B47" i="9"/>
  <c r="AC214" i="8"/>
  <c r="E41" i="8"/>
  <c r="D41" i="8"/>
  <c r="BS41" i="8"/>
  <c r="BT41" i="8" s="1"/>
  <c r="BR416" i="8"/>
  <c r="V417" i="8"/>
  <c r="BS414" i="8"/>
  <c r="BT414" i="8" s="1"/>
  <c r="AD123" i="8"/>
  <c r="AC134" i="8"/>
  <c r="AE209" i="8"/>
  <c r="BU191" i="8"/>
  <c r="AC353" i="8"/>
  <c r="AE348" i="8"/>
  <c r="BU330" i="8"/>
  <c r="AC285" i="8"/>
  <c r="AO98" i="8"/>
  <c r="BU80" i="8"/>
  <c r="AE280" i="8"/>
  <c r="BU262" i="8"/>
  <c r="Z140" i="6"/>
  <c r="Z141" i="6" s="1"/>
  <c r="AC102" i="6"/>
  <c r="D39" i="6"/>
  <c r="E39" i="6"/>
  <c r="AQ83" i="9" l="1"/>
  <c r="DC82" i="9"/>
  <c r="DD81" i="9"/>
  <c r="DE81" i="9" s="1"/>
  <c r="DD80" i="9"/>
  <c r="DE80" i="9" s="1"/>
  <c r="AQ413" i="9"/>
  <c r="AS96" i="9"/>
  <c r="DF81" i="9" s="1"/>
  <c r="D47" i="9"/>
  <c r="CU47" i="9"/>
  <c r="E47" i="9"/>
  <c r="AE281" i="8"/>
  <c r="BU263" i="8"/>
  <c r="AC286" i="8"/>
  <c r="AC354" i="8"/>
  <c r="AC135" i="8"/>
  <c r="BR417" i="8"/>
  <c r="V418" i="8"/>
  <c r="F41" i="8"/>
  <c r="B42" i="8"/>
  <c r="AO99" i="8"/>
  <c r="AO100" i="8" s="1"/>
  <c r="BU81" i="8"/>
  <c r="AE349" i="8"/>
  <c r="BU331" i="8"/>
  <c r="AE210" i="8"/>
  <c r="BU192" i="8"/>
  <c r="AD124" i="8"/>
  <c r="BS415" i="8"/>
  <c r="BT415" i="8" s="1"/>
  <c r="AC215" i="8"/>
  <c r="Z142" i="6"/>
  <c r="AC103" i="6"/>
  <c r="B40" i="6"/>
  <c r="F39" i="6"/>
  <c r="AQ414" i="9" l="1"/>
  <c r="AQ84" i="9"/>
  <c r="DC83" i="9"/>
  <c r="DD82" i="9"/>
  <c r="DE82" i="9" s="1"/>
  <c r="AS97" i="9"/>
  <c r="DF82" i="9" s="1"/>
  <c r="F47" i="9"/>
  <c r="B48" i="9"/>
  <c r="AC136" i="8"/>
  <c r="V419" i="8"/>
  <c r="BR418" i="8"/>
  <c r="AC287" i="8"/>
  <c r="AD125" i="8"/>
  <c r="AC216" i="8"/>
  <c r="AO101" i="8"/>
  <c r="BU83" i="8"/>
  <c r="AE350" i="8"/>
  <c r="BU332" i="8"/>
  <c r="AE211" i="8"/>
  <c r="BU193" i="8"/>
  <c r="D42" i="8"/>
  <c r="E42" i="8"/>
  <c r="BS416" i="8"/>
  <c r="BT416" i="8" s="1"/>
  <c r="AC355" i="8"/>
  <c r="AE282" i="8"/>
  <c r="BU264" i="8"/>
  <c r="Z143" i="6"/>
  <c r="AC104" i="6"/>
  <c r="D40" i="6"/>
  <c r="E40" i="6"/>
  <c r="AQ85" i="9" l="1"/>
  <c r="DC84" i="9"/>
  <c r="DD83" i="9"/>
  <c r="DE83" i="9" s="1"/>
  <c r="AQ415" i="9"/>
  <c r="AS98" i="9"/>
  <c r="DF83" i="9" s="1"/>
  <c r="D48" i="9"/>
  <c r="E48" i="9"/>
  <c r="AE212" i="8"/>
  <c r="BU194" i="8"/>
  <c r="AO102" i="8"/>
  <c r="BU84" i="8"/>
  <c r="AD126" i="8"/>
  <c r="V420" i="8"/>
  <c r="BR419" i="8"/>
  <c r="AE283" i="8"/>
  <c r="BU265" i="8"/>
  <c r="BS417" i="8"/>
  <c r="BT417" i="8" s="1"/>
  <c r="B43" i="8"/>
  <c r="F42" i="8"/>
  <c r="AE351" i="8"/>
  <c r="BU333" i="8"/>
  <c r="AC217" i="8"/>
  <c r="AC288" i="8"/>
  <c r="AC137" i="8"/>
  <c r="AC356" i="8"/>
  <c r="Z144" i="6"/>
  <c r="AC105" i="6"/>
  <c r="B41" i="6"/>
  <c r="BS41" i="6" s="1"/>
  <c r="BT41" i="6" s="1"/>
  <c r="F40" i="6"/>
  <c r="AQ416" i="9" l="1"/>
  <c r="AQ86" i="9"/>
  <c r="DC85" i="9"/>
  <c r="DD84" i="9"/>
  <c r="DE84" i="9" s="1"/>
  <c r="AS99" i="9"/>
  <c r="DF84" i="9" s="1"/>
  <c r="F48" i="9"/>
  <c r="B49" i="9"/>
  <c r="V421" i="8"/>
  <c r="BS419" i="8"/>
  <c r="BT419" i="8" s="1"/>
  <c r="BR420" i="8"/>
  <c r="AC357" i="8"/>
  <c r="AC289" i="8"/>
  <c r="AE352" i="8"/>
  <c r="BU334" i="8"/>
  <c r="BS418" i="8"/>
  <c r="BT418" i="8" s="1"/>
  <c r="AO103" i="8"/>
  <c r="BU85" i="8"/>
  <c r="AC138" i="8"/>
  <c r="AE284" i="8"/>
  <c r="BU266" i="8"/>
  <c r="AC218" i="8"/>
  <c r="D43" i="8"/>
  <c r="E43" i="8"/>
  <c r="AD127" i="8"/>
  <c r="AE213" i="8"/>
  <c r="BU195" i="8"/>
  <c r="Z145" i="6"/>
  <c r="AC106" i="6"/>
  <c r="D41" i="6"/>
  <c r="E41" i="6"/>
  <c r="AQ87" i="9" l="1"/>
  <c r="DC86" i="9"/>
  <c r="DD85" i="9"/>
  <c r="DE85" i="9" s="1"/>
  <c r="AQ417" i="9"/>
  <c r="AS100" i="9"/>
  <c r="DF85" i="9" s="1"/>
  <c r="D49" i="9"/>
  <c r="E49" i="9"/>
  <c r="AC358" i="8"/>
  <c r="AE285" i="8"/>
  <c r="BU267" i="8"/>
  <c r="AO104" i="8"/>
  <c r="AO105" i="8" s="1"/>
  <c r="BU86" i="8"/>
  <c r="AC290" i="8"/>
  <c r="AE353" i="8"/>
  <c r="BU335" i="8"/>
  <c r="AE214" i="8"/>
  <c r="BU196" i="8"/>
  <c r="B44" i="8"/>
  <c r="F43" i="8"/>
  <c r="AC139" i="8"/>
  <c r="AD128" i="8"/>
  <c r="BU110" i="8"/>
  <c r="AC219" i="8"/>
  <c r="BS420" i="8"/>
  <c r="BT420" i="8" s="1"/>
  <c r="BR421" i="8"/>
  <c r="Z146" i="6"/>
  <c r="Z147" i="6" s="1"/>
  <c r="AC107" i="6"/>
  <c r="B42" i="6"/>
  <c r="F41" i="6"/>
  <c r="AQ418" i="9" l="1"/>
  <c r="AQ88" i="9"/>
  <c r="DC87" i="9"/>
  <c r="DD86" i="9"/>
  <c r="DE86" i="9" s="1"/>
  <c r="AS101" i="9"/>
  <c r="DF86" i="9" s="1"/>
  <c r="F49" i="9"/>
  <c r="B50" i="9"/>
  <c r="AC220" i="8"/>
  <c r="AC140" i="8"/>
  <c r="AE215" i="8"/>
  <c r="BU197" i="8"/>
  <c r="AC291" i="8"/>
  <c r="AE286" i="8"/>
  <c r="BU268" i="8"/>
  <c r="AD129" i="8"/>
  <c r="BU111" i="8"/>
  <c r="D44" i="8"/>
  <c r="Z44" i="8"/>
  <c r="E44" i="8"/>
  <c r="BJ44" i="8"/>
  <c r="BS44" i="8"/>
  <c r="BT44" i="8" s="1"/>
  <c r="AE354" i="8"/>
  <c r="BU336" i="8"/>
  <c r="AO106" i="8"/>
  <c r="BU88" i="8"/>
  <c r="AC359" i="8"/>
  <c r="Z148" i="6"/>
  <c r="AC108" i="6"/>
  <c r="E42" i="6"/>
  <c r="D42" i="6"/>
  <c r="AQ89" i="9" l="1"/>
  <c r="DC88" i="9"/>
  <c r="DD87" i="9"/>
  <c r="DE87" i="9" s="1"/>
  <c r="AQ419" i="9"/>
  <c r="AS102" i="9"/>
  <c r="DF87" i="9" s="1"/>
  <c r="D50" i="9"/>
  <c r="CU50" i="9"/>
  <c r="E50" i="9"/>
  <c r="AC141" i="8"/>
  <c r="AE355" i="8"/>
  <c r="BU337" i="8"/>
  <c r="AO107" i="8"/>
  <c r="BU89" i="8"/>
  <c r="AC360" i="8"/>
  <c r="AD130" i="8"/>
  <c r="BU112" i="8"/>
  <c r="AC292" i="8"/>
  <c r="BS42" i="8"/>
  <c r="BT42" i="8" s="1"/>
  <c r="BR44" i="8"/>
  <c r="BR45" i="8"/>
  <c r="BS43" i="8"/>
  <c r="BT43" i="8" s="1"/>
  <c r="AC221" i="8"/>
  <c r="B45" i="8"/>
  <c r="F44" i="8"/>
  <c r="AE287" i="8"/>
  <c r="BU269" i="8"/>
  <c r="AE216" i="8"/>
  <c r="BU198" i="8"/>
  <c r="Z149" i="6"/>
  <c r="AC109" i="6"/>
  <c r="B43" i="6"/>
  <c r="F42" i="6"/>
  <c r="AQ420" i="9" l="1"/>
  <c r="AQ90" i="9"/>
  <c r="DD88" i="9" s="1"/>
  <c r="DE88" i="9" s="1"/>
  <c r="DC89" i="9"/>
  <c r="AS103" i="9"/>
  <c r="DF88" i="9" s="1"/>
  <c r="F50" i="9"/>
  <c r="B51" i="9"/>
  <c r="AC361" i="8"/>
  <c r="AE217" i="8"/>
  <c r="BU199" i="8"/>
  <c r="E45" i="8"/>
  <c r="D45" i="8"/>
  <c r="AC293" i="8"/>
  <c r="AE356" i="8"/>
  <c r="BU338" i="8"/>
  <c r="AC142" i="8"/>
  <c r="AC222" i="8"/>
  <c r="AE288" i="8"/>
  <c r="BU270" i="8"/>
  <c r="AD131" i="8"/>
  <c r="BU113" i="8"/>
  <c r="AO108" i="8"/>
  <c r="AO109" i="8" s="1"/>
  <c r="BU90" i="8"/>
  <c r="Z150" i="6"/>
  <c r="AC110" i="6"/>
  <c r="D43" i="6"/>
  <c r="E43" i="6"/>
  <c r="AQ91" i="9" l="1"/>
  <c r="DC90" i="9"/>
  <c r="DD89" i="9"/>
  <c r="DE89" i="9" s="1"/>
  <c r="AQ421" i="9"/>
  <c r="AS104" i="9"/>
  <c r="DF89" i="9" s="1"/>
  <c r="D51" i="9"/>
  <c r="E51" i="9"/>
  <c r="AC143" i="8"/>
  <c r="AO110" i="8"/>
  <c r="BU92" i="8"/>
  <c r="AE289" i="8"/>
  <c r="BU271" i="8"/>
  <c r="AC294" i="8"/>
  <c r="AE218" i="8"/>
  <c r="BU200" i="8"/>
  <c r="AC223" i="8"/>
  <c r="AC362" i="8"/>
  <c r="F45" i="8"/>
  <c r="B46" i="8"/>
  <c r="AD132" i="8"/>
  <c r="BU114" i="8"/>
  <c r="AE357" i="8"/>
  <c r="BU339" i="8"/>
  <c r="Z151" i="6"/>
  <c r="Z152" i="6" s="1"/>
  <c r="AC111" i="6"/>
  <c r="B44" i="6"/>
  <c r="BS44" i="6" s="1"/>
  <c r="BT44" i="6" s="1"/>
  <c r="F43" i="6"/>
  <c r="AQ422" i="9" l="1"/>
  <c r="AQ92" i="9"/>
  <c r="DC91" i="9"/>
  <c r="DD90" i="9"/>
  <c r="DE90" i="9" s="1"/>
  <c r="AS105" i="9"/>
  <c r="DF90" i="9" s="1"/>
  <c r="F51" i="9"/>
  <c r="B52" i="9"/>
  <c r="AE358" i="8"/>
  <c r="BU340" i="8"/>
  <c r="AC295" i="8"/>
  <c r="AO111" i="8"/>
  <c r="BU93" i="8"/>
  <c r="E46" i="8"/>
  <c r="D46" i="8"/>
  <c r="AC363" i="8"/>
  <c r="AC144" i="8"/>
  <c r="AC224" i="8"/>
  <c r="AD133" i="8"/>
  <c r="BU115" i="8"/>
  <c r="AE219" i="8"/>
  <c r="BU201" i="8"/>
  <c r="AE290" i="8"/>
  <c r="BU272" i="8"/>
  <c r="Z153" i="6"/>
  <c r="AC112" i="6"/>
  <c r="BJ44" i="6"/>
  <c r="Z44" i="6"/>
  <c r="E44" i="6"/>
  <c r="D44" i="6"/>
  <c r="AQ93" i="9" l="1"/>
  <c r="DC92" i="9"/>
  <c r="AQ423" i="9"/>
  <c r="AS106" i="9"/>
  <c r="DF91" i="9" s="1"/>
  <c r="D52" i="9"/>
  <c r="E52" i="9"/>
  <c r="AC364" i="8"/>
  <c r="AC145" i="8"/>
  <c r="F46" i="8"/>
  <c r="B47" i="8"/>
  <c r="AE291" i="8"/>
  <c r="BU273" i="8"/>
  <c r="AD134" i="8"/>
  <c r="BU116" i="8"/>
  <c r="AC296" i="8"/>
  <c r="AE220" i="8"/>
  <c r="BU202" i="8"/>
  <c r="AC225" i="8"/>
  <c r="AO112" i="8"/>
  <c r="BU94" i="8"/>
  <c r="AE359" i="8"/>
  <c r="BU341" i="8"/>
  <c r="BR44" i="6"/>
  <c r="BR45" i="6"/>
  <c r="Z154" i="6"/>
  <c r="AC113" i="6"/>
  <c r="BS42" i="6"/>
  <c r="BT42" i="6" s="1"/>
  <c r="BS43" i="6"/>
  <c r="BT43" i="6" s="1"/>
  <c r="B45" i="6"/>
  <c r="F44" i="6"/>
  <c r="AQ94" i="9" l="1"/>
  <c r="DD92" i="9" s="1"/>
  <c r="DE92" i="9" s="1"/>
  <c r="DC93" i="9"/>
  <c r="AQ424" i="9"/>
  <c r="DD91" i="9"/>
  <c r="DE91" i="9" s="1"/>
  <c r="AS107" i="9"/>
  <c r="DF92" i="9" s="1"/>
  <c r="F52" i="9"/>
  <c r="B53" i="9"/>
  <c r="AC146" i="8"/>
  <c r="AE360" i="8"/>
  <c r="BU342" i="8"/>
  <c r="AC226" i="8"/>
  <c r="AC297" i="8"/>
  <c r="AE292" i="8"/>
  <c r="BU274" i="8"/>
  <c r="W47" i="8"/>
  <c r="E47" i="8"/>
  <c r="BJ47" i="8"/>
  <c r="D47" i="8"/>
  <c r="BS47" i="8"/>
  <c r="BT47" i="8" s="1"/>
  <c r="AC365" i="8"/>
  <c r="AO113" i="8"/>
  <c r="AO114" i="8" s="1"/>
  <c r="BU95" i="8"/>
  <c r="AE221" i="8"/>
  <c r="BU203" i="8"/>
  <c r="AD135" i="8"/>
  <c r="BU117" i="8"/>
  <c r="Z155" i="6"/>
  <c r="AC114" i="6"/>
  <c r="E45" i="6"/>
  <c r="D45" i="6"/>
  <c r="AQ425" i="9" l="1"/>
  <c r="AQ95" i="9"/>
  <c r="DC94" i="9"/>
  <c r="DD93" i="9"/>
  <c r="DE93" i="9" s="1"/>
  <c r="AS108" i="9"/>
  <c r="DF93" i="9" s="1"/>
  <c r="D53" i="9"/>
  <c r="E53" i="9"/>
  <c r="AE222" i="8"/>
  <c r="BU204" i="8"/>
  <c r="BR47" i="8"/>
  <c r="BS46" i="8"/>
  <c r="BT46" i="8" s="1"/>
  <c r="BS45" i="8"/>
  <c r="BT45" i="8" s="1"/>
  <c r="BR48" i="8"/>
  <c r="AC298" i="8"/>
  <c r="AE361" i="8"/>
  <c r="BU343" i="8"/>
  <c r="AD136" i="8"/>
  <c r="BU118" i="8"/>
  <c r="AO115" i="8"/>
  <c r="BU97" i="8"/>
  <c r="F47" i="8"/>
  <c r="B48" i="8"/>
  <c r="AC366" i="8"/>
  <c r="AE293" i="8"/>
  <c r="BU275" i="8"/>
  <c r="AC227" i="8"/>
  <c r="BU130" i="8"/>
  <c r="Z156" i="6"/>
  <c r="Z157" i="6" s="1"/>
  <c r="AC115" i="6"/>
  <c r="B46" i="6"/>
  <c r="F45" i="6"/>
  <c r="AQ96" i="9" l="1"/>
  <c r="DC95" i="9"/>
  <c r="DD94" i="9"/>
  <c r="DE94" i="9" s="1"/>
  <c r="AQ426" i="9"/>
  <c r="AS109" i="9"/>
  <c r="DF94" i="9" s="1"/>
  <c r="F53" i="9"/>
  <c r="B54" i="9"/>
  <c r="AC367" i="8"/>
  <c r="D48" i="8"/>
  <c r="E48" i="8"/>
  <c r="AE294" i="8"/>
  <c r="BU276" i="8"/>
  <c r="AD137" i="8"/>
  <c r="BU119" i="8"/>
  <c r="AC299" i="8"/>
  <c r="AC228" i="8"/>
  <c r="AO116" i="8"/>
  <c r="BU98" i="8"/>
  <c r="AE362" i="8"/>
  <c r="BU344" i="8"/>
  <c r="AE223" i="8"/>
  <c r="BU205" i="8"/>
  <c r="Z158" i="6"/>
  <c r="AC116" i="6"/>
  <c r="E46" i="6"/>
  <c r="D46" i="6"/>
  <c r="AQ427" i="9" l="1"/>
  <c r="AQ97" i="9"/>
  <c r="DD95" i="9"/>
  <c r="DE95" i="9" s="1"/>
  <c r="DC96" i="9"/>
  <c r="AS110" i="9"/>
  <c r="DF95" i="9" s="1"/>
  <c r="D54" i="9"/>
  <c r="E54" i="9"/>
  <c r="CU54" i="9"/>
  <c r="AE363" i="8"/>
  <c r="BU345" i="8"/>
  <c r="AC229" i="8"/>
  <c r="AD138" i="8"/>
  <c r="BU120" i="8"/>
  <c r="F48" i="8"/>
  <c r="B49" i="8"/>
  <c r="AC368" i="8"/>
  <c r="AE224" i="8"/>
  <c r="BU206" i="8"/>
  <c r="AO117" i="8"/>
  <c r="BU99" i="8"/>
  <c r="AC300" i="8"/>
  <c r="AE295" i="8"/>
  <c r="BU277" i="8"/>
  <c r="Z159" i="6"/>
  <c r="AC117" i="6"/>
  <c r="F46" i="6"/>
  <c r="B47" i="6"/>
  <c r="BS47" i="6" s="1"/>
  <c r="BT47" i="6" s="1"/>
  <c r="AQ98" i="9" l="1"/>
  <c r="DC97" i="9"/>
  <c r="DD96" i="9"/>
  <c r="DE96" i="9" s="1"/>
  <c r="AQ428" i="9"/>
  <c r="AS111" i="9"/>
  <c r="DF96" i="9" s="1"/>
  <c r="F54" i="9"/>
  <c r="B55" i="9"/>
  <c r="AC230" i="8"/>
  <c r="AC369" i="8"/>
  <c r="D49" i="8"/>
  <c r="E49" i="8"/>
  <c r="AC301" i="8"/>
  <c r="AE225" i="8"/>
  <c r="BU207" i="8"/>
  <c r="AE296" i="8"/>
  <c r="BU278" i="8"/>
  <c r="AO118" i="8"/>
  <c r="BU100" i="8"/>
  <c r="AD139" i="8"/>
  <c r="BU121" i="8"/>
  <c r="AE364" i="8"/>
  <c r="BU346" i="8"/>
  <c r="Z160" i="6"/>
  <c r="AC118" i="6"/>
  <c r="E47" i="6"/>
  <c r="BJ47" i="6"/>
  <c r="W47" i="6"/>
  <c r="D47" i="6"/>
  <c r="AQ429" i="9" l="1"/>
  <c r="AQ99" i="9"/>
  <c r="DC98" i="9"/>
  <c r="DD97" i="9"/>
  <c r="DE97" i="9" s="1"/>
  <c r="AS112" i="9"/>
  <c r="DF97" i="9" s="1"/>
  <c r="D55" i="9"/>
  <c r="E55" i="9"/>
  <c r="AC370" i="8"/>
  <c r="AD140" i="8"/>
  <c r="BU122" i="8"/>
  <c r="AE297" i="8"/>
  <c r="BU279" i="8"/>
  <c r="AC302" i="8"/>
  <c r="AE365" i="8"/>
  <c r="BU347" i="8"/>
  <c r="AO119" i="8"/>
  <c r="BU101" i="8"/>
  <c r="AE226" i="8"/>
  <c r="BU208" i="8"/>
  <c r="F49" i="8"/>
  <c r="B50" i="8"/>
  <c r="AC231" i="8"/>
  <c r="BR47" i="6"/>
  <c r="BR48" i="6"/>
  <c r="Z161" i="6"/>
  <c r="Z162" i="6" s="1"/>
  <c r="AC119" i="6"/>
  <c r="BS45" i="6"/>
  <c r="BT45" i="6" s="1"/>
  <c r="BS46" i="6"/>
  <c r="BT46" i="6" s="1"/>
  <c r="B48" i="6"/>
  <c r="F47" i="6"/>
  <c r="AQ100" i="9" l="1"/>
  <c r="DC99" i="9"/>
  <c r="DD98" i="9"/>
  <c r="DE98" i="9" s="1"/>
  <c r="AQ430" i="9"/>
  <c r="AS113" i="9"/>
  <c r="DF98" i="9" s="1"/>
  <c r="B56" i="9"/>
  <c r="F55" i="9"/>
  <c r="D50" i="8"/>
  <c r="E50" i="8"/>
  <c r="AO120" i="8"/>
  <c r="BU102" i="8"/>
  <c r="AC303" i="8"/>
  <c r="AD141" i="8"/>
  <c r="BU123" i="8"/>
  <c r="AC371" i="8"/>
  <c r="AC232" i="8"/>
  <c r="AE227" i="8"/>
  <c r="BU209" i="8"/>
  <c r="AE366" i="8"/>
  <c r="BU348" i="8"/>
  <c r="AE298" i="8"/>
  <c r="BU280" i="8"/>
  <c r="Z163" i="6"/>
  <c r="AC120" i="6"/>
  <c r="E48" i="6"/>
  <c r="D48" i="6"/>
  <c r="AQ101" i="9" l="1"/>
  <c r="DC100" i="9"/>
  <c r="DD99" i="9"/>
  <c r="DE99" i="9" s="1"/>
  <c r="AS114" i="9"/>
  <c r="DF99" i="9" s="1"/>
  <c r="D56" i="9"/>
  <c r="E56" i="9"/>
  <c r="AE367" i="8"/>
  <c r="BU349" i="8"/>
  <c r="AC233" i="8"/>
  <c r="AD142" i="8"/>
  <c r="BU124" i="8"/>
  <c r="AO121" i="8"/>
  <c r="AO122" i="8" s="1"/>
  <c r="BU103" i="8"/>
  <c r="AC372" i="8"/>
  <c r="AE299" i="8"/>
  <c r="BU281" i="8"/>
  <c r="AE228" i="8"/>
  <c r="BU210" i="8"/>
  <c r="AC304" i="8"/>
  <c r="F50" i="8"/>
  <c r="B51" i="8"/>
  <c r="Z164" i="6"/>
  <c r="AC121" i="6"/>
  <c r="B49" i="6"/>
  <c r="F48" i="6"/>
  <c r="AQ102" i="9" l="1"/>
  <c r="DC101" i="9"/>
  <c r="DD100" i="9"/>
  <c r="DE100" i="9" s="1"/>
  <c r="AS115" i="9"/>
  <c r="DF100" i="9" s="1"/>
  <c r="B57" i="9"/>
  <c r="F56" i="9"/>
  <c r="D51" i="8"/>
  <c r="E51" i="8"/>
  <c r="BJ51" i="8"/>
  <c r="BS51" i="8"/>
  <c r="BT51" i="8" s="1"/>
  <c r="AC305" i="8"/>
  <c r="AE300" i="8"/>
  <c r="BU282" i="8"/>
  <c r="AO123" i="8"/>
  <c r="BU105" i="8"/>
  <c r="BU217" i="8"/>
  <c r="AC373" i="8"/>
  <c r="AE229" i="8"/>
  <c r="BU211" i="8"/>
  <c r="AD143" i="8"/>
  <c r="BU125" i="8"/>
  <c r="AE368" i="8"/>
  <c r="BU350" i="8"/>
  <c r="Z165" i="6"/>
  <c r="AC122" i="6"/>
  <c r="E49" i="6"/>
  <c r="D49" i="6"/>
  <c r="AQ103" i="9" l="1"/>
  <c r="DC102" i="9"/>
  <c r="DD101" i="9"/>
  <c r="DE101" i="9" s="1"/>
  <c r="AS116" i="9"/>
  <c r="DF101" i="9" s="1"/>
  <c r="D57" i="9"/>
  <c r="CU57" i="9"/>
  <c r="E57" i="9"/>
  <c r="AE369" i="8"/>
  <c r="BU351" i="8"/>
  <c r="AE230" i="8"/>
  <c r="BU212" i="8"/>
  <c r="AE301" i="8"/>
  <c r="BU283" i="8"/>
  <c r="AD144" i="8"/>
  <c r="BU126" i="8"/>
  <c r="AC374" i="8"/>
  <c r="AO124" i="8"/>
  <c r="BU106" i="8"/>
  <c r="AC306" i="8"/>
  <c r="F51" i="8"/>
  <c r="B52" i="8"/>
  <c r="Z166" i="6"/>
  <c r="AC123" i="6"/>
  <c r="B50" i="6"/>
  <c r="F49" i="6"/>
  <c r="AQ104" i="9" l="1"/>
  <c r="DC103" i="9"/>
  <c r="DD102" i="9"/>
  <c r="DE102" i="9" s="1"/>
  <c r="AS117" i="9"/>
  <c r="DF102" i="9" s="1"/>
  <c r="F57" i="9"/>
  <c r="B58" i="9"/>
  <c r="AO125" i="8"/>
  <c r="BU107" i="8"/>
  <c r="AD145" i="8"/>
  <c r="BU127" i="8"/>
  <c r="AE231" i="8"/>
  <c r="BU213" i="8"/>
  <c r="E52" i="8"/>
  <c r="D52" i="8"/>
  <c r="AC307" i="8"/>
  <c r="AC375" i="8"/>
  <c r="AE302" i="8"/>
  <c r="BU284" i="8"/>
  <c r="AE370" i="8"/>
  <c r="BU352" i="8"/>
  <c r="Z167" i="6"/>
  <c r="AC124" i="6"/>
  <c r="E50" i="6"/>
  <c r="D50" i="6"/>
  <c r="AQ105" i="9" l="1"/>
  <c r="DC104" i="9"/>
  <c r="DD103" i="9"/>
  <c r="DE103" i="9" s="1"/>
  <c r="AS118" i="9"/>
  <c r="DF103" i="9" s="1"/>
  <c r="E58" i="9"/>
  <c r="D58" i="9"/>
  <c r="CZ41" i="9"/>
  <c r="F52" i="8"/>
  <c r="B53" i="8"/>
  <c r="AE371" i="8"/>
  <c r="BU353" i="8"/>
  <c r="AC376" i="8"/>
  <c r="AD146" i="8"/>
  <c r="BU128" i="8"/>
  <c r="AE303" i="8"/>
  <c r="BU285" i="8"/>
  <c r="AC308" i="8"/>
  <c r="AE232" i="8"/>
  <c r="BU214" i="8"/>
  <c r="BU108" i="8"/>
  <c r="BU109" i="8"/>
  <c r="Z168" i="6"/>
  <c r="Z169" i="6" s="1"/>
  <c r="AC125" i="6"/>
  <c r="B51" i="6"/>
  <c r="BS51" i="6" s="1"/>
  <c r="BT51" i="6" s="1"/>
  <c r="F50" i="6"/>
  <c r="AQ106" i="9" l="1"/>
  <c r="DC105" i="9"/>
  <c r="DD104" i="9"/>
  <c r="DE104" i="9" s="1"/>
  <c r="AS119" i="9"/>
  <c r="DF104" i="9" s="1"/>
  <c r="F58" i="9"/>
  <c r="B59" i="9"/>
  <c r="AC309" i="8"/>
  <c r="AD147" i="8"/>
  <c r="AD148" i="8" s="1"/>
  <c r="BU129" i="8"/>
  <c r="AE372" i="8"/>
  <c r="BU354" i="8"/>
  <c r="E53" i="8"/>
  <c r="D53" i="8"/>
  <c r="AE233" i="8"/>
  <c r="BU215" i="8"/>
  <c r="AE304" i="8"/>
  <c r="BU286" i="8"/>
  <c r="AC377" i="8"/>
  <c r="Z170" i="6"/>
  <c r="AC126" i="6"/>
  <c r="BJ51" i="6"/>
  <c r="D51" i="6"/>
  <c r="E51" i="6"/>
  <c r="AQ107" i="9" l="1"/>
  <c r="DC106" i="9"/>
  <c r="DD105" i="9"/>
  <c r="DE105" i="9" s="1"/>
  <c r="AS120" i="9"/>
  <c r="DF105" i="9" s="1"/>
  <c r="E59" i="9"/>
  <c r="D59" i="9"/>
  <c r="AC378" i="8"/>
  <c r="F53" i="8"/>
  <c r="B54" i="8"/>
  <c r="AD149" i="8"/>
  <c r="BU131" i="8"/>
  <c r="AE305" i="8"/>
  <c r="BU287" i="8"/>
  <c r="AE234" i="8"/>
  <c r="AE235" i="8" s="1"/>
  <c r="BU216" i="8"/>
  <c r="AE373" i="8"/>
  <c r="BU355" i="8"/>
  <c r="AC310" i="8"/>
  <c r="Z171" i="6"/>
  <c r="AC127" i="6"/>
  <c r="B52" i="6"/>
  <c r="F51" i="6"/>
  <c r="AQ108" i="9" l="1"/>
  <c r="DC107" i="9"/>
  <c r="DD106" i="9"/>
  <c r="DE106" i="9" s="1"/>
  <c r="AS121" i="9"/>
  <c r="DF106" i="9" s="1"/>
  <c r="F59" i="9"/>
  <c r="B60" i="9"/>
  <c r="E54" i="8"/>
  <c r="D54" i="8"/>
  <c r="BJ54" i="8"/>
  <c r="AE374" i="8"/>
  <c r="BU356" i="8"/>
  <c r="AE306" i="8"/>
  <c r="BU288" i="8"/>
  <c r="AC311" i="8"/>
  <c r="AE236" i="8"/>
  <c r="BU218" i="8"/>
  <c r="AD150" i="8"/>
  <c r="BU132" i="8"/>
  <c r="AC379" i="8"/>
  <c r="Z172" i="6"/>
  <c r="AC128" i="6"/>
  <c r="E52" i="6"/>
  <c r="D52" i="6"/>
  <c r="AQ109" i="9" l="1"/>
  <c r="DD107" i="9" s="1"/>
  <c r="DE107" i="9" s="1"/>
  <c r="DC108" i="9"/>
  <c r="AS122" i="9"/>
  <c r="DF107" i="9" s="1"/>
  <c r="E60" i="9"/>
  <c r="D60" i="9"/>
  <c r="CZ47" i="9"/>
  <c r="AE307" i="8"/>
  <c r="BU289" i="8"/>
  <c r="F54" i="8"/>
  <c r="B55" i="8"/>
  <c r="AC380" i="8"/>
  <c r="AE237" i="8"/>
  <c r="BU219" i="8"/>
  <c r="AD151" i="8"/>
  <c r="BU133" i="8"/>
  <c r="AC312" i="8"/>
  <c r="AE375" i="8"/>
  <c r="BU357" i="8"/>
  <c r="Z173" i="6"/>
  <c r="Z174" i="6" s="1"/>
  <c r="AC129" i="6"/>
  <c r="B53" i="6"/>
  <c r="F52" i="6"/>
  <c r="AQ110" i="9" l="1"/>
  <c r="DC109" i="9"/>
  <c r="DD108" i="9"/>
  <c r="DE108" i="9" s="1"/>
  <c r="AS123" i="9"/>
  <c r="DF108" i="9" s="1"/>
  <c r="F60" i="9"/>
  <c r="B61" i="9"/>
  <c r="D55" i="8"/>
  <c r="BO38" i="8"/>
  <c r="E55" i="8"/>
  <c r="AC313" i="8"/>
  <c r="AE238" i="8"/>
  <c r="BU220" i="8"/>
  <c r="AE376" i="8"/>
  <c r="BU358" i="8"/>
  <c r="BU134" i="8"/>
  <c r="BU135" i="8"/>
  <c r="AC381" i="8"/>
  <c r="AE308" i="8"/>
  <c r="BU290" i="8"/>
  <c r="Z175" i="6"/>
  <c r="AC130" i="6"/>
  <c r="E53" i="6"/>
  <c r="D53" i="6"/>
  <c r="AQ111" i="9" l="1"/>
  <c r="DC110" i="9"/>
  <c r="DD109" i="9"/>
  <c r="DE109" i="9" s="1"/>
  <c r="AS124" i="9"/>
  <c r="DF109" i="9" s="1"/>
  <c r="CZ44" i="9"/>
  <c r="E61" i="9"/>
  <c r="D61" i="9"/>
  <c r="AC382" i="8"/>
  <c r="AE377" i="8"/>
  <c r="BU359" i="8"/>
  <c r="AC314" i="8"/>
  <c r="AE309" i="8"/>
  <c r="BU291" i="8"/>
  <c r="AE239" i="8"/>
  <c r="AE240" i="8" s="1"/>
  <c r="BU221" i="8"/>
  <c r="B56" i="8"/>
  <c r="F55" i="8"/>
  <c r="Z176" i="6"/>
  <c r="AC131" i="6"/>
  <c r="F53" i="6"/>
  <c r="B54" i="6"/>
  <c r="BV54" i="6" s="1"/>
  <c r="AQ112" i="9" l="1"/>
  <c r="DC111" i="9"/>
  <c r="DD110" i="9"/>
  <c r="DE110" i="9" s="1"/>
  <c r="AS125" i="9"/>
  <c r="DF110" i="9" s="1"/>
  <c r="F61" i="9"/>
  <c r="B62" i="9"/>
  <c r="D56" i="8"/>
  <c r="AA56" i="8"/>
  <c r="E56" i="8"/>
  <c r="BS56" i="8"/>
  <c r="BT56" i="8" s="1"/>
  <c r="AE310" i="8"/>
  <c r="BU292" i="8"/>
  <c r="AE378" i="8"/>
  <c r="BU360" i="8"/>
  <c r="AE241" i="8"/>
  <c r="BU223" i="8"/>
  <c r="AC315" i="8"/>
  <c r="AC383" i="8"/>
  <c r="Z177" i="6"/>
  <c r="AC132" i="6"/>
  <c r="E54" i="6"/>
  <c r="BJ54" i="6"/>
  <c r="D54" i="6"/>
  <c r="AQ113" i="9" l="1"/>
  <c r="DC112" i="9"/>
  <c r="DD111" i="9"/>
  <c r="DE111" i="9" s="1"/>
  <c r="AS126" i="9"/>
  <c r="DF111" i="9" s="1"/>
  <c r="E62" i="9"/>
  <c r="D62" i="9"/>
  <c r="CU62" i="9"/>
  <c r="AC316" i="8"/>
  <c r="AE379" i="8"/>
  <c r="BU361" i="8"/>
  <c r="BS54" i="8"/>
  <c r="BT54" i="8" s="1"/>
  <c r="BR56" i="8"/>
  <c r="BR57" i="8"/>
  <c r="BS55" i="8"/>
  <c r="BT55" i="8" s="1"/>
  <c r="AC384" i="8"/>
  <c r="AE242" i="8"/>
  <c r="BU224" i="8"/>
  <c r="AE311" i="8"/>
  <c r="BU293" i="8"/>
  <c r="B57" i="8"/>
  <c r="F56" i="8"/>
  <c r="Z178" i="6"/>
  <c r="Z179" i="6" s="1"/>
  <c r="AC133" i="6"/>
  <c r="B55" i="6"/>
  <c r="F54" i="6"/>
  <c r="AQ114" i="9" l="1"/>
  <c r="DC113" i="9"/>
  <c r="DD112" i="9"/>
  <c r="DE112" i="9" s="1"/>
  <c r="AS127" i="9"/>
  <c r="DF112" i="9" s="1"/>
  <c r="B63" i="9"/>
  <c r="F62" i="9"/>
  <c r="AE243" i="8"/>
  <c r="BU225" i="8"/>
  <c r="AE380" i="8"/>
  <c r="BU362" i="8"/>
  <c r="D57" i="8"/>
  <c r="BO44" i="8"/>
  <c r="E57" i="8"/>
  <c r="AE312" i="8"/>
  <c r="BU294" i="8"/>
  <c r="AC385" i="8"/>
  <c r="AC317" i="8"/>
  <c r="Z180" i="6"/>
  <c r="AC134" i="6"/>
  <c r="D55" i="6"/>
  <c r="E55" i="6"/>
  <c r="BO38" i="6"/>
  <c r="AQ115" i="9" l="1"/>
  <c r="DC114" i="9"/>
  <c r="DD113" i="9"/>
  <c r="DE113" i="9" s="1"/>
  <c r="AS128" i="9"/>
  <c r="DF113" i="9" s="1"/>
  <c r="E63" i="9"/>
  <c r="D63" i="9"/>
  <c r="BU301" i="8"/>
  <c r="AE313" i="8"/>
  <c r="BU295" i="8"/>
  <c r="AE381" i="8"/>
  <c r="BU363" i="8"/>
  <c r="AC386" i="8"/>
  <c r="B58" i="8"/>
  <c r="F57" i="8"/>
  <c r="BU226" i="8"/>
  <c r="BU227" i="8"/>
  <c r="Z181" i="6"/>
  <c r="AC135" i="6"/>
  <c r="B56" i="6"/>
  <c r="AA56" i="6" s="1"/>
  <c r="BR56" i="6" s="1"/>
  <c r="F55" i="6"/>
  <c r="AQ116" i="9" l="1"/>
  <c r="DC115" i="9"/>
  <c r="DD114" i="9"/>
  <c r="DE114" i="9" s="1"/>
  <c r="AS129" i="9"/>
  <c r="DF114" i="9" s="1"/>
  <c r="B64" i="9"/>
  <c r="F63" i="9"/>
  <c r="AC387" i="8"/>
  <c r="AE314" i="8"/>
  <c r="BU296" i="8"/>
  <c r="D58" i="8"/>
  <c r="E58" i="8"/>
  <c r="BO41" i="8"/>
  <c r="AE382" i="8"/>
  <c r="BU364" i="8"/>
  <c r="Z182" i="6"/>
  <c r="AC136" i="6"/>
  <c r="AA57" i="6"/>
  <c r="BR57" i="6" s="1"/>
  <c r="BS54" i="6"/>
  <c r="BT54" i="6" s="1"/>
  <c r="D56" i="6"/>
  <c r="E56" i="6"/>
  <c r="AQ117" i="9" l="1"/>
  <c r="DC116" i="9"/>
  <c r="DD115" i="9"/>
  <c r="DE115" i="9" s="1"/>
  <c r="AS130" i="9"/>
  <c r="DF115" i="9" s="1"/>
  <c r="E64" i="9"/>
  <c r="D64" i="9"/>
  <c r="AE383" i="8"/>
  <c r="BU365" i="8"/>
  <c r="AE315" i="8"/>
  <c r="BU297" i="8"/>
  <c r="B59" i="8"/>
  <c r="F58" i="8"/>
  <c r="AC388" i="8"/>
  <c r="Z183" i="6"/>
  <c r="Z184" i="6" s="1"/>
  <c r="AC137" i="6"/>
  <c r="BS55" i="6"/>
  <c r="BT55" i="6" s="1"/>
  <c r="AA58" i="6"/>
  <c r="F56" i="6"/>
  <c r="B57" i="6"/>
  <c r="AQ118" i="9" l="1"/>
  <c r="DC117" i="9"/>
  <c r="DD116" i="9"/>
  <c r="DE116" i="9" s="1"/>
  <c r="AS131" i="9"/>
  <c r="DF116" i="9" s="1"/>
  <c r="B65" i="9"/>
  <c r="F64" i="9"/>
  <c r="AC389" i="8"/>
  <c r="AE316" i="8"/>
  <c r="BU298" i="8"/>
  <c r="D59" i="8"/>
  <c r="BJ59" i="8"/>
  <c r="E59" i="8"/>
  <c r="AE384" i="8"/>
  <c r="BU366" i="8"/>
  <c r="AA59" i="6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E69" i="6" s="1"/>
  <c r="BR58" i="6"/>
  <c r="BS56" i="6"/>
  <c r="BT56" i="6" s="1"/>
  <c r="AA70" i="6"/>
  <c r="Z185" i="6"/>
  <c r="AC138" i="6"/>
  <c r="D57" i="6"/>
  <c r="E57" i="6"/>
  <c r="BO44" i="6"/>
  <c r="AQ119" i="9" l="1"/>
  <c r="DD117" i="9" s="1"/>
  <c r="DE117" i="9" s="1"/>
  <c r="DC118" i="9"/>
  <c r="AS132" i="9"/>
  <c r="DF117" i="9" s="1"/>
  <c r="E65" i="9"/>
  <c r="D65" i="9"/>
  <c r="AE317" i="8"/>
  <c r="BU299" i="8"/>
  <c r="AE385" i="8"/>
  <c r="BU367" i="8"/>
  <c r="B60" i="8"/>
  <c r="F59" i="8"/>
  <c r="AC390" i="8"/>
  <c r="AE70" i="6"/>
  <c r="BU52" i="6"/>
  <c r="AA71" i="6"/>
  <c r="Z186" i="6"/>
  <c r="AC139" i="6"/>
  <c r="B58" i="6"/>
  <c r="F57" i="6"/>
  <c r="AQ120" i="9" l="1"/>
  <c r="DC119" i="9"/>
  <c r="DD118" i="9"/>
  <c r="DE118" i="9" s="1"/>
  <c r="AS133" i="9"/>
  <c r="DF118" i="9" s="1"/>
  <c r="B66" i="9"/>
  <c r="F65" i="9"/>
  <c r="AC391" i="8"/>
  <c r="AE386" i="8"/>
  <c r="BU368" i="8"/>
  <c r="E60" i="8"/>
  <c r="Y60" i="8"/>
  <c r="D60" i="8"/>
  <c r="BS60" i="8"/>
  <c r="BT60" i="8" s="1"/>
  <c r="AE318" i="8"/>
  <c r="AE319" i="8" s="1"/>
  <c r="BU300" i="8"/>
  <c r="AE71" i="6"/>
  <c r="BU53" i="6"/>
  <c r="AA72" i="6"/>
  <c r="AA73" i="6" s="1"/>
  <c r="Z187" i="6"/>
  <c r="AC140" i="6"/>
  <c r="E58" i="6"/>
  <c r="D58" i="6"/>
  <c r="BO41" i="6"/>
  <c r="AQ121" i="9" l="1"/>
  <c r="DC120" i="9"/>
  <c r="DD119" i="9"/>
  <c r="DE119" i="9" s="1"/>
  <c r="AS134" i="9"/>
  <c r="DF119" i="9" s="1"/>
  <c r="E66" i="9"/>
  <c r="D66" i="9"/>
  <c r="B61" i="8"/>
  <c r="F60" i="8"/>
  <c r="AE387" i="8"/>
  <c r="BU369" i="8"/>
  <c r="BS58" i="8"/>
  <c r="BT58" i="8" s="1"/>
  <c r="BR60" i="8"/>
  <c r="BS59" i="8"/>
  <c r="BT59" i="8" s="1"/>
  <c r="BR61" i="8"/>
  <c r="AE320" i="8"/>
  <c r="BU302" i="8"/>
  <c r="AC392" i="8"/>
  <c r="AE72" i="6"/>
  <c r="BU55" i="6" s="1"/>
  <c r="BU54" i="6"/>
  <c r="AA74" i="6"/>
  <c r="Z188" i="6"/>
  <c r="AC141" i="6"/>
  <c r="B59" i="6"/>
  <c r="BV59" i="6" s="1"/>
  <c r="F58" i="6"/>
  <c r="AQ122" i="9" l="1"/>
  <c r="DC121" i="9"/>
  <c r="DD120" i="9"/>
  <c r="DE120" i="9" s="1"/>
  <c r="AS135" i="9"/>
  <c r="DF120" i="9" s="1"/>
  <c r="F66" i="9"/>
  <c r="B67" i="9"/>
  <c r="AC393" i="8"/>
  <c r="AE388" i="8"/>
  <c r="BU370" i="8"/>
  <c r="AE321" i="8"/>
  <c r="BU303" i="8"/>
  <c r="E61" i="8"/>
  <c r="D61" i="8"/>
  <c r="AE73" i="6"/>
  <c r="BU56" i="6" s="1"/>
  <c r="AA75" i="6"/>
  <c r="Z189" i="6"/>
  <c r="AC142" i="6"/>
  <c r="BJ59" i="6"/>
  <c r="D59" i="6"/>
  <c r="Y59" i="6"/>
  <c r="BR59" i="6" s="1"/>
  <c r="E59" i="6"/>
  <c r="AQ123" i="9" l="1"/>
  <c r="DC122" i="9"/>
  <c r="DD121" i="9"/>
  <c r="DE121" i="9" s="1"/>
  <c r="AS136" i="9"/>
  <c r="DF121" i="9" s="1"/>
  <c r="CZ50" i="9"/>
  <c r="E67" i="9"/>
  <c r="D67" i="9"/>
  <c r="AE389" i="8"/>
  <c r="BU371" i="8"/>
  <c r="B62" i="8"/>
  <c r="F61" i="8"/>
  <c r="AE322" i="8"/>
  <c r="BU304" i="8"/>
  <c r="AC394" i="8"/>
  <c r="AE74" i="6"/>
  <c r="AE75" i="6" s="1"/>
  <c r="AA76" i="6"/>
  <c r="Z190" i="6"/>
  <c r="Z191" i="6" s="1"/>
  <c r="AC143" i="6"/>
  <c r="BS57" i="6"/>
  <c r="BT57" i="6" s="1"/>
  <c r="B60" i="6"/>
  <c r="Y60" i="6" s="1"/>
  <c r="BR60" i="6" s="1"/>
  <c r="F59" i="6"/>
  <c r="AQ124" i="9" l="1"/>
  <c r="DC123" i="9"/>
  <c r="DD122" i="9"/>
  <c r="DE122" i="9" s="1"/>
  <c r="AS137" i="9"/>
  <c r="DF122" i="9" s="1"/>
  <c r="F67" i="9"/>
  <c r="B68" i="9"/>
  <c r="AC395" i="8"/>
  <c r="E62" i="8"/>
  <c r="D62" i="8"/>
  <c r="AE323" i="8"/>
  <c r="AE324" i="8" s="1"/>
  <c r="BU305" i="8"/>
  <c r="AE390" i="8"/>
  <c r="BU372" i="8"/>
  <c r="BU57" i="6"/>
  <c r="BS58" i="6"/>
  <c r="BT58" i="6" s="1"/>
  <c r="AE76" i="6"/>
  <c r="AE77" i="6" s="1"/>
  <c r="AE78" i="6" s="1"/>
  <c r="AE79" i="6" s="1"/>
  <c r="AE80" i="6" s="1"/>
  <c r="AE81" i="6" s="1"/>
  <c r="AE82" i="6" s="1"/>
  <c r="AE83" i="6" s="1"/>
  <c r="AE84" i="6" s="1"/>
  <c r="AE85" i="6" s="1"/>
  <c r="AE86" i="6" s="1"/>
  <c r="AE87" i="6" s="1"/>
  <c r="AE88" i="6" s="1"/>
  <c r="AE89" i="6" s="1"/>
  <c r="AE90" i="6" s="1"/>
  <c r="AE91" i="6" s="1"/>
  <c r="AE92" i="6" s="1"/>
  <c r="AE93" i="6" s="1"/>
  <c r="AE94" i="6" s="1"/>
  <c r="AE95" i="6" s="1"/>
  <c r="AE96" i="6" s="1"/>
  <c r="AE97" i="6" s="1"/>
  <c r="AE98" i="6" s="1"/>
  <c r="AE99" i="6" s="1"/>
  <c r="AE100" i="6" s="1"/>
  <c r="AE101" i="6" s="1"/>
  <c r="AE102" i="6" s="1"/>
  <c r="AE103" i="6" s="1"/>
  <c r="AE104" i="6" s="1"/>
  <c r="AE105" i="6" s="1"/>
  <c r="AE106" i="6" s="1"/>
  <c r="AE107" i="6" s="1"/>
  <c r="AE108" i="6" s="1"/>
  <c r="AE109" i="6" s="1"/>
  <c r="AE110" i="6" s="1"/>
  <c r="AE111" i="6" s="1"/>
  <c r="AE112" i="6" s="1"/>
  <c r="AE113" i="6" s="1"/>
  <c r="AE114" i="6" s="1"/>
  <c r="AE115" i="6" s="1"/>
  <c r="AE116" i="6" s="1"/>
  <c r="AE117" i="6" s="1"/>
  <c r="AE118" i="6" s="1"/>
  <c r="AE119" i="6" s="1"/>
  <c r="AE120" i="6" s="1"/>
  <c r="AE121" i="6" s="1"/>
  <c r="AE122" i="6" s="1"/>
  <c r="AE123" i="6" s="1"/>
  <c r="AE124" i="6" s="1"/>
  <c r="AE125" i="6" s="1"/>
  <c r="AE126" i="6" s="1"/>
  <c r="AE127" i="6" s="1"/>
  <c r="AE128" i="6" s="1"/>
  <c r="AE129" i="6" s="1"/>
  <c r="AE130" i="6" s="1"/>
  <c r="AE131" i="6" s="1"/>
  <c r="AE132" i="6" s="1"/>
  <c r="AE133" i="6" s="1"/>
  <c r="AE134" i="6" s="1"/>
  <c r="AE135" i="6" s="1"/>
  <c r="AE136" i="6" s="1"/>
  <c r="AE137" i="6" s="1"/>
  <c r="AE138" i="6" s="1"/>
  <c r="AE139" i="6" s="1"/>
  <c r="AE140" i="6" s="1"/>
  <c r="AE141" i="6" s="1"/>
  <c r="AE142" i="6" s="1"/>
  <c r="AE143" i="6" s="1"/>
  <c r="AE144" i="6" s="1"/>
  <c r="AE145" i="6" s="1"/>
  <c r="AE146" i="6" s="1"/>
  <c r="AE147" i="6" s="1"/>
  <c r="AE148" i="6" s="1"/>
  <c r="AE149" i="6" s="1"/>
  <c r="AE150" i="6" s="1"/>
  <c r="AE151" i="6" s="1"/>
  <c r="AE152" i="6" s="1"/>
  <c r="AE153" i="6" s="1"/>
  <c r="BU58" i="6"/>
  <c r="AA77" i="6"/>
  <c r="Z192" i="6"/>
  <c r="AC144" i="6"/>
  <c r="Y61" i="6"/>
  <c r="E60" i="6"/>
  <c r="D60" i="6"/>
  <c r="AQ125" i="9" l="1"/>
  <c r="DC124" i="9"/>
  <c r="DD123" i="9"/>
  <c r="DE123" i="9" s="1"/>
  <c r="AS138" i="9"/>
  <c r="DF123" i="9" s="1"/>
  <c r="E68" i="9"/>
  <c r="D68" i="9"/>
  <c r="B63" i="8"/>
  <c r="F62" i="8"/>
  <c r="AE391" i="8"/>
  <c r="BU373" i="8"/>
  <c r="AE325" i="8"/>
  <c r="BU307" i="8"/>
  <c r="AC396" i="8"/>
  <c r="BS59" i="6"/>
  <c r="BT59" i="6" s="1"/>
  <c r="BR61" i="6"/>
  <c r="AA78" i="6"/>
  <c r="Z193" i="6"/>
  <c r="AC145" i="6"/>
  <c r="Y62" i="6"/>
  <c r="F60" i="6"/>
  <c r="B61" i="6"/>
  <c r="AQ126" i="9" l="1"/>
  <c r="DC125" i="9"/>
  <c r="DD124" i="9"/>
  <c r="DE124" i="9" s="1"/>
  <c r="AS139" i="9"/>
  <c r="DF124" i="9" s="1"/>
  <c r="F68" i="9"/>
  <c r="B69" i="9"/>
  <c r="AC397" i="8"/>
  <c r="AE392" i="8"/>
  <c r="BU374" i="8"/>
  <c r="AE326" i="8"/>
  <c r="BU308" i="8"/>
  <c r="E63" i="8"/>
  <c r="D63" i="8"/>
  <c r="Y63" i="6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BR62" i="6"/>
  <c r="AA79" i="6"/>
  <c r="Z194" i="6"/>
  <c r="AC146" i="6"/>
  <c r="BS60" i="6"/>
  <c r="BT60" i="6" s="1"/>
  <c r="E61" i="6"/>
  <c r="D61" i="6"/>
  <c r="AQ127" i="9" l="1"/>
  <c r="DC126" i="9"/>
  <c r="DD125" i="9"/>
  <c r="DE125" i="9" s="1"/>
  <c r="AS140" i="9"/>
  <c r="DF125" i="9" s="1"/>
  <c r="E69" i="9"/>
  <c r="D69" i="9"/>
  <c r="B64" i="8"/>
  <c r="F63" i="8"/>
  <c r="AE393" i="8"/>
  <c r="BU375" i="8"/>
  <c r="AE327" i="8"/>
  <c r="BU309" i="8"/>
  <c r="AC398" i="8"/>
  <c r="AF77" i="6"/>
  <c r="AF78" i="6" s="1"/>
  <c r="AF79" i="6" s="1"/>
  <c r="AF80" i="6" s="1"/>
  <c r="AF81" i="6" s="1"/>
  <c r="AF82" i="6" s="1"/>
  <c r="AF83" i="6" s="1"/>
  <c r="AF84" i="6" s="1"/>
  <c r="AF85" i="6" s="1"/>
  <c r="AF86" i="6" s="1"/>
  <c r="AA80" i="6"/>
  <c r="Z195" i="6"/>
  <c r="Z196" i="6" s="1"/>
  <c r="B62" i="6"/>
  <c r="F61" i="6"/>
  <c r="AQ128" i="9" l="1"/>
  <c r="DC127" i="9"/>
  <c r="DD126" i="9"/>
  <c r="DE126" i="9" s="1"/>
  <c r="AS141" i="9"/>
  <c r="DF126" i="9" s="1"/>
  <c r="F69" i="9"/>
  <c r="B70" i="9"/>
  <c r="AC399" i="8"/>
  <c r="AE394" i="8"/>
  <c r="BU376" i="8"/>
  <c r="BU310" i="8"/>
  <c r="BU311" i="8"/>
  <c r="D64" i="8"/>
  <c r="X64" i="8"/>
  <c r="E64" i="8"/>
  <c r="BO47" i="8"/>
  <c r="BS64" i="8"/>
  <c r="BT64" i="8" s="1"/>
  <c r="AA81" i="6"/>
  <c r="Z197" i="6"/>
  <c r="D62" i="6"/>
  <c r="E62" i="6"/>
  <c r="AQ129" i="9" l="1"/>
  <c r="DD127" i="9"/>
  <c r="DE127" i="9" s="1"/>
  <c r="DC128" i="9"/>
  <c r="AS142" i="9"/>
  <c r="DF127" i="9" s="1"/>
  <c r="E70" i="9"/>
  <c r="D70" i="9"/>
  <c r="BS62" i="8"/>
  <c r="BT62" i="8" s="1"/>
  <c r="BR64" i="8"/>
  <c r="BR65" i="8"/>
  <c r="BS63" i="8"/>
  <c r="BT63" i="8" s="1"/>
  <c r="B65" i="8"/>
  <c r="F64" i="8"/>
  <c r="AE395" i="8"/>
  <c r="BU377" i="8"/>
  <c r="AC400" i="8"/>
  <c r="AA82" i="6"/>
  <c r="AA83" i="6" s="1"/>
  <c r="Z198" i="6"/>
  <c r="F62" i="6"/>
  <c r="B63" i="6"/>
  <c r="AQ130" i="9" l="1"/>
  <c r="DC129" i="9"/>
  <c r="DD128" i="9"/>
  <c r="DE128" i="9" s="1"/>
  <c r="AS143" i="9"/>
  <c r="DF128" i="9" s="1"/>
  <c r="F70" i="9"/>
  <c r="B71" i="9"/>
  <c r="AC401" i="8"/>
  <c r="AE396" i="8"/>
  <c r="BU378" i="8"/>
  <c r="D65" i="8"/>
  <c r="E65" i="8"/>
  <c r="AA84" i="6"/>
  <c r="Z199" i="6"/>
  <c r="D63" i="6"/>
  <c r="X63" i="6"/>
  <c r="BR63" i="6" s="1"/>
  <c r="E63" i="6"/>
  <c r="AQ131" i="9" l="1"/>
  <c r="DC130" i="9"/>
  <c r="DD129" i="9"/>
  <c r="DE129" i="9" s="1"/>
  <c r="AS144" i="9"/>
  <c r="DF129" i="9" s="1"/>
  <c r="E71" i="9"/>
  <c r="D71" i="9"/>
  <c r="CZ54" i="9"/>
  <c r="AE397" i="8"/>
  <c r="BU379" i="8"/>
  <c r="B66" i="8"/>
  <c r="F65" i="8"/>
  <c r="AC402" i="8"/>
  <c r="AA85" i="6"/>
  <c r="Z200" i="6"/>
  <c r="Z201" i="6" s="1"/>
  <c r="BS61" i="6"/>
  <c r="BT61" i="6" s="1"/>
  <c r="B64" i="6"/>
  <c r="X64" i="6" s="1"/>
  <c r="F63" i="6"/>
  <c r="AQ132" i="9" l="1"/>
  <c r="DC131" i="9"/>
  <c r="DD130" i="9"/>
  <c r="DE130" i="9" s="1"/>
  <c r="AS145" i="9"/>
  <c r="DF130" i="9" s="1"/>
  <c r="F71" i="9"/>
  <c r="B72" i="9"/>
  <c r="AC403" i="8"/>
  <c r="D66" i="8"/>
  <c r="E66" i="8"/>
  <c r="AE398" i="8"/>
  <c r="BU380" i="8"/>
  <c r="BS62" i="6"/>
  <c r="BT62" i="6" s="1"/>
  <c r="BR64" i="6"/>
  <c r="AA86" i="6"/>
  <c r="Z202" i="6"/>
  <c r="X65" i="6"/>
  <c r="BR65" i="6" s="1"/>
  <c r="D64" i="6"/>
  <c r="BO47" i="6"/>
  <c r="E64" i="6"/>
  <c r="AQ133" i="9" l="1"/>
  <c r="DC132" i="9"/>
  <c r="DD131" i="9"/>
  <c r="DE131" i="9" s="1"/>
  <c r="AS146" i="9"/>
  <c r="DF131" i="9" s="1"/>
  <c r="E72" i="9"/>
  <c r="D72" i="9"/>
  <c r="AE399" i="8"/>
  <c r="BU381" i="8"/>
  <c r="B67" i="8"/>
  <c r="F66" i="8"/>
  <c r="AC404" i="8"/>
  <c r="BS63" i="6"/>
  <c r="BT63" i="6" s="1"/>
  <c r="AA87" i="6"/>
  <c r="AA88" i="6" s="1"/>
  <c r="Z203" i="6"/>
  <c r="X66" i="6"/>
  <c r="BR66" i="6" s="1"/>
  <c r="B65" i="6"/>
  <c r="F64" i="6"/>
  <c r="AQ134" i="9" l="1"/>
  <c r="DC133" i="9"/>
  <c r="DD132" i="9"/>
  <c r="DE132" i="9" s="1"/>
  <c r="AS147" i="9"/>
  <c r="DF132" i="9" s="1"/>
  <c r="F72" i="9"/>
  <c r="B73" i="9"/>
  <c r="D67" i="8"/>
  <c r="E67" i="8"/>
  <c r="AC405" i="8"/>
  <c r="AE400" i="8"/>
  <c r="BU382" i="8"/>
  <c r="BS64" i="6"/>
  <c r="BT64" i="6" s="1"/>
  <c r="AA89" i="6"/>
  <c r="Z204" i="6"/>
  <c r="X67" i="6"/>
  <c r="BS65" i="6" s="1"/>
  <c r="BT65" i="6" s="1"/>
  <c r="E65" i="6"/>
  <c r="D65" i="6"/>
  <c r="AQ135" i="9" l="1"/>
  <c r="DC134" i="9"/>
  <c r="DD133" i="9"/>
  <c r="DE133" i="9" s="1"/>
  <c r="AS148" i="9"/>
  <c r="DF133" i="9" s="1"/>
  <c r="E73" i="9"/>
  <c r="D73" i="9"/>
  <c r="AC406" i="8"/>
  <c r="AE401" i="8"/>
  <c r="BU383" i="8"/>
  <c r="B68" i="8"/>
  <c r="F67" i="8"/>
  <c r="X68" i="6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BR67" i="6"/>
  <c r="AA90" i="6"/>
  <c r="Z205" i="6"/>
  <c r="Z206" i="6" s="1"/>
  <c r="B66" i="6"/>
  <c r="F65" i="6"/>
  <c r="AQ136" i="9" l="1"/>
  <c r="DC135" i="9"/>
  <c r="DD134" i="9"/>
  <c r="DE134" i="9" s="1"/>
  <c r="AS149" i="9"/>
  <c r="DF134" i="9" s="1"/>
  <c r="B74" i="9"/>
  <c r="F73" i="9"/>
  <c r="AE402" i="8"/>
  <c r="BU384" i="8"/>
  <c r="AC407" i="8"/>
  <c r="D68" i="8"/>
  <c r="BO51" i="8"/>
  <c r="W68" i="8"/>
  <c r="E68" i="8"/>
  <c r="BS68" i="8"/>
  <c r="BT68" i="8" s="1"/>
  <c r="AG81" i="6"/>
  <c r="AG82" i="6" s="1"/>
  <c r="AG83" i="6" s="1"/>
  <c r="AG84" i="6" s="1"/>
  <c r="AG85" i="6" s="1"/>
  <c r="AA91" i="6"/>
  <c r="Z207" i="6"/>
  <c r="E66" i="6"/>
  <c r="D66" i="6"/>
  <c r="AQ137" i="9" l="1"/>
  <c r="DC136" i="9"/>
  <c r="DD135" i="9"/>
  <c r="DE135" i="9" s="1"/>
  <c r="AS150" i="9"/>
  <c r="DF135" i="9" s="1"/>
  <c r="E74" i="9"/>
  <c r="D74" i="9"/>
  <c r="B69" i="8"/>
  <c r="F68" i="8"/>
  <c r="BR68" i="8"/>
  <c r="BS66" i="8"/>
  <c r="BT66" i="8" s="1"/>
  <c r="BR69" i="8"/>
  <c r="BS67" i="8"/>
  <c r="BT67" i="8" s="1"/>
  <c r="AC408" i="8"/>
  <c r="AE403" i="8"/>
  <c r="BU385" i="8"/>
  <c r="AA92" i="6"/>
  <c r="AA93" i="6" s="1"/>
  <c r="Z208" i="6"/>
  <c r="B67" i="6"/>
  <c r="F66" i="6"/>
  <c r="AQ138" i="9" l="1"/>
  <c r="DC137" i="9"/>
  <c r="DD136" i="9"/>
  <c r="DE136" i="9" s="1"/>
  <c r="AS151" i="9"/>
  <c r="DF136" i="9" s="1"/>
  <c r="B75" i="9"/>
  <c r="F74" i="9"/>
  <c r="AC409" i="8"/>
  <c r="AE404" i="8"/>
  <c r="BU386" i="8"/>
  <c r="D69" i="8"/>
  <c r="E69" i="8"/>
  <c r="AA94" i="6"/>
  <c r="Z209" i="6"/>
  <c r="D67" i="6"/>
  <c r="E67" i="6"/>
  <c r="AQ139" i="9" l="1"/>
  <c r="DC138" i="9"/>
  <c r="DD137" i="9"/>
  <c r="DE137" i="9" s="1"/>
  <c r="AS152" i="9"/>
  <c r="DF137" i="9" s="1"/>
  <c r="E75" i="9"/>
  <c r="D75" i="9"/>
  <c r="AE405" i="8"/>
  <c r="BU387" i="8"/>
  <c r="B70" i="8"/>
  <c r="F69" i="8"/>
  <c r="AC410" i="8"/>
  <c r="AA95" i="6"/>
  <c r="Z210" i="6"/>
  <c r="B68" i="6"/>
  <c r="W68" i="6" s="1"/>
  <c r="BR68" i="6" s="1"/>
  <c r="F67" i="6"/>
  <c r="AQ140" i="9" l="1"/>
  <c r="DC139" i="9"/>
  <c r="DD138" i="9"/>
  <c r="DE138" i="9" s="1"/>
  <c r="AS153" i="9"/>
  <c r="DF138" i="9" s="1"/>
  <c r="B76" i="9"/>
  <c r="F75" i="9"/>
  <c r="E70" i="8"/>
  <c r="D70" i="8"/>
  <c r="AC411" i="8"/>
  <c r="AE406" i="8"/>
  <c r="BU388" i="8"/>
  <c r="AA96" i="6"/>
  <c r="Z211" i="6"/>
  <c r="BS66" i="6"/>
  <c r="BT66" i="6" s="1"/>
  <c r="E68" i="6"/>
  <c r="D68" i="6"/>
  <c r="BO51" i="6"/>
  <c r="AQ141" i="9" l="1"/>
  <c r="DC140" i="9"/>
  <c r="DD139" i="9"/>
  <c r="DE139" i="9" s="1"/>
  <c r="AS154" i="9"/>
  <c r="DF139" i="9" s="1"/>
  <c r="E76" i="9"/>
  <c r="D76" i="9"/>
  <c r="B71" i="8"/>
  <c r="F70" i="8"/>
  <c r="AC412" i="8"/>
  <c r="AE407" i="8"/>
  <c r="BU389" i="8"/>
  <c r="AA97" i="6"/>
  <c r="AA98" i="6" s="1"/>
  <c r="Z212" i="6"/>
  <c r="Z213" i="6" s="1"/>
  <c r="B69" i="6"/>
  <c r="F68" i="6"/>
  <c r="AQ142" i="9" l="1"/>
  <c r="DC141" i="9"/>
  <c r="DD140" i="9"/>
  <c r="DE140" i="9" s="1"/>
  <c r="AS155" i="9"/>
  <c r="DF140" i="9" s="1"/>
  <c r="B77" i="9"/>
  <c r="F76" i="9"/>
  <c r="AC413" i="8"/>
  <c r="AE408" i="8"/>
  <c r="BU390" i="8"/>
  <c r="E71" i="8"/>
  <c r="D71" i="8"/>
  <c r="AA99" i="6"/>
  <c r="Z214" i="6"/>
  <c r="W69" i="6"/>
  <c r="BR69" i="6" s="1"/>
  <c r="E69" i="6"/>
  <c r="D69" i="6"/>
  <c r="AQ143" i="9" l="1"/>
  <c r="DC142" i="9"/>
  <c r="DD141" i="9"/>
  <c r="DE141" i="9" s="1"/>
  <c r="AS156" i="9"/>
  <c r="DF141" i="9" s="1"/>
  <c r="E77" i="9"/>
  <c r="D77" i="9"/>
  <c r="AE409" i="8"/>
  <c r="BU391" i="8"/>
  <c r="B72" i="8"/>
  <c r="F71" i="8"/>
  <c r="AC414" i="8"/>
  <c r="AA100" i="6"/>
  <c r="Z215" i="6"/>
  <c r="W70" i="6"/>
  <c r="BS67" i="6"/>
  <c r="BT67" i="6" s="1"/>
  <c r="F69" i="6"/>
  <c r="B70" i="6"/>
  <c r="AQ144" i="9" l="1"/>
  <c r="DC143" i="9"/>
  <c r="DD142" i="9"/>
  <c r="DE142" i="9" s="1"/>
  <c r="AS157" i="9"/>
  <c r="DF142" i="9" s="1"/>
  <c r="B78" i="9"/>
  <c r="F77" i="9"/>
  <c r="V72" i="8"/>
  <c r="E72" i="8"/>
  <c r="D72" i="8"/>
  <c r="BS72" i="8"/>
  <c r="BT72" i="8" s="1"/>
  <c r="AC415" i="8"/>
  <c r="AE410" i="8"/>
  <c r="BU392" i="8"/>
  <c r="BS68" i="6"/>
  <c r="BT68" i="6" s="1"/>
  <c r="BR70" i="6"/>
  <c r="AA101" i="6"/>
  <c r="Z216" i="6"/>
  <c r="W71" i="6"/>
  <c r="E70" i="6"/>
  <c r="D70" i="6"/>
  <c r="AQ145" i="9" l="1"/>
  <c r="DD143" i="9" s="1"/>
  <c r="DE143" i="9" s="1"/>
  <c r="DC144" i="9"/>
  <c r="AS158" i="9"/>
  <c r="DF143" i="9" s="1"/>
  <c r="D78" i="9"/>
  <c r="E78" i="9"/>
  <c r="AE411" i="8"/>
  <c r="BU393" i="8"/>
  <c r="B73" i="8"/>
  <c r="F72" i="8"/>
  <c r="AC416" i="8"/>
  <c r="BR72" i="8"/>
  <c r="BS71" i="8"/>
  <c r="BT71" i="8" s="1"/>
  <c r="BR73" i="8"/>
  <c r="BS70" i="8"/>
  <c r="BT70" i="8" s="1"/>
  <c r="W72" i="6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BR71" i="6"/>
  <c r="AA102" i="6"/>
  <c r="Z217" i="6"/>
  <c r="Z218" i="6" s="1"/>
  <c r="BS69" i="6"/>
  <c r="BT69" i="6" s="1"/>
  <c r="F70" i="6"/>
  <c r="B71" i="6"/>
  <c r="AQ146" i="9" l="1"/>
  <c r="DC145" i="9"/>
  <c r="DD144" i="9"/>
  <c r="DE144" i="9" s="1"/>
  <c r="AS159" i="9"/>
  <c r="DF144" i="9" s="1"/>
  <c r="B79" i="9"/>
  <c r="F78" i="9"/>
  <c r="E73" i="8"/>
  <c r="D73" i="8"/>
  <c r="AC417" i="8"/>
  <c r="AE412" i="8"/>
  <c r="BU394" i="8"/>
  <c r="AH85" i="6"/>
  <c r="AA103" i="6"/>
  <c r="Z219" i="6"/>
  <c r="E71" i="6"/>
  <c r="D71" i="6"/>
  <c r="AQ147" i="9" l="1"/>
  <c r="DC146" i="9"/>
  <c r="DD145" i="9"/>
  <c r="DE145" i="9" s="1"/>
  <c r="AS160" i="9"/>
  <c r="DF145" i="9" s="1"/>
  <c r="D79" i="9"/>
  <c r="CZ62" i="9"/>
  <c r="E79" i="9"/>
  <c r="AH86" i="6"/>
  <c r="AH87" i="6" s="1"/>
  <c r="AH88" i="6" s="1"/>
  <c r="AH89" i="6" s="1"/>
  <c r="AH90" i="6" s="1"/>
  <c r="AC418" i="8"/>
  <c r="B74" i="8"/>
  <c r="F73" i="8"/>
  <c r="AE413" i="8"/>
  <c r="BU395" i="8"/>
  <c r="AA104" i="6"/>
  <c r="AA105" i="6" s="1"/>
  <c r="Z220" i="6"/>
  <c r="F71" i="6"/>
  <c r="B72" i="6"/>
  <c r="V72" i="6" s="1"/>
  <c r="BR72" i="6" s="1"/>
  <c r="AQ148" i="9" l="1"/>
  <c r="DC147" i="9"/>
  <c r="DD146" i="9"/>
  <c r="DE146" i="9" s="1"/>
  <c r="AS161" i="9"/>
  <c r="DF146" i="9" s="1"/>
  <c r="B80" i="9"/>
  <c r="F79" i="9"/>
  <c r="AE414" i="8"/>
  <c r="BU396" i="8"/>
  <c r="E74" i="8"/>
  <c r="D74" i="8"/>
  <c r="AC419" i="8"/>
  <c r="AA106" i="6"/>
  <c r="Z221" i="6"/>
  <c r="V73" i="6"/>
  <c r="BS70" i="6"/>
  <c r="BT70" i="6" s="1"/>
  <c r="E72" i="6"/>
  <c r="D72" i="6"/>
  <c r="AQ149" i="9" l="1"/>
  <c r="DC148" i="9"/>
  <c r="DD147" i="9"/>
  <c r="DE147" i="9" s="1"/>
  <c r="AS162" i="9"/>
  <c r="DF147" i="9" s="1"/>
  <c r="D80" i="9"/>
  <c r="E80" i="9"/>
  <c r="F74" i="8"/>
  <c r="B75" i="8"/>
  <c r="AC420" i="8"/>
  <c r="AE415" i="8"/>
  <c r="BU397" i="8"/>
  <c r="BS71" i="6"/>
  <c r="BT71" i="6" s="1"/>
  <c r="BR73" i="6"/>
  <c r="AA107" i="6"/>
  <c r="Z222" i="6"/>
  <c r="Z223" i="6" s="1"/>
  <c r="F72" i="6"/>
  <c r="B73" i="6"/>
  <c r="AQ150" i="9" l="1"/>
  <c r="DC149" i="9"/>
  <c r="DD148" i="9"/>
  <c r="DE148" i="9" s="1"/>
  <c r="AS163" i="9"/>
  <c r="DF148" i="9" s="1"/>
  <c r="B81" i="9"/>
  <c r="F80" i="9"/>
  <c r="AC421" i="8"/>
  <c r="E75" i="8"/>
  <c r="D75" i="8"/>
  <c r="AE416" i="8"/>
  <c r="BU398" i="8"/>
  <c r="AA108" i="6"/>
  <c r="Z224" i="6"/>
  <c r="E73" i="6"/>
  <c r="D73" i="6"/>
  <c r="AQ151" i="9" l="1"/>
  <c r="DC150" i="9"/>
  <c r="DD149" i="9"/>
  <c r="DE149" i="9" s="1"/>
  <c r="AS164" i="9"/>
  <c r="DF149" i="9" s="1"/>
  <c r="D81" i="9"/>
  <c r="E81" i="9"/>
  <c r="F75" i="8"/>
  <c r="B76" i="8"/>
  <c r="AE417" i="8"/>
  <c r="BU399" i="8"/>
  <c r="AA109" i="6"/>
  <c r="AA110" i="6" s="1"/>
  <c r="Z225" i="6"/>
  <c r="F73" i="6"/>
  <c r="B74" i="6"/>
  <c r="AQ152" i="9" l="1"/>
  <c r="DC151" i="9"/>
  <c r="DD150" i="9"/>
  <c r="DE150" i="9" s="1"/>
  <c r="AS165" i="9"/>
  <c r="DF150" i="9" s="1"/>
  <c r="B82" i="9"/>
  <c r="F81" i="9"/>
  <c r="AE418" i="8"/>
  <c r="BU400" i="8"/>
  <c r="BO59" i="8"/>
  <c r="E76" i="8"/>
  <c r="D76" i="8"/>
  <c r="AA111" i="6"/>
  <c r="Z226" i="6"/>
  <c r="V74" i="6"/>
  <c r="BR74" i="6" s="1"/>
  <c r="E74" i="6"/>
  <c r="D74" i="6"/>
  <c r="AQ153" i="9" l="1"/>
  <c r="DC152" i="9"/>
  <c r="DD151" i="9"/>
  <c r="DE151" i="9" s="1"/>
  <c r="AS166" i="9"/>
  <c r="DF151" i="9" s="1"/>
  <c r="D82" i="9"/>
  <c r="E82" i="9"/>
  <c r="F76" i="8"/>
  <c r="B77" i="8"/>
  <c r="AE419" i="8"/>
  <c r="BU401" i="8"/>
  <c r="AA112" i="6"/>
  <c r="Z227" i="6"/>
  <c r="Z228" i="6" s="1"/>
  <c r="V75" i="6"/>
  <c r="BS72" i="6"/>
  <c r="BT72" i="6" s="1"/>
  <c r="AD76" i="6"/>
  <c r="F74" i="6"/>
  <c r="B75" i="6"/>
  <c r="AQ154" i="9" l="1"/>
  <c r="DC153" i="9"/>
  <c r="DD152" i="9"/>
  <c r="DE152" i="9" s="1"/>
  <c r="AS167" i="9"/>
  <c r="DF152" i="9" s="1"/>
  <c r="B83" i="9"/>
  <c r="F82" i="9"/>
  <c r="E77" i="8"/>
  <c r="D77" i="8"/>
  <c r="AE420" i="8"/>
  <c r="BU402" i="8"/>
  <c r="BS73" i="6"/>
  <c r="BT73" i="6" s="1"/>
  <c r="BR75" i="6"/>
  <c r="AA113" i="6"/>
  <c r="Z229" i="6"/>
  <c r="AD77" i="6"/>
  <c r="BU59" i="6"/>
  <c r="V76" i="6"/>
  <c r="AF87" i="6"/>
  <c r="AF88" i="6" s="1"/>
  <c r="AF89" i="6" s="1"/>
  <c r="AF90" i="6" s="1"/>
  <c r="AF91" i="6" s="1"/>
  <c r="AF92" i="6" s="1"/>
  <c r="AF93" i="6" s="1"/>
  <c r="AF94" i="6" s="1"/>
  <c r="AF95" i="6" s="1"/>
  <c r="AF96" i="6" s="1"/>
  <c r="AF97" i="6" s="1"/>
  <c r="AF98" i="6" s="1"/>
  <c r="AF99" i="6" s="1"/>
  <c r="AF100" i="6" s="1"/>
  <c r="AF101" i="6" s="1"/>
  <c r="AF102" i="6" s="1"/>
  <c r="AF103" i="6" s="1"/>
  <c r="AF104" i="6" s="1"/>
  <c r="AF105" i="6" s="1"/>
  <c r="AF106" i="6" s="1"/>
  <c r="AF107" i="6" s="1"/>
  <c r="AF108" i="6" s="1"/>
  <c r="AF109" i="6" s="1"/>
  <c r="AF110" i="6" s="1"/>
  <c r="AF111" i="6" s="1"/>
  <c r="AF112" i="6" s="1"/>
  <c r="AF113" i="6" s="1"/>
  <c r="AF114" i="6" s="1"/>
  <c r="AF115" i="6" s="1"/>
  <c r="AF116" i="6" s="1"/>
  <c r="AF117" i="6" s="1"/>
  <c r="AF118" i="6" s="1"/>
  <c r="AF119" i="6" s="1"/>
  <c r="AF120" i="6" s="1"/>
  <c r="AF121" i="6" s="1"/>
  <c r="AF122" i="6" s="1"/>
  <c r="AF123" i="6" s="1"/>
  <c r="AF124" i="6" s="1"/>
  <c r="AF125" i="6" s="1"/>
  <c r="AF126" i="6" s="1"/>
  <c r="AF127" i="6" s="1"/>
  <c r="AF128" i="6" s="1"/>
  <c r="AF129" i="6" s="1"/>
  <c r="AF130" i="6" s="1"/>
  <c r="AF131" i="6" s="1"/>
  <c r="AF132" i="6" s="1"/>
  <c r="AF133" i="6" s="1"/>
  <c r="AF134" i="6" s="1"/>
  <c r="AF135" i="6" s="1"/>
  <c r="AF136" i="6" s="1"/>
  <c r="AF137" i="6" s="1"/>
  <c r="AF138" i="6" s="1"/>
  <c r="AF139" i="6" s="1"/>
  <c r="AF140" i="6" s="1"/>
  <c r="AF141" i="6" s="1"/>
  <c r="AF142" i="6" s="1"/>
  <c r="AF143" i="6" s="1"/>
  <c r="AF144" i="6" s="1"/>
  <c r="AF145" i="6" s="1"/>
  <c r="AF146" i="6" s="1"/>
  <c r="AF147" i="6" s="1"/>
  <c r="AF148" i="6" s="1"/>
  <c r="AF149" i="6" s="1"/>
  <c r="AF150" i="6" s="1"/>
  <c r="AF151" i="6" s="1"/>
  <c r="AF152" i="6" s="1"/>
  <c r="AF153" i="6" s="1"/>
  <c r="AF154" i="6" s="1"/>
  <c r="AF155" i="6" s="1"/>
  <c r="AF156" i="6" s="1"/>
  <c r="AF157" i="6" s="1"/>
  <c r="AF158" i="6" s="1"/>
  <c r="AF159" i="6" s="1"/>
  <c r="AF160" i="6" s="1"/>
  <c r="AF161" i="6" s="1"/>
  <c r="AF162" i="6" s="1"/>
  <c r="E75" i="6"/>
  <c r="D75" i="6"/>
  <c r="AQ155" i="9" l="1"/>
  <c r="DC154" i="9"/>
  <c r="DD153" i="9"/>
  <c r="DE153" i="9" s="1"/>
  <c r="AS168" i="9"/>
  <c r="DF153" i="9" s="1"/>
  <c r="D83" i="9"/>
  <c r="CZ66" i="9"/>
  <c r="E83" i="9"/>
  <c r="AE421" i="8"/>
  <c r="BU403" i="8"/>
  <c r="F77" i="8"/>
  <c r="B78" i="8"/>
  <c r="BS74" i="6"/>
  <c r="BT74" i="6" s="1"/>
  <c r="BR76" i="6"/>
  <c r="AA114" i="6"/>
  <c r="AA115" i="6" s="1"/>
  <c r="Z230" i="6"/>
  <c r="AD78" i="6"/>
  <c r="BU60" i="6"/>
  <c r="V77" i="6"/>
  <c r="BR77" i="6" s="1"/>
  <c r="AG86" i="6"/>
  <c r="AG87" i="6" s="1"/>
  <c r="AG88" i="6" s="1"/>
  <c r="AG89" i="6" s="1"/>
  <c r="AG90" i="6" s="1"/>
  <c r="AG91" i="6" s="1"/>
  <c r="AG92" i="6" s="1"/>
  <c r="AG93" i="6" s="1"/>
  <c r="AG94" i="6" s="1"/>
  <c r="AG95" i="6" s="1"/>
  <c r="AG96" i="6" s="1"/>
  <c r="AG97" i="6" s="1"/>
  <c r="AG98" i="6" s="1"/>
  <c r="AG99" i="6" s="1"/>
  <c r="AG100" i="6" s="1"/>
  <c r="AG101" i="6" s="1"/>
  <c r="AG102" i="6" s="1"/>
  <c r="AG103" i="6" s="1"/>
  <c r="AG104" i="6" s="1"/>
  <c r="AG105" i="6" s="1"/>
  <c r="AG106" i="6" s="1"/>
  <c r="AG107" i="6" s="1"/>
  <c r="AG108" i="6" s="1"/>
  <c r="AG109" i="6" s="1"/>
  <c r="AG110" i="6" s="1"/>
  <c r="AG111" i="6" s="1"/>
  <c r="AG112" i="6" s="1"/>
  <c r="AG113" i="6" s="1"/>
  <c r="AG114" i="6" s="1"/>
  <c r="AG115" i="6" s="1"/>
  <c r="AG116" i="6" s="1"/>
  <c r="AG117" i="6" s="1"/>
  <c r="AG118" i="6" s="1"/>
  <c r="AG119" i="6" s="1"/>
  <c r="AG120" i="6" s="1"/>
  <c r="AG121" i="6" s="1"/>
  <c r="AG122" i="6" s="1"/>
  <c r="AG123" i="6" s="1"/>
  <c r="AG124" i="6" s="1"/>
  <c r="AG125" i="6" s="1"/>
  <c r="AG126" i="6" s="1"/>
  <c r="AG127" i="6" s="1"/>
  <c r="AG128" i="6" s="1"/>
  <c r="AG129" i="6" s="1"/>
  <c r="AG130" i="6" s="1"/>
  <c r="AG131" i="6" s="1"/>
  <c r="AG132" i="6" s="1"/>
  <c r="AG133" i="6" s="1"/>
  <c r="AG134" i="6" s="1"/>
  <c r="AG135" i="6" s="1"/>
  <c r="AG136" i="6" s="1"/>
  <c r="AG137" i="6" s="1"/>
  <c r="AG138" i="6" s="1"/>
  <c r="AG139" i="6" s="1"/>
  <c r="AG140" i="6" s="1"/>
  <c r="AG141" i="6" s="1"/>
  <c r="AG142" i="6" s="1"/>
  <c r="AG143" i="6" s="1"/>
  <c r="AG144" i="6" s="1"/>
  <c r="AG145" i="6" s="1"/>
  <c r="AG146" i="6" s="1"/>
  <c r="AG147" i="6" s="1"/>
  <c r="AG148" i="6" s="1"/>
  <c r="AG149" i="6" s="1"/>
  <c r="AG150" i="6" s="1"/>
  <c r="AG151" i="6" s="1"/>
  <c r="AG152" i="6" s="1"/>
  <c r="AG153" i="6" s="1"/>
  <c r="AG154" i="6" s="1"/>
  <c r="AG155" i="6" s="1"/>
  <c r="AG156" i="6" s="1"/>
  <c r="AG157" i="6" s="1"/>
  <c r="AG158" i="6" s="1"/>
  <c r="AG159" i="6" s="1"/>
  <c r="AG160" i="6" s="1"/>
  <c r="AG161" i="6" s="1"/>
  <c r="AG162" i="6" s="1"/>
  <c r="AG163" i="6" s="1"/>
  <c r="AG164" i="6" s="1"/>
  <c r="AG165" i="6" s="1"/>
  <c r="AG166" i="6" s="1"/>
  <c r="AG167" i="6" s="1"/>
  <c r="B76" i="6"/>
  <c r="F75" i="6"/>
  <c r="AQ156" i="9" l="1"/>
  <c r="DC155" i="9"/>
  <c r="DD154" i="9"/>
  <c r="DE154" i="9" s="1"/>
  <c r="AS169" i="9"/>
  <c r="DF154" i="9" s="1"/>
  <c r="B84" i="9"/>
  <c r="F83" i="9"/>
  <c r="E78" i="8"/>
  <c r="D78" i="8"/>
  <c r="BU405" i="8"/>
  <c r="BU404" i="8"/>
  <c r="AA116" i="6"/>
  <c r="Z231" i="6"/>
  <c r="AD79" i="6"/>
  <c r="BU61" i="6"/>
  <c r="V78" i="6"/>
  <c r="BR78" i="6" s="1"/>
  <c r="BS75" i="6"/>
  <c r="BT75" i="6" s="1"/>
  <c r="AH91" i="6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H122" i="6" s="1"/>
  <c r="AH123" i="6" s="1"/>
  <c r="AH124" i="6" s="1"/>
  <c r="AH125" i="6" s="1"/>
  <c r="AH126" i="6" s="1"/>
  <c r="AH127" i="6" s="1"/>
  <c r="AH128" i="6" s="1"/>
  <c r="AH129" i="6" s="1"/>
  <c r="AH130" i="6" s="1"/>
  <c r="AH131" i="6" s="1"/>
  <c r="AH132" i="6" s="1"/>
  <c r="AH133" i="6" s="1"/>
  <c r="AH134" i="6" s="1"/>
  <c r="AH135" i="6" s="1"/>
  <c r="AH136" i="6" s="1"/>
  <c r="AH137" i="6" s="1"/>
  <c r="AH138" i="6" s="1"/>
  <c r="AH139" i="6" s="1"/>
  <c r="AH140" i="6" s="1"/>
  <c r="AH141" i="6" s="1"/>
  <c r="AH142" i="6" s="1"/>
  <c r="AH143" i="6" s="1"/>
  <c r="AH144" i="6" s="1"/>
  <c r="AH145" i="6" s="1"/>
  <c r="AH146" i="6" s="1"/>
  <c r="AH147" i="6" s="1"/>
  <c r="AH148" i="6" s="1"/>
  <c r="AH149" i="6" s="1"/>
  <c r="AH150" i="6" s="1"/>
  <c r="AH151" i="6" s="1"/>
  <c r="AH152" i="6" s="1"/>
  <c r="AH153" i="6" s="1"/>
  <c r="AH154" i="6" s="1"/>
  <c r="AH155" i="6" s="1"/>
  <c r="AH156" i="6" s="1"/>
  <c r="AH157" i="6" s="1"/>
  <c r="AH158" i="6" s="1"/>
  <c r="AH159" i="6" s="1"/>
  <c r="AH160" i="6" s="1"/>
  <c r="AH161" i="6" s="1"/>
  <c r="AH162" i="6" s="1"/>
  <c r="AH163" i="6" s="1"/>
  <c r="AH164" i="6" s="1"/>
  <c r="AH165" i="6" s="1"/>
  <c r="AH166" i="6" s="1"/>
  <c r="AH167" i="6" s="1"/>
  <c r="AH168" i="6" s="1"/>
  <c r="AH169" i="6" s="1"/>
  <c r="AH170" i="6" s="1"/>
  <c r="AH171" i="6" s="1"/>
  <c r="AH172" i="6" s="1"/>
  <c r="E76" i="6"/>
  <c r="D76" i="6"/>
  <c r="BO59" i="6"/>
  <c r="AQ157" i="9" l="1"/>
  <c r="DC156" i="9"/>
  <c r="DD155" i="9"/>
  <c r="DE155" i="9" s="1"/>
  <c r="AS170" i="9"/>
  <c r="DF155" i="9" s="1"/>
  <c r="D84" i="9"/>
  <c r="E84" i="9"/>
  <c r="F78" i="8"/>
  <c r="B79" i="8"/>
  <c r="BS76" i="6"/>
  <c r="BT76" i="6" s="1"/>
  <c r="AA117" i="6"/>
  <c r="Z232" i="6"/>
  <c r="AD80" i="6"/>
  <c r="BU62" i="6"/>
  <c r="V79" i="6"/>
  <c r="B77" i="6"/>
  <c r="F76" i="6"/>
  <c r="AQ158" i="9" l="1"/>
  <c r="DC157" i="9"/>
  <c r="DD156" i="9"/>
  <c r="DE156" i="9" s="1"/>
  <c r="AS171" i="9"/>
  <c r="DF156" i="9" s="1"/>
  <c r="B85" i="9"/>
  <c r="F84" i="9"/>
  <c r="E79" i="8"/>
  <c r="D79" i="8"/>
  <c r="BS77" i="6"/>
  <c r="BT77" i="6" s="1"/>
  <c r="BR79" i="6"/>
  <c r="AA118" i="6"/>
  <c r="Z233" i="6"/>
  <c r="Z234" i="6" s="1"/>
  <c r="AD81" i="6"/>
  <c r="BU63" i="6"/>
  <c r="V80" i="6"/>
  <c r="BR80" i="6" s="1"/>
  <c r="E77" i="6"/>
  <c r="D77" i="6"/>
  <c r="AQ159" i="9" l="1"/>
  <c r="DC158" i="9"/>
  <c r="DD157" i="9"/>
  <c r="DE157" i="9" s="1"/>
  <c r="AS172" i="9"/>
  <c r="DF157" i="9" s="1"/>
  <c r="E85" i="9"/>
  <c r="D85" i="9"/>
  <c r="F79" i="8"/>
  <c r="B80" i="8"/>
  <c r="BS78" i="6"/>
  <c r="BT78" i="6" s="1"/>
  <c r="AA119" i="6"/>
  <c r="AA120" i="6" s="1"/>
  <c r="Z235" i="6"/>
  <c r="AD82" i="6"/>
  <c r="BU64" i="6"/>
  <c r="V81" i="6"/>
  <c r="B78" i="6"/>
  <c r="F77" i="6"/>
  <c r="AQ160" i="9" l="1"/>
  <c r="DC159" i="9"/>
  <c r="DD158" i="9"/>
  <c r="DE158" i="9" s="1"/>
  <c r="AS173" i="9"/>
  <c r="DF158" i="9" s="1"/>
  <c r="B86" i="9"/>
  <c r="F85" i="9"/>
  <c r="E80" i="8"/>
  <c r="D80" i="8"/>
  <c r="BO63" i="8"/>
  <c r="AA121" i="6"/>
  <c r="Z236" i="6"/>
  <c r="AD83" i="6"/>
  <c r="BU65" i="6"/>
  <c r="V82" i="6"/>
  <c r="E78" i="6"/>
  <c r="D78" i="6"/>
  <c r="AQ161" i="9" l="1"/>
  <c r="DD159" i="9"/>
  <c r="DE159" i="9" s="1"/>
  <c r="DC160" i="9"/>
  <c r="AS174" i="9"/>
  <c r="DF159" i="9" s="1"/>
  <c r="E86" i="9"/>
  <c r="D86" i="9"/>
  <c r="F80" i="8"/>
  <c r="B81" i="8"/>
  <c r="AA122" i="6"/>
  <c r="Z237" i="6"/>
  <c r="AD84" i="6"/>
  <c r="BU66" i="6"/>
  <c r="V83" i="6"/>
  <c r="B79" i="6"/>
  <c r="F78" i="6"/>
  <c r="AQ162" i="9" l="1"/>
  <c r="DC161" i="9"/>
  <c r="DD160" i="9"/>
  <c r="DE160" i="9" s="1"/>
  <c r="AS175" i="9"/>
  <c r="DF160" i="9" s="1"/>
  <c r="B87" i="9"/>
  <c r="F86" i="9"/>
  <c r="E81" i="8"/>
  <c r="D81" i="8"/>
  <c r="AA123" i="6"/>
  <c r="Z238" i="6"/>
  <c r="Z239" i="6" s="1"/>
  <c r="AD85" i="6"/>
  <c r="BU67" i="6"/>
  <c r="V84" i="6"/>
  <c r="E79" i="6"/>
  <c r="D79" i="6"/>
  <c r="AQ163" i="9" l="1"/>
  <c r="DC162" i="9"/>
  <c r="DD161" i="9"/>
  <c r="DE161" i="9" s="1"/>
  <c r="AS176" i="9"/>
  <c r="DF161" i="9" s="1"/>
  <c r="E87" i="9"/>
  <c r="D87" i="9"/>
  <c r="F81" i="8"/>
  <c r="B82" i="8"/>
  <c r="AA124" i="6"/>
  <c r="Z240" i="6"/>
  <c r="AD86" i="6"/>
  <c r="BU68" i="6"/>
  <c r="V85" i="6"/>
  <c r="B80" i="6"/>
  <c r="F79" i="6"/>
  <c r="AQ164" i="9" l="1"/>
  <c r="DC163" i="9"/>
  <c r="DD162" i="9"/>
  <c r="DE162" i="9" s="1"/>
  <c r="AS177" i="9"/>
  <c r="DF162" i="9" s="1"/>
  <c r="B88" i="9"/>
  <c r="F87" i="9"/>
  <c r="E82" i="8"/>
  <c r="Y82" i="8"/>
  <c r="D82" i="8"/>
  <c r="BS82" i="8"/>
  <c r="BT82" i="8" s="1"/>
  <c r="AA125" i="6"/>
  <c r="AA126" i="6" s="1"/>
  <c r="Z241" i="6"/>
  <c r="AD87" i="6"/>
  <c r="BU69" i="6"/>
  <c r="V86" i="6"/>
  <c r="E80" i="6"/>
  <c r="D80" i="6"/>
  <c r="BO63" i="6"/>
  <c r="AQ165" i="9" l="1"/>
  <c r="DC164" i="9"/>
  <c r="DD163" i="9"/>
  <c r="DE163" i="9" s="1"/>
  <c r="AS178" i="9"/>
  <c r="DF163" i="9" s="1"/>
  <c r="E88" i="9"/>
  <c r="D88" i="9"/>
  <c r="B83" i="8"/>
  <c r="F82" i="8"/>
  <c r="BS80" i="8"/>
  <c r="BT80" i="8" s="1"/>
  <c r="BS81" i="8"/>
  <c r="BT81" i="8" s="1"/>
  <c r="BR82" i="8"/>
  <c r="BR83" i="8"/>
  <c r="AA127" i="6"/>
  <c r="Z242" i="6"/>
  <c r="AD88" i="6"/>
  <c r="BU70" i="6"/>
  <c r="V87" i="6"/>
  <c r="B81" i="6"/>
  <c r="F80" i="6"/>
  <c r="AQ166" i="9" l="1"/>
  <c r="DC165" i="9"/>
  <c r="DD164" i="9"/>
  <c r="DE164" i="9" s="1"/>
  <c r="AS179" i="9"/>
  <c r="DF164" i="9" s="1"/>
  <c r="B89" i="9"/>
  <c r="F88" i="9"/>
  <c r="E83" i="8"/>
  <c r="D83" i="8"/>
  <c r="AA128" i="6"/>
  <c r="Z243" i="6"/>
  <c r="Z244" i="6" s="1"/>
  <c r="AD89" i="6"/>
  <c r="BU71" i="6"/>
  <c r="V88" i="6"/>
  <c r="E81" i="6"/>
  <c r="Y81" i="6"/>
  <c r="BR81" i="6" s="1"/>
  <c r="D81" i="6"/>
  <c r="AQ167" i="9" l="1"/>
  <c r="DC166" i="9"/>
  <c r="DD165" i="9"/>
  <c r="DE165" i="9" s="1"/>
  <c r="AS180" i="9"/>
  <c r="DF165" i="9" s="1"/>
  <c r="E89" i="9"/>
  <c r="CZ72" i="9"/>
  <c r="D89" i="9"/>
  <c r="B84" i="8"/>
  <c r="F83" i="8"/>
  <c r="AA129" i="6"/>
  <c r="Z245" i="6"/>
  <c r="AD90" i="6"/>
  <c r="BS79" i="6"/>
  <c r="BT79" i="6" s="1"/>
  <c r="V89" i="6"/>
  <c r="B82" i="6"/>
  <c r="Y82" i="6" s="1"/>
  <c r="BR82" i="6" s="1"/>
  <c r="F81" i="6"/>
  <c r="AQ168" i="9" l="1"/>
  <c r="DC167" i="9"/>
  <c r="DD166" i="9"/>
  <c r="DE166" i="9" s="1"/>
  <c r="AS181" i="9"/>
  <c r="DF166" i="9" s="1"/>
  <c r="F89" i="9"/>
  <c r="B90" i="9"/>
  <c r="E84" i="8"/>
  <c r="D84" i="8"/>
  <c r="BS80" i="6"/>
  <c r="BT80" i="6" s="1"/>
  <c r="AA130" i="6"/>
  <c r="AA131" i="6" s="1"/>
  <c r="Z246" i="6"/>
  <c r="AD91" i="6"/>
  <c r="Y83" i="6"/>
  <c r="BR83" i="6" s="1"/>
  <c r="AI89" i="6"/>
  <c r="V90" i="6"/>
  <c r="D82" i="6"/>
  <c r="E82" i="6"/>
  <c r="AQ169" i="9" l="1"/>
  <c r="DC168" i="9"/>
  <c r="DD167" i="9"/>
  <c r="DE167" i="9" s="1"/>
  <c r="AS182" i="9"/>
  <c r="DF167" i="9" s="1"/>
  <c r="E90" i="9"/>
  <c r="D90" i="9"/>
  <c r="B85" i="8"/>
  <c r="F84" i="8"/>
  <c r="BS81" i="6"/>
  <c r="BT81" i="6" s="1"/>
  <c r="AA132" i="6"/>
  <c r="Z247" i="6"/>
  <c r="AI90" i="6"/>
  <c r="BU72" i="6"/>
  <c r="AD92" i="6"/>
  <c r="V91" i="6"/>
  <c r="Y84" i="6"/>
  <c r="B83" i="6"/>
  <c r="F82" i="6"/>
  <c r="AQ170" i="9" l="1"/>
  <c r="DC169" i="9"/>
  <c r="DD168" i="9"/>
  <c r="DE168" i="9" s="1"/>
  <c r="AS183" i="9"/>
  <c r="DF168" i="9" s="1"/>
  <c r="F90" i="9"/>
  <c r="B91" i="9"/>
  <c r="E85" i="8"/>
  <c r="D85" i="8"/>
  <c r="BS82" i="6"/>
  <c r="BT82" i="6" s="1"/>
  <c r="BR84" i="6"/>
  <c r="AA133" i="6"/>
  <c r="Z248" i="6"/>
  <c r="Z249" i="6" s="1"/>
  <c r="AD93" i="6"/>
  <c r="AI91" i="6"/>
  <c r="BU73" i="6"/>
  <c r="Y85" i="6"/>
  <c r="V92" i="6"/>
  <c r="D83" i="6"/>
  <c r="E83" i="6"/>
  <c r="AQ171" i="9" l="1"/>
  <c r="DC170" i="9"/>
  <c r="DD169" i="9"/>
  <c r="DE169" i="9" s="1"/>
  <c r="AS184" i="9"/>
  <c r="DF169" i="9" s="1"/>
  <c r="E91" i="9"/>
  <c r="D91" i="9"/>
  <c r="B86" i="8"/>
  <c r="F85" i="8"/>
  <c r="Y86" i="6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BR85" i="6"/>
  <c r="AA134" i="6"/>
  <c r="Z250" i="6"/>
  <c r="AI92" i="6"/>
  <c r="BU74" i="6"/>
  <c r="AD94" i="6"/>
  <c r="BS83" i="6"/>
  <c r="BT83" i="6" s="1"/>
  <c r="V93" i="6"/>
  <c r="B84" i="6"/>
  <c r="F83" i="6"/>
  <c r="AQ172" i="9" l="1"/>
  <c r="DC171" i="9"/>
  <c r="DD170" i="9"/>
  <c r="DE170" i="9" s="1"/>
  <c r="AS185" i="9"/>
  <c r="DF170" i="9" s="1"/>
  <c r="F91" i="9"/>
  <c r="B92" i="9"/>
  <c r="E86" i="8"/>
  <c r="D86" i="8"/>
  <c r="BO69" i="8"/>
  <c r="AA135" i="6"/>
  <c r="AA136" i="6" s="1"/>
  <c r="Z251" i="6"/>
  <c r="AD95" i="6"/>
  <c r="AI93" i="6"/>
  <c r="BU75" i="6"/>
  <c r="V94" i="6"/>
  <c r="D84" i="6"/>
  <c r="E84" i="6"/>
  <c r="AQ173" i="9" l="1"/>
  <c r="DC172" i="9"/>
  <c r="DD171" i="9"/>
  <c r="DE171" i="9" s="1"/>
  <c r="AS186" i="9"/>
  <c r="DF171" i="9" s="1"/>
  <c r="E92" i="9"/>
  <c r="D92" i="9"/>
  <c r="B87" i="8"/>
  <c r="F86" i="8"/>
  <c r="AA137" i="6"/>
  <c r="Z252" i="6"/>
  <c r="AI94" i="6"/>
  <c r="BU76" i="6"/>
  <c r="AD96" i="6"/>
  <c r="V95" i="6"/>
  <c r="B85" i="6"/>
  <c r="F84" i="6"/>
  <c r="AQ174" i="9" l="1"/>
  <c r="DC173" i="9"/>
  <c r="DD172" i="9"/>
  <c r="DE172" i="9" s="1"/>
  <c r="AS187" i="9"/>
  <c r="DF172" i="9" s="1"/>
  <c r="F92" i="9"/>
  <c r="B93" i="9"/>
  <c r="D87" i="8"/>
  <c r="X87" i="8"/>
  <c r="E87" i="8"/>
  <c r="BS87" i="8"/>
  <c r="BT87" i="8" s="1"/>
  <c r="AA138" i="6"/>
  <c r="Z253" i="6"/>
  <c r="AD97" i="6"/>
  <c r="AI95" i="6"/>
  <c r="BU77" i="6"/>
  <c r="V96" i="6"/>
  <c r="D85" i="6"/>
  <c r="E85" i="6"/>
  <c r="AQ175" i="9" l="1"/>
  <c r="DC174" i="9"/>
  <c r="DD173" i="9"/>
  <c r="DE173" i="9" s="1"/>
  <c r="AS188" i="9"/>
  <c r="DF173" i="9" s="1"/>
  <c r="E93" i="9"/>
  <c r="D93" i="9"/>
  <c r="BS86" i="8"/>
  <c r="BT86" i="8" s="1"/>
  <c r="BR87" i="8"/>
  <c r="BS85" i="8"/>
  <c r="BT85" i="8" s="1"/>
  <c r="BR88" i="8"/>
  <c r="B88" i="8"/>
  <c r="F87" i="8"/>
  <c r="AA139" i="6"/>
  <c r="Z254" i="6"/>
  <c r="Z255" i="6" s="1"/>
  <c r="AI96" i="6"/>
  <c r="BU78" i="6"/>
  <c r="AD98" i="6"/>
  <c r="B86" i="6"/>
  <c r="F85" i="6"/>
  <c r="AQ176" i="9" l="1"/>
  <c r="DC175" i="9"/>
  <c r="DD174" i="9"/>
  <c r="DE174" i="9" s="1"/>
  <c r="AS189" i="9"/>
  <c r="DF174" i="9" s="1"/>
  <c r="F93" i="9"/>
  <c r="B94" i="9"/>
  <c r="D88" i="8"/>
  <c r="E88" i="8"/>
  <c r="AA140" i="6"/>
  <c r="AA141" i="6" s="1"/>
  <c r="Z256" i="6"/>
  <c r="AD99" i="6"/>
  <c r="AI97" i="6"/>
  <c r="BU79" i="6"/>
  <c r="D86" i="6"/>
  <c r="BO69" i="6"/>
  <c r="X86" i="6"/>
  <c r="BR86" i="6" s="1"/>
  <c r="E86" i="6"/>
  <c r="AQ177" i="9" l="1"/>
  <c r="DD175" i="9"/>
  <c r="DE175" i="9" s="1"/>
  <c r="DC176" i="9"/>
  <c r="AS190" i="9"/>
  <c r="DF175" i="9" s="1"/>
  <c r="E94" i="9"/>
  <c r="D94" i="9"/>
  <c r="CZ77" i="9"/>
  <c r="B89" i="8"/>
  <c r="F88" i="8"/>
  <c r="AA142" i="6"/>
  <c r="Z257" i="6"/>
  <c r="AI98" i="6"/>
  <c r="BU80" i="6"/>
  <c r="AD100" i="6"/>
  <c r="BS84" i="6"/>
  <c r="BT84" i="6" s="1"/>
  <c r="B87" i="6"/>
  <c r="X87" i="6" s="1"/>
  <c r="BR87" i="6" s="1"/>
  <c r="F86" i="6"/>
  <c r="AQ178" i="9" l="1"/>
  <c r="DC177" i="9"/>
  <c r="DD176" i="9"/>
  <c r="DE176" i="9" s="1"/>
  <c r="AS191" i="9"/>
  <c r="DF176" i="9" s="1"/>
  <c r="F94" i="9"/>
  <c r="B95" i="9"/>
  <c r="E89" i="8"/>
  <c r="D89" i="8"/>
  <c r="AA143" i="6"/>
  <c r="Z258" i="6"/>
  <c r="AD101" i="6"/>
  <c r="AI99" i="6"/>
  <c r="X88" i="6"/>
  <c r="BS85" i="6"/>
  <c r="BT85" i="6" s="1"/>
  <c r="E87" i="6"/>
  <c r="D87" i="6"/>
  <c r="AQ179" i="9" l="1"/>
  <c r="DC178" i="9"/>
  <c r="DD177" i="9"/>
  <c r="DE177" i="9" s="1"/>
  <c r="AS192" i="9"/>
  <c r="DF177" i="9" s="1"/>
  <c r="E95" i="9"/>
  <c r="D95" i="9"/>
  <c r="B90" i="8"/>
  <c r="F89" i="8"/>
  <c r="BS86" i="6"/>
  <c r="BT86" i="6" s="1"/>
  <c r="BR88" i="6"/>
  <c r="AA144" i="6"/>
  <c r="Z259" i="6"/>
  <c r="Z260" i="6" s="1"/>
  <c r="AI100" i="6"/>
  <c r="AD102" i="6"/>
  <c r="X89" i="6"/>
  <c r="BR89" i="6" s="1"/>
  <c r="B88" i="6"/>
  <c r="F87" i="6"/>
  <c r="AQ180" i="9" l="1"/>
  <c r="DC179" i="9"/>
  <c r="DD178" i="9"/>
  <c r="DE178" i="9" s="1"/>
  <c r="AS193" i="9"/>
  <c r="DF178" i="9" s="1"/>
  <c r="F95" i="9"/>
  <c r="B96" i="9"/>
  <c r="E90" i="8"/>
  <c r="D90" i="8"/>
  <c r="BS87" i="6"/>
  <c r="BT87" i="6" s="1"/>
  <c r="AA145" i="6"/>
  <c r="Z261" i="6"/>
  <c r="AD103" i="6"/>
  <c r="AI101" i="6"/>
  <c r="X90" i="6"/>
  <c r="E88" i="6"/>
  <c r="D88" i="6"/>
  <c r="AQ181" i="9" l="1"/>
  <c r="DC180" i="9"/>
  <c r="DD179" i="9"/>
  <c r="DE179" i="9" s="1"/>
  <c r="AS194" i="9"/>
  <c r="DF179" i="9" s="1"/>
  <c r="E96" i="9"/>
  <c r="D96" i="9"/>
  <c r="B91" i="8"/>
  <c r="F90" i="8"/>
  <c r="BS88" i="6"/>
  <c r="BT88" i="6" s="1"/>
  <c r="BR90" i="6"/>
  <c r="AA146" i="6"/>
  <c r="AA147" i="6" s="1"/>
  <c r="Z262" i="6"/>
  <c r="AI102" i="6"/>
  <c r="AD104" i="6"/>
  <c r="X91" i="6"/>
  <c r="BS89" i="6" s="1"/>
  <c r="BT89" i="6" s="1"/>
  <c r="B89" i="6"/>
  <c r="F88" i="6"/>
  <c r="AQ182" i="9" l="1"/>
  <c r="DC181" i="9"/>
  <c r="DD180" i="9"/>
  <c r="DE180" i="9" s="1"/>
  <c r="AS195" i="9"/>
  <c r="DF180" i="9" s="1"/>
  <c r="B97" i="9"/>
  <c r="F96" i="9"/>
  <c r="E91" i="8"/>
  <c r="BO74" i="8"/>
  <c r="D91" i="8"/>
  <c r="X92" i="6"/>
  <c r="X93" i="6" s="1"/>
  <c r="X94" i="6" s="1"/>
  <c r="X95" i="6" s="1"/>
  <c r="X96" i="6" s="1"/>
  <c r="X97" i="6" s="1"/>
  <c r="X98" i="6" s="1"/>
  <c r="X99" i="6" s="1"/>
  <c r="X100" i="6" s="1"/>
  <c r="X101" i="6" s="1"/>
  <c r="X102" i="6" s="1"/>
  <c r="X103" i="6" s="1"/>
  <c r="X104" i="6" s="1"/>
  <c r="X105" i="6" s="1"/>
  <c r="X106" i="6" s="1"/>
  <c r="X107" i="6" s="1"/>
  <c r="X108" i="6" s="1"/>
  <c r="BR91" i="6"/>
  <c r="AA148" i="6"/>
  <c r="Z263" i="6"/>
  <c r="AD105" i="6"/>
  <c r="AI103" i="6"/>
  <c r="E89" i="6"/>
  <c r="D89" i="6"/>
  <c r="AQ183" i="9" l="1"/>
  <c r="DC182" i="9"/>
  <c r="DD181" i="9"/>
  <c r="DE181" i="9" s="1"/>
  <c r="AS196" i="9"/>
  <c r="DF181" i="9" s="1"/>
  <c r="E97" i="9"/>
  <c r="D97" i="9"/>
  <c r="B92" i="8"/>
  <c r="F91" i="8"/>
  <c r="AA149" i="6"/>
  <c r="Z264" i="6"/>
  <c r="Z265" i="6" s="1"/>
  <c r="AI104" i="6"/>
  <c r="AD106" i="6"/>
  <c r="B90" i="6"/>
  <c r="F89" i="6"/>
  <c r="AQ184" i="9" l="1"/>
  <c r="DC183" i="9"/>
  <c r="DD182" i="9"/>
  <c r="DE182" i="9" s="1"/>
  <c r="AS197" i="9"/>
  <c r="DF182" i="9" s="1"/>
  <c r="B98" i="9"/>
  <c r="F97" i="9"/>
  <c r="E92" i="8"/>
  <c r="D92" i="8"/>
  <c r="W92" i="8"/>
  <c r="BS92" i="8"/>
  <c r="BT92" i="8" s="1"/>
  <c r="AA150" i="6"/>
  <c r="Z266" i="6"/>
  <c r="AD107" i="6"/>
  <c r="AI105" i="6"/>
  <c r="E90" i="6"/>
  <c r="D90" i="6"/>
  <c r="AQ185" i="9" l="1"/>
  <c r="DC184" i="9"/>
  <c r="DD183" i="9"/>
  <c r="DE183" i="9" s="1"/>
  <c r="AS198" i="9"/>
  <c r="DF183" i="9" s="1"/>
  <c r="E98" i="9"/>
  <c r="D98" i="9"/>
  <c r="BR92" i="8"/>
  <c r="BS91" i="8"/>
  <c r="BT91" i="8" s="1"/>
  <c r="BS90" i="8"/>
  <c r="BT90" i="8" s="1"/>
  <c r="BR93" i="8"/>
  <c r="F92" i="8"/>
  <c r="B93" i="8"/>
  <c r="AA151" i="6"/>
  <c r="AA152" i="6" s="1"/>
  <c r="Z267" i="6"/>
  <c r="AI106" i="6"/>
  <c r="AD108" i="6"/>
  <c r="B91" i="6"/>
  <c r="F90" i="6"/>
  <c r="AQ186" i="9" l="1"/>
  <c r="DC185" i="9"/>
  <c r="DD184" i="9"/>
  <c r="DE184" i="9" s="1"/>
  <c r="AS199" i="9"/>
  <c r="DF184" i="9" s="1"/>
  <c r="B99" i="9"/>
  <c r="F98" i="9"/>
  <c r="D93" i="8"/>
  <c r="E93" i="8"/>
  <c r="AA153" i="6"/>
  <c r="Z268" i="6"/>
  <c r="AD109" i="6"/>
  <c r="AI107" i="6"/>
  <c r="E91" i="6"/>
  <c r="D91" i="6"/>
  <c r="BO74" i="6"/>
  <c r="AQ187" i="9" l="1"/>
  <c r="DC186" i="9"/>
  <c r="DD185" i="9"/>
  <c r="DE185" i="9" s="1"/>
  <c r="AS200" i="9"/>
  <c r="DF185" i="9" s="1"/>
  <c r="E99" i="9"/>
  <c r="D99" i="9"/>
  <c r="F93" i="8"/>
  <c r="B94" i="8"/>
  <c r="AA154" i="6"/>
  <c r="Z269" i="6"/>
  <c r="Z270" i="6" s="1"/>
  <c r="AI108" i="6"/>
  <c r="AD110" i="6"/>
  <c r="B92" i="6"/>
  <c r="F91" i="6"/>
  <c r="AQ188" i="9" l="1"/>
  <c r="DC187" i="9"/>
  <c r="DD186" i="9"/>
  <c r="DE186" i="9" s="1"/>
  <c r="AS201" i="9"/>
  <c r="DF186" i="9" s="1"/>
  <c r="B100" i="9"/>
  <c r="F99" i="9"/>
  <c r="D94" i="8"/>
  <c r="E94" i="8"/>
  <c r="AA155" i="6"/>
  <c r="Z271" i="6"/>
  <c r="AD111" i="6"/>
  <c r="AI109" i="6"/>
  <c r="W92" i="6"/>
  <c r="BR92" i="6" s="1"/>
  <c r="E92" i="6"/>
  <c r="D92" i="6"/>
  <c r="AQ189" i="9" l="1"/>
  <c r="DC188" i="9"/>
  <c r="DD187" i="9"/>
  <c r="DE187" i="9" s="1"/>
  <c r="AS202" i="9"/>
  <c r="DF187" i="9" s="1"/>
  <c r="E100" i="9"/>
  <c r="D100" i="9"/>
  <c r="F94" i="8"/>
  <c r="B95" i="8"/>
  <c r="AA156" i="6"/>
  <c r="AA157" i="6" s="1"/>
  <c r="Z272" i="6"/>
  <c r="AI110" i="6"/>
  <c r="AD112" i="6"/>
  <c r="W93" i="6"/>
  <c r="BS90" i="6"/>
  <c r="BT90" i="6" s="1"/>
  <c r="F92" i="6"/>
  <c r="B93" i="6"/>
  <c r="AQ190" i="9" l="1"/>
  <c r="DC189" i="9"/>
  <c r="DD188" i="9"/>
  <c r="DE188" i="9" s="1"/>
  <c r="AS203" i="9"/>
  <c r="DF188" i="9" s="1"/>
  <c r="B101" i="9"/>
  <c r="F100" i="9"/>
  <c r="D95" i="8"/>
  <c r="E95" i="8"/>
  <c r="BS91" i="6"/>
  <c r="BT91" i="6" s="1"/>
  <c r="BR93" i="6"/>
  <c r="AA158" i="6"/>
  <c r="Z273" i="6"/>
  <c r="AD113" i="6"/>
  <c r="AI111" i="6"/>
  <c r="W94" i="6"/>
  <c r="BR94" i="6" s="1"/>
  <c r="E93" i="6"/>
  <c r="D93" i="6"/>
  <c r="AQ191" i="9" l="1"/>
  <c r="DC190" i="9"/>
  <c r="DD189" i="9"/>
  <c r="DE189" i="9" s="1"/>
  <c r="AS204" i="9"/>
  <c r="DF189" i="9" s="1"/>
  <c r="BS92" i="6"/>
  <c r="D101" i="9"/>
  <c r="CZ84" i="9"/>
  <c r="E101" i="9"/>
  <c r="F95" i="8"/>
  <c r="B96" i="8"/>
  <c r="BT92" i="6"/>
  <c r="AA159" i="6"/>
  <c r="Z274" i="6"/>
  <c r="AI112" i="6"/>
  <c r="AD114" i="6"/>
  <c r="W95" i="6"/>
  <c r="F93" i="6"/>
  <c r="B94" i="6"/>
  <c r="AQ192" i="9" l="1"/>
  <c r="DC191" i="9"/>
  <c r="DD190" i="9"/>
  <c r="DE190" i="9" s="1"/>
  <c r="AS205" i="9"/>
  <c r="DF190" i="9" s="1"/>
  <c r="B102" i="9"/>
  <c r="F101" i="9"/>
  <c r="D96" i="8"/>
  <c r="E96" i="8"/>
  <c r="BS93" i="6"/>
  <c r="BT93" i="6" s="1"/>
  <c r="BR95" i="6"/>
  <c r="AA160" i="6"/>
  <c r="Z275" i="6"/>
  <c r="Z276" i="6" s="1"/>
  <c r="AD115" i="6"/>
  <c r="AI113" i="6"/>
  <c r="W96" i="6"/>
  <c r="E94" i="6"/>
  <c r="D94" i="6"/>
  <c r="AQ193" i="9" l="1"/>
  <c r="DD191" i="9" s="1"/>
  <c r="DE191" i="9" s="1"/>
  <c r="DC192" i="9"/>
  <c r="AS206" i="9"/>
  <c r="DF191" i="9" s="1"/>
  <c r="D102" i="9"/>
  <c r="E102" i="9"/>
  <c r="F96" i="8"/>
  <c r="B97" i="8"/>
  <c r="W97" i="6"/>
  <c r="W98" i="6" s="1"/>
  <c r="W99" i="6" s="1"/>
  <c r="W100" i="6" s="1"/>
  <c r="W101" i="6" s="1"/>
  <c r="W102" i="6" s="1"/>
  <c r="W103" i="6" s="1"/>
  <c r="W104" i="6" s="1"/>
  <c r="W105" i="6" s="1"/>
  <c r="W106" i="6" s="1"/>
  <c r="W107" i="6" s="1"/>
  <c r="W108" i="6" s="1"/>
  <c r="AL108" i="6" s="1"/>
  <c r="BR96" i="6"/>
  <c r="AA161" i="6"/>
  <c r="AA162" i="6" s="1"/>
  <c r="Z277" i="6"/>
  <c r="AI114" i="6"/>
  <c r="BS94" i="6"/>
  <c r="BT94" i="6" s="1"/>
  <c r="AD116" i="6"/>
  <c r="F94" i="6"/>
  <c r="B95" i="6"/>
  <c r="AQ194" i="9" l="1"/>
  <c r="DC193" i="9"/>
  <c r="DD192" i="9"/>
  <c r="DE192" i="9" s="1"/>
  <c r="AS207" i="9"/>
  <c r="DF192" i="9" s="1"/>
  <c r="F102" i="9"/>
  <c r="B103" i="9"/>
  <c r="D97" i="8"/>
  <c r="E97" i="8"/>
  <c r="V97" i="8"/>
  <c r="BS97" i="8"/>
  <c r="BT97" i="8" s="1"/>
  <c r="W109" i="6"/>
  <c r="W110" i="6" s="1"/>
  <c r="W111" i="6" s="1"/>
  <c r="W112" i="6" s="1"/>
  <c r="W113" i="6" s="1"/>
  <c r="AA163" i="6"/>
  <c r="Z278" i="6"/>
  <c r="AD117" i="6"/>
  <c r="AI115" i="6"/>
  <c r="E95" i="6"/>
  <c r="D95" i="6"/>
  <c r="AQ195" i="9" l="1"/>
  <c r="DC194" i="9"/>
  <c r="DD193" i="9"/>
  <c r="DE193" i="9" s="1"/>
  <c r="AS208" i="9"/>
  <c r="DF193" i="9" s="1"/>
  <c r="D103" i="9"/>
  <c r="E103" i="9"/>
  <c r="BR97" i="8"/>
  <c r="BS96" i="8"/>
  <c r="BT96" i="8" s="1"/>
  <c r="BR98" i="8"/>
  <c r="BS95" i="8"/>
  <c r="BT95" i="8" s="1"/>
  <c r="B98" i="8"/>
  <c r="F97" i="8"/>
  <c r="AA164" i="6"/>
  <c r="Z279" i="6"/>
  <c r="AI116" i="6"/>
  <c r="AD118" i="6"/>
  <c r="F95" i="6"/>
  <c r="B96" i="6"/>
  <c r="AQ196" i="9" l="1"/>
  <c r="DC195" i="9"/>
  <c r="DD194" i="9"/>
  <c r="DE194" i="9" s="1"/>
  <c r="AS209" i="9"/>
  <c r="DF194" i="9" s="1"/>
  <c r="F103" i="9"/>
  <c r="B104" i="9"/>
  <c r="E98" i="8"/>
  <c r="D98" i="8"/>
  <c r="BO81" i="8"/>
  <c r="AA165" i="6"/>
  <c r="Z280" i="6"/>
  <c r="Z281" i="6" s="1"/>
  <c r="AD119" i="6"/>
  <c r="AI117" i="6"/>
  <c r="E96" i="6"/>
  <c r="D96" i="6"/>
  <c r="AQ197" i="9" l="1"/>
  <c r="DC196" i="9"/>
  <c r="DD195" i="9"/>
  <c r="DE195" i="9" s="1"/>
  <c r="AS210" i="9"/>
  <c r="DF195" i="9" s="1"/>
  <c r="D104" i="9"/>
  <c r="E104" i="9"/>
  <c r="B99" i="8"/>
  <c r="F98" i="8"/>
  <c r="AA166" i="6"/>
  <c r="Z282" i="6"/>
  <c r="AI118" i="6"/>
  <c r="AD120" i="6"/>
  <c r="F96" i="6"/>
  <c r="B97" i="6"/>
  <c r="AQ198" i="9" l="1"/>
  <c r="DC197" i="9"/>
  <c r="DD196" i="9"/>
  <c r="DE196" i="9" s="1"/>
  <c r="AS211" i="9"/>
  <c r="DF196" i="9" s="1"/>
  <c r="F104" i="9"/>
  <c r="B105" i="9"/>
  <c r="E99" i="8"/>
  <c r="D99" i="8"/>
  <c r="AA167" i="6"/>
  <c r="Z283" i="6"/>
  <c r="AD121" i="6"/>
  <c r="AI119" i="6"/>
  <c r="V97" i="6"/>
  <c r="BR97" i="6" s="1"/>
  <c r="E97" i="6"/>
  <c r="D97" i="6"/>
  <c r="AQ199" i="9" l="1"/>
  <c r="DC198" i="9"/>
  <c r="DD197" i="9"/>
  <c r="DE197" i="9" s="1"/>
  <c r="AS212" i="9"/>
  <c r="DF197" i="9" s="1"/>
  <c r="D105" i="9"/>
  <c r="E105" i="9"/>
  <c r="B100" i="8"/>
  <c r="F99" i="8"/>
  <c r="AA168" i="6"/>
  <c r="AA169" i="6" s="1"/>
  <c r="Z284" i="6"/>
  <c r="AI120" i="6"/>
  <c r="AD122" i="6"/>
  <c r="V98" i="6"/>
  <c r="V99" i="6" s="1"/>
  <c r="BR99" i="6" s="1"/>
  <c r="BS95" i="6"/>
  <c r="BT95" i="6" s="1"/>
  <c r="AJ98" i="6"/>
  <c r="F97" i="6"/>
  <c r="B98" i="6"/>
  <c r="AQ200" i="9" l="1"/>
  <c r="DC199" i="9"/>
  <c r="DD198" i="9"/>
  <c r="DE198" i="9" s="1"/>
  <c r="AS213" i="9"/>
  <c r="DF198" i="9" s="1"/>
  <c r="F105" i="9"/>
  <c r="B106" i="9"/>
  <c r="E100" i="8"/>
  <c r="D100" i="8"/>
  <c r="BS96" i="6"/>
  <c r="BT96" i="6" s="1"/>
  <c r="BR98" i="6"/>
  <c r="AA170" i="6"/>
  <c r="Z285" i="6"/>
  <c r="Z286" i="6" s="1"/>
  <c r="AJ99" i="6"/>
  <c r="BU81" i="6"/>
  <c r="AD123" i="6"/>
  <c r="AI121" i="6"/>
  <c r="V100" i="6"/>
  <c r="BS97" i="6"/>
  <c r="BT97" i="6" s="1"/>
  <c r="AK103" i="6"/>
  <c r="AK104" i="6" s="1"/>
  <c r="AK105" i="6" s="1"/>
  <c r="AK106" i="6" s="1"/>
  <c r="AK107" i="6" s="1"/>
  <c r="AK108" i="6" s="1"/>
  <c r="AK109" i="6" s="1"/>
  <c r="AK110" i="6" s="1"/>
  <c r="AK111" i="6" s="1"/>
  <c r="AK112" i="6" s="1"/>
  <c r="AK113" i="6" s="1"/>
  <c r="AK114" i="6" s="1"/>
  <c r="AK115" i="6" s="1"/>
  <c r="AK116" i="6" s="1"/>
  <c r="AK117" i="6" s="1"/>
  <c r="AK118" i="6" s="1"/>
  <c r="AK119" i="6" s="1"/>
  <c r="AK120" i="6" s="1"/>
  <c r="AK121" i="6" s="1"/>
  <c r="AK122" i="6" s="1"/>
  <c r="AK123" i="6" s="1"/>
  <c r="AK124" i="6" s="1"/>
  <c r="AK125" i="6" s="1"/>
  <c r="AK126" i="6" s="1"/>
  <c r="AK127" i="6" s="1"/>
  <c r="AK128" i="6" s="1"/>
  <c r="AK129" i="6" s="1"/>
  <c r="AK130" i="6" s="1"/>
  <c r="AK131" i="6" s="1"/>
  <c r="AK132" i="6" s="1"/>
  <c r="AK133" i="6" s="1"/>
  <c r="AK134" i="6" s="1"/>
  <c r="AK135" i="6" s="1"/>
  <c r="AK136" i="6" s="1"/>
  <c r="AK137" i="6" s="1"/>
  <c r="AK138" i="6" s="1"/>
  <c r="AK139" i="6" s="1"/>
  <c r="AK140" i="6" s="1"/>
  <c r="AK141" i="6" s="1"/>
  <c r="AK142" i="6" s="1"/>
  <c r="AK143" i="6" s="1"/>
  <c r="AK144" i="6" s="1"/>
  <c r="AK145" i="6" s="1"/>
  <c r="AK146" i="6" s="1"/>
  <c r="AK147" i="6" s="1"/>
  <c r="AK148" i="6" s="1"/>
  <c r="AK149" i="6" s="1"/>
  <c r="AK150" i="6" s="1"/>
  <c r="AK151" i="6" s="1"/>
  <c r="AK152" i="6" s="1"/>
  <c r="AK153" i="6" s="1"/>
  <c r="AK154" i="6" s="1"/>
  <c r="AK155" i="6" s="1"/>
  <c r="AK156" i="6" s="1"/>
  <c r="AK157" i="6" s="1"/>
  <c r="AK158" i="6" s="1"/>
  <c r="AK159" i="6" s="1"/>
  <c r="AK160" i="6" s="1"/>
  <c r="AK161" i="6" s="1"/>
  <c r="AK162" i="6" s="1"/>
  <c r="AK163" i="6" s="1"/>
  <c r="AK164" i="6" s="1"/>
  <c r="AK165" i="6" s="1"/>
  <c r="AK166" i="6" s="1"/>
  <c r="AK167" i="6" s="1"/>
  <c r="AK168" i="6" s="1"/>
  <c r="AK169" i="6" s="1"/>
  <c r="AK170" i="6" s="1"/>
  <c r="AK171" i="6" s="1"/>
  <c r="AK172" i="6" s="1"/>
  <c r="AK173" i="6" s="1"/>
  <c r="AK174" i="6" s="1"/>
  <c r="AK175" i="6" s="1"/>
  <c r="AK176" i="6" s="1"/>
  <c r="AK177" i="6" s="1"/>
  <c r="AK178" i="6" s="1"/>
  <c r="AK179" i="6" s="1"/>
  <c r="AK180" i="6" s="1"/>
  <c r="AK181" i="6" s="1"/>
  <c r="AK182" i="6" s="1"/>
  <c r="AK183" i="6" s="1"/>
  <c r="AK184" i="6" s="1"/>
  <c r="AK185" i="6" s="1"/>
  <c r="AK186" i="6" s="1"/>
  <c r="AK187" i="6" s="1"/>
  <c r="AK188" i="6" s="1"/>
  <c r="AK189" i="6" s="1"/>
  <c r="E98" i="6"/>
  <c r="D98" i="6"/>
  <c r="BO81" i="6"/>
  <c r="AQ201" i="9" l="1"/>
  <c r="DC200" i="9"/>
  <c r="DD199" i="9"/>
  <c r="DE199" i="9" s="1"/>
  <c r="AS214" i="9"/>
  <c r="DF199" i="9" s="1"/>
  <c r="D106" i="9"/>
  <c r="CZ89" i="9"/>
  <c r="E106" i="9"/>
  <c r="B101" i="8"/>
  <c r="F100" i="8"/>
  <c r="BS98" i="6"/>
  <c r="BT98" i="6" s="1"/>
  <c r="BR100" i="6"/>
  <c r="AA171" i="6"/>
  <c r="Z287" i="6"/>
  <c r="AD124" i="6"/>
  <c r="AI122" i="6"/>
  <c r="AJ100" i="6"/>
  <c r="BU82" i="6"/>
  <c r="V101" i="6"/>
  <c r="AL109" i="6"/>
  <c r="AL110" i="6" s="1"/>
  <c r="AL111" i="6" s="1"/>
  <c r="AL112" i="6" s="1"/>
  <c r="AL113" i="6" s="1"/>
  <c r="AL114" i="6" s="1"/>
  <c r="AL115" i="6" s="1"/>
  <c r="AL116" i="6" s="1"/>
  <c r="AL117" i="6" s="1"/>
  <c r="AL118" i="6" s="1"/>
  <c r="AL119" i="6" s="1"/>
  <c r="AL120" i="6" s="1"/>
  <c r="AL121" i="6" s="1"/>
  <c r="AL122" i="6" s="1"/>
  <c r="AL123" i="6" s="1"/>
  <c r="AL124" i="6" s="1"/>
  <c r="AL125" i="6" s="1"/>
  <c r="AL126" i="6" s="1"/>
  <c r="AL127" i="6" s="1"/>
  <c r="AL128" i="6" s="1"/>
  <c r="AL129" i="6" s="1"/>
  <c r="AL130" i="6" s="1"/>
  <c r="AL131" i="6" s="1"/>
  <c r="AL132" i="6" s="1"/>
  <c r="AL133" i="6" s="1"/>
  <c r="AL134" i="6" s="1"/>
  <c r="AL135" i="6" s="1"/>
  <c r="AL136" i="6" s="1"/>
  <c r="AL137" i="6" s="1"/>
  <c r="AL138" i="6" s="1"/>
  <c r="AL139" i="6" s="1"/>
  <c r="AL140" i="6" s="1"/>
  <c r="AL141" i="6" s="1"/>
  <c r="AL142" i="6" s="1"/>
  <c r="AL143" i="6" s="1"/>
  <c r="AL144" i="6" s="1"/>
  <c r="AL145" i="6" s="1"/>
  <c r="AL146" i="6" s="1"/>
  <c r="AL147" i="6" s="1"/>
  <c r="AL148" i="6" s="1"/>
  <c r="AL149" i="6" s="1"/>
  <c r="AL150" i="6" s="1"/>
  <c r="AL151" i="6" s="1"/>
  <c r="AL152" i="6" s="1"/>
  <c r="AL153" i="6" s="1"/>
  <c r="AL154" i="6" s="1"/>
  <c r="AL155" i="6" s="1"/>
  <c r="AL156" i="6" s="1"/>
  <c r="AL157" i="6" s="1"/>
  <c r="AL158" i="6" s="1"/>
  <c r="AL159" i="6" s="1"/>
  <c r="AL160" i="6" s="1"/>
  <c r="AL161" i="6" s="1"/>
  <c r="AL162" i="6" s="1"/>
  <c r="AL163" i="6" s="1"/>
  <c r="AL164" i="6" s="1"/>
  <c r="AL165" i="6" s="1"/>
  <c r="AL166" i="6" s="1"/>
  <c r="AL167" i="6" s="1"/>
  <c r="AL168" i="6" s="1"/>
  <c r="AL169" i="6" s="1"/>
  <c r="AL170" i="6" s="1"/>
  <c r="AL171" i="6" s="1"/>
  <c r="AL172" i="6" s="1"/>
  <c r="AL173" i="6" s="1"/>
  <c r="AL174" i="6" s="1"/>
  <c r="AL175" i="6" s="1"/>
  <c r="AL176" i="6" s="1"/>
  <c r="AL177" i="6" s="1"/>
  <c r="AL178" i="6" s="1"/>
  <c r="AL179" i="6" s="1"/>
  <c r="AL180" i="6" s="1"/>
  <c r="AL181" i="6" s="1"/>
  <c r="AL182" i="6" s="1"/>
  <c r="AL183" i="6" s="1"/>
  <c r="AL184" i="6" s="1"/>
  <c r="AL185" i="6" s="1"/>
  <c r="AL186" i="6" s="1"/>
  <c r="AL187" i="6" s="1"/>
  <c r="AL188" i="6" s="1"/>
  <c r="AL189" i="6" s="1"/>
  <c r="AL190" i="6" s="1"/>
  <c r="AL191" i="6" s="1"/>
  <c r="AL192" i="6" s="1"/>
  <c r="AL193" i="6" s="1"/>
  <c r="AL194" i="6" s="1"/>
  <c r="B99" i="6"/>
  <c r="F98" i="6"/>
  <c r="AQ202" i="9" l="1"/>
  <c r="DC201" i="9"/>
  <c r="DD200" i="9"/>
  <c r="DE200" i="9" s="1"/>
  <c r="AS215" i="9"/>
  <c r="DF200" i="9" s="1"/>
  <c r="F106" i="9"/>
  <c r="B107" i="9"/>
  <c r="E101" i="8"/>
  <c r="D101" i="8"/>
  <c r="BS99" i="6"/>
  <c r="BT99" i="6" s="1"/>
  <c r="BR101" i="6"/>
  <c r="AA172" i="6"/>
  <c r="Z288" i="6"/>
  <c r="AI123" i="6"/>
  <c r="AJ101" i="6"/>
  <c r="BU83" i="6"/>
  <c r="AD125" i="6"/>
  <c r="V102" i="6"/>
  <c r="E99" i="6"/>
  <c r="D99" i="6"/>
  <c r="AQ203" i="9" l="1"/>
  <c r="DC202" i="9"/>
  <c r="DD201" i="9"/>
  <c r="DE201" i="9" s="1"/>
  <c r="AS216" i="9"/>
  <c r="DF201" i="9" s="1"/>
  <c r="D107" i="9"/>
  <c r="E107" i="9"/>
  <c r="B102" i="8"/>
  <c r="F101" i="8"/>
  <c r="BS100" i="6"/>
  <c r="BT100" i="6" s="1"/>
  <c r="BR102" i="6"/>
  <c r="AA173" i="6"/>
  <c r="AA174" i="6" s="1"/>
  <c r="Z289" i="6"/>
  <c r="AJ102" i="6"/>
  <c r="BU84" i="6"/>
  <c r="AD126" i="6"/>
  <c r="AI124" i="6"/>
  <c r="V103" i="6"/>
  <c r="BR103" i="6" s="1"/>
  <c r="BS101" i="6"/>
  <c r="BT101" i="6" s="1"/>
  <c r="B100" i="6"/>
  <c r="F99" i="6"/>
  <c r="AQ204" i="9" l="1"/>
  <c r="DC203" i="9"/>
  <c r="DD202" i="9"/>
  <c r="DE202" i="9" s="1"/>
  <c r="AS217" i="9"/>
  <c r="DF202" i="9" s="1"/>
  <c r="F107" i="9"/>
  <c r="B108" i="9"/>
  <c r="E102" i="8"/>
  <c r="D102" i="8"/>
  <c r="AA175" i="6"/>
  <c r="Z290" i="6"/>
  <c r="Z291" i="6" s="1"/>
  <c r="AD127" i="6"/>
  <c r="AI125" i="6"/>
  <c r="AJ103" i="6"/>
  <c r="BU85" i="6"/>
  <c r="V104" i="6"/>
  <c r="E100" i="6"/>
  <c r="D100" i="6"/>
  <c r="AQ205" i="9" l="1"/>
  <c r="DD203" i="9" s="1"/>
  <c r="DE203" i="9" s="1"/>
  <c r="DC204" i="9"/>
  <c r="AS218" i="9"/>
  <c r="DF203" i="9" s="1"/>
  <c r="E108" i="9"/>
  <c r="D108" i="9"/>
  <c r="B103" i="8"/>
  <c r="F102" i="8"/>
  <c r="AA176" i="6"/>
  <c r="Z292" i="6"/>
  <c r="AI126" i="6"/>
  <c r="AJ104" i="6"/>
  <c r="BU86" i="6"/>
  <c r="AD128" i="6"/>
  <c r="V105" i="6"/>
  <c r="B101" i="6"/>
  <c r="F100" i="6"/>
  <c r="AQ206" i="9" l="1"/>
  <c r="DC205" i="9"/>
  <c r="DD204" i="9"/>
  <c r="DE204" i="9" s="1"/>
  <c r="AS219" i="9"/>
  <c r="DF204" i="9" s="1"/>
  <c r="B109" i="9"/>
  <c r="F108" i="9"/>
  <c r="E103" i="8"/>
  <c r="BO86" i="8"/>
  <c r="D103" i="8"/>
  <c r="AA177" i="6"/>
  <c r="Z293" i="6"/>
  <c r="AJ105" i="6"/>
  <c r="BU87" i="6"/>
  <c r="AD129" i="6"/>
  <c r="AI127" i="6"/>
  <c r="V106" i="6"/>
  <c r="E101" i="6"/>
  <c r="D101" i="6"/>
  <c r="AQ207" i="9" l="1"/>
  <c r="DC206" i="9"/>
  <c r="DD205" i="9"/>
  <c r="DE205" i="9" s="1"/>
  <c r="AS220" i="9"/>
  <c r="DF205" i="9" s="1"/>
  <c r="E109" i="9"/>
  <c r="D109" i="9"/>
  <c r="B104" i="8"/>
  <c r="F103" i="8"/>
  <c r="AA178" i="6"/>
  <c r="AA179" i="6" s="1"/>
  <c r="Z294" i="6"/>
  <c r="AD130" i="6"/>
  <c r="AI128" i="6"/>
  <c r="AJ106" i="6"/>
  <c r="BU88" i="6"/>
  <c r="V107" i="6"/>
  <c r="B102" i="6"/>
  <c r="F101" i="6"/>
  <c r="AQ208" i="9" l="1"/>
  <c r="DC207" i="9"/>
  <c r="DD206" i="9"/>
  <c r="DE206" i="9" s="1"/>
  <c r="AS221" i="9"/>
  <c r="DF206" i="9" s="1"/>
  <c r="B110" i="9"/>
  <c r="F109" i="9"/>
  <c r="E104" i="8"/>
  <c r="Y104" i="8"/>
  <c r="D104" i="8"/>
  <c r="BS104" i="8"/>
  <c r="BT104" i="8" s="1"/>
  <c r="AA180" i="6"/>
  <c r="Z295" i="6"/>
  <c r="AI129" i="6"/>
  <c r="AJ107" i="6"/>
  <c r="BU89" i="6"/>
  <c r="AD131" i="6"/>
  <c r="V108" i="6"/>
  <c r="E102" i="6"/>
  <c r="D102" i="6"/>
  <c r="AQ209" i="9" l="1"/>
  <c r="DD207" i="9"/>
  <c r="DE207" i="9" s="1"/>
  <c r="DC208" i="9"/>
  <c r="AS222" i="9"/>
  <c r="DF207" i="9" s="1"/>
  <c r="E110" i="9"/>
  <c r="D110" i="9"/>
  <c r="F104" i="8"/>
  <c r="B105" i="8"/>
  <c r="BS102" i="8"/>
  <c r="BT102" i="8" s="1"/>
  <c r="BR104" i="8"/>
  <c r="BS103" i="8"/>
  <c r="BT103" i="8" s="1"/>
  <c r="BR105" i="8"/>
  <c r="AA181" i="6"/>
  <c r="Z296" i="6"/>
  <c r="Z297" i="6" s="1"/>
  <c r="AJ108" i="6"/>
  <c r="BU91" i="6" s="1"/>
  <c r="BU90" i="6"/>
  <c r="AD132" i="6"/>
  <c r="AI130" i="6"/>
  <c r="V109" i="6"/>
  <c r="B103" i="6"/>
  <c r="F102" i="6"/>
  <c r="AQ210" i="9" l="1"/>
  <c r="DC209" i="9"/>
  <c r="DD208" i="9"/>
  <c r="DE208" i="9" s="1"/>
  <c r="AS223" i="9"/>
  <c r="DF208" i="9" s="1"/>
  <c r="B111" i="9"/>
  <c r="F110" i="9"/>
  <c r="D105" i="8"/>
  <c r="E105" i="8"/>
  <c r="AA182" i="6"/>
  <c r="Z298" i="6"/>
  <c r="AD133" i="6"/>
  <c r="AI131" i="6"/>
  <c r="AJ109" i="6"/>
  <c r="V110" i="6"/>
  <c r="E103" i="6"/>
  <c r="D103" i="6"/>
  <c r="BO86" i="6"/>
  <c r="AQ211" i="9" l="1"/>
  <c r="DC210" i="9"/>
  <c r="DD209" i="9"/>
  <c r="DE209" i="9" s="1"/>
  <c r="AS224" i="9"/>
  <c r="DF209" i="9" s="1"/>
  <c r="E111" i="9"/>
  <c r="D111" i="9"/>
  <c r="F105" i="8"/>
  <c r="B106" i="8"/>
  <c r="AA183" i="6"/>
  <c r="AA184" i="6" s="1"/>
  <c r="Z299" i="6"/>
  <c r="AJ110" i="6"/>
  <c r="BU92" i="6"/>
  <c r="AI132" i="6"/>
  <c r="AD134" i="6"/>
  <c r="V111" i="6"/>
  <c r="B104" i="6"/>
  <c r="F103" i="6"/>
  <c r="AQ212" i="9" l="1"/>
  <c r="DC211" i="9"/>
  <c r="DD210" i="9"/>
  <c r="DE210" i="9" s="1"/>
  <c r="AS225" i="9"/>
  <c r="DF210" i="9" s="1"/>
  <c r="B112" i="9"/>
  <c r="F111" i="9"/>
  <c r="D106" i="8"/>
  <c r="E106" i="8"/>
  <c r="AA185" i="6"/>
  <c r="Z300" i="6"/>
  <c r="AI133" i="6"/>
  <c r="AD135" i="6"/>
  <c r="AJ111" i="6"/>
  <c r="BU93" i="6"/>
  <c r="V112" i="6"/>
  <c r="E104" i="6"/>
  <c r="Y104" i="6"/>
  <c r="BR104" i="6" s="1"/>
  <c r="D104" i="6"/>
  <c r="AQ213" i="9" l="1"/>
  <c r="DC212" i="9"/>
  <c r="DD211" i="9"/>
  <c r="DE211" i="9" s="1"/>
  <c r="AS226" i="9"/>
  <c r="DF211" i="9" s="1"/>
  <c r="E112" i="9"/>
  <c r="D112" i="9"/>
  <c r="F106" i="8"/>
  <c r="B107" i="8"/>
  <c r="AA186" i="6"/>
  <c r="Z301" i="6"/>
  <c r="Z302" i="6" s="1"/>
  <c r="AD136" i="6"/>
  <c r="AJ112" i="6"/>
  <c r="BU94" i="6"/>
  <c r="AI134" i="6"/>
  <c r="Y105" i="6"/>
  <c r="BS102" i="6"/>
  <c r="BT102" i="6" s="1"/>
  <c r="V113" i="6"/>
  <c r="B105" i="6"/>
  <c r="F104" i="6"/>
  <c r="AQ214" i="9" l="1"/>
  <c r="DC213" i="9"/>
  <c r="DD212" i="9"/>
  <c r="DE212" i="9" s="1"/>
  <c r="AS227" i="9"/>
  <c r="DF212" i="9" s="1"/>
  <c r="F112" i="9"/>
  <c r="B113" i="9"/>
  <c r="D107" i="8"/>
  <c r="E107" i="8"/>
  <c r="BS103" i="6"/>
  <c r="BT103" i="6" s="1"/>
  <c r="BR105" i="6"/>
  <c r="AA187" i="6"/>
  <c r="Z303" i="6"/>
  <c r="AJ113" i="6"/>
  <c r="BU95" i="6"/>
  <c r="AI135" i="6"/>
  <c r="AD137" i="6"/>
  <c r="V114" i="6"/>
  <c r="AM113" i="6"/>
  <c r="AM114" i="6" s="1"/>
  <c r="AM115" i="6" s="1"/>
  <c r="AM116" i="6" s="1"/>
  <c r="AM117" i="6" s="1"/>
  <c r="AM118" i="6" s="1"/>
  <c r="AM119" i="6" s="1"/>
  <c r="AM120" i="6" s="1"/>
  <c r="AM121" i="6" s="1"/>
  <c r="AM122" i="6" s="1"/>
  <c r="AM123" i="6" s="1"/>
  <c r="AM124" i="6" s="1"/>
  <c r="AM125" i="6" s="1"/>
  <c r="AM126" i="6" s="1"/>
  <c r="AM127" i="6" s="1"/>
  <c r="AM128" i="6" s="1"/>
  <c r="AM129" i="6" s="1"/>
  <c r="AM130" i="6" s="1"/>
  <c r="AM131" i="6" s="1"/>
  <c r="AM132" i="6" s="1"/>
  <c r="AM133" i="6" s="1"/>
  <c r="AM134" i="6" s="1"/>
  <c r="AM135" i="6" s="1"/>
  <c r="AM136" i="6" s="1"/>
  <c r="AM137" i="6" s="1"/>
  <c r="AM138" i="6" s="1"/>
  <c r="AM139" i="6" s="1"/>
  <c r="AM140" i="6" s="1"/>
  <c r="AM141" i="6" s="1"/>
  <c r="AM142" i="6" s="1"/>
  <c r="AM143" i="6" s="1"/>
  <c r="AM144" i="6" s="1"/>
  <c r="AM145" i="6" s="1"/>
  <c r="AM146" i="6" s="1"/>
  <c r="AM147" i="6" s="1"/>
  <c r="AM148" i="6" s="1"/>
  <c r="AM149" i="6" s="1"/>
  <c r="AM150" i="6" s="1"/>
  <c r="AM151" i="6" s="1"/>
  <c r="AM152" i="6" s="1"/>
  <c r="AM153" i="6" s="1"/>
  <c r="AM154" i="6" s="1"/>
  <c r="AM155" i="6" s="1"/>
  <c r="AM156" i="6" s="1"/>
  <c r="AM157" i="6" s="1"/>
  <c r="AM158" i="6" s="1"/>
  <c r="AM159" i="6" s="1"/>
  <c r="AM160" i="6" s="1"/>
  <c r="AM161" i="6" s="1"/>
  <c r="AM162" i="6" s="1"/>
  <c r="AM163" i="6" s="1"/>
  <c r="AM164" i="6" s="1"/>
  <c r="AM165" i="6" s="1"/>
  <c r="AM166" i="6" s="1"/>
  <c r="AM167" i="6" s="1"/>
  <c r="AM168" i="6" s="1"/>
  <c r="AM169" i="6" s="1"/>
  <c r="AM170" i="6" s="1"/>
  <c r="AM171" i="6" s="1"/>
  <c r="AM172" i="6" s="1"/>
  <c r="AM173" i="6" s="1"/>
  <c r="AM174" i="6" s="1"/>
  <c r="AM175" i="6" s="1"/>
  <c r="AM176" i="6" s="1"/>
  <c r="AM177" i="6" s="1"/>
  <c r="AM178" i="6" s="1"/>
  <c r="AM179" i="6" s="1"/>
  <c r="AM180" i="6" s="1"/>
  <c r="AM181" i="6" s="1"/>
  <c r="AM182" i="6" s="1"/>
  <c r="AM183" i="6" s="1"/>
  <c r="AM184" i="6" s="1"/>
  <c r="AM185" i="6" s="1"/>
  <c r="AM186" i="6" s="1"/>
  <c r="AM187" i="6" s="1"/>
  <c r="AM188" i="6" s="1"/>
  <c r="AM189" i="6" s="1"/>
  <c r="AM190" i="6" s="1"/>
  <c r="AM191" i="6" s="1"/>
  <c r="AM192" i="6" s="1"/>
  <c r="AM193" i="6" s="1"/>
  <c r="AM194" i="6" s="1"/>
  <c r="AM195" i="6" s="1"/>
  <c r="AM196" i="6" s="1"/>
  <c r="AM197" i="6" s="1"/>
  <c r="AM198" i="6" s="1"/>
  <c r="AM199" i="6" s="1"/>
  <c r="Y106" i="6"/>
  <c r="D105" i="6"/>
  <c r="E105" i="6"/>
  <c r="AQ215" i="9" l="1"/>
  <c r="DC214" i="9"/>
  <c r="DD213" i="9"/>
  <c r="DE213" i="9" s="1"/>
  <c r="AS228" i="9"/>
  <c r="DF213" i="9" s="1"/>
  <c r="D113" i="9"/>
  <c r="E113" i="9"/>
  <c r="F107" i="8"/>
  <c r="B108" i="8"/>
  <c r="BS104" i="6"/>
  <c r="BT104" i="6" s="1"/>
  <c r="BR106" i="6"/>
  <c r="AA188" i="6"/>
  <c r="Z304" i="6"/>
  <c r="AI136" i="6"/>
  <c r="AD138" i="6"/>
  <c r="AJ114" i="6"/>
  <c r="BU96" i="6"/>
  <c r="V115" i="6"/>
  <c r="Y107" i="6"/>
  <c r="B106" i="6"/>
  <c r="F105" i="6"/>
  <c r="AQ216" i="9" l="1"/>
  <c r="DC215" i="9"/>
  <c r="DD214" i="9"/>
  <c r="DE214" i="9" s="1"/>
  <c r="AS229" i="9"/>
  <c r="DF214" i="9" s="1"/>
  <c r="F113" i="9"/>
  <c r="B114" i="9"/>
  <c r="D108" i="8"/>
  <c r="E108" i="8"/>
  <c r="BS105" i="6"/>
  <c r="BT105" i="6" s="1"/>
  <c r="BR107" i="6"/>
  <c r="AA189" i="6"/>
  <c r="Z305" i="6"/>
  <c r="AD139" i="6"/>
  <c r="AJ115" i="6"/>
  <c r="BU97" i="6"/>
  <c r="AI137" i="6"/>
  <c r="Y108" i="6"/>
  <c r="BS106" i="6" s="1"/>
  <c r="BT106" i="6" s="1"/>
  <c r="V116" i="6"/>
  <c r="D106" i="6"/>
  <c r="E106" i="6"/>
  <c r="AQ217" i="9" l="1"/>
  <c r="DC216" i="9"/>
  <c r="DD215" i="9"/>
  <c r="DE215" i="9" s="1"/>
  <c r="AS230" i="9"/>
  <c r="DF215" i="9" s="1"/>
  <c r="D114" i="9"/>
  <c r="E114" i="9"/>
  <c r="F108" i="8"/>
  <c r="B109" i="8"/>
  <c r="Y109" i="6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124" i="6" s="1"/>
  <c r="BR108" i="6"/>
  <c r="AA190" i="6"/>
  <c r="AA191" i="6" s="1"/>
  <c r="Z306" i="6"/>
  <c r="Z307" i="6" s="1"/>
  <c r="AJ116" i="6"/>
  <c r="BU98" i="6"/>
  <c r="AI138" i="6"/>
  <c r="AD140" i="6"/>
  <c r="V117" i="6"/>
  <c r="B107" i="6"/>
  <c r="F106" i="6"/>
  <c r="AQ218" i="9" l="1"/>
  <c r="DC217" i="9"/>
  <c r="DD216" i="9"/>
  <c r="DE216" i="9" s="1"/>
  <c r="AS231" i="9"/>
  <c r="DF216" i="9" s="1"/>
  <c r="F114" i="9"/>
  <c r="B115" i="9"/>
  <c r="D109" i="8"/>
  <c r="BO92" i="8"/>
  <c r="E109" i="8"/>
  <c r="X109" i="8"/>
  <c r="BS109" i="8"/>
  <c r="BT109" i="8" s="1"/>
  <c r="AA192" i="6"/>
  <c r="Z308" i="6"/>
  <c r="AI139" i="6"/>
  <c r="AD141" i="6"/>
  <c r="AJ117" i="6"/>
  <c r="BU99" i="6"/>
  <c r="V118" i="6"/>
  <c r="D107" i="6"/>
  <c r="E107" i="6"/>
  <c r="AQ219" i="9" l="1"/>
  <c r="DC218" i="9"/>
  <c r="DD217" i="9"/>
  <c r="DE217" i="9" s="1"/>
  <c r="AS232" i="9"/>
  <c r="DF217" i="9" s="1"/>
  <c r="D115" i="9"/>
  <c r="E115" i="9"/>
  <c r="BS107" i="8"/>
  <c r="BT107" i="8" s="1"/>
  <c r="BR109" i="8"/>
  <c r="BS108" i="8"/>
  <c r="BT108" i="8" s="1"/>
  <c r="BR110" i="8"/>
  <c r="F109" i="8"/>
  <c r="B110" i="8"/>
  <c r="AA193" i="6"/>
  <c r="Z309" i="6"/>
  <c r="AD142" i="6"/>
  <c r="AJ118" i="6"/>
  <c r="BU100" i="6"/>
  <c r="AI140" i="6"/>
  <c r="B108" i="6"/>
  <c r="F107" i="6"/>
  <c r="AQ220" i="9" l="1"/>
  <c r="DC219" i="9"/>
  <c r="DD218" i="9"/>
  <c r="DE218" i="9" s="1"/>
  <c r="AS233" i="9"/>
  <c r="DF218" i="9" s="1"/>
  <c r="F115" i="9"/>
  <c r="B116" i="9"/>
  <c r="E110" i="8"/>
  <c r="D110" i="8"/>
  <c r="AA194" i="6"/>
  <c r="Z310" i="6"/>
  <c r="AJ119" i="6"/>
  <c r="BU101" i="6"/>
  <c r="AI141" i="6"/>
  <c r="AD143" i="6"/>
  <c r="D108" i="6"/>
  <c r="E108" i="6"/>
  <c r="AQ221" i="9" l="1"/>
  <c r="DC220" i="9"/>
  <c r="DD219" i="9"/>
  <c r="DE219" i="9" s="1"/>
  <c r="AS234" i="9"/>
  <c r="DF219" i="9" s="1"/>
  <c r="D116" i="9"/>
  <c r="E116" i="9"/>
  <c r="B111" i="8"/>
  <c r="F110" i="8"/>
  <c r="AA195" i="6"/>
  <c r="AA196" i="6" s="1"/>
  <c r="Z311" i="6"/>
  <c r="Z312" i="6" s="1"/>
  <c r="AD144" i="6"/>
  <c r="AI142" i="6"/>
  <c r="AJ120" i="6"/>
  <c r="BU102" i="6"/>
  <c r="B109" i="6"/>
  <c r="F108" i="6"/>
  <c r="AQ222" i="9" l="1"/>
  <c r="DC221" i="9"/>
  <c r="DD220" i="9"/>
  <c r="DE220" i="9" s="1"/>
  <c r="AS235" i="9"/>
  <c r="DF220" i="9" s="1"/>
  <c r="F116" i="9"/>
  <c r="B117" i="9"/>
  <c r="E111" i="8"/>
  <c r="D111" i="8"/>
  <c r="AA197" i="6"/>
  <c r="Z313" i="6"/>
  <c r="AI143" i="6"/>
  <c r="AJ121" i="6"/>
  <c r="BU103" i="6"/>
  <c r="AD145" i="6"/>
  <c r="D109" i="6"/>
  <c r="BO92" i="6"/>
  <c r="X109" i="6"/>
  <c r="BR109" i="6" s="1"/>
  <c r="E109" i="6"/>
  <c r="AQ223" i="9" l="1"/>
  <c r="DC222" i="9"/>
  <c r="DD221" i="9"/>
  <c r="DE221" i="9" s="1"/>
  <c r="AS236" i="9"/>
  <c r="DF221" i="9" s="1"/>
  <c r="D117" i="9"/>
  <c r="E117" i="9"/>
  <c r="B112" i="8"/>
  <c r="F111" i="8"/>
  <c r="AA198" i="6"/>
  <c r="Z314" i="6"/>
  <c r="AJ122" i="6"/>
  <c r="AD146" i="6"/>
  <c r="AI144" i="6"/>
  <c r="X110" i="6"/>
  <c r="BS107" i="6"/>
  <c r="BT107" i="6" s="1"/>
  <c r="B110" i="6"/>
  <c r="F109" i="6"/>
  <c r="AQ224" i="9" l="1"/>
  <c r="DC223" i="9"/>
  <c r="DD222" i="9"/>
  <c r="DE222" i="9" s="1"/>
  <c r="AS237" i="9"/>
  <c r="DF222" i="9" s="1"/>
  <c r="F117" i="9"/>
  <c r="B118" i="9"/>
  <c r="E112" i="8"/>
  <c r="D112" i="8"/>
  <c r="BS108" i="6"/>
  <c r="BT108" i="6" s="1"/>
  <c r="BR110" i="6"/>
  <c r="AA199" i="6"/>
  <c r="Z315" i="6"/>
  <c r="AD147" i="6"/>
  <c r="AD148" i="6" s="1"/>
  <c r="AD149" i="6" s="1"/>
  <c r="AD150" i="6" s="1"/>
  <c r="AD151" i="6" s="1"/>
  <c r="AI145" i="6"/>
  <c r="AJ123" i="6"/>
  <c r="X111" i="6"/>
  <c r="BR111" i="6" s="1"/>
  <c r="E110" i="6"/>
  <c r="D110" i="6"/>
  <c r="AQ225" i="9" l="1"/>
  <c r="DD223" i="9"/>
  <c r="DE223" i="9" s="1"/>
  <c r="DC224" i="9"/>
  <c r="AS238" i="9"/>
  <c r="DF223" i="9" s="1"/>
  <c r="BS109" i="6"/>
  <c r="BT109" i="6" s="1"/>
  <c r="D118" i="9"/>
  <c r="E118" i="9"/>
  <c r="B113" i="8"/>
  <c r="F112" i="8"/>
  <c r="AA200" i="6"/>
  <c r="AA201" i="6" s="1"/>
  <c r="Z316" i="6"/>
  <c r="AI146" i="6"/>
  <c r="AJ124" i="6"/>
  <c r="X112" i="6"/>
  <c r="B111" i="6"/>
  <c r="F110" i="6"/>
  <c r="AQ226" i="9" l="1"/>
  <c r="DC225" i="9"/>
  <c r="DD224" i="9"/>
  <c r="DE224" i="9" s="1"/>
  <c r="AS239" i="9"/>
  <c r="DF224" i="9" s="1"/>
  <c r="F118" i="9"/>
  <c r="B119" i="9"/>
  <c r="E113" i="8"/>
  <c r="D113" i="8"/>
  <c r="BS110" i="6"/>
  <c r="BT110" i="6" s="1"/>
  <c r="BR112" i="6"/>
  <c r="AA202" i="6"/>
  <c r="Z317" i="6"/>
  <c r="Z318" i="6" s="1"/>
  <c r="AJ125" i="6"/>
  <c r="AI147" i="6"/>
  <c r="AI148" i="6" s="1"/>
  <c r="AI149" i="6" s="1"/>
  <c r="AI150" i="6" s="1"/>
  <c r="AI151" i="6" s="1"/>
  <c r="AI152" i="6" s="1"/>
  <c r="AI153" i="6" s="1"/>
  <c r="AI154" i="6" s="1"/>
  <c r="AI155" i="6" s="1"/>
  <c r="AI156" i="6" s="1"/>
  <c r="AI157" i="6" s="1"/>
  <c r="AI158" i="6" s="1"/>
  <c r="AI159" i="6" s="1"/>
  <c r="AI160" i="6" s="1"/>
  <c r="AI161" i="6" s="1"/>
  <c r="AI162" i="6" s="1"/>
  <c r="AI163" i="6" s="1"/>
  <c r="AI164" i="6" s="1"/>
  <c r="AI165" i="6" s="1"/>
  <c r="AI166" i="6" s="1"/>
  <c r="AI167" i="6" s="1"/>
  <c r="AI168" i="6" s="1"/>
  <c r="AI169" i="6" s="1"/>
  <c r="AI170" i="6" s="1"/>
  <c r="AI171" i="6" s="1"/>
  <c r="AI172" i="6" s="1"/>
  <c r="AI173" i="6" s="1"/>
  <c r="AI174" i="6" s="1"/>
  <c r="AI175" i="6" s="1"/>
  <c r="AI176" i="6" s="1"/>
  <c r="AI177" i="6" s="1"/>
  <c r="X113" i="6"/>
  <c r="BS111" i="6" s="1"/>
  <c r="BT111" i="6" s="1"/>
  <c r="E111" i="6"/>
  <c r="D111" i="6"/>
  <c r="AQ227" i="9" l="1"/>
  <c r="DC226" i="9"/>
  <c r="DD225" i="9"/>
  <c r="DE225" i="9" s="1"/>
  <c r="AS240" i="9"/>
  <c r="DF225" i="9" s="1"/>
  <c r="D119" i="9"/>
  <c r="E119" i="9"/>
  <c r="B114" i="8"/>
  <c r="F113" i="8"/>
  <c r="X114" i="6"/>
  <c r="X115" i="6" s="1"/>
  <c r="X116" i="6" s="1"/>
  <c r="X117" i="6" s="1"/>
  <c r="X118" i="6" s="1"/>
  <c r="X119" i="6" s="1"/>
  <c r="X120" i="6" s="1"/>
  <c r="X121" i="6" s="1"/>
  <c r="X122" i="6" s="1"/>
  <c r="X123" i="6" s="1"/>
  <c r="X124" i="6" s="1"/>
  <c r="X125" i="6" s="1"/>
  <c r="X126" i="6" s="1"/>
  <c r="X127" i="6" s="1"/>
  <c r="X128" i="6" s="1"/>
  <c r="X129" i="6" s="1"/>
  <c r="BR113" i="6"/>
  <c r="AA203" i="6"/>
  <c r="Z319" i="6"/>
  <c r="AJ126" i="6"/>
  <c r="B112" i="6"/>
  <c r="F111" i="6"/>
  <c r="AQ228" i="9" l="1"/>
  <c r="DC227" i="9"/>
  <c r="DD226" i="9"/>
  <c r="DE226" i="9" s="1"/>
  <c r="AS241" i="9"/>
  <c r="DF226" i="9" s="1"/>
  <c r="F119" i="9"/>
  <c r="B120" i="9"/>
  <c r="E114" i="8"/>
  <c r="D114" i="8"/>
  <c r="W114" i="8"/>
  <c r="BO97" i="8"/>
  <c r="BS114" i="8"/>
  <c r="BT114" i="8" s="1"/>
  <c r="AA204" i="6"/>
  <c r="Z320" i="6"/>
  <c r="AJ127" i="6"/>
  <c r="E112" i="6"/>
  <c r="D112" i="6"/>
  <c r="AQ229" i="9" l="1"/>
  <c r="DC228" i="9"/>
  <c r="DD227" i="9"/>
  <c r="DE227" i="9" s="1"/>
  <c r="AS242" i="9"/>
  <c r="DF227" i="9" s="1"/>
  <c r="D120" i="9"/>
  <c r="E120" i="9"/>
  <c r="BS112" i="8"/>
  <c r="BT112" i="8" s="1"/>
  <c r="BR114" i="8"/>
  <c r="BR115" i="8"/>
  <c r="BS113" i="8"/>
  <c r="BT113" i="8" s="1"/>
  <c r="B115" i="8"/>
  <c r="F114" i="8"/>
  <c r="AA205" i="6"/>
  <c r="AA206" i="6" s="1"/>
  <c r="Z321" i="6"/>
  <c r="AJ128" i="6"/>
  <c r="B113" i="6"/>
  <c r="F112" i="6"/>
  <c r="AQ230" i="9" l="1"/>
  <c r="DC229" i="9"/>
  <c r="DD228" i="9"/>
  <c r="DE228" i="9" s="1"/>
  <c r="AS243" i="9"/>
  <c r="DF228" i="9" s="1"/>
  <c r="B121" i="9"/>
  <c r="F120" i="9"/>
  <c r="E115" i="8"/>
  <c r="D115" i="8"/>
  <c r="AA207" i="6"/>
  <c r="Z322" i="6"/>
  <c r="Z323" i="6" s="1"/>
  <c r="AJ129" i="6"/>
  <c r="E113" i="6"/>
  <c r="D113" i="6"/>
  <c r="AQ231" i="9" l="1"/>
  <c r="DC230" i="9"/>
  <c r="DD229" i="9"/>
  <c r="DE229" i="9" s="1"/>
  <c r="AS244" i="9"/>
  <c r="DF229" i="9" s="1"/>
  <c r="E121" i="9"/>
  <c r="D121" i="9"/>
  <c r="B116" i="8"/>
  <c r="F115" i="8"/>
  <c r="AA208" i="6"/>
  <c r="Z324" i="6"/>
  <c r="AJ130" i="6"/>
  <c r="B114" i="6"/>
  <c r="W114" i="6" s="1"/>
  <c r="BR114" i="6" s="1"/>
  <c r="F113" i="6"/>
  <c r="AQ232" i="9" l="1"/>
  <c r="DC231" i="9"/>
  <c r="DD230" i="9"/>
  <c r="DE230" i="9" s="1"/>
  <c r="AS245" i="9"/>
  <c r="DF230" i="9" s="1"/>
  <c r="B122" i="9"/>
  <c r="F121" i="9"/>
  <c r="E116" i="8"/>
  <c r="D116" i="8"/>
  <c r="AA209" i="6"/>
  <c r="Z325" i="6"/>
  <c r="AJ131" i="6"/>
  <c r="W115" i="6"/>
  <c r="BS112" i="6"/>
  <c r="BT112" i="6" s="1"/>
  <c r="E114" i="6"/>
  <c r="D114" i="6"/>
  <c r="BO97" i="6"/>
  <c r="AQ233" i="9" l="1"/>
  <c r="DC232" i="9"/>
  <c r="DD231" i="9"/>
  <c r="DE231" i="9" s="1"/>
  <c r="AS246" i="9"/>
  <c r="DF231" i="9" s="1"/>
  <c r="E122" i="9"/>
  <c r="D122" i="9"/>
  <c r="B117" i="8"/>
  <c r="F116" i="8"/>
  <c r="BS113" i="6"/>
  <c r="BT113" i="6" s="1"/>
  <c r="BR115" i="6"/>
  <c r="AA210" i="6"/>
  <c r="Z326" i="6"/>
  <c r="AJ132" i="6"/>
  <c r="W116" i="6"/>
  <c r="B115" i="6"/>
  <c r="F114" i="6"/>
  <c r="AQ234" i="9" l="1"/>
  <c r="DC233" i="9"/>
  <c r="DD232" i="9"/>
  <c r="DE232" i="9" s="1"/>
  <c r="AS247" i="9"/>
  <c r="DF232" i="9" s="1"/>
  <c r="B123" i="9"/>
  <c r="F122" i="9"/>
  <c r="E117" i="8"/>
  <c r="D117" i="8"/>
  <c r="BS114" i="6"/>
  <c r="BT114" i="6" s="1"/>
  <c r="BR116" i="6"/>
  <c r="AA211" i="6"/>
  <c r="Z327" i="6"/>
  <c r="Z328" i="6" s="1"/>
  <c r="AJ133" i="6"/>
  <c r="E115" i="6"/>
  <c r="D115" i="6"/>
  <c r="AQ235" i="9" l="1"/>
  <c r="DC234" i="9"/>
  <c r="DD233" i="9"/>
  <c r="DE233" i="9" s="1"/>
  <c r="AS248" i="9"/>
  <c r="DF233" i="9" s="1"/>
  <c r="E123" i="9"/>
  <c r="D123" i="9"/>
  <c r="B118" i="8"/>
  <c r="F117" i="8"/>
  <c r="AA212" i="6"/>
  <c r="AA213" i="6" s="1"/>
  <c r="Z329" i="6"/>
  <c r="AJ134" i="6"/>
  <c r="B116" i="6"/>
  <c r="F115" i="6"/>
  <c r="AQ236" i="9" l="1"/>
  <c r="DC235" i="9"/>
  <c r="DD234" i="9"/>
  <c r="DE234" i="9" s="1"/>
  <c r="AS249" i="9"/>
  <c r="DF234" i="9" s="1"/>
  <c r="B124" i="9"/>
  <c r="F123" i="9"/>
  <c r="D118" i="8"/>
  <c r="E118" i="8"/>
  <c r="AA214" i="6"/>
  <c r="Z330" i="6"/>
  <c r="AJ135" i="6"/>
  <c r="E116" i="6"/>
  <c r="D116" i="6"/>
  <c r="AQ237" i="9" l="1"/>
  <c r="DC236" i="9"/>
  <c r="DD235" i="9"/>
  <c r="DE235" i="9" s="1"/>
  <c r="AS250" i="9"/>
  <c r="DF235" i="9" s="1"/>
  <c r="CZ107" i="9"/>
  <c r="E124" i="9"/>
  <c r="D124" i="9"/>
  <c r="B119" i="8"/>
  <c r="F118" i="8"/>
  <c r="AA215" i="6"/>
  <c r="Z331" i="6"/>
  <c r="AJ136" i="6"/>
  <c r="B117" i="6"/>
  <c r="F116" i="6"/>
  <c r="AQ238" i="9" l="1"/>
  <c r="DC237" i="9"/>
  <c r="DD236" i="9"/>
  <c r="DE236" i="9" s="1"/>
  <c r="AS251" i="9"/>
  <c r="DF236" i="9" s="1"/>
  <c r="B125" i="9"/>
  <c r="F124" i="9"/>
  <c r="D119" i="8"/>
  <c r="V119" i="8"/>
  <c r="E119" i="8"/>
  <c r="BS119" i="8"/>
  <c r="BT119" i="8" s="1"/>
  <c r="AA216" i="6"/>
  <c r="Z332" i="6"/>
  <c r="Z333" i="6" s="1"/>
  <c r="AJ137" i="6"/>
  <c r="W117" i="6"/>
  <c r="BR117" i="6" s="1"/>
  <c r="E117" i="6"/>
  <c r="D117" i="6"/>
  <c r="AQ239" i="9" l="1"/>
  <c r="DD237" i="9" s="1"/>
  <c r="DE237" i="9" s="1"/>
  <c r="DC238" i="9"/>
  <c r="AS252" i="9"/>
  <c r="DF237" i="9" s="1"/>
  <c r="E125" i="9"/>
  <c r="D125" i="9"/>
  <c r="BS118" i="8"/>
  <c r="BT118" i="8" s="1"/>
  <c r="BR119" i="8"/>
  <c r="BR120" i="8"/>
  <c r="BS117" i="8"/>
  <c r="BT117" i="8" s="1"/>
  <c r="B120" i="8"/>
  <c r="F119" i="8"/>
  <c r="AA217" i="6"/>
  <c r="AA218" i="6" s="1"/>
  <c r="Z334" i="6"/>
  <c r="AJ138" i="6"/>
  <c r="W118" i="6"/>
  <c r="BS115" i="6"/>
  <c r="BT115" i="6" s="1"/>
  <c r="AN121" i="6"/>
  <c r="F117" i="6"/>
  <c r="B118" i="6"/>
  <c r="AQ240" i="9" l="1"/>
  <c r="DC239" i="9"/>
  <c r="DD238" i="9"/>
  <c r="DE238" i="9" s="1"/>
  <c r="AS253" i="9"/>
  <c r="DF238" i="9" s="1"/>
  <c r="F125" i="9"/>
  <c r="B126" i="9"/>
  <c r="D120" i="8"/>
  <c r="E120" i="8"/>
  <c r="W119" i="6"/>
  <c r="W120" i="6" s="1"/>
  <c r="W121" i="6" s="1"/>
  <c r="W122" i="6" s="1"/>
  <c r="W123" i="6" s="1"/>
  <c r="W124" i="6" s="1"/>
  <c r="W125" i="6" s="1"/>
  <c r="W126" i="6" s="1"/>
  <c r="W127" i="6" s="1"/>
  <c r="W128" i="6" s="1"/>
  <c r="W129" i="6" s="1"/>
  <c r="W130" i="6" s="1"/>
  <c r="W131" i="6" s="1"/>
  <c r="AP131" i="6" s="1"/>
  <c r="AP132" i="6" s="1"/>
  <c r="AP133" i="6" s="1"/>
  <c r="BR118" i="6"/>
  <c r="AA219" i="6"/>
  <c r="Z335" i="6"/>
  <c r="AN122" i="6"/>
  <c r="BU104" i="6"/>
  <c r="BS116" i="6"/>
  <c r="BT116" i="6" s="1"/>
  <c r="AJ139" i="6"/>
  <c r="E118" i="6"/>
  <c r="D118" i="6"/>
  <c r="AQ241" i="9" l="1"/>
  <c r="DC240" i="9"/>
  <c r="DD239" i="9"/>
  <c r="DE239" i="9" s="1"/>
  <c r="AS254" i="9"/>
  <c r="DF239" i="9" s="1"/>
  <c r="E126" i="9"/>
  <c r="D126" i="9"/>
  <c r="B121" i="8"/>
  <c r="F120" i="8"/>
  <c r="W132" i="6"/>
  <c r="W133" i="6" s="1"/>
  <c r="W134" i="6" s="1"/>
  <c r="AA220" i="6"/>
  <c r="Z336" i="6"/>
  <c r="AJ140" i="6"/>
  <c r="AN123" i="6"/>
  <c r="BU105" i="6"/>
  <c r="F118" i="6"/>
  <c r="B119" i="6"/>
  <c r="V119" i="6" s="1"/>
  <c r="BR119" i="6" s="1"/>
  <c r="AQ242" i="9" l="1"/>
  <c r="DC241" i="9"/>
  <c r="DD240" i="9"/>
  <c r="DE240" i="9" s="1"/>
  <c r="AS255" i="9"/>
  <c r="DF240" i="9" s="1"/>
  <c r="F126" i="9"/>
  <c r="B127" i="9"/>
  <c r="D121" i="8"/>
  <c r="BO104" i="8"/>
  <c r="E121" i="8"/>
  <c r="AA221" i="6"/>
  <c r="Z337" i="6"/>
  <c r="AN124" i="6"/>
  <c r="BU106" i="6"/>
  <c r="AJ141" i="6"/>
  <c r="V120" i="6"/>
  <c r="BS117" i="6"/>
  <c r="BT117" i="6" s="1"/>
  <c r="E119" i="6"/>
  <c r="D119" i="6"/>
  <c r="AQ243" i="9" l="1"/>
  <c r="DC242" i="9"/>
  <c r="DD241" i="9"/>
  <c r="DE241" i="9" s="1"/>
  <c r="AS256" i="9"/>
  <c r="DF241" i="9" s="1"/>
  <c r="E127" i="9"/>
  <c r="D127" i="9"/>
  <c r="B122" i="8"/>
  <c r="F121" i="8"/>
  <c r="BS118" i="6"/>
  <c r="BT118" i="6" s="1"/>
  <c r="BR120" i="6"/>
  <c r="AA222" i="6"/>
  <c r="AA223" i="6" s="1"/>
  <c r="Z338" i="6"/>
  <c r="Z339" i="6" s="1"/>
  <c r="AJ142" i="6"/>
  <c r="AN125" i="6"/>
  <c r="BU107" i="6"/>
  <c r="V121" i="6"/>
  <c r="F119" i="6"/>
  <c r="B120" i="6"/>
  <c r="AQ244" i="9" l="1"/>
  <c r="DC243" i="9"/>
  <c r="DD242" i="9"/>
  <c r="DE242" i="9" s="1"/>
  <c r="AS257" i="9"/>
  <c r="DF242" i="9" s="1"/>
  <c r="F127" i="9"/>
  <c r="B128" i="9"/>
  <c r="D122" i="8"/>
  <c r="E122" i="8"/>
  <c r="BS119" i="6"/>
  <c r="BT119" i="6" s="1"/>
  <c r="BR121" i="6"/>
  <c r="AA224" i="6"/>
  <c r="Z340" i="6"/>
  <c r="AN126" i="6"/>
  <c r="BU108" i="6"/>
  <c r="AJ143" i="6"/>
  <c r="E120" i="6"/>
  <c r="D120" i="6"/>
  <c r="AQ245" i="9" l="1"/>
  <c r="DC244" i="9"/>
  <c r="DD243" i="9"/>
  <c r="DE243" i="9" s="1"/>
  <c r="AS258" i="9"/>
  <c r="DF243" i="9" s="1"/>
  <c r="E128" i="9"/>
  <c r="D128" i="9"/>
  <c r="B123" i="8"/>
  <c r="F122" i="8"/>
  <c r="AA225" i="6"/>
  <c r="Z341" i="6"/>
  <c r="AJ144" i="6"/>
  <c r="AN127" i="6"/>
  <c r="F120" i="6"/>
  <c r="B121" i="6"/>
  <c r="AQ246" i="9" l="1"/>
  <c r="DC245" i="9"/>
  <c r="DD244" i="9"/>
  <c r="DE244" i="9" s="1"/>
  <c r="AS259" i="9"/>
  <c r="DF244" i="9" s="1"/>
  <c r="F128" i="9"/>
  <c r="B129" i="9"/>
  <c r="E123" i="8"/>
  <c r="D123" i="8"/>
  <c r="AA226" i="6"/>
  <c r="Z342" i="6"/>
  <c r="AN128" i="6"/>
  <c r="AJ145" i="6"/>
  <c r="E121" i="6"/>
  <c r="D121" i="6"/>
  <c r="BO104" i="6"/>
  <c r="AQ247" i="9" l="1"/>
  <c r="DC246" i="9"/>
  <c r="DD245" i="9"/>
  <c r="DE245" i="9" s="1"/>
  <c r="AS260" i="9"/>
  <c r="DF245" i="9" s="1"/>
  <c r="E129" i="9"/>
  <c r="D129" i="9"/>
  <c r="CZ112" i="9"/>
  <c r="B124" i="8"/>
  <c r="F123" i="8"/>
  <c r="AA227" i="6"/>
  <c r="AA228" i="6" s="1"/>
  <c r="Z343" i="6"/>
  <c r="Z344" i="6" s="1"/>
  <c r="AJ146" i="6"/>
  <c r="AN129" i="6"/>
  <c r="F121" i="6"/>
  <c r="B122" i="6"/>
  <c r="AQ248" i="9" l="1"/>
  <c r="DC247" i="9"/>
  <c r="DD246" i="9"/>
  <c r="DE246" i="9" s="1"/>
  <c r="AS261" i="9"/>
  <c r="DF246" i="9" s="1"/>
  <c r="F129" i="9"/>
  <c r="B130" i="9"/>
  <c r="E124" i="8"/>
  <c r="D124" i="8"/>
  <c r="AA229" i="6"/>
  <c r="Z345" i="6"/>
  <c r="AN130" i="6"/>
  <c r="AJ147" i="6"/>
  <c r="AJ148" i="6" s="1"/>
  <c r="AJ149" i="6" s="1"/>
  <c r="AJ150" i="6" s="1"/>
  <c r="AJ151" i="6" s="1"/>
  <c r="AJ152" i="6" s="1"/>
  <c r="AJ153" i="6" s="1"/>
  <c r="AJ154" i="6" s="1"/>
  <c r="AJ155" i="6" s="1"/>
  <c r="AJ156" i="6" s="1"/>
  <c r="AJ157" i="6" s="1"/>
  <c r="AJ158" i="6" s="1"/>
  <c r="AJ159" i="6" s="1"/>
  <c r="AJ160" i="6" s="1"/>
  <c r="AJ161" i="6" s="1"/>
  <c r="AJ162" i="6" s="1"/>
  <c r="AJ163" i="6" s="1"/>
  <c r="AJ164" i="6" s="1"/>
  <c r="AJ165" i="6" s="1"/>
  <c r="AJ166" i="6" s="1"/>
  <c r="AJ167" i="6" s="1"/>
  <c r="AJ168" i="6" s="1"/>
  <c r="AJ169" i="6" s="1"/>
  <c r="AJ170" i="6" s="1"/>
  <c r="AJ171" i="6" s="1"/>
  <c r="AJ172" i="6" s="1"/>
  <c r="AJ173" i="6" s="1"/>
  <c r="AJ174" i="6" s="1"/>
  <c r="AJ175" i="6" s="1"/>
  <c r="AJ176" i="6" s="1"/>
  <c r="AJ177" i="6" s="1"/>
  <c r="AJ178" i="6" s="1"/>
  <c r="AJ179" i="6" s="1"/>
  <c r="AJ180" i="6" s="1"/>
  <c r="AJ181" i="6" s="1"/>
  <c r="AJ182" i="6" s="1"/>
  <c r="AJ183" i="6" s="1"/>
  <c r="AJ184" i="6" s="1"/>
  <c r="V122" i="6"/>
  <c r="BR122" i="6" s="1"/>
  <c r="E122" i="6"/>
  <c r="D122" i="6"/>
  <c r="AQ249" i="9" l="1"/>
  <c r="DC248" i="9"/>
  <c r="DD247" i="9"/>
  <c r="DE247" i="9" s="1"/>
  <c r="AS262" i="9"/>
  <c r="DF247" i="9" s="1"/>
  <c r="E130" i="9"/>
  <c r="D130" i="9"/>
  <c r="B125" i="8"/>
  <c r="F124" i="8"/>
  <c r="AA230" i="6"/>
  <c r="Z346" i="6"/>
  <c r="AN131" i="6"/>
  <c r="V123" i="6"/>
  <c r="BS120" i="6"/>
  <c r="BT120" i="6" s="1"/>
  <c r="AO126" i="6"/>
  <c r="F122" i="6"/>
  <c r="B123" i="6"/>
  <c r="AQ250" i="9" l="1"/>
  <c r="DC249" i="9"/>
  <c r="DD248" i="9"/>
  <c r="DE248" i="9" s="1"/>
  <c r="AS263" i="9"/>
  <c r="DF248" i="9" s="1"/>
  <c r="B131" i="9"/>
  <c r="F130" i="9"/>
  <c r="E125" i="8"/>
  <c r="Y125" i="8"/>
  <c r="D125" i="8"/>
  <c r="BS125" i="8"/>
  <c r="BT125" i="8" s="1"/>
  <c r="BS121" i="6"/>
  <c r="BT121" i="6" s="1"/>
  <c r="BR123" i="6"/>
  <c r="AA231" i="6"/>
  <c r="Z347" i="6"/>
  <c r="AO127" i="6"/>
  <c r="BU109" i="6"/>
  <c r="AN132" i="6"/>
  <c r="V124" i="6"/>
  <c r="BR124" i="6" s="1"/>
  <c r="AP134" i="6"/>
  <c r="AP135" i="6" s="1"/>
  <c r="AP136" i="6" s="1"/>
  <c r="AP137" i="6" s="1"/>
  <c r="AP138" i="6" s="1"/>
  <c r="AP139" i="6" s="1"/>
  <c r="AP140" i="6" s="1"/>
  <c r="AP141" i="6" s="1"/>
  <c r="AP142" i="6" s="1"/>
  <c r="AP143" i="6" s="1"/>
  <c r="AP144" i="6" s="1"/>
  <c r="AP145" i="6" s="1"/>
  <c r="AP146" i="6" s="1"/>
  <c r="AP147" i="6" s="1"/>
  <c r="AP148" i="6" s="1"/>
  <c r="AP149" i="6" s="1"/>
  <c r="AP150" i="6" s="1"/>
  <c r="AP151" i="6" s="1"/>
  <c r="AP152" i="6" s="1"/>
  <c r="AP153" i="6" s="1"/>
  <c r="AP154" i="6" s="1"/>
  <c r="AP155" i="6" s="1"/>
  <c r="AP156" i="6" s="1"/>
  <c r="AP157" i="6" s="1"/>
  <c r="AP158" i="6" s="1"/>
  <c r="AP159" i="6" s="1"/>
  <c r="AP160" i="6" s="1"/>
  <c r="AP161" i="6" s="1"/>
  <c r="AP162" i="6" s="1"/>
  <c r="AP163" i="6" s="1"/>
  <c r="AP164" i="6" s="1"/>
  <c r="AP165" i="6" s="1"/>
  <c r="AP166" i="6" s="1"/>
  <c r="AP167" i="6" s="1"/>
  <c r="AP168" i="6" s="1"/>
  <c r="AP169" i="6" s="1"/>
  <c r="AP170" i="6" s="1"/>
  <c r="AP171" i="6" s="1"/>
  <c r="AP172" i="6" s="1"/>
  <c r="AP173" i="6" s="1"/>
  <c r="AP174" i="6" s="1"/>
  <c r="AP175" i="6" s="1"/>
  <c r="AP176" i="6" s="1"/>
  <c r="AP177" i="6" s="1"/>
  <c r="AP178" i="6" s="1"/>
  <c r="AP179" i="6" s="1"/>
  <c r="AP180" i="6" s="1"/>
  <c r="AP181" i="6" s="1"/>
  <c r="AP182" i="6" s="1"/>
  <c r="AP183" i="6" s="1"/>
  <c r="AP184" i="6" s="1"/>
  <c r="AP185" i="6" s="1"/>
  <c r="AP186" i="6" s="1"/>
  <c r="AP187" i="6" s="1"/>
  <c r="AP188" i="6" s="1"/>
  <c r="AP189" i="6" s="1"/>
  <c r="AP190" i="6" s="1"/>
  <c r="AP191" i="6" s="1"/>
  <c r="AP192" i="6" s="1"/>
  <c r="AP193" i="6" s="1"/>
  <c r="AP194" i="6" s="1"/>
  <c r="AP195" i="6" s="1"/>
  <c r="AP196" i="6" s="1"/>
  <c r="AP197" i="6" s="1"/>
  <c r="AP198" i="6" s="1"/>
  <c r="AP199" i="6" s="1"/>
  <c r="AP200" i="6" s="1"/>
  <c r="AP201" i="6" s="1"/>
  <c r="AP202" i="6" s="1"/>
  <c r="AP203" i="6" s="1"/>
  <c r="AP204" i="6" s="1"/>
  <c r="AP205" i="6" s="1"/>
  <c r="AP206" i="6" s="1"/>
  <c r="AP207" i="6" s="1"/>
  <c r="AP208" i="6" s="1"/>
  <c r="AP209" i="6" s="1"/>
  <c r="AP210" i="6" s="1"/>
  <c r="AP211" i="6" s="1"/>
  <c r="AP212" i="6" s="1"/>
  <c r="AP213" i="6" s="1"/>
  <c r="AP214" i="6" s="1"/>
  <c r="AP215" i="6" s="1"/>
  <c r="AP216" i="6" s="1"/>
  <c r="E123" i="6"/>
  <c r="D123" i="6"/>
  <c r="AQ251" i="9" l="1"/>
  <c r="DC250" i="9"/>
  <c r="DD249" i="9"/>
  <c r="DE249" i="9" s="1"/>
  <c r="AS264" i="9"/>
  <c r="DF249" i="9" s="1"/>
  <c r="E131" i="9"/>
  <c r="D131" i="9"/>
  <c r="B126" i="8"/>
  <c r="F125" i="8"/>
  <c r="BS123" i="8"/>
  <c r="BT123" i="8" s="1"/>
  <c r="BS124" i="8"/>
  <c r="BT124" i="8" s="1"/>
  <c r="BR125" i="8"/>
  <c r="BR126" i="8"/>
  <c r="BS122" i="6"/>
  <c r="BT122" i="6" s="1"/>
  <c r="AA232" i="6"/>
  <c r="Z348" i="6"/>
  <c r="Z349" i="6" s="1"/>
  <c r="AN133" i="6"/>
  <c r="AO128" i="6"/>
  <c r="BU110" i="6"/>
  <c r="V125" i="6"/>
  <c r="B124" i="6"/>
  <c r="F123" i="6"/>
  <c r="AQ252" i="9" l="1"/>
  <c r="DC251" i="9"/>
  <c r="DD250" i="9"/>
  <c r="DE250" i="9" s="1"/>
  <c r="AS265" i="9"/>
  <c r="DF250" i="9" s="1"/>
  <c r="B132" i="9"/>
  <c r="F131" i="9"/>
  <c r="E126" i="8"/>
  <c r="BO109" i="8"/>
  <c r="D126" i="8"/>
  <c r="AA233" i="6"/>
  <c r="AA234" i="6" s="1"/>
  <c r="Z350" i="6"/>
  <c r="AO129" i="6"/>
  <c r="BU111" i="6"/>
  <c r="AN134" i="6"/>
  <c r="V126" i="6"/>
  <c r="E124" i="6"/>
  <c r="D124" i="6"/>
  <c r="AQ253" i="9" l="1"/>
  <c r="DC252" i="9"/>
  <c r="DD251" i="9"/>
  <c r="DE251" i="9" s="1"/>
  <c r="AS266" i="9"/>
  <c r="DF251" i="9" s="1"/>
  <c r="E132" i="9"/>
  <c r="D132" i="9"/>
  <c r="F126" i="8"/>
  <c r="B127" i="8"/>
  <c r="AA235" i="6"/>
  <c r="Z351" i="6"/>
  <c r="AN135" i="6"/>
  <c r="AO130" i="6"/>
  <c r="BU112" i="6"/>
  <c r="V127" i="6"/>
  <c r="B125" i="6"/>
  <c r="Y125" i="6" s="1"/>
  <c r="F124" i="6"/>
  <c r="AQ254" i="9" l="1"/>
  <c r="DC253" i="9"/>
  <c r="DD252" i="9"/>
  <c r="DE252" i="9" s="1"/>
  <c r="AS267" i="9"/>
  <c r="DF252" i="9" s="1"/>
  <c r="B133" i="9"/>
  <c r="F132" i="9"/>
  <c r="E127" i="8"/>
  <c r="D127" i="8"/>
  <c r="BS123" i="6"/>
  <c r="BT123" i="6" s="1"/>
  <c r="BR125" i="6"/>
  <c r="AA236" i="6"/>
  <c r="Z352" i="6"/>
  <c r="AO131" i="6"/>
  <c r="BU113" i="6"/>
  <c r="AN136" i="6"/>
  <c r="V128" i="6"/>
  <c r="E125" i="6"/>
  <c r="D125" i="6"/>
  <c r="AQ255" i="9" l="1"/>
  <c r="DD253" i="9" s="1"/>
  <c r="DE253" i="9" s="1"/>
  <c r="DC254" i="9"/>
  <c r="AS268" i="9"/>
  <c r="DF253" i="9" s="1"/>
  <c r="D133" i="9"/>
  <c r="E133" i="9"/>
  <c r="F127" i="8"/>
  <c r="B128" i="8"/>
  <c r="AA237" i="6"/>
  <c r="Z353" i="6"/>
  <c r="Z354" i="6" s="1"/>
  <c r="AN137" i="6"/>
  <c r="AO132" i="6"/>
  <c r="BU114" i="6"/>
  <c r="V129" i="6"/>
  <c r="B126" i="6"/>
  <c r="F125" i="6"/>
  <c r="AQ256" i="9" l="1"/>
  <c r="DD254" i="9"/>
  <c r="DE254" i="9" s="1"/>
  <c r="DC255" i="9"/>
  <c r="AS269" i="9"/>
  <c r="DF254" i="9" s="1"/>
  <c r="B134" i="9"/>
  <c r="F133" i="9"/>
  <c r="E128" i="8"/>
  <c r="D128" i="8"/>
  <c r="AA238" i="6"/>
  <c r="AA239" i="6" s="1"/>
  <c r="Z355" i="6"/>
  <c r="AO133" i="6"/>
  <c r="BU115" i="6"/>
  <c r="AN138" i="6"/>
  <c r="V130" i="6"/>
  <c r="E126" i="6"/>
  <c r="Y126" i="6"/>
  <c r="BR126" i="6" s="1"/>
  <c r="D126" i="6"/>
  <c r="BO109" i="6"/>
  <c r="AQ257" i="9" l="1"/>
  <c r="DD255" i="9"/>
  <c r="DE255" i="9" s="1"/>
  <c r="DC256" i="9"/>
  <c r="AS270" i="9"/>
  <c r="DF255" i="9" s="1"/>
  <c r="D134" i="9"/>
  <c r="E134" i="9"/>
  <c r="B129" i="8"/>
  <c r="F128" i="8"/>
  <c r="AA240" i="6"/>
  <c r="Z356" i="6"/>
  <c r="AN139" i="6"/>
  <c r="AO134" i="6"/>
  <c r="BU116" i="6"/>
  <c r="V131" i="6"/>
  <c r="Y127" i="6"/>
  <c r="BR127" i="6" s="1"/>
  <c r="BS124" i="6"/>
  <c r="BT124" i="6" s="1"/>
  <c r="B127" i="6"/>
  <c r="F126" i="6"/>
  <c r="AQ258" i="9" l="1"/>
  <c r="DC257" i="9"/>
  <c r="DD256" i="9"/>
  <c r="DE256" i="9" s="1"/>
  <c r="AS271" i="9"/>
  <c r="DF256" i="9" s="1"/>
  <c r="B135" i="9"/>
  <c r="F134" i="9"/>
  <c r="E129" i="8"/>
  <c r="D129" i="8"/>
  <c r="BS125" i="6"/>
  <c r="BT125" i="6" s="1"/>
  <c r="AA241" i="6"/>
  <c r="Z357" i="6"/>
  <c r="AO135" i="6"/>
  <c r="BU117" i="6"/>
  <c r="AN140" i="6"/>
  <c r="Y128" i="6"/>
  <c r="V132" i="6"/>
  <c r="D127" i="6"/>
  <c r="E127" i="6"/>
  <c r="AQ259" i="9" l="1"/>
  <c r="DC258" i="9"/>
  <c r="DD257" i="9"/>
  <c r="DE257" i="9" s="1"/>
  <c r="AS272" i="9"/>
  <c r="DF257" i="9" s="1"/>
  <c r="E135" i="9"/>
  <c r="D135" i="9"/>
  <c r="B130" i="8"/>
  <c r="F129" i="8"/>
  <c r="BS126" i="6"/>
  <c r="BT126" i="6" s="1"/>
  <c r="BR128" i="6"/>
  <c r="AA242" i="6"/>
  <c r="Z358" i="6"/>
  <c r="AN141" i="6"/>
  <c r="AO136" i="6"/>
  <c r="Y129" i="6"/>
  <c r="BS127" i="6" s="1"/>
  <c r="BT127" i="6" s="1"/>
  <c r="V133" i="6"/>
  <c r="B128" i="6"/>
  <c r="F127" i="6"/>
  <c r="AQ260" i="9" l="1"/>
  <c r="DC259" i="9"/>
  <c r="DD258" i="9"/>
  <c r="DE258" i="9" s="1"/>
  <c r="AS273" i="9"/>
  <c r="DF258" i="9" s="1"/>
  <c r="B136" i="9"/>
  <c r="F135" i="9"/>
  <c r="X130" i="8"/>
  <c r="E130" i="8"/>
  <c r="D130" i="8"/>
  <c r="BS130" i="8"/>
  <c r="BT130" i="8" s="1"/>
  <c r="Y130" i="6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BR129" i="6"/>
  <c r="AA243" i="6"/>
  <c r="AA244" i="6" s="1"/>
  <c r="Z359" i="6"/>
  <c r="Z360" i="6" s="1"/>
  <c r="AO137" i="6"/>
  <c r="AN142" i="6"/>
  <c r="V134" i="6"/>
  <c r="D128" i="6"/>
  <c r="E128" i="6"/>
  <c r="AQ261" i="9" l="1"/>
  <c r="DC260" i="9"/>
  <c r="DD259" i="9"/>
  <c r="DE259" i="9" s="1"/>
  <c r="AS274" i="9"/>
  <c r="DF259" i="9" s="1"/>
  <c r="E136" i="9"/>
  <c r="D136" i="9"/>
  <c r="B131" i="8"/>
  <c r="F130" i="8"/>
  <c r="BS128" i="8"/>
  <c r="BT128" i="8" s="1"/>
  <c r="BR130" i="8"/>
  <c r="BR131" i="8"/>
  <c r="BS129" i="8"/>
  <c r="BT129" i="8" s="1"/>
  <c r="AR142" i="6"/>
  <c r="AA245" i="6"/>
  <c r="Z361" i="6"/>
  <c r="AN143" i="6"/>
  <c r="AO138" i="6"/>
  <c r="V135" i="6"/>
  <c r="B129" i="6"/>
  <c r="F128" i="6"/>
  <c r="AQ262" i="9" l="1"/>
  <c r="DD260" i="9" s="1"/>
  <c r="DE260" i="9" s="1"/>
  <c r="DC261" i="9"/>
  <c r="AS275" i="9"/>
  <c r="DF260" i="9" s="1"/>
  <c r="B137" i="9"/>
  <c r="F136" i="9"/>
  <c r="E131" i="8"/>
  <c r="D131" i="8"/>
  <c r="AA246" i="6"/>
  <c r="Z362" i="6"/>
  <c r="AO139" i="6"/>
  <c r="AN144" i="6"/>
  <c r="V136" i="6"/>
  <c r="AQ135" i="6"/>
  <c r="D129" i="6"/>
  <c r="E129" i="6"/>
  <c r="AQ263" i="9" l="1"/>
  <c r="DC262" i="9"/>
  <c r="DD261" i="9"/>
  <c r="DE261" i="9" s="1"/>
  <c r="AS276" i="9"/>
  <c r="DF261" i="9" s="1"/>
  <c r="E137" i="9"/>
  <c r="CZ120" i="9"/>
  <c r="D137" i="9"/>
  <c r="F131" i="8"/>
  <c r="B132" i="8"/>
  <c r="AA247" i="6"/>
  <c r="Z363" i="6"/>
  <c r="AN145" i="6"/>
  <c r="AQ136" i="6"/>
  <c r="BU118" i="6"/>
  <c r="AO140" i="6"/>
  <c r="V137" i="6"/>
  <c r="B130" i="6"/>
  <c r="X130" i="6" s="1"/>
  <c r="BR130" i="6" s="1"/>
  <c r="F129" i="6"/>
  <c r="AQ264" i="9" l="1"/>
  <c r="DC263" i="9"/>
  <c r="DD262" i="9"/>
  <c r="DE262" i="9" s="1"/>
  <c r="AS277" i="9"/>
  <c r="DF262" i="9" s="1"/>
  <c r="B138" i="9"/>
  <c r="F137" i="9"/>
  <c r="E132" i="8"/>
  <c r="D132" i="8"/>
  <c r="AA248" i="6"/>
  <c r="AA249" i="6" s="1"/>
  <c r="Z364" i="6"/>
  <c r="Z365" i="6" s="1"/>
  <c r="AQ137" i="6"/>
  <c r="BU119" i="6"/>
  <c r="AO141" i="6"/>
  <c r="AN146" i="6"/>
  <c r="BS128" i="6"/>
  <c r="BT128" i="6" s="1"/>
  <c r="V138" i="6"/>
  <c r="D130" i="6"/>
  <c r="E130" i="6"/>
  <c r="AQ265" i="9" l="1"/>
  <c r="DC264" i="9"/>
  <c r="DD263" i="9"/>
  <c r="DE263" i="9" s="1"/>
  <c r="AS278" i="9"/>
  <c r="DF263" i="9" s="1"/>
  <c r="E138" i="9"/>
  <c r="D138" i="9"/>
  <c r="F132" i="8"/>
  <c r="B133" i="8"/>
  <c r="AA250" i="6"/>
  <c r="Z366" i="6"/>
  <c r="AO142" i="6"/>
  <c r="AN147" i="6"/>
  <c r="AN148" i="6" s="1"/>
  <c r="AN149" i="6" s="1"/>
  <c r="AN150" i="6" s="1"/>
  <c r="AN151" i="6" s="1"/>
  <c r="AN152" i="6" s="1"/>
  <c r="AN153" i="6" s="1"/>
  <c r="AN154" i="6" s="1"/>
  <c r="AN155" i="6" s="1"/>
  <c r="AN156" i="6" s="1"/>
  <c r="AN157" i="6" s="1"/>
  <c r="AN158" i="6" s="1"/>
  <c r="AN159" i="6" s="1"/>
  <c r="AN160" i="6" s="1"/>
  <c r="AN161" i="6" s="1"/>
  <c r="AN162" i="6" s="1"/>
  <c r="AN163" i="6" s="1"/>
  <c r="AN164" i="6" s="1"/>
  <c r="AN165" i="6" s="1"/>
  <c r="AN166" i="6" s="1"/>
  <c r="AN167" i="6" s="1"/>
  <c r="AN168" i="6" s="1"/>
  <c r="AN169" i="6" s="1"/>
  <c r="AN170" i="6" s="1"/>
  <c r="AN171" i="6" s="1"/>
  <c r="AN172" i="6" s="1"/>
  <c r="AN173" i="6" s="1"/>
  <c r="AN174" i="6" s="1"/>
  <c r="AN175" i="6" s="1"/>
  <c r="AN176" i="6" s="1"/>
  <c r="AN177" i="6" s="1"/>
  <c r="AN178" i="6" s="1"/>
  <c r="AN179" i="6" s="1"/>
  <c r="AN180" i="6" s="1"/>
  <c r="AN181" i="6" s="1"/>
  <c r="AN182" i="6" s="1"/>
  <c r="AN183" i="6" s="1"/>
  <c r="AN184" i="6" s="1"/>
  <c r="AN185" i="6" s="1"/>
  <c r="AN186" i="6" s="1"/>
  <c r="AN187" i="6" s="1"/>
  <c r="AN188" i="6" s="1"/>
  <c r="AN189" i="6" s="1"/>
  <c r="AN190" i="6" s="1"/>
  <c r="AN191" i="6" s="1"/>
  <c r="AN192" i="6" s="1"/>
  <c r="AN193" i="6" s="1"/>
  <c r="AN194" i="6" s="1"/>
  <c r="AN195" i="6" s="1"/>
  <c r="AN196" i="6" s="1"/>
  <c r="AN197" i="6" s="1"/>
  <c r="AN198" i="6" s="1"/>
  <c r="AN199" i="6" s="1"/>
  <c r="AN200" i="6" s="1"/>
  <c r="AN201" i="6" s="1"/>
  <c r="AN202" i="6" s="1"/>
  <c r="AN203" i="6" s="1"/>
  <c r="AN204" i="6" s="1"/>
  <c r="AN205" i="6" s="1"/>
  <c r="AN206" i="6" s="1"/>
  <c r="AQ138" i="6"/>
  <c r="BU120" i="6"/>
  <c r="V139" i="6"/>
  <c r="B131" i="6"/>
  <c r="F130" i="6"/>
  <c r="AQ266" i="9" l="1"/>
  <c r="DC265" i="9"/>
  <c r="DD264" i="9"/>
  <c r="DE264" i="9" s="1"/>
  <c r="AS279" i="9"/>
  <c r="DF264" i="9" s="1"/>
  <c r="B139" i="9"/>
  <c r="F138" i="9"/>
  <c r="E133" i="8"/>
  <c r="D133" i="8"/>
  <c r="AA251" i="6"/>
  <c r="Z367" i="6"/>
  <c r="AQ139" i="6"/>
  <c r="BU121" i="6"/>
  <c r="AO143" i="6"/>
  <c r="D131" i="6"/>
  <c r="X131" i="6"/>
  <c r="BR131" i="6" s="1"/>
  <c r="E131" i="6"/>
  <c r="AQ267" i="9" l="1"/>
  <c r="DC266" i="9"/>
  <c r="DD265" i="9"/>
  <c r="DE265" i="9" s="1"/>
  <c r="AS280" i="9"/>
  <c r="DF265" i="9" s="1"/>
  <c r="E139" i="9"/>
  <c r="D139" i="9"/>
  <c r="F133" i="8"/>
  <c r="B134" i="8"/>
  <c r="AA252" i="6"/>
  <c r="Z368" i="6"/>
  <c r="AO144" i="6"/>
  <c r="AQ140" i="6"/>
  <c r="BU122" i="6"/>
  <c r="X132" i="6"/>
  <c r="BR132" i="6" s="1"/>
  <c r="BS129" i="6"/>
  <c r="BT129" i="6" s="1"/>
  <c r="B132" i="6"/>
  <c r="F131" i="6"/>
  <c r="AQ268" i="9" l="1"/>
  <c r="DC267" i="9"/>
  <c r="DD266" i="9"/>
  <c r="DE266" i="9" s="1"/>
  <c r="AS281" i="9"/>
  <c r="DF266" i="9" s="1"/>
  <c r="B140" i="9"/>
  <c r="F139" i="9"/>
  <c r="E134" i="8"/>
  <c r="D134" i="8"/>
  <c r="BO117" i="8"/>
  <c r="BS130" i="6"/>
  <c r="BT130" i="6" s="1"/>
  <c r="AA253" i="6"/>
  <c r="Z369" i="6"/>
  <c r="Z370" i="6" s="1"/>
  <c r="AQ141" i="6"/>
  <c r="BU123" i="6"/>
  <c r="AO145" i="6"/>
  <c r="X133" i="6"/>
  <c r="BR133" i="6" s="1"/>
  <c r="D132" i="6"/>
  <c r="E132" i="6"/>
  <c r="AQ269" i="9" l="1"/>
  <c r="DC268" i="9"/>
  <c r="DD267" i="9"/>
  <c r="DE267" i="9" s="1"/>
  <c r="AS282" i="9"/>
  <c r="DF267" i="9" s="1"/>
  <c r="E140" i="9"/>
  <c r="D140" i="9"/>
  <c r="F134" i="8"/>
  <c r="B135" i="8"/>
  <c r="BS131" i="6"/>
  <c r="BT131" i="6" s="1"/>
  <c r="AA254" i="6"/>
  <c r="AA255" i="6" s="1"/>
  <c r="Z371" i="6"/>
  <c r="AO146" i="6"/>
  <c r="AQ142" i="6"/>
  <c r="BU124" i="6"/>
  <c r="X134" i="6"/>
  <c r="BS132" i="6" s="1"/>
  <c r="BT132" i="6" s="1"/>
  <c r="B133" i="6"/>
  <c r="F132" i="6"/>
  <c r="AQ270" i="9" l="1"/>
  <c r="DD268" i="9" s="1"/>
  <c r="DE268" i="9" s="1"/>
  <c r="DC269" i="9"/>
  <c r="AS283" i="9"/>
  <c r="DF268" i="9" s="1"/>
  <c r="B141" i="9"/>
  <c r="F140" i="9"/>
  <c r="W135" i="8"/>
  <c r="E135" i="8"/>
  <c r="D135" i="8"/>
  <c r="BS135" i="8"/>
  <c r="BT135" i="8" s="1"/>
  <c r="X135" i="6"/>
  <c r="X136" i="6" s="1"/>
  <c r="X137" i="6" s="1"/>
  <c r="X138" i="6" s="1"/>
  <c r="X139" i="6" s="1"/>
  <c r="X140" i="6" s="1"/>
  <c r="X141" i="6" s="1"/>
  <c r="X142" i="6" s="1"/>
  <c r="X143" i="6" s="1"/>
  <c r="X144" i="6" s="1"/>
  <c r="X145" i="6" s="1"/>
  <c r="X146" i="6" s="1"/>
  <c r="X147" i="6" s="1"/>
  <c r="AC147" i="6" s="1"/>
  <c r="BU130" i="6" s="1"/>
  <c r="BR134" i="6"/>
  <c r="AA256" i="6"/>
  <c r="Z372" i="6"/>
  <c r="AQ143" i="6"/>
  <c r="BU125" i="6"/>
  <c r="AO147" i="6"/>
  <c r="AO148" i="6" s="1"/>
  <c r="AO149" i="6" s="1"/>
  <c r="AO150" i="6" s="1"/>
  <c r="AO151" i="6" s="1"/>
  <c r="AO152" i="6" s="1"/>
  <c r="AO153" i="6" s="1"/>
  <c r="AO154" i="6" s="1"/>
  <c r="AO155" i="6" s="1"/>
  <c r="AO156" i="6" s="1"/>
  <c r="AO157" i="6" s="1"/>
  <c r="AO158" i="6" s="1"/>
  <c r="AO159" i="6" s="1"/>
  <c r="AO160" i="6" s="1"/>
  <c r="AO161" i="6" s="1"/>
  <c r="AO162" i="6" s="1"/>
  <c r="AO163" i="6" s="1"/>
  <c r="AO164" i="6" s="1"/>
  <c r="AO165" i="6" s="1"/>
  <c r="AO166" i="6" s="1"/>
  <c r="AO167" i="6" s="1"/>
  <c r="AO168" i="6" s="1"/>
  <c r="AO169" i="6" s="1"/>
  <c r="AO170" i="6" s="1"/>
  <c r="AO171" i="6" s="1"/>
  <c r="AO172" i="6" s="1"/>
  <c r="AO173" i="6" s="1"/>
  <c r="AO174" i="6" s="1"/>
  <c r="AO175" i="6" s="1"/>
  <c r="AO176" i="6" s="1"/>
  <c r="AO177" i="6" s="1"/>
  <c r="AO178" i="6" s="1"/>
  <c r="AO179" i="6" s="1"/>
  <c r="AO180" i="6" s="1"/>
  <c r="AO181" i="6" s="1"/>
  <c r="AO182" i="6" s="1"/>
  <c r="AO183" i="6" s="1"/>
  <c r="AO184" i="6" s="1"/>
  <c r="AO185" i="6" s="1"/>
  <c r="AO186" i="6" s="1"/>
  <c r="AO187" i="6" s="1"/>
  <c r="AO188" i="6" s="1"/>
  <c r="AO189" i="6" s="1"/>
  <c r="AO190" i="6" s="1"/>
  <c r="AO191" i="6" s="1"/>
  <c r="AO192" i="6" s="1"/>
  <c r="AO193" i="6" s="1"/>
  <c r="AO194" i="6" s="1"/>
  <c r="AO195" i="6" s="1"/>
  <c r="AO196" i="6" s="1"/>
  <c r="AO197" i="6" s="1"/>
  <c r="AO198" i="6" s="1"/>
  <c r="AO199" i="6" s="1"/>
  <c r="AO200" i="6" s="1"/>
  <c r="AO201" i="6" s="1"/>
  <c r="AO202" i="6" s="1"/>
  <c r="AO203" i="6" s="1"/>
  <c r="AO204" i="6" s="1"/>
  <c r="AO205" i="6" s="1"/>
  <c r="AO206" i="6" s="1"/>
  <c r="AO207" i="6" s="1"/>
  <c r="AO208" i="6" s="1"/>
  <c r="AO209" i="6" s="1"/>
  <c r="AO210" i="6" s="1"/>
  <c r="AO211" i="6" s="1"/>
  <c r="D133" i="6"/>
  <c r="E133" i="6"/>
  <c r="AQ271" i="9" l="1"/>
  <c r="DD269" i="9"/>
  <c r="DE269" i="9" s="1"/>
  <c r="DC270" i="9"/>
  <c r="AS284" i="9"/>
  <c r="DF269" i="9" s="1"/>
  <c r="E141" i="9"/>
  <c r="D141" i="9"/>
  <c r="F135" i="8"/>
  <c r="B136" i="8"/>
  <c r="BS133" i="8"/>
  <c r="BT133" i="8" s="1"/>
  <c r="BR135" i="8"/>
  <c r="BS134" i="8"/>
  <c r="BT134" i="8" s="1"/>
  <c r="BR136" i="8"/>
  <c r="X148" i="6"/>
  <c r="X149" i="6" s="1"/>
  <c r="X150" i="6" s="1"/>
  <c r="AA257" i="6"/>
  <c r="Z373" i="6"/>
  <c r="AQ144" i="6"/>
  <c r="B134" i="6"/>
  <c r="F133" i="6"/>
  <c r="AQ272" i="9" l="1"/>
  <c r="DD270" i="9" s="1"/>
  <c r="DE270" i="9" s="1"/>
  <c r="DC271" i="9"/>
  <c r="AS285" i="9"/>
  <c r="DF270" i="9" s="1"/>
  <c r="B142" i="9"/>
  <c r="F141" i="9"/>
  <c r="E136" i="8"/>
  <c r="D136" i="8"/>
  <c r="AA258" i="6"/>
  <c r="Z374" i="6"/>
  <c r="Z375" i="6" s="1"/>
  <c r="AQ145" i="6"/>
  <c r="D134" i="6"/>
  <c r="E134" i="6"/>
  <c r="BO117" i="6"/>
  <c r="AQ273" i="9" l="1"/>
  <c r="DD271" i="9"/>
  <c r="DE271" i="9" s="1"/>
  <c r="DC272" i="9"/>
  <c r="AS286" i="9"/>
  <c r="DF271" i="9" s="1"/>
  <c r="E142" i="9"/>
  <c r="CZ125" i="9"/>
  <c r="D142" i="9"/>
  <c r="F136" i="8"/>
  <c r="B137" i="8"/>
  <c r="AA259" i="6"/>
  <c r="AA260" i="6" s="1"/>
  <c r="Z376" i="6"/>
  <c r="AQ146" i="6"/>
  <c r="B135" i="6"/>
  <c r="W135" i="6" s="1"/>
  <c r="BR135" i="6" s="1"/>
  <c r="F134" i="6"/>
  <c r="AQ274" i="9" l="1"/>
  <c r="DC273" i="9"/>
  <c r="DD272" i="9"/>
  <c r="DE272" i="9" s="1"/>
  <c r="AS287" i="9"/>
  <c r="DF272" i="9" s="1"/>
  <c r="F142" i="9"/>
  <c r="B143" i="9"/>
  <c r="E137" i="8"/>
  <c r="D137" i="8"/>
  <c r="AA261" i="6"/>
  <c r="Z377" i="6"/>
  <c r="AQ147" i="6"/>
  <c r="AQ148" i="6" s="1"/>
  <c r="AQ149" i="6" s="1"/>
  <c r="AQ150" i="6" s="1"/>
  <c r="AQ151" i="6" s="1"/>
  <c r="AQ152" i="6" s="1"/>
  <c r="AQ153" i="6" s="1"/>
  <c r="AQ154" i="6" s="1"/>
  <c r="AQ155" i="6" s="1"/>
  <c r="AQ156" i="6" s="1"/>
  <c r="AQ157" i="6" s="1"/>
  <c r="AQ158" i="6" s="1"/>
  <c r="AQ159" i="6" s="1"/>
  <c r="AQ160" i="6" s="1"/>
  <c r="AQ161" i="6" s="1"/>
  <c r="AQ162" i="6" s="1"/>
  <c r="AQ163" i="6" s="1"/>
  <c r="AQ164" i="6" s="1"/>
  <c r="AQ165" i="6" s="1"/>
  <c r="AQ166" i="6" s="1"/>
  <c r="AQ167" i="6" s="1"/>
  <c r="AQ168" i="6" s="1"/>
  <c r="AQ169" i="6" s="1"/>
  <c r="AQ170" i="6" s="1"/>
  <c r="AQ171" i="6" s="1"/>
  <c r="AQ172" i="6" s="1"/>
  <c r="AQ173" i="6" s="1"/>
  <c r="AQ174" i="6" s="1"/>
  <c r="AQ175" i="6" s="1"/>
  <c r="AQ176" i="6" s="1"/>
  <c r="AQ177" i="6" s="1"/>
  <c r="AQ178" i="6" s="1"/>
  <c r="AQ179" i="6" s="1"/>
  <c r="AQ180" i="6" s="1"/>
  <c r="AQ181" i="6" s="1"/>
  <c r="AQ182" i="6" s="1"/>
  <c r="AQ183" i="6" s="1"/>
  <c r="AQ184" i="6" s="1"/>
  <c r="AQ185" i="6" s="1"/>
  <c r="AQ186" i="6" s="1"/>
  <c r="AQ187" i="6" s="1"/>
  <c r="AQ188" i="6" s="1"/>
  <c r="AQ189" i="6" s="1"/>
  <c r="AQ190" i="6" s="1"/>
  <c r="AQ191" i="6" s="1"/>
  <c r="AQ192" i="6" s="1"/>
  <c r="AQ193" i="6" s="1"/>
  <c r="AQ194" i="6" s="1"/>
  <c r="AQ195" i="6" s="1"/>
  <c r="AQ196" i="6" s="1"/>
  <c r="AQ197" i="6" s="1"/>
  <c r="AQ198" i="6" s="1"/>
  <c r="AQ199" i="6" s="1"/>
  <c r="AQ200" i="6" s="1"/>
  <c r="AQ201" i="6" s="1"/>
  <c r="AQ202" i="6" s="1"/>
  <c r="AQ203" i="6" s="1"/>
  <c r="AQ204" i="6" s="1"/>
  <c r="AQ205" i="6" s="1"/>
  <c r="AQ206" i="6" s="1"/>
  <c r="AQ207" i="6" s="1"/>
  <c r="AQ208" i="6" s="1"/>
  <c r="AQ209" i="6" s="1"/>
  <c r="AQ210" i="6" s="1"/>
  <c r="AQ211" i="6" s="1"/>
  <c r="AQ212" i="6" s="1"/>
  <c r="AQ213" i="6" s="1"/>
  <c r="AQ214" i="6" s="1"/>
  <c r="AQ215" i="6" s="1"/>
  <c r="AQ216" i="6" s="1"/>
  <c r="AQ217" i="6" s="1"/>
  <c r="AQ218" i="6" s="1"/>
  <c r="AQ219" i="6" s="1"/>
  <c r="AQ220" i="6" s="1"/>
  <c r="W136" i="6"/>
  <c r="BS133" i="6"/>
  <c r="BT133" i="6" s="1"/>
  <c r="D135" i="6"/>
  <c r="E135" i="6"/>
  <c r="AQ275" i="9" l="1"/>
  <c r="DC274" i="9"/>
  <c r="DD273" i="9"/>
  <c r="DE273" i="9" s="1"/>
  <c r="AS288" i="9"/>
  <c r="DF273" i="9" s="1"/>
  <c r="E143" i="9"/>
  <c r="D143" i="9"/>
  <c r="F137" i="8"/>
  <c r="B138" i="8"/>
  <c r="BS134" i="6"/>
  <c r="BT134" i="6" s="1"/>
  <c r="BR136" i="6"/>
  <c r="AA262" i="6"/>
  <c r="Z378" i="6"/>
  <c r="W137" i="6"/>
  <c r="B136" i="6"/>
  <c r="F135" i="6"/>
  <c r="AQ276" i="9" l="1"/>
  <c r="DC275" i="9"/>
  <c r="DD274" i="9"/>
  <c r="DE274" i="9" s="1"/>
  <c r="AS289" i="9"/>
  <c r="DF274" i="9" s="1"/>
  <c r="F143" i="9"/>
  <c r="B144" i="9"/>
  <c r="E138" i="8"/>
  <c r="D138" i="8"/>
  <c r="BS135" i="6"/>
  <c r="BT135" i="6" s="1"/>
  <c r="BR137" i="6"/>
  <c r="AA263" i="6"/>
  <c r="Z379" i="6"/>
  <c r="W138" i="6"/>
  <c r="D136" i="6"/>
  <c r="E136" i="6"/>
  <c r="AQ277" i="9" l="1"/>
  <c r="DC276" i="9"/>
  <c r="DD275" i="9"/>
  <c r="DE275" i="9" s="1"/>
  <c r="AS290" i="9"/>
  <c r="DF275" i="9" s="1"/>
  <c r="E144" i="9"/>
  <c r="D144" i="9"/>
  <c r="F138" i="8"/>
  <c r="B139" i="8"/>
  <c r="BS136" i="6"/>
  <c r="BT136" i="6" s="1"/>
  <c r="BR138" i="6"/>
  <c r="AA264" i="6"/>
  <c r="AA265" i="6" s="1"/>
  <c r="Z380" i="6"/>
  <c r="Z381" i="6" s="1"/>
  <c r="B137" i="6"/>
  <c r="F136" i="6"/>
  <c r="AQ278" i="9" l="1"/>
  <c r="DC277" i="9"/>
  <c r="DD276" i="9"/>
  <c r="DE276" i="9" s="1"/>
  <c r="AS291" i="9"/>
  <c r="DF276" i="9" s="1"/>
  <c r="F144" i="9"/>
  <c r="B145" i="9"/>
  <c r="E139" i="8"/>
  <c r="BO122" i="8"/>
  <c r="D139" i="8"/>
  <c r="AA266" i="6"/>
  <c r="Z382" i="6"/>
  <c r="D137" i="6"/>
  <c r="E137" i="6"/>
  <c r="AQ279" i="9" l="1"/>
  <c r="DC278" i="9"/>
  <c r="DD277" i="9"/>
  <c r="DE277" i="9" s="1"/>
  <c r="AS292" i="9"/>
  <c r="DF277" i="9" s="1"/>
  <c r="E145" i="9"/>
  <c r="D145" i="9"/>
  <c r="F139" i="8"/>
  <c r="B140" i="8"/>
  <c r="AA267" i="6"/>
  <c r="Z383" i="6"/>
  <c r="B138" i="6"/>
  <c r="F137" i="6"/>
  <c r="AQ280" i="9" l="1"/>
  <c r="DC279" i="9"/>
  <c r="DD278" i="9"/>
  <c r="DE278" i="9" s="1"/>
  <c r="AS293" i="9"/>
  <c r="DF278" i="9" s="1"/>
  <c r="F145" i="9"/>
  <c r="B146" i="9"/>
  <c r="V140" i="8"/>
  <c r="E140" i="8"/>
  <c r="D140" i="8"/>
  <c r="BS140" i="8"/>
  <c r="BT140" i="8" s="1"/>
  <c r="AA268" i="6"/>
  <c r="Z384" i="6"/>
  <c r="D138" i="6"/>
  <c r="E138" i="6"/>
  <c r="AQ281" i="9" l="1"/>
  <c r="DC280" i="9"/>
  <c r="AS294" i="9"/>
  <c r="DF279" i="9" s="1"/>
  <c r="E146" i="9"/>
  <c r="D146" i="9"/>
  <c r="CZ129" i="9"/>
  <c r="B141" i="8"/>
  <c r="F140" i="8"/>
  <c r="BS139" i="8"/>
  <c r="BT139" i="8" s="1"/>
  <c r="BR140" i="8"/>
  <c r="BR141" i="8"/>
  <c r="BS138" i="8"/>
  <c r="BT138" i="8" s="1"/>
  <c r="AA269" i="6"/>
  <c r="AA270" i="6" s="1"/>
  <c r="Z385" i="6"/>
  <c r="Z386" i="6" s="1"/>
  <c r="B139" i="6"/>
  <c r="F138" i="6"/>
  <c r="AQ282" i="9" l="1"/>
  <c r="DC281" i="9"/>
  <c r="DD280" i="9"/>
  <c r="DE280" i="9" s="1"/>
  <c r="DD279" i="9"/>
  <c r="DE279" i="9" s="1"/>
  <c r="AS295" i="9"/>
  <c r="DF280" i="9" s="1"/>
  <c r="F146" i="9"/>
  <c r="B147" i="9"/>
  <c r="E141" i="8"/>
  <c r="D141" i="8"/>
  <c r="AA271" i="6"/>
  <c r="Z387" i="6"/>
  <c r="D139" i="6"/>
  <c r="W139" i="6"/>
  <c r="BR139" i="6" s="1"/>
  <c r="E139" i="6"/>
  <c r="BO122" i="6"/>
  <c r="AQ283" i="9" l="1"/>
  <c r="DC282" i="9"/>
  <c r="DD281" i="9"/>
  <c r="DE281" i="9" s="1"/>
  <c r="AS296" i="9"/>
  <c r="DF281" i="9" s="1"/>
  <c r="E147" i="9"/>
  <c r="D147" i="9"/>
  <c r="B142" i="8"/>
  <c r="F141" i="8"/>
  <c r="AA272" i="6"/>
  <c r="Z388" i="6"/>
  <c r="W140" i="6"/>
  <c r="W141" i="6" s="1"/>
  <c r="W142" i="6" s="1"/>
  <c r="W143" i="6" s="1"/>
  <c r="W144" i="6" s="1"/>
  <c r="W145" i="6" s="1"/>
  <c r="W146" i="6" s="1"/>
  <c r="W147" i="6" s="1"/>
  <c r="W148" i="6" s="1"/>
  <c r="W149" i="6" s="1"/>
  <c r="W150" i="6" s="1"/>
  <c r="W151" i="6" s="1"/>
  <c r="W152" i="6" s="1"/>
  <c r="BS137" i="6"/>
  <c r="BT137" i="6" s="1"/>
  <c r="AR143" i="6"/>
  <c r="B140" i="6"/>
  <c r="V140" i="6" s="1"/>
  <c r="BR140" i="6" s="1"/>
  <c r="F139" i="6"/>
  <c r="AQ284" i="9" l="1"/>
  <c r="DC283" i="9"/>
  <c r="DD282" i="9"/>
  <c r="DE282" i="9" s="1"/>
  <c r="AS297" i="9"/>
  <c r="DF282" i="9" s="1"/>
  <c r="F147" i="9"/>
  <c r="B148" i="9"/>
  <c r="E142" i="8"/>
  <c r="D142" i="8"/>
  <c r="AA273" i="6"/>
  <c r="Z389" i="6"/>
  <c r="AR144" i="6"/>
  <c r="BU126" i="6"/>
  <c r="V141" i="6"/>
  <c r="BS138" i="6"/>
  <c r="BT138" i="6" s="1"/>
  <c r="W153" i="6"/>
  <c r="W154" i="6" s="1"/>
  <c r="W155" i="6" s="1"/>
  <c r="AD152" i="6"/>
  <c r="AD153" i="6" s="1"/>
  <c r="AD154" i="6" s="1"/>
  <c r="AD155" i="6" s="1"/>
  <c r="AD156" i="6" s="1"/>
  <c r="AD157" i="6" s="1"/>
  <c r="AD158" i="6" s="1"/>
  <c r="AD159" i="6" s="1"/>
  <c r="AD160" i="6" s="1"/>
  <c r="E140" i="6"/>
  <c r="D140" i="6"/>
  <c r="AQ285" i="9" l="1"/>
  <c r="DC284" i="9"/>
  <c r="DD283" i="9"/>
  <c r="DE283" i="9" s="1"/>
  <c r="AS298" i="9"/>
  <c r="DF283" i="9" s="1"/>
  <c r="E148" i="9"/>
  <c r="D148" i="9"/>
  <c r="B143" i="8"/>
  <c r="F142" i="8"/>
  <c r="BS139" i="6"/>
  <c r="BT139" i="6" s="1"/>
  <c r="BR141" i="6"/>
  <c r="AA274" i="6"/>
  <c r="Z390" i="6"/>
  <c r="Z391" i="6" s="1"/>
  <c r="AR145" i="6"/>
  <c r="BU127" i="6"/>
  <c r="V142" i="6"/>
  <c r="B141" i="6"/>
  <c r="F140" i="6"/>
  <c r="AQ286" i="9" l="1"/>
  <c r="DC285" i="9"/>
  <c r="DD284" i="9"/>
  <c r="DE284" i="9" s="1"/>
  <c r="AS299" i="9"/>
  <c r="DF284" i="9" s="1"/>
  <c r="B149" i="9"/>
  <c r="F148" i="9"/>
  <c r="E143" i="8"/>
  <c r="BO126" i="8"/>
  <c r="D143" i="8"/>
  <c r="BS140" i="6"/>
  <c r="BT140" i="6" s="1"/>
  <c r="BR142" i="6"/>
  <c r="AA275" i="6"/>
  <c r="AA276" i="6" s="1"/>
  <c r="Z392" i="6"/>
  <c r="AR146" i="6"/>
  <c r="BU128" i="6"/>
  <c r="V143" i="6"/>
  <c r="E141" i="6"/>
  <c r="D141" i="6"/>
  <c r="AQ287" i="9" l="1"/>
  <c r="DD285" i="9"/>
  <c r="DE285" i="9" s="1"/>
  <c r="DC286" i="9"/>
  <c r="AS300" i="9"/>
  <c r="DF285" i="9" s="1"/>
  <c r="E149" i="9"/>
  <c r="D149" i="9"/>
  <c r="B144" i="8"/>
  <c r="F143" i="8"/>
  <c r="BS141" i="6"/>
  <c r="BT141" i="6" s="1"/>
  <c r="BR143" i="6"/>
  <c r="AA277" i="6"/>
  <c r="Z393" i="6"/>
  <c r="AR147" i="6"/>
  <c r="AR148" i="6" s="1"/>
  <c r="AR149" i="6" s="1"/>
  <c r="AR150" i="6" s="1"/>
  <c r="AR151" i="6" s="1"/>
  <c r="AR152" i="6" s="1"/>
  <c r="AR153" i="6" s="1"/>
  <c r="AR154" i="6" s="1"/>
  <c r="AR155" i="6" s="1"/>
  <c r="AR156" i="6" s="1"/>
  <c r="AR157" i="6" s="1"/>
  <c r="AR158" i="6" s="1"/>
  <c r="AR159" i="6" s="1"/>
  <c r="AR160" i="6" s="1"/>
  <c r="AR161" i="6" s="1"/>
  <c r="AR162" i="6" s="1"/>
  <c r="AR163" i="6" s="1"/>
  <c r="AR164" i="6" s="1"/>
  <c r="AR165" i="6" s="1"/>
  <c r="AR166" i="6" s="1"/>
  <c r="AR167" i="6" s="1"/>
  <c r="AR168" i="6" s="1"/>
  <c r="AR169" i="6" s="1"/>
  <c r="AR170" i="6" s="1"/>
  <c r="AR171" i="6" s="1"/>
  <c r="AR172" i="6" s="1"/>
  <c r="AR173" i="6" s="1"/>
  <c r="AR174" i="6" s="1"/>
  <c r="AR175" i="6" s="1"/>
  <c r="AR176" i="6" s="1"/>
  <c r="AR177" i="6" s="1"/>
  <c r="AR178" i="6" s="1"/>
  <c r="AR179" i="6" s="1"/>
  <c r="AR180" i="6" s="1"/>
  <c r="AR181" i="6" s="1"/>
  <c r="AR182" i="6" s="1"/>
  <c r="AR183" i="6" s="1"/>
  <c r="AR184" i="6" s="1"/>
  <c r="AR185" i="6" s="1"/>
  <c r="AR186" i="6" s="1"/>
  <c r="AR187" i="6" s="1"/>
  <c r="AR188" i="6" s="1"/>
  <c r="AR189" i="6" s="1"/>
  <c r="AR190" i="6" s="1"/>
  <c r="AR191" i="6" s="1"/>
  <c r="AR192" i="6" s="1"/>
  <c r="AR193" i="6" s="1"/>
  <c r="AR194" i="6" s="1"/>
  <c r="AR195" i="6" s="1"/>
  <c r="AR196" i="6" s="1"/>
  <c r="AR197" i="6" s="1"/>
  <c r="AR198" i="6" s="1"/>
  <c r="AR199" i="6" s="1"/>
  <c r="AR200" i="6" s="1"/>
  <c r="AR201" i="6" s="1"/>
  <c r="AR202" i="6" s="1"/>
  <c r="AR203" i="6" s="1"/>
  <c r="AR204" i="6" s="1"/>
  <c r="AR205" i="6" s="1"/>
  <c r="AR206" i="6" s="1"/>
  <c r="AR207" i="6" s="1"/>
  <c r="AR208" i="6" s="1"/>
  <c r="AR209" i="6" s="1"/>
  <c r="AR210" i="6" s="1"/>
  <c r="AR211" i="6" s="1"/>
  <c r="AR212" i="6" s="1"/>
  <c r="AR213" i="6" s="1"/>
  <c r="AR214" i="6" s="1"/>
  <c r="AR215" i="6" s="1"/>
  <c r="AR216" i="6" s="1"/>
  <c r="AR217" i="6" s="1"/>
  <c r="AR218" i="6" s="1"/>
  <c r="AR219" i="6" s="1"/>
  <c r="AR220" i="6" s="1"/>
  <c r="AR221" i="6" s="1"/>
  <c r="AR222" i="6" s="1"/>
  <c r="AR223" i="6" s="1"/>
  <c r="AR224" i="6" s="1"/>
  <c r="AR225" i="6" s="1"/>
  <c r="AR226" i="6" s="1"/>
  <c r="AR227" i="6" s="1"/>
  <c r="AR228" i="6" s="1"/>
  <c r="BU129" i="6"/>
  <c r="B142" i="6"/>
  <c r="F141" i="6"/>
  <c r="AQ288" i="9" l="1"/>
  <c r="DD286" i="9"/>
  <c r="DE286" i="9" s="1"/>
  <c r="DC287" i="9"/>
  <c r="AS301" i="9"/>
  <c r="DF286" i="9" s="1"/>
  <c r="B150" i="9"/>
  <c r="F149" i="9"/>
  <c r="E144" i="8"/>
  <c r="D144" i="8"/>
  <c r="AA278" i="6"/>
  <c r="Z394" i="6"/>
  <c r="E142" i="6"/>
  <c r="D142" i="6"/>
  <c r="AQ289" i="9" l="1"/>
  <c r="DD287" i="9"/>
  <c r="DE287" i="9" s="1"/>
  <c r="DC288" i="9"/>
  <c r="AS302" i="9"/>
  <c r="DF287" i="9" s="1"/>
  <c r="E150" i="9"/>
  <c r="D150" i="9"/>
  <c r="B145" i="8"/>
  <c r="F144" i="8"/>
  <c r="AA279" i="6"/>
  <c r="Z395" i="6"/>
  <c r="Z396" i="6" s="1"/>
  <c r="B143" i="6"/>
  <c r="F142" i="6"/>
  <c r="AQ290" i="9" l="1"/>
  <c r="DC289" i="9"/>
  <c r="DD288" i="9"/>
  <c r="DE288" i="9" s="1"/>
  <c r="AS303" i="9"/>
  <c r="DF288" i="9" s="1"/>
  <c r="B151" i="9"/>
  <c r="F150" i="9"/>
  <c r="D145" i="8"/>
  <c r="E145" i="8"/>
  <c r="AA280" i="6"/>
  <c r="AA281" i="6" s="1"/>
  <c r="Z397" i="6"/>
  <c r="E143" i="6"/>
  <c r="D143" i="6"/>
  <c r="BO126" i="6"/>
  <c r="AQ291" i="9" l="1"/>
  <c r="DC290" i="9"/>
  <c r="DD289" i="9"/>
  <c r="DE289" i="9" s="1"/>
  <c r="AS304" i="9"/>
  <c r="DF289" i="9" s="1"/>
  <c r="E151" i="9"/>
  <c r="D151" i="9"/>
  <c r="CZ134" i="9"/>
  <c r="B146" i="8"/>
  <c r="F145" i="8"/>
  <c r="AA282" i="6"/>
  <c r="Z398" i="6"/>
  <c r="B144" i="6"/>
  <c r="F143" i="6"/>
  <c r="AQ292" i="9" l="1"/>
  <c r="DC291" i="9"/>
  <c r="DD290" i="9"/>
  <c r="DE290" i="9" s="1"/>
  <c r="AS305" i="9"/>
  <c r="DF290" i="9" s="1"/>
  <c r="F151" i="9"/>
  <c r="B152" i="9"/>
  <c r="Y146" i="8"/>
  <c r="D146" i="8"/>
  <c r="E146" i="8"/>
  <c r="BS146" i="8"/>
  <c r="BT146" i="8" s="1"/>
  <c r="AA283" i="6"/>
  <c r="Z399" i="6"/>
  <c r="V144" i="6"/>
  <c r="BR144" i="6" s="1"/>
  <c r="E144" i="6"/>
  <c r="D144" i="6"/>
  <c r="AQ293" i="9" l="1"/>
  <c r="DC292" i="9"/>
  <c r="DD291" i="9"/>
  <c r="DE291" i="9" s="1"/>
  <c r="AS306" i="9"/>
  <c r="DF291" i="9" s="1"/>
  <c r="D152" i="9"/>
  <c r="E152" i="9"/>
  <c r="B147" i="8"/>
  <c r="F146" i="8"/>
  <c r="BS144" i="8"/>
  <c r="BT144" i="8" s="1"/>
  <c r="BR146" i="8"/>
  <c r="BR147" i="8"/>
  <c r="BS145" i="8"/>
  <c r="BT145" i="8" s="1"/>
  <c r="AA284" i="6"/>
  <c r="Z400" i="6"/>
  <c r="V145" i="6"/>
  <c r="BR145" i="6" s="1"/>
  <c r="BS142" i="6"/>
  <c r="BT142" i="6" s="1"/>
  <c r="AC148" i="6"/>
  <c r="F144" i="6"/>
  <c r="B145" i="6"/>
  <c r="AQ294" i="9" l="1"/>
  <c r="DC293" i="9"/>
  <c r="DD292" i="9"/>
  <c r="DE292" i="9" s="1"/>
  <c r="AS307" i="9"/>
  <c r="DF292" i="9" s="1"/>
  <c r="B153" i="9"/>
  <c r="F152" i="9"/>
  <c r="D147" i="8"/>
  <c r="E147" i="8"/>
  <c r="BS143" i="6"/>
  <c r="BT143" i="6" s="1"/>
  <c r="AA285" i="6"/>
  <c r="AA286" i="6" s="1"/>
  <c r="Z401" i="6"/>
  <c r="AC149" i="6"/>
  <c r="BU131" i="6"/>
  <c r="V146" i="6"/>
  <c r="AE154" i="6"/>
  <c r="AE155" i="6" s="1"/>
  <c r="AE156" i="6" s="1"/>
  <c r="E145" i="6"/>
  <c r="D145" i="6"/>
  <c r="AQ295" i="9" l="1"/>
  <c r="DC294" i="9"/>
  <c r="DD293" i="9"/>
  <c r="DE293" i="9" s="1"/>
  <c r="AS308" i="9"/>
  <c r="DF293" i="9" s="1"/>
  <c r="D153" i="9"/>
  <c r="E153" i="9"/>
  <c r="B148" i="8"/>
  <c r="F147" i="8"/>
  <c r="AA287" i="6"/>
  <c r="Z402" i="6"/>
  <c r="AC150" i="6"/>
  <c r="BU132" i="6"/>
  <c r="V147" i="6"/>
  <c r="V162" i="6"/>
  <c r="AD161" i="6"/>
  <c r="AD162" i="6" s="1"/>
  <c r="AD163" i="6" s="1"/>
  <c r="AD164" i="6" s="1"/>
  <c r="AD165" i="6" s="1"/>
  <c r="AD166" i="6" s="1"/>
  <c r="AD167" i="6" s="1"/>
  <c r="AD168" i="6" s="1"/>
  <c r="AD169" i="6" s="1"/>
  <c r="AD170" i="6" s="1"/>
  <c r="AD171" i="6" s="1"/>
  <c r="AD172" i="6" s="1"/>
  <c r="AD173" i="6" s="1"/>
  <c r="AD174" i="6" s="1"/>
  <c r="AD175" i="6" s="1"/>
  <c r="AD176" i="6" s="1"/>
  <c r="AD177" i="6" s="1"/>
  <c r="AD178" i="6" s="1"/>
  <c r="AD179" i="6" s="1"/>
  <c r="AD180" i="6" s="1"/>
  <c r="AD181" i="6" s="1"/>
  <c r="AD182" i="6" s="1"/>
  <c r="AD183" i="6" s="1"/>
  <c r="AD184" i="6" s="1"/>
  <c r="AD185" i="6" s="1"/>
  <c r="AD186" i="6" s="1"/>
  <c r="AD187" i="6" s="1"/>
  <c r="AD188" i="6" s="1"/>
  <c r="AD189" i="6" s="1"/>
  <c r="AD190" i="6" s="1"/>
  <c r="AD191" i="6" s="1"/>
  <c r="AD192" i="6" s="1"/>
  <c r="AD193" i="6" s="1"/>
  <c r="AD194" i="6" s="1"/>
  <c r="AD195" i="6" s="1"/>
  <c r="AD196" i="6" s="1"/>
  <c r="AD197" i="6" s="1"/>
  <c r="AD198" i="6" s="1"/>
  <c r="AD199" i="6" s="1"/>
  <c r="AD200" i="6" s="1"/>
  <c r="AD201" i="6" s="1"/>
  <c r="AD202" i="6" s="1"/>
  <c r="AD203" i="6" s="1"/>
  <c r="AD204" i="6" s="1"/>
  <c r="AD205" i="6" s="1"/>
  <c r="AD206" i="6" s="1"/>
  <c r="AD207" i="6" s="1"/>
  <c r="AD208" i="6" s="1"/>
  <c r="AD209" i="6" s="1"/>
  <c r="AD210" i="6" s="1"/>
  <c r="AD211" i="6" s="1"/>
  <c r="AD212" i="6" s="1"/>
  <c r="AD213" i="6" s="1"/>
  <c r="AD214" i="6" s="1"/>
  <c r="AD215" i="6" s="1"/>
  <c r="AD216" i="6" s="1"/>
  <c r="AD217" i="6" s="1"/>
  <c r="AD218" i="6" s="1"/>
  <c r="AD219" i="6" s="1"/>
  <c r="AD220" i="6" s="1"/>
  <c r="AD221" i="6" s="1"/>
  <c r="AD222" i="6" s="1"/>
  <c r="AD223" i="6" s="1"/>
  <c r="AD224" i="6" s="1"/>
  <c r="AD225" i="6" s="1"/>
  <c r="AD226" i="6" s="1"/>
  <c r="AD227" i="6" s="1"/>
  <c r="AD228" i="6" s="1"/>
  <c r="AD229" i="6" s="1"/>
  <c r="AD230" i="6" s="1"/>
  <c r="AD231" i="6" s="1"/>
  <c r="AD232" i="6" s="1"/>
  <c r="AD233" i="6" s="1"/>
  <c r="AD234" i="6" s="1"/>
  <c r="AD235" i="6" s="1"/>
  <c r="AD236" i="6" s="1"/>
  <c r="AD237" i="6" s="1"/>
  <c r="AD238" i="6" s="1"/>
  <c r="F145" i="6"/>
  <c r="B146" i="6"/>
  <c r="Y146" i="6" s="1"/>
  <c r="Y147" i="6" s="1"/>
  <c r="AQ296" i="9" l="1"/>
  <c r="DC295" i="9"/>
  <c r="DD294" i="9"/>
  <c r="DE294" i="9" s="1"/>
  <c r="AS309" i="9"/>
  <c r="DF294" i="9" s="1"/>
  <c r="B154" i="9"/>
  <c r="F153" i="9"/>
  <c r="D148" i="8"/>
  <c r="BO131" i="8"/>
  <c r="E148" i="8"/>
  <c r="BR147" i="6"/>
  <c r="BR146" i="6"/>
  <c r="AA288" i="6"/>
  <c r="Z403" i="6"/>
  <c r="AC151" i="6"/>
  <c r="BU133" i="6"/>
  <c r="V148" i="6"/>
  <c r="BS145" i="6"/>
  <c r="BT145" i="6" s="1"/>
  <c r="V163" i="6"/>
  <c r="BS144" i="6"/>
  <c r="BT144" i="6" s="1"/>
  <c r="E146" i="6"/>
  <c r="D146" i="6"/>
  <c r="AQ297" i="9" l="1"/>
  <c r="DC296" i="9"/>
  <c r="DD295" i="9"/>
  <c r="DE295" i="9" s="1"/>
  <c r="AS310" i="9"/>
  <c r="DF295" i="9" s="1"/>
  <c r="D154" i="9"/>
  <c r="E154" i="9"/>
  <c r="B149" i="8"/>
  <c r="F148" i="8"/>
  <c r="AA289" i="6"/>
  <c r="Z404" i="6"/>
  <c r="AC152" i="6"/>
  <c r="BU134" i="6"/>
  <c r="V164" i="6"/>
  <c r="V149" i="6"/>
  <c r="F146" i="6"/>
  <c r="B147" i="6"/>
  <c r="AQ298" i="9" l="1"/>
  <c r="DC297" i="9"/>
  <c r="DD296" i="9"/>
  <c r="DE296" i="9" s="1"/>
  <c r="AS311" i="9"/>
  <c r="DF296" i="9" s="1"/>
  <c r="B155" i="9"/>
  <c r="F154" i="9"/>
  <c r="E149" i="8"/>
  <c r="D149" i="8"/>
  <c r="AA290" i="6"/>
  <c r="AA291" i="6" s="1"/>
  <c r="Z405" i="6"/>
  <c r="AC153" i="6"/>
  <c r="BU135" i="6"/>
  <c r="V150" i="6"/>
  <c r="E147" i="6"/>
  <c r="D147" i="6"/>
  <c r="AQ299" i="9" l="1"/>
  <c r="DC298" i="9"/>
  <c r="DD297" i="9"/>
  <c r="DE297" i="9" s="1"/>
  <c r="AS312" i="9"/>
  <c r="DF297" i="9" s="1"/>
  <c r="D155" i="9"/>
  <c r="E155" i="9"/>
  <c r="B150" i="8"/>
  <c r="F149" i="8"/>
  <c r="AA292" i="6"/>
  <c r="Z406" i="6"/>
  <c r="AC154" i="6"/>
  <c r="BU136" i="6"/>
  <c r="V151" i="6"/>
  <c r="F147" i="6"/>
  <c r="B148" i="6"/>
  <c r="AQ300" i="9" l="1"/>
  <c r="DC299" i="9"/>
  <c r="DD298" i="9"/>
  <c r="DE298" i="9" s="1"/>
  <c r="AS313" i="9"/>
  <c r="DF298" i="9" s="1"/>
  <c r="B156" i="9"/>
  <c r="F155" i="9"/>
  <c r="E150" i="8"/>
  <c r="D150" i="8"/>
  <c r="AA293" i="6"/>
  <c r="Z407" i="6"/>
  <c r="AC155" i="6"/>
  <c r="BU137" i="6"/>
  <c r="V152" i="6"/>
  <c r="E148" i="6"/>
  <c r="Y148" i="6"/>
  <c r="BR148" i="6" s="1"/>
  <c r="D148" i="6"/>
  <c r="BO131" i="6"/>
  <c r="AQ301" i="9" l="1"/>
  <c r="DC300" i="9"/>
  <c r="DD299" i="9"/>
  <c r="DE299" i="9" s="1"/>
  <c r="AS314" i="9"/>
  <c r="DF299" i="9" s="1"/>
  <c r="D156" i="9"/>
  <c r="E156" i="9"/>
  <c r="B151" i="8"/>
  <c r="F150" i="8"/>
  <c r="AA294" i="6"/>
  <c r="Z408" i="6"/>
  <c r="AC156" i="6"/>
  <c r="BU138" i="6"/>
  <c r="Y149" i="6"/>
  <c r="BS146" i="6"/>
  <c r="BT146" i="6" s="1"/>
  <c r="V153" i="6"/>
  <c r="F148" i="6"/>
  <c r="B149" i="6"/>
  <c r="AQ302" i="9" l="1"/>
  <c r="DC301" i="9"/>
  <c r="DD300" i="9"/>
  <c r="DE300" i="9" s="1"/>
  <c r="AS315" i="9"/>
  <c r="DF300" i="9" s="1"/>
  <c r="B157" i="9"/>
  <c r="F156" i="9"/>
  <c r="X151" i="8"/>
  <c r="E151" i="8"/>
  <c r="D151" i="8"/>
  <c r="BS151" i="8"/>
  <c r="BT151" i="8" s="1"/>
  <c r="BS147" i="6"/>
  <c r="BT147" i="6" s="1"/>
  <c r="BR149" i="6"/>
  <c r="AA295" i="6"/>
  <c r="Z409" i="6"/>
  <c r="AC157" i="6"/>
  <c r="BU139" i="6"/>
  <c r="Y150" i="6"/>
  <c r="V154" i="6"/>
  <c r="E149" i="6"/>
  <c r="D149" i="6"/>
  <c r="AQ303" i="9" l="1"/>
  <c r="DD301" i="9"/>
  <c r="DE301" i="9" s="1"/>
  <c r="DC302" i="9"/>
  <c r="AS316" i="9"/>
  <c r="DF301" i="9" s="1"/>
  <c r="D157" i="9"/>
  <c r="CZ142" i="9"/>
  <c r="E157" i="9"/>
  <c r="B152" i="8"/>
  <c r="F151" i="8"/>
  <c r="BS149" i="8"/>
  <c r="BT149" i="8" s="1"/>
  <c r="BR151" i="8"/>
  <c r="BS150" i="8"/>
  <c r="BT150" i="8" s="1"/>
  <c r="BR152" i="8"/>
  <c r="Y151" i="6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BR150" i="6"/>
  <c r="AA296" i="6"/>
  <c r="AA297" i="6" s="1"/>
  <c r="Z410" i="6"/>
  <c r="AC158" i="6"/>
  <c r="V155" i="6"/>
  <c r="BS148" i="6"/>
  <c r="BT148" i="6" s="1"/>
  <c r="B150" i="6"/>
  <c r="F149" i="6"/>
  <c r="AQ304" i="9" l="1"/>
  <c r="DD302" i="9"/>
  <c r="DE302" i="9" s="1"/>
  <c r="DC303" i="9"/>
  <c r="AS317" i="9"/>
  <c r="DF302" i="9" s="1"/>
  <c r="B158" i="9"/>
  <c r="F157" i="9"/>
  <c r="E152" i="8"/>
  <c r="D152" i="8"/>
  <c r="AF163" i="6"/>
  <c r="AF164" i="6" s="1"/>
  <c r="AA298" i="6"/>
  <c r="Z411" i="6"/>
  <c r="AC159" i="6"/>
  <c r="V156" i="6"/>
  <c r="E150" i="6"/>
  <c r="D150" i="6"/>
  <c r="AQ305" i="9" l="1"/>
  <c r="DD303" i="9"/>
  <c r="DE303" i="9" s="1"/>
  <c r="DC304" i="9"/>
  <c r="AS318" i="9"/>
  <c r="DF303" i="9" s="1"/>
  <c r="D158" i="9"/>
  <c r="E158" i="9"/>
  <c r="B153" i="8"/>
  <c r="F152" i="8"/>
  <c r="AA299" i="6"/>
  <c r="Z412" i="6"/>
  <c r="AC160" i="6"/>
  <c r="V157" i="6"/>
  <c r="B151" i="6"/>
  <c r="X151" i="6" s="1"/>
  <c r="BR151" i="6" s="1"/>
  <c r="F150" i="6"/>
  <c r="AQ306" i="9" l="1"/>
  <c r="DC305" i="9"/>
  <c r="DD304" i="9"/>
  <c r="DE304" i="9" s="1"/>
  <c r="AS319" i="9"/>
  <c r="DF304" i="9" s="1"/>
  <c r="B159" i="9"/>
  <c r="F158" i="9"/>
  <c r="D153" i="8"/>
  <c r="E153" i="8"/>
  <c r="AA300" i="6"/>
  <c r="Z413" i="6"/>
  <c r="AC161" i="6"/>
  <c r="X152" i="6"/>
  <c r="BR152" i="6" s="1"/>
  <c r="BS149" i="6"/>
  <c r="BT149" i="6" s="1"/>
  <c r="V158" i="6"/>
  <c r="AE157" i="6"/>
  <c r="E151" i="6"/>
  <c r="D151" i="6"/>
  <c r="AQ307" i="9" l="1"/>
  <c r="DC306" i="9"/>
  <c r="DD305" i="9"/>
  <c r="DE305" i="9" s="1"/>
  <c r="AS320" i="9"/>
  <c r="DF305" i="9" s="1"/>
  <c r="D159" i="9"/>
  <c r="E159" i="9"/>
  <c r="B154" i="8"/>
  <c r="F153" i="8"/>
  <c r="BS150" i="6"/>
  <c r="BT150" i="6" s="1"/>
  <c r="AA301" i="6"/>
  <c r="AA302" i="6" s="1"/>
  <c r="Z414" i="6"/>
  <c r="AE158" i="6"/>
  <c r="BU140" i="6"/>
  <c r="AC162" i="6"/>
  <c r="V159" i="6"/>
  <c r="B152" i="6"/>
  <c r="F151" i="6"/>
  <c r="AQ308" i="9" l="1"/>
  <c r="DC307" i="9"/>
  <c r="DD306" i="9"/>
  <c r="DE306" i="9" s="1"/>
  <c r="AS321" i="9"/>
  <c r="DF306" i="9" s="1"/>
  <c r="B160" i="9"/>
  <c r="F159" i="9"/>
  <c r="D154" i="8"/>
  <c r="E154" i="8"/>
  <c r="BO139" i="8"/>
  <c r="AA303" i="6"/>
  <c r="Z415" i="6"/>
  <c r="AC163" i="6"/>
  <c r="AE159" i="6"/>
  <c r="BU141" i="6"/>
  <c r="V160" i="6"/>
  <c r="E152" i="6"/>
  <c r="D152" i="6"/>
  <c r="AQ309" i="9" l="1"/>
  <c r="DD307" i="9" s="1"/>
  <c r="DE307" i="9" s="1"/>
  <c r="DC308" i="9"/>
  <c r="AS322" i="9"/>
  <c r="DF307" i="9" s="1"/>
  <c r="D160" i="9"/>
  <c r="E160" i="9"/>
  <c r="B155" i="8"/>
  <c r="F154" i="8"/>
  <c r="AA304" i="6"/>
  <c r="Z416" i="6"/>
  <c r="AE160" i="6"/>
  <c r="BU142" i="6"/>
  <c r="AC164" i="6"/>
  <c r="B153" i="6"/>
  <c r="F152" i="6"/>
  <c r="AQ310" i="9" l="1"/>
  <c r="DC309" i="9"/>
  <c r="DD308" i="9"/>
  <c r="DE308" i="9" s="1"/>
  <c r="AS323" i="9"/>
  <c r="DF308" i="9" s="1"/>
  <c r="B161" i="9"/>
  <c r="F160" i="9"/>
  <c r="D155" i="8"/>
  <c r="E155" i="8"/>
  <c r="AA305" i="6"/>
  <c r="Z417" i="6"/>
  <c r="AC165" i="6"/>
  <c r="AE161" i="6"/>
  <c r="BU143" i="6"/>
  <c r="E153" i="6"/>
  <c r="D153" i="6"/>
  <c r="X153" i="6"/>
  <c r="BR153" i="6" s="1"/>
  <c r="AQ311" i="9" l="1"/>
  <c r="DC310" i="9"/>
  <c r="DD309" i="9"/>
  <c r="DE309" i="9" s="1"/>
  <c r="AS324" i="9"/>
  <c r="DF309" i="9" s="1"/>
  <c r="D161" i="9"/>
  <c r="E161" i="9"/>
  <c r="B156" i="8"/>
  <c r="F155" i="8"/>
  <c r="AA306" i="6"/>
  <c r="AA307" i="6" s="1"/>
  <c r="Z418" i="6"/>
  <c r="AE162" i="6"/>
  <c r="BU144" i="6"/>
  <c r="AC166" i="6"/>
  <c r="X154" i="6"/>
  <c r="BS151" i="6"/>
  <c r="BT151" i="6" s="1"/>
  <c r="B154" i="6"/>
  <c r="F153" i="6"/>
  <c r="AQ312" i="9" l="1"/>
  <c r="DC311" i="9"/>
  <c r="DD310" i="9"/>
  <c r="DE310" i="9" s="1"/>
  <c r="AS325" i="9"/>
  <c r="DF310" i="9" s="1"/>
  <c r="B162" i="9"/>
  <c r="F161" i="9"/>
  <c r="D156" i="8"/>
  <c r="W156" i="8"/>
  <c r="E156" i="8"/>
  <c r="BS156" i="8"/>
  <c r="BT156" i="8" s="1"/>
  <c r="BS152" i="6"/>
  <c r="BT152" i="6" s="1"/>
  <c r="BR154" i="6"/>
  <c r="AA308" i="6"/>
  <c r="Z419" i="6"/>
  <c r="AC167" i="6"/>
  <c r="AE163" i="6"/>
  <c r="BU145" i="6"/>
  <c r="X155" i="6"/>
  <c r="D154" i="6"/>
  <c r="BO139" i="6"/>
  <c r="E154" i="6"/>
  <c r="AQ313" i="9" l="1"/>
  <c r="DC312" i="9"/>
  <c r="DD311" i="9"/>
  <c r="DE311" i="9" s="1"/>
  <c r="AS326" i="9"/>
  <c r="DF311" i="9" s="1"/>
  <c r="E162" i="9"/>
  <c r="D162" i="9"/>
  <c r="BS154" i="8"/>
  <c r="BT154" i="8" s="1"/>
  <c r="BS155" i="8"/>
  <c r="BT155" i="8" s="1"/>
  <c r="BR156" i="8"/>
  <c r="BR157" i="8"/>
  <c r="B157" i="8"/>
  <c r="F156" i="8"/>
  <c r="X156" i="6"/>
  <c r="X157" i="6" s="1"/>
  <c r="X158" i="6" s="1"/>
  <c r="X159" i="6" s="1"/>
  <c r="X160" i="6" s="1"/>
  <c r="X161" i="6" s="1"/>
  <c r="X162" i="6" s="1"/>
  <c r="X163" i="6" s="1"/>
  <c r="X164" i="6" s="1"/>
  <c r="X165" i="6" s="1"/>
  <c r="X166" i="6" s="1"/>
  <c r="X167" i="6" s="1"/>
  <c r="X168" i="6" s="1"/>
  <c r="AG168" i="6" s="1"/>
  <c r="AG169" i="6" s="1"/>
  <c r="BR155" i="6"/>
  <c r="AA309" i="6"/>
  <c r="Z420" i="6"/>
  <c r="AE164" i="6"/>
  <c r="BU146" i="6"/>
  <c r="BS153" i="6"/>
  <c r="BT153" i="6" s="1"/>
  <c r="AC168" i="6"/>
  <c r="B155" i="6"/>
  <c r="F154" i="6"/>
  <c r="AQ314" i="9" l="1"/>
  <c r="DC313" i="9"/>
  <c r="DD312" i="9"/>
  <c r="DE312" i="9" s="1"/>
  <c r="AS327" i="9"/>
  <c r="DF312" i="9" s="1"/>
  <c r="F162" i="9"/>
  <c r="B163" i="9"/>
  <c r="D157" i="8"/>
  <c r="E157" i="8"/>
  <c r="X169" i="6"/>
  <c r="X170" i="6" s="1"/>
  <c r="X171" i="6" s="1"/>
  <c r="X172" i="6" s="1"/>
  <c r="AA310" i="6"/>
  <c r="Z421" i="6"/>
  <c r="AC169" i="6"/>
  <c r="AE165" i="6"/>
  <c r="BU147" i="6"/>
  <c r="D155" i="6"/>
  <c r="E155" i="6"/>
  <c r="AQ315" i="9" l="1"/>
  <c r="DC314" i="9"/>
  <c r="DD313" i="9"/>
  <c r="DE313" i="9" s="1"/>
  <c r="AS328" i="9"/>
  <c r="DF313" i="9" s="1"/>
  <c r="E163" i="9"/>
  <c r="D163" i="9"/>
  <c r="B158" i="8"/>
  <c r="F157" i="8"/>
  <c r="AA311" i="6"/>
  <c r="AA312" i="6" s="1"/>
  <c r="AE166" i="6"/>
  <c r="AC170" i="6"/>
  <c r="B156" i="6"/>
  <c r="W156" i="6" s="1"/>
  <c r="BR156" i="6" s="1"/>
  <c r="F155" i="6"/>
  <c r="AQ316" i="9" l="1"/>
  <c r="DC315" i="9"/>
  <c r="DD314" i="9"/>
  <c r="DE314" i="9" s="1"/>
  <c r="AS329" i="9"/>
  <c r="DF314" i="9" s="1"/>
  <c r="F163" i="9"/>
  <c r="B164" i="9"/>
  <c r="D158" i="8"/>
  <c r="E158" i="8"/>
  <c r="AA313" i="6"/>
  <c r="AC171" i="6"/>
  <c r="AE167" i="6"/>
  <c r="W157" i="6"/>
  <c r="BR157" i="6" s="1"/>
  <c r="BS154" i="6"/>
  <c r="BT154" i="6" s="1"/>
  <c r="D156" i="6"/>
  <c r="E156" i="6"/>
  <c r="AQ317" i="9" l="1"/>
  <c r="DC316" i="9"/>
  <c r="DD315" i="9"/>
  <c r="DE315" i="9" s="1"/>
  <c r="AS330" i="9"/>
  <c r="DF315" i="9" s="1"/>
  <c r="E164" i="9"/>
  <c r="D164" i="9"/>
  <c r="CZ147" i="9"/>
  <c r="B159" i="8"/>
  <c r="F158" i="8"/>
  <c r="BS155" i="6"/>
  <c r="BT155" i="6" s="1"/>
  <c r="AA314" i="6"/>
  <c r="AE168" i="6"/>
  <c r="AC172" i="6"/>
  <c r="B157" i="6"/>
  <c r="F156" i="6"/>
  <c r="AQ318" i="9" l="1"/>
  <c r="DC317" i="9"/>
  <c r="DD316" i="9"/>
  <c r="DE316" i="9" s="1"/>
  <c r="AS331" i="9"/>
  <c r="DF316" i="9" s="1"/>
  <c r="F164" i="9"/>
  <c r="B165" i="9"/>
  <c r="E159" i="8"/>
  <c r="D159" i="8"/>
  <c r="AA315" i="6"/>
  <c r="AC173" i="6"/>
  <c r="AE169" i="6"/>
  <c r="D157" i="6"/>
  <c r="E157" i="6"/>
  <c r="AQ319" i="9" l="1"/>
  <c r="DD317" i="9"/>
  <c r="DE317" i="9" s="1"/>
  <c r="DC318" i="9"/>
  <c r="AS332" i="9"/>
  <c r="DF317" i="9" s="1"/>
  <c r="E165" i="9"/>
  <c r="D165" i="9"/>
  <c r="B160" i="8"/>
  <c r="F159" i="8"/>
  <c r="AA316" i="6"/>
  <c r="AE170" i="6"/>
  <c r="AC174" i="6"/>
  <c r="B158" i="6"/>
  <c r="F157" i="6"/>
  <c r="AQ320" i="9" l="1"/>
  <c r="DD318" i="9"/>
  <c r="DE318" i="9" s="1"/>
  <c r="DC319" i="9"/>
  <c r="AS333" i="9"/>
  <c r="DF318" i="9" s="1"/>
  <c r="F165" i="9"/>
  <c r="B166" i="9"/>
  <c r="E160" i="8"/>
  <c r="D160" i="8"/>
  <c r="AA317" i="6"/>
  <c r="AA318" i="6" s="1"/>
  <c r="AC175" i="6"/>
  <c r="AE171" i="6"/>
  <c r="D158" i="6"/>
  <c r="W158" i="6"/>
  <c r="BR158" i="6" s="1"/>
  <c r="E158" i="6"/>
  <c r="AQ321" i="9" l="1"/>
  <c r="DD319" i="9"/>
  <c r="DE319" i="9" s="1"/>
  <c r="DC320" i="9"/>
  <c r="AS334" i="9"/>
  <c r="DF319" i="9" s="1"/>
  <c r="E166" i="9"/>
  <c r="D166" i="9"/>
  <c r="B161" i="8"/>
  <c r="F160" i="8"/>
  <c r="AA319" i="6"/>
  <c r="AE172" i="6"/>
  <c r="AC176" i="6"/>
  <c r="W159" i="6"/>
  <c r="BS156" i="6"/>
  <c r="BT156" i="6" s="1"/>
  <c r="B159" i="6"/>
  <c r="F158" i="6"/>
  <c r="AQ322" i="9" l="1"/>
  <c r="DC321" i="9"/>
  <c r="DD320" i="9"/>
  <c r="DE320" i="9" s="1"/>
  <c r="AS335" i="9"/>
  <c r="DF320" i="9" s="1"/>
  <c r="F166" i="9"/>
  <c r="B167" i="9"/>
  <c r="V161" i="8"/>
  <c r="E161" i="8"/>
  <c r="D161" i="8"/>
  <c r="BO144" i="8"/>
  <c r="BS161" i="8"/>
  <c r="BT161" i="8" s="1"/>
  <c r="BS157" i="6"/>
  <c r="BT157" i="6" s="1"/>
  <c r="BR159" i="6"/>
  <c r="AA320" i="6"/>
  <c r="AC177" i="6"/>
  <c r="AE173" i="6"/>
  <c r="W160" i="6"/>
  <c r="E159" i="6"/>
  <c r="D159" i="6"/>
  <c r="AQ323" i="9" l="1"/>
  <c r="DC322" i="9"/>
  <c r="DD321" i="9"/>
  <c r="DE321" i="9" s="1"/>
  <c r="AS336" i="9"/>
  <c r="DF321" i="9" s="1"/>
  <c r="E167" i="9"/>
  <c r="D167" i="9"/>
  <c r="B162" i="8"/>
  <c r="F161" i="8"/>
  <c r="BR162" i="8"/>
  <c r="BR161" i="8"/>
  <c r="BS160" i="8"/>
  <c r="BT160" i="8" s="1"/>
  <c r="BS159" i="8"/>
  <c r="BT159" i="8" s="1"/>
  <c r="W161" i="6"/>
  <c r="W162" i="6" s="1"/>
  <c r="W163" i="6" s="1"/>
  <c r="BR163" i="6" s="1"/>
  <c r="BR160" i="6"/>
  <c r="AA321" i="6"/>
  <c r="AE174" i="6"/>
  <c r="AC178" i="6"/>
  <c r="BS158" i="6"/>
  <c r="BT158" i="6" s="1"/>
  <c r="B160" i="6"/>
  <c r="F159" i="6"/>
  <c r="AQ324" i="9" l="1"/>
  <c r="DC323" i="9"/>
  <c r="DD322" i="9"/>
  <c r="DE322" i="9" s="1"/>
  <c r="AS337" i="9"/>
  <c r="DF322" i="9" s="1"/>
  <c r="F167" i="9"/>
  <c r="B168" i="9"/>
  <c r="E162" i="8"/>
  <c r="D162" i="8"/>
  <c r="AA322" i="6"/>
  <c r="AA323" i="6" s="1"/>
  <c r="AC179" i="6"/>
  <c r="AE175" i="6"/>
  <c r="W164" i="6"/>
  <c r="BS162" i="6" s="1"/>
  <c r="BT162" i="6" s="1"/>
  <c r="E160" i="6"/>
  <c r="D160" i="6"/>
  <c r="AQ325" i="9" l="1"/>
  <c r="DC324" i="9"/>
  <c r="DD323" i="9"/>
  <c r="DE323" i="9" s="1"/>
  <c r="AS338" i="9"/>
  <c r="DF323" i="9" s="1"/>
  <c r="CZ151" i="9"/>
  <c r="E168" i="9"/>
  <c r="D168" i="9"/>
  <c r="B163" i="8"/>
  <c r="F162" i="8"/>
  <c r="W165" i="6"/>
  <c r="W166" i="6" s="1"/>
  <c r="W167" i="6" s="1"/>
  <c r="W168" i="6" s="1"/>
  <c r="W169" i="6" s="1"/>
  <c r="W170" i="6" s="1"/>
  <c r="W171" i="6" s="1"/>
  <c r="W172" i="6" s="1"/>
  <c r="W173" i="6" s="1"/>
  <c r="AH173" i="6" s="1"/>
  <c r="AH174" i="6" s="1"/>
  <c r="BR164" i="6"/>
  <c r="AA324" i="6"/>
  <c r="AE176" i="6"/>
  <c r="AC180" i="6"/>
  <c r="B161" i="6"/>
  <c r="F160" i="6"/>
  <c r="AQ326" i="9" l="1"/>
  <c r="DC325" i="9"/>
  <c r="DD324" i="9"/>
  <c r="DE324" i="9" s="1"/>
  <c r="AS339" i="9"/>
  <c r="DF324" i="9" s="1"/>
  <c r="F168" i="9"/>
  <c r="B169" i="9"/>
  <c r="E163" i="8"/>
  <c r="D163" i="8"/>
  <c r="W174" i="6"/>
  <c r="W175" i="6" s="1"/>
  <c r="W176" i="6" s="1"/>
  <c r="W177" i="6" s="1"/>
  <c r="AA325" i="6"/>
  <c r="AC181" i="6"/>
  <c r="AE177" i="6"/>
  <c r="V161" i="6"/>
  <c r="BS161" i="6"/>
  <c r="BT161" i="6" s="1"/>
  <c r="BO144" i="6"/>
  <c r="E161" i="6"/>
  <c r="D161" i="6"/>
  <c r="AQ327" i="9" l="1"/>
  <c r="DC326" i="9"/>
  <c r="DD325" i="9"/>
  <c r="DE325" i="9" s="1"/>
  <c r="AS340" i="9"/>
  <c r="DF325" i="9" s="1"/>
  <c r="E169" i="9"/>
  <c r="D169" i="9"/>
  <c r="B164" i="8"/>
  <c r="F163" i="8"/>
  <c r="BR161" i="6"/>
  <c r="BR162" i="6"/>
  <c r="AA326" i="6"/>
  <c r="AE178" i="6"/>
  <c r="AC182" i="6"/>
  <c r="BS160" i="6"/>
  <c r="BT160" i="6" s="1"/>
  <c r="BS159" i="6"/>
  <c r="BT159" i="6" s="1"/>
  <c r="B162" i="6"/>
  <c r="F161" i="6"/>
  <c r="AQ328" i="9" l="1"/>
  <c r="DC327" i="9"/>
  <c r="DD326" i="9"/>
  <c r="DE326" i="9" s="1"/>
  <c r="AS341" i="9"/>
  <c r="DF326" i="9" s="1"/>
  <c r="F169" i="9"/>
  <c r="B170" i="9"/>
  <c r="E164" i="8"/>
  <c r="D164" i="8"/>
  <c r="AA327" i="6"/>
  <c r="AA328" i="6" s="1"/>
  <c r="AC183" i="6"/>
  <c r="AE179" i="6"/>
  <c r="E162" i="6"/>
  <c r="D162" i="6"/>
  <c r="AQ329" i="9" l="1"/>
  <c r="DC328" i="9"/>
  <c r="DD327" i="9"/>
  <c r="DE327" i="9" s="1"/>
  <c r="AS342" i="9"/>
  <c r="DF327" i="9" s="1"/>
  <c r="E170" i="9"/>
  <c r="D170" i="9"/>
  <c r="B165" i="8"/>
  <c r="F164" i="8"/>
  <c r="AA329" i="6"/>
  <c r="AE180" i="6"/>
  <c r="AC184" i="6"/>
  <c r="B163" i="6"/>
  <c r="F162" i="6"/>
  <c r="AQ330" i="9" l="1"/>
  <c r="DC329" i="9"/>
  <c r="DD328" i="9"/>
  <c r="DE328" i="9" s="1"/>
  <c r="AS343" i="9"/>
  <c r="DF328" i="9" s="1"/>
  <c r="F170" i="9"/>
  <c r="B171" i="9"/>
  <c r="E165" i="8"/>
  <c r="D165" i="8"/>
  <c r="BO148" i="8"/>
  <c r="AA330" i="6"/>
  <c r="AC185" i="6"/>
  <c r="AE181" i="6"/>
  <c r="E163" i="6"/>
  <c r="D163" i="6"/>
  <c r="AQ331" i="9" l="1"/>
  <c r="DC330" i="9"/>
  <c r="DD329" i="9"/>
  <c r="DE329" i="9" s="1"/>
  <c r="AS344" i="9"/>
  <c r="DF329" i="9" s="1"/>
  <c r="E171" i="9"/>
  <c r="D171" i="9"/>
  <c r="F165" i="8"/>
  <c r="B166" i="8"/>
  <c r="AA331" i="6"/>
  <c r="AE182" i="6"/>
  <c r="AC186" i="6"/>
  <c r="B164" i="6"/>
  <c r="F163" i="6"/>
  <c r="AQ332" i="9" l="1"/>
  <c r="DC331" i="9"/>
  <c r="DD330" i="9"/>
  <c r="DE330" i="9" s="1"/>
  <c r="AS345" i="9"/>
  <c r="DF330" i="9" s="1"/>
  <c r="F171" i="9"/>
  <c r="B172" i="9"/>
  <c r="E166" i="8"/>
  <c r="D166" i="8"/>
  <c r="AA332" i="6"/>
  <c r="AA333" i="6" s="1"/>
  <c r="AC187" i="6"/>
  <c r="AE183" i="6"/>
  <c r="E164" i="6"/>
  <c r="D164" i="6"/>
  <c r="AQ333" i="9" l="1"/>
  <c r="DC332" i="9"/>
  <c r="DD331" i="9"/>
  <c r="DE331" i="9" s="1"/>
  <c r="AS346" i="9"/>
  <c r="DF331" i="9" s="1"/>
  <c r="E172" i="9"/>
  <c r="D172" i="9"/>
  <c r="F166" i="8"/>
  <c r="B167" i="8"/>
  <c r="AA334" i="6"/>
  <c r="AE184" i="6"/>
  <c r="AC188" i="6"/>
  <c r="B165" i="6"/>
  <c r="F164" i="6"/>
  <c r="AQ334" i="9" l="1"/>
  <c r="DC333" i="9"/>
  <c r="DD332" i="9"/>
  <c r="DE332" i="9" s="1"/>
  <c r="AS347" i="9"/>
  <c r="DF332" i="9" s="1"/>
  <c r="F172" i="9"/>
  <c r="B173" i="9"/>
  <c r="E167" i="8"/>
  <c r="D167" i="8"/>
  <c r="AA335" i="6"/>
  <c r="AC189" i="6"/>
  <c r="AE185" i="6"/>
  <c r="V165" i="6"/>
  <c r="BR165" i="6" s="1"/>
  <c r="E165" i="6"/>
  <c r="D165" i="6"/>
  <c r="BO148" i="6"/>
  <c r="AQ335" i="9" l="1"/>
  <c r="DC334" i="9"/>
  <c r="AS348" i="9"/>
  <c r="DF333" i="9" s="1"/>
  <c r="D173" i="9"/>
  <c r="CZ156" i="9"/>
  <c r="E173" i="9"/>
  <c r="F167" i="8"/>
  <c r="B168" i="8"/>
  <c r="AA336" i="6"/>
  <c r="AE186" i="6"/>
  <c r="AC190" i="6"/>
  <c r="AF165" i="6"/>
  <c r="BS163" i="6"/>
  <c r="BT163" i="6" s="1"/>
  <c r="V166" i="6"/>
  <c r="BR166" i="6" s="1"/>
  <c r="F165" i="6"/>
  <c r="B166" i="6"/>
  <c r="AQ336" i="9" l="1"/>
  <c r="AS349" i="9"/>
  <c r="DF334" i="9" s="1"/>
  <c r="F173" i="9"/>
  <c r="B174" i="9"/>
  <c r="E168" i="8"/>
  <c r="Y168" i="8"/>
  <c r="D168" i="8"/>
  <c r="BS168" i="8"/>
  <c r="BT168" i="8" s="1"/>
  <c r="AA337" i="6"/>
  <c r="AC191" i="6"/>
  <c r="AF166" i="6"/>
  <c r="BU148" i="6"/>
  <c r="AE187" i="6"/>
  <c r="V167" i="6"/>
  <c r="BS164" i="6"/>
  <c r="BT164" i="6" s="1"/>
  <c r="AG170" i="6"/>
  <c r="AG171" i="6" s="1"/>
  <c r="AG172" i="6" s="1"/>
  <c r="AG173" i="6" s="1"/>
  <c r="AG174" i="6" s="1"/>
  <c r="AG175" i="6" s="1"/>
  <c r="AG176" i="6" s="1"/>
  <c r="AG177" i="6" s="1"/>
  <c r="AG178" i="6" s="1"/>
  <c r="AG179" i="6" s="1"/>
  <c r="AG180" i="6" s="1"/>
  <c r="AG181" i="6" s="1"/>
  <c r="AG182" i="6" s="1"/>
  <c r="AG183" i="6" s="1"/>
  <c r="AG184" i="6" s="1"/>
  <c r="AG185" i="6" s="1"/>
  <c r="AG186" i="6" s="1"/>
  <c r="AG187" i="6" s="1"/>
  <c r="AG188" i="6" s="1"/>
  <c r="AG189" i="6" s="1"/>
  <c r="AG190" i="6" s="1"/>
  <c r="AG191" i="6" s="1"/>
  <c r="AG192" i="6" s="1"/>
  <c r="AG193" i="6" s="1"/>
  <c r="AG194" i="6" s="1"/>
  <c r="AG195" i="6" s="1"/>
  <c r="AG196" i="6" s="1"/>
  <c r="AG197" i="6" s="1"/>
  <c r="AG198" i="6" s="1"/>
  <c r="AG199" i="6" s="1"/>
  <c r="AG200" i="6" s="1"/>
  <c r="AG201" i="6" s="1"/>
  <c r="AG202" i="6" s="1"/>
  <c r="AG203" i="6" s="1"/>
  <c r="AG204" i="6" s="1"/>
  <c r="AG205" i="6" s="1"/>
  <c r="AG206" i="6" s="1"/>
  <c r="AG207" i="6" s="1"/>
  <c r="AG208" i="6" s="1"/>
  <c r="AG209" i="6" s="1"/>
  <c r="AG210" i="6" s="1"/>
  <c r="AG211" i="6" s="1"/>
  <c r="AG212" i="6" s="1"/>
  <c r="AG213" i="6" s="1"/>
  <c r="AG214" i="6" s="1"/>
  <c r="AG215" i="6" s="1"/>
  <c r="AG216" i="6" s="1"/>
  <c r="AG217" i="6" s="1"/>
  <c r="AG218" i="6" s="1"/>
  <c r="AG219" i="6" s="1"/>
  <c r="AG220" i="6" s="1"/>
  <c r="AG221" i="6" s="1"/>
  <c r="AG222" i="6" s="1"/>
  <c r="AG223" i="6" s="1"/>
  <c r="AG224" i="6" s="1"/>
  <c r="AG225" i="6" s="1"/>
  <c r="AG226" i="6" s="1"/>
  <c r="AG227" i="6" s="1"/>
  <c r="AG228" i="6" s="1"/>
  <c r="AG229" i="6" s="1"/>
  <c r="AG230" i="6" s="1"/>
  <c r="AG231" i="6" s="1"/>
  <c r="AG232" i="6" s="1"/>
  <c r="AG233" i="6" s="1"/>
  <c r="AG234" i="6" s="1"/>
  <c r="AG235" i="6" s="1"/>
  <c r="AG236" i="6" s="1"/>
  <c r="AG237" i="6" s="1"/>
  <c r="AG238" i="6" s="1"/>
  <c r="AG239" i="6" s="1"/>
  <c r="AG240" i="6" s="1"/>
  <c r="AG241" i="6" s="1"/>
  <c r="AG242" i="6" s="1"/>
  <c r="AG243" i="6" s="1"/>
  <c r="AG244" i="6" s="1"/>
  <c r="AG245" i="6" s="1"/>
  <c r="AG246" i="6" s="1"/>
  <c r="AG247" i="6" s="1"/>
  <c r="AG248" i="6" s="1"/>
  <c r="AG249" i="6" s="1"/>
  <c r="AG250" i="6" s="1"/>
  <c r="AG251" i="6" s="1"/>
  <c r="AG252" i="6" s="1"/>
  <c r="AG253" i="6" s="1"/>
  <c r="AG254" i="6" s="1"/>
  <c r="E166" i="6"/>
  <c r="D166" i="6"/>
  <c r="AQ337" i="9" l="1"/>
  <c r="AS350" i="9"/>
  <c r="D174" i="9"/>
  <c r="E174" i="9"/>
  <c r="F168" i="8"/>
  <c r="B169" i="8"/>
  <c r="BS166" i="8"/>
  <c r="BT166" i="8" s="1"/>
  <c r="BR168" i="8"/>
  <c r="BS167" i="8"/>
  <c r="BT167" i="8" s="1"/>
  <c r="BR169" i="8"/>
  <c r="BS165" i="6"/>
  <c r="BT165" i="6" s="1"/>
  <c r="BR167" i="6"/>
  <c r="AA338" i="6"/>
  <c r="AA339" i="6" s="1"/>
  <c r="AF167" i="6"/>
  <c r="BU149" i="6"/>
  <c r="AE188" i="6"/>
  <c r="AC192" i="6"/>
  <c r="V168" i="6"/>
  <c r="AH175" i="6"/>
  <c r="AH176" i="6" s="1"/>
  <c r="AH177" i="6" s="1"/>
  <c r="AH178" i="6" s="1"/>
  <c r="AH179" i="6" s="1"/>
  <c r="AH180" i="6" s="1"/>
  <c r="AH181" i="6" s="1"/>
  <c r="AH182" i="6" s="1"/>
  <c r="AH183" i="6" s="1"/>
  <c r="AH184" i="6" s="1"/>
  <c r="AH185" i="6" s="1"/>
  <c r="AH186" i="6" s="1"/>
  <c r="AH187" i="6" s="1"/>
  <c r="AH188" i="6" s="1"/>
  <c r="AH189" i="6" s="1"/>
  <c r="AH190" i="6" s="1"/>
  <c r="AH191" i="6" s="1"/>
  <c r="AH192" i="6" s="1"/>
  <c r="AH193" i="6" s="1"/>
  <c r="AH194" i="6" s="1"/>
  <c r="AH195" i="6" s="1"/>
  <c r="AH196" i="6" s="1"/>
  <c r="AH197" i="6" s="1"/>
  <c r="AH198" i="6" s="1"/>
  <c r="AH199" i="6" s="1"/>
  <c r="AH200" i="6" s="1"/>
  <c r="AH201" i="6" s="1"/>
  <c r="AH202" i="6" s="1"/>
  <c r="AH203" i="6" s="1"/>
  <c r="AH204" i="6" s="1"/>
  <c r="AH205" i="6" s="1"/>
  <c r="AH206" i="6" s="1"/>
  <c r="AH207" i="6" s="1"/>
  <c r="AH208" i="6" s="1"/>
  <c r="AH209" i="6" s="1"/>
  <c r="AH210" i="6" s="1"/>
  <c r="AH211" i="6" s="1"/>
  <c r="AH212" i="6" s="1"/>
  <c r="AH213" i="6" s="1"/>
  <c r="AH214" i="6" s="1"/>
  <c r="AH215" i="6" s="1"/>
  <c r="AH216" i="6" s="1"/>
  <c r="AH217" i="6" s="1"/>
  <c r="AH218" i="6" s="1"/>
  <c r="AH219" i="6" s="1"/>
  <c r="AH220" i="6" s="1"/>
  <c r="AH221" i="6" s="1"/>
  <c r="AH222" i="6" s="1"/>
  <c r="AH223" i="6" s="1"/>
  <c r="AH224" i="6" s="1"/>
  <c r="AH225" i="6" s="1"/>
  <c r="AH226" i="6" s="1"/>
  <c r="AH227" i="6" s="1"/>
  <c r="AH228" i="6" s="1"/>
  <c r="AH229" i="6" s="1"/>
  <c r="AH230" i="6" s="1"/>
  <c r="AH231" i="6" s="1"/>
  <c r="AH232" i="6" s="1"/>
  <c r="AH233" i="6" s="1"/>
  <c r="AH234" i="6" s="1"/>
  <c r="AH235" i="6" s="1"/>
  <c r="AH236" i="6" s="1"/>
  <c r="AH237" i="6" s="1"/>
  <c r="AH238" i="6" s="1"/>
  <c r="AH239" i="6" s="1"/>
  <c r="AH240" i="6" s="1"/>
  <c r="AH241" i="6" s="1"/>
  <c r="AH242" i="6" s="1"/>
  <c r="AH243" i="6" s="1"/>
  <c r="AH244" i="6" s="1"/>
  <c r="AH245" i="6" s="1"/>
  <c r="AH246" i="6" s="1"/>
  <c r="AH247" i="6" s="1"/>
  <c r="AH248" i="6" s="1"/>
  <c r="AH249" i="6" s="1"/>
  <c r="AH250" i="6" s="1"/>
  <c r="AH251" i="6" s="1"/>
  <c r="AH252" i="6" s="1"/>
  <c r="AH253" i="6" s="1"/>
  <c r="AH254" i="6" s="1"/>
  <c r="AH255" i="6" s="1"/>
  <c r="AH256" i="6" s="1"/>
  <c r="AH257" i="6" s="1"/>
  <c r="AH258" i="6" s="1"/>
  <c r="AH259" i="6" s="1"/>
  <c r="F166" i="6"/>
  <c r="B167" i="6"/>
  <c r="AS351" i="9" l="1"/>
  <c r="F174" i="9"/>
  <c r="B175" i="9"/>
  <c r="E169" i="8"/>
  <c r="D169" i="8"/>
  <c r="AA340" i="6"/>
  <c r="AE189" i="6"/>
  <c r="AC193" i="6"/>
  <c r="AF168" i="6"/>
  <c r="BU150" i="6"/>
  <c r="V169" i="6"/>
  <c r="E167" i="6"/>
  <c r="D167" i="6"/>
  <c r="AS352" i="9" l="1"/>
  <c r="D175" i="9"/>
  <c r="E175" i="9"/>
  <c r="F169" i="8"/>
  <c r="B170" i="8"/>
  <c r="AA341" i="6"/>
  <c r="AC194" i="6"/>
  <c r="AF169" i="6"/>
  <c r="BU151" i="6"/>
  <c r="AE190" i="6"/>
  <c r="V170" i="6"/>
  <c r="F167" i="6"/>
  <c r="B168" i="6"/>
  <c r="Y168" i="6" s="1"/>
  <c r="BR168" i="6" s="1"/>
  <c r="AS353" i="9" l="1"/>
  <c r="F175" i="9"/>
  <c r="B176" i="9"/>
  <c r="E170" i="8"/>
  <c r="D170" i="8"/>
  <c r="BO153" i="8"/>
  <c r="AA342" i="6"/>
  <c r="AE191" i="6"/>
  <c r="AC195" i="6"/>
  <c r="AF170" i="6"/>
  <c r="BU152" i="6"/>
  <c r="BS166" i="6"/>
  <c r="BT166" i="6" s="1"/>
  <c r="V171" i="6"/>
  <c r="E168" i="6"/>
  <c r="D168" i="6"/>
  <c r="AS354" i="9" l="1"/>
  <c r="D176" i="9"/>
  <c r="E176" i="9"/>
  <c r="B171" i="8"/>
  <c r="F170" i="8"/>
  <c r="AA343" i="6"/>
  <c r="AA344" i="6" s="1"/>
  <c r="AC196" i="6"/>
  <c r="AF171" i="6"/>
  <c r="BU153" i="6"/>
  <c r="AE192" i="6"/>
  <c r="V172" i="6"/>
  <c r="F168" i="6"/>
  <c r="B169" i="6"/>
  <c r="AS355" i="9" l="1"/>
  <c r="F176" i="9"/>
  <c r="B177" i="9"/>
  <c r="E171" i="8"/>
  <c r="D171" i="8"/>
  <c r="AA345" i="6"/>
  <c r="AF172" i="6"/>
  <c r="BU154" i="6"/>
  <c r="AE193" i="6"/>
  <c r="AC197" i="6"/>
  <c r="V173" i="6"/>
  <c r="E169" i="6"/>
  <c r="Y169" i="6"/>
  <c r="BR169" i="6" s="1"/>
  <c r="D169" i="6"/>
  <c r="AS356" i="9" l="1"/>
  <c r="D177" i="9"/>
  <c r="E177" i="9"/>
  <c r="B172" i="8"/>
  <c r="F171" i="8"/>
  <c r="AA346" i="6"/>
  <c r="AC198" i="6"/>
  <c r="AE194" i="6"/>
  <c r="AF173" i="6"/>
  <c r="BU155" i="6"/>
  <c r="V174" i="6"/>
  <c r="Y170" i="6"/>
  <c r="BR170" i="6" s="1"/>
  <c r="BS167" i="6"/>
  <c r="BT167" i="6" s="1"/>
  <c r="F169" i="6"/>
  <c r="B170" i="6"/>
  <c r="AS357" i="9" l="1"/>
  <c r="B178" i="9"/>
  <c r="F177" i="9"/>
  <c r="E172" i="8"/>
  <c r="D172" i="8"/>
  <c r="BS168" i="6"/>
  <c r="BT168" i="6" s="1"/>
  <c r="AA347" i="6"/>
  <c r="AF174" i="6"/>
  <c r="BU156" i="6"/>
  <c r="AE195" i="6"/>
  <c r="AC199" i="6"/>
  <c r="Y171" i="6"/>
  <c r="V175" i="6"/>
  <c r="E170" i="6"/>
  <c r="D170" i="6"/>
  <c r="BO153" i="6"/>
  <c r="AS358" i="9" l="1"/>
  <c r="CZ161" i="9"/>
  <c r="E178" i="9"/>
  <c r="D178" i="9"/>
  <c r="B173" i="8"/>
  <c r="F172" i="8"/>
  <c r="BS169" i="6"/>
  <c r="BT169" i="6" s="1"/>
  <c r="BR171" i="6"/>
  <c r="AA348" i="6"/>
  <c r="AA349" i="6" s="1"/>
  <c r="AE196" i="6"/>
  <c r="AC200" i="6"/>
  <c r="AF175" i="6"/>
  <c r="BU157" i="6"/>
  <c r="V176" i="6"/>
  <c r="Y172" i="6"/>
  <c r="B171" i="6"/>
  <c r="F170" i="6"/>
  <c r="AS359" i="9" l="1"/>
  <c r="B179" i="9"/>
  <c r="F178" i="9"/>
  <c r="E173" i="8"/>
  <c r="D173" i="8"/>
  <c r="X173" i="8"/>
  <c r="BS173" i="8"/>
  <c r="BT173" i="8" s="1"/>
  <c r="Y173" i="6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AJ185" i="6" s="1"/>
  <c r="BR172" i="6"/>
  <c r="AA350" i="6"/>
  <c r="AC201" i="6"/>
  <c r="AF176" i="6"/>
  <c r="BU158" i="6"/>
  <c r="AE197" i="6"/>
  <c r="V177" i="6"/>
  <c r="BS170" i="6"/>
  <c r="BT170" i="6" s="1"/>
  <c r="E171" i="6"/>
  <c r="D171" i="6"/>
  <c r="AS360" i="9" l="1"/>
  <c r="E179" i="9"/>
  <c r="D179" i="9"/>
  <c r="BS171" i="8"/>
  <c r="BT171" i="8" s="1"/>
  <c r="BS172" i="8"/>
  <c r="BT172" i="8" s="1"/>
  <c r="BR173" i="8"/>
  <c r="BR174" i="8"/>
  <c r="B174" i="8"/>
  <c r="F173" i="8"/>
  <c r="Y186" i="6"/>
  <c r="Y187" i="6" s="1"/>
  <c r="Y188" i="6" s="1"/>
  <c r="Y189" i="6" s="1"/>
  <c r="AA351" i="6"/>
  <c r="AF177" i="6"/>
  <c r="BU159" i="6"/>
  <c r="AE198" i="6"/>
  <c r="AC202" i="6"/>
  <c r="V178" i="6"/>
  <c r="B172" i="6"/>
  <c r="F171" i="6"/>
  <c r="AS361" i="9" l="1"/>
  <c r="B180" i="9"/>
  <c r="F179" i="9"/>
  <c r="E174" i="8"/>
  <c r="D174" i="8"/>
  <c r="AA352" i="6"/>
  <c r="AE199" i="6"/>
  <c r="AC203" i="6"/>
  <c r="AF178" i="6"/>
  <c r="BU160" i="6"/>
  <c r="V179" i="6"/>
  <c r="AI178" i="6"/>
  <c r="AI179" i="6" s="1"/>
  <c r="AI180" i="6" s="1"/>
  <c r="AI181" i="6" s="1"/>
  <c r="AI182" i="6" s="1"/>
  <c r="AI183" i="6" s="1"/>
  <c r="AI184" i="6" s="1"/>
  <c r="AI185" i="6" s="1"/>
  <c r="AI186" i="6" s="1"/>
  <c r="AI187" i="6" s="1"/>
  <c r="AI188" i="6" s="1"/>
  <c r="AI189" i="6" s="1"/>
  <c r="AI190" i="6" s="1"/>
  <c r="AI191" i="6" s="1"/>
  <c r="AI192" i="6" s="1"/>
  <c r="AI193" i="6" s="1"/>
  <c r="AI194" i="6" s="1"/>
  <c r="AI195" i="6" s="1"/>
  <c r="AI196" i="6" s="1"/>
  <c r="AI197" i="6" s="1"/>
  <c r="AI198" i="6" s="1"/>
  <c r="AI199" i="6" s="1"/>
  <c r="AI200" i="6" s="1"/>
  <c r="AI201" i="6" s="1"/>
  <c r="AI202" i="6" s="1"/>
  <c r="AI203" i="6" s="1"/>
  <c r="AI204" i="6" s="1"/>
  <c r="AI205" i="6" s="1"/>
  <c r="AI206" i="6" s="1"/>
  <c r="AI207" i="6" s="1"/>
  <c r="AI208" i="6" s="1"/>
  <c r="AI209" i="6" s="1"/>
  <c r="AI210" i="6" s="1"/>
  <c r="AI211" i="6" s="1"/>
  <c r="AI212" i="6" s="1"/>
  <c r="AI213" i="6" s="1"/>
  <c r="AI214" i="6" s="1"/>
  <c r="AI215" i="6" s="1"/>
  <c r="AI216" i="6" s="1"/>
  <c r="AI217" i="6" s="1"/>
  <c r="AI218" i="6" s="1"/>
  <c r="AI219" i="6" s="1"/>
  <c r="AI220" i="6" s="1"/>
  <c r="AI221" i="6" s="1"/>
  <c r="AI222" i="6" s="1"/>
  <c r="AI223" i="6" s="1"/>
  <c r="AI224" i="6" s="1"/>
  <c r="AI225" i="6" s="1"/>
  <c r="AI226" i="6" s="1"/>
  <c r="AI227" i="6" s="1"/>
  <c r="AI228" i="6" s="1"/>
  <c r="AI229" i="6" s="1"/>
  <c r="AI230" i="6" s="1"/>
  <c r="AI231" i="6" s="1"/>
  <c r="AI232" i="6" s="1"/>
  <c r="AI233" i="6" s="1"/>
  <c r="AI234" i="6" s="1"/>
  <c r="AI235" i="6" s="1"/>
  <c r="AI236" i="6" s="1"/>
  <c r="AI237" i="6" s="1"/>
  <c r="AI238" i="6" s="1"/>
  <c r="AI239" i="6" s="1"/>
  <c r="AI240" i="6" s="1"/>
  <c r="AI241" i="6" s="1"/>
  <c r="AI242" i="6" s="1"/>
  <c r="AI243" i="6" s="1"/>
  <c r="AI244" i="6" s="1"/>
  <c r="AI245" i="6" s="1"/>
  <c r="AI246" i="6" s="1"/>
  <c r="AI247" i="6" s="1"/>
  <c r="AI248" i="6" s="1"/>
  <c r="AI249" i="6" s="1"/>
  <c r="AI250" i="6" s="1"/>
  <c r="AI251" i="6" s="1"/>
  <c r="AI252" i="6" s="1"/>
  <c r="AI253" i="6" s="1"/>
  <c r="AI254" i="6" s="1"/>
  <c r="AI255" i="6" s="1"/>
  <c r="AI256" i="6" s="1"/>
  <c r="AI257" i="6" s="1"/>
  <c r="AI258" i="6" s="1"/>
  <c r="AI259" i="6" s="1"/>
  <c r="AI260" i="6" s="1"/>
  <c r="AI261" i="6" s="1"/>
  <c r="AI262" i="6" s="1"/>
  <c r="AI263" i="6" s="1"/>
  <c r="AI264" i="6" s="1"/>
  <c r="E172" i="6"/>
  <c r="D172" i="6"/>
  <c r="AS362" i="9" l="1"/>
  <c r="E180" i="9"/>
  <c r="D180" i="9"/>
  <c r="B175" i="8"/>
  <c r="F174" i="8"/>
  <c r="AA353" i="6"/>
  <c r="AA354" i="6" s="1"/>
  <c r="AC204" i="6"/>
  <c r="AF179" i="6"/>
  <c r="BU161" i="6"/>
  <c r="AE200" i="6"/>
  <c r="V180" i="6"/>
  <c r="B173" i="6"/>
  <c r="X173" i="6" s="1"/>
  <c r="BR173" i="6" s="1"/>
  <c r="F172" i="6"/>
  <c r="AS363" i="9" l="1"/>
  <c r="B181" i="9"/>
  <c r="F180" i="9"/>
  <c r="D175" i="8"/>
  <c r="BO158" i="8"/>
  <c r="E175" i="8"/>
  <c r="AA355" i="6"/>
  <c r="AF180" i="6"/>
  <c r="BU162" i="6"/>
  <c r="AE201" i="6"/>
  <c r="AC205" i="6"/>
  <c r="BS171" i="6"/>
  <c r="BT171" i="6" s="1"/>
  <c r="V181" i="6"/>
  <c r="E173" i="6"/>
  <c r="D173" i="6"/>
  <c r="AS364" i="9" l="1"/>
  <c r="E181" i="9"/>
  <c r="D181" i="9"/>
  <c r="B176" i="8"/>
  <c r="F175" i="8"/>
  <c r="AA356" i="6"/>
  <c r="AE202" i="6"/>
  <c r="AC206" i="6"/>
  <c r="AF181" i="6"/>
  <c r="BU163" i="6"/>
  <c r="V182" i="6"/>
  <c r="B174" i="6"/>
  <c r="F173" i="6"/>
  <c r="AS365" i="9" l="1"/>
  <c r="B182" i="9"/>
  <c r="F181" i="9"/>
  <c r="D176" i="8"/>
  <c r="E176" i="8"/>
  <c r="AA357" i="6"/>
  <c r="AC207" i="6"/>
  <c r="AF182" i="6"/>
  <c r="BU164" i="6"/>
  <c r="AE203" i="6"/>
  <c r="E174" i="6"/>
  <c r="D174" i="6"/>
  <c r="X174" i="6"/>
  <c r="BR174" i="6" s="1"/>
  <c r="AS366" i="9" l="1"/>
  <c r="E182" i="9"/>
  <c r="D182" i="9"/>
  <c r="B177" i="8"/>
  <c r="F176" i="8"/>
  <c r="AA358" i="6"/>
  <c r="AF183" i="6"/>
  <c r="BU165" i="6"/>
  <c r="AE204" i="6"/>
  <c r="AC208" i="6"/>
  <c r="X175" i="6"/>
  <c r="BS172" i="6"/>
  <c r="BT172" i="6" s="1"/>
  <c r="B175" i="6"/>
  <c r="F174" i="6"/>
  <c r="AS367" i="9" l="1"/>
  <c r="F182" i="9"/>
  <c r="B183" i="9"/>
  <c r="D177" i="8"/>
  <c r="E177" i="8"/>
  <c r="BS173" i="6"/>
  <c r="BT173" i="6" s="1"/>
  <c r="BR175" i="6"/>
  <c r="AA359" i="6"/>
  <c r="AA360" i="6" s="1"/>
  <c r="AE205" i="6"/>
  <c r="AC209" i="6"/>
  <c r="AF184" i="6"/>
  <c r="BU166" i="6"/>
  <c r="X176" i="6"/>
  <c r="D175" i="6"/>
  <c r="BO158" i="6"/>
  <c r="E175" i="6"/>
  <c r="AS368" i="9" l="1"/>
  <c r="E183" i="9"/>
  <c r="D183" i="9"/>
  <c r="B178" i="8"/>
  <c r="F177" i="8"/>
  <c r="BS174" i="6"/>
  <c r="BT174" i="6" s="1"/>
  <c r="BR176" i="6"/>
  <c r="AA361" i="6"/>
  <c r="AC210" i="6"/>
  <c r="AF185" i="6"/>
  <c r="BU167" i="6"/>
  <c r="AE206" i="6"/>
  <c r="X177" i="6"/>
  <c r="BS175" i="6" s="1"/>
  <c r="BT175" i="6" s="1"/>
  <c r="B176" i="6"/>
  <c r="F175" i="6"/>
  <c r="AS369" i="9" l="1"/>
  <c r="F183" i="9"/>
  <c r="B184" i="9"/>
  <c r="D178" i="8"/>
  <c r="W178" i="8"/>
  <c r="E178" i="8"/>
  <c r="BS178" i="8"/>
  <c r="BT178" i="8" s="1"/>
  <c r="X178" i="6"/>
  <c r="X179" i="6" s="1"/>
  <c r="X180" i="6" s="1"/>
  <c r="X181" i="6" s="1"/>
  <c r="X182" i="6" s="1"/>
  <c r="X183" i="6" s="1"/>
  <c r="X184" i="6" s="1"/>
  <c r="X185" i="6" s="1"/>
  <c r="X186" i="6" s="1"/>
  <c r="X187" i="6" s="1"/>
  <c r="X188" i="6" s="1"/>
  <c r="X189" i="6" s="1"/>
  <c r="X190" i="6" s="1"/>
  <c r="AK190" i="6" s="1"/>
  <c r="BR177" i="6"/>
  <c r="AA362" i="6"/>
  <c r="AF186" i="6"/>
  <c r="BU168" i="6"/>
  <c r="AE207" i="6"/>
  <c r="AC211" i="6"/>
  <c r="D176" i="6"/>
  <c r="E176" i="6"/>
  <c r="AS370" i="9" l="1"/>
  <c r="E184" i="9"/>
  <c r="D184" i="9"/>
  <c r="BS176" i="8"/>
  <c r="BT176" i="8" s="1"/>
  <c r="BS177" i="8"/>
  <c r="BT177" i="8" s="1"/>
  <c r="BR178" i="8"/>
  <c r="BR179" i="8"/>
  <c r="B179" i="8"/>
  <c r="F178" i="8"/>
  <c r="X191" i="6"/>
  <c r="X192" i="6" s="1"/>
  <c r="X193" i="6" s="1"/>
  <c r="X194" i="6" s="1"/>
  <c r="AA363" i="6"/>
  <c r="AE208" i="6"/>
  <c r="AC212" i="6"/>
  <c r="AF187" i="6"/>
  <c r="B177" i="6"/>
  <c r="F176" i="6"/>
  <c r="AS371" i="9" l="1"/>
  <c r="F184" i="9"/>
  <c r="B185" i="9"/>
  <c r="D179" i="8"/>
  <c r="E179" i="8"/>
  <c r="AA364" i="6"/>
  <c r="AA365" i="6" s="1"/>
  <c r="AC213" i="6"/>
  <c r="AF188" i="6"/>
  <c r="AE209" i="6"/>
  <c r="D177" i="6"/>
  <c r="E177" i="6"/>
  <c r="AS372" i="9" l="1"/>
  <c r="E185" i="9"/>
  <c r="D185" i="9"/>
  <c r="CZ168" i="9"/>
  <c r="B180" i="8"/>
  <c r="F179" i="8"/>
  <c r="AA366" i="6"/>
  <c r="AF189" i="6"/>
  <c r="AE210" i="6"/>
  <c r="AC214" i="6"/>
  <c r="B178" i="6"/>
  <c r="W178" i="6" s="1"/>
  <c r="BR178" i="6" s="1"/>
  <c r="F177" i="6"/>
  <c r="AS373" i="9" l="1"/>
  <c r="F185" i="9"/>
  <c r="B186" i="9"/>
  <c r="E180" i="8"/>
  <c r="D180" i="8"/>
  <c r="AA367" i="6"/>
  <c r="AE211" i="6"/>
  <c r="AC215" i="6"/>
  <c r="AF190" i="6"/>
  <c r="BS176" i="6"/>
  <c r="BT176" i="6" s="1"/>
  <c r="D178" i="6"/>
  <c r="E178" i="6"/>
  <c r="AS374" i="9" l="1"/>
  <c r="E186" i="9"/>
  <c r="D186" i="9"/>
  <c r="B181" i="8"/>
  <c r="F180" i="8"/>
  <c r="AA368" i="6"/>
  <c r="AF191" i="6"/>
  <c r="AC216" i="6"/>
  <c r="AE212" i="6"/>
  <c r="B179" i="6"/>
  <c r="F178" i="6"/>
  <c r="AS375" i="9" l="1"/>
  <c r="F186" i="9"/>
  <c r="B187" i="9"/>
  <c r="E181" i="8"/>
  <c r="D181" i="8"/>
  <c r="AA369" i="6"/>
  <c r="AA370" i="6" s="1"/>
  <c r="AC217" i="6"/>
  <c r="AE213" i="6"/>
  <c r="AF192" i="6"/>
  <c r="D179" i="6"/>
  <c r="W179" i="6"/>
  <c r="BR179" i="6" s="1"/>
  <c r="E179" i="6"/>
  <c r="AS376" i="9" l="1"/>
  <c r="E187" i="9"/>
  <c r="D187" i="9"/>
  <c r="B182" i="8"/>
  <c r="F181" i="8"/>
  <c r="AA371" i="6"/>
  <c r="AE214" i="6"/>
  <c r="AF193" i="6"/>
  <c r="AC218" i="6"/>
  <c r="W180" i="6"/>
  <c r="BR180" i="6" s="1"/>
  <c r="BS177" i="6"/>
  <c r="BT177" i="6" s="1"/>
  <c r="B180" i="6"/>
  <c r="F179" i="6"/>
  <c r="AS377" i="9" l="1"/>
  <c r="F187" i="9"/>
  <c r="B188" i="9"/>
  <c r="BO165" i="8"/>
  <c r="E182" i="8"/>
  <c r="D182" i="8"/>
  <c r="BS178" i="6"/>
  <c r="BT178" i="6" s="1"/>
  <c r="AA372" i="6"/>
  <c r="AF194" i="6"/>
  <c r="AC219" i="6"/>
  <c r="AE215" i="6"/>
  <c r="W181" i="6"/>
  <c r="E180" i="6"/>
  <c r="D180" i="6"/>
  <c r="AS378" i="9" l="1"/>
  <c r="E188" i="9"/>
  <c r="D188" i="9"/>
  <c r="B183" i="8"/>
  <c r="F182" i="8"/>
  <c r="BS179" i="6"/>
  <c r="BT179" i="6" s="1"/>
  <c r="BR181" i="6"/>
  <c r="AA373" i="6"/>
  <c r="AC220" i="6"/>
  <c r="AE216" i="6"/>
  <c r="AF195" i="6"/>
  <c r="W182" i="6"/>
  <c r="B181" i="6"/>
  <c r="F180" i="6"/>
  <c r="AS379" i="9" l="1"/>
  <c r="F188" i="9"/>
  <c r="B189" i="9"/>
  <c r="V183" i="8"/>
  <c r="E183" i="8"/>
  <c r="D183" i="8"/>
  <c r="BS183" i="8"/>
  <c r="BT183" i="8" s="1"/>
  <c r="W183" i="6"/>
  <c r="W184" i="6" s="1"/>
  <c r="W185" i="6" s="1"/>
  <c r="W186" i="6" s="1"/>
  <c r="W187" i="6" s="1"/>
  <c r="W188" i="6" s="1"/>
  <c r="W189" i="6" s="1"/>
  <c r="W190" i="6" s="1"/>
  <c r="W191" i="6" s="1"/>
  <c r="W192" i="6" s="1"/>
  <c r="W193" i="6" s="1"/>
  <c r="W194" i="6" s="1"/>
  <c r="W195" i="6" s="1"/>
  <c r="AL195" i="6" s="1"/>
  <c r="BR182" i="6"/>
  <c r="AA374" i="6"/>
  <c r="AA375" i="6" s="1"/>
  <c r="BS180" i="6"/>
  <c r="BT180" i="6" s="1"/>
  <c r="AE217" i="6"/>
  <c r="AF196" i="6"/>
  <c r="AC221" i="6"/>
  <c r="D181" i="6"/>
  <c r="E181" i="6"/>
  <c r="AS380" i="9" l="1"/>
  <c r="E189" i="9"/>
  <c r="D189" i="9"/>
  <c r="CZ172" i="9"/>
  <c r="BR184" i="8"/>
  <c r="BR183" i="8"/>
  <c r="BS182" i="8"/>
  <c r="BT182" i="8" s="1"/>
  <c r="BS181" i="8"/>
  <c r="BT181" i="8" s="1"/>
  <c r="B184" i="8"/>
  <c r="F183" i="8"/>
  <c r="W196" i="6"/>
  <c r="W197" i="6" s="1"/>
  <c r="W198" i="6" s="1"/>
  <c r="W199" i="6" s="1"/>
  <c r="AA376" i="6"/>
  <c r="AC222" i="6"/>
  <c r="AF197" i="6"/>
  <c r="AE218" i="6"/>
  <c r="B182" i="6"/>
  <c r="F181" i="6"/>
  <c r="AS381" i="9" l="1"/>
  <c r="F189" i="9"/>
  <c r="B190" i="9"/>
  <c r="E184" i="8"/>
  <c r="D184" i="8"/>
  <c r="AA377" i="6"/>
  <c r="AF198" i="6"/>
  <c r="AE219" i="6"/>
  <c r="AC223" i="6"/>
  <c r="E182" i="6"/>
  <c r="D182" i="6"/>
  <c r="BO165" i="6"/>
  <c r="AS382" i="9" l="1"/>
  <c r="E190" i="9"/>
  <c r="D190" i="9"/>
  <c r="B185" i="8"/>
  <c r="F184" i="8"/>
  <c r="AA378" i="6"/>
  <c r="AE220" i="6"/>
  <c r="AC224" i="6"/>
  <c r="AF199" i="6"/>
  <c r="B183" i="6"/>
  <c r="V183" i="6" s="1"/>
  <c r="BR183" i="6" s="1"/>
  <c r="F182" i="6"/>
  <c r="AS383" i="9" l="1"/>
  <c r="B191" i="9"/>
  <c r="F190" i="9"/>
  <c r="E185" i="8"/>
  <c r="D185" i="8"/>
  <c r="AA379" i="6"/>
  <c r="AC225" i="6"/>
  <c r="AF200" i="6"/>
  <c r="AE221" i="6"/>
  <c r="V184" i="6"/>
  <c r="BS181" i="6"/>
  <c r="BT181" i="6" s="1"/>
  <c r="E183" i="6"/>
  <c r="D183" i="6"/>
  <c r="AS384" i="9" l="1"/>
  <c r="E191" i="9"/>
  <c r="D191" i="9"/>
  <c r="B186" i="8"/>
  <c r="F185" i="8"/>
  <c r="BS182" i="6"/>
  <c r="BT182" i="6" s="1"/>
  <c r="BR184" i="6"/>
  <c r="AA380" i="6"/>
  <c r="AA381" i="6" s="1"/>
  <c r="AF201" i="6"/>
  <c r="AE222" i="6"/>
  <c r="AC226" i="6"/>
  <c r="V185" i="6"/>
  <c r="B184" i="6"/>
  <c r="F183" i="6"/>
  <c r="AS385" i="9" l="1"/>
  <c r="B192" i="9"/>
  <c r="F191" i="9"/>
  <c r="E186" i="8"/>
  <c r="D186" i="8"/>
  <c r="BO169" i="8"/>
  <c r="BS183" i="6"/>
  <c r="BT183" i="6" s="1"/>
  <c r="BR185" i="6"/>
  <c r="AA382" i="6"/>
  <c r="AE223" i="6"/>
  <c r="AC227" i="6"/>
  <c r="AF202" i="6"/>
  <c r="E184" i="6"/>
  <c r="D184" i="6"/>
  <c r="AS386" i="9" l="1"/>
  <c r="E192" i="9"/>
  <c r="D192" i="9"/>
  <c r="F186" i="8"/>
  <c r="B187" i="8"/>
  <c r="AA383" i="6"/>
  <c r="AC228" i="6"/>
  <c r="AF203" i="6"/>
  <c r="AE224" i="6"/>
  <c r="B185" i="6"/>
  <c r="F184" i="6"/>
  <c r="AS387" i="9" l="1"/>
  <c r="B193" i="9"/>
  <c r="F192" i="9"/>
  <c r="E187" i="8"/>
  <c r="D187" i="8"/>
  <c r="AA384" i="6"/>
  <c r="AF204" i="6"/>
  <c r="AE225" i="6"/>
  <c r="AC229" i="6"/>
  <c r="E185" i="6"/>
  <c r="D185" i="6"/>
  <c r="AS388" i="9" l="1"/>
  <c r="E193" i="9"/>
  <c r="D193" i="9"/>
  <c r="F187" i="8"/>
  <c r="B188" i="8"/>
  <c r="AA385" i="6"/>
  <c r="AA386" i="6" s="1"/>
  <c r="AE226" i="6"/>
  <c r="AC230" i="6"/>
  <c r="AF205" i="6"/>
  <c r="B186" i="6"/>
  <c r="F185" i="6"/>
  <c r="AS389" i="9" l="1"/>
  <c r="B194" i="9"/>
  <c r="F193" i="9"/>
  <c r="E188" i="8"/>
  <c r="D188" i="8"/>
  <c r="AA387" i="6"/>
  <c r="AC231" i="6"/>
  <c r="AF206" i="6"/>
  <c r="AE227" i="6"/>
  <c r="V186" i="6"/>
  <c r="BR186" i="6" s="1"/>
  <c r="E186" i="6"/>
  <c r="D186" i="6"/>
  <c r="BO169" i="6"/>
  <c r="AS390" i="9" l="1"/>
  <c r="E194" i="9"/>
  <c r="D194" i="9"/>
  <c r="CZ177" i="9"/>
  <c r="F188" i="8"/>
  <c r="B189" i="8"/>
  <c r="AA388" i="6"/>
  <c r="AF207" i="6"/>
  <c r="AE228" i="6"/>
  <c r="AC232" i="6"/>
  <c r="AJ186" i="6"/>
  <c r="BS184" i="6"/>
  <c r="BT184" i="6" s="1"/>
  <c r="V187" i="6"/>
  <c r="F186" i="6"/>
  <c r="B187" i="6"/>
  <c r="AS391" i="9" l="1"/>
  <c r="B195" i="9"/>
  <c r="F194" i="9"/>
  <c r="E189" i="8"/>
  <c r="D189" i="8"/>
  <c r="BS185" i="6"/>
  <c r="BT185" i="6" s="1"/>
  <c r="BR187" i="6"/>
  <c r="AA389" i="6"/>
  <c r="AJ187" i="6"/>
  <c r="BU169" i="6"/>
  <c r="AE229" i="6"/>
  <c r="AC233" i="6"/>
  <c r="AF208" i="6"/>
  <c r="V188" i="6"/>
  <c r="AK191" i="6"/>
  <c r="AK192" i="6" s="1"/>
  <c r="AK193" i="6" s="1"/>
  <c r="AK194" i="6" s="1"/>
  <c r="AK195" i="6" s="1"/>
  <c r="AK196" i="6" s="1"/>
  <c r="AK197" i="6" s="1"/>
  <c r="AK198" i="6" s="1"/>
  <c r="AK199" i="6" s="1"/>
  <c r="AK200" i="6" s="1"/>
  <c r="AK201" i="6" s="1"/>
  <c r="AK202" i="6" s="1"/>
  <c r="AK203" i="6" s="1"/>
  <c r="AK204" i="6" s="1"/>
  <c r="AK205" i="6" s="1"/>
  <c r="AK206" i="6" s="1"/>
  <c r="AK207" i="6" s="1"/>
  <c r="AK208" i="6" s="1"/>
  <c r="AK209" i="6" s="1"/>
  <c r="AK210" i="6" s="1"/>
  <c r="AK211" i="6" s="1"/>
  <c r="AK212" i="6" s="1"/>
  <c r="AK213" i="6" s="1"/>
  <c r="AK214" i="6" s="1"/>
  <c r="AK215" i="6" s="1"/>
  <c r="AK216" i="6" s="1"/>
  <c r="AK217" i="6" s="1"/>
  <c r="AK218" i="6" s="1"/>
  <c r="AK219" i="6" s="1"/>
  <c r="AK220" i="6" s="1"/>
  <c r="AK221" i="6" s="1"/>
  <c r="AK222" i="6" s="1"/>
  <c r="AK223" i="6" s="1"/>
  <c r="AK224" i="6" s="1"/>
  <c r="AK225" i="6" s="1"/>
  <c r="AK226" i="6" s="1"/>
  <c r="AK227" i="6" s="1"/>
  <c r="AK228" i="6" s="1"/>
  <c r="AK229" i="6" s="1"/>
  <c r="AK230" i="6" s="1"/>
  <c r="AK231" i="6" s="1"/>
  <c r="AK232" i="6" s="1"/>
  <c r="AK233" i="6" s="1"/>
  <c r="AK234" i="6" s="1"/>
  <c r="AK235" i="6" s="1"/>
  <c r="AK236" i="6" s="1"/>
  <c r="AK237" i="6" s="1"/>
  <c r="AK238" i="6" s="1"/>
  <c r="AK239" i="6" s="1"/>
  <c r="AK240" i="6" s="1"/>
  <c r="AK241" i="6" s="1"/>
  <c r="AK242" i="6" s="1"/>
  <c r="AK243" i="6" s="1"/>
  <c r="AK244" i="6" s="1"/>
  <c r="AK245" i="6" s="1"/>
  <c r="AK246" i="6" s="1"/>
  <c r="AK247" i="6" s="1"/>
  <c r="AK248" i="6" s="1"/>
  <c r="AK249" i="6" s="1"/>
  <c r="AK250" i="6" s="1"/>
  <c r="AK251" i="6" s="1"/>
  <c r="AK252" i="6" s="1"/>
  <c r="AK253" i="6" s="1"/>
  <c r="AK254" i="6" s="1"/>
  <c r="AK255" i="6" s="1"/>
  <c r="AK256" i="6" s="1"/>
  <c r="AK257" i="6" s="1"/>
  <c r="AK258" i="6" s="1"/>
  <c r="AK259" i="6" s="1"/>
  <c r="AK260" i="6" s="1"/>
  <c r="AK261" i="6" s="1"/>
  <c r="AK262" i="6" s="1"/>
  <c r="AK263" i="6" s="1"/>
  <c r="AK264" i="6" s="1"/>
  <c r="AK265" i="6" s="1"/>
  <c r="AK266" i="6" s="1"/>
  <c r="AK267" i="6" s="1"/>
  <c r="AK268" i="6" s="1"/>
  <c r="AK269" i="6" s="1"/>
  <c r="AK270" i="6" s="1"/>
  <c r="AK271" i="6" s="1"/>
  <c r="AK272" i="6" s="1"/>
  <c r="AK273" i="6" s="1"/>
  <c r="AK274" i="6" s="1"/>
  <c r="AK275" i="6" s="1"/>
  <c r="E187" i="6"/>
  <c r="D187" i="6"/>
  <c r="AS392" i="9" l="1"/>
  <c r="D195" i="9"/>
  <c r="E195" i="9"/>
  <c r="F189" i="8"/>
  <c r="B190" i="8"/>
  <c r="BS186" i="6"/>
  <c r="BT186" i="6" s="1"/>
  <c r="BR188" i="6"/>
  <c r="AA390" i="6"/>
  <c r="AA391" i="6" s="1"/>
  <c r="AF209" i="6"/>
  <c r="AE230" i="6"/>
  <c r="AJ188" i="6"/>
  <c r="BU170" i="6"/>
  <c r="V189" i="6"/>
  <c r="AL196" i="6"/>
  <c r="AL197" i="6" s="1"/>
  <c r="AL198" i="6" s="1"/>
  <c r="AL199" i="6" s="1"/>
  <c r="AL200" i="6" s="1"/>
  <c r="AL201" i="6" s="1"/>
  <c r="AL202" i="6" s="1"/>
  <c r="AL203" i="6" s="1"/>
  <c r="AL204" i="6" s="1"/>
  <c r="AL205" i="6" s="1"/>
  <c r="AL206" i="6" s="1"/>
  <c r="AL207" i="6" s="1"/>
  <c r="AL208" i="6" s="1"/>
  <c r="AL209" i="6" s="1"/>
  <c r="AL210" i="6" s="1"/>
  <c r="AL211" i="6" s="1"/>
  <c r="AL212" i="6" s="1"/>
  <c r="AL213" i="6" s="1"/>
  <c r="AL214" i="6" s="1"/>
  <c r="AL215" i="6" s="1"/>
  <c r="AL216" i="6" s="1"/>
  <c r="AL217" i="6" s="1"/>
  <c r="AL218" i="6" s="1"/>
  <c r="AL219" i="6" s="1"/>
  <c r="AL220" i="6" s="1"/>
  <c r="AL221" i="6" s="1"/>
  <c r="AL222" i="6" s="1"/>
  <c r="AL223" i="6" s="1"/>
  <c r="AL224" i="6" s="1"/>
  <c r="AL225" i="6" s="1"/>
  <c r="AL226" i="6" s="1"/>
  <c r="AL227" i="6" s="1"/>
  <c r="AL228" i="6" s="1"/>
  <c r="AL229" i="6" s="1"/>
  <c r="AL230" i="6" s="1"/>
  <c r="AL231" i="6" s="1"/>
  <c r="AL232" i="6" s="1"/>
  <c r="AL233" i="6" s="1"/>
  <c r="AL234" i="6" s="1"/>
  <c r="AL235" i="6" s="1"/>
  <c r="AL236" i="6" s="1"/>
  <c r="AL237" i="6" s="1"/>
  <c r="AL238" i="6" s="1"/>
  <c r="AL239" i="6" s="1"/>
  <c r="AL240" i="6" s="1"/>
  <c r="AL241" i="6" s="1"/>
  <c r="AL242" i="6" s="1"/>
  <c r="AL243" i="6" s="1"/>
  <c r="AL244" i="6" s="1"/>
  <c r="AL245" i="6" s="1"/>
  <c r="AL246" i="6" s="1"/>
  <c r="AL247" i="6" s="1"/>
  <c r="AL248" i="6" s="1"/>
  <c r="AL249" i="6" s="1"/>
  <c r="AL250" i="6" s="1"/>
  <c r="AL251" i="6" s="1"/>
  <c r="AL252" i="6" s="1"/>
  <c r="AL253" i="6" s="1"/>
  <c r="AL254" i="6" s="1"/>
  <c r="AL255" i="6" s="1"/>
  <c r="AL256" i="6" s="1"/>
  <c r="AL257" i="6" s="1"/>
  <c r="AL258" i="6" s="1"/>
  <c r="AL259" i="6" s="1"/>
  <c r="AL260" i="6" s="1"/>
  <c r="AL261" i="6" s="1"/>
  <c r="AL262" i="6" s="1"/>
  <c r="AL263" i="6" s="1"/>
  <c r="AL264" i="6" s="1"/>
  <c r="AL265" i="6" s="1"/>
  <c r="AL266" i="6" s="1"/>
  <c r="AL267" i="6" s="1"/>
  <c r="AL268" i="6" s="1"/>
  <c r="AL269" i="6" s="1"/>
  <c r="AL270" i="6" s="1"/>
  <c r="AL271" i="6" s="1"/>
  <c r="AL272" i="6" s="1"/>
  <c r="AL273" i="6" s="1"/>
  <c r="AL274" i="6" s="1"/>
  <c r="AL275" i="6" s="1"/>
  <c r="AL276" i="6" s="1"/>
  <c r="AL277" i="6" s="1"/>
  <c r="AL278" i="6" s="1"/>
  <c r="AL279" i="6" s="1"/>
  <c r="AL280" i="6" s="1"/>
  <c r="F187" i="6"/>
  <c r="B188" i="6"/>
  <c r="AS393" i="9" l="1"/>
  <c r="B196" i="9"/>
  <c r="F195" i="9"/>
  <c r="E190" i="8"/>
  <c r="Y190" i="8"/>
  <c r="D190" i="8"/>
  <c r="BS190" i="8"/>
  <c r="BT190" i="8" s="1"/>
  <c r="BS187" i="6"/>
  <c r="BT187" i="6" s="1"/>
  <c r="BR189" i="6"/>
  <c r="AA392" i="6"/>
  <c r="AE231" i="6"/>
  <c r="AJ189" i="6"/>
  <c r="BU171" i="6"/>
  <c r="AF210" i="6"/>
  <c r="V190" i="6"/>
  <c r="E188" i="6"/>
  <c r="D188" i="6"/>
  <c r="AS394" i="9" l="1"/>
  <c r="D196" i="9"/>
  <c r="E196" i="9"/>
  <c r="F190" i="8"/>
  <c r="B191" i="8"/>
  <c r="BS188" i="8"/>
  <c r="BT188" i="8" s="1"/>
  <c r="BR190" i="8"/>
  <c r="BS189" i="8"/>
  <c r="BT189" i="8" s="1"/>
  <c r="BR191" i="8"/>
  <c r="AA393" i="6"/>
  <c r="AJ190" i="6"/>
  <c r="BU172" i="6"/>
  <c r="AF211" i="6"/>
  <c r="AE232" i="6"/>
  <c r="V191" i="6"/>
  <c r="F188" i="6"/>
  <c r="B189" i="6"/>
  <c r="B197" i="9" l="1"/>
  <c r="F196" i="9"/>
  <c r="E191" i="8"/>
  <c r="D191" i="8"/>
  <c r="BO174" i="8"/>
  <c r="AA394" i="6"/>
  <c r="AF212" i="6"/>
  <c r="AE233" i="6"/>
  <c r="AJ191" i="6"/>
  <c r="BU173" i="6"/>
  <c r="V192" i="6"/>
  <c r="E189" i="6"/>
  <c r="D189" i="6"/>
  <c r="D197" i="9" l="1"/>
  <c r="E197" i="9"/>
  <c r="F191" i="8"/>
  <c r="B192" i="8"/>
  <c r="AA395" i="6"/>
  <c r="AA396" i="6" s="1"/>
  <c r="AE234" i="6"/>
  <c r="AE235" i="6" s="1"/>
  <c r="AE236" i="6" s="1"/>
  <c r="AE237" i="6" s="1"/>
  <c r="AE238" i="6" s="1"/>
  <c r="AE239" i="6" s="1"/>
  <c r="AJ192" i="6"/>
  <c r="BU174" i="6"/>
  <c r="AF213" i="6"/>
  <c r="V193" i="6"/>
  <c r="F189" i="6"/>
  <c r="B190" i="6"/>
  <c r="Y190" i="6" s="1"/>
  <c r="BR190" i="6" s="1"/>
  <c r="B198" i="9" l="1"/>
  <c r="F197" i="9"/>
  <c r="E192" i="8"/>
  <c r="D192" i="8"/>
  <c r="AA397" i="6"/>
  <c r="AJ193" i="6"/>
  <c r="BU175" i="6"/>
  <c r="AF214" i="6"/>
  <c r="BS188" i="6"/>
  <c r="BT188" i="6" s="1"/>
  <c r="V194" i="6"/>
  <c r="E190" i="6"/>
  <c r="D190" i="6"/>
  <c r="D198" i="9" l="1"/>
  <c r="E198" i="9"/>
  <c r="B193" i="8"/>
  <c r="F192" i="8"/>
  <c r="AA398" i="6"/>
  <c r="AF215" i="6"/>
  <c r="AJ194" i="6"/>
  <c r="BU176" i="6"/>
  <c r="V195" i="6"/>
  <c r="F190" i="6"/>
  <c r="B191" i="6"/>
  <c r="B199" i="9" l="1"/>
  <c r="F198" i="9"/>
  <c r="E193" i="8"/>
  <c r="D193" i="8"/>
  <c r="AA399" i="6"/>
  <c r="AJ195" i="6"/>
  <c r="BU177" i="6"/>
  <c r="AF216" i="6"/>
  <c r="V196" i="6"/>
  <c r="E191" i="6"/>
  <c r="Y191" i="6"/>
  <c r="BR191" i="6" s="1"/>
  <c r="D191" i="6"/>
  <c r="BO174" i="6"/>
  <c r="D199" i="9" l="1"/>
  <c r="CZ182" i="9"/>
  <c r="E199" i="9"/>
  <c r="B194" i="8"/>
  <c r="F193" i="8"/>
  <c r="AA400" i="6"/>
  <c r="AF217" i="6"/>
  <c r="AJ196" i="6"/>
  <c r="BU178" i="6"/>
  <c r="V197" i="6"/>
  <c r="Y192" i="6"/>
  <c r="BR192" i="6" s="1"/>
  <c r="BS189" i="6"/>
  <c r="BT189" i="6" s="1"/>
  <c r="F191" i="6"/>
  <c r="B192" i="6"/>
  <c r="B200" i="9" l="1"/>
  <c r="F199" i="9"/>
  <c r="E194" i="8"/>
  <c r="D194" i="8"/>
  <c r="AA401" i="6"/>
  <c r="AJ197" i="6"/>
  <c r="BU179" i="6"/>
  <c r="AF218" i="6"/>
  <c r="Y193" i="6"/>
  <c r="BR193" i="6" s="1"/>
  <c r="V198" i="6"/>
  <c r="BS190" i="6"/>
  <c r="BT190" i="6" s="1"/>
  <c r="E192" i="6"/>
  <c r="D192" i="6"/>
  <c r="E200" i="9" l="1"/>
  <c r="D200" i="9"/>
  <c r="B195" i="8"/>
  <c r="F194" i="8"/>
  <c r="BS191" i="6"/>
  <c r="BT191" i="6" s="1"/>
  <c r="AA402" i="6"/>
  <c r="AF219" i="6"/>
  <c r="AJ198" i="6"/>
  <c r="BU180" i="6"/>
  <c r="V199" i="6"/>
  <c r="Y194" i="6"/>
  <c r="BS192" i="6" s="1"/>
  <c r="BT192" i="6" s="1"/>
  <c r="B193" i="6"/>
  <c r="F192" i="6"/>
  <c r="B201" i="9" l="1"/>
  <c r="F200" i="9"/>
  <c r="E195" i="8"/>
  <c r="D195" i="8"/>
  <c r="X195" i="8"/>
  <c r="BS195" i="8"/>
  <c r="BT195" i="8" s="1"/>
  <c r="Y195" i="6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BR194" i="6"/>
  <c r="AA403" i="6"/>
  <c r="AJ199" i="6"/>
  <c r="BU181" i="6"/>
  <c r="AF220" i="6"/>
  <c r="V200" i="6"/>
  <c r="E193" i="6"/>
  <c r="D193" i="6"/>
  <c r="E201" i="9" l="1"/>
  <c r="D201" i="9"/>
  <c r="BS193" i="8"/>
  <c r="BT193" i="8" s="1"/>
  <c r="BR195" i="8"/>
  <c r="BS194" i="8"/>
  <c r="BT194" i="8" s="1"/>
  <c r="BR196" i="8"/>
  <c r="B196" i="8"/>
  <c r="F195" i="8"/>
  <c r="AN207" i="6"/>
  <c r="AA404" i="6"/>
  <c r="AJ200" i="6"/>
  <c r="BU182" i="6"/>
  <c r="AF221" i="6"/>
  <c r="V201" i="6"/>
  <c r="AM200" i="6"/>
  <c r="AM201" i="6" s="1"/>
  <c r="AM202" i="6" s="1"/>
  <c r="AM203" i="6" s="1"/>
  <c r="AM204" i="6" s="1"/>
  <c r="AM205" i="6" s="1"/>
  <c r="AM206" i="6" s="1"/>
  <c r="AM207" i="6" s="1"/>
  <c r="AM208" i="6" s="1"/>
  <c r="AM209" i="6" s="1"/>
  <c r="AM210" i="6" s="1"/>
  <c r="AM211" i="6" s="1"/>
  <c r="AM212" i="6" s="1"/>
  <c r="AM213" i="6" s="1"/>
  <c r="AM214" i="6" s="1"/>
  <c r="AM215" i="6" s="1"/>
  <c r="AM216" i="6" s="1"/>
  <c r="AM217" i="6" s="1"/>
  <c r="AM218" i="6" s="1"/>
  <c r="AM219" i="6" s="1"/>
  <c r="AM220" i="6" s="1"/>
  <c r="AM221" i="6" s="1"/>
  <c r="AM222" i="6" s="1"/>
  <c r="AM223" i="6" s="1"/>
  <c r="AM224" i="6" s="1"/>
  <c r="AM225" i="6" s="1"/>
  <c r="AM226" i="6" s="1"/>
  <c r="AM227" i="6" s="1"/>
  <c r="AM228" i="6" s="1"/>
  <c r="AM229" i="6" s="1"/>
  <c r="AM230" i="6" s="1"/>
  <c r="AM231" i="6" s="1"/>
  <c r="AM232" i="6" s="1"/>
  <c r="AM233" i="6" s="1"/>
  <c r="AM234" i="6" s="1"/>
  <c r="AM235" i="6" s="1"/>
  <c r="AM236" i="6" s="1"/>
  <c r="AM237" i="6" s="1"/>
  <c r="AM238" i="6" s="1"/>
  <c r="AM239" i="6" s="1"/>
  <c r="AM240" i="6" s="1"/>
  <c r="AM241" i="6" s="1"/>
  <c r="AM242" i="6" s="1"/>
  <c r="AM243" i="6" s="1"/>
  <c r="AM244" i="6" s="1"/>
  <c r="AM245" i="6" s="1"/>
  <c r="AM246" i="6" s="1"/>
  <c r="AM247" i="6" s="1"/>
  <c r="AM248" i="6" s="1"/>
  <c r="AM249" i="6" s="1"/>
  <c r="AM250" i="6" s="1"/>
  <c r="AM251" i="6" s="1"/>
  <c r="AM252" i="6" s="1"/>
  <c r="AM253" i="6" s="1"/>
  <c r="AM254" i="6" s="1"/>
  <c r="AM255" i="6" s="1"/>
  <c r="AM256" i="6" s="1"/>
  <c r="AM257" i="6" s="1"/>
  <c r="AM258" i="6" s="1"/>
  <c r="AM259" i="6" s="1"/>
  <c r="AM260" i="6" s="1"/>
  <c r="AM261" i="6" s="1"/>
  <c r="AM262" i="6" s="1"/>
  <c r="AM263" i="6" s="1"/>
  <c r="AM264" i="6" s="1"/>
  <c r="AM265" i="6" s="1"/>
  <c r="AM266" i="6" s="1"/>
  <c r="AM267" i="6" s="1"/>
  <c r="AM268" i="6" s="1"/>
  <c r="AM269" i="6" s="1"/>
  <c r="AM270" i="6" s="1"/>
  <c r="AM271" i="6" s="1"/>
  <c r="AM272" i="6" s="1"/>
  <c r="AM273" i="6" s="1"/>
  <c r="AM274" i="6" s="1"/>
  <c r="AM275" i="6" s="1"/>
  <c r="AM276" i="6" s="1"/>
  <c r="AM277" i="6" s="1"/>
  <c r="AM278" i="6" s="1"/>
  <c r="AM279" i="6" s="1"/>
  <c r="AM280" i="6" s="1"/>
  <c r="AM281" i="6" s="1"/>
  <c r="AM282" i="6" s="1"/>
  <c r="AM283" i="6" s="1"/>
  <c r="AM284" i="6" s="1"/>
  <c r="AM285" i="6" s="1"/>
  <c r="B194" i="6"/>
  <c r="F193" i="6"/>
  <c r="B202" i="9" l="1"/>
  <c r="F201" i="9"/>
  <c r="E196" i="8"/>
  <c r="D196" i="8"/>
  <c r="BO179" i="8"/>
  <c r="AA405" i="6"/>
  <c r="AF222" i="6"/>
  <c r="AJ201" i="6"/>
  <c r="BU183" i="6"/>
  <c r="V202" i="6"/>
  <c r="E194" i="6"/>
  <c r="D194" i="6"/>
  <c r="E202" i="9" l="1"/>
  <c r="D202" i="9"/>
  <c r="B197" i="8"/>
  <c r="F196" i="8"/>
  <c r="AA406" i="6"/>
  <c r="AJ202" i="6"/>
  <c r="BU184" i="6"/>
  <c r="AF223" i="6"/>
  <c r="V203" i="6"/>
  <c r="B195" i="6"/>
  <c r="X195" i="6" s="1"/>
  <c r="BR195" i="6" s="1"/>
  <c r="F194" i="6"/>
  <c r="B203" i="9" l="1"/>
  <c r="F202" i="9"/>
  <c r="D197" i="8"/>
  <c r="E197" i="8"/>
  <c r="AA407" i="6"/>
  <c r="AF224" i="6"/>
  <c r="AJ203" i="6"/>
  <c r="BU185" i="6"/>
  <c r="BS193" i="6"/>
  <c r="BT193" i="6" s="1"/>
  <c r="V204" i="6"/>
  <c r="E195" i="6"/>
  <c r="D195" i="6"/>
  <c r="E203" i="9" l="1"/>
  <c r="D203" i="9"/>
  <c r="B198" i="8"/>
  <c r="F197" i="8"/>
  <c r="AA408" i="6"/>
  <c r="AJ204" i="6"/>
  <c r="BU186" i="6"/>
  <c r="AF225" i="6"/>
  <c r="B196" i="6"/>
  <c r="F195" i="6"/>
  <c r="B204" i="9" l="1"/>
  <c r="F203" i="9"/>
  <c r="D198" i="8"/>
  <c r="E198" i="8"/>
  <c r="AA409" i="6"/>
  <c r="AF226" i="6"/>
  <c r="AJ205" i="6"/>
  <c r="BU187" i="6"/>
  <c r="E196" i="6"/>
  <c r="D196" i="6"/>
  <c r="X196" i="6"/>
  <c r="BR196" i="6" s="1"/>
  <c r="BO179" i="6"/>
  <c r="E204" i="9" l="1"/>
  <c r="D204" i="9"/>
  <c r="CZ189" i="9"/>
  <c r="B199" i="8"/>
  <c r="F198" i="8"/>
  <c r="AA410" i="6"/>
  <c r="AJ206" i="6"/>
  <c r="BU188" i="6"/>
  <c r="AF227" i="6"/>
  <c r="X197" i="6"/>
  <c r="BR197" i="6" s="1"/>
  <c r="BS194" i="6"/>
  <c r="BT194" i="6" s="1"/>
  <c r="B197" i="6"/>
  <c r="F196" i="6"/>
  <c r="F204" i="9" l="1"/>
  <c r="B205" i="9"/>
  <c r="D199" i="8"/>
  <c r="E199" i="8"/>
  <c r="BS195" i="6"/>
  <c r="BT195" i="6" s="1"/>
  <c r="AA411" i="6"/>
  <c r="AF228" i="6"/>
  <c r="AJ207" i="6"/>
  <c r="BU189" i="6"/>
  <c r="X198" i="6"/>
  <c r="BR198" i="6" s="1"/>
  <c r="D197" i="6"/>
  <c r="E197" i="6"/>
  <c r="E205" i="9" l="1"/>
  <c r="D205" i="9"/>
  <c r="B200" i="8"/>
  <c r="F199" i="8"/>
  <c r="BS196" i="6"/>
  <c r="BT196" i="6" s="1"/>
  <c r="AA412" i="6"/>
  <c r="AJ208" i="6"/>
  <c r="BU190" i="6"/>
  <c r="AF229" i="6"/>
  <c r="X199" i="6"/>
  <c r="B198" i="6"/>
  <c r="F197" i="6"/>
  <c r="F205" i="9" l="1"/>
  <c r="B206" i="9"/>
  <c r="D200" i="8"/>
  <c r="W200" i="8"/>
  <c r="E200" i="8"/>
  <c r="BS200" i="8"/>
  <c r="BT200" i="8" s="1"/>
  <c r="X200" i="6"/>
  <c r="X201" i="6" s="1"/>
  <c r="X202" i="6" s="1"/>
  <c r="X203" i="6" s="1"/>
  <c r="X204" i="6" s="1"/>
  <c r="X205" i="6" s="1"/>
  <c r="X206" i="6" s="1"/>
  <c r="X207" i="6" s="1"/>
  <c r="X208" i="6" s="1"/>
  <c r="X209" i="6" s="1"/>
  <c r="X210" i="6" s="1"/>
  <c r="X211" i="6" s="1"/>
  <c r="X212" i="6" s="1"/>
  <c r="AO212" i="6" s="1"/>
  <c r="BR199" i="6"/>
  <c r="AA413" i="6"/>
  <c r="AF230" i="6"/>
  <c r="BS197" i="6"/>
  <c r="BT197" i="6" s="1"/>
  <c r="AJ209" i="6"/>
  <c r="D198" i="6"/>
  <c r="E198" i="6"/>
  <c r="E206" i="9" l="1"/>
  <c r="D206" i="9"/>
  <c r="BR200" i="8"/>
  <c r="BS199" i="8"/>
  <c r="BT199" i="8" s="1"/>
  <c r="BS198" i="8"/>
  <c r="BT198" i="8" s="1"/>
  <c r="BR201" i="8"/>
  <c r="B201" i="8"/>
  <c r="F200" i="8"/>
  <c r="X213" i="6"/>
  <c r="X214" i="6" s="1"/>
  <c r="X215" i="6" s="1"/>
  <c r="X216" i="6" s="1"/>
  <c r="AA414" i="6"/>
  <c r="AJ210" i="6"/>
  <c r="AF231" i="6"/>
  <c r="B199" i="6"/>
  <c r="F198" i="6"/>
  <c r="B207" i="9" l="1"/>
  <c r="F206" i="9"/>
  <c r="D201" i="8"/>
  <c r="BO186" i="8"/>
  <c r="E201" i="8"/>
  <c r="AA415" i="6"/>
  <c r="AF232" i="6"/>
  <c r="AJ211" i="6"/>
  <c r="D199" i="6"/>
  <c r="E199" i="6"/>
  <c r="E207" i="9" l="1"/>
  <c r="D207" i="9"/>
  <c r="B202" i="8"/>
  <c r="F201" i="8"/>
  <c r="AA416" i="6"/>
  <c r="AJ212" i="6"/>
  <c r="AF233" i="6"/>
  <c r="B200" i="6"/>
  <c r="W200" i="6" s="1"/>
  <c r="BR200" i="6" s="1"/>
  <c r="F199" i="6"/>
  <c r="B208" i="9" l="1"/>
  <c r="F207" i="9"/>
  <c r="E202" i="8"/>
  <c r="D202" i="8"/>
  <c r="AA417" i="6"/>
  <c r="AF234" i="6"/>
  <c r="AF235" i="6" s="1"/>
  <c r="AF236" i="6" s="1"/>
  <c r="AF237" i="6" s="1"/>
  <c r="AF238" i="6" s="1"/>
  <c r="AF239" i="6" s="1"/>
  <c r="AF240" i="6" s="1"/>
  <c r="AF241" i="6" s="1"/>
  <c r="AF242" i="6" s="1"/>
  <c r="AF243" i="6" s="1"/>
  <c r="AF244" i="6" s="1"/>
  <c r="AF245" i="6" s="1"/>
  <c r="AF246" i="6" s="1"/>
  <c r="AF247" i="6" s="1"/>
  <c r="AF248" i="6" s="1"/>
  <c r="AF249" i="6" s="1"/>
  <c r="AJ213" i="6"/>
  <c r="BS198" i="6"/>
  <c r="BT198" i="6" s="1"/>
  <c r="D200" i="6"/>
  <c r="E200" i="6"/>
  <c r="E208" i="9" l="1"/>
  <c r="D208" i="9"/>
  <c r="B203" i="8"/>
  <c r="F202" i="8"/>
  <c r="AA418" i="6"/>
  <c r="AJ214" i="6"/>
  <c r="B201" i="6"/>
  <c r="F200" i="6"/>
  <c r="B209" i="9" l="1"/>
  <c r="F208" i="9"/>
  <c r="E203" i="8"/>
  <c r="D203" i="8"/>
  <c r="AA419" i="6"/>
  <c r="AJ215" i="6"/>
  <c r="D201" i="6"/>
  <c r="BO186" i="6"/>
  <c r="W201" i="6"/>
  <c r="BR201" i="6" s="1"/>
  <c r="E201" i="6"/>
  <c r="E209" i="9" l="1"/>
  <c r="D209" i="9"/>
  <c r="B204" i="8"/>
  <c r="F203" i="8"/>
  <c r="AA420" i="6"/>
  <c r="AJ216" i="6"/>
  <c r="W202" i="6"/>
  <c r="BS199" i="6"/>
  <c r="BT199" i="6" s="1"/>
  <c r="B202" i="6"/>
  <c r="F201" i="6"/>
  <c r="B210" i="9" l="1"/>
  <c r="F209" i="9"/>
  <c r="E204" i="8"/>
  <c r="D204" i="8"/>
  <c r="BS200" i="6"/>
  <c r="BT200" i="6" s="1"/>
  <c r="BR202" i="6"/>
  <c r="AA421" i="6"/>
  <c r="AJ217" i="6"/>
  <c r="W203" i="6"/>
  <c r="E202" i="6"/>
  <c r="D202" i="6"/>
  <c r="D210" i="9" l="1"/>
  <c r="E210" i="9"/>
  <c r="B205" i="8"/>
  <c r="F204" i="8"/>
  <c r="BS201" i="6"/>
  <c r="BT201" i="6" s="1"/>
  <c r="BR203" i="6"/>
  <c r="AJ218" i="6"/>
  <c r="W204" i="6"/>
  <c r="B203" i="6"/>
  <c r="F202" i="6"/>
  <c r="F210" i="9" l="1"/>
  <c r="B211" i="9"/>
  <c r="V205" i="8"/>
  <c r="E205" i="8"/>
  <c r="D205" i="8"/>
  <c r="BS205" i="8"/>
  <c r="BT205" i="8" s="1"/>
  <c r="W205" i="6"/>
  <c r="W206" i="6" s="1"/>
  <c r="W207" i="6" s="1"/>
  <c r="BR204" i="6"/>
  <c r="BS202" i="6"/>
  <c r="BT202" i="6" s="1"/>
  <c r="AJ219" i="6"/>
  <c r="E203" i="6"/>
  <c r="D203" i="6"/>
  <c r="D211" i="9" l="1"/>
  <c r="E211" i="9"/>
  <c r="CZ194" i="9"/>
  <c r="B206" i="8"/>
  <c r="F205" i="8"/>
  <c r="BR205" i="8"/>
  <c r="BR206" i="8"/>
  <c r="BS204" i="8"/>
  <c r="BT204" i="8" s="1"/>
  <c r="BS203" i="8"/>
  <c r="BT203" i="8" s="1"/>
  <c r="W208" i="6"/>
  <c r="W209" i="6" s="1"/>
  <c r="W210" i="6" s="1"/>
  <c r="W211" i="6" s="1"/>
  <c r="W212" i="6" s="1"/>
  <c r="W213" i="6" s="1"/>
  <c r="W214" i="6" s="1"/>
  <c r="W215" i="6" s="1"/>
  <c r="W216" i="6" s="1"/>
  <c r="W217" i="6" s="1"/>
  <c r="AP217" i="6" s="1"/>
  <c r="BR207" i="6"/>
  <c r="AJ220" i="6"/>
  <c r="B204" i="6"/>
  <c r="F203" i="6"/>
  <c r="F211" i="9" l="1"/>
  <c r="B212" i="9"/>
  <c r="E206" i="8"/>
  <c r="D206" i="8"/>
  <c r="W218" i="6"/>
  <c r="W219" i="6" s="1"/>
  <c r="W220" i="6" s="1"/>
  <c r="W221" i="6" s="1"/>
  <c r="AJ221" i="6"/>
  <c r="E204" i="6"/>
  <c r="D204" i="6"/>
  <c r="D212" i="9" l="1"/>
  <c r="E212" i="9"/>
  <c r="F206" i="8"/>
  <c r="B207" i="8"/>
  <c r="AJ222" i="6"/>
  <c r="B205" i="6"/>
  <c r="F204" i="6"/>
  <c r="F212" i="9" l="1"/>
  <c r="B213" i="9"/>
  <c r="E207" i="8"/>
  <c r="D207" i="8"/>
  <c r="AJ223" i="6"/>
  <c r="V205" i="6"/>
  <c r="BS205" i="6"/>
  <c r="BT205" i="6" s="1"/>
  <c r="E205" i="6"/>
  <c r="D205" i="6"/>
  <c r="D213" i="9" l="1"/>
  <c r="E213" i="9"/>
  <c r="F207" i="8"/>
  <c r="B208" i="8"/>
  <c r="BR205" i="6"/>
  <c r="BR206" i="6"/>
  <c r="AJ224" i="6"/>
  <c r="BS204" i="6"/>
  <c r="BT204" i="6" s="1"/>
  <c r="BS203" i="6"/>
  <c r="BT203" i="6" s="1"/>
  <c r="B206" i="6"/>
  <c r="F205" i="6"/>
  <c r="F213" i="9" l="1"/>
  <c r="B214" i="9"/>
  <c r="E208" i="8"/>
  <c r="D208" i="8"/>
  <c r="BO191" i="8"/>
  <c r="AJ225" i="6"/>
  <c r="V208" i="6"/>
  <c r="BR208" i="6" s="1"/>
  <c r="E206" i="6"/>
  <c r="D206" i="6"/>
  <c r="D214" i="9" l="1"/>
  <c r="E214" i="9"/>
  <c r="F208" i="8"/>
  <c r="B209" i="8"/>
  <c r="AJ226" i="6"/>
  <c r="BS206" i="6"/>
  <c r="BT206" i="6" s="1"/>
  <c r="V209" i="6"/>
  <c r="BR209" i="6" s="1"/>
  <c r="AN208" i="6"/>
  <c r="F206" i="6"/>
  <c r="B207" i="6"/>
  <c r="F214" i="9" l="1"/>
  <c r="B215" i="9"/>
  <c r="E209" i="8"/>
  <c r="D209" i="8"/>
  <c r="AN209" i="6"/>
  <c r="BU191" i="6"/>
  <c r="AJ227" i="6"/>
  <c r="V210" i="6"/>
  <c r="BS207" i="6"/>
  <c r="BT207" i="6" s="1"/>
  <c r="AO213" i="6"/>
  <c r="AO214" i="6" s="1"/>
  <c r="AO215" i="6" s="1"/>
  <c r="AO216" i="6" s="1"/>
  <c r="AO217" i="6" s="1"/>
  <c r="AO218" i="6" s="1"/>
  <c r="AO219" i="6" s="1"/>
  <c r="AO220" i="6" s="1"/>
  <c r="AO221" i="6" s="1"/>
  <c r="AO222" i="6" s="1"/>
  <c r="AO223" i="6" s="1"/>
  <c r="AO224" i="6" s="1"/>
  <c r="AO225" i="6" s="1"/>
  <c r="AO226" i="6" s="1"/>
  <c r="AO227" i="6" s="1"/>
  <c r="AO228" i="6" s="1"/>
  <c r="AO229" i="6" s="1"/>
  <c r="AO230" i="6" s="1"/>
  <c r="AO231" i="6" s="1"/>
  <c r="AO232" i="6" s="1"/>
  <c r="AO233" i="6" s="1"/>
  <c r="AO234" i="6" s="1"/>
  <c r="AO235" i="6" s="1"/>
  <c r="AO236" i="6" s="1"/>
  <c r="AO237" i="6" s="1"/>
  <c r="AO238" i="6" s="1"/>
  <c r="AO239" i="6" s="1"/>
  <c r="AO240" i="6" s="1"/>
  <c r="AO241" i="6" s="1"/>
  <c r="AO242" i="6" s="1"/>
  <c r="AO243" i="6" s="1"/>
  <c r="AO244" i="6" s="1"/>
  <c r="AO245" i="6" s="1"/>
  <c r="AO246" i="6" s="1"/>
  <c r="AO247" i="6" s="1"/>
  <c r="AO248" i="6" s="1"/>
  <c r="AO249" i="6" s="1"/>
  <c r="AO250" i="6" s="1"/>
  <c r="AO251" i="6" s="1"/>
  <c r="AO252" i="6" s="1"/>
  <c r="AO253" i="6" s="1"/>
  <c r="AO254" i="6" s="1"/>
  <c r="AO255" i="6" s="1"/>
  <c r="AO256" i="6" s="1"/>
  <c r="AO257" i="6" s="1"/>
  <c r="AO258" i="6" s="1"/>
  <c r="AO259" i="6" s="1"/>
  <c r="AO260" i="6" s="1"/>
  <c r="AO261" i="6" s="1"/>
  <c r="AO262" i="6" s="1"/>
  <c r="AO263" i="6" s="1"/>
  <c r="AO264" i="6" s="1"/>
  <c r="AO265" i="6" s="1"/>
  <c r="AO266" i="6" s="1"/>
  <c r="AO267" i="6" s="1"/>
  <c r="AO268" i="6" s="1"/>
  <c r="AO269" i="6" s="1"/>
  <c r="AO270" i="6" s="1"/>
  <c r="AO271" i="6" s="1"/>
  <c r="AO272" i="6" s="1"/>
  <c r="AO273" i="6" s="1"/>
  <c r="AO274" i="6" s="1"/>
  <c r="AO275" i="6" s="1"/>
  <c r="AO276" i="6" s="1"/>
  <c r="AO277" i="6" s="1"/>
  <c r="AO278" i="6" s="1"/>
  <c r="AO279" i="6" s="1"/>
  <c r="AO280" i="6" s="1"/>
  <c r="AO281" i="6" s="1"/>
  <c r="AO282" i="6" s="1"/>
  <c r="AO283" i="6" s="1"/>
  <c r="AO284" i="6" s="1"/>
  <c r="AO285" i="6" s="1"/>
  <c r="AO286" i="6" s="1"/>
  <c r="AO287" i="6" s="1"/>
  <c r="AO288" i="6" s="1"/>
  <c r="AO289" i="6" s="1"/>
  <c r="AO290" i="6" s="1"/>
  <c r="AO291" i="6" s="1"/>
  <c r="AO292" i="6" s="1"/>
  <c r="AO293" i="6" s="1"/>
  <c r="AO294" i="6" s="1"/>
  <c r="AO295" i="6" s="1"/>
  <c r="AO296" i="6" s="1"/>
  <c r="E207" i="6"/>
  <c r="D207" i="6"/>
  <c r="D215" i="9" l="1"/>
  <c r="E215" i="9"/>
  <c r="F209" i="8"/>
  <c r="B210" i="8"/>
  <c r="BS208" i="6"/>
  <c r="BT208" i="6" s="1"/>
  <c r="BR210" i="6"/>
  <c r="AJ228" i="6"/>
  <c r="AN210" i="6"/>
  <c r="BU192" i="6"/>
  <c r="V211" i="6"/>
  <c r="AP218" i="6"/>
  <c r="AP219" i="6" s="1"/>
  <c r="AP220" i="6" s="1"/>
  <c r="AP221" i="6" s="1"/>
  <c r="AP222" i="6" s="1"/>
  <c r="AP223" i="6" s="1"/>
  <c r="AP224" i="6" s="1"/>
  <c r="AP225" i="6" s="1"/>
  <c r="AP226" i="6" s="1"/>
  <c r="AP227" i="6" s="1"/>
  <c r="AP228" i="6" s="1"/>
  <c r="AP229" i="6" s="1"/>
  <c r="AP230" i="6" s="1"/>
  <c r="AP231" i="6" s="1"/>
  <c r="AP232" i="6" s="1"/>
  <c r="AP233" i="6" s="1"/>
  <c r="AP234" i="6" s="1"/>
  <c r="AP235" i="6" s="1"/>
  <c r="AP236" i="6" s="1"/>
  <c r="AP237" i="6" s="1"/>
  <c r="AP238" i="6" s="1"/>
  <c r="AP239" i="6" s="1"/>
  <c r="AP240" i="6" s="1"/>
  <c r="AP241" i="6" s="1"/>
  <c r="AP242" i="6" s="1"/>
  <c r="AP243" i="6" s="1"/>
  <c r="AP244" i="6" s="1"/>
  <c r="AP245" i="6" s="1"/>
  <c r="AP246" i="6" s="1"/>
  <c r="AP247" i="6" s="1"/>
  <c r="AP248" i="6" s="1"/>
  <c r="AP249" i="6" s="1"/>
  <c r="AP250" i="6" s="1"/>
  <c r="AP251" i="6" s="1"/>
  <c r="AP252" i="6" s="1"/>
  <c r="AP253" i="6" s="1"/>
  <c r="AP254" i="6" s="1"/>
  <c r="AP255" i="6" s="1"/>
  <c r="AP256" i="6" s="1"/>
  <c r="AP257" i="6" s="1"/>
  <c r="AP258" i="6" s="1"/>
  <c r="AP259" i="6" s="1"/>
  <c r="AP260" i="6" s="1"/>
  <c r="AP261" i="6" s="1"/>
  <c r="AP262" i="6" s="1"/>
  <c r="AP263" i="6" s="1"/>
  <c r="AP264" i="6" s="1"/>
  <c r="AP265" i="6" s="1"/>
  <c r="AP266" i="6" s="1"/>
  <c r="AP267" i="6" s="1"/>
  <c r="AP268" i="6" s="1"/>
  <c r="AP269" i="6" s="1"/>
  <c r="AP270" i="6" s="1"/>
  <c r="AP271" i="6" s="1"/>
  <c r="AP272" i="6" s="1"/>
  <c r="AP273" i="6" s="1"/>
  <c r="AP274" i="6" s="1"/>
  <c r="AP275" i="6" s="1"/>
  <c r="AP276" i="6" s="1"/>
  <c r="AP277" i="6" s="1"/>
  <c r="AP278" i="6" s="1"/>
  <c r="AP279" i="6" s="1"/>
  <c r="AP280" i="6" s="1"/>
  <c r="AP281" i="6" s="1"/>
  <c r="AP282" i="6" s="1"/>
  <c r="AP283" i="6" s="1"/>
  <c r="AP284" i="6" s="1"/>
  <c r="AP285" i="6" s="1"/>
  <c r="AP286" i="6" s="1"/>
  <c r="AP287" i="6" s="1"/>
  <c r="AP288" i="6" s="1"/>
  <c r="AP289" i="6" s="1"/>
  <c r="AP290" i="6" s="1"/>
  <c r="AP291" i="6" s="1"/>
  <c r="AP292" i="6" s="1"/>
  <c r="AP293" i="6" s="1"/>
  <c r="AP294" i="6" s="1"/>
  <c r="AP295" i="6" s="1"/>
  <c r="AP296" i="6" s="1"/>
  <c r="AP297" i="6" s="1"/>
  <c r="AP298" i="6" s="1"/>
  <c r="AP299" i="6" s="1"/>
  <c r="AP300" i="6" s="1"/>
  <c r="AP301" i="6" s="1"/>
  <c r="F207" i="6"/>
  <c r="B208" i="6"/>
  <c r="F215" i="9" l="1"/>
  <c r="B216" i="9"/>
  <c r="E210" i="8"/>
  <c r="D210" i="8"/>
  <c r="BS209" i="6"/>
  <c r="BT209" i="6" s="1"/>
  <c r="BR211" i="6"/>
  <c r="AN211" i="6"/>
  <c r="BU193" i="6"/>
  <c r="AJ229" i="6"/>
  <c r="V212" i="6"/>
  <c r="AQ221" i="6"/>
  <c r="E208" i="6"/>
  <c r="D208" i="6"/>
  <c r="BO191" i="6"/>
  <c r="D216" i="9" l="1"/>
  <c r="E216" i="9"/>
  <c r="CZ199" i="9"/>
  <c r="F210" i="8"/>
  <c r="B211" i="8"/>
  <c r="AJ230" i="6"/>
  <c r="AN212" i="6"/>
  <c r="BU194" i="6"/>
  <c r="V213" i="6"/>
  <c r="B209" i="6"/>
  <c r="F208" i="6"/>
  <c r="B217" i="9" l="1"/>
  <c r="F216" i="9"/>
  <c r="E211" i="8"/>
  <c r="D211" i="8"/>
  <c r="AN213" i="6"/>
  <c r="BU195" i="6"/>
  <c r="AJ231" i="6"/>
  <c r="V214" i="6"/>
  <c r="E209" i="6"/>
  <c r="D209" i="6"/>
  <c r="D217" i="9" l="1"/>
  <c r="E217" i="9"/>
  <c r="F211" i="8"/>
  <c r="B212" i="8"/>
  <c r="AN214" i="6"/>
  <c r="BU196" i="6"/>
  <c r="AJ232" i="6"/>
  <c r="V215" i="6"/>
  <c r="F209" i="6"/>
  <c r="B210" i="6"/>
  <c r="B218" i="9" l="1"/>
  <c r="F217" i="9"/>
  <c r="E212" i="8"/>
  <c r="Y212" i="8"/>
  <c r="D212" i="8"/>
  <c r="BS212" i="8"/>
  <c r="BT212" i="8" s="1"/>
  <c r="AJ233" i="6"/>
  <c r="AN215" i="6"/>
  <c r="BU197" i="6"/>
  <c r="V216" i="6"/>
  <c r="E210" i="6"/>
  <c r="D210" i="6"/>
  <c r="D218" i="9" l="1"/>
  <c r="E218" i="9"/>
  <c r="F212" i="8"/>
  <c r="B213" i="8"/>
  <c r="BS210" i="8"/>
  <c r="BT210" i="8" s="1"/>
  <c r="BR212" i="8"/>
  <c r="BS211" i="8"/>
  <c r="BT211" i="8" s="1"/>
  <c r="BR213" i="8"/>
  <c r="AN216" i="6"/>
  <c r="BU198" i="6"/>
  <c r="AJ234" i="6"/>
  <c r="AJ235" i="6" s="1"/>
  <c r="AJ236" i="6" s="1"/>
  <c r="AJ237" i="6" s="1"/>
  <c r="AJ238" i="6" s="1"/>
  <c r="AJ239" i="6" s="1"/>
  <c r="AJ240" i="6" s="1"/>
  <c r="AJ241" i="6" s="1"/>
  <c r="AJ242" i="6" s="1"/>
  <c r="AJ243" i="6" s="1"/>
  <c r="AJ244" i="6" s="1"/>
  <c r="AJ245" i="6" s="1"/>
  <c r="AJ246" i="6" s="1"/>
  <c r="AJ247" i="6" s="1"/>
  <c r="AJ248" i="6" s="1"/>
  <c r="AJ249" i="6" s="1"/>
  <c r="AJ250" i="6" s="1"/>
  <c r="AJ251" i="6" s="1"/>
  <c r="AJ252" i="6" s="1"/>
  <c r="AJ253" i="6" s="1"/>
  <c r="AJ254" i="6" s="1"/>
  <c r="AJ255" i="6" s="1"/>
  <c r="AJ256" i="6" s="1"/>
  <c r="AJ257" i="6" s="1"/>
  <c r="AJ258" i="6" s="1"/>
  <c r="AJ259" i="6" s="1"/>
  <c r="AJ260" i="6" s="1"/>
  <c r="AJ261" i="6" s="1"/>
  <c r="AJ262" i="6" s="1"/>
  <c r="AJ263" i="6" s="1"/>
  <c r="AJ264" i="6" s="1"/>
  <c r="AJ265" i="6" s="1"/>
  <c r="AJ266" i="6" s="1"/>
  <c r="AJ267" i="6" s="1"/>
  <c r="AJ268" i="6" s="1"/>
  <c r="AJ269" i="6" s="1"/>
  <c r="AJ270" i="6" s="1"/>
  <c r="V217" i="6"/>
  <c r="F210" i="6"/>
  <c r="B211" i="6"/>
  <c r="B219" i="9" l="1"/>
  <c r="F218" i="9"/>
  <c r="E213" i="8"/>
  <c r="D213" i="8"/>
  <c r="BO196" i="8"/>
  <c r="AN217" i="6"/>
  <c r="BU199" i="6"/>
  <c r="V218" i="6"/>
  <c r="E211" i="6"/>
  <c r="D211" i="6"/>
  <c r="D219" i="9" l="1"/>
  <c r="E219" i="9"/>
  <c r="F213" i="8"/>
  <c r="B214" i="8"/>
  <c r="AN218" i="6"/>
  <c r="BU200" i="6"/>
  <c r="V219" i="6"/>
  <c r="F211" i="6"/>
  <c r="B212" i="6"/>
  <c r="Y212" i="6" s="1"/>
  <c r="BR212" i="6" s="1"/>
  <c r="B220" i="9" l="1"/>
  <c r="F219" i="9"/>
  <c r="E214" i="8"/>
  <c r="D214" i="8"/>
  <c r="AN219" i="6"/>
  <c r="BU201" i="6"/>
  <c r="V220" i="6"/>
  <c r="BS210" i="6"/>
  <c r="BT210" i="6" s="1"/>
  <c r="E212" i="6"/>
  <c r="D212" i="6"/>
  <c r="D220" i="9" l="1"/>
  <c r="E220" i="9"/>
  <c r="B215" i="8"/>
  <c r="F214" i="8"/>
  <c r="AN220" i="6"/>
  <c r="BU202" i="6"/>
  <c r="V221" i="6"/>
  <c r="B213" i="6"/>
  <c r="F212" i="6"/>
  <c r="B221" i="9" l="1"/>
  <c r="F220" i="9"/>
  <c r="E215" i="8"/>
  <c r="D215" i="8"/>
  <c r="AN221" i="6"/>
  <c r="BU203" i="6"/>
  <c r="V222" i="6"/>
  <c r="E213" i="6"/>
  <c r="Y213" i="6"/>
  <c r="BR213" i="6" s="1"/>
  <c r="BO196" i="6"/>
  <c r="D213" i="6"/>
  <c r="D221" i="9" l="1"/>
  <c r="CZ204" i="9"/>
  <c r="E221" i="9"/>
  <c r="B216" i="8"/>
  <c r="F215" i="8"/>
  <c r="AN222" i="6"/>
  <c r="BU204" i="6"/>
  <c r="V223" i="6"/>
  <c r="AQ222" i="6"/>
  <c r="AQ223" i="6" s="1"/>
  <c r="AQ224" i="6" s="1"/>
  <c r="AQ225" i="6" s="1"/>
  <c r="AQ226" i="6" s="1"/>
  <c r="AQ227" i="6" s="1"/>
  <c r="AQ228" i="6" s="1"/>
  <c r="AQ229" i="6" s="1"/>
  <c r="AQ230" i="6" s="1"/>
  <c r="AQ231" i="6" s="1"/>
  <c r="AQ232" i="6" s="1"/>
  <c r="AQ233" i="6" s="1"/>
  <c r="AQ234" i="6" s="1"/>
  <c r="AQ235" i="6" s="1"/>
  <c r="AQ236" i="6" s="1"/>
  <c r="AQ237" i="6" s="1"/>
  <c r="AQ238" i="6" s="1"/>
  <c r="AQ239" i="6" s="1"/>
  <c r="AQ240" i="6" s="1"/>
  <c r="AQ241" i="6" s="1"/>
  <c r="AQ242" i="6" s="1"/>
  <c r="AQ243" i="6" s="1"/>
  <c r="AQ244" i="6" s="1"/>
  <c r="AQ245" i="6" s="1"/>
  <c r="AQ246" i="6" s="1"/>
  <c r="AQ247" i="6" s="1"/>
  <c r="AQ248" i="6" s="1"/>
  <c r="AQ249" i="6" s="1"/>
  <c r="AQ250" i="6" s="1"/>
  <c r="AQ251" i="6" s="1"/>
  <c r="AQ252" i="6" s="1"/>
  <c r="AQ253" i="6" s="1"/>
  <c r="AQ254" i="6" s="1"/>
  <c r="AQ255" i="6" s="1"/>
  <c r="AQ256" i="6" s="1"/>
  <c r="AQ257" i="6" s="1"/>
  <c r="AQ258" i="6" s="1"/>
  <c r="AQ259" i="6" s="1"/>
  <c r="AQ260" i="6" s="1"/>
  <c r="AQ261" i="6" s="1"/>
  <c r="AQ262" i="6" s="1"/>
  <c r="AQ263" i="6" s="1"/>
  <c r="AQ264" i="6" s="1"/>
  <c r="AQ265" i="6" s="1"/>
  <c r="AQ266" i="6" s="1"/>
  <c r="AQ267" i="6" s="1"/>
  <c r="AQ268" i="6" s="1"/>
  <c r="AQ269" i="6" s="1"/>
  <c r="AQ270" i="6" s="1"/>
  <c r="AQ271" i="6" s="1"/>
  <c r="AQ272" i="6" s="1"/>
  <c r="AQ273" i="6" s="1"/>
  <c r="AQ274" i="6" s="1"/>
  <c r="AQ275" i="6" s="1"/>
  <c r="AQ276" i="6" s="1"/>
  <c r="AQ277" i="6" s="1"/>
  <c r="AQ278" i="6" s="1"/>
  <c r="AQ279" i="6" s="1"/>
  <c r="AQ280" i="6" s="1"/>
  <c r="AQ281" i="6" s="1"/>
  <c r="AQ282" i="6" s="1"/>
  <c r="AQ283" i="6" s="1"/>
  <c r="AQ284" i="6" s="1"/>
  <c r="AQ285" i="6" s="1"/>
  <c r="AQ286" i="6" s="1"/>
  <c r="AQ287" i="6" s="1"/>
  <c r="AQ288" i="6" s="1"/>
  <c r="AQ289" i="6" s="1"/>
  <c r="AQ290" i="6" s="1"/>
  <c r="AQ291" i="6" s="1"/>
  <c r="AQ292" i="6" s="1"/>
  <c r="AQ293" i="6" s="1"/>
  <c r="AQ294" i="6" s="1"/>
  <c r="AQ295" i="6" s="1"/>
  <c r="AQ296" i="6" s="1"/>
  <c r="AQ297" i="6" s="1"/>
  <c r="AQ298" i="6" s="1"/>
  <c r="AQ299" i="6" s="1"/>
  <c r="AQ300" i="6" s="1"/>
  <c r="AQ301" i="6" s="1"/>
  <c r="AQ302" i="6" s="1"/>
  <c r="AQ303" i="6" s="1"/>
  <c r="AQ304" i="6" s="1"/>
  <c r="AQ305" i="6" s="1"/>
  <c r="AQ306" i="6" s="1"/>
  <c r="Y214" i="6"/>
  <c r="BR214" i="6" s="1"/>
  <c r="BS211" i="6"/>
  <c r="BT211" i="6" s="1"/>
  <c r="B214" i="6"/>
  <c r="F213" i="6"/>
  <c r="F221" i="9" l="1"/>
  <c r="B222" i="9"/>
  <c r="E216" i="8"/>
  <c r="D216" i="8"/>
  <c r="AN223" i="6"/>
  <c r="BU205" i="6"/>
  <c r="Y215" i="6"/>
  <c r="BS212" i="6"/>
  <c r="BT212" i="6" s="1"/>
  <c r="V224" i="6"/>
  <c r="D214" i="6"/>
  <c r="E214" i="6"/>
  <c r="E222" i="9" l="1"/>
  <c r="D222" i="9"/>
  <c r="B217" i="8"/>
  <c r="F216" i="8"/>
  <c r="BS213" i="6"/>
  <c r="BT213" i="6" s="1"/>
  <c r="BR215" i="6"/>
  <c r="AN224" i="6"/>
  <c r="BU206" i="6"/>
  <c r="Y216" i="6"/>
  <c r="V225" i="6"/>
  <c r="B215" i="6"/>
  <c r="F214" i="6"/>
  <c r="F222" i="9" l="1"/>
  <c r="B223" i="9"/>
  <c r="E217" i="8"/>
  <c r="D217" i="8"/>
  <c r="X217" i="8"/>
  <c r="BS217" i="8"/>
  <c r="BT217" i="8" s="1"/>
  <c r="Y217" i="6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BR216" i="6"/>
  <c r="BS214" i="6"/>
  <c r="BT214" i="6" s="1"/>
  <c r="AN225" i="6"/>
  <c r="BU207" i="6"/>
  <c r="V226" i="6"/>
  <c r="D215" i="6"/>
  <c r="E215" i="6"/>
  <c r="E223" i="9" l="1"/>
  <c r="D223" i="9"/>
  <c r="BS215" i="8"/>
  <c r="BT215" i="8" s="1"/>
  <c r="BR217" i="8"/>
  <c r="BS216" i="8"/>
  <c r="BT216" i="8" s="1"/>
  <c r="BR218" i="8"/>
  <c r="B218" i="8"/>
  <c r="F217" i="8"/>
  <c r="AR229" i="6"/>
  <c r="AN226" i="6"/>
  <c r="BU208" i="6"/>
  <c r="F215" i="6"/>
  <c r="B216" i="6"/>
  <c r="F223" i="9" l="1"/>
  <c r="B224" i="9"/>
  <c r="E218" i="8"/>
  <c r="D218" i="8"/>
  <c r="BO201" i="8"/>
  <c r="AN227" i="6"/>
  <c r="BU209" i="6"/>
  <c r="D216" i="6"/>
  <c r="E216" i="6"/>
  <c r="E224" i="9" l="1"/>
  <c r="D224" i="9"/>
  <c r="B219" i="8"/>
  <c r="F218" i="8"/>
  <c r="AN228" i="6"/>
  <c r="BU210" i="6"/>
  <c r="F216" i="6"/>
  <c r="B217" i="6"/>
  <c r="X217" i="6" s="1"/>
  <c r="BR217" i="6" s="1"/>
  <c r="F224" i="9" l="1"/>
  <c r="B225" i="9"/>
  <c r="D219" i="8"/>
  <c r="E219" i="8"/>
  <c r="AN229" i="6"/>
  <c r="BU211" i="6"/>
  <c r="BS215" i="6"/>
  <c r="BT215" i="6" s="1"/>
  <c r="D217" i="6"/>
  <c r="E217" i="6"/>
  <c r="E225" i="9" l="1"/>
  <c r="D225" i="9"/>
  <c r="B220" i="8"/>
  <c r="F219" i="8"/>
  <c r="AN230" i="6"/>
  <c r="BU212" i="6"/>
  <c r="B218" i="6"/>
  <c r="F217" i="6"/>
  <c r="F225" i="9" l="1"/>
  <c r="B226" i="9"/>
  <c r="D220" i="8"/>
  <c r="E220" i="8"/>
  <c r="AN231" i="6"/>
  <c r="D218" i="6"/>
  <c r="BO201" i="6"/>
  <c r="X218" i="6"/>
  <c r="BR218" i="6" s="1"/>
  <c r="E218" i="6"/>
  <c r="E226" i="9" l="1"/>
  <c r="D226" i="9"/>
  <c r="CZ209" i="9"/>
  <c r="B221" i="8"/>
  <c r="F220" i="8"/>
  <c r="AN232" i="6"/>
  <c r="X219" i="6"/>
  <c r="BS216" i="6"/>
  <c r="BT216" i="6" s="1"/>
  <c r="B219" i="6"/>
  <c r="F218" i="6"/>
  <c r="F226" i="9" l="1"/>
  <c r="B227" i="9"/>
  <c r="D221" i="8"/>
  <c r="E221" i="8"/>
  <c r="BS217" i="6"/>
  <c r="BT217" i="6" s="1"/>
  <c r="BR219" i="6"/>
  <c r="AN233" i="6"/>
  <c r="X220" i="6"/>
  <c r="BR220" i="6" s="1"/>
  <c r="E219" i="6"/>
  <c r="D219" i="6"/>
  <c r="E227" i="9" l="1"/>
  <c r="D227" i="9"/>
  <c r="B222" i="8"/>
  <c r="F221" i="8"/>
  <c r="BS218" i="6"/>
  <c r="BT218" i="6" s="1"/>
  <c r="AN234" i="6"/>
  <c r="AN235" i="6" s="1"/>
  <c r="AN236" i="6" s="1"/>
  <c r="AN237" i="6" s="1"/>
  <c r="AN238" i="6" s="1"/>
  <c r="AN239" i="6" s="1"/>
  <c r="AN240" i="6" s="1"/>
  <c r="AN241" i="6" s="1"/>
  <c r="AN242" i="6" s="1"/>
  <c r="AN243" i="6" s="1"/>
  <c r="AN244" i="6" s="1"/>
  <c r="AN245" i="6" s="1"/>
  <c r="AN246" i="6" s="1"/>
  <c r="AN247" i="6" s="1"/>
  <c r="AN248" i="6" s="1"/>
  <c r="AN249" i="6" s="1"/>
  <c r="AN250" i="6" s="1"/>
  <c r="AN251" i="6" s="1"/>
  <c r="AN252" i="6" s="1"/>
  <c r="AN253" i="6" s="1"/>
  <c r="AN254" i="6" s="1"/>
  <c r="AN255" i="6" s="1"/>
  <c r="AN256" i="6" s="1"/>
  <c r="AN257" i="6" s="1"/>
  <c r="AN258" i="6" s="1"/>
  <c r="AN259" i="6" s="1"/>
  <c r="AN260" i="6" s="1"/>
  <c r="AN261" i="6" s="1"/>
  <c r="AN262" i="6" s="1"/>
  <c r="AN263" i="6" s="1"/>
  <c r="AN264" i="6" s="1"/>
  <c r="AN265" i="6" s="1"/>
  <c r="AN266" i="6" s="1"/>
  <c r="AN267" i="6" s="1"/>
  <c r="AN268" i="6" s="1"/>
  <c r="AN269" i="6" s="1"/>
  <c r="AN270" i="6" s="1"/>
  <c r="AN271" i="6" s="1"/>
  <c r="AN272" i="6" s="1"/>
  <c r="AN273" i="6" s="1"/>
  <c r="AN274" i="6" s="1"/>
  <c r="AN275" i="6" s="1"/>
  <c r="AN276" i="6" s="1"/>
  <c r="AN277" i="6" s="1"/>
  <c r="AN278" i="6" s="1"/>
  <c r="AN279" i="6" s="1"/>
  <c r="AN280" i="6" s="1"/>
  <c r="AN281" i="6" s="1"/>
  <c r="AN282" i="6" s="1"/>
  <c r="AN283" i="6" s="1"/>
  <c r="AN284" i="6" s="1"/>
  <c r="AN285" i="6" s="1"/>
  <c r="AN286" i="6" s="1"/>
  <c r="AN287" i="6" s="1"/>
  <c r="AN288" i="6" s="1"/>
  <c r="AN289" i="6" s="1"/>
  <c r="AN290" i="6" s="1"/>
  <c r="AN291" i="6" s="1"/>
  <c r="X221" i="6"/>
  <c r="B220" i="6"/>
  <c r="F219" i="6"/>
  <c r="B228" i="9" l="1"/>
  <c r="F227" i="9"/>
  <c r="D222" i="8"/>
  <c r="W222" i="8"/>
  <c r="E222" i="8"/>
  <c r="BS222" i="8"/>
  <c r="BT222" i="8" s="1"/>
  <c r="X222" i="6"/>
  <c r="X223" i="6" s="1"/>
  <c r="X224" i="6" s="1"/>
  <c r="X225" i="6" s="1"/>
  <c r="X226" i="6" s="1"/>
  <c r="X227" i="6" s="1"/>
  <c r="X228" i="6" s="1"/>
  <c r="X229" i="6" s="1"/>
  <c r="X230" i="6" s="1"/>
  <c r="X231" i="6" s="1"/>
  <c r="X232" i="6" s="1"/>
  <c r="X233" i="6" s="1"/>
  <c r="X234" i="6" s="1"/>
  <c r="X235" i="6" s="1"/>
  <c r="X236" i="6" s="1"/>
  <c r="X237" i="6" s="1"/>
  <c r="BR221" i="6"/>
  <c r="BS219" i="6"/>
  <c r="BT219" i="6" s="1"/>
  <c r="D220" i="6"/>
  <c r="E220" i="6"/>
  <c r="E228" i="9" l="1"/>
  <c r="D228" i="9"/>
  <c r="BR222" i="8"/>
  <c r="BS220" i="8"/>
  <c r="BT220" i="8" s="1"/>
  <c r="BS221" i="8"/>
  <c r="BT221" i="8" s="1"/>
  <c r="BR223" i="8"/>
  <c r="B223" i="8"/>
  <c r="F222" i="8"/>
  <c r="AC234" i="6"/>
  <c r="BU217" i="6" s="1"/>
  <c r="B221" i="6"/>
  <c r="F220" i="6"/>
  <c r="B229" i="9" l="1"/>
  <c r="F228" i="9"/>
  <c r="D223" i="8"/>
  <c r="BO206" i="8"/>
  <c r="E223" i="8"/>
  <c r="E221" i="6"/>
  <c r="D221" i="6"/>
  <c r="E229" i="9" l="1"/>
  <c r="D229" i="9"/>
  <c r="B224" i="8"/>
  <c r="F223" i="8"/>
  <c r="B222" i="6"/>
  <c r="W222" i="6" s="1"/>
  <c r="BR222" i="6" s="1"/>
  <c r="F221" i="6"/>
  <c r="B230" i="9" l="1"/>
  <c r="F229" i="9"/>
  <c r="E224" i="8"/>
  <c r="D224" i="8"/>
  <c r="BS220" i="6"/>
  <c r="BT220" i="6" s="1"/>
  <c r="E222" i="6"/>
  <c r="D222" i="6"/>
  <c r="E230" i="9" l="1"/>
  <c r="D230" i="9"/>
  <c r="B225" i="8"/>
  <c r="F224" i="8"/>
  <c r="B223" i="6"/>
  <c r="F222" i="6"/>
  <c r="B231" i="9" l="1"/>
  <c r="F230" i="9"/>
  <c r="E225" i="8"/>
  <c r="D225" i="8"/>
  <c r="W223" i="6"/>
  <c r="BR223" i="6" s="1"/>
  <c r="E223" i="6"/>
  <c r="BO206" i="6"/>
  <c r="D223" i="6"/>
  <c r="E231" i="9" l="1"/>
  <c r="D231" i="9"/>
  <c r="B226" i="8"/>
  <c r="F225" i="8"/>
  <c r="W224" i="6"/>
  <c r="BS221" i="6"/>
  <c r="BT221" i="6" s="1"/>
  <c r="B224" i="6"/>
  <c r="F223" i="6"/>
  <c r="F231" i="9" l="1"/>
  <c r="B232" i="9"/>
  <c r="E226" i="8"/>
  <c r="D226" i="8"/>
  <c r="BS222" i="6"/>
  <c r="BT222" i="6" s="1"/>
  <c r="BR224" i="6"/>
  <c r="W225" i="6"/>
  <c r="E224" i="6"/>
  <c r="D224" i="6"/>
  <c r="E232" i="9" l="1"/>
  <c r="D232" i="9"/>
  <c r="B227" i="8"/>
  <c r="F226" i="8"/>
  <c r="BS223" i="6"/>
  <c r="BT223" i="6" s="1"/>
  <c r="BR225" i="6"/>
  <c r="W226" i="6"/>
  <c r="F224" i="6"/>
  <c r="B225" i="6"/>
  <c r="F232" i="9" l="1"/>
  <c r="B233" i="9"/>
  <c r="E227" i="8"/>
  <c r="V227" i="8"/>
  <c r="D227" i="8"/>
  <c r="BS227" i="8"/>
  <c r="BT227" i="8" s="1"/>
  <c r="W227" i="6"/>
  <c r="W228" i="6" s="1"/>
  <c r="W229" i="6" s="1"/>
  <c r="W230" i="6" s="1"/>
  <c r="W231" i="6" s="1"/>
  <c r="W232" i="6" s="1"/>
  <c r="W233" i="6" s="1"/>
  <c r="W234" i="6" s="1"/>
  <c r="W235" i="6" s="1"/>
  <c r="W236" i="6" s="1"/>
  <c r="W237" i="6" s="1"/>
  <c r="W238" i="6" s="1"/>
  <c r="W239" i="6" s="1"/>
  <c r="AD239" i="6" s="1"/>
  <c r="AD240" i="6" s="1"/>
  <c r="AD241" i="6" s="1"/>
  <c r="AD242" i="6" s="1"/>
  <c r="AD243" i="6" s="1"/>
  <c r="AD244" i="6" s="1"/>
  <c r="BR226" i="6"/>
  <c r="BS224" i="6"/>
  <c r="BT224" i="6" s="1"/>
  <c r="E225" i="6"/>
  <c r="D225" i="6"/>
  <c r="E233" i="9" l="1"/>
  <c r="D233" i="9"/>
  <c r="CZ216" i="9"/>
  <c r="B228" i="8"/>
  <c r="F227" i="8"/>
  <c r="BR227" i="8"/>
  <c r="BS226" i="8"/>
  <c r="BT226" i="8" s="1"/>
  <c r="BR228" i="8"/>
  <c r="BS225" i="8"/>
  <c r="BT225" i="8" s="1"/>
  <c r="W240" i="6"/>
  <c r="W241" i="6" s="1"/>
  <c r="W242" i="6" s="1"/>
  <c r="F225" i="6"/>
  <c r="B226" i="6"/>
  <c r="F233" i="9" l="1"/>
  <c r="B234" i="9"/>
  <c r="E228" i="8"/>
  <c r="D228" i="8"/>
  <c r="E226" i="6"/>
  <c r="D226" i="6"/>
  <c r="E234" i="9" l="1"/>
  <c r="D234" i="9"/>
  <c r="F228" i="8"/>
  <c r="B229" i="8"/>
  <c r="F226" i="6"/>
  <c r="B227" i="6"/>
  <c r="V227" i="6" s="1"/>
  <c r="BR227" i="6" s="1"/>
  <c r="F234" i="9" l="1"/>
  <c r="B235" i="9"/>
  <c r="E229" i="8"/>
  <c r="D229" i="8"/>
  <c r="BS225" i="6"/>
  <c r="BT225" i="6" s="1"/>
  <c r="E227" i="6"/>
  <c r="D227" i="6"/>
  <c r="E235" i="9" l="1"/>
  <c r="D235" i="9"/>
  <c r="B230" i="8"/>
  <c r="F229" i="8"/>
  <c r="F227" i="6"/>
  <c r="B228" i="6"/>
  <c r="F235" i="9" l="1"/>
  <c r="B236" i="9"/>
  <c r="D230" i="8"/>
  <c r="E230" i="8"/>
  <c r="BO213" i="8"/>
  <c r="V228" i="6"/>
  <c r="BR228" i="6" s="1"/>
  <c r="E228" i="6"/>
  <c r="D228" i="6"/>
  <c r="E236" i="9" l="1"/>
  <c r="D236" i="9"/>
  <c r="B231" i="8"/>
  <c r="F230" i="8"/>
  <c r="V229" i="6"/>
  <c r="BS226" i="6"/>
  <c r="BT226" i="6" s="1"/>
  <c r="AR230" i="6"/>
  <c r="F228" i="6"/>
  <c r="B229" i="6"/>
  <c r="F236" i="9" l="1"/>
  <c r="B237" i="9"/>
  <c r="D231" i="8"/>
  <c r="E231" i="8"/>
  <c r="BS227" i="6"/>
  <c r="BT227" i="6" s="1"/>
  <c r="BR229" i="6"/>
  <c r="AR231" i="6"/>
  <c r="BU213" i="6"/>
  <c r="V230" i="6"/>
  <c r="AC235" i="6"/>
  <c r="E229" i="6"/>
  <c r="D229" i="6"/>
  <c r="E237" i="9" l="1"/>
  <c r="D237" i="9"/>
  <c r="B232" i="8"/>
  <c r="F231" i="8"/>
  <c r="BS228" i="6"/>
  <c r="BT228" i="6" s="1"/>
  <c r="BR230" i="6"/>
  <c r="AC236" i="6"/>
  <c r="AR232" i="6"/>
  <c r="BU214" i="6"/>
  <c r="V231" i="6"/>
  <c r="BR231" i="6" s="1"/>
  <c r="AE240" i="6"/>
  <c r="AE241" i="6" s="1"/>
  <c r="AE242" i="6" s="1"/>
  <c r="AE243" i="6" s="1"/>
  <c r="B230" i="6"/>
  <c r="F229" i="6"/>
  <c r="F237" i="9" l="1"/>
  <c r="B238" i="9"/>
  <c r="D232" i="8"/>
  <c r="E232" i="8"/>
  <c r="AR233" i="6"/>
  <c r="BU215" i="6"/>
  <c r="AC237" i="6"/>
  <c r="V232" i="6"/>
  <c r="BR232" i="6" s="1"/>
  <c r="BS229" i="6"/>
  <c r="BT229" i="6" s="1"/>
  <c r="AD245" i="6"/>
  <c r="AD246" i="6" s="1"/>
  <c r="AD247" i="6" s="1"/>
  <c r="AD248" i="6" s="1"/>
  <c r="AD249" i="6" s="1"/>
  <c r="AD250" i="6" s="1"/>
  <c r="AD251" i="6" s="1"/>
  <c r="AD252" i="6" s="1"/>
  <c r="AD253" i="6" s="1"/>
  <c r="AD254" i="6" s="1"/>
  <c r="AD255" i="6" s="1"/>
  <c r="AD256" i="6" s="1"/>
  <c r="AD257" i="6" s="1"/>
  <c r="AD258" i="6" s="1"/>
  <c r="AD259" i="6" s="1"/>
  <c r="AD260" i="6" s="1"/>
  <c r="AD261" i="6" s="1"/>
  <c r="AD262" i="6" s="1"/>
  <c r="AD263" i="6" s="1"/>
  <c r="AD264" i="6" s="1"/>
  <c r="AD265" i="6" s="1"/>
  <c r="AD266" i="6" s="1"/>
  <c r="AD267" i="6" s="1"/>
  <c r="AD268" i="6" s="1"/>
  <c r="AD269" i="6" s="1"/>
  <c r="AD270" i="6" s="1"/>
  <c r="AD271" i="6" s="1"/>
  <c r="AD272" i="6" s="1"/>
  <c r="AD273" i="6" s="1"/>
  <c r="AD274" i="6" s="1"/>
  <c r="AD275" i="6" s="1"/>
  <c r="AD276" i="6" s="1"/>
  <c r="AD277" i="6" s="1"/>
  <c r="AD278" i="6" s="1"/>
  <c r="AD279" i="6" s="1"/>
  <c r="AD280" i="6" s="1"/>
  <c r="AD281" i="6" s="1"/>
  <c r="AD282" i="6" s="1"/>
  <c r="AD283" i="6" s="1"/>
  <c r="AD284" i="6" s="1"/>
  <c r="AD285" i="6" s="1"/>
  <c r="AD286" i="6" s="1"/>
  <c r="AD287" i="6" s="1"/>
  <c r="AD288" i="6" s="1"/>
  <c r="AD289" i="6" s="1"/>
  <c r="AD290" i="6" s="1"/>
  <c r="AD291" i="6" s="1"/>
  <c r="AD292" i="6" s="1"/>
  <c r="AD293" i="6" s="1"/>
  <c r="AD294" i="6" s="1"/>
  <c r="AD295" i="6" s="1"/>
  <c r="AD296" i="6" s="1"/>
  <c r="AD297" i="6" s="1"/>
  <c r="AD298" i="6" s="1"/>
  <c r="AD299" i="6" s="1"/>
  <c r="AD300" i="6" s="1"/>
  <c r="AD301" i="6" s="1"/>
  <c r="AD302" i="6" s="1"/>
  <c r="AD303" i="6" s="1"/>
  <c r="AD304" i="6" s="1"/>
  <c r="AD305" i="6" s="1"/>
  <c r="AD306" i="6" s="1"/>
  <c r="AD307" i="6" s="1"/>
  <c r="AD308" i="6" s="1"/>
  <c r="AD309" i="6" s="1"/>
  <c r="AD310" i="6" s="1"/>
  <c r="AD311" i="6" s="1"/>
  <c r="AD312" i="6" s="1"/>
  <c r="AD313" i="6" s="1"/>
  <c r="AD314" i="6" s="1"/>
  <c r="AD315" i="6" s="1"/>
  <c r="AD316" i="6" s="1"/>
  <c r="AD317" i="6" s="1"/>
  <c r="AD318" i="6" s="1"/>
  <c r="AD319" i="6" s="1"/>
  <c r="AD320" i="6" s="1"/>
  <c r="AD321" i="6" s="1"/>
  <c r="AD322" i="6" s="1"/>
  <c r="E230" i="6"/>
  <c r="D230" i="6"/>
  <c r="BO213" i="6"/>
  <c r="E238" i="9" l="1"/>
  <c r="D238" i="9"/>
  <c r="CZ221" i="9"/>
  <c r="B233" i="8"/>
  <c r="F232" i="8"/>
  <c r="BS230" i="6"/>
  <c r="BT230" i="6" s="1"/>
  <c r="AC238" i="6"/>
  <c r="AR234" i="6"/>
  <c r="AR235" i="6" s="1"/>
  <c r="BU216" i="6"/>
  <c r="V233" i="6"/>
  <c r="B231" i="6"/>
  <c r="F230" i="6"/>
  <c r="F238" i="9" l="1"/>
  <c r="B239" i="9"/>
  <c r="Y233" i="8"/>
  <c r="D233" i="8"/>
  <c r="E233" i="8"/>
  <c r="BS233" i="8"/>
  <c r="BT233" i="8" s="1"/>
  <c r="AR236" i="6"/>
  <c r="BU218" i="6"/>
  <c r="AC239" i="6"/>
  <c r="V234" i="6"/>
  <c r="E231" i="6"/>
  <c r="D231" i="6"/>
  <c r="E239" i="9" l="1"/>
  <c r="D239" i="9"/>
  <c r="B234" i="8"/>
  <c r="F233" i="8"/>
  <c r="BS231" i="8"/>
  <c r="BT231" i="8" s="1"/>
  <c r="BS232" i="8"/>
  <c r="BT232" i="8" s="1"/>
  <c r="BR233" i="8"/>
  <c r="BR234" i="8"/>
  <c r="AC240" i="6"/>
  <c r="BU222" i="6"/>
  <c r="AR237" i="6"/>
  <c r="BU219" i="6"/>
  <c r="V235" i="6"/>
  <c r="B232" i="6"/>
  <c r="F231" i="6"/>
  <c r="B240" i="9" l="1"/>
  <c r="F239" i="9"/>
  <c r="D234" i="8"/>
  <c r="E234" i="8"/>
  <c r="AR238" i="6"/>
  <c r="BU220" i="6"/>
  <c r="AC241" i="6"/>
  <c r="V236" i="6"/>
  <c r="E232" i="6"/>
  <c r="D232" i="6"/>
  <c r="E240" i="9" l="1"/>
  <c r="D240" i="9"/>
  <c r="B235" i="8"/>
  <c r="F234" i="8"/>
  <c r="AC242" i="6"/>
  <c r="AR239" i="6"/>
  <c r="AR240" i="6" s="1"/>
  <c r="BU221" i="6"/>
  <c r="V237" i="6"/>
  <c r="B233" i="6"/>
  <c r="Y233" i="6" s="1"/>
  <c r="BR233" i="6" s="1"/>
  <c r="F232" i="6"/>
  <c r="B241" i="9" l="1"/>
  <c r="F240" i="9"/>
  <c r="D235" i="8"/>
  <c r="BO218" i="8"/>
  <c r="E235" i="8"/>
  <c r="AR241" i="6"/>
  <c r="BU223" i="6"/>
  <c r="AC243" i="6"/>
  <c r="BS231" i="6"/>
  <c r="BT231" i="6" s="1"/>
  <c r="V238" i="6"/>
  <c r="E233" i="6"/>
  <c r="D233" i="6"/>
  <c r="E241" i="9" l="1"/>
  <c r="D241" i="9"/>
  <c r="B236" i="8"/>
  <c r="F235" i="8"/>
  <c r="AC244" i="6"/>
  <c r="AR242" i="6"/>
  <c r="BU224" i="6"/>
  <c r="V239" i="6"/>
  <c r="B234" i="6"/>
  <c r="Y234" i="6" s="1"/>
  <c r="BR234" i="6" s="1"/>
  <c r="F233" i="6"/>
  <c r="B242" i="9" l="1"/>
  <c r="F241" i="9"/>
  <c r="E236" i="8"/>
  <c r="D236" i="8"/>
  <c r="AR243" i="6"/>
  <c r="BU225" i="6"/>
  <c r="AC245" i="6"/>
  <c r="BS232" i="6"/>
  <c r="BT232" i="6" s="1"/>
  <c r="V240" i="6"/>
  <c r="E234" i="6"/>
  <c r="D234" i="6"/>
  <c r="E242" i="9" l="1"/>
  <c r="D242" i="9"/>
  <c r="B237" i="8"/>
  <c r="F236" i="8"/>
  <c r="AC246" i="6"/>
  <c r="AR244" i="6"/>
  <c r="AR245" i="6" s="1"/>
  <c r="AR246" i="6" s="1"/>
  <c r="AR247" i="6" s="1"/>
  <c r="AR248" i="6" s="1"/>
  <c r="AR249" i="6" s="1"/>
  <c r="AR250" i="6" s="1"/>
  <c r="AR251" i="6" s="1"/>
  <c r="AR252" i="6" s="1"/>
  <c r="AR253" i="6" s="1"/>
  <c r="AR254" i="6" s="1"/>
  <c r="AR255" i="6" s="1"/>
  <c r="AR256" i="6" s="1"/>
  <c r="AR257" i="6" s="1"/>
  <c r="AR258" i="6" s="1"/>
  <c r="AR259" i="6" s="1"/>
  <c r="AR260" i="6" s="1"/>
  <c r="AR261" i="6" s="1"/>
  <c r="AR262" i="6" s="1"/>
  <c r="AR263" i="6" s="1"/>
  <c r="AR264" i="6" s="1"/>
  <c r="AR265" i="6" s="1"/>
  <c r="AR266" i="6" s="1"/>
  <c r="AR267" i="6" s="1"/>
  <c r="AR268" i="6" s="1"/>
  <c r="AR269" i="6" s="1"/>
  <c r="AR270" i="6" s="1"/>
  <c r="AR271" i="6" s="1"/>
  <c r="AR272" i="6" s="1"/>
  <c r="AR273" i="6" s="1"/>
  <c r="AR274" i="6" s="1"/>
  <c r="AR275" i="6" s="1"/>
  <c r="AR276" i="6" s="1"/>
  <c r="AR277" i="6" s="1"/>
  <c r="AR278" i="6" s="1"/>
  <c r="AR279" i="6" s="1"/>
  <c r="AR280" i="6" s="1"/>
  <c r="AR281" i="6" s="1"/>
  <c r="AR282" i="6" s="1"/>
  <c r="AR283" i="6" s="1"/>
  <c r="AR284" i="6" s="1"/>
  <c r="AR285" i="6" s="1"/>
  <c r="AR286" i="6" s="1"/>
  <c r="AR287" i="6" s="1"/>
  <c r="AR288" i="6" s="1"/>
  <c r="AR289" i="6" s="1"/>
  <c r="AR290" i="6" s="1"/>
  <c r="AR291" i="6" s="1"/>
  <c r="AR292" i="6" s="1"/>
  <c r="AR293" i="6" s="1"/>
  <c r="AR294" i="6" s="1"/>
  <c r="AR295" i="6" s="1"/>
  <c r="AR296" i="6" s="1"/>
  <c r="AR297" i="6" s="1"/>
  <c r="AR298" i="6" s="1"/>
  <c r="AR299" i="6" s="1"/>
  <c r="AR300" i="6" s="1"/>
  <c r="AR301" i="6" s="1"/>
  <c r="AR302" i="6" s="1"/>
  <c r="AR303" i="6" s="1"/>
  <c r="AR304" i="6" s="1"/>
  <c r="AR305" i="6" s="1"/>
  <c r="AR306" i="6" s="1"/>
  <c r="AR307" i="6" s="1"/>
  <c r="AR308" i="6" s="1"/>
  <c r="AR309" i="6" s="1"/>
  <c r="AR310" i="6" s="1"/>
  <c r="AR311" i="6" s="1"/>
  <c r="AR312" i="6" s="1"/>
  <c r="BU226" i="6"/>
  <c r="V241" i="6"/>
  <c r="B235" i="6"/>
  <c r="F234" i="6"/>
  <c r="B243" i="9" l="1"/>
  <c r="F242" i="9"/>
  <c r="E237" i="8"/>
  <c r="D237" i="8"/>
  <c r="AC247" i="6"/>
  <c r="V242" i="6"/>
  <c r="E235" i="6"/>
  <c r="Y235" i="6"/>
  <c r="BR235" i="6" s="1"/>
  <c r="D235" i="6"/>
  <c r="BO218" i="6"/>
  <c r="E243" i="9" l="1"/>
  <c r="D243" i="9"/>
  <c r="CZ226" i="9"/>
  <c r="B238" i="8"/>
  <c r="F237" i="8"/>
  <c r="AC248" i="6"/>
  <c r="Y236" i="6"/>
  <c r="BS233" i="6"/>
  <c r="BT233" i="6" s="1"/>
  <c r="V243" i="6"/>
  <c r="B236" i="6"/>
  <c r="F235" i="6"/>
  <c r="B244" i="9" l="1"/>
  <c r="F243" i="9"/>
  <c r="X238" i="8"/>
  <c r="E238" i="8"/>
  <c r="D238" i="8"/>
  <c r="BS238" i="8"/>
  <c r="BT238" i="8" s="1"/>
  <c r="BS234" i="6"/>
  <c r="BT234" i="6" s="1"/>
  <c r="BR236" i="6"/>
  <c r="AC249" i="6"/>
  <c r="V244" i="6"/>
  <c r="Y237" i="6"/>
  <c r="D236" i="6"/>
  <c r="E236" i="6"/>
  <c r="D244" i="9" l="1"/>
  <c r="E244" i="9"/>
  <c r="B239" i="8"/>
  <c r="F238" i="8"/>
  <c r="BS236" i="8"/>
  <c r="BT236" i="8" s="1"/>
  <c r="BS237" i="8"/>
  <c r="BT237" i="8" s="1"/>
  <c r="BR238" i="8"/>
  <c r="BR239" i="8"/>
  <c r="Y238" i="6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BR237" i="6"/>
  <c r="AC250" i="6"/>
  <c r="BS235" i="6"/>
  <c r="BT235" i="6" s="1"/>
  <c r="V245" i="6"/>
  <c r="AE244" i="6"/>
  <c r="B237" i="6"/>
  <c r="F236" i="6"/>
  <c r="B245" i="9" l="1"/>
  <c r="F244" i="9"/>
  <c r="E239" i="8"/>
  <c r="D239" i="8"/>
  <c r="AF250" i="6"/>
  <c r="AF251" i="6" s="1"/>
  <c r="AE245" i="6"/>
  <c r="BU227" i="6"/>
  <c r="AC251" i="6"/>
  <c r="V246" i="6"/>
  <c r="D237" i="6"/>
  <c r="E237" i="6"/>
  <c r="D245" i="9" l="1"/>
  <c r="E245" i="9"/>
  <c r="B240" i="8"/>
  <c r="F239" i="8"/>
  <c r="AC252" i="6"/>
  <c r="AE246" i="6"/>
  <c r="BU228" i="6"/>
  <c r="V247" i="6"/>
  <c r="B238" i="6"/>
  <c r="X238" i="6" s="1"/>
  <c r="BR238" i="6" s="1"/>
  <c r="F237" i="6"/>
  <c r="B246" i="9" l="1"/>
  <c r="F245" i="9"/>
  <c r="E240" i="8"/>
  <c r="D240" i="8"/>
  <c r="BO223" i="8"/>
  <c r="AE247" i="6"/>
  <c r="BU229" i="6"/>
  <c r="AC253" i="6"/>
  <c r="BS236" i="6"/>
  <c r="BT236" i="6" s="1"/>
  <c r="D238" i="6"/>
  <c r="E238" i="6"/>
  <c r="E246" i="9" l="1"/>
  <c r="D246" i="9"/>
  <c r="F240" i="8"/>
  <c r="B241" i="8"/>
  <c r="AC254" i="6"/>
  <c r="AE248" i="6"/>
  <c r="BU230" i="6"/>
  <c r="B239" i="6"/>
  <c r="X239" i="6" s="1"/>
  <c r="BR239" i="6" s="1"/>
  <c r="F238" i="6"/>
  <c r="B247" i="9" l="1"/>
  <c r="F246" i="9"/>
  <c r="E241" i="8"/>
  <c r="D241" i="8"/>
  <c r="AE249" i="6"/>
  <c r="BU231" i="6"/>
  <c r="AC255" i="6"/>
  <c r="BS237" i="6"/>
  <c r="BT237" i="6" s="1"/>
  <c r="D239" i="6"/>
  <c r="E239" i="6"/>
  <c r="E247" i="9" l="1"/>
  <c r="D247" i="9"/>
  <c r="F241" i="8"/>
  <c r="B242" i="8"/>
  <c r="AC256" i="6"/>
  <c r="AE250" i="6"/>
  <c r="BU232" i="6"/>
  <c r="B240" i="6"/>
  <c r="F239" i="6"/>
  <c r="B248" i="9" l="1"/>
  <c r="F247" i="9"/>
  <c r="E242" i="8"/>
  <c r="D242" i="8"/>
  <c r="AE251" i="6"/>
  <c r="BU233" i="6"/>
  <c r="AC257" i="6"/>
  <c r="D240" i="6"/>
  <c r="BO223" i="6"/>
  <c r="X240" i="6"/>
  <c r="BR240" i="6" s="1"/>
  <c r="E240" i="6"/>
  <c r="E248" i="9" l="1"/>
  <c r="CZ231" i="9"/>
  <c r="D248" i="9"/>
  <c r="F242" i="8"/>
  <c r="B243" i="8"/>
  <c r="AC258" i="6"/>
  <c r="AE252" i="6"/>
  <c r="BU234" i="6"/>
  <c r="X241" i="6"/>
  <c r="BS238" i="6"/>
  <c r="BT238" i="6" s="1"/>
  <c r="B241" i="6"/>
  <c r="F240" i="6"/>
  <c r="B249" i="9" l="1"/>
  <c r="F248" i="9"/>
  <c r="W243" i="8"/>
  <c r="E243" i="8"/>
  <c r="D243" i="8"/>
  <c r="BS243" i="8"/>
  <c r="BT243" i="8" s="1"/>
  <c r="BS239" i="6"/>
  <c r="BT239" i="6" s="1"/>
  <c r="BR241" i="6"/>
  <c r="AE253" i="6"/>
  <c r="AC259" i="6"/>
  <c r="X242" i="6"/>
  <c r="E241" i="6"/>
  <c r="D241" i="6"/>
  <c r="D249" i="9" l="1"/>
  <c r="E249" i="9"/>
  <c r="F243" i="8"/>
  <c r="B244" i="8"/>
  <c r="BS242" i="8"/>
  <c r="BT242" i="8" s="1"/>
  <c r="BR243" i="8"/>
  <c r="BS241" i="8"/>
  <c r="BT241" i="8" s="1"/>
  <c r="BR244" i="8"/>
  <c r="X243" i="6"/>
  <c r="X244" i="6" s="1"/>
  <c r="X245" i="6" s="1"/>
  <c r="X246" i="6" s="1"/>
  <c r="X247" i="6" s="1"/>
  <c r="X248" i="6" s="1"/>
  <c r="X249" i="6" s="1"/>
  <c r="X250" i="6" s="1"/>
  <c r="X251" i="6" s="1"/>
  <c r="X252" i="6" s="1"/>
  <c r="X253" i="6" s="1"/>
  <c r="X254" i="6" s="1"/>
  <c r="X255" i="6" s="1"/>
  <c r="X256" i="6" s="1"/>
  <c r="X257" i="6" s="1"/>
  <c r="X258" i="6" s="1"/>
  <c r="BR242" i="6"/>
  <c r="AC260" i="6"/>
  <c r="AE254" i="6"/>
  <c r="BS240" i="6"/>
  <c r="BT240" i="6" s="1"/>
  <c r="B242" i="6"/>
  <c r="F241" i="6"/>
  <c r="F249" i="9" l="1"/>
  <c r="B250" i="9"/>
  <c r="E244" i="8"/>
  <c r="D244" i="8"/>
  <c r="AG255" i="6"/>
  <c r="AG256" i="6" s="1"/>
  <c r="AE255" i="6"/>
  <c r="AC261" i="6"/>
  <c r="E242" i="6"/>
  <c r="D242" i="6"/>
  <c r="D250" i="9" l="1"/>
  <c r="E250" i="9"/>
  <c r="F244" i="8"/>
  <c r="B245" i="8"/>
  <c r="AC262" i="6"/>
  <c r="AE256" i="6"/>
  <c r="B243" i="6"/>
  <c r="W243" i="6" s="1"/>
  <c r="BR243" i="6" s="1"/>
  <c r="F242" i="6"/>
  <c r="F250" i="9" l="1"/>
  <c r="B251" i="9"/>
  <c r="E245" i="8"/>
  <c r="D245" i="8"/>
  <c r="BO228" i="8"/>
  <c r="AE257" i="6"/>
  <c r="AC263" i="6"/>
  <c r="BS241" i="6"/>
  <c r="BT241" i="6" s="1"/>
  <c r="E243" i="6"/>
  <c r="D243" i="6"/>
  <c r="D251" i="9" l="1"/>
  <c r="E251" i="9"/>
  <c r="F245" i="8"/>
  <c r="B246" i="8"/>
  <c r="AC264" i="6"/>
  <c r="AE258" i="6"/>
  <c r="B244" i="6"/>
  <c r="W244" i="6" s="1"/>
  <c r="BR244" i="6" s="1"/>
  <c r="F243" i="6"/>
  <c r="F251" i="9" l="1"/>
  <c r="B252" i="9"/>
  <c r="E246" i="8"/>
  <c r="D246" i="8"/>
  <c r="AE259" i="6"/>
  <c r="AC265" i="6"/>
  <c r="BS242" i="6"/>
  <c r="BT242" i="6" s="1"/>
  <c r="E244" i="6"/>
  <c r="D244" i="6"/>
  <c r="D252" i="9" l="1"/>
  <c r="E252" i="9"/>
  <c r="B247" i="8"/>
  <c r="F246" i="8"/>
  <c r="AC266" i="6"/>
  <c r="AE260" i="6"/>
  <c r="B245" i="6"/>
  <c r="F244" i="6"/>
  <c r="F252" i="9" l="1"/>
  <c r="B253" i="9"/>
  <c r="E247" i="8"/>
  <c r="D247" i="8"/>
  <c r="AE261" i="6"/>
  <c r="AC267" i="6"/>
  <c r="W245" i="6"/>
  <c r="BR245" i="6" s="1"/>
  <c r="E245" i="6"/>
  <c r="D245" i="6"/>
  <c r="BO228" i="6"/>
  <c r="D253" i="9" l="1"/>
  <c r="E253" i="9"/>
  <c r="B248" i="8"/>
  <c r="F247" i="8"/>
  <c r="AC268" i="6"/>
  <c r="AE262" i="6"/>
  <c r="W246" i="6"/>
  <c r="BR246" i="6" s="1"/>
  <c r="BS243" i="6"/>
  <c r="BT243" i="6" s="1"/>
  <c r="F245" i="6"/>
  <c r="B246" i="6"/>
  <c r="F253" i="9" l="1"/>
  <c r="B254" i="9"/>
  <c r="V248" i="8"/>
  <c r="E248" i="8"/>
  <c r="D248" i="8"/>
  <c r="BS248" i="8"/>
  <c r="BT248" i="8" s="1"/>
  <c r="BS244" i="6"/>
  <c r="BT244" i="6" s="1"/>
  <c r="AE263" i="6"/>
  <c r="AC269" i="6"/>
  <c r="W247" i="6"/>
  <c r="E246" i="6"/>
  <c r="D246" i="6"/>
  <c r="E254" i="9" l="1"/>
  <c r="D254" i="9"/>
  <c r="B249" i="8"/>
  <c r="F248" i="8"/>
  <c r="BS247" i="8"/>
  <c r="BT247" i="8" s="1"/>
  <c r="BR248" i="8"/>
  <c r="BR249" i="8"/>
  <c r="BS246" i="8"/>
  <c r="BT246" i="8" s="1"/>
  <c r="W248" i="6"/>
  <c r="W249" i="6" s="1"/>
  <c r="W250" i="6" s="1"/>
  <c r="W251" i="6" s="1"/>
  <c r="W252" i="6" s="1"/>
  <c r="W253" i="6" s="1"/>
  <c r="W254" i="6" s="1"/>
  <c r="W255" i="6" s="1"/>
  <c r="W256" i="6" s="1"/>
  <c r="W257" i="6" s="1"/>
  <c r="W258" i="6" s="1"/>
  <c r="W259" i="6" s="1"/>
  <c r="W260" i="6" s="1"/>
  <c r="AH260" i="6" s="1"/>
  <c r="AH261" i="6" s="1"/>
  <c r="BR247" i="6"/>
  <c r="AC270" i="6"/>
  <c r="AE264" i="6"/>
  <c r="BS245" i="6"/>
  <c r="BT245" i="6" s="1"/>
  <c r="F246" i="6"/>
  <c r="B247" i="6"/>
  <c r="B255" i="9" l="1"/>
  <c r="F254" i="9"/>
  <c r="E249" i="8"/>
  <c r="D249" i="8"/>
  <c r="W261" i="6"/>
  <c r="W262" i="6" s="1"/>
  <c r="W263" i="6" s="1"/>
  <c r="AE265" i="6"/>
  <c r="AC271" i="6"/>
  <c r="E247" i="6"/>
  <c r="D247" i="6"/>
  <c r="E255" i="9" l="1"/>
  <c r="CZ238" i="9"/>
  <c r="D255" i="9"/>
  <c r="B250" i="8"/>
  <c r="F249" i="8"/>
  <c r="AC272" i="6"/>
  <c r="AE266" i="6"/>
  <c r="F247" i="6"/>
  <c r="B248" i="6"/>
  <c r="V248" i="6" s="1"/>
  <c r="BR248" i="6" s="1"/>
  <c r="B256" i="9" l="1"/>
  <c r="F255" i="9"/>
  <c r="E250" i="8"/>
  <c r="D250" i="8"/>
  <c r="AE267" i="6"/>
  <c r="AC273" i="6"/>
  <c r="BS246" i="6"/>
  <c r="BT246" i="6" s="1"/>
  <c r="E248" i="6"/>
  <c r="D248" i="6"/>
  <c r="E256" i="9" l="1"/>
  <c r="D256" i="9"/>
  <c r="B251" i="8"/>
  <c r="F250" i="8"/>
  <c r="AC274" i="6"/>
  <c r="AE268" i="6"/>
  <c r="F248" i="6"/>
  <c r="B249" i="6"/>
  <c r="V249" i="6" s="1"/>
  <c r="BR249" i="6" s="1"/>
  <c r="B257" i="9" l="1"/>
  <c r="F256" i="9"/>
  <c r="D251" i="8"/>
  <c r="E251" i="8"/>
  <c r="AE269" i="6"/>
  <c r="AC275" i="6"/>
  <c r="BS247" i="6"/>
  <c r="BT247" i="6" s="1"/>
  <c r="E249" i="6"/>
  <c r="D249" i="6"/>
  <c r="E257" i="9" l="1"/>
  <c r="D257" i="9"/>
  <c r="B252" i="8"/>
  <c r="F251" i="8"/>
  <c r="AC276" i="6"/>
  <c r="AE270" i="6"/>
  <c r="F249" i="6"/>
  <c r="B250" i="6"/>
  <c r="B258" i="9" l="1"/>
  <c r="F257" i="9"/>
  <c r="D252" i="8"/>
  <c r="BO235" i="8"/>
  <c r="E252" i="8"/>
  <c r="AE271" i="6"/>
  <c r="AC277" i="6"/>
  <c r="V250" i="6"/>
  <c r="BR250" i="6" s="1"/>
  <c r="E250" i="6"/>
  <c r="D250" i="6"/>
  <c r="E258" i="9" l="1"/>
  <c r="D258" i="9"/>
  <c r="B253" i="8"/>
  <c r="F252" i="8"/>
  <c r="AC278" i="6"/>
  <c r="AE272" i="6"/>
  <c r="V251" i="6"/>
  <c r="BR251" i="6" s="1"/>
  <c r="BS248" i="6"/>
  <c r="BT248" i="6" s="1"/>
  <c r="AF252" i="6"/>
  <c r="F250" i="6"/>
  <c r="B251" i="6"/>
  <c r="B259" i="9" l="1"/>
  <c r="F258" i="9"/>
  <c r="D253" i="8"/>
  <c r="E253" i="8"/>
  <c r="BS249" i="6"/>
  <c r="BT249" i="6" s="1"/>
  <c r="AE273" i="6"/>
  <c r="AF253" i="6"/>
  <c r="BU235" i="6"/>
  <c r="AC279" i="6"/>
  <c r="V252" i="6"/>
  <c r="AG257" i="6"/>
  <c r="AG258" i="6" s="1"/>
  <c r="AG259" i="6" s="1"/>
  <c r="AG260" i="6" s="1"/>
  <c r="AG261" i="6" s="1"/>
  <c r="AG262" i="6" s="1"/>
  <c r="AG263" i="6" s="1"/>
  <c r="AG264" i="6" s="1"/>
  <c r="AG265" i="6" s="1"/>
  <c r="AG266" i="6" s="1"/>
  <c r="AG267" i="6" s="1"/>
  <c r="AG268" i="6" s="1"/>
  <c r="AG269" i="6" s="1"/>
  <c r="AG270" i="6" s="1"/>
  <c r="AG271" i="6" s="1"/>
  <c r="AG272" i="6" s="1"/>
  <c r="AG273" i="6" s="1"/>
  <c r="AG274" i="6" s="1"/>
  <c r="AG275" i="6" s="1"/>
  <c r="AG276" i="6" s="1"/>
  <c r="AG277" i="6" s="1"/>
  <c r="AG278" i="6" s="1"/>
  <c r="AG279" i="6" s="1"/>
  <c r="AG280" i="6" s="1"/>
  <c r="AG281" i="6" s="1"/>
  <c r="AG282" i="6" s="1"/>
  <c r="AG283" i="6" s="1"/>
  <c r="AG284" i="6" s="1"/>
  <c r="AG285" i="6" s="1"/>
  <c r="AG286" i="6" s="1"/>
  <c r="AG287" i="6" s="1"/>
  <c r="AG288" i="6" s="1"/>
  <c r="AG289" i="6" s="1"/>
  <c r="AG290" i="6" s="1"/>
  <c r="AG291" i="6" s="1"/>
  <c r="AG292" i="6" s="1"/>
  <c r="AG293" i="6" s="1"/>
  <c r="AG294" i="6" s="1"/>
  <c r="AG295" i="6" s="1"/>
  <c r="AG296" i="6" s="1"/>
  <c r="AG297" i="6" s="1"/>
  <c r="AG298" i="6" s="1"/>
  <c r="AG299" i="6" s="1"/>
  <c r="AG300" i="6" s="1"/>
  <c r="AG301" i="6" s="1"/>
  <c r="AG302" i="6" s="1"/>
  <c r="AG303" i="6" s="1"/>
  <c r="AG304" i="6" s="1"/>
  <c r="AG305" i="6" s="1"/>
  <c r="AG306" i="6" s="1"/>
  <c r="AG307" i="6" s="1"/>
  <c r="AG308" i="6" s="1"/>
  <c r="AG309" i="6" s="1"/>
  <c r="AG310" i="6" s="1"/>
  <c r="AG311" i="6" s="1"/>
  <c r="AG312" i="6" s="1"/>
  <c r="AG313" i="6" s="1"/>
  <c r="AG314" i="6" s="1"/>
  <c r="AG315" i="6" s="1"/>
  <c r="AG316" i="6" s="1"/>
  <c r="AG317" i="6" s="1"/>
  <c r="AG318" i="6" s="1"/>
  <c r="AG319" i="6" s="1"/>
  <c r="AG320" i="6" s="1"/>
  <c r="AG321" i="6" s="1"/>
  <c r="AG322" i="6" s="1"/>
  <c r="AG323" i="6" s="1"/>
  <c r="AG324" i="6" s="1"/>
  <c r="AG325" i="6" s="1"/>
  <c r="AG326" i="6" s="1"/>
  <c r="AG327" i="6" s="1"/>
  <c r="AG328" i="6" s="1"/>
  <c r="AG329" i="6" s="1"/>
  <c r="AG330" i="6" s="1"/>
  <c r="AG331" i="6" s="1"/>
  <c r="AG332" i="6" s="1"/>
  <c r="AG333" i="6" s="1"/>
  <c r="AG334" i="6" s="1"/>
  <c r="AG335" i="6" s="1"/>
  <c r="AG336" i="6" s="1"/>
  <c r="AG337" i="6" s="1"/>
  <c r="AG338" i="6" s="1"/>
  <c r="E251" i="6"/>
  <c r="D251" i="6"/>
  <c r="E259" i="9" l="1"/>
  <c r="D259" i="9"/>
  <c r="B254" i="8"/>
  <c r="F253" i="8"/>
  <c r="BS250" i="6"/>
  <c r="BT250" i="6" s="1"/>
  <c r="BR252" i="6"/>
  <c r="AF254" i="6"/>
  <c r="BU236" i="6"/>
  <c r="AC280" i="6"/>
  <c r="AE274" i="6"/>
  <c r="V253" i="6"/>
  <c r="BR253" i="6" s="1"/>
  <c r="AH262" i="6"/>
  <c r="AH263" i="6" s="1"/>
  <c r="AH264" i="6" s="1"/>
  <c r="AH265" i="6" s="1"/>
  <c r="AH266" i="6" s="1"/>
  <c r="AH267" i="6" s="1"/>
  <c r="AH268" i="6" s="1"/>
  <c r="AH269" i="6" s="1"/>
  <c r="AH270" i="6" s="1"/>
  <c r="AH271" i="6" s="1"/>
  <c r="AH272" i="6" s="1"/>
  <c r="AH273" i="6" s="1"/>
  <c r="AH274" i="6" s="1"/>
  <c r="AH275" i="6" s="1"/>
  <c r="AH276" i="6" s="1"/>
  <c r="AH277" i="6" s="1"/>
  <c r="AH278" i="6" s="1"/>
  <c r="AH279" i="6" s="1"/>
  <c r="AH280" i="6" s="1"/>
  <c r="AH281" i="6" s="1"/>
  <c r="AH282" i="6" s="1"/>
  <c r="AH283" i="6" s="1"/>
  <c r="AH284" i="6" s="1"/>
  <c r="AH285" i="6" s="1"/>
  <c r="AH286" i="6" s="1"/>
  <c r="AH287" i="6" s="1"/>
  <c r="AH288" i="6" s="1"/>
  <c r="AH289" i="6" s="1"/>
  <c r="AH290" i="6" s="1"/>
  <c r="AH291" i="6" s="1"/>
  <c r="AH292" i="6" s="1"/>
  <c r="AH293" i="6" s="1"/>
  <c r="AH294" i="6" s="1"/>
  <c r="AH295" i="6" s="1"/>
  <c r="AH296" i="6" s="1"/>
  <c r="AH297" i="6" s="1"/>
  <c r="AH298" i="6" s="1"/>
  <c r="AH299" i="6" s="1"/>
  <c r="AH300" i="6" s="1"/>
  <c r="AH301" i="6" s="1"/>
  <c r="AH302" i="6" s="1"/>
  <c r="AH303" i="6" s="1"/>
  <c r="AH304" i="6" s="1"/>
  <c r="AH305" i="6" s="1"/>
  <c r="AH306" i="6" s="1"/>
  <c r="AH307" i="6" s="1"/>
  <c r="AH308" i="6" s="1"/>
  <c r="AH309" i="6" s="1"/>
  <c r="AH310" i="6" s="1"/>
  <c r="AH311" i="6" s="1"/>
  <c r="AH312" i="6" s="1"/>
  <c r="AH313" i="6" s="1"/>
  <c r="AH314" i="6" s="1"/>
  <c r="AH315" i="6" s="1"/>
  <c r="AH316" i="6" s="1"/>
  <c r="AH317" i="6" s="1"/>
  <c r="AH318" i="6" s="1"/>
  <c r="AH319" i="6" s="1"/>
  <c r="AH320" i="6" s="1"/>
  <c r="AH321" i="6" s="1"/>
  <c r="AH322" i="6" s="1"/>
  <c r="AH323" i="6" s="1"/>
  <c r="AH324" i="6" s="1"/>
  <c r="AH325" i="6" s="1"/>
  <c r="AH326" i="6" s="1"/>
  <c r="AH327" i="6" s="1"/>
  <c r="AH328" i="6" s="1"/>
  <c r="AH329" i="6" s="1"/>
  <c r="AH330" i="6" s="1"/>
  <c r="AH331" i="6" s="1"/>
  <c r="AH332" i="6" s="1"/>
  <c r="AH333" i="6" s="1"/>
  <c r="AH334" i="6" s="1"/>
  <c r="AH335" i="6" s="1"/>
  <c r="AH336" i="6" s="1"/>
  <c r="AH337" i="6" s="1"/>
  <c r="AH338" i="6" s="1"/>
  <c r="AH339" i="6" s="1"/>
  <c r="AH340" i="6" s="1"/>
  <c r="AH341" i="6" s="1"/>
  <c r="AH342" i="6" s="1"/>
  <c r="AH343" i="6" s="1"/>
  <c r="B252" i="6"/>
  <c r="F251" i="6"/>
  <c r="B260" i="9" l="1"/>
  <c r="F259" i="9"/>
  <c r="Y254" i="8"/>
  <c r="D254" i="8"/>
  <c r="E254" i="8"/>
  <c r="BS254" i="8"/>
  <c r="BT254" i="8" s="1"/>
  <c r="BS251" i="6"/>
  <c r="BT251" i="6" s="1"/>
  <c r="AC281" i="6"/>
  <c r="AE275" i="6"/>
  <c r="AF255" i="6"/>
  <c r="BU237" i="6"/>
  <c r="V254" i="6"/>
  <c r="E252" i="6"/>
  <c r="D252" i="6"/>
  <c r="BO235" i="6"/>
  <c r="E260" i="9" l="1"/>
  <c r="CZ243" i="9"/>
  <c r="D260" i="9"/>
  <c r="B255" i="8"/>
  <c r="F254" i="8"/>
  <c r="BS252" i="8"/>
  <c r="BT252" i="8" s="1"/>
  <c r="BR254" i="8"/>
  <c r="BS253" i="8"/>
  <c r="BT253" i="8" s="1"/>
  <c r="BR255" i="8"/>
  <c r="AE276" i="6"/>
  <c r="AF256" i="6"/>
  <c r="BU238" i="6"/>
  <c r="AC282" i="6"/>
  <c r="V255" i="6"/>
  <c r="B253" i="6"/>
  <c r="F252" i="6"/>
  <c r="F260" i="9" l="1"/>
  <c r="B261" i="9"/>
  <c r="D255" i="8"/>
  <c r="E255" i="8"/>
  <c r="AF257" i="6"/>
  <c r="BU239" i="6"/>
  <c r="AC283" i="6"/>
  <c r="AE277" i="6"/>
  <c r="V256" i="6"/>
  <c r="E253" i="6"/>
  <c r="D253" i="6"/>
  <c r="D261" i="9" l="1"/>
  <c r="E261" i="9"/>
  <c r="B256" i="8"/>
  <c r="F255" i="8"/>
  <c r="AC284" i="6"/>
  <c r="AE278" i="6"/>
  <c r="AF258" i="6"/>
  <c r="BU240" i="6"/>
  <c r="V257" i="6"/>
  <c r="B254" i="6"/>
  <c r="Y254" i="6" s="1"/>
  <c r="BR254" i="6" s="1"/>
  <c r="F253" i="6"/>
  <c r="F261" i="9" l="1"/>
  <c r="B262" i="9"/>
  <c r="D256" i="8"/>
  <c r="E256" i="8"/>
  <c r="AE279" i="6"/>
  <c r="AF259" i="6"/>
  <c r="BU241" i="6"/>
  <c r="AC285" i="6"/>
  <c r="Y255" i="6"/>
  <c r="BS252" i="6"/>
  <c r="BT252" i="6" s="1"/>
  <c r="V258" i="6"/>
  <c r="E254" i="6"/>
  <c r="D254" i="6"/>
  <c r="D262" i="9" l="1"/>
  <c r="E262" i="9"/>
  <c r="B257" i="8"/>
  <c r="F256" i="8"/>
  <c r="BS253" i="6"/>
  <c r="BT253" i="6" s="1"/>
  <c r="BR255" i="6"/>
  <c r="AF260" i="6"/>
  <c r="BU242" i="6"/>
  <c r="AC286" i="6"/>
  <c r="AE280" i="6"/>
  <c r="V259" i="6"/>
  <c r="Y256" i="6"/>
  <c r="B255" i="6"/>
  <c r="F254" i="6"/>
  <c r="F262" i="9" l="1"/>
  <c r="B263" i="9"/>
  <c r="D257" i="8"/>
  <c r="BO240" i="8"/>
  <c r="E257" i="8"/>
  <c r="BS254" i="6"/>
  <c r="BT254" i="6" s="1"/>
  <c r="BR256" i="6"/>
  <c r="AC287" i="6"/>
  <c r="AE281" i="6"/>
  <c r="AF261" i="6"/>
  <c r="BU243" i="6"/>
  <c r="V260" i="6"/>
  <c r="E255" i="6"/>
  <c r="D255" i="6"/>
  <c r="D263" i="9" l="1"/>
  <c r="E263" i="9"/>
  <c r="B258" i="8"/>
  <c r="F257" i="8"/>
  <c r="AE282" i="6"/>
  <c r="AF262" i="6"/>
  <c r="BU244" i="6"/>
  <c r="AC288" i="6"/>
  <c r="V261" i="6"/>
  <c r="B256" i="6"/>
  <c r="F255" i="6"/>
  <c r="F263" i="9" l="1"/>
  <c r="B264" i="9"/>
  <c r="E258" i="8"/>
  <c r="D258" i="8"/>
  <c r="AF263" i="6"/>
  <c r="BU245" i="6"/>
  <c r="AC289" i="6"/>
  <c r="AE283" i="6"/>
  <c r="V262" i="6"/>
  <c r="E256" i="6"/>
  <c r="D256" i="6"/>
  <c r="D264" i="9" l="1"/>
  <c r="E264" i="9"/>
  <c r="B259" i="8"/>
  <c r="F258" i="8"/>
  <c r="AC290" i="6"/>
  <c r="AE284" i="6"/>
  <c r="AF264" i="6"/>
  <c r="BU246" i="6"/>
  <c r="V263" i="6"/>
  <c r="B257" i="6"/>
  <c r="F256" i="6"/>
  <c r="F264" i="9" l="1"/>
  <c r="B265" i="9"/>
  <c r="E259" i="8"/>
  <c r="D259" i="8"/>
  <c r="X259" i="8"/>
  <c r="BS259" i="8"/>
  <c r="BT259" i="8" s="1"/>
  <c r="AE285" i="6"/>
  <c r="AF265" i="6"/>
  <c r="BU247" i="6"/>
  <c r="AC291" i="6"/>
  <c r="V264" i="6"/>
  <c r="E257" i="6"/>
  <c r="Y257" i="6"/>
  <c r="BR257" i="6" s="1"/>
  <c r="D257" i="6"/>
  <c r="BO240" i="6"/>
  <c r="D265" i="9" l="1"/>
  <c r="CZ248" i="9"/>
  <c r="E265" i="9"/>
  <c r="BS257" i="8"/>
  <c r="BT257" i="8" s="1"/>
  <c r="BR259" i="8"/>
  <c r="BR260" i="8"/>
  <c r="BS258" i="8"/>
  <c r="BT258" i="8" s="1"/>
  <c r="B260" i="8"/>
  <c r="F259" i="8"/>
  <c r="AF266" i="6"/>
  <c r="AC292" i="6"/>
  <c r="AE286" i="6"/>
  <c r="Y258" i="6"/>
  <c r="BS255" i="6"/>
  <c r="BT255" i="6" s="1"/>
  <c r="V265" i="6"/>
  <c r="B258" i="6"/>
  <c r="F257" i="6"/>
  <c r="B266" i="9" l="1"/>
  <c r="F265" i="9"/>
  <c r="E260" i="8"/>
  <c r="D260" i="8"/>
  <c r="Y259" i="6"/>
  <c r="Y260" i="6" s="1"/>
  <c r="Y261" i="6" s="1"/>
  <c r="Y262" i="6" s="1"/>
  <c r="Y263" i="6" s="1"/>
  <c r="Y264" i="6" s="1"/>
  <c r="Y265" i="6" s="1"/>
  <c r="Y266" i="6" s="1"/>
  <c r="Y267" i="6" s="1"/>
  <c r="Y268" i="6" s="1"/>
  <c r="Y269" i="6" s="1"/>
  <c r="Y270" i="6" s="1"/>
  <c r="Y271" i="6" s="1"/>
  <c r="Y272" i="6" s="1"/>
  <c r="Y273" i="6" s="1"/>
  <c r="Y274" i="6" s="1"/>
  <c r="BR258" i="6"/>
  <c r="AC293" i="6"/>
  <c r="AE287" i="6"/>
  <c r="AF267" i="6"/>
  <c r="BS256" i="6"/>
  <c r="BT256" i="6" s="1"/>
  <c r="AI265" i="6"/>
  <c r="V266" i="6"/>
  <c r="E258" i="6"/>
  <c r="D258" i="6"/>
  <c r="E266" i="9" l="1"/>
  <c r="D266" i="9"/>
  <c r="B261" i="8"/>
  <c r="F260" i="8"/>
  <c r="AJ271" i="6"/>
  <c r="AJ272" i="6" s="1"/>
  <c r="AJ273" i="6" s="1"/>
  <c r="AE288" i="6"/>
  <c r="AI266" i="6"/>
  <c r="BU248" i="6"/>
  <c r="AF268" i="6"/>
  <c r="AC294" i="6"/>
  <c r="V267" i="6"/>
  <c r="B259" i="6"/>
  <c r="X259" i="6" s="1"/>
  <c r="F258" i="6"/>
  <c r="B267" i="9" l="1"/>
  <c r="F266" i="9"/>
  <c r="E261" i="8"/>
  <c r="D261" i="8"/>
  <c r="BR259" i="6"/>
  <c r="BR260" i="6"/>
  <c r="AC295" i="6"/>
  <c r="AI267" i="6"/>
  <c r="BU249" i="6"/>
  <c r="AF269" i="6"/>
  <c r="AE289" i="6"/>
  <c r="X261" i="6"/>
  <c r="BR261" i="6" s="1"/>
  <c r="BS257" i="6"/>
  <c r="BT257" i="6" s="1"/>
  <c r="BS258" i="6"/>
  <c r="BT258" i="6" s="1"/>
  <c r="V268" i="6"/>
  <c r="E259" i="6"/>
  <c r="D259" i="6"/>
  <c r="E267" i="9" l="1"/>
  <c r="D267" i="9"/>
  <c r="B262" i="8"/>
  <c r="F261" i="8"/>
  <c r="AE290" i="6"/>
  <c r="AI268" i="6"/>
  <c r="BU250" i="6"/>
  <c r="AF270" i="6"/>
  <c r="AC296" i="6"/>
  <c r="BS259" i="6"/>
  <c r="BT259" i="6" s="1"/>
  <c r="B260" i="6"/>
  <c r="F259" i="6"/>
  <c r="B268" i="9" l="1"/>
  <c r="F267" i="9"/>
  <c r="E262" i="8"/>
  <c r="D262" i="8"/>
  <c r="BO245" i="8"/>
  <c r="AC297" i="6"/>
  <c r="AI269" i="6"/>
  <c r="BU251" i="6"/>
  <c r="AF271" i="6"/>
  <c r="AE291" i="6"/>
  <c r="E260" i="6"/>
  <c r="D260" i="6"/>
  <c r="E268" i="9" l="1"/>
  <c r="D268" i="9"/>
  <c r="B263" i="8"/>
  <c r="F262" i="8"/>
  <c r="AE292" i="6"/>
  <c r="AI270" i="6"/>
  <c r="BU252" i="6"/>
  <c r="AF272" i="6"/>
  <c r="AC298" i="6"/>
  <c r="B261" i="6"/>
  <c r="F260" i="6"/>
  <c r="B269" i="9" l="1"/>
  <c r="F268" i="9"/>
  <c r="D263" i="8"/>
  <c r="E263" i="8"/>
  <c r="AI271" i="6"/>
  <c r="BU253" i="6"/>
  <c r="AC299" i="6"/>
  <c r="AF273" i="6"/>
  <c r="AE293" i="6"/>
  <c r="E261" i="6"/>
  <c r="D261" i="6"/>
  <c r="E269" i="9" l="1"/>
  <c r="D269" i="9"/>
  <c r="B264" i="8"/>
  <c r="F263" i="8"/>
  <c r="AC300" i="6"/>
  <c r="AE294" i="6"/>
  <c r="AF274" i="6"/>
  <c r="AI272" i="6"/>
  <c r="BU254" i="6"/>
  <c r="B262" i="6"/>
  <c r="F261" i="6"/>
  <c r="B270" i="9" l="1"/>
  <c r="F269" i="9"/>
  <c r="D264" i="8"/>
  <c r="W264" i="8"/>
  <c r="E264" i="8"/>
  <c r="BS264" i="8"/>
  <c r="BT264" i="8" s="1"/>
  <c r="AE295" i="6"/>
  <c r="AI273" i="6"/>
  <c r="BU255" i="6"/>
  <c r="AF275" i="6"/>
  <c r="AC301" i="6"/>
  <c r="E262" i="6"/>
  <c r="D262" i="6"/>
  <c r="X262" i="6"/>
  <c r="BR262" i="6" s="1"/>
  <c r="BO245" i="6"/>
  <c r="E270" i="9" l="1"/>
  <c r="D270" i="9"/>
  <c r="CZ253" i="9"/>
  <c r="BS263" i="8"/>
  <c r="BT263" i="8" s="1"/>
  <c r="BR264" i="8"/>
  <c r="BS262" i="8"/>
  <c r="BT262" i="8" s="1"/>
  <c r="BR265" i="8"/>
  <c r="B265" i="8"/>
  <c r="F264" i="8"/>
  <c r="AI274" i="6"/>
  <c r="BU256" i="6"/>
  <c r="AC302" i="6"/>
  <c r="AF276" i="6"/>
  <c r="AE296" i="6"/>
  <c r="X263" i="6"/>
  <c r="BS260" i="6"/>
  <c r="BT260" i="6" s="1"/>
  <c r="B263" i="6"/>
  <c r="F262" i="6"/>
  <c r="F270" i="9" l="1"/>
  <c r="B271" i="9"/>
  <c r="D265" i="8"/>
  <c r="E265" i="8"/>
  <c r="X264" i="6"/>
  <c r="X265" i="6" s="1"/>
  <c r="X266" i="6" s="1"/>
  <c r="X267" i="6" s="1"/>
  <c r="X268" i="6" s="1"/>
  <c r="X269" i="6" s="1"/>
  <c r="X270" i="6" s="1"/>
  <c r="X271" i="6" s="1"/>
  <c r="X272" i="6" s="1"/>
  <c r="X273" i="6" s="1"/>
  <c r="X274" i="6" s="1"/>
  <c r="X275" i="6" s="1"/>
  <c r="X276" i="6" s="1"/>
  <c r="X277" i="6" s="1"/>
  <c r="X278" i="6" s="1"/>
  <c r="X279" i="6" s="1"/>
  <c r="BR263" i="6"/>
  <c r="AE297" i="6"/>
  <c r="AC303" i="6"/>
  <c r="AF277" i="6"/>
  <c r="AI275" i="6"/>
  <c r="BS261" i="6"/>
  <c r="BT261" i="6" s="1"/>
  <c r="D263" i="6"/>
  <c r="E263" i="6"/>
  <c r="E271" i="9" l="1"/>
  <c r="D271" i="9"/>
  <c r="B266" i="8"/>
  <c r="F265" i="8"/>
  <c r="AK276" i="6"/>
  <c r="AK277" i="6" s="1"/>
  <c r="AK278" i="6" s="1"/>
  <c r="AC304" i="6"/>
  <c r="AI276" i="6"/>
  <c r="AF278" i="6"/>
  <c r="AE298" i="6"/>
  <c r="B264" i="6"/>
  <c r="W264" i="6" s="1"/>
  <c r="F263" i="6"/>
  <c r="F271" i="9" l="1"/>
  <c r="B272" i="9"/>
  <c r="D266" i="8"/>
  <c r="E266" i="8"/>
  <c r="BR264" i="6"/>
  <c r="BR265" i="6"/>
  <c r="AE299" i="6"/>
  <c r="AI277" i="6"/>
  <c r="AF279" i="6"/>
  <c r="AC305" i="6"/>
  <c r="W266" i="6"/>
  <c r="BR266" i="6" s="1"/>
  <c r="BS262" i="6"/>
  <c r="BT262" i="6" s="1"/>
  <c r="BS263" i="6"/>
  <c r="BT263" i="6" s="1"/>
  <c r="D264" i="6"/>
  <c r="E264" i="6"/>
  <c r="E272" i="9" l="1"/>
  <c r="D272" i="9"/>
  <c r="B267" i="8"/>
  <c r="F266" i="8"/>
  <c r="AC306" i="6"/>
  <c r="AI278" i="6"/>
  <c r="AF280" i="6"/>
  <c r="AE300" i="6"/>
  <c r="BS264" i="6"/>
  <c r="BT264" i="6" s="1"/>
  <c r="B265" i="6"/>
  <c r="F264" i="6"/>
  <c r="F272" i="9" l="1"/>
  <c r="B273" i="9"/>
  <c r="E267" i="8"/>
  <c r="D267" i="8"/>
  <c r="BO250" i="8"/>
  <c r="AE301" i="6"/>
  <c r="AI279" i="6"/>
  <c r="AF281" i="6"/>
  <c r="AC307" i="6"/>
  <c r="D265" i="6"/>
  <c r="E265" i="6"/>
  <c r="E273" i="9" l="1"/>
  <c r="D273" i="9"/>
  <c r="F267" i="8"/>
  <c r="B268" i="8"/>
  <c r="AC308" i="6"/>
  <c r="AI280" i="6"/>
  <c r="AF282" i="6"/>
  <c r="AE302" i="6"/>
  <c r="B266" i="6"/>
  <c r="F265" i="6"/>
  <c r="F273" i="9" l="1"/>
  <c r="B274" i="9"/>
  <c r="E268" i="8"/>
  <c r="D268" i="8"/>
  <c r="AI281" i="6"/>
  <c r="AE303" i="6"/>
  <c r="AF283" i="6"/>
  <c r="AC309" i="6"/>
  <c r="D266" i="6"/>
  <c r="E266" i="6"/>
  <c r="E274" i="9" l="1"/>
  <c r="D274" i="9"/>
  <c r="B269" i="8"/>
  <c r="F268" i="8"/>
  <c r="AE304" i="6"/>
  <c r="AC310" i="6"/>
  <c r="AF284" i="6"/>
  <c r="AI282" i="6"/>
  <c r="B267" i="6"/>
  <c r="F266" i="6"/>
  <c r="F274" i="9" l="1"/>
  <c r="B275" i="9"/>
  <c r="V269" i="8"/>
  <c r="E269" i="8"/>
  <c r="D269" i="8"/>
  <c r="BS269" i="8"/>
  <c r="BT269" i="8" s="1"/>
  <c r="AI283" i="6"/>
  <c r="AC311" i="6"/>
  <c r="AF285" i="6"/>
  <c r="AE305" i="6"/>
  <c r="D267" i="6"/>
  <c r="W267" i="6"/>
  <c r="BR267" i="6" s="1"/>
  <c r="E267" i="6"/>
  <c r="BO250" i="6"/>
  <c r="E275" i="9" l="1"/>
  <c r="D275" i="9"/>
  <c r="B270" i="8"/>
  <c r="F269" i="8"/>
  <c r="BS268" i="8"/>
  <c r="BT268" i="8" s="1"/>
  <c r="BR269" i="8"/>
  <c r="BR270" i="8"/>
  <c r="BS267" i="8"/>
  <c r="BT267" i="8" s="1"/>
  <c r="AE306" i="6"/>
  <c r="AC312" i="6"/>
  <c r="AF286" i="6"/>
  <c r="AI284" i="6"/>
  <c r="W268" i="6"/>
  <c r="BS265" i="6"/>
  <c r="BT265" i="6" s="1"/>
  <c r="B268" i="6"/>
  <c r="F267" i="6"/>
  <c r="F275" i="9" l="1"/>
  <c r="B276" i="9"/>
  <c r="E270" i="8"/>
  <c r="D270" i="8"/>
  <c r="W269" i="6"/>
  <c r="W270" i="6" s="1"/>
  <c r="W271" i="6" s="1"/>
  <c r="W272" i="6" s="1"/>
  <c r="W273" i="6" s="1"/>
  <c r="W274" i="6" s="1"/>
  <c r="W275" i="6" s="1"/>
  <c r="W276" i="6" s="1"/>
  <c r="W277" i="6" s="1"/>
  <c r="W278" i="6" s="1"/>
  <c r="W279" i="6" s="1"/>
  <c r="W280" i="6" s="1"/>
  <c r="W281" i="6" s="1"/>
  <c r="AL281" i="6" s="1"/>
  <c r="AL282" i="6" s="1"/>
  <c r="AL283" i="6" s="1"/>
  <c r="BR268" i="6"/>
  <c r="AI285" i="6"/>
  <c r="AC313" i="6"/>
  <c r="AF287" i="6"/>
  <c r="AE307" i="6"/>
  <c r="BS266" i="6"/>
  <c r="BT266" i="6" s="1"/>
  <c r="E268" i="6"/>
  <c r="D268" i="6"/>
  <c r="E276" i="9" l="1"/>
  <c r="D276" i="9"/>
  <c r="B271" i="8"/>
  <c r="F270" i="8"/>
  <c r="W282" i="6"/>
  <c r="W283" i="6" s="1"/>
  <c r="W284" i="6" s="1"/>
  <c r="AE308" i="6"/>
  <c r="AC314" i="6"/>
  <c r="AF288" i="6"/>
  <c r="AI286" i="6"/>
  <c r="B269" i="6"/>
  <c r="V269" i="6" s="1"/>
  <c r="F268" i="6"/>
  <c r="B277" i="9" l="1"/>
  <c r="F276" i="9"/>
  <c r="E271" i="8"/>
  <c r="D271" i="8"/>
  <c r="BR269" i="6"/>
  <c r="BR270" i="6"/>
  <c r="AI287" i="6"/>
  <c r="AC315" i="6"/>
  <c r="AF289" i="6"/>
  <c r="AE309" i="6"/>
  <c r="V271" i="6"/>
  <c r="BR271" i="6" s="1"/>
  <c r="BS268" i="6"/>
  <c r="BT268" i="6" s="1"/>
  <c r="BS267" i="6"/>
  <c r="BT267" i="6" s="1"/>
  <c r="E269" i="6"/>
  <c r="D269" i="6"/>
  <c r="E277" i="9" l="1"/>
  <c r="D277" i="9"/>
  <c r="CZ260" i="9"/>
  <c r="B272" i="8"/>
  <c r="F271" i="8"/>
  <c r="AE310" i="6"/>
  <c r="AC316" i="6"/>
  <c r="AF290" i="6"/>
  <c r="AI288" i="6"/>
  <c r="BS269" i="6"/>
  <c r="BT269" i="6" s="1"/>
  <c r="B270" i="6"/>
  <c r="F269" i="6"/>
  <c r="B278" i="9" l="1"/>
  <c r="F277" i="9"/>
  <c r="E272" i="8"/>
  <c r="D272" i="8"/>
  <c r="AI289" i="6"/>
  <c r="AC317" i="6"/>
  <c r="AF291" i="6"/>
  <c r="AE311" i="6"/>
  <c r="E270" i="6"/>
  <c r="D270" i="6"/>
  <c r="E278" i="9" l="1"/>
  <c r="D278" i="9"/>
  <c r="B273" i="8"/>
  <c r="F272" i="8"/>
  <c r="AE312" i="6"/>
  <c r="AF292" i="6"/>
  <c r="AI290" i="6"/>
  <c r="B271" i="6"/>
  <c r="F270" i="6"/>
  <c r="B279" i="9" l="1"/>
  <c r="F278" i="9"/>
  <c r="D273" i="8"/>
  <c r="E273" i="8"/>
  <c r="AF293" i="6"/>
  <c r="AE313" i="6"/>
  <c r="AI291" i="6"/>
  <c r="E271" i="6"/>
  <c r="D271" i="6"/>
  <c r="E279" i="9" l="1"/>
  <c r="D279" i="9"/>
  <c r="B274" i="8"/>
  <c r="F273" i="8"/>
  <c r="AE314" i="6"/>
  <c r="AI292" i="6"/>
  <c r="AF294" i="6"/>
  <c r="B272" i="6"/>
  <c r="F271" i="6"/>
  <c r="B280" i="9" l="1"/>
  <c r="F279" i="9"/>
  <c r="D274" i="8"/>
  <c r="E274" i="8"/>
  <c r="BO257" i="8"/>
  <c r="AI293" i="6"/>
  <c r="AF295" i="6"/>
  <c r="AE315" i="6"/>
  <c r="V272" i="6"/>
  <c r="BR272" i="6" s="1"/>
  <c r="E272" i="6"/>
  <c r="D272" i="6"/>
  <c r="E280" i="9" l="1"/>
  <c r="D280" i="9"/>
  <c r="B275" i="8"/>
  <c r="F274" i="8"/>
  <c r="AF296" i="6"/>
  <c r="AE316" i="6"/>
  <c r="AI294" i="6"/>
  <c r="V273" i="6"/>
  <c r="BS270" i="6"/>
  <c r="BT270" i="6" s="1"/>
  <c r="AJ274" i="6"/>
  <c r="F272" i="6"/>
  <c r="B273" i="6"/>
  <c r="B281" i="9" l="1"/>
  <c r="F280" i="9"/>
  <c r="Y275" i="8"/>
  <c r="D275" i="8"/>
  <c r="E275" i="8"/>
  <c r="BS275" i="8"/>
  <c r="BT275" i="8" s="1"/>
  <c r="BS271" i="6"/>
  <c r="BT271" i="6" s="1"/>
  <c r="BR273" i="6"/>
  <c r="AE317" i="6"/>
  <c r="AJ275" i="6"/>
  <c r="BU257" i="6"/>
  <c r="AI295" i="6"/>
  <c r="AF297" i="6"/>
  <c r="V274" i="6"/>
  <c r="AK279" i="6"/>
  <c r="AK280" i="6" s="1"/>
  <c r="AK281" i="6" s="1"/>
  <c r="AK282" i="6" s="1"/>
  <c r="AK283" i="6" s="1"/>
  <c r="AK284" i="6" s="1"/>
  <c r="AK285" i="6" s="1"/>
  <c r="AK286" i="6" s="1"/>
  <c r="AK287" i="6" s="1"/>
  <c r="AK288" i="6" s="1"/>
  <c r="AK289" i="6" s="1"/>
  <c r="AK290" i="6" s="1"/>
  <c r="AK291" i="6" s="1"/>
  <c r="AK292" i="6" s="1"/>
  <c r="AK293" i="6" s="1"/>
  <c r="AK294" i="6" s="1"/>
  <c r="AK295" i="6" s="1"/>
  <c r="AK296" i="6" s="1"/>
  <c r="AK297" i="6" s="1"/>
  <c r="AK298" i="6" s="1"/>
  <c r="AK299" i="6" s="1"/>
  <c r="AK300" i="6" s="1"/>
  <c r="AK301" i="6" s="1"/>
  <c r="AK302" i="6" s="1"/>
  <c r="AK303" i="6" s="1"/>
  <c r="AK304" i="6" s="1"/>
  <c r="AK305" i="6" s="1"/>
  <c r="AK306" i="6" s="1"/>
  <c r="AK307" i="6" s="1"/>
  <c r="AK308" i="6" s="1"/>
  <c r="AK309" i="6" s="1"/>
  <c r="AK310" i="6" s="1"/>
  <c r="AK311" i="6" s="1"/>
  <c r="AK312" i="6" s="1"/>
  <c r="AK313" i="6" s="1"/>
  <c r="AK314" i="6" s="1"/>
  <c r="AK315" i="6" s="1"/>
  <c r="AK316" i="6" s="1"/>
  <c r="AK317" i="6" s="1"/>
  <c r="AK318" i="6" s="1"/>
  <c r="AK319" i="6" s="1"/>
  <c r="AK320" i="6" s="1"/>
  <c r="AK321" i="6" s="1"/>
  <c r="AK322" i="6" s="1"/>
  <c r="AK323" i="6" s="1"/>
  <c r="AK324" i="6" s="1"/>
  <c r="AK325" i="6" s="1"/>
  <c r="AK326" i="6" s="1"/>
  <c r="AK327" i="6" s="1"/>
  <c r="AK328" i="6" s="1"/>
  <c r="AK329" i="6" s="1"/>
  <c r="AK330" i="6" s="1"/>
  <c r="AK331" i="6" s="1"/>
  <c r="AK332" i="6" s="1"/>
  <c r="AK333" i="6" s="1"/>
  <c r="AK334" i="6" s="1"/>
  <c r="AK335" i="6" s="1"/>
  <c r="AK336" i="6" s="1"/>
  <c r="AK337" i="6" s="1"/>
  <c r="AK338" i="6" s="1"/>
  <c r="AK339" i="6" s="1"/>
  <c r="AK340" i="6" s="1"/>
  <c r="AK341" i="6" s="1"/>
  <c r="AK342" i="6" s="1"/>
  <c r="AK343" i="6" s="1"/>
  <c r="AK344" i="6" s="1"/>
  <c r="AK345" i="6" s="1"/>
  <c r="AK346" i="6" s="1"/>
  <c r="AK347" i="6" s="1"/>
  <c r="AK348" i="6" s="1"/>
  <c r="AK349" i="6" s="1"/>
  <c r="AK350" i="6" s="1"/>
  <c r="AK351" i="6" s="1"/>
  <c r="AK352" i="6" s="1"/>
  <c r="AK353" i="6" s="1"/>
  <c r="AK354" i="6" s="1"/>
  <c r="AK355" i="6" s="1"/>
  <c r="AK356" i="6" s="1"/>
  <c r="AK357" i="6" s="1"/>
  <c r="AK358" i="6" s="1"/>
  <c r="AK359" i="6" s="1"/>
  <c r="E273" i="6"/>
  <c r="D273" i="6"/>
  <c r="E281" i="9" l="1"/>
  <c r="D281" i="9"/>
  <c r="B276" i="8"/>
  <c r="F275" i="8"/>
  <c r="BS273" i="8"/>
  <c r="BT273" i="8" s="1"/>
  <c r="BR275" i="8"/>
  <c r="BS274" i="8"/>
  <c r="BT274" i="8" s="1"/>
  <c r="BR276" i="8"/>
  <c r="BS272" i="6"/>
  <c r="BT272" i="6" s="1"/>
  <c r="BR274" i="6"/>
  <c r="AF298" i="6"/>
  <c r="AJ276" i="6"/>
  <c r="BU258" i="6"/>
  <c r="AI296" i="6"/>
  <c r="AE318" i="6"/>
  <c r="AE319" i="6" s="1"/>
  <c r="AE320" i="6" s="1"/>
  <c r="AE321" i="6" s="1"/>
  <c r="AE322" i="6" s="1"/>
  <c r="AE323" i="6" s="1"/>
  <c r="AE324" i="6" s="1"/>
  <c r="AE325" i="6" s="1"/>
  <c r="AE326" i="6" s="1"/>
  <c r="AE327" i="6" s="1"/>
  <c r="V275" i="6"/>
  <c r="AL284" i="6"/>
  <c r="AL285" i="6" s="1"/>
  <c r="AL286" i="6" s="1"/>
  <c r="AL287" i="6" s="1"/>
  <c r="AL288" i="6" s="1"/>
  <c r="AL289" i="6" s="1"/>
  <c r="AL290" i="6" s="1"/>
  <c r="AL291" i="6" s="1"/>
  <c r="AL292" i="6" s="1"/>
  <c r="AL293" i="6" s="1"/>
  <c r="AL294" i="6" s="1"/>
  <c r="AL295" i="6" s="1"/>
  <c r="AL296" i="6" s="1"/>
  <c r="AL297" i="6" s="1"/>
  <c r="AL298" i="6" s="1"/>
  <c r="AL299" i="6" s="1"/>
  <c r="AL300" i="6" s="1"/>
  <c r="AL301" i="6" s="1"/>
  <c r="AL302" i="6" s="1"/>
  <c r="AL303" i="6" s="1"/>
  <c r="AL304" i="6" s="1"/>
  <c r="AL305" i="6" s="1"/>
  <c r="AL306" i="6" s="1"/>
  <c r="AL307" i="6" s="1"/>
  <c r="AL308" i="6" s="1"/>
  <c r="AL309" i="6" s="1"/>
  <c r="AL310" i="6" s="1"/>
  <c r="AL311" i="6" s="1"/>
  <c r="AL312" i="6" s="1"/>
  <c r="AL313" i="6" s="1"/>
  <c r="AL314" i="6" s="1"/>
  <c r="AL315" i="6" s="1"/>
  <c r="AL316" i="6" s="1"/>
  <c r="AL317" i="6" s="1"/>
  <c r="AL318" i="6" s="1"/>
  <c r="AL319" i="6" s="1"/>
  <c r="AL320" i="6" s="1"/>
  <c r="AL321" i="6" s="1"/>
  <c r="AL322" i="6" s="1"/>
  <c r="AL323" i="6" s="1"/>
  <c r="AL324" i="6" s="1"/>
  <c r="AL325" i="6" s="1"/>
  <c r="AL326" i="6" s="1"/>
  <c r="AL327" i="6" s="1"/>
  <c r="AL328" i="6" s="1"/>
  <c r="AL329" i="6" s="1"/>
  <c r="AL330" i="6" s="1"/>
  <c r="AL331" i="6" s="1"/>
  <c r="AL332" i="6" s="1"/>
  <c r="AL333" i="6" s="1"/>
  <c r="AL334" i="6" s="1"/>
  <c r="AL335" i="6" s="1"/>
  <c r="AL336" i="6" s="1"/>
  <c r="AL337" i="6" s="1"/>
  <c r="AL338" i="6" s="1"/>
  <c r="AL339" i="6" s="1"/>
  <c r="AL340" i="6" s="1"/>
  <c r="AL341" i="6" s="1"/>
  <c r="AL342" i="6" s="1"/>
  <c r="AL343" i="6" s="1"/>
  <c r="AL344" i="6" s="1"/>
  <c r="AL345" i="6" s="1"/>
  <c r="AL346" i="6" s="1"/>
  <c r="AL347" i="6" s="1"/>
  <c r="AL348" i="6" s="1"/>
  <c r="AL349" i="6" s="1"/>
  <c r="AL350" i="6" s="1"/>
  <c r="AL351" i="6" s="1"/>
  <c r="AL352" i="6" s="1"/>
  <c r="AL353" i="6" s="1"/>
  <c r="AL354" i="6" s="1"/>
  <c r="AL355" i="6" s="1"/>
  <c r="AL356" i="6" s="1"/>
  <c r="AL357" i="6" s="1"/>
  <c r="AL358" i="6" s="1"/>
  <c r="AL359" i="6" s="1"/>
  <c r="AL360" i="6" s="1"/>
  <c r="AL361" i="6" s="1"/>
  <c r="AL362" i="6" s="1"/>
  <c r="AL363" i="6" s="1"/>
  <c r="AL364" i="6" s="1"/>
  <c r="F273" i="6"/>
  <c r="B274" i="6"/>
  <c r="B282" i="9" l="1"/>
  <c r="F281" i="9"/>
  <c r="D276" i="8"/>
  <c r="E276" i="8"/>
  <c r="AJ277" i="6"/>
  <c r="BU259" i="6"/>
  <c r="AI297" i="6"/>
  <c r="AF299" i="6"/>
  <c r="V276" i="6"/>
  <c r="E274" i="6"/>
  <c r="D274" i="6"/>
  <c r="BO257" i="6"/>
  <c r="E282" i="9" l="1"/>
  <c r="D282" i="9"/>
  <c r="CZ265" i="9"/>
  <c r="B277" i="8"/>
  <c r="F276" i="8"/>
  <c r="AI298" i="6"/>
  <c r="AF300" i="6"/>
  <c r="AJ278" i="6"/>
  <c r="BU260" i="6"/>
  <c r="V277" i="6"/>
  <c r="F274" i="6"/>
  <c r="B275" i="6"/>
  <c r="Y275" i="6" s="1"/>
  <c r="BR275" i="6" s="1"/>
  <c r="B283" i="9" l="1"/>
  <c r="F282" i="9"/>
  <c r="D277" i="8"/>
  <c r="E277" i="8"/>
  <c r="AF301" i="6"/>
  <c r="AJ279" i="6"/>
  <c r="BU261" i="6"/>
  <c r="AI299" i="6"/>
  <c r="Y276" i="6"/>
  <c r="BR276" i="6" s="1"/>
  <c r="BS273" i="6"/>
  <c r="BT273" i="6" s="1"/>
  <c r="V278" i="6"/>
  <c r="D275" i="6"/>
  <c r="E275" i="6"/>
  <c r="D283" i="9" l="1"/>
  <c r="E283" i="9"/>
  <c r="B278" i="8"/>
  <c r="F277" i="8"/>
  <c r="AJ280" i="6"/>
  <c r="BU262" i="6"/>
  <c r="AI300" i="6"/>
  <c r="AF302" i="6"/>
  <c r="V279" i="6"/>
  <c r="Y277" i="6"/>
  <c r="BS274" i="6"/>
  <c r="BT274" i="6" s="1"/>
  <c r="B276" i="6"/>
  <c r="F275" i="6"/>
  <c r="B284" i="9" l="1"/>
  <c r="F283" i="9"/>
  <c r="D278" i="8"/>
  <c r="E278" i="8"/>
  <c r="Y278" i="6"/>
  <c r="BR278" i="6" s="1"/>
  <c r="BR277" i="6"/>
  <c r="AI301" i="6"/>
  <c r="AF303" i="6"/>
  <c r="AJ281" i="6"/>
  <c r="BU263" i="6"/>
  <c r="BS275" i="6"/>
  <c r="BT275" i="6" s="1"/>
  <c r="V280" i="6"/>
  <c r="D276" i="6"/>
  <c r="E276" i="6"/>
  <c r="D284" i="9" l="1"/>
  <c r="E284" i="9"/>
  <c r="BS276" i="6"/>
  <c r="BT276" i="6" s="1"/>
  <c r="B279" i="8"/>
  <c r="F278" i="8"/>
  <c r="AF304" i="6"/>
  <c r="AJ282" i="6"/>
  <c r="BU264" i="6"/>
  <c r="AI302" i="6"/>
  <c r="V281" i="6"/>
  <c r="F276" i="6"/>
  <c r="B277" i="6"/>
  <c r="B285" i="9" l="1"/>
  <c r="F284" i="9"/>
  <c r="D279" i="8"/>
  <c r="BO262" i="8"/>
  <c r="E279" i="8"/>
  <c r="AJ283" i="6"/>
  <c r="BU265" i="6"/>
  <c r="AI303" i="6"/>
  <c r="AF305" i="6"/>
  <c r="V282" i="6"/>
  <c r="D277" i="6"/>
  <c r="E277" i="6"/>
  <c r="D285" i="9" l="1"/>
  <c r="E285" i="9"/>
  <c r="B280" i="8"/>
  <c r="F279" i="8"/>
  <c r="AI304" i="6"/>
  <c r="AF306" i="6"/>
  <c r="AJ284" i="6"/>
  <c r="BU266" i="6"/>
  <c r="V283" i="6"/>
  <c r="F277" i="6"/>
  <c r="B278" i="6"/>
  <c r="B286" i="9" l="1"/>
  <c r="F285" i="9"/>
  <c r="X280" i="8"/>
  <c r="E280" i="8"/>
  <c r="D280" i="8"/>
  <c r="BS280" i="8"/>
  <c r="BT280" i="8" s="1"/>
  <c r="AF307" i="6"/>
  <c r="AJ285" i="6"/>
  <c r="BU267" i="6"/>
  <c r="AI305" i="6"/>
  <c r="V284" i="6"/>
  <c r="D278" i="6"/>
  <c r="E278" i="6"/>
  <c r="D286" i="9" l="1"/>
  <c r="E286" i="9"/>
  <c r="B281" i="8"/>
  <c r="F280" i="8"/>
  <c r="BS278" i="8"/>
  <c r="BT278" i="8" s="1"/>
  <c r="BR280" i="8"/>
  <c r="BS279" i="8"/>
  <c r="BT279" i="8" s="1"/>
  <c r="BR281" i="8"/>
  <c r="AJ286" i="6"/>
  <c r="BU268" i="6"/>
  <c r="AI306" i="6"/>
  <c r="AF308" i="6"/>
  <c r="V285" i="6"/>
  <c r="F278" i="6"/>
  <c r="B279" i="6"/>
  <c r="B287" i="9" l="1"/>
  <c r="F286" i="9"/>
  <c r="E281" i="8"/>
  <c r="D281" i="8"/>
  <c r="AI307" i="6"/>
  <c r="AF309" i="6"/>
  <c r="AJ287" i="6"/>
  <c r="V286" i="6"/>
  <c r="Y279" i="6"/>
  <c r="BR279" i="6" s="1"/>
  <c r="D279" i="6"/>
  <c r="E279" i="6"/>
  <c r="BO262" i="6"/>
  <c r="D287" i="9" l="1"/>
  <c r="CZ270" i="9"/>
  <c r="E287" i="9"/>
  <c r="B282" i="8"/>
  <c r="F281" i="8"/>
  <c r="AF310" i="6"/>
  <c r="AJ288" i="6"/>
  <c r="AI308" i="6"/>
  <c r="Y280" i="6"/>
  <c r="Y281" i="6" s="1"/>
  <c r="Y282" i="6" s="1"/>
  <c r="Y283" i="6" s="1"/>
  <c r="Y284" i="6" s="1"/>
  <c r="Y285" i="6" s="1"/>
  <c r="Y286" i="6" s="1"/>
  <c r="Y287" i="6" s="1"/>
  <c r="Y288" i="6" s="1"/>
  <c r="Y289" i="6" s="1"/>
  <c r="Y290" i="6" s="1"/>
  <c r="Y291" i="6" s="1"/>
  <c r="Y292" i="6" s="1"/>
  <c r="Y293" i="6" s="1"/>
  <c r="Y294" i="6" s="1"/>
  <c r="Y295" i="6" s="1"/>
  <c r="BS277" i="6"/>
  <c r="BT277" i="6" s="1"/>
  <c r="AM286" i="6"/>
  <c r="V287" i="6"/>
  <c r="F279" i="6"/>
  <c r="B280" i="6"/>
  <c r="X280" i="6" s="1"/>
  <c r="BR280" i="6" s="1"/>
  <c r="B288" i="9" l="1"/>
  <c r="F287" i="9"/>
  <c r="E282" i="8"/>
  <c r="D282" i="8"/>
  <c r="AJ289" i="6"/>
  <c r="AM287" i="6"/>
  <c r="BU269" i="6"/>
  <c r="AI309" i="6"/>
  <c r="AF311" i="6"/>
  <c r="X281" i="6"/>
  <c r="BS278" i="6"/>
  <c r="BT278" i="6" s="1"/>
  <c r="V288" i="6"/>
  <c r="AN292" i="6"/>
  <c r="AN293" i="6" s="1"/>
  <c r="AN294" i="6" s="1"/>
  <c r="AN295" i="6" s="1"/>
  <c r="E280" i="6"/>
  <c r="D280" i="6"/>
  <c r="E288" i="9" l="1"/>
  <c r="D288" i="9"/>
  <c r="B283" i="8"/>
  <c r="F282" i="8"/>
  <c r="BS279" i="6"/>
  <c r="BT279" i="6" s="1"/>
  <c r="BR281" i="6"/>
  <c r="AF312" i="6"/>
  <c r="AM288" i="6"/>
  <c r="BU270" i="6"/>
  <c r="AI310" i="6"/>
  <c r="AJ290" i="6"/>
  <c r="V289" i="6"/>
  <c r="X282" i="6"/>
  <c r="B281" i="6"/>
  <c r="F280" i="6"/>
  <c r="B289" i="9" l="1"/>
  <c r="F288" i="9"/>
  <c r="E283" i="8"/>
  <c r="D283" i="8"/>
  <c r="BS280" i="6"/>
  <c r="BT280" i="6" s="1"/>
  <c r="BR282" i="6"/>
  <c r="AJ291" i="6"/>
  <c r="AM289" i="6"/>
  <c r="BU271" i="6"/>
  <c r="AI311" i="6"/>
  <c r="AF313" i="6"/>
  <c r="X283" i="6"/>
  <c r="BR283" i="6" s="1"/>
  <c r="BS281" i="6"/>
  <c r="BT281" i="6" s="1"/>
  <c r="E281" i="6"/>
  <c r="D281" i="6"/>
  <c r="E289" i="9" l="1"/>
  <c r="D289" i="9"/>
  <c r="B284" i="8"/>
  <c r="F283" i="8"/>
  <c r="AF314" i="6"/>
  <c r="AM290" i="6"/>
  <c r="BU272" i="6"/>
  <c r="AI312" i="6"/>
  <c r="AJ292" i="6"/>
  <c r="B282" i="6"/>
  <c r="F281" i="6"/>
  <c r="B290" i="9" l="1"/>
  <c r="F289" i="9"/>
  <c r="E284" i="8"/>
  <c r="D284" i="8"/>
  <c r="BO267" i="8"/>
  <c r="AJ293" i="6"/>
  <c r="AM291" i="6"/>
  <c r="BU273" i="6"/>
  <c r="AI313" i="6"/>
  <c r="AF315" i="6"/>
  <c r="E282" i="6"/>
  <c r="D282" i="6"/>
  <c r="E290" i="9" l="1"/>
  <c r="D290" i="9"/>
  <c r="F284" i="8"/>
  <c r="B285" i="8"/>
  <c r="AF316" i="6"/>
  <c r="AM292" i="6"/>
  <c r="BU274" i="6"/>
  <c r="AI314" i="6"/>
  <c r="AJ294" i="6"/>
  <c r="B283" i="6"/>
  <c r="F282" i="6"/>
  <c r="B291" i="9" l="1"/>
  <c r="F290" i="9"/>
  <c r="D285" i="8"/>
  <c r="W285" i="8"/>
  <c r="E285" i="8"/>
  <c r="BS285" i="8"/>
  <c r="BT285" i="8" s="1"/>
  <c r="AM293" i="6"/>
  <c r="BU275" i="6"/>
  <c r="AJ295" i="6"/>
  <c r="AI315" i="6"/>
  <c r="AF317" i="6"/>
  <c r="E283" i="6"/>
  <c r="D283" i="6"/>
  <c r="E291" i="9" l="1"/>
  <c r="D291" i="9"/>
  <c r="BS283" i="8"/>
  <c r="BT283" i="8" s="1"/>
  <c r="BR285" i="8"/>
  <c r="BR286" i="8"/>
  <c r="BS284" i="8"/>
  <c r="BT284" i="8" s="1"/>
  <c r="F285" i="8"/>
  <c r="B286" i="8"/>
  <c r="AF318" i="6"/>
  <c r="AF319" i="6" s="1"/>
  <c r="AF320" i="6" s="1"/>
  <c r="AF321" i="6" s="1"/>
  <c r="AF322" i="6" s="1"/>
  <c r="AF323" i="6" s="1"/>
  <c r="AF324" i="6" s="1"/>
  <c r="AF325" i="6" s="1"/>
  <c r="AF326" i="6" s="1"/>
  <c r="AF327" i="6" s="1"/>
  <c r="AF328" i="6" s="1"/>
  <c r="AF329" i="6" s="1"/>
  <c r="AF330" i="6" s="1"/>
  <c r="AF331" i="6" s="1"/>
  <c r="AF332" i="6" s="1"/>
  <c r="AF333" i="6" s="1"/>
  <c r="AJ296" i="6"/>
  <c r="AI316" i="6"/>
  <c r="AM294" i="6"/>
  <c r="BU276" i="6"/>
  <c r="B284" i="6"/>
  <c r="F283" i="6"/>
  <c r="B292" i="9" l="1"/>
  <c r="F291" i="9"/>
  <c r="D286" i="8"/>
  <c r="E286" i="8"/>
  <c r="AI317" i="6"/>
  <c r="AM295" i="6"/>
  <c r="BU277" i="6"/>
  <c r="AJ297" i="6"/>
  <c r="E284" i="6"/>
  <c r="D284" i="6"/>
  <c r="X284" i="6"/>
  <c r="BR284" i="6" s="1"/>
  <c r="BO267" i="6"/>
  <c r="E292" i="9" l="1"/>
  <c r="CZ275" i="9"/>
  <c r="D292" i="9"/>
  <c r="F286" i="8"/>
  <c r="B287" i="8"/>
  <c r="AM296" i="6"/>
  <c r="BU278" i="6"/>
  <c r="AJ298" i="6"/>
  <c r="AI318" i="6"/>
  <c r="AI319" i="6" s="1"/>
  <c r="AI320" i="6" s="1"/>
  <c r="AI321" i="6" s="1"/>
  <c r="AI322" i="6" s="1"/>
  <c r="AI323" i="6" s="1"/>
  <c r="AI324" i="6" s="1"/>
  <c r="AI325" i="6" s="1"/>
  <c r="AI326" i="6" s="1"/>
  <c r="AI327" i="6" s="1"/>
  <c r="AI328" i="6" s="1"/>
  <c r="AI329" i="6" s="1"/>
  <c r="AI330" i="6" s="1"/>
  <c r="AI331" i="6" s="1"/>
  <c r="AI332" i="6" s="1"/>
  <c r="AI333" i="6" s="1"/>
  <c r="AI334" i="6" s="1"/>
  <c r="AI335" i="6" s="1"/>
  <c r="AI336" i="6" s="1"/>
  <c r="AI337" i="6" s="1"/>
  <c r="AI338" i="6" s="1"/>
  <c r="AI339" i="6" s="1"/>
  <c r="AI340" i="6" s="1"/>
  <c r="AI341" i="6" s="1"/>
  <c r="AI342" i="6" s="1"/>
  <c r="AI343" i="6" s="1"/>
  <c r="AI344" i="6" s="1"/>
  <c r="AI345" i="6" s="1"/>
  <c r="AI346" i="6" s="1"/>
  <c r="AI347" i="6" s="1"/>
  <c r="AI348" i="6" s="1"/>
  <c r="X285" i="6"/>
  <c r="X286" i="6" s="1"/>
  <c r="X287" i="6" s="1"/>
  <c r="X288" i="6" s="1"/>
  <c r="X289" i="6" s="1"/>
  <c r="X290" i="6" s="1"/>
  <c r="X291" i="6" s="1"/>
  <c r="X292" i="6" s="1"/>
  <c r="X293" i="6" s="1"/>
  <c r="X294" i="6" s="1"/>
  <c r="X295" i="6" s="1"/>
  <c r="X296" i="6" s="1"/>
  <c r="X297" i="6" s="1"/>
  <c r="X298" i="6" s="1"/>
  <c r="X299" i="6" s="1"/>
  <c r="X300" i="6" s="1"/>
  <c r="BS282" i="6"/>
  <c r="BT282" i="6" s="1"/>
  <c r="B285" i="6"/>
  <c r="W285" i="6" s="1"/>
  <c r="BR285" i="6" s="1"/>
  <c r="F284" i="6"/>
  <c r="B293" i="9" l="1"/>
  <c r="F292" i="9"/>
  <c r="D287" i="8"/>
  <c r="E287" i="8"/>
  <c r="AJ299" i="6"/>
  <c r="AM297" i="6"/>
  <c r="W286" i="6"/>
  <c r="BS283" i="6"/>
  <c r="BT283" i="6" s="1"/>
  <c r="AO297" i="6"/>
  <c r="AO298" i="6" s="1"/>
  <c r="AO299" i="6" s="1"/>
  <c r="AO300" i="6" s="1"/>
  <c r="D285" i="6"/>
  <c r="E285" i="6"/>
  <c r="D293" i="9" l="1"/>
  <c r="E293" i="9"/>
  <c r="F287" i="8"/>
  <c r="B288" i="8"/>
  <c r="BS284" i="6"/>
  <c r="BT284" i="6" s="1"/>
  <c r="BR286" i="6"/>
  <c r="AM298" i="6"/>
  <c r="AJ300" i="6"/>
  <c r="W287" i="6"/>
  <c r="BR287" i="6" s="1"/>
  <c r="B286" i="6"/>
  <c r="F285" i="6"/>
  <c r="F293" i="9" l="1"/>
  <c r="B294" i="9"/>
  <c r="D288" i="8"/>
  <c r="E288" i="8"/>
  <c r="BS285" i="6"/>
  <c r="BT285" i="6" s="1"/>
  <c r="AJ301" i="6"/>
  <c r="AM299" i="6"/>
  <c r="W288" i="6"/>
  <c r="BR288" i="6" s="1"/>
  <c r="D286" i="6"/>
  <c r="E286" i="6"/>
  <c r="D294" i="9" l="1"/>
  <c r="E294" i="9"/>
  <c r="F288" i="8"/>
  <c r="B289" i="8"/>
  <c r="BS286" i="6"/>
  <c r="BT286" i="6" s="1"/>
  <c r="AM300" i="6"/>
  <c r="AJ302" i="6"/>
  <c r="B287" i="6"/>
  <c r="F286" i="6"/>
  <c r="F294" i="9" l="1"/>
  <c r="B295" i="9"/>
  <c r="D289" i="8"/>
  <c r="E289" i="8"/>
  <c r="BO272" i="8"/>
  <c r="AJ303" i="6"/>
  <c r="AM301" i="6"/>
  <c r="D287" i="6"/>
  <c r="E287" i="6"/>
  <c r="D295" i="9" l="1"/>
  <c r="E295" i="9"/>
  <c r="B290" i="8"/>
  <c r="F289" i="8"/>
  <c r="AM302" i="6"/>
  <c r="AJ304" i="6"/>
  <c r="B288" i="6"/>
  <c r="F287" i="6"/>
  <c r="F295" i="9" l="1"/>
  <c r="B296" i="9"/>
  <c r="E290" i="8"/>
  <c r="V290" i="8"/>
  <c r="D290" i="8"/>
  <c r="BS290" i="8"/>
  <c r="BT290" i="8" s="1"/>
  <c r="AJ305" i="6"/>
  <c r="AM303" i="6"/>
  <c r="D288" i="6"/>
  <c r="E288" i="6"/>
  <c r="D296" i="9" l="1"/>
  <c r="E296" i="9"/>
  <c r="B291" i="8"/>
  <c r="F290" i="8"/>
  <c r="BR290" i="8"/>
  <c r="BS289" i="8"/>
  <c r="BT289" i="8" s="1"/>
  <c r="BR291" i="8"/>
  <c r="BS288" i="8"/>
  <c r="BT288" i="8" s="1"/>
  <c r="AM304" i="6"/>
  <c r="AJ306" i="6"/>
  <c r="B289" i="6"/>
  <c r="F288" i="6"/>
  <c r="F296" i="9" l="1"/>
  <c r="B297" i="9"/>
  <c r="E291" i="8"/>
  <c r="D291" i="8"/>
  <c r="AJ307" i="6"/>
  <c r="AM305" i="6"/>
  <c r="D289" i="6"/>
  <c r="W289" i="6"/>
  <c r="BR289" i="6" s="1"/>
  <c r="BO272" i="6"/>
  <c r="E289" i="6"/>
  <c r="D297" i="9" l="1"/>
  <c r="E297" i="9"/>
  <c r="B292" i="8"/>
  <c r="F291" i="8"/>
  <c r="AM306" i="6"/>
  <c r="AJ308" i="6"/>
  <c r="W290" i="6"/>
  <c r="W291" i="6" s="1"/>
  <c r="W292" i="6" s="1"/>
  <c r="W293" i="6" s="1"/>
  <c r="W294" i="6" s="1"/>
  <c r="W295" i="6" s="1"/>
  <c r="W296" i="6" s="1"/>
  <c r="W297" i="6" s="1"/>
  <c r="W298" i="6" s="1"/>
  <c r="W299" i="6" s="1"/>
  <c r="W300" i="6" s="1"/>
  <c r="W301" i="6" s="1"/>
  <c r="W302" i="6" s="1"/>
  <c r="W303" i="6" s="1"/>
  <c r="W304" i="6" s="1"/>
  <c r="W305" i="6" s="1"/>
  <c r="BS287" i="6"/>
  <c r="BT287" i="6" s="1"/>
  <c r="W307" i="6"/>
  <c r="W308" i="6" s="1"/>
  <c r="W309" i="6" s="1"/>
  <c r="W310" i="6" s="1"/>
  <c r="W311" i="6" s="1"/>
  <c r="W312" i="6" s="1"/>
  <c r="W313" i="6" s="1"/>
  <c r="W314" i="6" s="1"/>
  <c r="W315" i="6" s="1"/>
  <c r="W316" i="6" s="1"/>
  <c r="W317" i="6" s="1"/>
  <c r="W318" i="6" s="1"/>
  <c r="W319" i="6" s="1"/>
  <c r="W320" i="6" s="1"/>
  <c r="W321" i="6" s="1"/>
  <c r="W322" i="6" s="1"/>
  <c r="W323" i="6" s="1"/>
  <c r="B290" i="6"/>
  <c r="V290" i="6" s="1"/>
  <c r="BR290" i="6" s="1"/>
  <c r="F289" i="6"/>
  <c r="F297" i="9" l="1"/>
  <c r="B298" i="9"/>
  <c r="E292" i="8"/>
  <c r="D292" i="8"/>
  <c r="AJ309" i="6"/>
  <c r="AM307" i="6"/>
  <c r="AP302" i="6"/>
  <c r="AP303" i="6" s="1"/>
  <c r="AP304" i="6" s="1"/>
  <c r="AP305" i="6" s="1"/>
  <c r="V291" i="6"/>
  <c r="BS288" i="6"/>
  <c r="BT288" i="6" s="1"/>
  <c r="W324" i="6"/>
  <c r="W325" i="6" s="1"/>
  <c r="W326" i="6" s="1"/>
  <c r="AD323" i="6"/>
  <c r="AD324" i="6" s="1"/>
  <c r="AD325" i="6" s="1"/>
  <c r="AD326" i="6" s="1"/>
  <c r="AD327" i="6" s="1"/>
  <c r="AD328" i="6" s="1"/>
  <c r="AD329" i="6" s="1"/>
  <c r="AD330" i="6" s="1"/>
  <c r="AD331" i="6" s="1"/>
  <c r="AD332" i="6" s="1"/>
  <c r="AD333" i="6" s="1"/>
  <c r="AD334" i="6" s="1"/>
  <c r="AD335" i="6" s="1"/>
  <c r="AD336" i="6" s="1"/>
  <c r="AD337" i="6" s="1"/>
  <c r="AD338" i="6" s="1"/>
  <c r="AD339" i="6" s="1"/>
  <c r="AD340" i="6" s="1"/>
  <c r="AD341" i="6" s="1"/>
  <c r="AD342" i="6" s="1"/>
  <c r="AD343" i="6" s="1"/>
  <c r="AD344" i="6" s="1"/>
  <c r="AD345" i="6" s="1"/>
  <c r="AD346" i="6" s="1"/>
  <c r="AD347" i="6" s="1"/>
  <c r="AD348" i="6" s="1"/>
  <c r="AD349" i="6" s="1"/>
  <c r="AD350" i="6" s="1"/>
  <c r="AD351" i="6" s="1"/>
  <c r="AD352" i="6" s="1"/>
  <c r="AD353" i="6" s="1"/>
  <c r="AD354" i="6" s="1"/>
  <c r="AD355" i="6" s="1"/>
  <c r="AD356" i="6" s="1"/>
  <c r="AD357" i="6" s="1"/>
  <c r="AD358" i="6" s="1"/>
  <c r="AD359" i="6" s="1"/>
  <c r="AD360" i="6" s="1"/>
  <c r="AD361" i="6" s="1"/>
  <c r="AD362" i="6" s="1"/>
  <c r="AD363" i="6" s="1"/>
  <c r="AD364" i="6" s="1"/>
  <c r="AD365" i="6" s="1"/>
  <c r="AD366" i="6" s="1"/>
  <c r="AD367" i="6" s="1"/>
  <c r="AD368" i="6" s="1"/>
  <c r="AD369" i="6" s="1"/>
  <c r="AD370" i="6" s="1"/>
  <c r="AD371" i="6" s="1"/>
  <c r="AD372" i="6" s="1"/>
  <c r="AD373" i="6" s="1"/>
  <c r="AD374" i="6" s="1"/>
  <c r="AD375" i="6" s="1"/>
  <c r="AD376" i="6" s="1"/>
  <c r="AD377" i="6" s="1"/>
  <c r="AD378" i="6" s="1"/>
  <c r="AD379" i="6" s="1"/>
  <c r="AD380" i="6" s="1"/>
  <c r="AD381" i="6" s="1"/>
  <c r="AD382" i="6" s="1"/>
  <c r="AD383" i="6" s="1"/>
  <c r="AD384" i="6" s="1"/>
  <c r="AD385" i="6" s="1"/>
  <c r="AD386" i="6" s="1"/>
  <c r="AD387" i="6" s="1"/>
  <c r="AD388" i="6" s="1"/>
  <c r="AD389" i="6" s="1"/>
  <c r="AD390" i="6" s="1"/>
  <c r="AD391" i="6" s="1"/>
  <c r="AD392" i="6" s="1"/>
  <c r="AD393" i="6" s="1"/>
  <c r="AD394" i="6" s="1"/>
  <c r="AD395" i="6" s="1"/>
  <c r="AD396" i="6" s="1"/>
  <c r="AD397" i="6" s="1"/>
  <c r="AD398" i="6" s="1"/>
  <c r="AD399" i="6" s="1"/>
  <c r="AD400" i="6" s="1"/>
  <c r="AD401" i="6" s="1"/>
  <c r="AD402" i="6" s="1"/>
  <c r="AD403" i="6" s="1"/>
  <c r="AD404" i="6" s="1"/>
  <c r="AD405" i="6" s="1"/>
  <c r="AD406" i="6" s="1"/>
  <c r="AD407" i="6" s="1"/>
  <c r="AD408" i="6" s="1"/>
  <c r="AD409" i="6" s="1"/>
  <c r="AD410" i="6" s="1"/>
  <c r="AD411" i="6" s="1"/>
  <c r="AD412" i="6" s="1"/>
  <c r="AD413" i="6" s="1"/>
  <c r="AD414" i="6" s="1"/>
  <c r="AD415" i="6" s="1"/>
  <c r="AD416" i="6" s="1"/>
  <c r="AD417" i="6" s="1"/>
  <c r="AD418" i="6" s="1"/>
  <c r="AD419" i="6" s="1"/>
  <c r="AD420" i="6" s="1"/>
  <c r="AD421" i="6" s="1"/>
  <c r="E290" i="6"/>
  <c r="D290" i="6"/>
  <c r="E298" i="9" l="1"/>
  <c r="D298" i="9"/>
  <c r="B293" i="8"/>
  <c r="F292" i="8"/>
  <c r="BS289" i="6"/>
  <c r="BT289" i="6" s="1"/>
  <c r="BR291" i="6"/>
  <c r="AM308" i="6"/>
  <c r="AJ310" i="6"/>
  <c r="V292" i="6"/>
  <c r="BR292" i="6" s="1"/>
  <c r="B291" i="6"/>
  <c r="F290" i="6"/>
  <c r="B299" i="9" l="1"/>
  <c r="F298" i="9"/>
  <c r="D293" i="8"/>
  <c r="E293" i="8"/>
  <c r="AJ311" i="6"/>
  <c r="AM309" i="6"/>
  <c r="V293" i="6"/>
  <c r="BR293" i="6" s="1"/>
  <c r="BS290" i="6"/>
  <c r="BT290" i="6" s="1"/>
  <c r="E291" i="6"/>
  <c r="D291" i="6"/>
  <c r="E299" i="9" l="1"/>
  <c r="CZ282" i="9"/>
  <c r="D299" i="9"/>
  <c r="B294" i="8"/>
  <c r="F293" i="8"/>
  <c r="BS291" i="6"/>
  <c r="BT291" i="6" s="1"/>
  <c r="AM310" i="6"/>
  <c r="AJ312" i="6"/>
  <c r="B292" i="6"/>
  <c r="F291" i="6"/>
  <c r="B300" i="9" l="1"/>
  <c r="F299" i="9"/>
  <c r="D294" i="8"/>
  <c r="E294" i="8"/>
  <c r="AJ313" i="6"/>
  <c r="AM311" i="6"/>
  <c r="E292" i="6"/>
  <c r="D292" i="6"/>
  <c r="E300" i="9" l="1"/>
  <c r="D300" i="9"/>
  <c r="B295" i="8"/>
  <c r="F294" i="8"/>
  <c r="AM312" i="6"/>
  <c r="AJ314" i="6"/>
  <c r="B293" i="6"/>
  <c r="F292" i="6"/>
  <c r="B301" i="9" l="1"/>
  <c r="F300" i="9"/>
  <c r="E295" i="8"/>
  <c r="D295" i="8"/>
  <c r="AJ315" i="6"/>
  <c r="AM313" i="6"/>
  <c r="E293" i="6"/>
  <c r="D293" i="6"/>
  <c r="E301" i="9" l="1"/>
  <c r="D301" i="9"/>
  <c r="B296" i="8"/>
  <c r="F295" i="8"/>
  <c r="AM314" i="6"/>
  <c r="AJ316" i="6"/>
  <c r="B294" i="6"/>
  <c r="F293" i="6"/>
  <c r="B302" i="9" l="1"/>
  <c r="F301" i="9"/>
  <c r="E296" i="8"/>
  <c r="Y296" i="8"/>
  <c r="BO279" i="8"/>
  <c r="D296" i="8"/>
  <c r="BS296" i="8"/>
  <c r="BT296" i="8" s="1"/>
  <c r="AJ317" i="6"/>
  <c r="AM315" i="6"/>
  <c r="V294" i="6"/>
  <c r="BR294" i="6" s="1"/>
  <c r="E294" i="6"/>
  <c r="D294" i="6"/>
  <c r="E302" i="9" l="1"/>
  <c r="D302" i="9"/>
  <c r="B297" i="8"/>
  <c r="F296" i="8"/>
  <c r="BS294" i="8"/>
  <c r="BT294" i="8" s="1"/>
  <c r="BR296" i="8"/>
  <c r="BS295" i="8"/>
  <c r="BT295" i="8" s="1"/>
  <c r="BR297" i="8"/>
  <c r="AM316" i="6"/>
  <c r="AJ318" i="6"/>
  <c r="AJ319" i="6" s="1"/>
  <c r="AJ320" i="6" s="1"/>
  <c r="AJ321" i="6" s="1"/>
  <c r="AJ322" i="6" s="1"/>
  <c r="AJ323" i="6" s="1"/>
  <c r="AJ324" i="6" s="1"/>
  <c r="AJ325" i="6" s="1"/>
  <c r="AJ326" i="6" s="1"/>
  <c r="AJ327" i="6" s="1"/>
  <c r="AJ328" i="6" s="1"/>
  <c r="AJ329" i="6" s="1"/>
  <c r="AJ330" i="6" s="1"/>
  <c r="AJ331" i="6" s="1"/>
  <c r="AJ332" i="6" s="1"/>
  <c r="AJ333" i="6" s="1"/>
  <c r="AJ334" i="6" s="1"/>
  <c r="AJ335" i="6" s="1"/>
  <c r="AJ336" i="6" s="1"/>
  <c r="AJ337" i="6" s="1"/>
  <c r="AJ338" i="6" s="1"/>
  <c r="AJ339" i="6" s="1"/>
  <c r="AJ340" i="6" s="1"/>
  <c r="AJ341" i="6" s="1"/>
  <c r="AJ342" i="6" s="1"/>
  <c r="AJ343" i="6" s="1"/>
  <c r="AJ344" i="6" s="1"/>
  <c r="AJ345" i="6" s="1"/>
  <c r="AJ346" i="6" s="1"/>
  <c r="AJ347" i="6" s="1"/>
  <c r="AJ348" i="6" s="1"/>
  <c r="AJ349" i="6" s="1"/>
  <c r="AJ350" i="6" s="1"/>
  <c r="AJ351" i="6" s="1"/>
  <c r="AJ352" i="6" s="1"/>
  <c r="AJ353" i="6" s="1"/>
  <c r="AJ354" i="6" s="1"/>
  <c r="V295" i="6"/>
  <c r="BR295" i="6" s="1"/>
  <c r="BS292" i="6"/>
  <c r="BT292" i="6" s="1"/>
  <c r="AN296" i="6"/>
  <c r="B295" i="6"/>
  <c r="F294" i="6"/>
  <c r="B303" i="9" l="1"/>
  <c r="F302" i="9"/>
  <c r="E297" i="8"/>
  <c r="D297" i="8"/>
  <c r="BS293" i="6"/>
  <c r="BT293" i="6" s="1"/>
  <c r="AN297" i="6"/>
  <c r="BU279" i="6"/>
  <c r="AM317" i="6"/>
  <c r="V296" i="6"/>
  <c r="AO301" i="6"/>
  <c r="AO302" i="6" s="1"/>
  <c r="AO303" i="6" s="1"/>
  <c r="AO304" i="6" s="1"/>
  <c r="AO305" i="6" s="1"/>
  <c r="AO306" i="6" s="1"/>
  <c r="AO307" i="6" s="1"/>
  <c r="AO308" i="6" s="1"/>
  <c r="AO309" i="6" s="1"/>
  <c r="AO310" i="6" s="1"/>
  <c r="AO311" i="6" s="1"/>
  <c r="AO312" i="6" s="1"/>
  <c r="AO313" i="6" s="1"/>
  <c r="AO314" i="6" s="1"/>
  <c r="AO315" i="6" s="1"/>
  <c r="AO316" i="6" s="1"/>
  <c r="AO317" i="6" s="1"/>
  <c r="AO318" i="6" s="1"/>
  <c r="AO319" i="6" s="1"/>
  <c r="AO320" i="6" s="1"/>
  <c r="AO321" i="6" s="1"/>
  <c r="AO322" i="6" s="1"/>
  <c r="AO323" i="6" s="1"/>
  <c r="AO324" i="6" s="1"/>
  <c r="AO325" i="6" s="1"/>
  <c r="AO326" i="6" s="1"/>
  <c r="AO327" i="6" s="1"/>
  <c r="AO328" i="6" s="1"/>
  <c r="AO329" i="6" s="1"/>
  <c r="AO330" i="6" s="1"/>
  <c r="AO331" i="6" s="1"/>
  <c r="AO332" i="6" s="1"/>
  <c r="AO333" i="6" s="1"/>
  <c r="AO334" i="6" s="1"/>
  <c r="AO335" i="6" s="1"/>
  <c r="AO336" i="6" s="1"/>
  <c r="AO337" i="6" s="1"/>
  <c r="AO338" i="6" s="1"/>
  <c r="AO339" i="6" s="1"/>
  <c r="AO340" i="6" s="1"/>
  <c r="AO341" i="6" s="1"/>
  <c r="AO342" i="6" s="1"/>
  <c r="AO343" i="6" s="1"/>
  <c r="AO344" i="6" s="1"/>
  <c r="AO345" i="6" s="1"/>
  <c r="AO346" i="6" s="1"/>
  <c r="AO347" i="6" s="1"/>
  <c r="AO348" i="6" s="1"/>
  <c r="AO349" i="6" s="1"/>
  <c r="AO350" i="6" s="1"/>
  <c r="AO351" i="6" s="1"/>
  <c r="AO352" i="6" s="1"/>
  <c r="AO353" i="6" s="1"/>
  <c r="AO354" i="6" s="1"/>
  <c r="AO355" i="6" s="1"/>
  <c r="AO356" i="6" s="1"/>
  <c r="AO357" i="6" s="1"/>
  <c r="AO358" i="6" s="1"/>
  <c r="AO359" i="6" s="1"/>
  <c r="AO360" i="6" s="1"/>
  <c r="AO361" i="6" s="1"/>
  <c r="AO362" i="6" s="1"/>
  <c r="AO363" i="6" s="1"/>
  <c r="AO364" i="6" s="1"/>
  <c r="AO365" i="6" s="1"/>
  <c r="AO366" i="6" s="1"/>
  <c r="AO367" i="6" s="1"/>
  <c r="AO368" i="6" s="1"/>
  <c r="AO369" i="6" s="1"/>
  <c r="AO370" i="6" s="1"/>
  <c r="AO371" i="6" s="1"/>
  <c r="AO372" i="6" s="1"/>
  <c r="AO373" i="6" s="1"/>
  <c r="AO374" i="6" s="1"/>
  <c r="AO375" i="6" s="1"/>
  <c r="AO376" i="6" s="1"/>
  <c r="AO377" i="6" s="1"/>
  <c r="AO378" i="6" s="1"/>
  <c r="AO379" i="6" s="1"/>
  <c r="AO380" i="6" s="1"/>
  <c r="E295" i="6"/>
  <c r="D295" i="6"/>
  <c r="E303" i="9" l="1"/>
  <c r="D303" i="9"/>
  <c r="B298" i="8"/>
  <c r="F297" i="8"/>
  <c r="AM318" i="6"/>
  <c r="AM319" i="6" s="1"/>
  <c r="AM320" i="6" s="1"/>
  <c r="AM321" i="6" s="1"/>
  <c r="AM322" i="6" s="1"/>
  <c r="AM323" i="6" s="1"/>
  <c r="AM324" i="6" s="1"/>
  <c r="AM325" i="6" s="1"/>
  <c r="AM326" i="6" s="1"/>
  <c r="AM327" i="6" s="1"/>
  <c r="AM328" i="6" s="1"/>
  <c r="AM329" i="6" s="1"/>
  <c r="AM330" i="6" s="1"/>
  <c r="AM331" i="6" s="1"/>
  <c r="AM332" i="6" s="1"/>
  <c r="AM333" i="6" s="1"/>
  <c r="AM334" i="6" s="1"/>
  <c r="AM335" i="6" s="1"/>
  <c r="AM336" i="6" s="1"/>
  <c r="AM337" i="6" s="1"/>
  <c r="AM338" i="6" s="1"/>
  <c r="AM339" i="6" s="1"/>
  <c r="AM340" i="6" s="1"/>
  <c r="AM341" i="6" s="1"/>
  <c r="AM342" i="6" s="1"/>
  <c r="AM343" i="6" s="1"/>
  <c r="AM344" i="6" s="1"/>
  <c r="AM345" i="6" s="1"/>
  <c r="AM346" i="6" s="1"/>
  <c r="AM347" i="6" s="1"/>
  <c r="AM348" i="6" s="1"/>
  <c r="AM349" i="6" s="1"/>
  <c r="AM350" i="6" s="1"/>
  <c r="AM351" i="6" s="1"/>
  <c r="AM352" i="6" s="1"/>
  <c r="AM353" i="6" s="1"/>
  <c r="AM354" i="6" s="1"/>
  <c r="AM355" i="6" s="1"/>
  <c r="AM356" i="6" s="1"/>
  <c r="AM357" i="6" s="1"/>
  <c r="AM358" i="6" s="1"/>
  <c r="AM359" i="6" s="1"/>
  <c r="AM360" i="6" s="1"/>
  <c r="AM361" i="6" s="1"/>
  <c r="AM362" i="6" s="1"/>
  <c r="AM363" i="6" s="1"/>
  <c r="AM364" i="6" s="1"/>
  <c r="AM365" i="6" s="1"/>
  <c r="AM366" i="6" s="1"/>
  <c r="AM367" i="6" s="1"/>
  <c r="AM368" i="6" s="1"/>
  <c r="AM369" i="6" s="1"/>
  <c r="AN298" i="6"/>
  <c r="BU280" i="6"/>
  <c r="V297" i="6"/>
  <c r="AP306" i="6"/>
  <c r="AP307" i="6" s="1"/>
  <c r="AP308" i="6" s="1"/>
  <c r="AP309" i="6" s="1"/>
  <c r="AP310" i="6" s="1"/>
  <c r="AP311" i="6" s="1"/>
  <c r="AP312" i="6" s="1"/>
  <c r="AP313" i="6" s="1"/>
  <c r="AP314" i="6" s="1"/>
  <c r="AP315" i="6" s="1"/>
  <c r="AP316" i="6" s="1"/>
  <c r="AP317" i="6" s="1"/>
  <c r="AP318" i="6" s="1"/>
  <c r="AP319" i="6" s="1"/>
  <c r="AP320" i="6" s="1"/>
  <c r="AP321" i="6" s="1"/>
  <c r="AP322" i="6" s="1"/>
  <c r="AP323" i="6" s="1"/>
  <c r="AP324" i="6" s="1"/>
  <c r="AP325" i="6" s="1"/>
  <c r="AP326" i="6" s="1"/>
  <c r="AP327" i="6" s="1"/>
  <c r="AP328" i="6" s="1"/>
  <c r="AP329" i="6" s="1"/>
  <c r="AP330" i="6" s="1"/>
  <c r="AP331" i="6" s="1"/>
  <c r="AP332" i="6" s="1"/>
  <c r="AP333" i="6" s="1"/>
  <c r="AP334" i="6" s="1"/>
  <c r="AP335" i="6" s="1"/>
  <c r="AP336" i="6" s="1"/>
  <c r="AP337" i="6" s="1"/>
  <c r="AP338" i="6" s="1"/>
  <c r="AP339" i="6" s="1"/>
  <c r="AP340" i="6" s="1"/>
  <c r="AP341" i="6" s="1"/>
  <c r="AP342" i="6" s="1"/>
  <c r="AP343" i="6" s="1"/>
  <c r="AP344" i="6" s="1"/>
  <c r="AP345" i="6" s="1"/>
  <c r="AP346" i="6" s="1"/>
  <c r="AP347" i="6" s="1"/>
  <c r="AP348" i="6" s="1"/>
  <c r="AP349" i="6" s="1"/>
  <c r="AP350" i="6" s="1"/>
  <c r="AP351" i="6" s="1"/>
  <c r="AP352" i="6" s="1"/>
  <c r="AP353" i="6" s="1"/>
  <c r="AP354" i="6" s="1"/>
  <c r="AP355" i="6" s="1"/>
  <c r="AP356" i="6" s="1"/>
  <c r="AP357" i="6" s="1"/>
  <c r="AP358" i="6" s="1"/>
  <c r="AP359" i="6" s="1"/>
  <c r="AP360" i="6" s="1"/>
  <c r="AP361" i="6" s="1"/>
  <c r="AP362" i="6" s="1"/>
  <c r="AP363" i="6" s="1"/>
  <c r="AP364" i="6" s="1"/>
  <c r="AP365" i="6" s="1"/>
  <c r="AP366" i="6" s="1"/>
  <c r="AP367" i="6" s="1"/>
  <c r="AP368" i="6" s="1"/>
  <c r="AP369" i="6" s="1"/>
  <c r="AP370" i="6" s="1"/>
  <c r="AP371" i="6" s="1"/>
  <c r="AP372" i="6" s="1"/>
  <c r="AP373" i="6" s="1"/>
  <c r="AP374" i="6" s="1"/>
  <c r="AP375" i="6" s="1"/>
  <c r="AP376" i="6" s="1"/>
  <c r="AP377" i="6" s="1"/>
  <c r="AP378" i="6" s="1"/>
  <c r="AP379" i="6" s="1"/>
  <c r="AP380" i="6" s="1"/>
  <c r="AP381" i="6" s="1"/>
  <c r="AP382" i="6" s="1"/>
  <c r="AP383" i="6" s="1"/>
  <c r="AP384" i="6" s="1"/>
  <c r="AP385" i="6" s="1"/>
  <c r="B296" i="6"/>
  <c r="Y296" i="6" s="1"/>
  <c r="Y297" i="6" s="1"/>
  <c r="Y298" i="6" s="1"/>
  <c r="Y299" i="6" s="1"/>
  <c r="Y300" i="6" s="1"/>
  <c r="Y301" i="6" s="1"/>
  <c r="Y302" i="6" s="1"/>
  <c r="Y303" i="6" s="1"/>
  <c r="Y304" i="6" s="1"/>
  <c r="Y305" i="6" s="1"/>
  <c r="Y306" i="6" s="1"/>
  <c r="Y307" i="6" s="1"/>
  <c r="Y308" i="6" s="1"/>
  <c r="Y309" i="6" s="1"/>
  <c r="Y310" i="6" s="1"/>
  <c r="Y311" i="6" s="1"/>
  <c r="Y312" i="6" s="1"/>
  <c r="Y313" i="6" s="1"/>
  <c r="F295" i="6"/>
  <c r="B304" i="9" l="1"/>
  <c r="F303" i="9"/>
  <c r="E298" i="8"/>
  <c r="D298" i="8"/>
  <c r="BR297" i="6"/>
  <c r="BR296" i="6"/>
  <c r="AN299" i="6"/>
  <c r="BU281" i="6"/>
  <c r="V298" i="6"/>
  <c r="BS295" i="6"/>
  <c r="BT295" i="6" s="1"/>
  <c r="BS294" i="6"/>
  <c r="BT294" i="6" s="1"/>
  <c r="Y314" i="6"/>
  <c r="Y315" i="6" s="1"/>
  <c r="Y316" i="6" s="1"/>
  <c r="AR313" i="6"/>
  <c r="AR314" i="6" s="1"/>
  <c r="AR315" i="6" s="1"/>
  <c r="AR316" i="6" s="1"/>
  <c r="AR317" i="6" s="1"/>
  <c r="AR318" i="6" s="1"/>
  <c r="AR319" i="6" s="1"/>
  <c r="AR320" i="6" s="1"/>
  <c r="AR321" i="6" s="1"/>
  <c r="AR322" i="6" s="1"/>
  <c r="AR323" i="6" s="1"/>
  <c r="AR324" i="6" s="1"/>
  <c r="AR325" i="6" s="1"/>
  <c r="AR326" i="6" s="1"/>
  <c r="AR327" i="6" s="1"/>
  <c r="AR328" i="6" s="1"/>
  <c r="AR329" i="6" s="1"/>
  <c r="AR330" i="6" s="1"/>
  <c r="AR331" i="6" s="1"/>
  <c r="AR332" i="6" s="1"/>
  <c r="AR333" i="6" s="1"/>
  <c r="AR334" i="6" s="1"/>
  <c r="AR335" i="6" s="1"/>
  <c r="AR336" i="6" s="1"/>
  <c r="AR337" i="6" s="1"/>
  <c r="AR338" i="6" s="1"/>
  <c r="AR339" i="6" s="1"/>
  <c r="AR340" i="6" s="1"/>
  <c r="AR341" i="6" s="1"/>
  <c r="AR342" i="6" s="1"/>
  <c r="AR343" i="6" s="1"/>
  <c r="AR344" i="6" s="1"/>
  <c r="AR345" i="6" s="1"/>
  <c r="AR346" i="6" s="1"/>
  <c r="AR347" i="6" s="1"/>
  <c r="AR348" i="6" s="1"/>
  <c r="AR349" i="6" s="1"/>
  <c r="AR350" i="6" s="1"/>
  <c r="AR351" i="6" s="1"/>
  <c r="AR352" i="6" s="1"/>
  <c r="AR353" i="6" s="1"/>
  <c r="AR354" i="6" s="1"/>
  <c r="AR355" i="6" s="1"/>
  <c r="AR356" i="6" s="1"/>
  <c r="AR357" i="6" s="1"/>
  <c r="AR358" i="6" s="1"/>
  <c r="AR359" i="6" s="1"/>
  <c r="AR360" i="6" s="1"/>
  <c r="AR361" i="6" s="1"/>
  <c r="AR362" i="6" s="1"/>
  <c r="AR363" i="6" s="1"/>
  <c r="AR364" i="6" s="1"/>
  <c r="AR365" i="6" s="1"/>
  <c r="AR366" i="6" s="1"/>
  <c r="AR367" i="6" s="1"/>
  <c r="AR368" i="6" s="1"/>
  <c r="AR369" i="6" s="1"/>
  <c r="AR370" i="6" s="1"/>
  <c r="AR371" i="6" s="1"/>
  <c r="AR372" i="6" s="1"/>
  <c r="AR373" i="6" s="1"/>
  <c r="AR374" i="6" s="1"/>
  <c r="AR375" i="6" s="1"/>
  <c r="AR376" i="6" s="1"/>
  <c r="AR377" i="6" s="1"/>
  <c r="AR378" i="6" s="1"/>
  <c r="AR379" i="6" s="1"/>
  <c r="AR380" i="6" s="1"/>
  <c r="AR381" i="6" s="1"/>
  <c r="AR382" i="6" s="1"/>
  <c r="AR383" i="6" s="1"/>
  <c r="AR384" i="6" s="1"/>
  <c r="AR385" i="6" s="1"/>
  <c r="AR386" i="6" s="1"/>
  <c r="AR387" i="6" s="1"/>
  <c r="AR388" i="6" s="1"/>
  <c r="AR389" i="6" s="1"/>
  <c r="AR390" i="6" s="1"/>
  <c r="AR391" i="6" s="1"/>
  <c r="AR392" i="6" s="1"/>
  <c r="AR393" i="6" s="1"/>
  <c r="AR394" i="6" s="1"/>
  <c r="AR395" i="6" s="1"/>
  <c r="AR396" i="6" s="1"/>
  <c r="V312" i="6"/>
  <c r="E296" i="6"/>
  <c r="D296" i="6"/>
  <c r="BO279" i="6"/>
  <c r="E304" i="9" l="1"/>
  <c r="CZ287" i="9"/>
  <c r="D304" i="9"/>
  <c r="B299" i="8"/>
  <c r="F298" i="8"/>
  <c r="BS296" i="6"/>
  <c r="BT296" i="6" s="1"/>
  <c r="BR298" i="6"/>
  <c r="AN300" i="6"/>
  <c r="BU282" i="6"/>
  <c r="V313" i="6"/>
  <c r="V299" i="6"/>
  <c r="B297" i="6"/>
  <c r="F296" i="6"/>
  <c r="B305" i="9" l="1"/>
  <c r="F304" i="9"/>
  <c r="E299" i="8"/>
  <c r="D299" i="8"/>
  <c r="BS297" i="6"/>
  <c r="BT297" i="6" s="1"/>
  <c r="BR299" i="6"/>
  <c r="AN301" i="6"/>
  <c r="BU283" i="6"/>
  <c r="V314" i="6"/>
  <c r="V300" i="6"/>
  <c r="BR300" i="6" s="1"/>
  <c r="D297" i="6"/>
  <c r="E297" i="6"/>
  <c r="E305" i="9" l="1"/>
  <c r="D305" i="9"/>
  <c r="B300" i="8"/>
  <c r="F299" i="8"/>
  <c r="AN302" i="6"/>
  <c r="BU284" i="6"/>
  <c r="V301" i="6"/>
  <c r="V315" i="6"/>
  <c r="BS298" i="6"/>
  <c r="BT298" i="6" s="1"/>
  <c r="B298" i="6"/>
  <c r="F297" i="6"/>
  <c r="F305" i="9" l="1"/>
  <c r="B306" i="9"/>
  <c r="E300" i="8"/>
  <c r="D300" i="8"/>
  <c r="AN303" i="6"/>
  <c r="BU285" i="6"/>
  <c r="V316" i="6"/>
  <c r="V302" i="6"/>
  <c r="D298" i="6"/>
  <c r="E298" i="6"/>
  <c r="E306" i="9" l="1"/>
  <c r="D306" i="9"/>
  <c r="B301" i="8"/>
  <c r="F300" i="8"/>
  <c r="AN304" i="6"/>
  <c r="BU286" i="6"/>
  <c r="V303" i="6"/>
  <c r="V317" i="6"/>
  <c r="B299" i="6"/>
  <c r="F298" i="6"/>
  <c r="B307" i="9" l="1"/>
  <c r="F306" i="9"/>
  <c r="X301" i="8"/>
  <c r="E301" i="8"/>
  <c r="BO284" i="8"/>
  <c r="D301" i="8"/>
  <c r="BS301" i="8"/>
  <c r="BT301" i="8" s="1"/>
  <c r="AN305" i="6"/>
  <c r="BU287" i="6"/>
  <c r="V318" i="6"/>
  <c r="V304" i="6"/>
  <c r="D299" i="6"/>
  <c r="E299" i="6"/>
  <c r="E307" i="9" l="1"/>
  <c r="D307" i="9"/>
  <c r="B302" i="8"/>
  <c r="F301" i="8"/>
  <c r="BS299" i="8"/>
  <c r="BT299" i="8" s="1"/>
  <c r="BR301" i="8"/>
  <c r="BS300" i="8"/>
  <c r="BT300" i="8" s="1"/>
  <c r="BR302" i="8"/>
  <c r="AN306" i="6"/>
  <c r="BU288" i="6"/>
  <c r="V319" i="6"/>
  <c r="V305" i="6"/>
  <c r="B300" i="6"/>
  <c r="F299" i="6"/>
  <c r="B308" i="9" l="1"/>
  <c r="F307" i="9"/>
  <c r="E302" i="8"/>
  <c r="D302" i="8"/>
  <c r="AN307" i="6"/>
  <c r="BU289" i="6"/>
  <c r="V320" i="6"/>
  <c r="V306" i="6"/>
  <c r="D300" i="6"/>
  <c r="E300" i="6"/>
  <c r="E308" i="9" l="1"/>
  <c r="D308" i="9"/>
  <c r="B303" i="8"/>
  <c r="F302" i="8"/>
  <c r="AN308" i="6"/>
  <c r="V307" i="6"/>
  <c r="V321" i="6"/>
  <c r="B301" i="6"/>
  <c r="X301" i="6" s="1"/>
  <c r="BR301" i="6" s="1"/>
  <c r="F300" i="6"/>
  <c r="B309" i="9" l="1"/>
  <c r="F308" i="9"/>
  <c r="E303" i="8"/>
  <c r="D303" i="8"/>
  <c r="AN309" i="6"/>
  <c r="V322" i="6"/>
  <c r="AQ307" i="6"/>
  <c r="V308" i="6"/>
  <c r="X302" i="6"/>
  <c r="BR302" i="6" s="1"/>
  <c r="BS299" i="6"/>
  <c r="BT299" i="6" s="1"/>
  <c r="D301" i="6"/>
  <c r="E301" i="6"/>
  <c r="BO284" i="6"/>
  <c r="E309" i="9" l="1"/>
  <c r="CZ292" i="9"/>
  <c r="D309" i="9"/>
  <c r="B304" i="8"/>
  <c r="F303" i="8"/>
  <c r="BS300" i="6"/>
  <c r="BT300" i="6" s="1"/>
  <c r="AQ308" i="6"/>
  <c r="BU290" i="6"/>
  <c r="AN310" i="6"/>
  <c r="X303" i="6"/>
  <c r="V309" i="6"/>
  <c r="V323" i="6"/>
  <c r="B302" i="6"/>
  <c r="F301" i="6"/>
  <c r="B310" i="9" l="1"/>
  <c r="F309" i="9"/>
  <c r="E304" i="8"/>
  <c r="D304" i="8"/>
  <c r="BS301" i="6"/>
  <c r="BT301" i="6" s="1"/>
  <c r="BR303" i="6"/>
  <c r="AN311" i="6"/>
  <c r="AQ309" i="6"/>
  <c r="BU291" i="6"/>
  <c r="V310" i="6"/>
  <c r="V324" i="6"/>
  <c r="X304" i="6"/>
  <c r="BR304" i="6" s="1"/>
  <c r="D302" i="6"/>
  <c r="E302" i="6"/>
  <c r="E310" i="9" l="1"/>
  <c r="D310" i="9"/>
  <c r="B305" i="8"/>
  <c r="F304" i="8"/>
  <c r="BS302" i="6"/>
  <c r="BT302" i="6" s="1"/>
  <c r="AQ310" i="6"/>
  <c r="BU292" i="6"/>
  <c r="AN312" i="6"/>
  <c r="V325" i="6"/>
  <c r="X305" i="6"/>
  <c r="B303" i="6"/>
  <c r="F302" i="6"/>
  <c r="B311" i="9" l="1"/>
  <c r="F310" i="9"/>
  <c r="E305" i="8"/>
  <c r="D305" i="8"/>
  <c r="X306" i="6"/>
  <c r="X307" i="6" s="1"/>
  <c r="X308" i="6" s="1"/>
  <c r="BR308" i="6" s="1"/>
  <c r="BR305" i="6"/>
  <c r="BS303" i="6"/>
  <c r="BT303" i="6" s="1"/>
  <c r="AN313" i="6"/>
  <c r="AQ311" i="6"/>
  <c r="BU293" i="6"/>
  <c r="V326" i="6"/>
  <c r="D303" i="6"/>
  <c r="E303" i="6"/>
  <c r="E311" i="9" l="1"/>
  <c r="D311" i="9"/>
  <c r="B306" i="8"/>
  <c r="F305" i="8"/>
  <c r="AQ312" i="6"/>
  <c r="BU294" i="6"/>
  <c r="AN314" i="6"/>
  <c r="V327" i="6"/>
  <c r="X309" i="6"/>
  <c r="BR309" i="6" s="1"/>
  <c r="B304" i="6"/>
  <c r="F303" i="6"/>
  <c r="BS307" i="6" l="1"/>
  <c r="BT307" i="6" s="1"/>
  <c r="B312" i="9"/>
  <c r="F311" i="9"/>
  <c r="W306" i="8"/>
  <c r="E306" i="8"/>
  <c r="D306" i="8"/>
  <c r="BO289" i="8"/>
  <c r="BS306" i="8"/>
  <c r="BT306" i="8" s="1"/>
  <c r="AN315" i="6"/>
  <c r="AQ313" i="6"/>
  <c r="BU295" i="6"/>
  <c r="X310" i="6"/>
  <c r="V328" i="6"/>
  <c r="D304" i="6"/>
  <c r="E304" i="6"/>
  <c r="E312" i="9" l="1"/>
  <c r="D312" i="9"/>
  <c r="B307" i="8"/>
  <c r="F306" i="8"/>
  <c r="BS304" i="8"/>
  <c r="BT304" i="8" s="1"/>
  <c r="BR306" i="8"/>
  <c r="BS305" i="8"/>
  <c r="BT305" i="8" s="1"/>
  <c r="BR307" i="8"/>
  <c r="X311" i="6"/>
  <c r="X312" i="6" s="1"/>
  <c r="BR310" i="6"/>
  <c r="AQ314" i="6"/>
  <c r="BU296" i="6"/>
  <c r="BS308" i="6"/>
  <c r="BT308" i="6" s="1"/>
  <c r="AN316" i="6"/>
  <c r="V329" i="6"/>
  <c r="AE328" i="6"/>
  <c r="AE329" i="6" s="1"/>
  <c r="AE330" i="6" s="1"/>
  <c r="AE331" i="6" s="1"/>
  <c r="AE332" i="6" s="1"/>
  <c r="AE333" i="6" s="1"/>
  <c r="AE334" i="6" s="1"/>
  <c r="AE335" i="6" s="1"/>
  <c r="AE336" i="6" s="1"/>
  <c r="AE337" i="6" s="1"/>
  <c r="AE338" i="6" s="1"/>
  <c r="AE339" i="6" s="1"/>
  <c r="AE340" i="6" s="1"/>
  <c r="AE341" i="6" s="1"/>
  <c r="AE342" i="6" s="1"/>
  <c r="AE343" i="6" s="1"/>
  <c r="AE344" i="6" s="1"/>
  <c r="AE345" i="6" s="1"/>
  <c r="AE346" i="6" s="1"/>
  <c r="AE347" i="6" s="1"/>
  <c r="AE348" i="6" s="1"/>
  <c r="AE349" i="6" s="1"/>
  <c r="AE350" i="6" s="1"/>
  <c r="AE351" i="6" s="1"/>
  <c r="AE352" i="6" s="1"/>
  <c r="AE353" i="6" s="1"/>
  <c r="AE354" i="6" s="1"/>
  <c r="AE355" i="6" s="1"/>
  <c r="AE356" i="6" s="1"/>
  <c r="AE357" i="6" s="1"/>
  <c r="AE358" i="6" s="1"/>
  <c r="AE359" i="6" s="1"/>
  <c r="AE360" i="6" s="1"/>
  <c r="AE361" i="6" s="1"/>
  <c r="AE362" i="6" s="1"/>
  <c r="AE363" i="6" s="1"/>
  <c r="AE364" i="6" s="1"/>
  <c r="AE365" i="6" s="1"/>
  <c r="AE366" i="6" s="1"/>
  <c r="AE367" i="6" s="1"/>
  <c r="AE368" i="6" s="1"/>
  <c r="AE369" i="6" s="1"/>
  <c r="AE370" i="6" s="1"/>
  <c r="AE371" i="6" s="1"/>
  <c r="AE372" i="6" s="1"/>
  <c r="AE373" i="6" s="1"/>
  <c r="AE374" i="6" s="1"/>
  <c r="AE375" i="6" s="1"/>
  <c r="AE376" i="6" s="1"/>
  <c r="AE377" i="6" s="1"/>
  <c r="AE378" i="6" s="1"/>
  <c r="AE379" i="6" s="1"/>
  <c r="AE380" i="6" s="1"/>
  <c r="AE381" i="6" s="1"/>
  <c r="AE382" i="6" s="1"/>
  <c r="AE383" i="6" s="1"/>
  <c r="AE384" i="6" s="1"/>
  <c r="AE385" i="6" s="1"/>
  <c r="AE386" i="6" s="1"/>
  <c r="AE387" i="6" s="1"/>
  <c r="AE388" i="6" s="1"/>
  <c r="AE389" i="6" s="1"/>
  <c r="AE390" i="6" s="1"/>
  <c r="AE391" i="6" s="1"/>
  <c r="AE392" i="6" s="1"/>
  <c r="AE393" i="6" s="1"/>
  <c r="AE394" i="6" s="1"/>
  <c r="AE395" i="6" s="1"/>
  <c r="AE396" i="6" s="1"/>
  <c r="AE397" i="6" s="1"/>
  <c r="AE398" i="6" s="1"/>
  <c r="AE399" i="6" s="1"/>
  <c r="AE400" i="6" s="1"/>
  <c r="AE401" i="6" s="1"/>
  <c r="AE402" i="6" s="1"/>
  <c r="AE403" i="6" s="1"/>
  <c r="AE404" i="6" s="1"/>
  <c r="AE405" i="6" s="1"/>
  <c r="AE406" i="6" s="1"/>
  <c r="AE407" i="6" s="1"/>
  <c r="AE408" i="6" s="1"/>
  <c r="AE409" i="6" s="1"/>
  <c r="AE410" i="6" s="1"/>
  <c r="AE411" i="6" s="1"/>
  <c r="AE412" i="6" s="1"/>
  <c r="AE413" i="6" s="1"/>
  <c r="AE414" i="6" s="1"/>
  <c r="AE415" i="6" s="1"/>
  <c r="AE416" i="6" s="1"/>
  <c r="AE417" i="6" s="1"/>
  <c r="AE418" i="6" s="1"/>
  <c r="AE419" i="6" s="1"/>
  <c r="AE420" i="6" s="1"/>
  <c r="AE421" i="6" s="1"/>
  <c r="X313" i="6"/>
  <c r="BR313" i="6" s="1"/>
  <c r="B305" i="6"/>
  <c r="F304" i="6"/>
  <c r="B313" i="9" l="1"/>
  <c r="F312" i="9"/>
  <c r="E307" i="8"/>
  <c r="D307" i="8"/>
  <c r="AN317" i="6"/>
  <c r="AQ315" i="6"/>
  <c r="BU297" i="6"/>
  <c r="X314" i="6"/>
  <c r="BR314" i="6" s="1"/>
  <c r="V330" i="6"/>
  <c r="D305" i="6"/>
  <c r="E305" i="6"/>
  <c r="E313" i="9" l="1"/>
  <c r="D313" i="9"/>
  <c r="B308" i="8"/>
  <c r="F307" i="8"/>
  <c r="BS312" i="6"/>
  <c r="BT312" i="6" s="1"/>
  <c r="AQ316" i="6"/>
  <c r="BU298" i="6"/>
  <c r="AN318" i="6"/>
  <c r="AN319" i="6" s="1"/>
  <c r="AN320" i="6" s="1"/>
  <c r="AN321" i="6" s="1"/>
  <c r="AN322" i="6" s="1"/>
  <c r="AN323" i="6" s="1"/>
  <c r="AN324" i="6" s="1"/>
  <c r="AN325" i="6" s="1"/>
  <c r="AN326" i="6" s="1"/>
  <c r="AN327" i="6" s="1"/>
  <c r="AN328" i="6" s="1"/>
  <c r="AN329" i="6" s="1"/>
  <c r="AN330" i="6" s="1"/>
  <c r="AN331" i="6" s="1"/>
  <c r="AN332" i="6" s="1"/>
  <c r="AN333" i="6" s="1"/>
  <c r="AN334" i="6" s="1"/>
  <c r="AN335" i="6" s="1"/>
  <c r="AN336" i="6" s="1"/>
  <c r="AN337" i="6" s="1"/>
  <c r="AN338" i="6" s="1"/>
  <c r="AN339" i="6" s="1"/>
  <c r="AN340" i="6" s="1"/>
  <c r="AN341" i="6" s="1"/>
  <c r="AN342" i="6" s="1"/>
  <c r="AN343" i="6" s="1"/>
  <c r="AN344" i="6" s="1"/>
  <c r="AN345" i="6" s="1"/>
  <c r="AN346" i="6" s="1"/>
  <c r="AN347" i="6" s="1"/>
  <c r="AN348" i="6" s="1"/>
  <c r="AN349" i="6" s="1"/>
  <c r="AN350" i="6" s="1"/>
  <c r="AN351" i="6" s="1"/>
  <c r="AN352" i="6" s="1"/>
  <c r="AN353" i="6" s="1"/>
  <c r="AN354" i="6" s="1"/>
  <c r="AN355" i="6" s="1"/>
  <c r="AN356" i="6" s="1"/>
  <c r="AN357" i="6" s="1"/>
  <c r="AN358" i="6" s="1"/>
  <c r="AN359" i="6" s="1"/>
  <c r="AN360" i="6" s="1"/>
  <c r="AN361" i="6" s="1"/>
  <c r="AN362" i="6" s="1"/>
  <c r="AN363" i="6" s="1"/>
  <c r="AN364" i="6" s="1"/>
  <c r="AN365" i="6" s="1"/>
  <c r="AN366" i="6" s="1"/>
  <c r="AN367" i="6" s="1"/>
  <c r="AN368" i="6" s="1"/>
  <c r="AN369" i="6" s="1"/>
  <c r="AN370" i="6" s="1"/>
  <c r="AN371" i="6" s="1"/>
  <c r="AN372" i="6" s="1"/>
  <c r="AN373" i="6" s="1"/>
  <c r="AN374" i="6" s="1"/>
  <c r="AN375" i="6" s="1"/>
  <c r="V331" i="6"/>
  <c r="X315" i="6"/>
  <c r="BR315" i="6" s="1"/>
  <c r="B306" i="6"/>
  <c r="F305" i="6"/>
  <c r="B314" i="9" l="1"/>
  <c r="F313" i="9"/>
  <c r="E308" i="8"/>
  <c r="D308" i="8"/>
  <c r="BS313" i="6"/>
  <c r="BT313" i="6" s="1"/>
  <c r="AQ317" i="6"/>
  <c r="BU299" i="6"/>
  <c r="X316" i="6"/>
  <c r="W306" i="6"/>
  <c r="BS306" i="6"/>
  <c r="BT306" i="6" s="1"/>
  <c r="E306" i="6"/>
  <c r="D306" i="6"/>
  <c r="BO289" i="6"/>
  <c r="E314" i="9" l="1"/>
  <c r="D314" i="9"/>
  <c r="CZ297" i="9"/>
  <c r="B309" i="8"/>
  <c r="F308" i="8"/>
  <c r="BR306" i="6"/>
  <c r="BR307" i="6"/>
  <c r="BS314" i="6"/>
  <c r="BT314" i="6" s="1"/>
  <c r="BR316" i="6"/>
  <c r="AQ318" i="6"/>
  <c r="AQ319" i="6" s="1"/>
  <c r="AQ320" i="6" s="1"/>
  <c r="AQ321" i="6" s="1"/>
  <c r="AQ322" i="6" s="1"/>
  <c r="AQ323" i="6" s="1"/>
  <c r="AQ324" i="6" s="1"/>
  <c r="AQ325" i="6" s="1"/>
  <c r="AQ326" i="6" s="1"/>
  <c r="AQ327" i="6" s="1"/>
  <c r="AQ328" i="6" s="1"/>
  <c r="AQ329" i="6" s="1"/>
  <c r="AQ330" i="6" s="1"/>
  <c r="AQ331" i="6" s="1"/>
  <c r="AQ332" i="6" s="1"/>
  <c r="AQ333" i="6" s="1"/>
  <c r="AQ334" i="6" s="1"/>
  <c r="AQ335" i="6" s="1"/>
  <c r="AQ336" i="6" s="1"/>
  <c r="AQ337" i="6" s="1"/>
  <c r="AQ338" i="6" s="1"/>
  <c r="AQ339" i="6" s="1"/>
  <c r="AQ340" i="6" s="1"/>
  <c r="AQ341" i="6" s="1"/>
  <c r="AQ342" i="6" s="1"/>
  <c r="AQ343" i="6" s="1"/>
  <c r="AQ344" i="6" s="1"/>
  <c r="AQ345" i="6" s="1"/>
  <c r="AQ346" i="6" s="1"/>
  <c r="AQ347" i="6" s="1"/>
  <c r="AQ348" i="6" s="1"/>
  <c r="AQ349" i="6" s="1"/>
  <c r="AQ350" i="6" s="1"/>
  <c r="AQ351" i="6" s="1"/>
  <c r="AQ352" i="6" s="1"/>
  <c r="AQ353" i="6" s="1"/>
  <c r="AQ354" i="6" s="1"/>
  <c r="AQ355" i="6" s="1"/>
  <c r="AQ356" i="6" s="1"/>
  <c r="AQ357" i="6" s="1"/>
  <c r="AQ358" i="6" s="1"/>
  <c r="AQ359" i="6" s="1"/>
  <c r="AQ360" i="6" s="1"/>
  <c r="AQ361" i="6" s="1"/>
  <c r="AQ362" i="6" s="1"/>
  <c r="AQ363" i="6" s="1"/>
  <c r="AQ364" i="6" s="1"/>
  <c r="AQ365" i="6" s="1"/>
  <c r="AQ366" i="6" s="1"/>
  <c r="AQ367" i="6" s="1"/>
  <c r="AQ368" i="6" s="1"/>
  <c r="AQ369" i="6" s="1"/>
  <c r="AQ370" i="6" s="1"/>
  <c r="AQ371" i="6" s="1"/>
  <c r="AQ372" i="6" s="1"/>
  <c r="AQ373" i="6" s="1"/>
  <c r="AQ374" i="6" s="1"/>
  <c r="AQ375" i="6" s="1"/>
  <c r="AQ376" i="6" s="1"/>
  <c r="AQ377" i="6" s="1"/>
  <c r="AQ378" i="6" s="1"/>
  <c r="AQ379" i="6" s="1"/>
  <c r="AQ380" i="6" s="1"/>
  <c r="AQ381" i="6" s="1"/>
  <c r="AQ382" i="6" s="1"/>
  <c r="AQ383" i="6" s="1"/>
  <c r="AQ384" i="6" s="1"/>
  <c r="AQ385" i="6" s="1"/>
  <c r="AQ386" i="6" s="1"/>
  <c r="AQ387" i="6" s="1"/>
  <c r="AQ388" i="6" s="1"/>
  <c r="AQ389" i="6" s="1"/>
  <c r="AQ390" i="6" s="1"/>
  <c r="BU300" i="6"/>
  <c r="BS304" i="6"/>
  <c r="BT304" i="6" s="1"/>
  <c r="BS305" i="6"/>
  <c r="BT305" i="6" s="1"/>
  <c r="X317" i="6"/>
  <c r="B307" i="6"/>
  <c r="F306" i="6"/>
  <c r="B315" i="9" l="1"/>
  <c r="F314" i="9"/>
  <c r="E309" i="8"/>
  <c r="D309" i="8"/>
  <c r="X318" i="6"/>
  <c r="E307" i="6"/>
  <c r="D307" i="6"/>
  <c r="E315" i="9" l="1"/>
  <c r="D315" i="9"/>
  <c r="B310" i="8"/>
  <c r="F309" i="8"/>
  <c r="X319" i="6"/>
  <c r="AC318" i="6"/>
  <c r="B308" i="6"/>
  <c r="F307" i="6"/>
  <c r="B316" i="9" l="1"/>
  <c r="F315" i="9"/>
  <c r="E310" i="8"/>
  <c r="D310" i="8"/>
  <c r="AC319" i="6"/>
  <c r="BU301" i="6"/>
  <c r="X320" i="6"/>
  <c r="E308" i="6"/>
  <c r="D308" i="6"/>
  <c r="E316" i="9" l="1"/>
  <c r="D316" i="9"/>
  <c r="B311" i="8"/>
  <c r="F310" i="8"/>
  <c r="AC320" i="6"/>
  <c r="BU302" i="6"/>
  <c r="X321" i="6"/>
  <c r="B309" i="6"/>
  <c r="F308" i="6"/>
  <c r="B317" i="9" l="1"/>
  <c r="F316" i="9"/>
  <c r="BO294" i="8"/>
  <c r="V311" i="8"/>
  <c r="E311" i="8"/>
  <c r="D311" i="8"/>
  <c r="BS311" i="8"/>
  <c r="BT311" i="8" s="1"/>
  <c r="AC321" i="6"/>
  <c r="BU303" i="6"/>
  <c r="E309" i="6"/>
  <c r="D309" i="6"/>
  <c r="E317" i="9" l="1"/>
  <c r="D317" i="9"/>
  <c r="B312" i="8"/>
  <c r="F311" i="8"/>
  <c r="BR311" i="8"/>
  <c r="BS310" i="8"/>
  <c r="BT310" i="8" s="1"/>
  <c r="BR312" i="8"/>
  <c r="BS309" i="8"/>
  <c r="BT309" i="8" s="1"/>
  <c r="AC322" i="6"/>
  <c r="BU304" i="6"/>
  <c r="B310" i="6"/>
  <c r="F309" i="6"/>
  <c r="B318" i="9" l="1"/>
  <c r="F317" i="9"/>
  <c r="E312" i="8"/>
  <c r="D312" i="8"/>
  <c r="AC323" i="6"/>
  <c r="BU305" i="6"/>
  <c r="E310" i="6"/>
  <c r="D310" i="6"/>
  <c r="E318" i="9" l="1"/>
  <c r="D318" i="9"/>
  <c r="B313" i="8"/>
  <c r="F312" i="8"/>
  <c r="AC324" i="6"/>
  <c r="BU306" i="6"/>
  <c r="B311" i="6"/>
  <c r="F310" i="6"/>
  <c r="B319" i="9" l="1"/>
  <c r="F318" i="9"/>
  <c r="E313" i="8"/>
  <c r="D313" i="8"/>
  <c r="AC325" i="6"/>
  <c r="BU307" i="6"/>
  <c r="V311" i="6"/>
  <c r="BS311" i="6"/>
  <c r="BT311" i="6" s="1"/>
  <c r="E311" i="6"/>
  <c r="D311" i="6"/>
  <c r="BO294" i="6"/>
  <c r="E319" i="9" l="1"/>
  <c r="D319" i="9"/>
  <c r="B314" i="8"/>
  <c r="F313" i="8"/>
  <c r="BR311" i="6"/>
  <c r="BR312" i="6"/>
  <c r="AC326" i="6"/>
  <c r="BU308" i="6"/>
  <c r="BS310" i="6"/>
  <c r="BT310" i="6" s="1"/>
  <c r="BS309" i="6"/>
  <c r="BT309" i="6" s="1"/>
  <c r="B312" i="6"/>
  <c r="F311" i="6"/>
  <c r="B320" i="9" l="1"/>
  <c r="F319" i="9"/>
  <c r="E314" i="8"/>
  <c r="D314" i="8"/>
  <c r="AC327" i="6"/>
  <c r="BU309" i="6"/>
  <c r="E312" i="6"/>
  <c r="D312" i="6"/>
  <c r="E320" i="9" l="1"/>
  <c r="D320" i="9"/>
  <c r="B315" i="8"/>
  <c r="F314" i="8"/>
  <c r="AC328" i="6"/>
  <c r="BU310" i="6"/>
  <c r="B313" i="6"/>
  <c r="F312" i="6"/>
  <c r="B321" i="9" l="1"/>
  <c r="F320" i="9"/>
  <c r="E315" i="8"/>
  <c r="D315" i="8"/>
  <c r="AC329" i="6"/>
  <c r="BU311" i="6"/>
  <c r="E313" i="6"/>
  <c r="D313" i="6"/>
  <c r="E321" i="9" l="1"/>
  <c r="D321" i="9"/>
  <c r="B316" i="8"/>
  <c r="F315" i="8"/>
  <c r="AC330" i="6"/>
  <c r="BU312" i="6"/>
  <c r="B314" i="6"/>
  <c r="F313" i="6"/>
  <c r="B322" i="9" l="1"/>
  <c r="F321" i="9"/>
  <c r="E316" i="8"/>
  <c r="D316" i="8"/>
  <c r="AC331" i="6"/>
  <c r="BU313" i="6"/>
  <c r="E314" i="6"/>
  <c r="D314" i="6"/>
  <c r="E322" i="9" l="1"/>
  <c r="D322" i="9"/>
  <c r="B317" i="8"/>
  <c r="F316" i="8"/>
  <c r="AC332" i="6"/>
  <c r="BU314" i="6"/>
  <c r="B315" i="6"/>
  <c r="F314" i="6"/>
  <c r="B323" i="9" l="1"/>
  <c r="F322" i="9"/>
  <c r="E317" i="8"/>
  <c r="D317" i="8"/>
  <c r="Y317" i="8"/>
  <c r="BS317" i="8"/>
  <c r="BT317" i="8" s="1"/>
  <c r="AC333" i="6"/>
  <c r="BU315" i="6"/>
  <c r="E315" i="6"/>
  <c r="D315" i="6"/>
  <c r="E323" i="9" l="1"/>
  <c r="D323" i="9"/>
  <c r="BS315" i="8"/>
  <c r="BT315" i="8" s="1"/>
  <c r="BR317" i="8"/>
  <c r="BR318" i="8"/>
  <c r="BS316" i="8"/>
  <c r="BT316" i="8" s="1"/>
  <c r="B318" i="8"/>
  <c r="F317" i="8"/>
  <c r="AC334" i="6"/>
  <c r="BU316" i="6"/>
  <c r="B316" i="6"/>
  <c r="F315" i="6"/>
  <c r="B324" i="9" l="1"/>
  <c r="F323" i="9"/>
  <c r="E318" i="8"/>
  <c r="D318" i="8"/>
  <c r="AC335" i="6"/>
  <c r="E316" i="6"/>
  <c r="D316" i="6"/>
  <c r="E324" i="9" l="1"/>
  <c r="D324" i="9"/>
  <c r="B319" i="8"/>
  <c r="F318" i="8"/>
  <c r="AC336" i="6"/>
  <c r="B317" i="6"/>
  <c r="Y317" i="6" s="1"/>
  <c r="BR317" i="6" s="1"/>
  <c r="F316" i="6"/>
  <c r="B325" i="9" l="1"/>
  <c r="F324" i="9"/>
  <c r="E319" i="8"/>
  <c r="D319" i="8"/>
  <c r="AC337" i="6"/>
  <c r="Y318" i="6"/>
  <c r="BS315" i="6"/>
  <c r="BT315" i="6" s="1"/>
  <c r="E317" i="6"/>
  <c r="D317" i="6"/>
  <c r="E325" i="9" l="1"/>
  <c r="D325" i="9"/>
  <c r="B320" i="8"/>
  <c r="F319" i="8"/>
  <c r="BS316" i="6"/>
  <c r="BT316" i="6" s="1"/>
  <c r="BR318" i="6"/>
  <c r="AC338" i="6"/>
  <c r="Y319" i="6"/>
  <c r="BR319" i="6" s="1"/>
  <c r="B318" i="6"/>
  <c r="F317" i="6"/>
  <c r="B326" i="9" l="1"/>
  <c r="F325" i="9"/>
  <c r="E320" i="8"/>
  <c r="D320" i="8"/>
  <c r="BS317" i="6"/>
  <c r="BT317" i="6" s="1"/>
  <c r="AC339" i="6"/>
  <c r="Y320" i="6"/>
  <c r="BR320" i="6" s="1"/>
  <c r="E318" i="6"/>
  <c r="D318" i="6"/>
  <c r="E326" i="9" l="1"/>
  <c r="D326" i="9"/>
  <c r="B321" i="8"/>
  <c r="F320" i="8"/>
  <c r="BS318" i="6"/>
  <c r="BT318" i="6" s="1"/>
  <c r="AC340" i="6"/>
  <c r="Y321" i="6"/>
  <c r="B319" i="6"/>
  <c r="F318" i="6"/>
  <c r="B327" i="9" l="1"/>
  <c r="F326" i="9"/>
  <c r="E321" i="8"/>
  <c r="D321" i="8"/>
  <c r="Y322" i="6"/>
  <c r="Y323" i="6" s="1"/>
  <c r="Y324" i="6" s="1"/>
  <c r="Y325" i="6" s="1"/>
  <c r="Y326" i="6" s="1"/>
  <c r="Y327" i="6" s="1"/>
  <c r="Y328" i="6" s="1"/>
  <c r="Y329" i="6" s="1"/>
  <c r="Y330" i="6" s="1"/>
  <c r="Y331" i="6" s="1"/>
  <c r="Y332" i="6" s="1"/>
  <c r="Y333" i="6" s="1"/>
  <c r="Y334" i="6" s="1"/>
  <c r="Y335" i="6" s="1"/>
  <c r="Y336" i="6" s="1"/>
  <c r="Y337" i="6" s="1"/>
  <c r="BR321" i="6"/>
  <c r="BS319" i="6"/>
  <c r="BT319" i="6" s="1"/>
  <c r="AC341" i="6"/>
  <c r="E319" i="6"/>
  <c r="D319" i="6"/>
  <c r="E327" i="9" l="1"/>
  <c r="D327" i="9"/>
  <c r="B322" i="8"/>
  <c r="F321" i="8"/>
  <c r="AF334" i="6"/>
  <c r="BU317" i="6" s="1"/>
  <c r="AC342" i="6"/>
  <c r="B320" i="6"/>
  <c r="F319" i="6"/>
  <c r="B328" i="9" l="1"/>
  <c r="F327" i="9"/>
  <c r="X322" i="8"/>
  <c r="E322" i="8"/>
  <c r="D322" i="8"/>
  <c r="BS322" i="8"/>
  <c r="BT322" i="8" s="1"/>
  <c r="AF335" i="6"/>
  <c r="BU318" i="6" s="1"/>
  <c r="AC343" i="6"/>
  <c r="E320" i="6"/>
  <c r="D320" i="6"/>
  <c r="E328" i="9" l="1"/>
  <c r="D328" i="9"/>
  <c r="B323" i="8"/>
  <c r="F322" i="8"/>
  <c r="BR322" i="8"/>
  <c r="BS320" i="8"/>
  <c r="BT320" i="8" s="1"/>
  <c r="BS321" i="8"/>
  <c r="BT321" i="8" s="1"/>
  <c r="BR323" i="8"/>
  <c r="AF336" i="6"/>
  <c r="AF337" i="6" s="1"/>
  <c r="AC344" i="6"/>
  <c r="B321" i="6"/>
  <c r="F320" i="6"/>
  <c r="B329" i="9" l="1"/>
  <c r="F328" i="9"/>
  <c r="E323" i="8"/>
  <c r="D323" i="8"/>
  <c r="BU319" i="6"/>
  <c r="AC345" i="6"/>
  <c r="AF338" i="6"/>
  <c r="BU320" i="6"/>
  <c r="E321" i="6"/>
  <c r="D321" i="6"/>
  <c r="E329" i="9" l="1"/>
  <c r="D329" i="9"/>
  <c r="B324" i="8"/>
  <c r="F323" i="8"/>
  <c r="AF339" i="6"/>
  <c r="BU321" i="6"/>
  <c r="AC346" i="6"/>
  <c r="B322" i="6"/>
  <c r="X322" i="6" s="1"/>
  <c r="BR322" i="6" s="1"/>
  <c r="F321" i="6"/>
  <c r="B330" i="9" l="1"/>
  <c r="F329" i="9"/>
  <c r="E324" i="8"/>
  <c r="D324" i="8"/>
  <c r="AC347" i="6"/>
  <c r="AF340" i="6"/>
  <c r="X323" i="6"/>
  <c r="BR323" i="6" s="1"/>
  <c r="BS320" i="6"/>
  <c r="BT320" i="6" s="1"/>
  <c r="E322" i="6"/>
  <c r="D322" i="6"/>
  <c r="E330" i="9" l="1"/>
  <c r="D330" i="9"/>
  <c r="B325" i="8"/>
  <c r="F324" i="8"/>
  <c r="BS321" i="6"/>
  <c r="BT321" i="6" s="1"/>
  <c r="AF341" i="6"/>
  <c r="AC348" i="6"/>
  <c r="X324" i="6"/>
  <c r="B323" i="6"/>
  <c r="F322" i="6"/>
  <c r="B331" i="9" l="1"/>
  <c r="F330" i="9"/>
  <c r="E325" i="8"/>
  <c r="D325" i="8"/>
  <c r="BS322" i="6"/>
  <c r="BT322" i="6" s="1"/>
  <c r="BR324" i="6"/>
  <c r="AC349" i="6"/>
  <c r="AF342" i="6"/>
  <c r="X325" i="6"/>
  <c r="BR325" i="6" s="1"/>
  <c r="E323" i="6"/>
  <c r="D323" i="6"/>
  <c r="E331" i="9" l="1"/>
  <c r="D331" i="9"/>
  <c r="B326" i="8"/>
  <c r="F325" i="8"/>
  <c r="BS323" i="6"/>
  <c r="BT323" i="6" s="1"/>
  <c r="AF343" i="6"/>
  <c r="AC350" i="6"/>
  <c r="X326" i="6"/>
  <c r="B324" i="6"/>
  <c r="F323" i="6"/>
  <c r="B332" i="9" l="1"/>
  <c r="F331" i="9"/>
  <c r="E326" i="8"/>
  <c r="D326" i="8"/>
  <c r="X327" i="6"/>
  <c r="X328" i="6" s="1"/>
  <c r="X329" i="6" s="1"/>
  <c r="X330" i="6" s="1"/>
  <c r="X331" i="6" s="1"/>
  <c r="X332" i="6" s="1"/>
  <c r="X333" i="6" s="1"/>
  <c r="X334" i="6" s="1"/>
  <c r="X335" i="6" s="1"/>
  <c r="X336" i="6" s="1"/>
  <c r="X337" i="6" s="1"/>
  <c r="X338" i="6" s="1"/>
  <c r="X339" i="6" s="1"/>
  <c r="X340" i="6" s="1"/>
  <c r="X341" i="6" s="1"/>
  <c r="X342" i="6" s="1"/>
  <c r="BR326" i="6"/>
  <c r="AC351" i="6"/>
  <c r="BS324" i="6"/>
  <c r="BT324" i="6" s="1"/>
  <c r="AF344" i="6"/>
  <c r="E324" i="6"/>
  <c r="D324" i="6"/>
  <c r="E332" i="9" l="1"/>
  <c r="D332" i="9"/>
  <c r="B327" i="8"/>
  <c r="F326" i="8"/>
  <c r="AG339" i="6"/>
  <c r="BU322" i="6" s="1"/>
  <c r="AF345" i="6"/>
  <c r="AC352" i="6"/>
  <c r="B325" i="6"/>
  <c r="F324" i="6"/>
  <c r="B333" i="9" l="1"/>
  <c r="F332" i="9"/>
  <c r="E327" i="8"/>
  <c r="D327" i="8"/>
  <c r="W327" i="8"/>
  <c r="BS327" i="8"/>
  <c r="BT327" i="8" s="1"/>
  <c r="AG340" i="6"/>
  <c r="AG341" i="6" s="1"/>
  <c r="AC353" i="6"/>
  <c r="AF346" i="6"/>
  <c r="E325" i="6"/>
  <c r="D325" i="6"/>
  <c r="E333" i="9" l="1"/>
  <c r="D333" i="9"/>
  <c r="BS325" i="8"/>
  <c r="BT325" i="8" s="1"/>
  <c r="BR327" i="8"/>
  <c r="BS326" i="8"/>
  <c r="BT326" i="8" s="1"/>
  <c r="BR328" i="8"/>
  <c r="B328" i="8"/>
  <c r="F327" i="8"/>
  <c r="BU323" i="6"/>
  <c r="AC354" i="6"/>
  <c r="AF347" i="6"/>
  <c r="AG342" i="6"/>
  <c r="BU324" i="6"/>
  <c r="B326" i="6"/>
  <c r="F325" i="6"/>
  <c r="B334" i="9" l="1"/>
  <c r="F333" i="9"/>
  <c r="E328" i="8"/>
  <c r="D328" i="8"/>
  <c r="AF348" i="6"/>
  <c r="AG343" i="6"/>
  <c r="BU325" i="6"/>
  <c r="AC355" i="6"/>
  <c r="E326" i="6"/>
  <c r="D326" i="6"/>
  <c r="E334" i="9" l="1"/>
  <c r="D334" i="9"/>
  <c r="B329" i="8"/>
  <c r="F328" i="8"/>
  <c r="AG344" i="6"/>
  <c r="BU326" i="6"/>
  <c r="AC356" i="6"/>
  <c r="AF349" i="6"/>
  <c r="B327" i="6"/>
  <c r="W327" i="6" s="1"/>
  <c r="BR327" i="6" s="1"/>
  <c r="F326" i="6"/>
  <c r="B335" i="9" l="1"/>
  <c r="AG335" i="9" s="1"/>
  <c r="F334" i="9"/>
  <c r="E329" i="8"/>
  <c r="D329" i="8"/>
  <c r="AC357" i="6"/>
  <c r="AF350" i="6"/>
  <c r="AG345" i="6"/>
  <c r="W328" i="6"/>
  <c r="BS325" i="6"/>
  <c r="BT325" i="6" s="1"/>
  <c r="E327" i="6"/>
  <c r="D327" i="6"/>
  <c r="AG336" i="9" l="1"/>
  <c r="DC335" i="9"/>
  <c r="DD333" i="9"/>
  <c r="DE333" i="9" s="1"/>
  <c r="DD334" i="9"/>
  <c r="DE334" i="9" s="1"/>
  <c r="E335" i="9"/>
  <c r="D335" i="9"/>
  <c r="B330" i="8"/>
  <c r="F329" i="8"/>
  <c r="BS326" i="6"/>
  <c r="BT326" i="6" s="1"/>
  <c r="BR328" i="6"/>
  <c r="AF351" i="6"/>
  <c r="AG346" i="6"/>
  <c r="AC358" i="6"/>
  <c r="W329" i="6"/>
  <c r="BR329" i="6" s="1"/>
  <c r="B328" i="6"/>
  <c r="F327" i="6"/>
  <c r="AG337" i="9" l="1"/>
  <c r="DD335" i="9"/>
  <c r="DE335" i="9" s="1"/>
  <c r="DC336" i="9"/>
  <c r="B336" i="9"/>
  <c r="F335" i="9"/>
  <c r="E330" i="8"/>
  <c r="D330" i="8"/>
  <c r="AG347" i="6"/>
  <c r="AC359" i="6"/>
  <c r="AF352" i="6"/>
  <c r="W330" i="6"/>
  <c r="BS327" i="6"/>
  <c r="BT327" i="6" s="1"/>
  <c r="E328" i="6"/>
  <c r="D328" i="6"/>
  <c r="AG338" i="9" l="1"/>
  <c r="DC337" i="9"/>
  <c r="DD336" i="9"/>
  <c r="DE336" i="9" s="1"/>
  <c r="E336" i="9"/>
  <c r="D336" i="9"/>
  <c r="B331" i="8"/>
  <c r="F330" i="8"/>
  <c r="BS328" i="6"/>
  <c r="BT328" i="6" s="1"/>
  <c r="BR330" i="6"/>
  <c r="AC360" i="6"/>
  <c r="AF353" i="6"/>
  <c r="AG348" i="6"/>
  <c r="W331" i="6"/>
  <c r="B329" i="6"/>
  <c r="F328" i="6"/>
  <c r="AG339" i="9" l="1"/>
  <c r="DD337" i="9" s="1"/>
  <c r="DE337" i="9" s="1"/>
  <c r="DC338" i="9"/>
  <c r="B337" i="9"/>
  <c r="F336" i="9"/>
  <c r="E331" i="8"/>
  <c r="D331" i="8"/>
  <c r="W332" i="6"/>
  <c r="W333" i="6" s="1"/>
  <c r="W334" i="6" s="1"/>
  <c r="W335" i="6" s="1"/>
  <c r="W336" i="6" s="1"/>
  <c r="W337" i="6" s="1"/>
  <c r="W338" i="6" s="1"/>
  <c r="W339" i="6" s="1"/>
  <c r="W340" i="6" s="1"/>
  <c r="W341" i="6" s="1"/>
  <c r="W342" i="6" s="1"/>
  <c r="W343" i="6" s="1"/>
  <c r="W344" i="6" s="1"/>
  <c r="W345" i="6" s="1"/>
  <c r="W346" i="6" s="1"/>
  <c r="W347" i="6" s="1"/>
  <c r="BR331" i="6"/>
  <c r="AF354" i="6"/>
  <c r="AG349" i="6"/>
  <c r="AC361" i="6"/>
  <c r="BS329" i="6"/>
  <c r="BT329" i="6" s="1"/>
  <c r="E329" i="6"/>
  <c r="D329" i="6"/>
  <c r="AG340" i="9" l="1"/>
  <c r="DC339" i="9"/>
  <c r="DD338" i="9"/>
  <c r="DE338" i="9" s="1"/>
  <c r="E337" i="9"/>
  <c r="D337" i="9"/>
  <c r="B332" i="8"/>
  <c r="F331" i="8"/>
  <c r="AH344" i="6"/>
  <c r="BU327" i="6" s="1"/>
  <c r="AG350" i="6"/>
  <c r="AC362" i="6"/>
  <c r="AF355" i="6"/>
  <c r="B330" i="6"/>
  <c r="F329" i="6"/>
  <c r="AG341" i="9" l="1"/>
  <c r="DD339" i="9" s="1"/>
  <c r="DE339" i="9" s="1"/>
  <c r="DC340" i="9"/>
  <c r="B338" i="9"/>
  <c r="F337" i="9"/>
  <c r="V332" i="8"/>
  <c r="E332" i="8"/>
  <c r="D332" i="8"/>
  <c r="BS332" i="8"/>
  <c r="BT332" i="8" s="1"/>
  <c r="AH345" i="6"/>
  <c r="BU328" i="6" s="1"/>
  <c r="AF356" i="6"/>
  <c r="AC363" i="6"/>
  <c r="AG351" i="6"/>
  <c r="E330" i="6"/>
  <c r="D330" i="6"/>
  <c r="AG342" i="9" l="1"/>
  <c r="DC341" i="9"/>
  <c r="DD340" i="9"/>
  <c r="DE340" i="9" s="1"/>
  <c r="E338" i="9"/>
  <c r="D338" i="9"/>
  <c r="B333" i="8"/>
  <c r="F332" i="8"/>
  <c r="BS331" i="8"/>
  <c r="BT331" i="8" s="1"/>
  <c r="BR333" i="8"/>
  <c r="BR332" i="8"/>
  <c r="BS330" i="8"/>
  <c r="BT330" i="8" s="1"/>
  <c r="AH346" i="6"/>
  <c r="AH347" i="6" s="1"/>
  <c r="AF357" i="6"/>
  <c r="AG352" i="6"/>
  <c r="AC364" i="6"/>
  <c r="B331" i="6"/>
  <c r="F330" i="6"/>
  <c r="AG343" i="9" l="1"/>
  <c r="DD341" i="9"/>
  <c r="DE341" i="9" s="1"/>
  <c r="DC342" i="9"/>
  <c r="BU329" i="6"/>
  <c r="B339" i="9"/>
  <c r="F338" i="9"/>
  <c r="E333" i="8"/>
  <c r="D333" i="8"/>
  <c r="AH348" i="6"/>
  <c r="BU330" i="6"/>
  <c r="AG353" i="6"/>
  <c r="AC365" i="6"/>
  <c r="AF358" i="6"/>
  <c r="E331" i="6"/>
  <c r="D331" i="6"/>
  <c r="AG344" i="9" l="1"/>
  <c r="DC343" i="9"/>
  <c r="DD342" i="9"/>
  <c r="DE342" i="9" s="1"/>
  <c r="E339" i="9"/>
  <c r="D339" i="9"/>
  <c r="B334" i="8"/>
  <c r="F333" i="8"/>
  <c r="AG354" i="6"/>
  <c r="AF359" i="6"/>
  <c r="AC366" i="6"/>
  <c r="AH349" i="6"/>
  <c r="BU331" i="6"/>
  <c r="B332" i="6"/>
  <c r="V332" i="6" s="1"/>
  <c r="BR332" i="6" s="1"/>
  <c r="F331" i="6"/>
  <c r="AG345" i="9" l="1"/>
  <c r="DC344" i="9"/>
  <c r="DD343" i="9"/>
  <c r="DE343" i="9" s="1"/>
  <c r="B340" i="9"/>
  <c r="F339" i="9"/>
  <c r="E334" i="8"/>
  <c r="D334" i="8"/>
  <c r="AF360" i="6"/>
  <c r="AH350" i="6"/>
  <c r="AC367" i="6"/>
  <c r="AG355" i="6"/>
  <c r="V333" i="6"/>
  <c r="BS330" i="6"/>
  <c r="BT330" i="6" s="1"/>
  <c r="E332" i="6"/>
  <c r="D332" i="6"/>
  <c r="AG346" i="9" l="1"/>
  <c r="DC345" i="9"/>
  <c r="DD344" i="9"/>
  <c r="DE344" i="9" s="1"/>
  <c r="E340" i="9"/>
  <c r="D340" i="9"/>
  <c r="B335" i="8"/>
  <c r="F334" i="8"/>
  <c r="BS331" i="6"/>
  <c r="BT331" i="6" s="1"/>
  <c r="BR333" i="6"/>
  <c r="AG356" i="6"/>
  <c r="AH351" i="6"/>
  <c r="AC368" i="6"/>
  <c r="AF361" i="6"/>
  <c r="V334" i="6"/>
  <c r="B333" i="6"/>
  <c r="F332" i="6"/>
  <c r="AG347" i="9" l="1"/>
  <c r="DC346" i="9"/>
  <c r="DD345" i="9"/>
  <c r="DE345" i="9" s="1"/>
  <c r="B341" i="9"/>
  <c r="F340" i="9"/>
  <c r="E335" i="8"/>
  <c r="D335" i="8"/>
  <c r="BS332" i="6"/>
  <c r="BT332" i="6" s="1"/>
  <c r="BR334" i="6"/>
  <c r="AF362" i="6"/>
  <c r="AH352" i="6"/>
  <c r="AC369" i="6"/>
  <c r="AG357" i="6"/>
  <c r="V335" i="6"/>
  <c r="E333" i="6"/>
  <c r="D333" i="6"/>
  <c r="AG348" i="9" l="1"/>
  <c r="DC347" i="9"/>
  <c r="DD346" i="9"/>
  <c r="DE346" i="9" s="1"/>
  <c r="E341" i="9"/>
  <c r="D341" i="9"/>
  <c r="B336" i="8"/>
  <c r="F335" i="8"/>
  <c r="BS333" i="6"/>
  <c r="BT333" i="6" s="1"/>
  <c r="BR335" i="6"/>
  <c r="AG358" i="6"/>
  <c r="AH353" i="6"/>
  <c r="AC370" i="6"/>
  <c r="AF363" i="6"/>
  <c r="V336" i="6"/>
  <c r="BR336" i="6" s="1"/>
  <c r="B334" i="6"/>
  <c r="F333" i="6"/>
  <c r="AG349" i="9" l="1"/>
  <c r="DC348" i="9"/>
  <c r="DD347" i="9"/>
  <c r="DE347" i="9" s="1"/>
  <c r="B342" i="9"/>
  <c r="F341" i="9"/>
  <c r="E336" i="8"/>
  <c r="D336" i="8"/>
  <c r="BS334" i="6"/>
  <c r="BT334" i="6" s="1"/>
  <c r="AF364" i="6"/>
  <c r="AH354" i="6"/>
  <c r="AC371" i="6"/>
  <c r="AG359" i="6"/>
  <c r="V337" i="6"/>
  <c r="BR337" i="6" s="1"/>
  <c r="E334" i="6"/>
  <c r="D334" i="6"/>
  <c r="AG350" i="9" l="1"/>
  <c r="DC349" i="9"/>
  <c r="DD348" i="9"/>
  <c r="DE348" i="9" s="1"/>
  <c r="E342" i="9"/>
  <c r="D342" i="9"/>
  <c r="B337" i="8"/>
  <c r="F336" i="8"/>
  <c r="AG360" i="6"/>
  <c r="AH355" i="6"/>
  <c r="AC372" i="6"/>
  <c r="AF365" i="6"/>
  <c r="V338" i="6"/>
  <c r="BS335" i="6"/>
  <c r="BT335" i="6" s="1"/>
  <c r="B335" i="6"/>
  <c r="F334" i="6"/>
  <c r="DC350" i="9" l="1"/>
  <c r="AG351" i="9"/>
  <c r="AV350" i="9"/>
  <c r="B343" i="9"/>
  <c r="F342" i="9"/>
  <c r="E337" i="8"/>
  <c r="D337" i="8"/>
  <c r="AF366" i="6"/>
  <c r="AH356" i="6"/>
  <c r="AC373" i="6"/>
  <c r="AG361" i="6"/>
  <c r="V339" i="6"/>
  <c r="E335" i="6"/>
  <c r="D335" i="6"/>
  <c r="DF335" i="9" l="1"/>
  <c r="AV351" i="9"/>
  <c r="AG352" i="9"/>
  <c r="DC351" i="9"/>
  <c r="DD350" i="9"/>
  <c r="DE350" i="9" s="1"/>
  <c r="DD349" i="9"/>
  <c r="DE349" i="9" s="1"/>
  <c r="E343" i="9"/>
  <c r="D343" i="9"/>
  <c r="B338" i="8"/>
  <c r="F337" i="8"/>
  <c r="AH357" i="6"/>
  <c r="AG362" i="6"/>
  <c r="AC374" i="6"/>
  <c r="AF367" i="6"/>
  <c r="V340" i="6"/>
  <c r="B336" i="6"/>
  <c r="F335" i="6"/>
  <c r="DF336" i="9" l="1"/>
  <c r="AV352" i="9"/>
  <c r="AG353" i="9"/>
  <c r="DC352" i="9"/>
  <c r="DD351" i="9"/>
  <c r="DE351" i="9" s="1"/>
  <c r="B344" i="9"/>
  <c r="F343" i="9"/>
  <c r="E338" i="8"/>
  <c r="Y338" i="8"/>
  <c r="D338" i="8"/>
  <c r="BS338" i="8"/>
  <c r="BT338" i="8" s="1"/>
  <c r="AG363" i="6"/>
  <c r="AF368" i="6"/>
  <c r="AC375" i="6"/>
  <c r="AH358" i="6"/>
  <c r="V341" i="6"/>
  <c r="E336" i="6"/>
  <c r="D336" i="6"/>
  <c r="AG354" i="9" l="1"/>
  <c r="DC353" i="9"/>
  <c r="DF337" i="9"/>
  <c r="AV353" i="9"/>
  <c r="E344" i="9"/>
  <c r="D344" i="9"/>
  <c r="BS336" i="8"/>
  <c r="BT336" i="8" s="1"/>
  <c r="BR338" i="8"/>
  <c r="BS337" i="8"/>
  <c r="BT337" i="8" s="1"/>
  <c r="BR339" i="8"/>
  <c r="B339" i="8"/>
  <c r="F338" i="8"/>
  <c r="AF369" i="6"/>
  <c r="AH359" i="6"/>
  <c r="AC376" i="6"/>
  <c r="AG364" i="6"/>
  <c r="V342" i="6"/>
  <c r="B337" i="6"/>
  <c r="F336" i="6"/>
  <c r="DF338" i="9" l="1"/>
  <c r="AV354" i="9"/>
  <c r="AG355" i="9"/>
  <c r="F344" i="9"/>
  <c r="B345" i="9"/>
  <c r="E339" i="8"/>
  <c r="D339" i="8"/>
  <c r="AH360" i="6"/>
  <c r="AG365" i="6"/>
  <c r="AC377" i="6"/>
  <c r="AF370" i="6"/>
  <c r="V343" i="6"/>
  <c r="E337" i="6"/>
  <c r="D337" i="6"/>
  <c r="AG356" i="9" l="1"/>
  <c r="DF339" i="9"/>
  <c r="AV355" i="9"/>
  <c r="E345" i="9"/>
  <c r="D345" i="9"/>
  <c r="B340" i="8"/>
  <c r="F339" i="8"/>
  <c r="AF371" i="6"/>
  <c r="AG366" i="6"/>
  <c r="AC378" i="6"/>
  <c r="AH361" i="6"/>
  <c r="V344" i="6"/>
  <c r="B338" i="6"/>
  <c r="Y338" i="6" s="1"/>
  <c r="BR338" i="6" s="1"/>
  <c r="F337" i="6"/>
  <c r="DF340" i="9" l="1"/>
  <c r="AV356" i="9"/>
  <c r="AG357" i="9"/>
  <c r="F345" i="9"/>
  <c r="B346" i="9"/>
  <c r="E340" i="8"/>
  <c r="D340" i="8"/>
  <c r="AG367" i="6"/>
  <c r="AH362" i="6"/>
  <c r="AC379" i="6"/>
  <c r="AF372" i="6"/>
  <c r="Y339" i="6"/>
  <c r="BR339" i="6" s="1"/>
  <c r="BS336" i="6"/>
  <c r="BT336" i="6" s="1"/>
  <c r="V345" i="6"/>
  <c r="E338" i="6"/>
  <c r="D338" i="6"/>
  <c r="AG358" i="9" l="1"/>
  <c r="DF341" i="9"/>
  <c r="AV357" i="9"/>
  <c r="E346" i="9"/>
  <c r="D346" i="9"/>
  <c r="B341" i="8"/>
  <c r="F340" i="8"/>
  <c r="BS337" i="6"/>
  <c r="BT337" i="6" s="1"/>
  <c r="AF373" i="6"/>
  <c r="AH363" i="6"/>
  <c r="AC380" i="6"/>
  <c r="AG368" i="6"/>
  <c r="Y340" i="6"/>
  <c r="V346" i="6"/>
  <c r="B339" i="6"/>
  <c r="F338" i="6"/>
  <c r="DF342" i="9" l="1"/>
  <c r="AV358" i="9"/>
  <c r="AG359" i="9"/>
  <c r="F346" i="9"/>
  <c r="B347" i="9"/>
  <c r="E341" i="8"/>
  <c r="D341" i="8"/>
  <c r="BS338" i="6"/>
  <c r="BT338" i="6" s="1"/>
  <c r="BR340" i="6"/>
  <c r="AG369" i="6"/>
  <c r="AH364" i="6"/>
  <c r="AC381" i="6"/>
  <c r="AF374" i="6"/>
  <c r="V347" i="6"/>
  <c r="Y341" i="6"/>
  <c r="BR341" i="6" s="1"/>
  <c r="E339" i="6"/>
  <c r="D339" i="6"/>
  <c r="AG360" i="9" l="1"/>
  <c r="DF343" i="9"/>
  <c r="AV359" i="9"/>
  <c r="E347" i="9"/>
  <c r="D347" i="9"/>
  <c r="B342" i="8"/>
  <c r="F341" i="8"/>
  <c r="BS339" i="6"/>
  <c r="BT339" i="6" s="1"/>
  <c r="AH365" i="6"/>
  <c r="AF375" i="6"/>
  <c r="AC382" i="6"/>
  <c r="AG370" i="6"/>
  <c r="Y342" i="6"/>
  <c r="V348" i="6"/>
  <c r="B340" i="6"/>
  <c r="F339" i="6"/>
  <c r="DF344" i="9" l="1"/>
  <c r="AV360" i="9"/>
  <c r="AG361" i="9"/>
  <c r="F347" i="9"/>
  <c r="B348" i="9"/>
  <c r="E342" i="8"/>
  <c r="D342" i="8"/>
  <c r="Y343" i="6"/>
  <c r="Y344" i="6" s="1"/>
  <c r="Y345" i="6" s="1"/>
  <c r="Y346" i="6" s="1"/>
  <c r="Y347" i="6" s="1"/>
  <c r="Y348" i="6" s="1"/>
  <c r="Y349" i="6" s="1"/>
  <c r="Y350" i="6" s="1"/>
  <c r="Y351" i="6" s="1"/>
  <c r="Y352" i="6" s="1"/>
  <c r="Y353" i="6" s="1"/>
  <c r="Y354" i="6" s="1"/>
  <c r="Y355" i="6" s="1"/>
  <c r="Y356" i="6" s="1"/>
  <c r="Y357" i="6" s="1"/>
  <c r="Y358" i="6" s="1"/>
  <c r="BR342" i="6"/>
  <c r="BS340" i="6"/>
  <c r="BT340" i="6" s="1"/>
  <c r="AG371" i="6"/>
  <c r="AF376" i="6"/>
  <c r="AC383" i="6"/>
  <c r="AH366" i="6"/>
  <c r="V349" i="6"/>
  <c r="E340" i="6"/>
  <c r="D340" i="6"/>
  <c r="AG362" i="9" l="1"/>
  <c r="DF345" i="9"/>
  <c r="AV361" i="9"/>
  <c r="E348" i="9"/>
  <c r="D348" i="9"/>
  <c r="F342" i="8"/>
  <c r="B343" i="8"/>
  <c r="AJ355" i="6"/>
  <c r="AJ356" i="6" s="1"/>
  <c r="AJ357" i="6" s="1"/>
  <c r="AJ358" i="6" s="1"/>
  <c r="AJ359" i="6" s="1"/>
  <c r="AJ360" i="6" s="1"/>
  <c r="AJ361" i="6" s="1"/>
  <c r="AJ362" i="6" s="1"/>
  <c r="AJ363" i="6" s="1"/>
  <c r="AJ364" i="6" s="1"/>
  <c r="AJ365" i="6" s="1"/>
  <c r="AJ366" i="6" s="1"/>
  <c r="AJ367" i="6" s="1"/>
  <c r="AJ368" i="6" s="1"/>
  <c r="AJ369" i="6" s="1"/>
  <c r="AJ370" i="6" s="1"/>
  <c r="AJ371" i="6" s="1"/>
  <c r="AJ372" i="6" s="1"/>
  <c r="AJ373" i="6" s="1"/>
  <c r="AJ374" i="6" s="1"/>
  <c r="AJ375" i="6" s="1"/>
  <c r="AJ376" i="6" s="1"/>
  <c r="AJ377" i="6" s="1"/>
  <c r="AJ378" i="6" s="1"/>
  <c r="AJ379" i="6" s="1"/>
  <c r="AJ380" i="6" s="1"/>
  <c r="AJ381" i="6" s="1"/>
  <c r="AJ382" i="6" s="1"/>
  <c r="AJ383" i="6" s="1"/>
  <c r="AJ384" i="6" s="1"/>
  <c r="AJ385" i="6" s="1"/>
  <c r="AJ386" i="6" s="1"/>
  <c r="AJ387" i="6" s="1"/>
  <c r="AJ388" i="6" s="1"/>
  <c r="AJ389" i="6" s="1"/>
  <c r="AJ390" i="6" s="1"/>
  <c r="AJ391" i="6" s="1"/>
  <c r="AJ392" i="6" s="1"/>
  <c r="AJ393" i="6" s="1"/>
  <c r="AJ394" i="6" s="1"/>
  <c r="AJ395" i="6" s="1"/>
  <c r="AJ396" i="6" s="1"/>
  <c r="AJ397" i="6" s="1"/>
  <c r="AJ398" i="6" s="1"/>
  <c r="AJ399" i="6" s="1"/>
  <c r="AJ400" i="6" s="1"/>
  <c r="AJ401" i="6" s="1"/>
  <c r="AJ402" i="6" s="1"/>
  <c r="AJ403" i="6" s="1"/>
  <c r="AJ404" i="6" s="1"/>
  <c r="AJ405" i="6" s="1"/>
  <c r="AJ406" i="6" s="1"/>
  <c r="AJ407" i="6" s="1"/>
  <c r="AJ408" i="6" s="1"/>
  <c r="AJ409" i="6" s="1"/>
  <c r="AJ410" i="6" s="1"/>
  <c r="AJ411" i="6" s="1"/>
  <c r="AJ412" i="6" s="1"/>
  <c r="AJ413" i="6" s="1"/>
  <c r="AJ414" i="6" s="1"/>
  <c r="AJ415" i="6" s="1"/>
  <c r="AJ416" i="6" s="1"/>
  <c r="AJ417" i="6" s="1"/>
  <c r="AJ418" i="6" s="1"/>
  <c r="AJ419" i="6" s="1"/>
  <c r="AJ420" i="6" s="1"/>
  <c r="AJ421" i="6" s="1"/>
  <c r="AF377" i="6"/>
  <c r="AH367" i="6"/>
  <c r="AC384" i="6"/>
  <c r="AG372" i="6"/>
  <c r="AI349" i="6"/>
  <c r="V350" i="6"/>
  <c r="B341" i="6"/>
  <c r="F340" i="6"/>
  <c r="DF346" i="9" l="1"/>
  <c r="AV362" i="9"/>
  <c r="AG363" i="9"/>
  <c r="F348" i="9"/>
  <c r="B349" i="9"/>
  <c r="E343" i="8"/>
  <c r="D343" i="8"/>
  <c r="X343" i="8"/>
  <c r="BS343" i="8"/>
  <c r="BT343" i="8" s="1"/>
  <c r="AG373" i="6"/>
  <c r="AH368" i="6"/>
  <c r="AI350" i="6"/>
  <c r="BU332" i="6"/>
  <c r="AC385" i="6"/>
  <c r="AF378" i="6"/>
  <c r="V351" i="6"/>
  <c r="E341" i="6"/>
  <c r="D341" i="6"/>
  <c r="AG364" i="9" l="1"/>
  <c r="DF347" i="9"/>
  <c r="AV363" i="9"/>
  <c r="E349" i="9"/>
  <c r="D349" i="9"/>
  <c r="BS341" i="8"/>
  <c r="BT341" i="8" s="1"/>
  <c r="BR343" i="8"/>
  <c r="BS342" i="8"/>
  <c r="BT342" i="8" s="1"/>
  <c r="BR344" i="8"/>
  <c r="F343" i="8"/>
  <c r="B344" i="8"/>
  <c r="AC386" i="6"/>
  <c r="AH369" i="6"/>
  <c r="AF379" i="6"/>
  <c r="AI351" i="6"/>
  <c r="BU333" i="6"/>
  <c r="AG374" i="6"/>
  <c r="V352" i="6"/>
  <c r="B342" i="6"/>
  <c r="F341" i="6"/>
  <c r="DF348" i="9" l="1"/>
  <c r="AV364" i="9"/>
  <c r="AG365" i="9"/>
  <c r="F349" i="9"/>
  <c r="B350" i="9"/>
  <c r="E344" i="8"/>
  <c r="D344" i="8"/>
  <c r="AH370" i="6"/>
  <c r="AI352" i="6"/>
  <c r="BU334" i="6"/>
  <c r="AG375" i="6"/>
  <c r="AF380" i="6"/>
  <c r="AC387" i="6"/>
  <c r="E342" i="6"/>
  <c r="D342" i="6"/>
  <c r="AG366" i="9" l="1"/>
  <c r="DF349" i="9"/>
  <c r="AV365" i="9"/>
  <c r="E350" i="9"/>
  <c r="D350" i="9"/>
  <c r="F344" i="8"/>
  <c r="B345" i="8"/>
  <c r="AG376" i="6"/>
  <c r="AF381" i="6"/>
  <c r="AI353" i="6"/>
  <c r="BU335" i="6"/>
  <c r="AC388" i="6"/>
  <c r="AH371" i="6"/>
  <c r="B343" i="6"/>
  <c r="X343" i="6" s="1"/>
  <c r="BR343" i="6" s="1"/>
  <c r="F342" i="6"/>
  <c r="DF350" i="9" l="1"/>
  <c r="AV366" i="9"/>
  <c r="AG367" i="9"/>
  <c r="F350" i="9"/>
  <c r="B351" i="9"/>
  <c r="E345" i="8"/>
  <c r="D345" i="8"/>
  <c r="AC389" i="6"/>
  <c r="AF382" i="6"/>
  <c r="AH372" i="6"/>
  <c r="AI354" i="6"/>
  <c r="BU336" i="6"/>
  <c r="AG377" i="6"/>
  <c r="X344" i="6"/>
  <c r="BR344" i="6" s="1"/>
  <c r="BS341" i="6"/>
  <c r="BT341" i="6" s="1"/>
  <c r="E343" i="6"/>
  <c r="D343" i="6"/>
  <c r="AG368" i="9" l="1"/>
  <c r="DF351" i="9"/>
  <c r="AV367" i="9"/>
  <c r="E351" i="9"/>
  <c r="D351" i="9"/>
  <c r="F345" i="8"/>
  <c r="B346" i="8"/>
  <c r="AI355" i="6"/>
  <c r="BU337" i="6"/>
  <c r="AF383" i="6"/>
  <c r="AG378" i="6"/>
  <c r="AH373" i="6"/>
  <c r="AC390" i="6"/>
  <c r="X345" i="6"/>
  <c r="BS342" i="6"/>
  <c r="BT342" i="6" s="1"/>
  <c r="B344" i="6"/>
  <c r="F343" i="6"/>
  <c r="DF352" i="9" l="1"/>
  <c r="AV368" i="9"/>
  <c r="AG369" i="9"/>
  <c r="B352" i="9"/>
  <c r="F351" i="9"/>
  <c r="E346" i="8"/>
  <c r="D346" i="8"/>
  <c r="BS343" i="6"/>
  <c r="BT343" i="6" s="1"/>
  <c r="BR345" i="6"/>
  <c r="AH374" i="6"/>
  <c r="AF384" i="6"/>
  <c r="AC391" i="6"/>
  <c r="AG379" i="6"/>
  <c r="AI356" i="6"/>
  <c r="BU338" i="6"/>
  <c r="X346" i="6"/>
  <c r="E344" i="6"/>
  <c r="D344" i="6"/>
  <c r="DF353" i="9" l="1"/>
  <c r="AV369" i="9"/>
  <c r="AV370" i="9" s="1"/>
  <c r="AV371" i="9" s="1"/>
  <c r="AV372" i="9" s="1"/>
  <c r="AV373" i="9" s="1"/>
  <c r="AV374" i="9" s="1"/>
  <c r="AV375" i="9" s="1"/>
  <c r="AV376" i="9" s="1"/>
  <c r="AV377" i="9" s="1"/>
  <c r="AV378" i="9" s="1"/>
  <c r="AV379" i="9" s="1"/>
  <c r="AV380" i="9" s="1"/>
  <c r="AV381" i="9" s="1"/>
  <c r="AV382" i="9" s="1"/>
  <c r="AV383" i="9" s="1"/>
  <c r="AV384" i="9" s="1"/>
  <c r="AV385" i="9" s="1"/>
  <c r="AV386" i="9" s="1"/>
  <c r="AV387" i="9" s="1"/>
  <c r="AV388" i="9" s="1"/>
  <c r="AV389" i="9" s="1"/>
  <c r="AV390" i="9" s="1"/>
  <c r="AV391" i="9" s="1"/>
  <c r="AV392" i="9" s="1"/>
  <c r="AV393" i="9" s="1"/>
  <c r="AV394" i="9" s="1"/>
  <c r="AV395" i="9" s="1"/>
  <c r="AV396" i="9" s="1"/>
  <c r="AV397" i="9" s="1"/>
  <c r="AV398" i="9" s="1"/>
  <c r="AV399" i="9" s="1"/>
  <c r="AV400" i="9" s="1"/>
  <c r="AV401" i="9" s="1"/>
  <c r="AV402" i="9" s="1"/>
  <c r="AV403" i="9" s="1"/>
  <c r="AV404" i="9" s="1"/>
  <c r="AV405" i="9" s="1"/>
  <c r="AV406" i="9" s="1"/>
  <c r="AV407" i="9" s="1"/>
  <c r="AV408" i="9" s="1"/>
  <c r="AV409" i="9" s="1"/>
  <c r="AV410" i="9" s="1"/>
  <c r="AV411" i="9" s="1"/>
  <c r="AV412" i="9" s="1"/>
  <c r="AV413" i="9" s="1"/>
  <c r="AV414" i="9" s="1"/>
  <c r="AV415" i="9" s="1"/>
  <c r="AV416" i="9" s="1"/>
  <c r="AV417" i="9" s="1"/>
  <c r="AV418" i="9" s="1"/>
  <c r="AV419" i="9" s="1"/>
  <c r="AV420" i="9" s="1"/>
  <c r="AV421" i="9" s="1"/>
  <c r="AV422" i="9" s="1"/>
  <c r="AV423" i="9" s="1"/>
  <c r="AV424" i="9" s="1"/>
  <c r="AV425" i="9" s="1"/>
  <c r="AV426" i="9" s="1"/>
  <c r="AV427" i="9" s="1"/>
  <c r="AV428" i="9" s="1"/>
  <c r="AV429" i="9" s="1"/>
  <c r="AV430" i="9" s="1"/>
  <c r="AV431" i="9" s="1"/>
  <c r="AV432" i="9" s="1"/>
  <c r="AV433" i="9" s="1"/>
  <c r="AV434" i="9" s="1"/>
  <c r="AV435" i="9" s="1"/>
  <c r="AV436" i="9" s="1"/>
  <c r="AV437" i="9" s="1"/>
  <c r="AV438" i="9" s="1"/>
  <c r="AV439" i="9" s="1"/>
  <c r="AV440" i="9" s="1"/>
  <c r="AV441" i="9" s="1"/>
  <c r="AV442" i="9" s="1"/>
  <c r="AV443" i="9" s="1"/>
  <c r="AV444" i="9" s="1"/>
  <c r="AV445" i="9" s="1"/>
  <c r="AV446" i="9" s="1"/>
  <c r="AV447" i="9" s="1"/>
  <c r="AV448" i="9" s="1"/>
  <c r="AV449" i="9" s="1"/>
  <c r="E352" i="9"/>
  <c r="D352" i="9"/>
  <c r="F346" i="8"/>
  <c r="B347" i="8"/>
  <c r="BS344" i="6"/>
  <c r="BT344" i="6" s="1"/>
  <c r="BR346" i="6"/>
  <c r="AF385" i="6"/>
  <c r="AG380" i="6"/>
  <c r="AI357" i="6"/>
  <c r="BU339" i="6"/>
  <c r="AC392" i="6"/>
  <c r="AH375" i="6"/>
  <c r="X347" i="6"/>
  <c r="B345" i="6"/>
  <c r="F344" i="6"/>
  <c r="F352" i="9" l="1"/>
  <c r="B353" i="9"/>
  <c r="E347" i="8"/>
  <c r="D347" i="8"/>
  <c r="X348" i="6"/>
  <c r="X349" i="6" s="1"/>
  <c r="X350" i="6" s="1"/>
  <c r="X351" i="6" s="1"/>
  <c r="X352" i="6" s="1"/>
  <c r="X353" i="6" s="1"/>
  <c r="X354" i="6" s="1"/>
  <c r="X355" i="6" s="1"/>
  <c r="X356" i="6" s="1"/>
  <c r="X357" i="6" s="1"/>
  <c r="X358" i="6" s="1"/>
  <c r="X359" i="6" s="1"/>
  <c r="X360" i="6" s="1"/>
  <c r="X361" i="6" s="1"/>
  <c r="X362" i="6" s="1"/>
  <c r="X363" i="6" s="1"/>
  <c r="BR347" i="6"/>
  <c r="AI358" i="6"/>
  <c r="BU340" i="6"/>
  <c r="AC393" i="6"/>
  <c r="AG381" i="6"/>
  <c r="AH376" i="6"/>
  <c r="AF386" i="6"/>
  <c r="BS345" i="6"/>
  <c r="BT345" i="6" s="1"/>
  <c r="E345" i="6"/>
  <c r="D345" i="6"/>
  <c r="E353" i="9" l="1"/>
  <c r="D353" i="9"/>
  <c r="F347" i="8"/>
  <c r="B348" i="8"/>
  <c r="AK360" i="6"/>
  <c r="AK361" i="6" s="1"/>
  <c r="AK362" i="6" s="1"/>
  <c r="AK363" i="6" s="1"/>
  <c r="AK364" i="6" s="1"/>
  <c r="AK365" i="6" s="1"/>
  <c r="AK366" i="6" s="1"/>
  <c r="AK367" i="6" s="1"/>
  <c r="AK368" i="6" s="1"/>
  <c r="AK369" i="6" s="1"/>
  <c r="AK370" i="6" s="1"/>
  <c r="AK371" i="6" s="1"/>
  <c r="AK372" i="6" s="1"/>
  <c r="AK373" i="6" s="1"/>
  <c r="AK374" i="6" s="1"/>
  <c r="AK375" i="6" s="1"/>
  <c r="AK376" i="6" s="1"/>
  <c r="AK377" i="6" s="1"/>
  <c r="AK378" i="6" s="1"/>
  <c r="AK379" i="6" s="1"/>
  <c r="AK380" i="6" s="1"/>
  <c r="AK381" i="6" s="1"/>
  <c r="AK382" i="6" s="1"/>
  <c r="AK383" i="6" s="1"/>
  <c r="AK384" i="6" s="1"/>
  <c r="AK385" i="6" s="1"/>
  <c r="AK386" i="6" s="1"/>
  <c r="AK387" i="6" s="1"/>
  <c r="AK388" i="6" s="1"/>
  <c r="AK389" i="6" s="1"/>
  <c r="AK390" i="6" s="1"/>
  <c r="AK391" i="6" s="1"/>
  <c r="AK392" i="6" s="1"/>
  <c r="AK393" i="6" s="1"/>
  <c r="AK394" i="6" s="1"/>
  <c r="AK395" i="6" s="1"/>
  <c r="AK396" i="6" s="1"/>
  <c r="AK397" i="6" s="1"/>
  <c r="AK398" i="6" s="1"/>
  <c r="AK399" i="6" s="1"/>
  <c r="AK400" i="6" s="1"/>
  <c r="AK401" i="6" s="1"/>
  <c r="AK402" i="6" s="1"/>
  <c r="AK403" i="6" s="1"/>
  <c r="AK404" i="6" s="1"/>
  <c r="AK405" i="6" s="1"/>
  <c r="AK406" i="6" s="1"/>
  <c r="AK407" i="6" s="1"/>
  <c r="AK408" i="6" s="1"/>
  <c r="AK409" i="6" s="1"/>
  <c r="AK410" i="6" s="1"/>
  <c r="AK411" i="6" s="1"/>
  <c r="AK412" i="6" s="1"/>
  <c r="AK413" i="6" s="1"/>
  <c r="AK414" i="6" s="1"/>
  <c r="AK415" i="6" s="1"/>
  <c r="AK416" i="6" s="1"/>
  <c r="AK417" i="6" s="1"/>
  <c r="AK418" i="6" s="1"/>
  <c r="AK419" i="6" s="1"/>
  <c r="AK420" i="6" s="1"/>
  <c r="AK421" i="6" s="1"/>
  <c r="AC394" i="6"/>
  <c r="AH377" i="6"/>
  <c r="AF387" i="6"/>
  <c r="AG382" i="6"/>
  <c r="AI359" i="6"/>
  <c r="BU341" i="6"/>
  <c r="B346" i="6"/>
  <c r="F345" i="6"/>
  <c r="F353" i="9" l="1"/>
  <c r="B354" i="9"/>
  <c r="AK354" i="9" s="1"/>
  <c r="W348" i="8"/>
  <c r="E348" i="8"/>
  <c r="D348" i="8"/>
  <c r="BS348" i="8"/>
  <c r="BT348" i="8" s="1"/>
  <c r="AG383" i="6"/>
  <c r="AH378" i="6"/>
  <c r="AI360" i="6"/>
  <c r="BU342" i="6"/>
  <c r="AF388" i="6"/>
  <c r="AC395" i="6"/>
  <c r="E346" i="6"/>
  <c r="D346" i="6"/>
  <c r="DD352" i="9" l="1"/>
  <c r="DE352" i="9" s="1"/>
  <c r="DC354" i="9"/>
  <c r="AK355" i="9"/>
  <c r="DD353" i="9" s="1"/>
  <c r="DE353" i="9" s="1"/>
  <c r="E354" i="9"/>
  <c r="D354" i="9"/>
  <c r="F348" i="8"/>
  <c r="B349" i="8"/>
  <c r="BS346" i="8"/>
  <c r="BT346" i="8" s="1"/>
  <c r="BR348" i="8"/>
  <c r="BS347" i="8"/>
  <c r="BT347" i="8" s="1"/>
  <c r="BR349" i="8"/>
  <c r="AH379" i="6"/>
  <c r="AF389" i="6"/>
  <c r="AC396" i="6"/>
  <c r="AI361" i="6"/>
  <c r="BU343" i="6"/>
  <c r="AG384" i="6"/>
  <c r="B347" i="6"/>
  <c r="F346" i="6"/>
  <c r="AK356" i="9" l="1"/>
  <c r="DC355" i="9"/>
  <c r="DD354" i="9"/>
  <c r="DE354" i="9" s="1"/>
  <c r="F354" i="9"/>
  <c r="B355" i="9"/>
  <c r="E349" i="8"/>
  <c r="D349" i="8"/>
  <c r="AI362" i="6"/>
  <c r="BU344" i="6"/>
  <c r="AF390" i="6"/>
  <c r="AG385" i="6"/>
  <c r="AC397" i="6"/>
  <c r="AH380" i="6"/>
  <c r="E347" i="6"/>
  <c r="D347" i="6"/>
  <c r="AK357" i="9" l="1"/>
  <c r="DC356" i="9"/>
  <c r="DD355" i="9"/>
  <c r="DE355" i="9" s="1"/>
  <c r="E355" i="9"/>
  <c r="D355" i="9"/>
  <c r="F349" i="8"/>
  <c r="B350" i="8"/>
  <c r="AF391" i="6"/>
  <c r="AC398" i="6"/>
  <c r="AH381" i="6"/>
  <c r="AG386" i="6"/>
  <c r="AI363" i="6"/>
  <c r="BU345" i="6"/>
  <c r="B348" i="6"/>
  <c r="W348" i="6" s="1"/>
  <c r="BR348" i="6" s="1"/>
  <c r="F347" i="6"/>
  <c r="AK358" i="9" l="1"/>
  <c r="DC357" i="9"/>
  <c r="DD356" i="9"/>
  <c r="DE356" i="9" s="1"/>
  <c r="F355" i="9"/>
  <c r="B356" i="9"/>
  <c r="E350" i="8"/>
  <c r="D350" i="8"/>
  <c r="AG387" i="6"/>
  <c r="AC399" i="6"/>
  <c r="AI364" i="6"/>
  <c r="BU346" i="6"/>
  <c r="AH382" i="6"/>
  <c r="AF392" i="6"/>
  <c r="W349" i="6"/>
  <c r="BS346" i="6"/>
  <c r="BT346" i="6" s="1"/>
  <c r="E348" i="6"/>
  <c r="D348" i="6"/>
  <c r="AK359" i="9" l="1"/>
  <c r="DC358" i="9"/>
  <c r="DD357" i="9"/>
  <c r="DE357" i="9" s="1"/>
  <c r="E356" i="9"/>
  <c r="D356" i="9"/>
  <c r="F350" i="8"/>
  <c r="B351" i="8"/>
  <c r="BS347" i="6"/>
  <c r="BT347" i="6" s="1"/>
  <c r="BR349" i="6"/>
  <c r="AH383" i="6"/>
  <c r="AC400" i="6"/>
  <c r="AF393" i="6"/>
  <c r="AI365" i="6"/>
  <c r="BU347" i="6"/>
  <c r="AG388" i="6"/>
  <c r="W350" i="6"/>
  <c r="BR350" i="6" s="1"/>
  <c r="B349" i="6"/>
  <c r="F348" i="6"/>
  <c r="AK360" i="9" l="1"/>
  <c r="DD358" i="9" s="1"/>
  <c r="DE358" i="9" s="1"/>
  <c r="DC359" i="9"/>
  <c r="F356" i="9"/>
  <c r="B357" i="9"/>
  <c r="E351" i="8"/>
  <c r="D351" i="8"/>
  <c r="BS348" i="6"/>
  <c r="BT348" i="6" s="1"/>
  <c r="AC401" i="6"/>
  <c r="AI366" i="6"/>
  <c r="AG389" i="6"/>
  <c r="AF394" i="6"/>
  <c r="AH384" i="6"/>
  <c r="W351" i="6"/>
  <c r="E349" i="6"/>
  <c r="D349" i="6"/>
  <c r="AK361" i="9" l="1"/>
  <c r="DC360" i="9"/>
  <c r="DD359" i="9"/>
  <c r="DE359" i="9" s="1"/>
  <c r="E357" i="9"/>
  <c r="D357" i="9"/>
  <c r="F351" i="8"/>
  <c r="B352" i="8"/>
  <c r="BS349" i="6"/>
  <c r="BT349" i="6" s="1"/>
  <c r="BR351" i="6"/>
  <c r="AI367" i="6"/>
  <c r="AF395" i="6"/>
  <c r="AH385" i="6"/>
  <c r="AG390" i="6"/>
  <c r="AC402" i="6"/>
  <c r="W352" i="6"/>
  <c r="B350" i="6"/>
  <c r="F349" i="6"/>
  <c r="AK362" i="9" l="1"/>
  <c r="DD360" i="9"/>
  <c r="DE360" i="9" s="1"/>
  <c r="DC361" i="9"/>
  <c r="F357" i="9"/>
  <c r="B358" i="9"/>
  <c r="E352" i="8"/>
  <c r="D352" i="8"/>
  <c r="W353" i="6"/>
  <c r="W354" i="6" s="1"/>
  <c r="W355" i="6" s="1"/>
  <c r="W356" i="6" s="1"/>
  <c r="W357" i="6" s="1"/>
  <c r="W358" i="6" s="1"/>
  <c r="W359" i="6" s="1"/>
  <c r="W360" i="6" s="1"/>
  <c r="W361" i="6" s="1"/>
  <c r="W362" i="6" s="1"/>
  <c r="W363" i="6" s="1"/>
  <c r="W364" i="6" s="1"/>
  <c r="W365" i="6" s="1"/>
  <c r="W366" i="6" s="1"/>
  <c r="W367" i="6" s="1"/>
  <c r="W368" i="6" s="1"/>
  <c r="BR352" i="6"/>
  <c r="AG391" i="6"/>
  <c r="AF396" i="6"/>
  <c r="AC403" i="6"/>
  <c r="AH386" i="6"/>
  <c r="AI368" i="6"/>
  <c r="BS350" i="6"/>
  <c r="BT350" i="6" s="1"/>
  <c r="E350" i="6"/>
  <c r="D350" i="6"/>
  <c r="AK363" i="9" l="1"/>
  <c r="DC362" i="9"/>
  <c r="DD361" i="9"/>
  <c r="DE361" i="9" s="1"/>
  <c r="E358" i="9"/>
  <c r="D358" i="9"/>
  <c r="F352" i="8"/>
  <c r="B353" i="8"/>
  <c r="AL365" i="6"/>
  <c r="AL366" i="6" s="1"/>
  <c r="AH387" i="6"/>
  <c r="AF397" i="6"/>
  <c r="AI369" i="6"/>
  <c r="AC404" i="6"/>
  <c r="AG392" i="6"/>
  <c r="B351" i="6"/>
  <c r="F350" i="6"/>
  <c r="AK364" i="9" l="1"/>
  <c r="DC363" i="9"/>
  <c r="DD362" i="9"/>
  <c r="DE362" i="9" s="1"/>
  <c r="F358" i="9"/>
  <c r="B359" i="9"/>
  <c r="BU348" i="6"/>
  <c r="V353" i="8"/>
  <c r="E353" i="8"/>
  <c r="D353" i="8"/>
  <c r="BS353" i="8"/>
  <c r="BT353" i="8" s="1"/>
  <c r="AI370" i="6"/>
  <c r="AG393" i="6"/>
  <c r="AH388" i="6"/>
  <c r="AC405" i="6"/>
  <c r="AF398" i="6"/>
  <c r="AL367" i="6"/>
  <c r="BU349" i="6"/>
  <c r="E351" i="6"/>
  <c r="D351" i="6"/>
  <c r="AK365" i="9" l="1"/>
  <c r="DD363" i="9"/>
  <c r="DE363" i="9" s="1"/>
  <c r="DC364" i="9"/>
  <c r="E359" i="9"/>
  <c r="D359" i="9"/>
  <c r="F353" i="8"/>
  <c r="B354" i="8"/>
  <c r="BR354" i="8"/>
  <c r="BS352" i="8"/>
  <c r="BT352" i="8" s="1"/>
  <c r="BR353" i="8"/>
  <c r="BS351" i="8"/>
  <c r="BT351" i="8" s="1"/>
  <c r="AL368" i="6"/>
  <c r="BU350" i="6"/>
  <c r="AC406" i="6"/>
  <c r="AG394" i="6"/>
  <c r="AF399" i="6"/>
  <c r="AH389" i="6"/>
  <c r="AI371" i="6"/>
  <c r="B352" i="6"/>
  <c r="F351" i="6"/>
  <c r="AK366" i="9" l="1"/>
  <c r="DD364" i="9"/>
  <c r="DE364" i="9" s="1"/>
  <c r="DC365" i="9"/>
  <c r="F359" i="9"/>
  <c r="B360" i="9"/>
  <c r="E354" i="8"/>
  <c r="D354" i="8"/>
  <c r="AH390" i="6"/>
  <c r="AI372" i="6"/>
  <c r="AF400" i="6"/>
  <c r="AC407" i="6"/>
  <c r="AG395" i="6"/>
  <c r="AL369" i="6"/>
  <c r="BU351" i="6"/>
  <c r="E352" i="6"/>
  <c r="D352" i="6"/>
  <c r="AK367" i="9" l="1"/>
  <c r="DC366" i="9"/>
  <c r="DD365" i="9"/>
  <c r="DE365" i="9" s="1"/>
  <c r="E360" i="9"/>
  <c r="D360" i="9"/>
  <c r="F354" i="8"/>
  <c r="B355" i="8"/>
  <c r="AC408" i="6"/>
  <c r="AI373" i="6"/>
  <c r="AL370" i="6"/>
  <c r="BU352" i="6"/>
  <c r="AG396" i="6"/>
  <c r="AF401" i="6"/>
  <c r="AH391" i="6"/>
  <c r="B353" i="6"/>
  <c r="V353" i="6" s="1"/>
  <c r="BR353" i="6" s="1"/>
  <c r="F352" i="6"/>
  <c r="AK368" i="9" l="1"/>
  <c r="DD366" i="9" s="1"/>
  <c r="DE366" i="9" s="1"/>
  <c r="DC367" i="9"/>
  <c r="F360" i="9"/>
  <c r="B361" i="9"/>
  <c r="E355" i="8"/>
  <c r="D355" i="8"/>
  <c r="AH392" i="6"/>
  <c r="AG397" i="6"/>
  <c r="AI374" i="6"/>
  <c r="AF402" i="6"/>
  <c r="AL371" i="6"/>
  <c r="AC409" i="6"/>
  <c r="V354" i="6"/>
  <c r="BR354" i="6" s="1"/>
  <c r="BS351" i="6"/>
  <c r="BT351" i="6" s="1"/>
  <c r="E353" i="6"/>
  <c r="D353" i="6"/>
  <c r="AK369" i="9" l="1"/>
  <c r="DC368" i="9"/>
  <c r="DD367" i="9"/>
  <c r="DE367" i="9" s="1"/>
  <c r="E361" i="9"/>
  <c r="D361" i="9"/>
  <c r="F355" i="8"/>
  <c r="B356" i="8"/>
  <c r="BS352" i="6"/>
  <c r="BT352" i="6" s="1"/>
  <c r="AC410" i="6"/>
  <c r="AF403" i="6"/>
  <c r="AG398" i="6"/>
  <c r="AL372" i="6"/>
  <c r="AI375" i="6"/>
  <c r="AH393" i="6"/>
  <c r="V355" i="6"/>
  <c r="BR355" i="6" s="1"/>
  <c r="B354" i="6"/>
  <c r="F353" i="6"/>
  <c r="DC369" i="9" l="1"/>
  <c r="AK370" i="9"/>
  <c r="AK371" i="9" s="1"/>
  <c r="AK372" i="9" s="1"/>
  <c r="AK373" i="9" s="1"/>
  <c r="AK374" i="9" s="1"/>
  <c r="AK375" i="9" s="1"/>
  <c r="AK376" i="9" s="1"/>
  <c r="AK377" i="9" s="1"/>
  <c r="AK378" i="9" s="1"/>
  <c r="AK379" i="9" s="1"/>
  <c r="AU369" i="9"/>
  <c r="F361" i="9"/>
  <c r="B362" i="9"/>
  <c r="E356" i="8"/>
  <c r="D356" i="8"/>
  <c r="BS353" i="6"/>
  <c r="BT353" i="6" s="1"/>
  <c r="AH394" i="6"/>
  <c r="AL373" i="6"/>
  <c r="AF404" i="6"/>
  <c r="AI376" i="6"/>
  <c r="AG399" i="6"/>
  <c r="AC411" i="6"/>
  <c r="V356" i="6"/>
  <c r="BR356" i="6" s="1"/>
  <c r="E354" i="6"/>
  <c r="D354" i="6"/>
  <c r="DF354" i="9" l="1"/>
  <c r="AU370" i="9"/>
  <c r="E362" i="9"/>
  <c r="D362" i="9"/>
  <c r="F356" i="8"/>
  <c r="B357" i="8"/>
  <c r="BS354" i="6"/>
  <c r="BT354" i="6" s="1"/>
  <c r="AC412" i="6"/>
  <c r="AI377" i="6"/>
  <c r="AL374" i="6"/>
  <c r="AG400" i="6"/>
  <c r="AF405" i="6"/>
  <c r="AH395" i="6"/>
  <c r="V357" i="6"/>
  <c r="BR357" i="6" s="1"/>
  <c r="F354" i="6"/>
  <c r="B355" i="6"/>
  <c r="DF355" i="9" l="1"/>
  <c r="AU371" i="9"/>
  <c r="F362" i="9"/>
  <c r="B363" i="9"/>
  <c r="D357" i="8"/>
  <c r="E357" i="8"/>
  <c r="BS355" i="6"/>
  <c r="BT355" i="6" s="1"/>
  <c r="AH396" i="6"/>
  <c r="AG401" i="6"/>
  <c r="AI378" i="6"/>
  <c r="AF406" i="6"/>
  <c r="AL375" i="6"/>
  <c r="AC413" i="6"/>
  <c r="V358" i="6"/>
  <c r="BR358" i="6" s="1"/>
  <c r="D355" i="6"/>
  <c r="E355" i="6"/>
  <c r="DF356" i="9" l="1"/>
  <c r="AU372" i="9"/>
  <c r="E363" i="9"/>
  <c r="D363" i="9"/>
  <c r="F357" i="8"/>
  <c r="B358" i="8"/>
  <c r="BS356" i="6"/>
  <c r="BT356" i="6" s="1"/>
  <c r="AC414" i="6"/>
  <c r="AF407" i="6"/>
  <c r="AG402" i="6"/>
  <c r="AL376" i="6"/>
  <c r="AI379" i="6"/>
  <c r="AH397" i="6"/>
  <c r="V359" i="6"/>
  <c r="F355" i="6"/>
  <c r="B356" i="6"/>
  <c r="DF357" i="9" l="1"/>
  <c r="AU373" i="9"/>
  <c r="F363" i="9"/>
  <c r="B364" i="9"/>
  <c r="D358" i="8"/>
  <c r="E358" i="8"/>
  <c r="AH398" i="6"/>
  <c r="AL377" i="6"/>
  <c r="AF408" i="6"/>
  <c r="AI380" i="6"/>
  <c r="AG403" i="6"/>
  <c r="AC415" i="6"/>
  <c r="V360" i="6"/>
  <c r="D356" i="6"/>
  <c r="E356" i="6"/>
  <c r="DF358" i="9" l="1"/>
  <c r="AU374" i="9"/>
  <c r="E364" i="9"/>
  <c r="D364" i="9"/>
  <c r="F358" i="8"/>
  <c r="B359" i="8"/>
  <c r="AC416" i="6"/>
  <c r="AI381" i="6"/>
  <c r="AL378" i="6"/>
  <c r="AG404" i="6"/>
  <c r="AF409" i="6"/>
  <c r="AH399" i="6"/>
  <c r="V361" i="6"/>
  <c r="F356" i="6"/>
  <c r="B357" i="6"/>
  <c r="DF359" i="9" l="1"/>
  <c r="AU375" i="9"/>
  <c r="B365" i="9"/>
  <c r="F364" i="9"/>
  <c r="Y359" i="8"/>
  <c r="D359" i="8"/>
  <c r="E359" i="8"/>
  <c r="BS359" i="8"/>
  <c r="BT359" i="8" s="1"/>
  <c r="AH400" i="6"/>
  <c r="AG405" i="6"/>
  <c r="AI382" i="6"/>
  <c r="AF410" i="6"/>
  <c r="AL379" i="6"/>
  <c r="AC417" i="6"/>
  <c r="V362" i="6"/>
  <c r="D357" i="6"/>
  <c r="E357" i="6"/>
  <c r="DF360" i="9" l="1"/>
  <c r="AU376" i="9"/>
  <c r="D365" i="9"/>
  <c r="E365" i="9"/>
  <c r="F359" i="8"/>
  <c r="B360" i="8"/>
  <c r="BS357" i="8"/>
  <c r="BT357" i="8" s="1"/>
  <c r="BR359" i="8"/>
  <c r="BS358" i="8"/>
  <c r="BT358" i="8" s="1"/>
  <c r="BR360" i="8"/>
  <c r="AC418" i="6"/>
  <c r="AF411" i="6"/>
  <c r="AG406" i="6"/>
  <c r="AL380" i="6"/>
  <c r="AI383" i="6"/>
  <c r="AH401" i="6"/>
  <c r="V363" i="6"/>
  <c r="F357" i="6"/>
  <c r="B358" i="6"/>
  <c r="DF361" i="9" l="1"/>
  <c r="AU377" i="9"/>
  <c r="B366" i="9"/>
  <c r="F365" i="9"/>
  <c r="D360" i="8"/>
  <c r="E360" i="8"/>
  <c r="AH402" i="6"/>
  <c r="AL381" i="6"/>
  <c r="AF412" i="6"/>
  <c r="AI384" i="6"/>
  <c r="AG407" i="6"/>
  <c r="AC419" i="6"/>
  <c r="V364" i="6"/>
  <c r="D358" i="6"/>
  <c r="E358" i="6"/>
  <c r="DF362" i="9" l="1"/>
  <c r="AU378" i="9"/>
  <c r="E366" i="9"/>
  <c r="D366" i="9"/>
  <c r="F360" i="8"/>
  <c r="B361" i="8"/>
  <c r="AC420" i="6"/>
  <c r="AI385" i="6"/>
  <c r="AL382" i="6"/>
  <c r="AG408" i="6"/>
  <c r="AF413" i="6"/>
  <c r="AH403" i="6"/>
  <c r="V365" i="6"/>
  <c r="F358" i="6"/>
  <c r="B359" i="6"/>
  <c r="Y359" i="6" s="1"/>
  <c r="BR359" i="6" s="1"/>
  <c r="DF363" i="9" l="1"/>
  <c r="AU379" i="9"/>
  <c r="B367" i="9"/>
  <c r="F366" i="9"/>
  <c r="E361" i="8"/>
  <c r="D361" i="8"/>
  <c r="AF414" i="6"/>
  <c r="AH404" i="6"/>
  <c r="AG409" i="6"/>
  <c r="AI386" i="6"/>
  <c r="AL383" i="6"/>
  <c r="AC421" i="6"/>
  <c r="V366" i="6"/>
  <c r="Y360" i="6"/>
  <c r="BR360" i="6" s="1"/>
  <c r="BS357" i="6"/>
  <c r="BT357" i="6" s="1"/>
  <c r="D359" i="6"/>
  <c r="E359" i="6"/>
  <c r="DF364" i="9" l="1"/>
  <c r="AU380" i="9"/>
  <c r="E367" i="9"/>
  <c r="D367" i="9"/>
  <c r="F361" i="8"/>
  <c r="B362" i="8"/>
  <c r="AI387" i="6"/>
  <c r="AH405" i="6"/>
  <c r="AL384" i="6"/>
  <c r="AG410" i="6"/>
  <c r="AF415" i="6"/>
  <c r="Y361" i="6"/>
  <c r="BS358" i="6"/>
  <c r="BT358" i="6" s="1"/>
  <c r="V367" i="6"/>
  <c r="F359" i="6"/>
  <c r="B360" i="6"/>
  <c r="DF365" i="9" l="1"/>
  <c r="AU381" i="9"/>
  <c r="B368" i="9"/>
  <c r="F367" i="9"/>
  <c r="E362" i="8"/>
  <c r="D362" i="8"/>
  <c r="BS359" i="6"/>
  <c r="BT359" i="6" s="1"/>
  <c r="BR361" i="6"/>
  <c r="AL385" i="6"/>
  <c r="AI388" i="6"/>
  <c r="AG411" i="6"/>
  <c r="AF416" i="6"/>
  <c r="AH406" i="6"/>
  <c r="V368" i="6"/>
  <c r="Y362" i="6"/>
  <c r="D360" i="6"/>
  <c r="E360" i="6"/>
  <c r="DF366" i="9" l="1"/>
  <c r="AU382" i="9"/>
  <c r="E368" i="9"/>
  <c r="D368" i="9"/>
  <c r="F362" i="8"/>
  <c r="B363" i="8"/>
  <c r="BS360" i="6"/>
  <c r="BT360" i="6" s="1"/>
  <c r="BR362" i="6"/>
  <c r="AF417" i="6"/>
  <c r="AI389" i="6"/>
  <c r="AH407" i="6"/>
  <c r="AG412" i="6"/>
  <c r="AL386" i="6"/>
  <c r="Y363" i="6"/>
  <c r="BS361" i="6" s="1"/>
  <c r="BT361" i="6" s="1"/>
  <c r="V369" i="6"/>
  <c r="F360" i="6"/>
  <c r="B361" i="6"/>
  <c r="DF367" i="9" l="1"/>
  <c r="AU383" i="9"/>
  <c r="B369" i="9"/>
  <c r="F368" i="9"/>
  <c r="E363" i="8"/>
  <c r="D363" i="8"/>
  <c r="Y364" i="6"/>
  <c r="Y365" i="6" s="1"/>
  <c r="Y366" i="6" s="1"/>
  <c r="Y367" i="6" s="1"/>
  <c r="Y368" i="6" s="1"/>
  <c r="Y369" i="6" s="1"/>
  <c r="Y370" i="6" s="1"/>
  <c r="Y371" i="6" s="1"/>
  <c r="Y372" i="6" s="1"/>
  <c r="Y373" i="6" s="1"/>
  <c r="Y374" i="6" s="1"/>
  <c r="Y375" i="6" s="1"/>
  <c r="Y376" i="6" s="1"/>
  <c r="Y377" i="6" s="1"/>
  <c r="Y378" i="6" s="1"/>
  <c r="Y379" i="6" s="1"/>
  <c r="BR363" i="6"/>
  <c r="AG413" i="6"/>
  <c r="AI390" i="6"/>
  <c r="AL387" i="6"/>
  <c r="AH408" i="6"/>
  <c r="AF418" i="6"/>
  <c r="V370" i="6"/>
  <c r="D361" i="6"/>
  <c r="E361" i="6"/>
  <c r="DF368" i="9" l="1"/>
  <c r="AU384" i="9"/>
  <c r="E369" i="9"/>
  <c r="D369" i="9"/>
  <c r="F363" i="8"/>
  <c r="B364" i="8"/>
  <c r="AN376" i="6"/>
  <c r="AN377" i="6" s="1"/>
  <c r="AN378" i="6" s="1"/>
  <c r="AN379" i="6" s="1"/>
  <c r="AN380" i="6" s="1"/>
  <c r="AN381" i="6" s="1"/>
  <c r="AN382" i="6" s="1"/>
  <c r="AN383" i="6" s="1"/>
  <c r="AN384" i="6" s="1"/>
  <c r="AN385" i="6" s="1"/>
  <c r="AN386" i="6" s="1"/>
  <c r="AN387" i="6" s="1"/>
  <c r="AN388" i="6" s="1"/>
  <c r="AN389" i="6" s="1"/>
  <c r="AN390" i="6" s="1"/>
  <c r="AN391" i="6" s="1"/>
  <c r="AN392" i="6" s="1"/>
  <c r="AN393" i="6" s="1"/>
  <c r="AN394" i="6" s="1"/>
  <c r="AN395" i="6" s="1"/>
  <c r="AN396" i="6" s="1"/>
  <c r="AN397" i="6" s="1"/>
  <c r="AN398" i="6" s="1"/>
  <c r="AN399" i="6" s="1"/>
  <c r="AN400" i="6" s="1"/>
  <c r="AN401" i="6" s="1"/>
  <c r="AN402" i="6" s="1"/>
  <c r="AN403" i="6" s="1"/>
  <c r="AN404" i="6" s="1"/>
  <c r="AN405" i="6" s="1"/>
  <c r="AN406" i="6" s="1"/>
  <c r="AN407" i="6" s="1"/>
  <c r="AN408" i="6" s="1"/>
  <c r="AN409" i="6" s="1"/>
  <c r="AN410" i="6" s="1"/>
  <c r="AN411" i="6" s="1"/>
  <c r="AN412" i="6" s="1"/>
  <c r="AN413" i="6" s="1"/>
  <c r="AN414" i="6" s="1"/>
  <c r="AN415" i="6" s="1"/>
  <c r="AN416" i="6" s="1"/>
  <c r="AN417" i="6" s="1"/>
  <c r="AN418" i="6" s="1"/>
  <c r="AN419" i="6" s="1"/>
  <c r="AN420" i="6" s="1"/>
  <c r="AN421" i="6" s="1"/>
  <c r="AH409" i="6"/>
  <c r="AI391" i="6"/>
  <c r="AF419" i="6"/>
  <c r="AL388" i="6"/>
  <c r="AG414" i="6"/>
  <c r="V371" i="6"/>
  <c r="AM370" i="6"/>
  <c r="B362" i="6"/>
  <c r="F361" i="6"/>
  <c r="DF369" i="9" l="1"/>
  <c r="AU385" i="9"/>
  <c r="B370" i="9"/>
  <c r="AG370" i="9" s="1"/>
  <c r="F369" i="9"/>
  <c r="E364" i="8"/>
  <c r="D364" i="8"/>
  <c r="X364" i="8"/>
  <c r="BS364" i="8"/>
  <c r="BT364" i="8" s="1"/>
  <c r="AM371" i="6"/>
  <c r="BU353" i="6"/>
  <c r="AL389" i="6"/>
  <c r="AI392" i="6"/>
  <c r="AG415" i="6"/>
  <c r="AF420" i="6"/>
  <c r="AH410" i="6"/>
  <c r="V372" i="6"/>
  <c r="D362" i="6"/>
  <c r="E362" i="6"/>
  <c r="AG371" i="9" l="1"/>
  <c r="DC370" i="9"/>
  <c r="DD369" i="9"/>
  <c r="DE369" i="9" s="1"/>
  <c r="DD368" i="9"/>
  <c r="DE368" i="9" s="1"/>
  <c r="AU386" i="9"/>
  <c r="E370" i="9"/>
  <c r="D370" i="9"/>
  <c r="BS362" i="8"/>
  <c r="BT362" i="8" s="1"/>
  <c r="BR364" i="8"/>
  <c r="BR365" i="8"/>
  <c r="BS363" i="8"/>
  <c r="BT363" i="8" s="1"/>
  <c r="F364" i="8"/>
  <c r="B365" i="8"/>
  <c r="AH411" i="6"/>
  <c r="AG416" i="6"/>
  <c r="AL390" i="6"/>
  <c r="AF421" i="6"/>
  <c r="AI393" i="6"/>
  <c r="AM372" i="6"/>
  <c r="BU354" i="6"/>
  <c r="V373" i="6"/>
  <c r="B363" i="6"/>
  <c r="F362" i="6"/>
  <c r="AU387" i="9" l="1"/>
  <c r="AG372" i="9"/>
  <c r="DC371" i="9"/>
  <c r="DD370" i="9"/>
  <c r="DE370" i="9" s="1"/>
  <c r="B371" i="9"/>
  <c r="F370" i="9"/>
  <c r="E365" i="8"/>
  <c r="D365" i="8"/>
  <c r="AG417" i="6"/>
  <c r="AM373" i="6"/>
  <c r="BU355" i="6"/>
  <c r="AI394" i="6"/>
  <c r="AL391" i="6"/>
  <c r="AH412" i="6"/>
  <c r="D363" i="6"/>
  <c r="E363" i="6"/>
  <c r="AG373" i="9" l="1"/>
  <c r="DC372" i="9"/>
  <c r="DD371" i="9"/>
  <c r="DE371" i="9" s="1"/>
  <c r="AU388" i="9"/>
  <c r="E371" i="9"/>
  <c r="D371" i="9"/>
  <c r="F365" i="8"/>
  <c r="B366" i="8"/>
  <c r="AH413" i="6"/>
  <c r="AI395" i="6"/>
  <c r="AM374" i="6"/>
  <c r="BU356" i="6"/>
  <c r="AL392" i="6"/>
  <c r="AG418" i="6"/>
  <c r="B364" i="6"/>
  <c r="X364" i="6" s="1"/>
  <c r="BR364" i="6" s="1"/>
  <c r="F363" i="6"/>
  <c r="AU389" i="9" l="1"/>
  <c r="AG374" i="9"/>
  <c r="DC373" i="9"/>
  <c r="DD372" i="9"/>
  <c r="DE372" i="9" s="1"/>
  <c r="B372" i="9"/>
  <c r="F371" i="9"/>
  <c r="E366" i="8"/>
  <c r="D366" i="8"/>
  <c r="AL393" i="6"/>
  <c r="AI396" i="6"/>
  <c r="AG419" i="6"/>
  <c r="AM375" i="6"/>
  <c r="BU357" i="6"/>
  <c r="AH414" i="6"/>
  <c r="X365" i="6"/>
  <c r="BS362" i="6"/>
  <c r="BT362" i="6" s="1"/>
  <c r="D364" i="6"/>
  <c r="E364" i="6"/>
  <c r="AU390" i="9" l="1"/>
  <c r="AG375" i="9"/>
  <c r="DC374" i="9"/>
  <c r="DD373" i="9"/>
  <c r="DE373" i="9" s="1"/>
  <c r="E372" i="9"/>
  <c r="D372" i="9"/>
  <c r="F366" i="8"/>
  <c r="B367" i="8"/>
  <c r="BS363" i="6"/>
  <c r="BT363" i="6" s="1"/>
  <c r="BR365" i="6"/>
  <c r="AM376" i="6"/>
  <c r="BU358" i="6"/>
  <c r="AI397" i="6"/>
  <c r="AH415" i="6"/>
  <c r="AG420" i="6"/>
  <c r="AL394" i="6"/>
  <c r="X366" i="6"/>
  <c r="B365" i="6"/>
  <c r="F364" i="6"/>
  <c r="AG376" i="9" l="1"/>
  <c r="DD374" i="9"/>
  <c r="DE374" i="9" s="1"/>
  <c r="DC375" i="9"/>
  <c r="AU391" i="9"/>
  <c r="B373" i="9"/>
  <c r="F372" i="9"/>
  <c r="E367" i="8"/>
  <c r="D367" i="8"/>
  <c r="BS364" i="6"/>
  <c r="BT364" i="6" s="1"/>
  <c r="BR366" i="6"/>
  <c r="AG421" i="6"/>
  <c r="AI398" i="6"/>
  <c r="AL395" i="6"/>
  <c r="AH416" i="6"/>
  <c r="AM377" i="6"/>
  <c r="BU359" i="6"/>
  <c r="X367" i="6"/>
  <c r="BR367" i="6" s="1"/>
  <c r="D365" i="6"/>
  <c r="E365" i="6"/>
  <c r="AU392" i="9" l="1"/>
  <c r="AG377" i="9"/>
  <c r="DC376" i="9"/>
  <c r="DD375" i="9"/>
  <c r="DE375" i="9" s="1"/>
  <c r="E373" i="9"/>
  <c r="D373" i="9"/>
  <c r="F367" i="8"/>
  <c r="B368" i="8"/>
  <c r="BS365" i="6"/>
  <c r="BT365" i="6" s="1"/>
  <c r="AH417" i="6"/>
  <c r="AI399" i="6"/>
  <c r="AM378" i="6"/>
  <c r="BU360" i="6"/>
  <c r="AL396" i="6"/>
  <c r="X368" i="6"/>
  <c r="B366" i="6"/>
  <c r="F365" i="6"/>
  <c r="AG378" i="9" l="1"/>
  <c r="DD376" i="9" s="1"/>
  <c r="DE376" i="9" s="1"/>
  <c r="DC377" i="9"/>
  <c r="AU393" i="9"/>
  <c r="B374" i="9"/>
  <c r="F373" i="9"/>
  <c r="E368" i="8"/>
  <c r="D368" i="8"/>
  <c r="X369" i="6"/>
  <c r="X370" i="6" s="1"/>
  <c r="X371" i="6" s="1"/>
  <c r="X372" i="6" s="1"/>
  <c r="X373" i="6" s="1"/>
  <c r="X374" i="6" s="1"/>
  <c r="X375" i="6" s="1"/>
  <c r="X376" i="6" s="1"/>
  <c r="X377" i="6" s="1"/>
  <c r="X378" i="6" s="1"/>
  <c r="X379" i="6" s="1"/>
  <c r="X380" i="6" s="1"/>
  <c r="X381" i="6" s="1"/>
  <c r="X382" i="6" s="1"/>
  <c r="X383" i="6" s="1"/>
  <c r="X384" i="6" s="1"/>
  <c r="BR368" i="6"/>
  <c r="AI400" i="6"/>
  <c r="AL397" i="6"/>
  <c r="AM379" i="6"/>
  <c r="BU361" i="6"/>
  <c r="AH418" i="6"/>
  <c r="BS366" i="6"/>
  <c r="BT366" i="6" s="1"/>
  <c r="D366" i="6"/>
  <c r="E366" i="6"/>
  <c r="AU394" i="9" l="1"/>
  <c r="AG379" i="9"/>
  <c r="DC378" i="9"/>
  <c r="E374" i="9"/>
  <c r="D374" i="9"/>
  <c r="F368" i="8"/>
  <c r="B369" i="8"/>
  <c r="AO381" i="6"/>
  <c r="AO382" i="6" s="1"/>
  <c r="AO383" i="6" s="1"/>
  <c r="AO384" i="6" s="1"/>
  <c r="AO385" i="6" s="1"/>
  <c r="AO386" i="6" s="1"/>
  <c r="AO387" i="6" s="1"/>
  <c r="AO388" i="6" s="1"/>
  <c r="AO389" i="6" s="1"/>
  <c r="AO390" i="6" s="1"/>
  <c r="AO391" i="6" s="1"/>
  <c r="AO392" i="6" s="1"/>
  <c r="AO393" i="6" s="1"/>
  <c r="AO394" i="6" s="1"/>
  <c r="AO395" i="6" s="1"/>
  <c r="AO396" i="6" s="1"/>
  <c r="AO397" i="6" s="1"/>
  <c r="AO398" i="6" s="1"/>
  <c r="AO399" i="6" s="1"/>
  <c r="AO400" i="6" s="1"/>
  <c r="AO401" i="6" s="1"/>
  <c r="AO402" i="6" s="1"/>
  <c r="AO403" i="6" s="1"/>
  <c r="AO404" i="6" s="1"/>
  <c r="AO405" i="6" s="1"/>
  <c r="AO406" i="6" s="1"/>
  <c r="AO407" i="6" s="1"/>
  <c r="AO408" i="6" s="1"/>
  <c r="AO409" i="6" s="1"/>
  <c r="AO410" i="6" s="1"/>
  <c r="AO411" i="6" s="1"/>
  <c r="AO412" i="6" s="1"/>
  <c r="AO413" i="6" s="1"/>
  <c r="AO414" i="6" s="1"/>
  <c r="AO415" i="6" s="1"/>
  <c r="AO416" i="6" s="1"/>
  <c r="AO417" i="6" s="1"/>
  <c r="AO418" i="6" s="1"/>
  <c r="AO419" i="6" s="1"/>
  <c r="AO420" i="6" s="1"/>
  <c r="AO421" i="6" s="1"/>
  <c r="AH419" i="6"/>
  <c r="AL398" i="6"/>
  <c r="AM380" i="6"/>
  <c r="BU362" i="6"/>
  <c r="AI401" i="6"/>
  <c r="B367" i="6"/>
  <c r="F366" i="6"/>
  <c r="AG380" i="9" l="1"/>
  <c r="DC379" i="9"/>
  <c r="DD377" i="9"/>
  <c r="DE377" i="9" s="1"/>
  <c r="AU395" i="9"/>
  <c r="AU396" i="9" s="1"/>
  <c r="AU397" i="9" s="1"/>
  <c r="AU398" i="9" s="1"/>
  <c r="AU399" i="9" s="1"/>
  <c r="AU400" i="9" s="1"/>
  <c r="AU401" i="9" s="1"/>
  <c r="AU402" i="9" s="1"/>
  <c r="AU403" i="9" s="1"/>
  <c r="AU404" i="9" s="1"/>
  <c r="AU405" i="9" s="1"/>
  <c r="AU406" i="9" s="1"/>
  <c r="AU407" i="9" s="1"/>
  <c r="AU408" i="9" s="1"/>
  <c r="AU409" i="9" s="1"/>
  <c r="AU410" i="9" s="1"/>
  <c r="AU411" i="9" s="1"/>
  <c r="AU412" i="9" s="1"/>
  <c r="AU413" i="9" s="1"/>
  <c r="AU414" i="9" s="1"/>
  <c r="AU415" i="9" s="1"/>
  <c r="AU416" i="9" s="1"/>
  <c r="AU417" i="9" s="1"/>
  <c r="AU418" i="9" s="1"/>
  <c r="AU419" i="9" s="1"/>
  <c r="AU420" i="9" s="1"/>
  <c r="AU421" i="9" s="1"/>
  <c r="AU422" i="9" s="1"/>
  <c r="AU423" i="9" s="1"/>
  <c r="AU424" i="9" s="1"/>
  <c r="AU425" i="9" s="1"/>
  <c r="AU426" i="9" s="1"/>
  <c r="AU427" i="9" s="1"/>
  <c r="AU428" i="9" s="1"/>
  <c r="AU429" i="9" s="1"/>
  <c r="AU430" i="9" s="1"/>
  <c r="AU431" i="9" s="1"/>
  <c r="AU432" i="9" s="1"/>
  <c r="AU433" i="9" s="1"/>
  <c r="AU434" i="9" s="1"/>
  <c r="AU435" i="9" s="1"/>
  <c r="AU436" i="9" s="1"/>
  <c r="AU437" i="9" s="1"/>
  <c r="AU438" i="9" s="1"/>
  <c r="AU439" i="9" s="1"/>
  <c r="AU440" i="9" s="1"/>
  <c r="AU441" i="9" s="1"/>
  <c r="AU442" i="9" s="1"/>
  <c r="AU443" i="9" s="1"/>
  <c r="AU444" i="9" s="1"/>
  <c r="AU445" i="9" s="1"/>
  <c r="AU446" i="9" s="1"/>
  <c r="AU447" i="9" s="1"/>
  <c r="AU448" i="9" s="1"/>
  <c r="AU449" i="9" s="1"/>
  <c r="AU450" i="9" s="1"/>
  <c r="AU451" i="9" s="1"/>
  <c r="AU452" i="9" s="1"/>
  <c r="AU453" i="9" s="1"/>
  <c r="AU454" i="9" s="1"/>
  <c r="AU455" i="9" s="1"/>
  <c r="AU456" i="9" s="1"/>
  <c r="AU457" i="9" s="1"/>
  <c r="AU458" i="9" s="1"/>
  <c r="AU459" i="9" s="1"/>
  <c r="AU460" i="9" s="1"/>
  <c r="AU461" i="9" s="1"/>
  <c r="AU462" i="9" s="1"/>
  <c r="AU463" i="9" s="1"/>
  <c r="AU464" i="9" s="1"/>
  <c r="AU465" i="9" s="1"/>
  <c r="AU466" i="9" s="1"/>
  <c r="AU467" i="9" s="1"/>
  <c r="AU468" i="9" s="1"/>
  <c r="B375" i="9"/>
  <c r="F374" i="9"/>
  <c r="W369" i="8"/>
  <c r="E369" i="8"/>
  <c r="D369" i="8"/>
  <c r="BS369" i="8"/>
  <c r="BT369" i="8" s="1"/>
  <c r="AI402" i="6"/>
  <c r="AL399" i="6"/>
  <c r="AM381" i="6"/>
  <c r="BU363" i="6"/>
  <c r="AH420" i="6"/>
  <c r="D367" i="6"/>
  <c r="E367" i="6"/>
  <c r="AG381" i="9" l="1"/>
  <c r="E375" i="9"/>
  <c r="D375" i="9"/>
  <c r="F369" i="8"/>
  <c r="B370" i="8"/>
  <c r="BS367" i="8"/>
  <c r="BT367" i="8" s="1"/>
  <c r="BR369" i="8"/>
  <c r="BS368" i="8"/>
  <c r="BT368" i="8" s="1"/>
  <c r="BR370" i="8"/>
  <c r="AH421" i="6"/>
  <c r="AL400" i="6"/>
  <c r="AM382" i="6"/>
  <c r="BU364" i="6"/>
  <c r="AI403" i="6"/>
  <c r="B368" i="6"/>
  <c r="F367" i="6"/>
  <c r="AG382" i="9" l="1"/>
  <c r="B376" i="9"/>
  <c r="F375" i="9"/>
  <c r="E370" i="8"/>
  <c r="D370" i="8"/>
  <c r="AI404" i="6"/>
  <c r="AL401" i="6"/>
  <c r="AM383" i="6"/>
  <c r="BU365" i="6"/>
  <c r="D368" i="6"/>
  <c r="E368" i="6"/>
  <c r="AG383" i="9" l="1"/>
  <c r="E376" i="9"/>
  <c r="D376" i="9"/>
  <c r="F370" i="8"/>
  <c r="B371" i="8"/>
  <c r="AL402" i="6"/>
  <c r="AM384" i="6"/>
  <c r="BU366" i="6"/>
  <c r="AI405" i="6"/>
  <c r="B369" i="6"/>
  <c r="W369" i="6" s="1"/>
  <c r="BR369" i="6" s="1"/>
  <c r="F368" i="6"/>
  <c r="AG384" i="9" l="1"/>
  <c r="B377" i="9"/>
  <c r="F376" i="9"/>
  <c r="E371" i="8"/>
  <c r="D371" i="8"/>
  <c r="AM385" i="6"/>
  <c r="BU367" i="6"/>
  <c r="AI406" i="6"/>
  <c r="AL403" i="6"/>
  <c r="W370" i="6"/>
  <c r="BS367" i="6"/>
  <c r="BT367" i="6" s="1"/>
  <c r="D369" i="6"/>
  <c r="E369" i="6"/>
  <c r="AG385" i="9" l="1"/>
  <c r="E377" i="9"/>
  <c r="D377" i="9"/>
  <c r="F371" i="8"/>
  <c r="B372" i="8"/>
  <c r="BS368" i="6"/>
  <c r="BT368" i="6" s="1"/>
  <c r="BR370" i="6"/>
  <c r="AI407" i="6"/>
  <c r="AL404" i="6"/>
  <c r="AM386" i="6"/>
  <c r="BU368" i="6"/>
  <c r="W371" i="6"/>
  <c r="B370" i="6"/>
  <c r="F369" i="6"/>
  <c r="AW385" i="9" l="1"/>
  <c r="AG386" i="9"/>
  <c r="B378" i="9"/>
  <c r="F377" i="9"/>
  <c r="E372" i="8"/>
  <c r="D372" i="8"/>
  <c r="BS369" i="6"/>
  <c r="BT369" i="6" s="1"/>
  <c r="BR371" i="6"/>
  <c r="AL405" i="6"/>
  <c r="AM387" i="6"/>
  <c r="AI408" i="6"/>
  <c r="W372" i="6"/>
  <c r="BR372" i="6" s="1"/>
  <c r="D370" i="6"/>
  <c r="E370" i="6"/>
  <c r="AG387" i="9" l="1"/>
  <c r="DF370" i="9"/>
  <c r="AW386" i="9"/>
  <c r="E378" i="9"/>
  <c r="D378" i="9"/>
  <c r="B373" i="8"/>
  <c r="F372" i="8"/>
  <c r="BS370" i="6"/>
  <c r="BT370" i="6" s="1"/>
  <c r="AM388" i="6"/>
  <c r="AI409" i="6"/>
  <c r="AL406" i="6"/>
  <c r="W373" i="6"/>
  <c r="B371" i="6"/>
  <c r="F370" i="6"/>
  <c r="DF371" i="9" l="1"/>
  <c r="AW387" i="9"/>
  <c r="AG388" i="9"/>
  <c r="B379" i="9"/>
  <c r="F378" i="9"/>
  <c r="E373" i="8"/>
  <c r="D373" i="8"/>
  <c r="W374" i="6"/>
  <c r="W375" i="6" s="1"/>
  <c r="W376" i="6" s="1"/>
  <c r="W377" i="6" s="1"/>
  <c r="W378" i="6" s="1"/>
  <c r="W379" i="6" s="1"/>
  <c r="W380" i="6" s="1"/>
  <c r="W381" i="6" s="1"/>
  <c r="W382" i="6" s="1"/>
  <c r="W383" i="6" s="1"/>
  <c r="W384" i="6" s="1"/>
  <c r="W385" i="6" s="1"/>
  <c r="W386" i="6" s="1"/>
  <c r="W387" i="6" s="1"/>
  <c r="W388" i="6" s="1"/>
  <c r="W389" i="6" s="1"/>
  <c r="BR373" i="6"/>
  <c r="AI410" i="6"/>
  <c r="BS371" i="6"/>
  <c r="BT371" i="6" s="1"/>
  <c r="AL407" i="6"/>
  <c r="AM389" i="6"/>
  <c r="E371" i="6"/>
  <c r="D371" i="6"/>
  <c r="AG389" i="9" l="1"/>
  <c r="DF372" i="9"/>
  <c r="AW388" i="9"/>
  <c r="E379" i="9"/>
  <c r="D379" i="9"/>
  <c r="B374" i="8"/>
  <c r="F373" i="8"/>
  <c r="AP386" i="6"/>
  <c r="AP387" i="6" s="1"/>
  <c r="AL408" i="6"/>
  <c r="AM390" i="6"/>
  <c r="AI411" i="6"/>
  <c r="B372" i="6"/>
  <c r="F371" i="6"/>
  <c r="DF373" i="9" l="1"/>
  <c r="AW389" i="9"/>
  <c r="AG390" i="9"/>
  <c r="B380" i="9"/>
  <c r="AK380" i="9" s="1"/>
  <c r="F379" i="9"/>
  <c r="BU369" i="6"/>
  <c r="E374" i="8"/>
  <c r="V374" i="8"/>
  <c r="D374" i="8"/>
  <c r="BS374" i="8"/>
  <c r="BT374" i="8" s="1"/>
  <c r="AI412" i="6"/>
  <c r="AM391" i="6"/>
  <c r="AP388" i="6"/>
  <c r="BU370" i="6"/>
  <c r="AL409" i="6"/>
  <c r="E372" i="6"/>
  <c r="D372" i="6"/>
  <c r="DD378" i="9" l="1"/>
  <c r="DE378" i="9" s="1"/>
  <c r="DC380" i="9"/>
  <c r="AG391" i="9"/>
  <c r="DF374" i="9"/>
  <c r="AW390" i="9"/>
  <c r="AK381" i="9"/>
  <c r="DD379" i="9" s="1"/>
  <c r="DE379" i="9" s="1"/>
  <c r="D380" i="9"/>
  <c r="E380" i="9"/>
  <c r="B375" i="8"/>
  <c r="F374" i="8"/>
  <c r="BR374" i="8"/>
  <c r="BS373" i="8"/>
  <c r="BT373" i="8" s="1"/>
  <c r="BR375" i="8"/>
  <c r="BS372" i="8"/>
  <c r="BT372" i="8" s="1"/>
  <c r="AL410" i="6"/>
  <c r="AM392" i="6"/>
  <c r="AP389" i="6"/>
  <c r="BU371" i="6"/>
  <c r="AI413" i="6"/>
  <c r="B373" i="6"/>
  <c r="F372" i="6"/>
  <c r="DF375" i="9" l="1"/>
  <c r="AW391" i="9"/>
  <c r="AG392" i="9"/>
  <c r="AK382" i="9"/>
  <c r="DC381" i="9"/>
  <c r="F380" i="9"/>
  <c r="B381" i="9"/>
  <c r="E375" i="8"/>
  <c r="D375" i="8"/>
  <c r="AI414" i="6"/>
  <c r="AM393" i="6"/>
  <c r="AP390" i="6"/>
  <c r="BU372" i="6"/>
  <c r="AL411" i="6"/>
  <c r="E373" i="6"/>
  <c r="D373" i="6"/>
  <c r="AK383" i="9" l="1"/>
  <c r="AG393" i="9"/>
  <c r="DF376" i="9"/>
  <c r="AW392" i="9"/>
  <c r="D381" i="9"/>
  <c r="E381" i="9"/>
  <c r="B376" i="8"/>
  <c r="F375" i="8"/>
  <c r="AL412" i="6"/>
  <c r="AM394" i="6"/>
  <c r="AP391" i="6"/>
  <c r="BU373" i="6"/>
  <c r="AI415" i="6"/>
  <c r="B374" i="6"/>
  <c r="V374" i="6" s="1"/>
  <c r="BR374" i="6" s="1"/>
  <c r="F373" i="6"/>
  <c r="AG394" i="9" l="1"/>
  <c r="AK384" i="9"/>
  <c r="DF377" i="9"/>
  <c r="AW393" i="9"/>
  <c r="F381" i="9"/>
  <c r="B382" i="9"/>
  <c r="AO382" i="9" s="1"/>
  <c r="E376" i="8"/>
  <c r="D376" i="8"/>
  <c r="AI416" i="6"/>
  <c r="AM395" i="6"/>
  <c r="AP392" i="6"/>
  <c r="AL413" i="6"/>
  <c r="V375" i="6"/>
  <c r="BR375" i="6" s="1"/>
  <c r="BS372" i="6"/>
  <c r="BT372" i="6" s="1"/>
  <c r="E374" i="6"/>
  <c r="D374" i="6"/>
  <c r="DF378" i="9" l="1"/>
  <c r="AW394" i="9"/>
  <c r="AK385" i="9"/>
  <c r="DD380" i="9"/>
  <c r="DE380" i="9" s="1"/>
  <c r="AG395" i="9"/>
  <c r="AO383" i="9"/>
  <c r="DD381" i="9" s="1"/>
  <c r="DE381" i="9" s="1"/>
  <c r="D382" i="9"/>
  <c r="E382" i="9"/>
  <c r="B377" i="8"/>
  <c r="F376" i="8"/>
  <c r="BS373" i="6"/>
  <c r="BT373" i="6" s="1"/>
  <c r="AM396" i="6"/>
  <c r="AL414" i="6"/>
  <c r="AP393" i="6"/>
  <c r="AI417" i="6"/>
  <c r="V376" i="6"/>
  <c r="B375" i="6"/>
  <c r="F374" i="6"/>
  <c r="AO384" i="9" l="1"/>
  <c r="DC383" i="9"/>
  <c r="AK386" i="9"/>
  <c r="DF379" i="9"/>
  <c r="AW395" i="9"/>
  <c r="AW396" i="9" s="1"/>
  <c r="AW397" i="9" s="1"/>
  <c r="AW398" i="9" s="1"/>
  <c r="AW399" i="9" s="1"/>
  <c r="AW400" i="9" s="1"/>
  <c r="AW401" i="9" s="1"/>
  <c r="AW402" i="9" s="1"/>
  <c r="AW403" i="9" s="1"/>
  <c r="AW404" i="9" s="1"/>
  <c r="AW405" i="9" s="1"/>
  <c r="AW406" i="9" s="1"/>
  <c r="AW407" i="9" s="1"/>
  <c r="AW408" i="9" s="1"/>
  <c r="AW409" i="9" s="1"/>
  <c r="AW410" i="9" s="1"/>
  <c r="AW411" i="9" s="1"/>
  <c r="AW412" i="9" s="1"/>
  <c r="AW413" i="9" s="1"/>
  <c r="AW414" i="9" s="1"/>
  <c r="AW415" i="9" s="1"/>
  <c r="AW416" i="9" s="1"/>
  <c r="AW417" i="9" s="1"/>
  <c r="AW418" i="9" s="1"/>
  <c r="AW419" i="9" s="1"/>
  <c r="AW420" i="9" s="1"/>
  <c r="AW421" i="9" s="1"/>
  <c r="AW422" i="9" s="1"/>
  <c r="AW423" i="9" s="1"/>
  <c r="AW424" i="9" s="1"/>
  <c r="AW425" i="9" s="1"/>
  <c r="AW426" i="9" s="1"/>
  <c r="AW427" i="9" s="1"/>
  <c r="AW428" i="9" s="1"/>
  <c r="AW429" i="9" s="1"/>
  <c r="AW430" i="9" s="1"/>
  <c r="AW431" i="9" s="1"/>
  <c r="AW432" i="9" s="1"/>
  <c r="AW433" i="9" s="1"/>
  <c r="AW434" i="9" s="1"/>
  <c r="AW435" i="9" s="1"/>
  <c r="AW436" i="9" s="1"/>
  <c r="AW437" i="9" s="1"/>
  <c r="AW438" i="9" s="1"/>
  <c r="AW439" i="9" s="1"/>
  <c r="AW440" i="9" s="1"/>
  <c r="AW441" i="9" s="1"/>
  <c r="AW442" i="9" s="1"/>
  <c r="AW443" i="9" s="1"/>
  <c r="AW444" i="9" s="1"/>
  <c r="AW445" i="9" s="1"/>
  <c r="AW446" i="9" s="1"/>
  <c r="AW447" i="9" s="1"/>
  <c r="AW448" i="9" s="1"/>
  <c r="AW449" i="9" s="1"/>
  <c r="AW450" i="9" s="1"/>
  <c r="AW451" i="9" s="1"/>
  <c r="AW452" i="9" s="1"/>
  <c r="AW453" i="9" s="1"/>
  <c r="AW454" i="9" s="1"/>
  <c r="AW455" i="9" s="1"/>
  <c r="AW456" i="9" s="1"/>
  <c r="AW457" i="9" s="1"/>
  <c r="AW458" i="9" s="1"/>
  <c r="AW459" i="9" s="1"/>
  <c r="AW460" i="9" s="1"/>
  <c r="AW461" i="9" s="1"/>
  <c r="AW462" i="9" s="1"/>
  <c r="AW463" i="9" s="1"/>
  <c r="AW464" i="9" s="1"/>
  <c r="AW465" i="9" s="1"/>
  <c r="AW466" i="9" s="1"/>
  <c r="AW467" i="9" s="1"/>
  <c r="AW468" i="9" s="1"/>
  <c r="AW469" i="9" s="1"/>
  <c r="AW470" i="9" s="1"/>
  <c r="AW471" i="9" s="1"/>
  <c r="AW472" i="9" s="1"/>
  <c r="AW473" i="9" s="1"/>
  <c r="AG396" i="9"/>
  <c r="F382" i="9"/>
  <c r="B383" i="9"/>
  <c r="E377" i="8"/>
  <c r="D377" i="8"/>
  <c r="BS374" i="6"/>
  <c r="BT374" i="6" s="1"/>
  <c r="BR376" i="6"/>
  <c r="AI418" i="6"/>
  <c r="AL415" i="6"/>
  <c r="AP394" i="6"/>
  <c r="AM397" i="6"/>
  <c r="V377" i="6"/>
  <c r="E375" i="6"/>
  <c r="D375" i="6"/>
  <c r="AK387" i="9" l="1"/>
  <c r="AG397" i="9"/>
  <c r="AO385" i="9"/>
  <c r="DC384" i="9"/>
  <c r="D383" i="9"/>
  <c r="E383" i="9"/>
  <c r="B378" i="8"/>
  <c r="F377" i="8"/>
  <c r="BS375" i="6"/>
  <c r="BT375" i="6" s="1"/>
  <c r="BR377" i="6"/>
  <c r="AM398" i="6"/>
  <c r="AL416" i="6"/>
  <c r="AP395" i="6"/>
  <c r="AI419" i="6"/>
  <c r="V378" i="6"/>
  <c r="B376" i="6"/>
  <c r="F375" i="6"/>
  <c r="AO386" i="9" l="1"/>
  <c r="DC385" i="9"/>
  <c r="DD384" i="9"/>
  <c r="DE384" i="9" s="1"/>
  <c r="AG398" i="9"/>
  <c r="DD383" i="9"/>
  <c r="DE383" i="9" s="1"/>
  <c r="AK388" i="9"/>
  <c r="F383" i="9"/>
  <c r="B384" i="9"/>
  <c r="E378" i="8"/>
  <c r="D378" i="8"/>
  <c r="BS376" i="6"/>
  <c r="BT376" i="6" s="1"/>
  <c r="BR378" i="6"/>
  <c r="AI420" i="6"/>
  <c r="AL417" i="6"/>
  <c r="AP396" i="6"/>
  <c r="AM399" i="6"/>
  <c r="V379" i="6"/>
  <c r="E376" i="6"/>
  <c r="D376" i="6"/>
  <c r="AK389" i="9" l="1"/>
  <c r="AG399" i="9"/>
  <c r="AO387" i="9"/>
  <c r="DC386" i="9"/>
  <c r="D384" i="9"/>
  <c r="E384" i="9"/>
  <c r="B379" i="8"/>
  <c r="F378" i="8"/>
  <c r="BS377" i="6"/>
  <c r="BT377" i="6" s="1"/>
  <c r="BR379" i="6"/>
  <c r="AM400" i="6"/>
  <c r="AL418" i="6"/>
  <c r="AP397" i="6"/>
  <c r="AI421" i="6"/>
  <c r="V380" i="6"/>
  <c r="B377" i="6"/>
  <c r="F376" i="6"/>
  <c r="AO388" i="9" l="1"/>
  <c r="DC387" i="9"/>
  <c r="AG400" i="9"/>
  <c r="DD385" i="9"/>
  <c r="DE385" i="9" s="1"/>
  <c r="DD386" i="9"/>
  <c r="DE386" i="9" s="1"/>
  <c r="AK390" i="9"/>
  <c r="F384" i="9"/>
  <c r="B385" i="9"/>
  <c r="E379" i="8"/>
  <c r="D379" i="8"/>
  <c r="AL419" i="6"/>
  <c r="AP398" i="6"/>
  <c r="AM401" i="6"/>
  <c r="V381" i="6"/>
  <c r="E377" i="6"/>
  <c r="D377" i="6"/>
  <c r="AK391" i="9" l="1"/>
  <c r="AG401" i="9"/>
  <c r="AO389" i="9"/>
  <c r="DC388" i="9"/>
  <c r="D385" i="9"/>
  <c r="E385" i="9"/>
  <c r="B380" i="8"/>
  <c r="F379" i="8"/>
  <c r="AM402" i="6"/>
  <c r="AL420" i="6"/>
  <c r="AP399" i="6"/>
  <c r="V382" i="6"/>
  <c r="B378" i="6"/>
  <c r="F377" i="6"/>
  <c r="AO390" i="9" l="1"/>
  <c r="DC389" i="9"/>
  <c r="DD388" i="9"/>
  <c r="DE388" i="9" s="1"/>
  <c r="AG402" i="9"/>
  <c r="DD387" i="9"/>
  <c r="DE387" i="9" s="1"/>
  <c r="AK392" i="9"/>
  <c r="F385" i="9"/>
  <c r="B386" i="9"/>
  <c r="E380" i="8"/>
  <c r="Y380" i="8"/>
  <c r="D380" i="8"/>
  <c r="BS380" i="8"/>
  <c r="BT380" i="8" s="1"/>
  <c r="AL421" i="6"/>
  <c r="AP400" i="6"/>
  <c r="AM403" i="6"/>
  <c r="V383" i="6"/>
  <c r="E378" i="6"/>
  <c r="D378" i="6"/>
  <c r="AK393" i="9" l="1"/>
  <c r="AG403" i="9"/>
  <c r="AO391" i="9"/>
  <c r="DC390" i="9"/>
  <c r="D386" i="9"/>
  <c r="E386" i="9"/>
  <c r="BS378" i="8"/>
  <c r="BT378" i="8" s="1"/>
  <c r="BR380" i="8"/>
  <c r="BS379" i="8"/>
  <c r="BT379" i="8" s="1"/>
  <c r="BR381" i="8"/>
  <c r="B381" i="8"/>
  <c r="F380" i="8"/>
  <c r="AP401" i="6"/>
  <c r="AM404" i="6"/>
  <c r="V384" i="6"/>
  <c r="B379" i="6"/>
  <c r="F378" i="6"/>
  <c r="AO392" i="9" l="1"/>
  <c r="DC391" i="9"/>
  <c r="DD390" i="9"/>
  <c r="DE390" i="9" s="1"/>
  <c r="AG404" i="9"/>
  <c r="DD389" i="9"/>
  <c r="DE389" i="9" s="1"/>
  <c r="AK394" i="9"/>
  <c r="F386" i="9"/>
  <c r="B387" i="9"/>
  <c r="E381" i="8"/>
  <c r="D381" i="8"/>
  <c r="AM405" i="6"/>
  <c r="AP402" i="6"/>
  <c r="V385" i="6"/>
  <c r="E379" i="6"/>
  <c r="D379" i="6"/>
  <c r="AK395" i="9" l="1"/>
  <c r="AG405" i="9"/>
  <c r="AO393" i="9"/>
  <c r="DC392" i="9"/>
  <c r="E387" i="9"/>
  <c r="D387" i="9"/>
  <c r="B382" i="8"/>
  <c r="F381" i="8"/>
  <c r="AP403" i="6"/>
  <c r="AM406" i="6"/>
  <c r="V386" i="6"/>
  <c r="B380" i="6"/>
  <c r="Y380" i="6" s="1"/>
  <c r="BR380" i="6" s="1"/>
  <c r="F379" i="6"/>
  <c r="AO394" i="9" l="1"/>
  <c r="DC393" i="9"/>
  <c r="DD392" i="9"/>
  <c r="DE392" i="9" s="1"/>
  <c r="AG406" i="9"/>
  <c r="DD391" i="9"/>
  <c r="DE391" i="9" s="1"/>
  <c r="AK396" i="9"/>
  <c r="AS395" i="9"/>
  <c r="F387" i="9"/>
  <c r="B388" i="9"/>
  <c r="E382" i="8"/>
  <c r="D382" i="8"/>
  <c r="AM407" i="6"/>
  <c r="AP404" i="6"/>
  <c r="Y381" i="6"/>
  <c r="BR381" i="6" s="1"/>
  <c r="BS378" i="6"/>
  <c r="BT378" i="6" s="1"/>
  <c r="V387" i="6"/>
  <c r="E380" i="6"/>
  <c r="D380" i="6"/>
  <c r="AG407" i="9" l="1"/>
  <c r="AK397" i="9"/>
  <c r="DF380" i="9"/>
  <c r="AS396" i="9"/>
  <c r="AO395" i="9"/>
  <c r="DC394" i="9"/>
  <c r="DD393" i="9"/>
  <c r="DE393" i="9" s="1"/>
  <c r="E388" i="9"/>
  <c r="D388" i="9"/>
  <c r="B383" i="8"/>
  <c r="F382" i="8"/>
  <c r="BS379" i="6"/>
  <c r="BT379" i="6" s="1"/>
  <c r="AP405" i="6"/>
  <c r="AM408" i="6"/>
  <c r="V388" i="6"/>
  <c r="Y382" i="6"/>
  <c r="BR382" i="6" s="1"/>
  <c r="B381" i="6"/>
  <c r="F380" i="6"/>
  <c r="DF381" i="9" l="1"/>
  <c r="AS397" i="9"/>
  <c r="AG408" i="9"/>
  <c r="AK398" i="9"/>
  <c r="AO396" i="9"/>
  <c r="DC395" i="9"/>
  <c r="F388" i="9"/>
  <c r="B389" i="9"/>
  <c r="E383" i="8"/>
  <c r="D383" i="8"/>
  <c r="AM409" i="6"/>
  <c r="AP406" i="6"/>
  <c r="Y383" i="6"/>
  <c r="BR383" i="6" s="1"/>
  <c r="BS380" i="6"/>
  <c r="BT380" i="6" s="1"/>
  <c r="V389" i="6"/>
  <c r="E381" i="6"/>
  <c r="D381" i="6"/>
  <c r="AG409" i="9" l="1"/>
  <c r="AS398" i="9"/>
  <c r="AK399" i="9"/>
  <c r="AO397" i="9"/>
  <c r="DC396" i="9"/>
  <c r="DD394" i="9"/>
  <c r="DE394" i="9" s="1"/>
  <c r="DD395" i="9"/>
  <c r="DE395" i="9" s="1"/>
  <c r="E389" i="9"/>
  <c r="D389" i="9"/>
  <c r="B384" i="8"/>
  <c r="F383" i="8"/>
  <c r="BS381" i="6"/>
  <c r="BT381" i="6" s="1"/>
  <c r="AP407" i="6"/>
  <c r="AM410" i="6"/>
  <c r="V390" i="6"/>
  <c r="Y384" i="6"/>
  <c r="B382" i="6"/>
  <c r="F381" i="6"/>
  <c r="AS399" i="9" l="1"/>
  <c r="AK400" i="9"/>
  <c r="AO398" i="9"/>
  <c r="BC397" i="9"/>
  <c r="DF382" i="9" s="1"/>
  <c r="DD396" i="9"/>
  <c r="DE396" i="9" s="1"/>
  <c r="DC397" i="9"/>
  <c r="AG410" i="9"/>
  <c r="F389" i="9"/>
  <c r="B390" i="9"/>
  <c r="E384" i="8"/>
  <c r="D384" i="8"/>
  <c r="Y385" i="6"/>
  <c r="Y386" i="6" s="1"/>
  <c r="Y387" i="6" s="1"/>
  <c r="Y388" i="6" s="1"/>
  <c r="Y389" i="6" s="1"/>
  <c r="Y390" i="6" s="1"/>
  <c r="Y391" i="6" s="1"/>
  <c r="Y392" i="6" s="1"/>
  <c r="Y393" i="6" s="1"/>
  <c r="Y394" i="6" s="1"/>
  <c r="Y395" i="6" s="1"/>
  <c r="Y396" i="6" s="1"/>
  <c r="Y397" i="6" s="1"/>
  <c r="Y398" i="6" s="1"/>
  <c r="Y399" i="6" s="1"/>
  <c r="Y400" i="6" s="1"/>
  <c r="Y401" i="6" s="1"/>
  <c r="Y402" i="6" s="1"/>
  <c r="Y403" i="6" s="1"/>
  <c r="Y404" i="6" s="1"/>
  <c r="Y405" i="6" s="1"/>
  <c r="Y406" i="6" s="1"/>
  <c r="Y407" i="6" s="1"/>
  <c r="Y408" i="6" s="1"/>
  <c r="Y409" i="6" s="1"/>
  <c r="Y410" i="6" s="1"/>
  <c r="Y411" i="6" s="1"/>
  <c r="Y412" i="6" s="1"/>
  <c r="Y413" i="6" s="1"/>
  <c r="Y414" i="6" s="1"/>
  <c r="Y415" i="6" s="1"/>
  <c r="Y416" i="6" s="1"/>
  <c r="Y417" i="6" s="1"/>
  <c r="Y418" i="6" s="1"/>
  <c r="Y419" i="6" s="1"/>
  <c r="Y420" i="6" s="1"/>
  <c r="Y421" i="6" s="1"/>
  <c r="BR384" i="6"/>
  <c r="AM411" i="6"/>
  <c r="AP408" i="6"/>
  <c r="BS382" i="6"/>
  <c r="BT382" i="6" s="1"/>
  <c r="V391" i="6"/>
  <c r="E382" i="6"/>
  <c r="D382" i="6"/>
  <c r="AK401" i="9" l="1"/>
  <c r="BC398" i="9"/>
  <c r="AO399" i="9"/>
  <c r="DC398" i="9"/>
  <c r="DD397" i="9"/>
  <c r="DE397" i="9" s="1"/>
  <c r="AG411" i="9"/>
  <c r="AS400" i="9"/>
  <c r="E390" i="9"/>
  <c r="D390" i="9"/>
  <c r="B385" i="8"/>
  <c r="F384" i="8"/>
  <c r="AR397" i="6"/>
  <c r="AR398" i="6" s="1"/>
  <c r="AR399" i="6" s="1"/>
  <c r="AR400" i="6" s="1"/>
  <c r="AR401" i="6" s="1"/>
  <c r="AR402" i="6" s="1"/>
  <c r="AR403" i="6" s="1"/>
  <c r="AR404" i="6" s="1"/>
  <c r="AR405" i="6" s="1"/>
  <c r="AR406" i="6" s="1"/>
  <c r="AR407" i="6" s="1"/>
  <c r="AR408" i="6" s="1"/>
  <c r="AR409" i="6" s="1"/>
  <c r="AR410" i="6" s="1"/>
  <c r="AR411" i="6" s="1"/>
  <c r="AR412" i="6" s="1"/>
  <c r="AR413" i="6" s="1"/>
  <c r="AR414" i="6" s="1"/>
  <c r="AR415" i="6" s="1"/>
  <c r="AR416" i="6" s="1"/>
  <c r="AR417" i="6" s="1"/>
  <c r="AR418" i="6" s="1"/>
  <c r="AR419" i="6" s="1"/>
  <c r="AR420" i="6" s="1"/>
  <c r="AR421" i="6" s="1"/>
  <c r="AP409" i="6"/>
  <c r="AM412" i="6"/>
  <c r="V392" i="6"/>
  <c r="AQ391" i="6"/>
  <c r="B383" i="6"/>
  <c r="F382" i="6"/>
  <c r="AO400" i="9" l="1"/>
  <c r="DC399" i="9"/>
  <c r="BC399" i="9"/>
  <c r="DF384" i="9" s="1"/>
  <c r="DF383" i="9"/>
  <c r="AG412" i="9"/>
  <c r="AS401" i="9"/>
  <c r="DD398" i="9"/>
  <c r="DE398" i="9" s="1"/>
  <c r="AK402" i="9"/>
  <c r="F390" i="9"/>
  <c r="B391" i="9"/>
  <c r="X385" i="8"/>
  <c r="E385" i="8"/>
  <c r="D385" i="8"/>
  <c r="BS385" i="8"/>
  <c r="BT385" i="8" s="1"/>
  <c r="AM413" i="6"/>
  <c r="AQ392" i="6"/>
  <c r="BU374" i="6"/>
  <c r="AP410" i="6"/>
  <c r="V393" i="6"/>
  <c r="E383" i="6"/>
  <c r="D383" i="6"/>
  <c r="BC400" i="9" l="1"/>
  <c r="AK403" i="9"/>
  <c r="AG413" i="9"/>
  <c r="AS402" i="9"/>
  <c r="AO401" i="9"/>
  <c r="DC400" i="9"/>
  <c r="DD399" i="9"/>
  <c r="DE399" i="9" s="1"/>
  <c r="E391" i="9"/>
  <c r="D391" i="9"/>
  <c r="B386" i="8"/>
  <c r="F385" i="8"/>
  <c r="BS383" i="8"/>
  <c r="BT383" i="8" s="1"/>
  <c r="BR385" i="8"/>
  <c r="BS384" i="8"/>
  <c r="BT384" i="8" s="1"/>
  <c r="BR386" i="8"/>
  <c r="AQ393" i="6"/>
  <c r="BU375" i="6"/>
  <c r="AP411" i="6"/>
  <c r="AM414" i="6"/>
  <c r="V394" i="6"/>
  <c r="B384" i="6"/>
  <c r="F383" i="6"/>
  <c r="AG414" i="9" l="1"/>
  <c r="AO402" i="9"/>
  <c r="DC401" i="9"/>
  <c r="DD400" i="9"/>
  <c r="DE400" i="9" s="1"/>
  <c r="AS403" i="9"/>
  <c r="BC401" i="9"/>
  <c r="DF385" i="9"/>
  <c r="F391" i="9"/>
  <c r="B392" i="9"/>
  <c r="E386" i="8"/>
  <c r="D386" i="8"/>
  <c r="AP412" i="6"/>
  <c r="AM415" i="6"/>
  <c r="AQ394" i="6"/>
  <c r="BU376" i="6"/>
  <c r="E384" i="6"/>
  <c r="D384" i="6"/>
  <c r="AS404" i="9" l="1"/>
  <c r="AO403" i="9"/>
  <c r="DC402" i="9"/>
  <c r="DD401" i="9"/>
  <c r="DE401" i="9" s="1"/>
  <c r="BC402" i="9"/>
  <c r="DF386" i="9"/>
  <c r="AG415" i="9"/>
  <c r="E392" i="9"/>
  <c r="D392" i="9"/>
  <c r="B387" i="8"/>
  <c r="F386" i="8"/>
  <c r="AM416" i="6"/>
  <c r="AQ395" i="6"/>
  <c r="BU377" i="6"/>
  <c r="AP413" i="6"/>
  <c r="B385" i="6"/>
  <c r="X385" i="6" s="1"/>
  <c r="BR385" i="6" s="1"/>
  <c r="F384" i="6"/>
  <c r="AG416" i="9" l="1"/>
  <c r="AO404" i="9"/>
  <c r="DC403" i="9"/>
  <c r="AS405" i="9"/>
  <c r="BC403" i="9"/>
  <c r="DF387" i="9"/>
  <c r="F392" i="9"/>
  <c r="B393" i="9"/>
  <c r="E387" i="8"/>
  <c r="D387" i="8"/>
  <c r="AQ396" i="6"/>
  <c r="BU378" i="6"/>
  <c r="AP414" i="6"/>
  <c r="AM417" i="6"/>
  <c r="X386" i="6"/>
  <c r="BS383" i="6"/>
  <c r="BT383" i="6" s="1"/>
  <c r="E385" i="6"/>
  <c r="D385" i="6"/>
  <c r="AS406" i="9" l="1"/>
  <c r="BC404" i="9"/>
  <c r="DF389" i="9" s="1"/>
  <c r="DF388" i="9"/>
  <c r="AG417" i="9"/>
  <c r="E393" i="9"/>
  <c r="D393" i="9"/>
  <c r="B388" i="8"/>
  <c r="F387" i="8"/>
  <c r="BS384" i="6"/>
  <c r="BT384" i="6" s="1"/>
  <c r="BR386" i="6"/>
  <c r="AP415" i="6"/>
  <c r="AM418" i="6"/>
  <c r="AQ397" i="6"/>
  <c r="BU379" i="6"/>
  <c r="X387" i="6"/>
  <c r="B386" i="6"/>
  <c r="F385" i="6"/>
  <c r="AS407" i="9" l="1"/>
  <c r="AG418" i="9"/>
  <c r="BC405" i="9"/>
  <c r="F393" i="9"/>
  <c r="B394" i="9"/>
  <c r="E388" i="8"/>
  <c r="D388" i="8"/>
  <c r="BS385" i="6"/>
  <c r="BT385" i="6" s="1"/>
  <c r="BR387" i="6"/>
  <c r="AM419" i="6"/>
  <c r="AQ398" i="6"/>
  <c r="BU380" i="6"/>
  <c r="AP416" i="6"/>
  <c r="X388" i="6"/>
  <c r="BR388" i="6" s="1"/>
  <c r="E386" i="6"/>
  <c r="D386" i="6"/>
  <c r="BC406" i="9" l="1"/>
  <c r="DF390" i="9"/>
  <c r="AS408" i="9"/>
  <c r="E394" i="9"/>
  <c r="D394" i="9"/>
  <c r="B389" i="8"/>
  <c r="F388" i="8"/>
  <c r="BS386" i="6"/>
  <c r="BT386" i="6" s="1"/>
  <c r="AQ399" i="6"/>
  <c r="BU381" i="6"/>
  <c r="AP417" i="6"/>
  <c r="AM420" i="6"/>
  <c r="X389" i="6"/>
  <c r="BS387" i="6" s="1"/>
  <c r="BT387" i="6" s="1"/>
  <c r="B387" i="6"/>
  <c r="F386" i="6"/>
  <c r="AS409" i="9" l="1"/>
  <c r="BC407" i="9"/>
  <c r="DF391" i="9"/>
  <c r="F394" i="9"/>
  <c r="B395" i="9"/>
  <c r="E389" i="8"/>
  <c r="D389" i="8"/>
  <c r="X390" i="6"/>
  <c r="X391" i="6" s="1"/>
  <c r="X392" i="6" s="1"/>
  <c r="X393" i="6" s="1"/>
  <c r="X394" i="6" s="1"/>
  <c r="X395" i="6" s="1"/>
  <c r="X396" i="6" s="1"/>
  <c r="X397" i="6" s="1"/>
  <c r="X398" i="6" s="1"/>
  <c r="X399" i="6" s="1"/>
  <c r="X400" i="6" s="1"/>
  <c r="X401" i="6" s="1"/>
  <c r="X402" i="6" s="1"/>
  <c r="X403" i="6" s="1"/>
  <c r="X404" i="6" s="1"/>
  <c r="X405" i="6" s="1"/>
  <c r="X406" i="6" s="1"/>
  <c r="X407" i="6" s="1"/>
  <c r="X408" i="6" s="1"/>
  <c r="X409" i="6" s="1"/>
  <c r="X410" i="6" s="1"/>
  <c r="X411" i="6" s="1"/>
  <c r="X412" i="6" s="1"/>
  <c r="X413" i="6" s="1"/>
  <c r="X414" i="6" s="1"/>
  <c r="X415" i="6" s="1"/>
  <c r="X416" i="6" s="1"/>
  <c r="X417" i="6" s="1"/>
  <c r="X418" i="6" s="1"/>
  <c r="X419" i="6" s="1"/>
  <c r="X420" i="6" s="1"/>
  <c r="X421" i="6" s="1"/>
  <c r="BR389" i="6"/>
  <c r="AP418" i="6"/>
  <c r="AM421" i="6"/>
  <c r="AQ400" i="6"/>
  <c r="BU382" i="6"/>
  <c r="E387" i="6"/>
  <c r="D387" i="6"/>
  <c r="BC408" i="9" l="1"/>
  <c r="DF392" i="9"/>
  <c r="AS410" i="9"/>
  <c r="E395" i="9"/>
  <c r="D395" i="9"/>
  <c r="B390" i="8"/>
  <c r="F389" i="8"/>
  <c r="AQ401" i="6"/>
  <c r="BU383" i="6"/>
  <c r="AP419" i="6"/>
  <c r="B388" i="6"/>
  <c r="F387" i="6"/>
  <c r="AS411" i="9" l="1"/>
  <c r="BC409" i="9"/>
  <c r="DF393" i="9"/>
  <c r="F395" i="9"/>
  <c r="B396" i="9"/>
  <c r="W390" i="8"/>
  <c r="E390" i="8"/>
  <c r="D390" i="8"/>
  <c r="BS390" i="8"/>
  <c r="BT390" i="8" s="1"/>
  <c r="AP420" i="6"/>
  <c r="AQ402" i="6"/>
  <c r="BU384" i="6"/>
  <c r="E388" i="6"/>
  <c r="D388" i="6"/>
  <c r="BC410" i="9" l="1"/>
  <c r="DF394" i="9"/>
  <c r="AS412" i="9"/>
  <c r="E396" i="9"/>
  <c r="D396" i="9"/>
  <c r="F390" i="8"/>
  <c r="B391" i="8"/>
  <c r="BS388" i="8"/>
  <c r="BT388" i="8" s="1"/>
  <c r="BS389" i="8"/>
  <c r="BT389" i="8" s="1"/>
  <c r="BR390" i="8"/>
  <c r="BR391" i="8"/>
  <c r="AQ403" i="6"/>
  <c r="BU385" i="6"/>
  <c r="AP421" i="6"/>
  <c r="B389" i="6"/>
  <c r="F388" i="6"/>
  <c r="AS413" i="9" l="1"/>
  <c r="BC411" i="9"/>
  <c r="DF395" i="9"/>
  <c r="F396" i="9"/>
  <c r="B397" i="9"/>
  <c r="E391" i="8"/>
  <c r="D391" i="8"/>
  <c r="AQ404" i="6"/>
  <c r="BU386" i="6"/>
  <c r="E389" i="6"/>
  <c r="D389" i="6"/>
  <c r="AS414" i="9" l="1"/>
  <c r="BC412" i="9"/>
  <c r="DF396" i="9"/>
  <c r="E397" i="9"/>
  <c r="D397" i="9"/>
  <c r="B392" i="8"/>
  <c r="F391" i="8"/>
  <c r="AQ405" i="6"/>
  <c r="BU387" i="6"/>
  <c r="B390" i="6"/>
  <c r="W390" i="6" s="1"/>
  <c r="BR390" i="6" s="1"/>
  <c r="F389" i="6"/>
  <c r="AS415" i="9" l="1"/>
  <c r="BC413" i="9"/>
  <c r="DF397" i="9"/>
  <c r="F397" i="9"/>
  <c r="B398" i="9"/>
  <c r="E392" i="8"/>
  <c r="D392" i="8"/>
  <c r="AQ406" i="6"/>
  <c r="BU388" i="6"/>
  <c r="W391" i="6"/>
  <c r="BS388" i="6"/>
  <c r="BT388" i="6" s="1"/>
  <c r="E390" i="6"/>
  <c r="D390" i="6"/>
  <c r="BC414" i="9" l="1"/>
  <c r="DF398" i="9"/>
  <c r="AS416" i="9"/>
  <c r="E398" i="9"/>
  <c r="D398" i="9"/>
  <c r="B393" i="8"/>
  <c r="F392" i="8"/>
  <c r="BS389" i="6"/>
  <c r="BT389" i="6" s="1"/>
  <c r="BR391" i="6"/>
  <c r="AQ407" i="6"/>
  <c r="BU389" i="6"/>
  <c r="W392" i="6"/>
  <c r="BR392" i="6" s="1"/>
  <c r="B391" i="6"/>
  <c r="F390" i="6"/>
  <c r="AS417" i="9" l="1"/>
  <c r="BC415" i="9"/>
  <c r="DF399" i="9"/>
  <c r="F398" i="9"/>
  <c r="B399" i="9"/>
  <c r="BS390" i="6"/>
  <c r="BT390" i="6" s="1"/>
  <c r="E393" i="8"/>
  <c r="D393" i="8"/>
  <c r="AQ408" i="6"/>
  <c r="BU390" i="6"/>
  <c r="W393" i="6"/>
  <c r="E391" i="6"/>
  <c r="D391" i="6"/>
  <c r="BC416" i="9" l="1"/>
  <c r="DF400" i="9"/>
  <c r="AS418" i="9"/>
  <c r="E399" i="9"/>
  <c r="D399" i="9"/>
  <c r="B394" i="8"/>
  <c r="F393" i="8"/>
  <c r="BS391" i="6"/>
  <c r="BT391" i="6" s="1"/>
  <c r="BR393" i="6"/>
  <c r="AQ409" i="6"/>
  <c r="BU391" i="6"/>
  <c r="W394" i="6"/>
  <c r="B392" i="6"/>
  <c r="F391" i="6"/>
  <c r="AS419" i="9" l="1"/>
  <c r="BC417" i="9"/>
  <c r="DF401" i="9"/>
  <c r="B400" i="9"/>
  <c r="F399" i="9"/>
  <c r="E394" i="8"/>
  <c r="D394" i="8"/>
  <c r="W395" i="6"/>
  <c r="W396" i="6" s="1"/>
  <c r="W397" i="6" s="1"/>
  <c r="W398" i="6" s="1"/>
  <c r="W399" i="6" s="1"/>
  <c r="W400" i="6" s="1"/>
  <c r="W401" i="6" s="1"/>
  <c r="W402" i="6" s="1"/>
  <c r="W403" i="6" s="1"/>
  <c r="W404" i="6" s="1"/>
  <c r="W405" i="6" s="1"/>
  <c r="W406" i="6" s="1"/>
  <c r="W407" i="6" s="1"/>
  <c r="W408" i="6" s="1"/>
  <c r="W409" i="6" s="1"/>
  <c r="W410" i="6" s="1"/>
  <c r="W411" i="6" s="1"/>
  <c r="W412" i="6" s="1"/>
  <c r="W413" i="6" s="1"/>
  <c r="W414" i="6" s="1"/>
  <c r="W415" i="6" s="1"/>
  <c r="W416" i="6" s="1"/>
  <c r="W417" i="6" s="1"/>
  <c r="W418" i="6" s="1"/>
  <c r="W419" i="6" s="1"/>
  <c r="W420" i="6" s="1"/>
  <c r="W421" i="6" s="1"/>
  <c r="BR394" i="6"/>
  <c r="BS392" i="6"/>
  <c r="BT392" i="6" s="1"/>
  <c r="AQ410" i="6"/>
  <c r="BU392" i="6"/>
  <c r="E392" i="6"/>
  <c r="D392" i="6"/>
  <c r="BC418" i="9" l="1"/>
  <c r="DF402" i="9"/>
  <c r="AS420" i="9"/>
  <c r="E400" i="9"/>
  <c r="D400" i="9"/>
  <c r="B395" i="8"/>
  <c r="F394" i="8"/>
  <c r="AQ411" i="6"/>
  <c r="BU393" i="6"/>
  <c r="B393" i="6"/>
  <c r="F392" i="6"/>
  <c r="AS421" i="9" l="1"/>
  <c r="BC419" i="9"/>
  <c r="BC420" i="9" s="1"/>
  <c r="BC421" i="9" s="1"/>
  <c r="BC422" i="9" s="1"/>
  <c r="BC423" i="9" s="1"/>
  <c r="BC424" i="9" s="1"/>
  <c r="BC425" i="9" s="1"/>
  <c r="BC426" i="9" s="1"/>
  <c r="BC427" i="9" s="1"/>
  <c r="BC428" i="9" s="1"/>
  <c r="BC429" i="9" s="1"/>
  <c r="BC430" i="9" s="1"/>
  <c r="BC431" i="9" s="1"/>
  <c r="BC432" i="9" s="1"/>
  <c r="BC433" i="9" s="1"/>
  <c r="BC434" i="9" s="1"/>
  <c r="BC435" i="9" s="1"/>
  <c r="BC436" i="9" s="1"/>
  <c r="BC437" i="9" s="1"/>
  <c r="BC438" i="9" s="1"/>
  <c r="BC439" i="9" s="1"/>
  <c r="BC440" i="9" s="1"/>
  <c r="BC441" i="9" s="1"/>
  <c r="BC442" i="9" s="1"/>
  <c r="BC443" i="9" s="1"/>
  <c r="BC444" i="9" s="1"/>
  <c r="BC445" i="9" s="1"/>
  <c r="BC446" i="9" s="1"/>
  <c r="BC447" i="9" s="1"/>
  <c r="BC448" i="9" s="1"/>
  <c r="BC449" i="9" s="1"/>
  <c r="BC450" i="9" s="1"/>
  <c r="BC451" i="9" s="1"/>
  <c r="BC452" i="9" s="1"/>
  <c r="BC453" i="9" s="1"/>
  <c r="BC454" i="9" s="1"/>
  <c r="BC455" i="9" s="1"/>
  <c r="BC456" i="9" s="1"/>
  <c r="BC457" i="9" s="1"/>
  <c r="BC458" i="9" s="1"/>
  <c r="BC459" i="9" s="1"/>
  <c r="BC460" i="9" s="1"/>
  <c r="BC461" i="9" s="1"/>
  <c r="BC462" i="9" s="1"/>
  <c r="BC463" i="9" s="1"/>
  <c r="BC464" i="9" s="1"/>
  <c r="BC465" i="9" s="1"/>
  <c r="BC466" i="9" s="1"/>
  <c r="BC467" i="9" s="1"/>
  <c r="BC468" i="9" s="1"/>
  <c r="BC469" i="9" s="1"/>
  <c r="BC470" i="9" s="1"/>
  <c r="BC471" i="9" s="1"/>
  <c r="BC472" i="9" s="1"/>
  <c r="BC473" i="9" s="1"/>
  <c r="BC474" i="9" s="1"/>
  <c r="BC475" i="9" s="1"/>
  <c r="BC476" i="9" s="1"/>
  <c r="BC477" i="9" s="1"/>
  <c r="BC478" i="9" s="1"/>
  <c r="BC479" i="9" s="1"/>
  <c r="BC480" i="9" s="1"/>
  <c r="BC481" i="9" s="1"/>
  <c r="BC482" i="9" s="1"/>
  <c r="BC483" i="9" s="1"/>
  <c r="BC484" i="9" s="1"/>
  <c r="BC485" i="9" s="1"/>
  <c r="BC486" i="9" s="1"/>
  <c r="BC487" i="9" s="1"/>
  <c r="BC488" i="9" s="1"/>
  <c r="BC489" i="9" s="1"/>
  <c r="BC490" i="9" s="1"/>
  <c r="BC491" i="9" s="1"/>
  <c r="BC492" i="9" s="1"/>
  <c r="BC493" i="9" s="1"/>
  <c r="BC494" i="9" s="1"/>
  <c r="BC495" i="9" s="1"/>
  <c r="BC496" i="9" s="1"/>
  <c r="BC497" i="9" s="1"/>
  <c r="BC498" i="9" s="1"/>
  <c r="BC499" i="9" s="1"/>
  <c r="BC500" i="9" s="1"/>
  <c r="BC501" i="9" s="1"/>
  <c r="BC502" i="9" s="1"/>
  <c r="BC503" i="9" s="1"/>
  <c r="BC504" i="9" s="1"/>
  <c r="BC505" i="9" s="1"/>
  <c r="BC506" i="9" s="1"/>
  <c r="BC507" i="9" s="1"/>
  <c r="BC508" i="9" s="1"/>
  <c r="BC509" i="9" s="1"/>
  <c r="BC510" i="9" s="1"/>
  <c r="BC511" i="9" s="1"/>
  <c r="BC512" i="9" s="1"/>
  <c r="BC513" i="9" s="1"/>
  <c r="BC514" i="9" s="1"/>
  <c r="BC515" i="9" s="1"/>
  <c r="BC516" i="9" s="1"/>
  <c r="BC517" i="9" s="1"/>
  <c r="BC518" i="9" s="1"/>
  <c r="BC519" i="9" s="1"/>
  <c r="BC520" i="9" s="1"/>
  <c r="BC521" i="9" s="1"/>
  <c r="BC522" i="9" s="1"/>
  <c r="BC523" i="9" s="1"/>
  <c r="BC524" i="9" s="1"/>
  <c r="BC525" i="9" s="1"/>
  <c r="BC526" i="9" s="1"/>
  <c r="BC527" i="9" s="1"/>
  <c r="BC528" i="9" s="1"/>
  <c r="BC529" i="9" s="1"/>
  <c r="BC530" i="9" s="1"/>
  <c r="BC531" i="9" s="1"/>
  <c r="BC532" i="9" s="1"/>
  <c r="BC533" i="9" s="1"/>
  <c r="BC534" i="9" s="1"/>
  <c r="BC535" i="9" s="1"/>
  <c r="BC536" i="9" s="1"/>
  <c r="BC537" i="9" s="1"/>
  <c r="BC538" i="9" s="1"/>
  <c r="BC539" i="9" s="1"/>
  <c r="BC540" i="9" s="1"/>
  <c r="BC541" i="9" s="1"/>
  <c r="BC542" i="9" s="1"/>
  <c r="BC543" i="9" s="1"/>
  <c r="BC544" i="9" s="1"/>
  <c r="BC545" i="9" s="1"/>
  <c r="BC546" i="9" s="1"/>
  <c r="BC547" i="9" s="1"/>
  <c r="BC548" i="9" s="1"/>
  <c r="BC549" i="9" s="1"/>
  <c r="BC550" i="9" s="1"/>
  <c r="BC551" i="9" s="1"/>
  <c r="BC552" i="9" s="1"/>
  <c r="BC553" i="9" s="1"/>
  <c r="BC554" i="9" s="1"/>
  <c r="BC555" i="9" s="1"/>
  <c r="BC556" i="9" s="1"/>
  <c r="BC557" i="9" s="1"/>
  <c r="BC558" i="9" s="1"/>
  <c r="BC559" i="9" s="1"/>
  <c r="BC560" i="9" s="1"/>
  <c r="BC561" i="9" s="1"/>
  <c r="BC562" i="9" s="1"/>
  <c r="BC563" i="9" s="1"/>
  <c r="BC564" i="9" s="1"/>
  <c r="BC565" i="9" s="1"/>
  <c r="BC566" i="9" s="1"/>
  <c r="BC567" i="9" s="1"/>
  <c r="BC568" i="9" s="1"/>
  <c r="BC569" i="9" s="1"/>
  <c r="BC570" i="9" s="1"/>
  <c r="BC571" i="9" s="1"/>
  <c r="BC572" i="9" s="1"/>
  <c r="BC573" i="9" s="1"/>
  <c r="BC574" i="9" s="1"/>
  <c r="BC575" i="9" s="1"/>
  <c r="BC576" i="9" s="1"/>
  <c r="BC577" i="9" s="1"/>
  <c r="BC578" i="9" s="1"/>
  <c r="BC579" i="9" s="1"/>
  <c r="BC580" i="9" s="1"/>
  <c r="BC581" i="9" s="1"/>
  <c r="BC582" i="9" s="1"/>
  <c r="BC583" i="9" s="1"/>
  <c r="BC584" i="9" s="1"/>
  <c r="BC585" i="9" s="1"/>
  <c r="BC586" i="9" s="1"/>
  <c r="BC587" i="9" s="1"/>
  <c r="BC588" i="9" s="1"/>
  <c r="BC589" i="9" s="1"/>
  <c r="BC590" i="9" s="1"/>
  <c r="BC591" i="9" s="1"/>
  <c r="BC592" i="9" s="1"/>
  <c r="BC593" i="9" s="1"/>
  <c r="BC594" i="9" s="1"/>
  <c r="BC595" i="9" s="1"/>
  <c r="BC596" i="9" s="1"/>
  <c r="BC597" i="9" s="1"/>
  <c r="BC598" i="9" s="1"/>
  <c r="BC599" i="9" s="1"/>
  <c r="BC600" i="9" s="1"/>
  <c r="BC601" i="9" s="1"/>
  <c r="BC602" i="9" s="1"/>
  <c r="BC603" i="9" s="1"/>
  <c r="BC604" i="9" s="1"/>
  <c r="BC605" i="9" s="1"/>
  <c r="BC606" i="9" s="1"/>
  <c r="BC607" i="9" s="1"/>
  <c r="BC608" i="9" s="1"/>
  <c r="BC609" i="9" s="1"/>
  <c r="BC610" i="9" s="1"/>
  <c r="BC611" i="9" s="1"/>
  <c r="BC612" i="9" s="1"/>
  <c r="BC613" i="9" s="1"/>
  <c r="BC614" i="9" s="1"/>
  <c r="BC615" i="9" s="1"/>
  <c r="BC616" i="9" s="1"/>
  <c r="BC617" i="9" s="1"/>
  <c r="BC618" i="9" s="1"/>
  <c r="BC619" i="9" s="1"/>
  <c r="BC620" i="9" s="1"/>
  <c r="BC621" i="9" s="1"/>
  <c r="BC622" i="9" s="1"/>
  <c r="BC623" i="9" s="1"/>
  <c r="BC624" i="9" s="1"/>
  <c r="BC625" i="9" s="1"/>
  <c r="BC626" i="9" s="1"/>
  <c r="BC627" i="9" s="1"/>
  <c r="BC628" i="9" s="1"/>
  <c r="BC629" i="9" s="1"/>
  <c r="BC630" i="9" s="1"/>
  <c r="BC631" i="9" s="1"/>
  <c r="BC632" i="9" s="1"/>
  <c r="BC633" i="9" s="1"/>
  <c r="BC634" i="9" s="1"/>
  <c r="BC635" i="9" s="1"/>
  <c r="BC636" i="9" s="1"/>
  <c r="BC637" i="9" s="1"/>
  <c r="BC638" i="9" s="1"/>
  <c r="BC639" i="9" s="1"/>
  <c r="BC640" i="9" s="1"/>
  <c r="BC641" i="9" s="1"/>
  <c r="BC642" i="9" s="1"/>
  <c r="BC643" i="9" s="1"/>
  <c r="BC644" i="9" s="1"/>
  <c r="BC645" i="9" s="1"/>
  <c r="BC646" i="9" s="1"/>
  <c r="BC647" i="9" s="1"/>
  <c r="BC648" i="9" s="1"/>
  <c r="BC649" i="9" s="1"/>
  <c r="BC650" i="9" s="1"/>
  <c r="BC651" i="9" s="1"/>
  <c r="BC652" i="9" s="1"/>
  <c r="BC653" i="9" s="1"/>
  <c r="BC654" i="9" s="1"/>
  <c r="BC655" i="9" s="1"/>
  <c r="BC656" i="9" s="1"/>
  <c r="BC657" i="9" s="1"/>
  <c r="BC658" i="9" s="1"/>
  <c r="BC659" i="9" s="1"/>
  <c r="BC660" i="9" s="1"/>
  <c r="BC661" i="9" s="1"/>
  <c r="BC662" i="9" s="1"/>
  <c r="BC663" i="9" s="1"/>
  <c r="BC664" i="9" s="1"/>
  <c r="BC665" i="9" s="1"/>
  <c r="BC666" i="9" s="1"/>
  <c r="BC667" i="9" s="1"/>
  <c r="BC668" i="9" s="1"/>
  <c r="BC669" i="9" s="1"/>
  <c r="BC670" i="9" s="1"/>
  <c r="BC671" i="9" s="1"/>
  <c r="BC672" i="9" s="1"/>
  <c r="BC673" i="9" s="1"/>
  <c r="BC674" i="9" s="1"/>
  <c r="BC675" i="9" s="1"/>
  <c r="BC676" i="9" s="1"/>
  <c r="BC677" i="9" s="1"/>
  <c r="BC678" i="9" s="1"/>
  <c r="BC679" i="9" s="1"/>
  <c r="BC680" i="9" s="1"/>
  <c r="BC681" i="9" s="1"/>
  <c r="BC682" i="9" s="1"/>
  <c r="BC683" i="9" s="1"/>
  <c r="BC684" i="9" s="1"/>
  <c r="BC685" i="9" s="1"/>
  <c r="DF403" i="9"/>
  <c r="B401" i="9"/>
  <c r="F400" i="9"/>
  <c r="V395" i="8"/>
  <c r="E395" i="8"/>
  <c r="D395" i="8"/>
  <c r="BS395" i="8"/>
  <c r="BT395" i="8" s="1"/>
  <c r="AQ412" i="6"/>
  <c r="BU394" i="6"/>
  <c r="E393" i="6"/>
  <c r="D393" i="6"/>
  <c r="AS422" i="9" l="1"/>
  <c r="E401" i="9"/>
  <c r="D401" i="9"/>
  <c r="B396" i="8"/>
  <c r="F395" i="8"/>
  <c r="BS394" i="8"/>
  <c r="BT394" i="8" s="1"/>
  <c r="BR395" i="8"/>
  <c r="BR396" i="8"/>
  <c r="BS393" i="8"/>
  <c r="BT393" i="8" s="1"/>
  <c r="AQ413" i="6"/>
  <c r="BU395" i="6"/>
  <c r="B394" i="6"/>
  <c r="F393" i="6"/>
  <c r="AS423" i="9" l="1"/>
  <c r="B402" i="9"/>
  <c r="F401" i="9"/>
  <c r="E396" i="8"/>
  <c r="D396" i="8"/>
  <c r="AQ414" i="6"/>
  <c r="BU396" i="6"/>
  <c r="E394" i="6"/>
  <c r="D394" i="6"/>
  <c r="AS424" i="9" l="1"/>
  <c r="E402" i="9"/>
  <c r="D402" i="9"/>
  <c r="B397" i="8"/>
  <c r="F396" i="8"/>
  <c r="AQ415" i="6"/>
  <c r="BU397" i="6"/>
  <c r="B395" i="6"/>
  <c r="V395" i="6" s="1"/>
  <c r="BR395" i="6" s="1"/>
  <c r="F394" i="6"/>
  <c r="AS425" i="9" l="1"/>
  <c r="B403" i="9"/>
  <c r="F402" i="9"/>
  <c r="E397" i="8"/>
  <c r="D397" i="8"/>
  <c r="AQ416" i="6"/>
  <c r="BU398" i="6"/>
  <c r="V396" i="6"/>
  <c r="BS393" i="6"/>
  <c r="BT393" i="6" s="1"/>
  <c r="D395" i="6"/>
  <c r="E395" i="6"/>
  <c r="AS426" i="9" l="1"/>
  <c r="E403" i="9"/>
  <c r="D403" i="9"/>
  <c r="B398" i="8"/>
  <c r="F397" i="8"/>
  <c r="BS394" i="6"/>
  <c r="BT394" i="6" s="1"/>
  <c r="BR396" i="6"/>
  <c r="AQ417" i="6"/>
  <c r="BU399" i="6"/>
  <c r="V397" i="6"/>
  <c r="BR397" i="6" s="1"/>
  <c r="B396" i="6"/>
  <c r="F395" i="6"/>
  <c r="AS427" i="9" l="1"/>
  <c r="B404" i="9"/>
  <c r="AK404" i="9" s="1"/>
  <c r="F403" i="9"/>
  <c r="E398" i="8"/>
  <c r="D398" i="8"/>
  <c r="BS395" i="6"/>
  <c r="BT395" i="6" s="1"/>
  <c r="AQ418" i="6"/>
  <c r="BU400" i="6"/>
  <c r="V398" i="6"/>
  <c r="BR398" i="6" s="1"/>
  <c r="E396" i="6"/>
  <c r="D396" i="6"/>
  <c r="DC404" i="9" l="1"/>
  <c r="DD402" i="9"/>
  <c r="DE402" i="9" s="1"/>
  <c r="AS428" i="9"/>
  <c r="AK405" i="9"/>
  <c r="E404" i="9"/>
  <c r="D404" i="9"/>
  <c r="F398" i="8"/>
  <c r="B399" i="8"/>
  <c r="BS396" i="6"/>
  <c r="BT396" i="6" s="1"/>
  <c r="AQ419" i="6"/>
  <c r="BU401" i="6"/>
  <c r="V399" i="6"/>
  <c r="BR399" i="6" s="1"/>
  <c r="B397" i="6"/>
  <c r="F396" i="6"/>
  <c r="AS429" i="9" l="1"/>
  <c r="AK406" i="9"/>
  <c r="B405" i="9"/>
  <c r="AO405" i="9" s="1"/>
  <c r="AO406" i="9" s="1"/>
  <c r="AO407" i="9" s="1"/>
  <c r="AO408" i="9" s="1"/>
  <c r="AO409" i="9" s="1"/>
  <c r="AO410" i="9" s="1"/>
  <c r="AO411" i="9" s="1"/>
  <c r="AO412" i="9" s="1"/>
  <c r="AO413" i="9" s="1"/>
  <c r="AO414" i="9" s="1"/>
  <c r="AO415" i="9" s="1"/>
  <c r="AO416" i="9" s="1"/>
  <c r="AO417" i="9" s="1"/>
  <c r="AO418" i="9" s="1"/>
  <c r="AO419" i="9" s="1"/>
  <c r="AO420" i="9" s="1"/>
  <c r="F404" i="9"/>
  <c r="E399" i="8"/>
  <c r="D399" i="8"/>
  <c r="BS397" i="6"/>
  <c r="BT397" i="6" s="1"/>
  <c r="AQ420" i="6"/>
  <c r="BU402" i="6"/>
  <c r="V400" i="6"/>
  <c r="E397" i="6"/>
  <c r="D397" i="6"/>
  <c r="DC406" i="9" l="1"/>
  <c r="DD403" i="9"/>
  <c r="DE403" i="9" s="1"/>
  <c r="AS430" i="9"/>
  <c r="DD404" i="9"/>
  <c r="DE404" i="9" s="1"/>
  <c r="DC405" i="9"/>
  <c r="AO421" i="9"/>
  <c r="AO422" i="9" s="1"/>
  <c r="AO423" i="9" s="1"/>
  <c r="BB420" i="9"/>
  <c r="BB421" i="9" s="1"/>
  <c r="BB422" i="9" s="1"/>
  <c r="BB423" i="9" s="1"/>
  <c r="BB424" i="9" s="1"/>
  <c r="BB425" i="9" s="1"/>
  <c r="BB426" i="9" s="1"/>
  <c r="BB427" i="9" s="1"/>
  <c r="BB428" i="9" s="1"/>
  <c r="BB429" i="9" s="1"/>
  <c r="BB430" i="9" s="1"/>
  <c r="BB431" i="9" s="1"/>
  <c r="BB432" i="9" s="1"/>
  <c r="BB433" i="9" s="1"/>
  <c r="BB434" i="9" s="1"/>
  <c r="BB435" i="9" s="1"/>
  <c r="BB436" i="9" s="1"/>
  <c r="BB437" i="9" s="1"/>
  <c r="BB438" i="9" s="1"/>
  <c r="BB439" i="9" s="1"/>
  <c r="BB440" i="9" s="1"/>
  <c r="BB441" i="9" s="1"/>
  <c r="BB442" i="9" s="1"/>
  <c r="BB443" i="9" s="1"/>
  <c r="BB444" i="9" s="1"/>
  <c r="BB445" i="9" s="1"/>
  <c r="BB446" i="9" s="1"/>
  <c r="BB447" i="9" s="1"/>
  <c r="BB448" i="9" s="1"/>
  <c r="BB449" i="9" s="1"/>
  <c r="BB450" i="9" s="1"/>
  <c r="BB451" i="9" s="1"/>
  <c r="BB452" i="9" s="1"/>
  <c r="BB453" i="9" s="1"/>
  <c r="BB454" i="9" s="1"/>
  <c r="BB455" i="9" s="1"/>
  <c r="BB456" i="9" s="1"/>
  <c r="BB457" i="9" s="1"/>
  <c r="BB458" i="9" s="1"/>
  <c r="BB459" i="9" s="1"/>
  <c r="BB460" i="9" s="1"/>
  <c r="BB461" i="9" s="1"/>
  <c r="BB462" i="9" s="1"/>
  <c r="BB463" i="9" s="1"/>
  <c r="BB464" i="9" s="1"/>
  <c r="BB465" i="9" s="1"/>
  <c r="BB466" i="9" s="1"/>
  <c r="BB467" i="9" s="1"/>
  <c r="BB468" i="9" s="1"/>
  <c r="BB469" i="9" s="1"/>
  <c r="BB470" i="9" s="1"/>
  <c r="BB471" i="9" s="1"/>
  <c r="BB472" i="9" s="1"/>
  <c r="BB473" i="9" s="1"/>
  <c r="BB474" i="9" s="1"/>
  <c r="BB475" i="9" s="1"/>
  <c r="BB476" i="9" s="1"/>
  <c r="BB477" i="9" s="1"/>
  <c r="BB478" i="9" s="1"/>
  <c r="BB479" i="9" s="1"/>
  <c r="BB480" i="9" s="1"/>
  <c r="BB481" i="9" s="1"/>
  <c r="BB482" i="9" s="1"/>
  <c r="BB483" i="9" s="1"/>
  <c r="BB484" i="9" s="1"/>
  <c r="BB485" i="9" s="1"/>
  <c r="BB486" i="9" s="1"/>
  <c r="BB487" i="9" s="1"/>
  <c r="BB488" i="9" s="1"/>
  <c r="BB489" i="9" s="1"/>
  <c r="BB490" i="9" s="1"/>
  <c r="BB491" i="9" s="1"/>
  <c r="BB492" i="9" s="1"/>
  <c r="BB493" i="9" s="1"/>
  <c r="BB494" i="9" s="1"/>
  <c r="BB495" i="9" s="1"/>
  <c r="BB496" i="9" s="1"/>
  <c r="BB497" i="9" s="1"/>
  <c r="BB498" i="9" s="1"/>
  <c r="BB499" i="9" s="1"/>
  <c r="BB500" i="9" s="1"/>
  <c r="BB501" i="9" s="1"/>
  <c r="BB502" i="9" s="1"/>
  <c r="BB503" i="9" s="1"/>
  <c r="BB504" i="9" s="1"/>
  <c r="BB505" i="9" s="1"/>
  <c r="BB506" i="9" s="1"/>
  <c r="BB507" i="9" s="1"/>
  <c r="BB508" i="9" s="1"/>
  <c r="BB509" i="9" s="1"/>
  <c r="BB510" i="9" s="1"/>
  <c r="BB511" i="9" s="1"/>
  <c r="BB512" i="9" s="1"/>
  <c r="BB513" i="9" s="1"/>
  <c r="BB514" i="9" s="1"/>
  <c r="BB515" i="9" s="1"/>
  <c r="BB516" i="9" s="1"/>
  <c r="BB517" i="9" s="1"/>
  <c r="BB518" i="9" s="1"/>
  <c r="BB519" i="9" s="1"/>
  <c r="BB520" i="9" s="1"/>
  <c r="BB521" i="9" s="1"/>
  <c r="BB522" i="9" s="1"/>
  <c r="BB523" i="9" s="1"/>
  <c r="BB524" i="9" s="1"/>
  <c r="BB525" i="9" s="1"/>
  <c r="BB526" i="9" s="1"/>
  <c r="BB527" i="9" s="1"/>
  <c r="BB528" i="9" s="1"/>
  <c r="BB529" i="9" s="1"/>
  <c r="BB530" i="9" s="1"/>
  <c r="BB531" i="9" s="1"/>
  <c r="BB532" i="9" s="1"/>
  <c r="BB533" i="9" s="1"/>
  <c r="BB534" i="9" s="1"/>
  <c r="BB535" i="9" s="1"/>
  <c r="BB536" i="9" s="1"/>
  <c r="BB537" i="9" s="1"/>
  <c r="BB538" i="9" s="1"/>
  <c r="BB539" i="9" s="1"/>
  <c r="BB540" i="9" s="1"/>
  <c r="BB541" i="9" s="1"/>
  <c r="BB542" i="9" s="1"/>
  <c r="BB543" i="9" s="1"/>
  <c r="BB544" i="9" s="1"/>
  <c r="BB545" i="9" s="1"/>
  <c r="BB546" i="9" s="1"/>
  <c r="BB547" i="9" s="1"/>
  <c r="BB548" i="9" s="1"/>
  <c r="BB549" i="9" s="1"/>
  <c r="BB550" i="9" s="1"/>
  <c r="BB551" i="9" s="1"/>
  <c r="BB552" i="9" s="1"/>
  <c r="BB553" i="9" s="1"/>
  <c r="BB554" i="9" s="1"/>
  <c r="BB555" i="9" s="1"/>
  <c r="BB556" i="9" s="1"/>
  <c r="BB557" i="9" s="1"/>
  <c r="BB558" i="9" s="1"/>
  <c r="BB559" i="9" s="1"/>
  <c r="BB560" i="9" s="1"/>
  <c r="BB561" i="9" s="1"/>
  <c r="BB562" i="9" s="1"/>
  <c r="BB563" i="9" s="1"/>
  <c r="BB564" i="9" s="1"/>
  <c r="BB565" i="9" s="1"/>
  <c r="BB566" i="9" s="1"/>
  <c r="BB567" i="9" s="1"/>
  <c r="BB568" i="9" s="1"/>
  <c r="BB569" i="9" s="1"/>
  <c r="BB570" i="9" s="1"/>
  <c r="BB571" i="9" s="1"/>
  <c r="BB572" i="9" s="1"/>
  <c r="BB573" i="9" s="1"/>
  <c r="BB574" i="9" s="1"/>
  <c r="BB575" i="9" s="1"/>
  <c r="BB576" i="9" s="1"/>
  <c r="BB577" i="9" s="1"/>
  <c r="BB578" i="9" s="1"/>
  <c r="BB579" i="9" s="1"/>
  <c r="BB580" i="9" s="1"/>
  <c r="BB581" i="9" s="1"/>
  <c r="BB582" i="9" s="1"/>
  <c r="BB583" i="9" s="1"/>
  <c r="BB584" i="9" s="1"/>
  <c r="BB585" i="9" s="1"/>
  <c r="BB586" i="9" s="1"/>
  <c r="BB587" i="9" s="1"/>
  <c r="BB588" i="9" s="1"/>
  <c r="BB589" i="9" s="1"/>
  <c r="BB590" i="9" s="1"/>
  <c r="BB591" i="9" s="1"/>
  <c r="BB592" i="9" s="1"/>
  <c r="BB593" i="9" s="1"/>
  <c r="BB594" i="9" s="1"/>
  <c r="BB595" i="9" s="1"/>
  <c r="BB596" i="9" s="1"/>
  <c r="BB597" i="9" s="1"/>
  <c r="BB598" i="9" s="1"/>
  <c r="BB599" i="9" s="1"/>
  <c r="BB600" i="9" s="1"/>
  <c r="BB601" i="9" s="1"/>
  <c r="BB602" i="9" s="1"/>
  <c r="BB603" i="9" s="1"/>
  <c r="BB604" i="9" s="1"/>
  <c r="BB605" i="9" s="1"/>
  <c r="BB606" i="9" s="1"/>
  <c r="BB607" i="9" s="1"/>
  <c r="BB608" i="9" s="1"/>
  <c r="BB609" i="9" s="1"/>
  <c r="BB610" i="9" s="1"/>
  <c r="BB611" i="9" s="1"/>
  <c r="BB612" i="9" s="1"/>
  <c r="BB613" i="9" s="1"/>
  <c r="BB614" i="9" s="1"/>
  <c r="BB615" i="9" s="1"/>
  <c r="BB616" i="9" s="1"/>
  <c r="BB617" i="9" s="1"/>
  <c r="BB618" i="9" s="1"/>
  <c r="BB619" i="9" s="1"/>
  <c r="BB620" i="9" s="1"/>
  <c r="BB621" i="9" s="1"/>
  <c r="BB622" i="9" s="1"/>
  <c r="BB623" i="9" s="1"/>
  <c r="BB624" i="9" s="1"/>
  <c r="BB625" i="9" s="1"/>
  <c r="BB626" i="9" s="1"/>
  <c r="BB627" i="9" s="1"/>
  <c r="BB628" i="9" s="1"/>
  <c r="BB629" i="9" s="1"/>
  <c r="BB630" i="9" s="1"/>
  <c r="BB631" i="9" s="1"/>
  <c r="BB632" i="9" s="1"/>
  <c r="BB633" i="9" s="1"/>
  <c r="BB634" i="9" s="1"/>
  <c r="BB635" i="9" s="1"/>
  <c r="BB636" i="9" s="1"/>
  <c r="BB637" i="9" s="1"/>
  <c r="BB638" i="9" s="1"/>
  <c r="BB639" i="9" s="1"/>
  <c r="BB640" i="9" s="1"/>
  <c r="BB641" i="9" s="1"/>
  <c r="BB642" i="9" s="1"/>
  <c r="BB643" i="9" s="1"/>
  <c r="BB644" i="9" s="1"/>
  <c r="BB645" i="9" s="1"/>
  <c r="BB646" i="9" s="1"/>
  <c r="BB647" i="9" s="1"/>
  <c r="BB648" i="9" s="1"/>
  <c r="BB649" i="9" s="1"/>
  <c r="BB650" i="9" s="1"/>
  <c r="BB651" i="9" s="1"/>
  <c r="BB652" i="9" s="1"/>
  <c r="BB653" i="9" s="1"/>
  <c r="BB654" i="9" s="1"/>
  <c r="BB655" i="9" s="1"/>
  <c r="BB656" i="9" s="1"/>
  <c r="BB657" i="9" s="1"/>
  <c r="BB658" i="9" s="1"/>
  <c r="BB659" i="9" s="1"/>
  <c r="BB660" i="9" s="1"/>
  <c r="BB661" i="9" s="1"/>
  <c r="BB662" i="9" s="1"/>
  <c r="BB663" i="9" s="1"/>
  <c r="BB664" i="9" s="1"/>
  <c r="BB665" i="9" s="1"/>
  <c r="BB666" i="9" s="1"/>
  <c r="BB667" i="9" s="1"/>
  <c r="BB668" i="9" s="1"/>
  <c r="BB669" i="9" s="1"/>
  <c r="BB670" i="9" s="1"/>
  <c r="BB671" i="9" s="1"/>
  <c r="BB672" i="9" s="1"/>
  <c r="BB673" i="9" s="1"/>
  <c r="BB674" i="9" s="1"/>
  <c r="BB675" i="9" s="1"/>
  <c r="BB676" i="9" s="1"/>
  <c r="BB677" i="9" s="1"/>
  <c r="BB678" i="9" s="1"/>
  <c r="BB679" i="9" s="1"/>
  <c r="BB680" i="9" s="1"/>
  <c r="BB681" i="9" s="1"/>
  <c r="BB682" i="9" s="1"/>
  <c r="BB683" i="9" s="1"/>
  <c r="BB684" i="9" s="1"/>
  <c r="BB685" i="9" s="1"/>
  <c r="AK407" i="9"/>
  <c r="E405" i="9"/>
  <c r="D405" i="9"/>
  <c r="F399" i="8"/>
  <c r="B400" i="8"/>
  <c r="BS398" i="6"/>
  <c r="BT398" i="6" s="1"/>
  <c r="BR400" i="6"/>
  <c r="AQ421" i="6"/>
  <c r="BU403" i="6"/>
  <c r="V401" i="6"/>
  <c r="B398" i="6"/>
  <c r="F397" i="6"/>
  <c r="AS431" i="9" l="1"/>
  <c r="AK408" i="9"/>
  <c r="DC407" i="9"/>
  <c r="DD405" i="9"/>
  <c r="DE405" i="9" s="1"/>
  <c r="B406" i="9"/>
  <c r="F405" i="9"/>
  <c r="E400" i="8"/>
  <c r="D400" i="8"/>
  <c r="BS399" i="6"/>
  <c r="BT399" i="6" s="1"/>
  <c r="BR401" i="6"/>
  <c r="BU404" i="6"/>
  <c r="BU405" i="6"/>
  <c r="V402" i="6"/>
  <c r="BR402" i="6" s="1"/>
  <c r="E398" i="6"/>
  <c r="D398" i="6"/>
  <c r="AK409" i="9" l="1"/>
  <c r="DC408" i="9"/>
  <c r="DD407" i="9"/>
  <c r="DE407" i="9" s="1"/>
  <c r="AS432" i="9"/>
  <c r="DD406" i="9"/>
  <c r="DE406" i="9" s="1"/>
  <c r="E406" i="9"/>
  <c r="D406" i="9"/>
  <c r="F400" i="8"/>
  <c r="B401" i="8"/>
  <c r="BS400" i="6"/>
  <c r="BT400" i="6" s="1"/>
  <c r="V403" i="6"/>
  <c r="B399" i="6"/>
  <c r="F398" i="6"/>
  <c r="AS433" i="9" l="1"/>
  <c r="AK410" i="9"/>
  <c r="DD408" i="9" s="1"/>
  <c r="DE408" i="9" s="1"/>
  <c r="DC409" i="9"/>
  <c r="B407" i="9"/>
  <c r="F406" i="9"/>
  <c r="E401" i="8"/>
  <c r="D401" i="8"/>
  <c r="BS401" i="6"/>
  <c r="BT401" i="6" s="1"/>
  <c r="BR403" i="6"/>
  <c r="V404" i="6"/>
  <c r="E399" i="6"/>
  <c r="D399" i="6"/>
  <c r="AS434" i="9" l="1"/>
  <c r="AK411" i="9"/>
  <c r="DC410" i="9"/>
  <c r="DD409" i="9"/>
  <c r="DE409" i="9" s="1"/>
  <c r="D407" i="9"/>
  <c r="E407" i="9"/>
  <c r="F401" i="8"/>
  <c r="B402" i="8"/>
  <c r="BS402" i="6"/>
  <c r="BT402" i="6" s="1"/>
  <c r="BR404" i="6"/>
  <c r="V405" i="6"/>
  <c r="B400" i="6"/>
  <c r="F399" i="6"/>
  <c r="AK412" i="9" l="1"/>
  <c r="DC411" i="9"/>
  <c r="DD410" i="9"/>
  <c r="DE410" i="9" s="1"/>
  <c r="AS435" i="9"/>
  <c r="B408" i="9"/>
  <c r="F407" i="9"/>
  <c r="E402" i="8"/>
  <c r="D402" i="8"/>
  <c r="BS403" i="6"/>
  <c r="BT403" i="6" s="1"/>
  <c r="BR405" i="6"/>
  <c r="V406" i="6"/>
  <c r="E400" i="6"/>
  <c r="D400" i="6"/>
  <c r="AS436" i="9" l="1"/>
  <c r="AK413" i="9"/>
  <c r="DD411" i="9"/>
  <c r="DE411" i="9" s="1"/>
  <c r="DC412" i="9"/>
  <c r="D408" i="9"/>
  <c r="E408" i="9"/>
  <c r="F402" i="8"/>
  <c r="B403" i="8"/>
  <c r="BS404" i="6"/>
  <c r="BT404" i="6" s="1"/>
  <c r="BR406" i="6"/>
  <c r="V407" i="6"/>
  <c r="B401" i="6"/>
  <c r="F400" i="6"/>
  <c r="AK414" i="9" l="1"/>
  <c r="DD412" i="9"/>
  <c r="DE412" i="9" s="1"/>
  <c r="DC413" i="9"/>
  <c r="AS437" i="9"/>
  <c r="B409" i="9"/>
  <c r="F408" i="9"/>
  <c r="E403" i="8"/>
  <c r="D403" i="8"/>
  <c r="BS405" i="6"/>
  <c r="BT405" i="6" s="1"/>
  <c r="BR407" i="6"/>
  <c r="V408" i="6"/>
  <c r="E401" i="6"/>
  <c r="D401" i="6"/>
  <c r="AS438" i="9" l="1"/>
  <c r="AK415" i="9"/>
  <c r="DC414" i="9"/>
  <c r="DD413" i="9"/>
  <c r="DE413" i="9" s="1"/>
  <c r="D409" i="9"/>
  <c r="E409" i="9"/>
  <c r="F403" i="8"/>
  <c r="B404" i="8"/>
  <c r="BS406" i="6"/>
  <c r="BT406" i="6" s="1"/>
  <c r="BR408" i="6"/>
  <c r="V409" i="6"/>
  <c r="F401" i="6"/>
  <c r="B402" i="6"/>
  <c r="AK416" i="9" l="1"/>
  <c r="DC415" i="9"/>
  <c r="DD414" i="9"/>
  <c r="DE414" i="9" s="1"/>
  <c r="AS439" i="9"/>
  <c r="B410" i="9"/>
  <c r="F409" i="9"/>
  <c r="E404" i="8"/>
  <c r="D404" i="8"/>
  <c r="BS407" i="6"/>
  <c r="BT407" i="6" s="1"/>
  <c r="BR409" i="6"/>
  <c r="V410" i="6"/>
  <c r="D402" i="6"/>
  <c r="E402" i="6"/>
  <c r="AS440" i="9" l="1"/>
  <c r="AK417" i="9"/>
  <c r="DC416" i="9"/>
  <c r="DD415" i="9"/>
  <c r="DE415" i="9" s="1"/>
  <c r="D410" i="9"/>
  <c r="E410" i="9"/>
  <c r="F404" i="8"/>
  <c r="B405" i="8"/>
  <c r="BS408" i="6"/>
  <c r="BT408" i="6" s="1"/>
  <c r="BR410" i="6"/>
  <c r="V411" i="6"/>
  <c r="F402" i="6"/>
  <c r="B403" i="6"/>
  <c r="AK418" i="9" l="1"/>
  <c r="DC417" i="9"/>
  <c r="DD416" i="9"/>
  <c r="DE416" i="9" s="1"/>
  <c r="AS441" i="9"/>
  <c r="B411" i="9"/>
  <c r="F410" i="9"/>
  <c r="E405" i="8"/>
  <c r="D405" i="8"/>
  <c r="BS409" i="6"/>
  <c r="BT409" i="6" s="1"/>
  <c r="BR411" i="6"/>
  <c r="V412" i="6"/>
  <c r="BR412" i="6" s="1"/>
  <c r="D403" i="6"/>
  <c r="E403" i="6"/>
  <c r="AS442" i="9" l="1"/>
  <c r="AK419" i="9"/>
  <c r="DC418" i="9"/>
  <c r="D411" i="9"/>
  <c r="E411" i="9"/>
  <c r="F405" i="8"/>
  <c r="B406" i="8"/>
  <c r="V413" i="6"/>
  <c r="BS410" i="6"/>
  <c r="BT410" i="6" s="1"/>
  <c r="B404" i="6"/>
  <c r="F403" i="6"/>
  <c r="AT419" i="9" l="1"/>
  <c r="AK420" i="9"/>
  <c r="AK421" i="9" s="1"/>
  <c r="AK422" i="9" s="1"/>
  <c r="AK423" i="9" s="1"/>
  <c r="AK424" i="9" s="1"/>
  <c r="AK425" i="9" s="1"/>
  <c r="AK426" i="9" s="1"/>
  <c r="AK427" i="9" s="1"/>
  <c r="AK428" i="9" s="1"/>
  <c r="AK429" i="9" s="1"/>
  <c r="AK430" i="9" s="1"/>
  <c r="AK431" i="9" s="1"/>
  <c r="AK432" i="9" s="1"/>
  <c r="AK433" i="9" s="1"/>
  <c r="AS443" i="9"/>
  <c r="B412" i="9"/>
  <c r="F411" i="9"/>
  <c r="E406" i="8"/>
  <c r="D406" i="8"/>
  <c r="BS411" i="6"/>
  <c r="BT411" i="6" s="1"/>
  <c r="BR413" i="6"/>
  <c r="V414" i="6"/>
  <c r="BR414" i="6" s="1"/>
  <c r="D404" i="6"/>
  <c r="E404" i="6"/>
  <c r="AS444" i="9" l="1"/>
  <c r="DF404" i="9"/>
  <c r="AT420" i="9"/>
  <c r="D412" i="9"/>
  <c r="E412" i="9"/>
  <c r="F406" i="8"/>
  <c r="B407" i="8"/>
  <c r="V415" i="6"/>
  <c r="BS412" i="6"/>
  <c r="BT412" i="6" s="1"/>
  <c r="B405" i="6"/>
  <c r="F404" i="6"/>
  <c r="DF405" i="9" l="1"/>
  <c r="AT421" i="9"/>
  <c r="AS445" i="9"/>
  <c r="B413" i="9"/>
  <c r="F412" i="9"/>
  <c r="E407" i="8"/>
  <c r="D407" i="8"/>
  <c r="BS413" i="6"/>
  <c r="BT413" i="6" s="1"/>
  <c r="BR415" i="6"/>
  <c r="V416" i="6"/>
  <c r="D405" i="6"/>
  <c r="E405" i="6"/>
  <c r="AS446" i="9" l="1"/>
  <c r="AS447" i="9" s="1"/>
  <c r="AS448" i="9" s="1"/>
  <c r="AS449" i="9" s="1"/>
  <c r="AS450" i="9" s="1"/>
  <c r="AS451" i="9" s="1"/>
  <c r="AS452" i="9" s="1"/>
  <c r="AS453" i="9" s="1"/>
  <c r="AS454" i="9" s="1"/>
  <c r="AS455" i="9" s="1"/>
  <c r="AS456" i="9" s="1"/>
  <c r="AS457" i="9" s="1"/>
  <c r="AS458" i="9" s="1"/>
  <c r="AS459" i="9" s="1"/>
  <c r="DF406" i="9"/>
  <c r="AT422" i="9"/>
  <c r="E413" i="9"/>
  <c r="D413" i="9"/>
  <c r="F407" i="8"/>
  <c r="B408" i="8"/>
  <c r="BS414" i="6"/>
  <c r="BT414" i="6" s="1"/>
  <c r="BR416" i="6"/>
  <c r="V417" i="6"/>
  <c r="B406" i="6"/>
  <c r="F405" i="6"/>
  <c r="DF407" i="9" l="1"/>
  <c r="AT423" i="9"/>
  <c r="AS460" i="9"/>
  <c r="AS461" i="9" s="1"/>
  <c r="AS462" i="9" s="1"/>
  <c r="AS463" i="9" s="1"/>
  <c r="AS464" i="9" s="1"/>
  <c r="AS465" i="9" s="1"/>
  <c r="B414" i="9"/>
  <c r="F413" i="9"/>
  <c r="E408" i="8"/>
  <c r="D408" i="8"/>
  <c r="BS415" i="6"/>
  <c r="BT415" i="6" s="1"/>
  <c r="BR417" i="6"/>
  <c r="V418" i="6"/>
  <c r="D406" i="6"/>
  <c r="E406" i="6"/>
  <c r="DF408" i="9" l="1"/>
  <c r="AT424" i="9"/>
  <c r="E414" i="9"/>
  <c r="D414" i="9"/>
  <c r="F408" i="8"/>
  <c r="B409" i="8"/>
  <c r="BS416" i="6"/>
  <c r="BT416" i="6" s="1"/>
  <c r="BR418" i="6"/>
  <c r="V419" i="6"/>
  <c r="B407" i="6"/>
  <c r="F406" i="6"/>
  <c r="DF409" i="9" l="1"/>
  <c r="AT425" i="9"/>
  <c r="B415" i="9"/>
  <c r="F414" i="9"/>
  <c r="E409" i="8"/>
  <c r="D409" i="8"/>
  <c r="BS417" i="6"/>
  <c r="BT417" i="6" s="1"/>
  <c r="BR419" i="6"/>
  <c r="V420" i="6"/>
  <c r="D407" i="6"/>
  <c r="E407" i="6"/>
  <c r="DF410" i="9" l="1"/>
  <c r="AT426" i="9"/>
  <c r="E415" i="9"/>
  <c r="D415" i="9"/>
  <c r="B410" i="8"/>
  <c r="F409" i="8"/>
  <c r="BS418" i="6"/>
  <c r="BT418" i="6" s="1"/>
  <c r="BR420" i="6"/>
  <c r="V421" i="6"/>
  <c r="B408" i="6"/>
  <c r="F407" i="6"/>
  <c r="DF411" i="9" l="1"/>
  <c r="AT427" i="9"/>
  <c r="F415" i="9"/>
  <c r="B416" i="9"/>
  <c r="E410" i="8"/>
  <c r="D410" i="8"/>
  <c r="BS420" i="6"/>
  <c r="BT420" i="6" s="1"/>
  <c r="BR421" i="6"/>
  <c r="BS419" i="6"/>
  <c r="BT419" i="6" s="1"/>
  <c r="E408" i="6"/>
  <c r="D408" i="6"/>
  <c r="DF412" i="9" l="1"/>
  <c r="AT428" i="9"/>
  <c r="E416" i="9"/>
  <c r="D416" i="9"/>
  <c r="F410" i="8"/>
  <c r="B411" i="8"/>
  <c r="B409" i="6"/>
  <c r="F408" i="6"/>
  <c r="DF413" i="9" l="1"/>
  <c r="AT429" i="9"/>
  <c r="F416" i="9"/>
  <c r="B417" i="9"/>
  <c r="E411" i="8"/>
  <c r="D411" i="8"/>
  <c r="E409" i="6"/>
  <c r="D409" i="6"/>
  <c r="DF414" i="9" l="1"/>
  <c r="AT430" i="9"/>
  <c r="E417" i="9"/>
  <c r="D417" i="9"/>
  <c r="F411" i="8"/>
  <c r="B412" i="8"/>
  <c r="F409" i="6"/>
  <c r="B410" i="6"/>
  <c r="DF415" i="9" l="1"/>
  <c r="AT431" i="9"/>
  <c r="F417" i="9"/>
  <c r="B418" i="9"/>
  <c r="E412" i="8"/>
  <c r="D412" i="8"/>
  <c r="E410" i="6"/>
  <c r="D410" i="6"/>
  <c r="DF416" i="9" l="1"/>
  <c r="AT432" i="9"/>
  <c r="E418" i="9"/>
  <c r="D418" i="9"/>
  <c r="F412" i="8"/>
  <c r="B413" i="8"/>
  <c r="F410" i="6"/>
  <c r="B411" i="6"/>
  <c r="DF417" i="9" l="1"/>
  <c r="AT433" i="9"/>
  <c r="F418" i="9"/>
  <c r="B419" i="9"/>
  <c r="AG419" i="9" s="1"/>
  <c r="D413" i="8"/>
  <c r="E413" i="8"/>
  <c r="E411" i="6"/>
  <c r="D411" i="6"/>
  <c r="DC419" i="9" l="1"/>
  <c r="DD417" i="9"/>
  <c r="DE417" i="9" s="1"/>
  <c r="DF418" i="9"/>
  <c r="AT434" i="9"/>
  <c r="AG420" i="9"/>
  <c r="E419" i="9"/>
  <c r="D419" i="9"/>
  <c r="F413" i="8"/>
  <c r="B414" i="8"/>
  <c r="F411" i="6"/>
  <c r="B412" i="6"/>
  <c r="DF419" i="9" l="1"/>
  <c r="AT435" i="9"/>
  <c r="AG421" i="9"/>
  <c r="DC420" i="9"/>
  <c r="DD419" i="9"/>
  <c r="DE419" i="9" s="1"/>
  <c r="DD418" i="9"/>
  <c r="DE418" i="9" s="1"/>
  <c r="F419" i="9"/>
  <c r="B420" i="9"/>
  <c r="D414" i="8"/>
  <c r="E414" i="8"/>
  <c r="E412" i="6"/>
  <c r="D412" i="6"/>
  <c r="AG422" i="9" l="1"/>
  <c r="DC421" i="9"/>
  <c r="DD420" i="9"/>
  <c r="DE420" i="9" s="1"/>
  <c r="DF420" i="9"/>
  <c r="AT436" i="9"/>
  <c r="E420" i="9"/>
  <c r="D420" i="9"/>
  <c r="F414" i="8"/>
  <c r="B415" i="8"/>
  <c r="B413" i="6"/>
  <c r="F412" i="6"/>
  <c r="DF421" i="9" l="1"/>
  <c r="AT437" i="9"/>
  <c r="AG423" i="9"/>
  <c r="DC422" i="9"/>
  <c r="DD421" i="9"/>
  <c r="DE421" i="9" s="1"/>
  <c r="F420" i="9"/>
  <c r="B421" i="9"/>
  <c r="D415" i="8"/>
  <c r="E415" i="8"/>
  <c r="E413" i="6"/>
  <c r="D413" i="6"/>
  <c r="AG424" i="9" l="1"/>
  <c r="DC423" i="9"/>
  <c r="DF422" i="9"/>
  <c r="AT438" i="9"/>
  <c r="E421" i="9"/>
  <c r="D421" i="9"/>
  <c r="F415" i="8"/>
  <c r="B416" i="8"/>
  <c r="F413" i="6"/>
  <c r="B414" i="6"/>
  <c r="DF423" i="9" l="1"/>
  <c r="AT439" i="9"/>
  <c r="AG425" i="9"/>
  <c r="F421" i="9"/>
  <c r="B422" i="9"/>
  <c r="D416" i="8"/>
  <c r="E416" i="8"/>
  <c r="E414" i="6"/>
  <c r="D414" i="6"/>
  <c r="AG426" i="9" l="1"/>
  <c r="DF424" i="9"/>
  <c r="AT440" i="9"/>
  <c r="E422" i="9"/>
  <c r="D422" i="9"/>
  <c r="B423" i="9" s="1"/>
  <c r="F416" i="8"/>
  <c r="B417" i="8"/>
  <c r="B415" i="6"/>
  <c r="F414" i="6"/>
  <c r="DF425" i="9" l="1"/>
  <c r="AT441" i="9"/>
  <c r="AG427" i="9"/>
  <c r="D423" i="9"/>
  <c r="E423" i="9"/>
  <c r="F422" i="9"/>
  <c r="D417" i="8"/>
  <c r="E417" i="8"/>
  <c r="E415" i="6"/>
  <c r="D415" i="6"/>
  <c r="AG428" i="9" l="1"/>
  <c r="DF426" i="9"/>
  <c r="AT442" i="9"/>
  <c r="B424" i="9"/>
  <c r="AO424" i="9" s="1"/>
  <c r="F423" i="9"/>
  <c r="F417" i="8"/>
  <c r="B418" i="8"/>
  <c r="B416" i="6"/>
  <c r="F415" i="6"/>
  <c r="DD422" i="9" l="1"/>
  <c r="DE422" i="9" s="1"/>
  <c r="DC424" i="9"/>
  <c r="DF427" i="9"/>
  <c r="AT443" i="9"/>
  <c r="AG429" i="9"/>
  <c r="AO425" i="9"/>
  <c r="DD423" i="9" s="1"/>
  <c r="DE423" i="9" s="1"/>
  <c r="D424" i="9"/>
  <c r="E424" i="9"/>
  <c r="D418" i="8"/>
  <c r="E418" i="8"/>
  <c r="E416" i="6"/>
  <c r="D416" i="6"/>
  <c r="DF428" i="9" l="1"/>
  <c r="AT444" i="9"/>
  <c r="AG430" i="9"/>
  <c r="DC425" i="9"/>
  <c r="AO426" i="9"/>
  <c r="B425" i="9"/>
  <c r="F424" i="9"/>
  <c r="F418" i="8"/>
  <c r="B419" i="8"/>
  <c r="F416" i="6"/>
  <c r="B417" i="6"/>
  <c r="DC426" i="9" l="1"/>
  <c r="DD424" i="9"/>
  <c r="DE424" i="9" s="1"/>
  <c r="AG431" i="9"/>
  <c r="DF429" i="9"/>
  <c r="AT445" i="9"/>
  <c r="AO427" i="9"/>
  <c r="D425" i="9"/>
  <c r="E425" i="9"/>
  <c r="D419" i="8"/>
  <c r="E419" i="8"/>
  <c r="E417" i="6"/>
  <c r="D417" i="6"/>
  <c r="AG432" i="9" l="1"/>
  <c r="DF430" i="9"/>
  <c r="AT446" i="9"/>
  <c r="DC427" i="9"/>
  <c r="DD425" i="9"/>
  <c r="DE425" i="9" s="1"/>
  <c r="AO428" i="9"/>
  <c r="DD426" i="9" s="1"/>
  <c r="DE426" i="9" s="1"/>
  <c r="F425" i="9"/>
  <c r="B426" i="9"/>
  <c r="F419" i="8"/>
  <c r="B420" i="8"/>
  <c r="F417" i="6"/>
  <c r="B418" i="6"/>
  <c r="AT447" i="9" l="1"/>
  <c r="DF431" i="9"/>
  <c r="DC428" i="9"/>
  <c r="AO429" i="9"/>
  <c r="D426" i="9"/>
  <c r="E426" i="9"/>
  <c r="D420" i="8"/>
  <c r="E420" i="8"/>
  <c r="E418" i="6"/>
  <c r="D418" i="6"/>
  <c r="DC429" i="9" l="1"/>
  <c r="DD427" i="9"/>
  <c r="DE427" i="9" s="1"/>
  <c r="AT448" i="9"/>
  <c r="DF432" i="9"/>
  <c r="AO430" i="9"/>
  <c r="B427" i="9"/>
  <c r="F426" i="9"/>
  <c r="F420" i="8"/>
  <c r="B421" i="8"/>
  <c r="F418" i="6"/>
  <c r="B419" i="6"/>
  <c r="DC430" i="9" l="1"/>
  <c r="DF433" i="9"/>
  <c r="AT449" i="9"/>
  <c r="DD428" i="9"/>
  <c r="DE428" i="9" s="1"/>
  <c r="AO431" i="9"/>
  <c r="D427" i="9"/>
  <c r="E427" i="9"/>
  <c r="E421" i="8"/>
  <c r="D421" i="8"/>
  <c r="F421" i="8" s="1"/>
  <c r="E419" i="6"/>
  <c r="D419" i="6"/>
  <c r="DC431" i="9" l="1"/>
  <c r="DD429" i="9"/>
  <c r="DE429" i="9" s="1"/>
  <c r="AT450" i="9"/>
  <c r="AT451" i="9" s="1"/>
  <c r="AT452" i="9" s="1"/>
  <c r="AT453" i="9" s="1"/>
  <c r="AT454" i="9" s="1"/>
  <c r="AT455" i="9" s="1"/>
  <c r="AT456" i="9" s="1"/>
  <c r="AT457" i="9" s="1"/>
  <c r="AT458" i="9" s="1"/>
  <c r="AT459" i="9" s="1"/>
  <c r="DF434" i="9"/>
  <c r="AO432" i="9"/>
  <c r="DC432" i="9" s="1"/>
  <c r="B428" i="9"/>
  <c r="F427" i="9"/>
  <c r="F419" i="6"/>
  <c r="B420" i="6"/>
  <c r="AT460" i="9" l="1"/>
  <c r="AT461" i="9" s="1"/>
  <c r="AT462" i="9" s="1"/>
  <c r="AT463" i="9" s="1"/>
  <c r="AT464" i="9" s="1"/>
  <c r="AT465" i="9" s="1"/>
  <c r="AT466" i="9" s="1"/>
  <c r="AT467" i="9" s="1"/>
  <c r="AT468" i="9" s="1"/>
  <c r="AT469" i="9" s="1"/>
  <c r="AT470" i="9" s="1"/>
  <c r="AT471" i="9" s="1"/>
  <c r="AT472" i="9" s="1"/>
  <c r="AT473" i="9" s="1"/>
  <c r="AT474" i="9" s="1"/>
  <c r="AT475" i="9" s="1"/>
  <c r="AT476" i="9" s="1"/>
  <c r="AT477" i="9" s="1"/>
  <c r="AT478" i="9" s="1"/>
  <c r="AT479" i="9" s="1"/>
  <c r="AT480" i="9" s="1"/>
  <c r="AT481" i="9" s="1"/>
  <c r="AT482" i="9" s="1"/>
  <c r="DD430" i="9"/>
  <c r="DE430" i="9" s="1"/>
  <c r="AO433" i="9"/>
  <c r="AO434" i="9" s="1"/>
  <c r="AO435" i="9" s="1"/>
  <c r="AO436" i="9" s="1"/>
  <c r="AO437" i="9" s="1"/>
  <c r="AO438" i="9" s="1"/>
  <c r="E428" i="9"/>
  <c r="D428" i="9"/>
  <c r="E420" i="6"/>
  <c r="D420" i="6"/>
  <c r="B429" i="9" l="1"/>
  <c r="F428" i="9"/>
  <c r="F420" i="6"/>
  <c r="B421" i="6"/>
  <c r="D429" i="9" l="1"/>
  <c r="E429" i="9"/>
  <c r="E421" i="6"/>
  <c r="D421" i="6"/>
  <c r="F421" i="6" s="1"/>
  <c r="F429" i="9" l="1"/>
  <c r="B430" i="9"/>
  <c r="D430" i="9" l="1"/>
  <c r="E430" i="9"/>
  <c r="B431" i="9" l="1"/>
  <c r="F430" i="9"/>
  <c r="D431" i="9" l="1"/>
  <c r="E431" i="9"/>
  <c r="B432" i="9" l="1"/>
  <c r="F431" i="9"/>
  <c r="D432" i="9" l="1"/>
  <c r="E432" i="9"/>
  <c r="F432" i="9" l="1"/>
  <c r="B433" i="9"/>
  <c r="AG433" i="9" s="1"/>
  <c r="DC433" i="9" l="1"/>
  <c r="DD431" i="9"/>
  <c r="DE431" i="9" s="1"/>
  <c r="AG434" i="9"/>
  <c r="E433" i="9"/>
  <c r="D433" i="9"/>
  <c r="B434" i="9" l="1"/>
  <c r="AK434" i="9" s="1"/>
  <c r="DD432" i="9" s="1"/>
  <c r="DE432" i="9" s="1"/>
  <c r="F433" i="9"/>
  <c r="DC434" i="9" l="1"/>
  <c r="AK435" i="9"/>
  <c r="AG436" i="9"/>
  <c r="D434" i="9"/>
  <c r="E434" i="9"/>
  <c r="AG437" i="9" l="1"/>
  <c r="B435" i="9"/>
  <c r="AG435" i="9" s="1"/>
  <c r="F434" i="9"/>
  <c r="DC435" i="9" l="1"/>
  <c r="DD433" i="9"/>
  <c r="DE433" i="9" s="1"/>
  <c r="DC436" i="9"/>
  <c r="AG438" i="9"/>
  <c r="D435" i="9"/>
  <c r="E435" i="9"/>
  <c r="AG439" i="9" l="1"/>
  <c r="B436" i="9"/>
  <c r="AK436" i="9" s="1"/>
  <c r="F435" i="9"/>
  <c r="DD434" i="9" l="1"/>
  <c r="DE434" i="9" s="1"/>
  <c r="AK437" i="9"/>
  <c r="AG440" i="9"/>
  <c r="D436" i="9"/>
  <c r="E436" i="9"/>
  <c r="DC437" i="9" l="1"/>
  <c r="DD435" i="9"/>
  <c r="DE435" i="9" s="1"/>
  <c r="AK438" i="9"/>
  <c r="AG441" i="9"/>
  <c r="F436" i="9"/>
  <c r="B437" i="9"/>
  <c r="DC438" i="9" l="1"/>
  <c r="DD436" i="9"/>
  <c r="DE436" i="9" s="1"/>
  <c r="AG442" i="9"/>
  <c r="D437" i="9"/>
  <c r="E437" i="9"/>
  <c r="AG443" i="9" l="1"/>
  <c r="F437" i="9"/>
  <c r="B438" i="9"/>
  <c r="AG444" i="9" l="1"/>
  <c r="D438" i="9"/>
  <c r="E438" i="9"/>
  <c r="AG445" i="9" l="1"/>
  <c r="B439" i="9"/>
  <c r="F438" i="9"/>
  <c r="AK439" i="9" l="1"/>
  <c r="AO439" i="9"/>
  <c r="AG446" i="9"/>
  <c r="D439" i="9"/>
  <c r="E439" i="9"/>
  <c r="DC439" i="9" l="1"/>
  <c r="DD437" i="9"/>
  <c r="DE437" i="9" s="1"/>
  <c r="AG447" i="9"/>
  <c r="F439" i="9"/>
  <c r="B440" i="9"/>
  <c r="AK440" i="9" l="1"/>
  <c r="AL440" i="9"/>
  <c r="AL441" i="9" s="1"/>
  <c r="AL442" i="9" s="1"/>
  <c r="AL443" i="9" s="1"/>
  <c r="AL444" i="9" s="1"/>
  <c r="AL445" i="9" s="1"/>
  <c r="AL446" i="9" s="1"/>
  <c r="AL447" i="9" s="1"/>
  <c r="AL448" i="9" s="1"/>
  <c r="AL449" i="9" s="1"/>
  <c r="AL450" i="9" s="1"/>
  <c r="AL451" i="9" s="1"/>
  <c r="AL452" i="9" s="1"/>
  <c r="AL453" i="9" s="1"/>
  <c r="AL454" i="9" s="1"/>
  <c r="AL455" i="9" s="1"/>
  <c r="AJ440" i="9"/>
  <c r="AJ441" i="9" s="1"/>
  <c r="AO440" i="9"/>
  <c r="AO441" i="9" s="1"/>
  <c r="AO442" i="9" s="1"/>
  <c r="AO443" i="9" s="1"/>
  <c r="AO444" i="9" s="1"/>
  <c r="AO445" i="9" s="1"/>
  <c r="AO446" i="9" s="1"/>
  <c r="AO447" i="9" s="1"/>
  <c r="AO448" i="9" s="1"/>
  <c r="AO449" i="9" s="1"/>
  <c r="AO450" i="9" s="1"/>
  <c r="AO451" i="9" s="1"/>
  <c r="AO452" i="9" s="1"/>
  <c r="AO453" i="9" s="1"/>
  <c r="AO454" i="9" s="1"/>
  <c r="AG448" i="9"/>
  <c r="D440" i="9"/>
  <c r="E440" i="9"/>
  <c r="AK441" i="9" l="1"/>
  <c r="DC440" i="9"/>
  <c r="DD439" i="9"/>
  <c r="DE439" i="9" s="1"/>
  <c r="DD438" i="9"/>
  <c r="DE438" i="9" s="1"/>
  <c r="AL456" i="9"/>
  <c r="AL457" i="9" s="1"/>
  <c r="AL458" i="9" s="1"/>
  <c r="AL459" i="9" s="1"/>
  <c r="AL460" i="9" s="1"/>
  <c r="AL461" i="9" s="1"/>
  <c r="AL462" i="9" s="1"/>
  <c r="AL463" i="9" s="1"/>
  <c r="AL464" i="9" s="1"/>
  <c r="AL465" i="9" s="1"/>
  <c r="AL466" i="9" s="1"/>
  <c r="AL467" i="9" s="1"/>
  <c r="AL468" i="9" s="1"/>
  <c r="AL469" i="9" s="1"/>
  <c r="AL470" i="9" s="1"/>
  <c r="AL471" i="9" s="1"/>
  <c r="AL472" i="9" s="1"/>
  <c r="AL473" i="9" s="1"/>
  <c r="AL474" i="9" s="1"/>
  <c r="AL475" i="9" s="1"/>
  <c r="AL476" i="9" s="1"/>
  <c r="AL477" i="9" s="1"/>
  <c r="AL478" i="9" s="1"/>
  <c r="AL479" i="9" s="1"/>
  <c r="AL480" i="9" s="1"/>
  <c r="AL481" i="9" s="1"/>
  <c r="AL482" i="9" s="1"/>
  <c r="AL483" i="9" s="1"/>
  <c r="AL484" i="9" s="1"/>
  <c r="AL485" i="9" s="1"/>
  <c r="AL486" i="9" s="1"/>
  <c r="AL487" i="9" s="1"/>
  <c r="AL488" i="9" s="1"/>
  <c r="AL489" i="9" s="1"/>
  <c r="AL490" i="9" s="1"/>
  <c r="AL491" i="9" s="1"/>
  <c r="AL492" i="9" s="1"/>
  <c r="AL493" i="9" s="1"/>
  <c r="AL494" i="9" s="1"/>
  <c r="AL495" i="9" s="1"/>
  <c r="AL496" i="9" s="1"/>
  <c r="AL497" i="9" s="1"/>
  <c r="AL498" i="9" s="1"/>
  <c r="AL499" i="9" s="1"/>
  <c r="AL500" i="9" s="1"/>
  <c r="AL501" i="9" s="1"/>
  <c r="AL502" i="9" s="1"/>
  <c r="AL503" i="9" s="1"/>
  <c r="AL504" i="9" s="1"/>
  <c r="AL505" i="9" s="1"/>
  <c r="AL506" i="9" s="1"/>
  <c r="AL507" i="9" s="1"/>
  <c r="AL508" i="9" s="1"/>
  <c r="AL509" i="9" s="1"/>
  <c r="AL510" i="9" s="1"/>
  <c r="AL511" i="9" s="1"/>
  <c r="AL512" i="9" s="1"/>
  <c r="AL513" i="9" s="1"/>
  <c r="AL514" i="9" s="1"/>
  <c r="AL515" i="9" s="1"/>
  <c r="AL516" i="9" s="1"/>
  <c r="AL517" i="9" s="1"/>
  <c r="AL518" i="9" s="1"/>
  <c r="AL519" i="9" s="1"/>
  <c r="AL520" i="9" s="1"/>
  <c r="AL521" i="9" s="1"/>
  <c r="AL522" i="9" s="1"/>
  <c r="AL523" i="9" s="1"/>
  <c r="AL524" i="9" s="1"/>
  <c r="AL525" i="9" s="1"/>
  <c r="AL526" i="9" s="1"/>
  <c r="AL527" i="9" s="1"/>
  <c r="AL528" i="9" s="1"/>
  <c r="AL529" i="9" s="1"/>
  <c r="AL530" i="9" s="1"/>
  <c r="AL531" i="9" s="1"/>
  <c r="AL532" i="9" s="1"/>
  <c r="AL533" i="9" s="1"/>
  <c r="AL534" i="9" s="1"/>
  <c r="AL535" i="9" s="1"/>
  <c r="AL536" i="9" s="1"/>
  <c r="AL537" i="9" s="1"/>
  <c r="AL538" i="9" s="1"/>
  <c r="AL539" i="9" s="1"/>
  <c r="AL540" i="9" s="1"/>
  <c r="AL541" i="9" s="1"/>
  <c r="AL542" i="9" s="1"/>
  <c r="AL543" i="9" s="1"/>
  <c r="AL544" i="9" s="1"/>
  <c r="AL545" i="9" s="1"/>
  <c r="AL546" i="9" s="1"/>
  <c r="AL547" i="9" s="1"/>
  <c r="AL548" i="9" s="1"/>
  <c r="AL549" i="9" s="1"/>
  <c r="AL550" i="9" s="1"/>
  <c r="AL551" i="9" s="1"/>
  <c r="AL552" i="9" s="1"/>
  <c r="AL553" i="9" s="1"/>
  <c r="AL554" i="9" s="1"/>
  <c r="AL555" i="9" s="1"/>
  <c r="AL556" i="9" s="1"/>
  <c r="AL557" i="9" s="1"/>
  <c r="AL558" i="9" s="1"/>
  <c r="AL559" i="9" s="1"/>
  <c r="AL560" i="9" s="1"/>
  <c r="AL561" i="9" s="1"/>
  <c r="AL562" i="9" s="1"/>
  <c r="AL563" i="9" s="1"/>
  <c r="AL564" i="9" s="1"/>
  <c r="AL565" i="9" s="1"/>
  <c r="AL566" i="9" s="1"/>
  <c r="AL567" i="9" s="1"/>
  <c r="AL568" i="9" s="1"/>
  <c r="AL569" i="9" s="1"/>
  <c r="AL570" i="9" s="1"/>
  <c r="AL571" i="9" s="1"/>
  <c r="AL572" i="9" s="1"/>
  <c r="AL573" i="9" s="1"/>
  <c r="AL574" i="9" s="1"/>
  <c r="AL575" i="9" s="1"/>
  <c r="AL576" i="9" s="1"/>
  <c r="AL577" i="9" s="1"/>
  <c r="AL578" i="9" s="1"/>
  <c r="AL579" i="9" s="1"/>
  <c r="AL580" i="9" s="1"/>
  <c r="AL581" i="9" s="1"/>
  <c r="AL582" i="9" s="1"/>
  <c r="AL583" i="9" s="1"/>
  <c r="AL584" i="9" s="1"/>
  <c r="AL585" i="9" s="1"/>
  <c r="AL586" i="9" s="1"/>
  <c r="AL587" i="9" s="1"/>
  <c r="AL588" i="9" s="1"/>
  <c r="AL589" i="9" s="1"/>
  <c r="AL590" i="9" s="1"/>
  <c r="AL591" i="9" s="1"/>
  <c r="AL592" i="9" s="1"/>
  <c r="AL593" i="9" s="1"/>
  <c r="AL594" i="9" s="1"/>
  <c r="AL595" i="9" s="1"/>
  <c r="AL596" i="9" s="1"/>
  <c r="AL597" i="9" s="1"/>
  <c r="AL598" i="9" s="1"/>
  <c r="AL599" i="9" s="1"/>
  <c r="AL600" i="9" s="1"/>
  <c r="AL601" i="9" s="1"/>
  <c r="AL602" i="9" s="1"/>
  <c r="AL603" i="9" s="1"/>
  <c r="AL604" i="9" s="1"/>
  <c r="AL605" i="9" s="1"/>
  <c r="AL606" i="9" s="1"/>
  <c r="AL607" i="9" s="1"/>
  <c r="AL608" i="9" s="1"/>
  <c r="AL609" i="9" s="1"/>
  <c r="AL610" i="9" s="1"/>
  <c r="AL611" i="9" s="1"/>
  <c r="AL612" i="9" s="1"/>
  <c r="AL613" i="9" s="1"/>
  <c r="AL614" i="9" s="1"/>
  <c r="AL615" i="9" s="1"/>
  <c r="AL616" i="9" s="1"/>
  <c r="AL617" i="9" s="1"/>
  <c r="AL618" i="9" s="1"/>
  <c r="AL619" i="9" s="1"/>
  <c r="AL620" i="9" s="1"/>
  <c r="AL621" i="9" s="1"/>
  <c r="AL622" i="9" s="1"/>
  <c r="AL623" i="9" s="1"/>
  <c r="AL624" i="9" s="1"/>
  <c r="AL625" i="9" s="1"/>
  <c r="AL626" i="9" s="1"/>
  <c r="AL627" i="9" s="1"/>
  <c r="AL628" i="9" s="1"/>
  <c r="AL629" i="9" s="1"/>
  <c r="AL630" i="9" s="1"/>
  <c r="AL631" i="9" s="1"/>
  <c r="AL632" i="9" s="1"/>
  <c r="AL633" i="9" s="1"/>
  <c r="AL634" i="9" s="1"/>
  <c r="AL635" i="9" s="1"/>
  <c r="AL636" i="9" s="1"/>
  <c r="AL637" i="9" s="1"/>
  <c r="AL638" i="9" s="1"/>
  <c r="AL639" i="9" s="1"/>
  <c r="AL640" i="9" s="1"/>
  <c r="AL641" i="9" s="1"/>
  <c r="AL642" i="9" s="1"/>
  <c r="AL643" i="9" s="1"/>
  <c r="AL644" i="9" s="1"/>
  <c r="AL645" i="9" s="1"/>
  <c r="AL646" i="9" s="1"/>
  <c r="AL647" i="9" s="1"/>
  <c r="AL648" i="9" s="1"/>
  <c r="AL649" i="9" s="1"/>
  <c r="AL650" i="9" s="1"/>
  <c r="AL651" i="9" s="1"/>
  <c r="AL652" i="9" s="1"/>
  <c r="AL653" i="9" s="1"/>
  <c r="AL654" i="9" s="1"/>
  <c r="AL655" i="9" s="1"/>
  <c r="AL656" i="9" s="1"/>
  <c r="AL657" i="9" s="1"/>
  <c r="AL658" i="9" s="1"/>
  <c r="AL659" i="9" s="1"/>
  <c r="AL660" i="9" s="1"/>
  <c r="AL661" i="9" s="1"/>
  <c r="AL662" i="9" s="1"/>
  <c r="AL663" i="9" s="1"/>
  <c r="AL664" i="9" s="1"/>
  <c r="AL665" i="9" s="1"/>
  <c r="AL666" i="9" s="1"/>
  <c r="AL667" i="9" s="1"/>
  <c r="AL668" i="9" s="1"/>
  <c r="AL669" i="9" s="1"/>
  <c r="AL670" i="9" s="1"/>
  <c r="AL671" i="9" s="1"/>
  <c r="AL672" i="9" s="1"/>
  <c r="AL673" i="9" s="1"/>
  <c r="AL674" i="9" s="1"/>
  <c r="AL675" i="9" s="1"/>
  <c r="AL676" i="9" s="1"/>
  <c r="AL677" i="9" s="1"/>
  <c r="AL678" i="9" s="1"/>
  <c r="AL679" i="9" s="1"/>
  <c r="AL680" i="9" s="1"/>
  <c r="AL681" i="9" s="1"/>
  <c r="AL682" i="9" s="1"/>
  <c r="AL683" i="9" s="1"/>
  <c r="AL684" i="9" s="1"/>
  <c r="AL685" i="9" s="1"/>
  <c r="BA455" i="9"/>
  <c r="BA456" i="9" s="1"/>
  <c r="BA457" i="9" s="1"/>
  <c r="BA458" i="9" s="1"/>
  <c r="BA459" i="9" s="1"/>
  <c r="BA460" i="9" s="1"/>
  <c r="BA461" i="9" s="1"/>
  <c r="BA462" i="9" s="1"/>
  <c r="BA463" i="9" s="1"/>
  <c r="BA464" i="9" s="1"/>
  <c r="BA465" i="9" s="1"/>
  <c r="BA466" i="9" s="1"/>
  <c r="BA467" i="9" s="1"/>
  <c r="BA468" i="9" s="1"/>
  <c r="BA469" i="9" s="1"/>
  <c r="BA470" i="9" s="1"/>
  <c r="BA471" i="9" s="1"/>
  <c r="BA472" i="9" s="1"/>
  <c r="BA473" i="9" s="1"/>
  <c r="BA474" i="9" s="1"/>
  <c r="BA475" i="9" s="1"/>
  <c r="BA476" i="9" s="1"/>
  <c r="BA477" i="9" s="1"/>
  <c r="BA478" i="9" s="1"/>
  <c r="BA479" i="9" s="1"/>
  <c r="BA480" i="9" s="1"/>
  <c r="BA481" i="9" s="1"/>
  <c r="BA482" i="9" s="1"/>
  <c r="BA483" i="9" s="1"/>
  <c r="BA484" i="9" s="1"/>
  <c r="BA485" i="9" s="1"/>
  <c r="BA486" i="9" s="1"/>
  <c r="BA487" i="9" s="1"/>
  <c r="BA488" i="9" s="1"/>
  <c r="BA489" i="9" s="1"/>
  <c r="BA490" i="9" s="1"/>
  <c r="BA491" i="9" s="1"/>
  <c r="BA492" i="9" s="1"/>
  <c r="BA493" i="9" s="1"/>
  <c r="BA494" i="9" s="1"/>
  <c r="BA495" i="9" s="1"/>
  <c r="BA496" i="9" s="1"/>
  <c r="BA497" i="9" s="1"/>
  <c r="BA498" i="9" s="1"/>
  <c r="BA499" i="9" s="1"/>
  <c r="BA500" i="9" s="1"/>
  <c r="BA501" i="9" s="1"/>
  <c r="BA502" i="9" s="1"/>
  <c r="BA503" i="9" s="1"/>
  <c r="BA504" i="9" s="1"/>
  <c r="BA505" i="9" s="1"/>
  <c r="BA506" i="9" s="1"/>
  <c r="BA507" i="9" s="1"/>
  <c r="BA508" i="9" s="1"/>
  <c r="BA509" i="9" s="1"/>
  <c r="BA510" i="9" s="1"/>
  <c r="BA511" i="9" s="1"/>
  <c r="BA512" i="9" s="1"/>
  <c r="BA513" i="9" s="1"/>
  <c r="BA514" i="9" s="1"/>
  <c r="BA515" i="9" s="1"/>
  <c r="BA516" i="9" s="1"/>
  <c r="BA517" i="9" s="1"/>
  <c r="BA518" i="9" s="1"/>
  <c r="BA519" i="9" s="1"/>
  <c r="BA520" i="9" s="1"/>
  <c r="BA521" i="9" s="1"/>
  <c r="BA522" i="9" s="1"/>
  <c r="BA523" i="9" s="1"/>
  <c r="BA524" i="9" s="1"/>
  <c r="BA525" i="9" s="1"/>
  <c r="BA526" i="9" s="1"/>
  <c r="BA527" i="9" s="1"/>
  <c r="BA528" i="9" s="1"/>
  <c r="BA529" i="9" s="1"/>
  <c r="BA530" i="9" s="1"/>
  <c r="BA531" i="9" s="1"/>
  <c r="BA532" i="9" s="1"/>
  <c r="BA533" i="9" s="1"/>
  <c r="BA534" i="9" s="1"/>
  <c r="BA535" i="9" s="1"/>
  <c r="BA536" i="9" s="1"/>
  <c r="BA537" i="9" s="1"/>
  <c r="BA538" i="9" s="1"/>
  <c r="BA539" i="9" s="1"/>
  <c r="BA540" i="9" s="1"/>
  <c r="BA541" i="9" s="1"/>
  <c r="BA542" i="9" s="1"/>
  <c r="BA543" i="9" s="1"/>
  <c r="BA544" i="9" s="1"/>
  <c r="BA545" i="9" s="1"/>
  <c r="BA546" i="9" s="1"/>
  <c r="BA547" i="9" s="1"/>
  <c r="BA548" i="9" s="1"/>
  <c r="BA549" i="9" s="1"/>
  <c r="BA550" i="9" s="1"/>
  <c r="BA551" i="9" s="1"/>
  <c r="BA552" i="9" s="1"/>
  <c r="BA553" i="9" s="1"/>
  <c r="BA554" i="9" s="1"/>
  <c r="BA555" i="9" s="1"/>
  <c r="BA556" i="9" s="1"/>
  <c r="BA557" i="9" s="1"/>
  <c r="BA558" i="9" s="1"/>
  <c r="BA559" i="9" s="1"/>
  <c r="BA560" i="9" s="1"/>
  <c r="BA561" i="9" s="1"/>
  <c r="BA562" i="9" s="1"/>
  <c r="BA563" i="9" s="1"/>
  <c r="BA564" i="9" s="1"/>
  <c r="BA565" i="9" s="1"/>
  <c r="BA566" i="9" s="1"/>
  <c r="BA567" i="9" s="1"/>
  <c r="BA568" i="9" s="1"/>
  <c r="BA569" i="9" s="1"/>
  <c r="BA570" i="9" s="1"/>
  <c r="BA571" i="9" s="1"/>
  <c r="BA572" i="9" s="1"/>
  <c r="BA573" i="9" s="1"/>
  <c r="BA574" i="9" s="1"/>
  <c r="BA575" i="9" s="1"/>
  <c r="BA576" i="9" s="1"/>
  <c r="BA577" i="9" s="1"/>
  <c r="BA578" i="9" s="1"/>
  <c r="BA579" i="9" s="1"/>
  <c r="BA580" i="9" s="1"/>
  <c r="BA581" i="9" s="1"/>
  <c r="BA582" i="9" s="1"/>
  <c r="BA583" i="9" s="1"/>
  <c r="BA584" i="9" s="1"/>
  <c r="BA585" i="9" s="1"/>
  <c r="BA586" i="9" s="1"/>
  <c r="BA587" i="9" s="1"/>
  <c r="BA588" i="9" s="1"/>
  <c r="BA589" i="9" s="1"/>
  <c r="BA590" i="9" s="1"/>
  <c r="BA591" i="9" s="1"/>
  <c r="BA592" i="9" s="1"/>
  <c r="BA593" i="9" s="1"/>
  <c r="BA594" i="9" s="1"/>
  <c r="BA595" i="9" s="1"/>
  <c r="BA596" i="9" s="1"/>
  <c r="BA597" i="9" s="1"/>
  <c r="BA598" i="9" s="1"/>
  <c r="BA599" i="9" s="1"/>
  <c r="BA600" i="9" s="1"/>
  <c r="BA601" i="9" s="1"/>
  <c r="BA602" i="9" s="1"/>
  <c r="BA603" i="9" s="1"/>
  <c r="BA604" i="9" s="1"/>
  <c r="BA605" i="9" s="1"/>
  <c r="BA606" i="9" s="1"/>
  <c r="BA607" i="9" s="1"/>
  <c r="BA608" i="9" s="1"/>
  <c r="BA609" i="9" s="1"/>
  <c r="BA610" i="9" s="1"/>
  <c r="BA611" i="9" s="1"/>
  <c r="BA612" i="9" s="1"/>
  <c r="BA613" i="9" s="1"/>
  <c r="BA614" i="9" s="1"/>
  <c r="BA615" i="9" s="1"/>
  <c r="BA616" i="9" s="1"/>
  <c r="BA617" i="9" s="1"/>
  <c r="BA618" i="9" s="1"/>
  <c r="BA619" i="9" s="1"/>
  <c r="BA620" i="9" s="1"/>
  <c r="BA621" i="9" s="1"/>
  <c r="BA622" i="9" s="1"/>
  <c r="BA623" i="9" s="1"/>
  <c r="BA624" i="9" s="1"/>
  <c r="BA625" i="9" s="1"/>
  <c r="BA626" i="9" s="1"/>
  <c r="BA627" i="9" s="1"/>
  <c r="BA628" i="9" s="1"/>
  <c r="BA629" i="9" s="1"/>
  <c r="BA630" i="9" s="1"/>
  <c r="BA631" i="9" s="1"/>
  <c r="BA632" i="9" s="1"/>
  <c r="BA633" i="9" s="1"/>
  <c r="BA634" i="9" s="1"/>
  <c r="BA635" i="9" s="1"/>
  <c r="BA636" i="9" s="1"/>
  <c r="BA637" i="9" s="1"/>
  <c r="BA638" i="9" s="1"/>
  <c r="BA639" i="9" s="1"/>
  <c r="BA640" i="9" s="1"/>
  <c r="BA641" i="9" s="1"/>
  <c r="BA642" i="9" s="1"/>
  <c r="BA643" i="9" s="1"/>
  <c r="BA644" i="9" s="1"/>
  <c r="BA645" i="9" s="1"/>
  <c r="BA646" i="9" s="1"/>
  <c r="BA647" i="9" s="1"/>
  <c r="BA648" i="9" s="1"/>
  <c r="BA649" i="9" s="1"/>
  <c r="BA650" i="9" s="1"/>
  <c r="BA651" i="9" s="1"/>
  <c r="BA652" i="9" s="1"/>
  <c r="BA653" i="9" s="1"/>
  <c r="BA654" i="9" s="1"/>
  <c r="BA655" i="9" s="1"/>
  <c r="BA656" i="9" s="1"/>
  <c r="BA657" i="9" s="1"/>
  <c r="BA658" i="9" s="1"/>
  <c r="BA659" i="9" s="1"/>
  <c r="BA660" i="9" s="1"/>
  <c r="BA661" i="9" s="1"/>
  <c r="BA662" i="9" s="1"/>
  <c r="BA663" i="9" s="1"/>
  <c r="BA664" i="9" s="1"/>
  <c r="BA665" i="9" s="1"/>
  <c r="BA666" i="9" s="1"/>
  <c r="BA667" i="9" s="1"/>
  <c r="BA668" i="9" s="1"/>
  <c r="BA669" i="9" s="1"/>
  <c r="BA670" i="9" s="1"/>
  <c r="BA671" i="9" s="1"/>
  <c r="BA672" i="9" s="1"/>
  <c r="BA673" i="9" s="1"/>
  <c r="BA674" i="9" s="1"/>
  <c r="BA675" i="9" s="1"/>
  <c r="BA676" i="9" s="1"/>
  <c r="BA677" i="9" s="1"/>
  <c r="BA678" i="9" s="1"/>
  <c r="BA679" i="9" s="1"/>
  <c r="BA680" i="9" s="1"/>
  <c r="BA681" i="9" s="1"/>
  <c r="BA682" i="9" s="1"/>
  <c r="BA683" i="9" s="1"/>
  <c r="BA684" i="9" s="1"/>
  <c r="BA685" i="9" s="1"/>
  <c r="AO455" i="9"/>
  <c r="AO456" i="9" s="1"/>
  <c r="AO457" i="9" s="1"/>
  <c r="AO458" i="9" s="1"/>
  <c r="BD454" i="9"/>
  <c r="BD455" i="9" s="1"/>
  <c r="BD456" i="9" s="1"/>
  <c r="BD457" i="9" s="1"/>
  <c r="BD458" i="9" s="1"/>
  <c r="BD459" i="9" s="1"/>
  <c r="BD460" i="9" s="1"/>
  <c r="BD461" i="9" s="1"/>
  <c r="BD462" i="9" s="1"/>
  <c r="BD463" i="9" s="1"/>
  <c r="BD464" i="9" s="1"/>
  <c r="BD465" i="9" s="1"/>
  <c r="BD466" i="9" s="1"/>
  <c r="BD467" i="9" s="1"/>
  <c r="BD468" i="9" s="1"/>
  <c r="BD469" i="9" s="1"/>
  <c r="BD470" i="9" s="1"/>
  <c r="BD471" i="9" s="1"/>
  <c r="BD472" i="9" s="1"/>
  <c r="BD473" i="9" s="1"/>
  <c r="BD474" i="9" s="1"/>
  <c r="BD475" i="9" s="1"/>
  <c r="BD476" i="9" s="1"/>
  <c r="BD477" i="9" s="1"/>
  <c r="BD478" i="9" s="1"/>
  <c r="BD479" i="9" s="1"/>
  <c r="BD480" i="9" s="1"/>
  <c r="BD481" i="9" s="1"/>
  <c r="BD482" i="9" s="1"/>
  <c r="BD483" i="9" s="1"/>
  <c r="BD484" i="9" s="1"/>
  <c r="BD485" i="9" s="1"/>
  <c r="BD486" i="9" s="1"/>
  <c r="BD487" i="9" s="1"/>
  <c r="BD488" i="9" s="1"/>
  <c r="BD489" i="9" s="1"/>
  <c r="BD490" i="9" s="1"/>
  <c r="BD491" i="9" s="1"/>
  <c r="BD492" i="9" s="1"/>
  <c r="BD493" i="9" s="1"/>
  <c r="BD494" i="9" s="1"/>
  <c r="BD495" i="9" s="1"/>
  <c r="BD496" i="9" s="1"/>
  <c r="BD497" i="9" s="1"/>
  <c r="BD498" i="9" s="1"/>
  <c r="BD499" i="9" s="1"/>
  <c r="BD500" i="9" s="1"/>
  <c r="BD501" i="9" s="1"/>
  <c r="BD502" i="9" s="1"/>
  <c r="BD503" i="9" s="1"/>
  <c r="BD504" i="9" s="1"/>
  <c r="BD505" i="9" s="1"/>
  <c r="BD506" i="9" s="1"/>
  <c r="BD507" i="9" s="1"/>
  <c r="BD508" i="9" s="1"/>
  <c r="BD509" i="9" s="1"/>
  <c r="BD510" i="9" s="1"/>
  <c r="BD511" i="9" s="1"/>
  <c r="BD512" i="9" s="1"/>
  <c r="BD513" i="9" s="1"/>
  <c r="BD514" i="9" s="1"/>
  <c r="BD515" i="9" s="1"/>
  <c r="BD516" i="9" s="1"/>
  <c r="BD517" i="9" s="1"/>
  <c r="BD518" i="9" s="1"/>
  <c r="BD519" i="9" s="1"/>
  <c r="BD520" i="9" s="1"/>
  <c r="BD521" i="9" s="1"/>
  <c r="BD522" i="9" s="1"/>
  <c r="BD523" i="9" s="1"/>
  <c r="BD524" i="9" s="1"/>
  <c r="BD525" i="9" s="1"/>
  <c r="BD526" i="9" s="1"/>
  <c r="BD527" i="9" s="1"/>
  <c r="BD528" i="9" s="1"/>
  <c r="BD529" i="9" s="1"/>
  <c r="BD530" i="9" s="1"/>
  <c r="BD531" i="9" s="1"/>
  <c r="BD532" i="9" s="1"/>
  <c r="BD533" i="9" s="1"/>
  <c r="BD534" i="9" s="1"/>
  <c r="BD535" i="9" s="1"/>
  <c r="BD536" i="9" s="1"/>
  <c r="BD537" i="9" s="1"/>
  <c r="BD538" i="9" s="1"/>
  <c r="BD539" i="9" s="1"/>
  <c r="BD540" i="9" s="1"/>
  <c r="BD541" i="9" s="1"/>
  <c r="BD542" i="9" s="1"/>
  <c r="BD543" i="9" s="1"/>
  <c r="BD544" i="9" s="1"/>
  <c r="BD545" i="9" s="1"/>
  <c r="BD546" i="9" s="1"/>
  <c r="BD547" i="9" s="1"/>
  <c r="BD548" i="9" s="1"/>
  <c r="BD549" i="9" s="1"/>
  <c r="BD550" i="9" s="1"/>
  <c r="BD551" i="9" s="1"/>
  <c r="BD552" i="9" s="1"/>
  <c r="BD553" i="9" s="1"/>
  <c r="BD554" i="9" s="1"/>
  <c r="BD555" i="9" s="1"/>
  <c r="BD556" i="9" s="1"/>
  <c r="BD557" i="9" s="1"/>
  <c r="BD558" i="9" s="1"/>
  <c r="BD559" i="9" s="1"/>
  <c r="BD560" i="9" s="1"/>
  <c r="BD561" i="9" s="1"/>
  <c r="BD562" i="9" s="1"/>
  <c r="BD563" i="9" s="1"/>
  <c r="BD564" i="9" s="1"/>
  <c r="BD565" i="9" s="1"/>
  <c r="BD566" i="9" s="1"/>
  <c r="BD567" i="9" s="1"/>
  <c r="BD568" i="9" s="1"/>
  <c r="BD569" i="9" s="1"/>
  <c r="BD570" i="9" s="1"/>
  <c r="BD571" i="9" s="1"/>
  <c r="BD572" i="9" s="1"/>
  <c r="BD573" i="9" s="1"/>
  <c r="BD574" i="9" s="1"/>
  <c r="BD575" i="9" s="1"/>
  <c r="BD576" i="9" s="1"/>
  <c r="BD577" i="9" s="1"/>
  <c r="BD578" i="9" s="1"/>
  <c r="BD579" i="9" s="1"/>
  <c r="BD580" i="9" s="1"/>
  <c r="BD581" i="9" s="1"/>
  <c r="BD582" i="9" s="1"/>
  <c r="BD583" i="9" s="1"/>
  <c r="BD584" i="9" s="1"/>
  <c r="BD585" i="9" s="1"/>
  <c r="BD586" i="9" s="1"/>
  <c r="BD587" i="9" s="1"/>
  <c r="BD588" i="9" s="1"/>
  <c r="BD589" i="9" s="1"/>
  <c r="BD590" i="9" s="1"/>
  <c r="BD591" i="9" s="1"/>
  <c r="BD592" i="9" s="1"/>
  <c r="BD593" i="9" s="1"/>
  <c r="BD594" i="9" s="1"/>
  <c r="BD595" i="9" s="1"/>
  <c r="BD596" i="9" s="1"/>
  <c r="BD597" i="9" s="1"/>
  <c r="BD598" i="9" s="1"/>
  <c r="BD599" i="9" s="1"/>
  <c r="BD600" i="9" s="1"/>
  <c r="BD601" i="9" s="1"/>
  <c r="BD602" i="9" s="1"/>
  <c r="BD603" i="9" s="1"/>
  <c r="BD604" i="9" s="1"/>
  <c r="BD605" i="9" s="1"/>
  <c r="BD606" i="9" s="1"/>
  <c r="BD607" i="9" s="1"/>
  <c r="BD608" i="9" s="1"/>
  <c r="BD609" i="9" s="1"/>
  <c r="BD610" i="9" s="1"/>
  <c r="BD611" i="9" s="1"/>
  <c r="BD612" i="9" s="1"/>
  <c r="BD613" i="9" s="1"/>
  <c r="BD614" i="9" s="1"/>
  <c r="BD615" i="9" s="1"/>
  <c r="BD616" i="9" s="1"/>
  <c r="BD617" i="9" s="1"/>
  <c r="BD618" i="9" s="1"/>
  <c r="BD619" i="9" s="1"/>
  <c r="BD620" i="9" s="1"/>
  <c r="BD621" i="9" s="1"/>
  <c r="BD622" i="9" s="1"/>
  <c r="BD623" i="9" s="1"/>
  <c r="BD624" i="9" s="1"/>
  <c r="BD625" i="9" s="1"/>
  <c r="BD626" i="9" s="1"/>
  <c r="BD627" i="9" s="1"/>
  <c r="BD628" i="9" s="1"/>
  <c r="BD629" i="9" s="1"/>
  <c r="BD630" i="9" s="1"/>
  <c r="BD631" i="9" s="1"/>
  <c r="BD632" i="9" s="1"/>
  <c r="BD633" i="9" s="1"/>
  <c r="BD634" i="9" s="1"/>
  <c r="BD635" i="9" s="1"/>
  <c r="BD636" i="9" s="1"/>
  <c r="BD637" i="9" s="1"/>
  <c r="BD638" i="9" s="1"/>
  <c r="BD639" i="9" s="1"/>
  <c r="BD640" i="9" s="1"/>
  <c r="BD641" i="9" s="1"/>
  <c r="BD642" i="9" s="1"/>
  <c r="BD643" i="9" s="1"/>
  <c r="BD644" i="9" s="1"/>
  <c r="BD645" i="9" s="1"/>
  <c r="BD646" i="9" s="1"/>
  <c r="BD647" i="9" s="1"/>
  <c r="BD648" i="9" s="1"/>
  <c r="BD649" i="9" s="1"/>
  <c r="BD650" i="9" s="1"/>
  <c r="BD651" i="9" s="1"/>
  <c r="BD652" i="9" s="1"/>
  <c r="BD653" i="9" s="1"/>
  <c r="BD654" i="9" s="1"/>
  <c r="BD655" i="9" s="1"/>
  <c r="BD656" i="9" s="1"/>
  <c r="BD657" i="9" s="1"/>
  <c r="BD658" i="9" s="1"/>
  <c r="BD659" i="9" s="1"/>
  <c r="BD660" i="9" s="1"/>
  <c r="BD661" i="9" s="1"/>
  <c r="BD662" i="9" s="1"/>
  <c r="BD663" i="9" s="1"/>
  <c r="BD664" i="9" s="1"/>
  <c r="BD665" i="9" s="1"/>
  <c r="BD666" i="9" s="1"/>
  <c r="BD667" i="9" s="1"/>
  <c r="BD668" i="9" s="1"/>
  <c r="BD669" i="9" s="1"/>
  <c r="BD670" i="9" s="1"/>
  <c r="BD671" i="9" s="1"/>
  <c r="BD672" i="9" s="1"/>
  <c r="BD673" i="9" s="1"/>
  <c r="BD674" i="9" s="1"/>
  <c r="BD675" i="9" s="1"/>
  <c r="BD676" i="9" s="1"/>
  <c r="BD677" i="9" s="1"/>
  <c r="BD678" i="9" s="1"/>
  <c r="BD679" i="9" s="1"/>
  <c r="BD680" i="9" s="1"/>
  <c r="BD681" i="9" s="1"/>
  <c r="BD682" i="9" s="1"/>
  <c r="BD683" i="9" s="1"/>
  <c r="BD684" i="9" s="1"/>
  <c r="BD685" i="9" s="1"/>
  <c r="AG449" i="9"/>
  <c r="AJ442" i="9"/>
  <c r="B441" i="9"/>
  <c r="F440" i="9"/>
  <c r="AK442" i="9" l="1"/>
  <c r="DC441" i="9"/>
  <c r="DD440" i="9"/>
  <c r="DE440" i="9" s="1"/>
  <c r="AJ443" i="9"/>
  <c r="AG450" i="9"/>
  <c r="E441" i="9"/>
  <c r="D441" i="9"/>
  <c r="AV450" i="9" l="1"/>
  <c r="DF435" i="9" s="1"/>
  <c r="AK443" i="9"/>
  <c r="DC442" i="9"/>
  <c r="DD441" i="9"/>
  <c r="DE441" i="9" s="1"/>
  <c r="AJ444" i="9"/>
  <c r="F441" i="9"/>
  <c r="B442" i="9"/>
  <c r="AK444" i="9" l="1"/>
  <c r="DC443" i="9"/>
  <c r="DD442" i="9"/>
  <c r="DE442" i="9" s="1"/>
  <c r="AJ445" i="9"/>
  <c r="D442" i="9"/>
  <c r="E442" i="9"/>
  <c r="AK445" i="9" l="1"/>
  <c r="DC444" i="9"/>
  <c r="AJ446" i="9"/>
  <c r="B443" i="9"/>
  <c r="F442" i="9"/>
  <c r="AK446" i="9" l="1"/>
  <c r="AJ447" i="9"/>
  <c r="D443" i="9"/>
  <c r="E443" i="9"/>
  <c r="AK447" i="9" l="1"/>
  <c r="AJ448" i="9"/>
  <c r="B444" i="9"/>
  <c r="F443" i="9"/>
  <c r="AK448" i="9" l="1"/>
  <c r="AJ449" i="9"/>
  <c r="D444" i="9"/>
  <c r="E444" i="9"/>
  <c r="AK449" i="9" l="1"/>
  <c r="AJ450" i="9"/>
  <c r="B445" i="9"/>
  <c r="AI445" i="9" s="1"/>
  <c r="F444" i="9"/>
  <c r="DD443" i="9" l="1"/>
  <c r="DE443" i="9" s="1"/>
  <c r="DC445" i="9"/>
  <c r="AK450" i="9"/>
  <c r="AI446" i="9"/>
  <c r="AJ451" i="9"/>
  <c r="E445" i="9"/>
  <c r="D445" i="9"/>
  <c r="DC446" i="9" l="1"/>
  <c r="DD444" i="9"/>
  <c r="DE444" i="9" s="1"/>
  <c r="AK451" i="9"/>
  <c r="AI447" i="9"/>
  <c r="AJ452" i="9"/>
  <c r="F445" i="9"/>
  <c r="B446" i="9"/>
  <c r="DC447" i="9" l="1"/>
  <c r="DD445" i="9"/>
  <c r="DE445" i="9" s="1"/>
  <c r="AI448" i="9"/>
  <c r="AJ453" i="9"/>
  <c r="D446" i="9"/>
  <c r="E446" i="9"/>
  <c r="DC448" i="9" l="1"/>
  <c r="DD446" i="9"/>
  <c r="DE446" i="9" s="1"/>
  <c r="AI449" i="9"/>
  <c r="AJ454" i="9"/>
  <c r="F446" i="9"/>
  <c r="B447" i="9"/>
  <c r="DC449" i="9" l="1"/>
  <c r="DD447" i="9"/>
  <c r="DE447" i="9" s="1"/>
  <c r="AI450" i="9"/>
  <c r="DC450" i="9" s="1"/>
  <c r="AJ455" i="9"/>
  <c r="D447" i="9"/>
  <c r="E447" i="9"/>
  <c r="DD448" i="9" l="1"/>
  <c r="DE448" i="9" s="1"/>
  <c r="AI451" i="9"/>
  <c r="AI452" i="9" s="1"/>
  <c r="AI453" i="9" s="1"/>
  <c r="AI454" i="9" s="1"/>
  <c r="AI455" i="9" s="1"/>
  <c r="AI456" i="9" s="1"/>
  <c r="AI457" i="9" s="1"/>
  <c r="AI458" i="9" s="1"/>
  <c r="AI459" i="9" s="1"/>
  <c r="AI460" i="9" s="1"/>
  <c r="AI461" i="9" s="1"/>
  <c r="AI462" i="9" s="1"/>
  <c r="AI463" i="9" s="1"/>
  <c r="AI464" i="9" s="1"/>
  <c r="AI465" i="9" s="1"/>
  <c r="AI466" i="9" s="1"/>
  <c r="AI467" i="9" s="1"/>
  <c r="AI468" i="9" s="1"/>
  <c r="AI469" i="9" s="1"/>
  <c r="AI470" i="9" s="1"/>
  <c r="AI471" i="9" s="1"/>
  <c r="AI472" i="9" s="1"/>
  <c r="AI473" i="9" s="1"/>
  <c r="AI474" i="9" s="1"/>
  <c r="AI475" i="9" s="1"/>
  <c r="AI476" i="9" s="1"/>
  <c r="AI477" i="9" s="1"/>
  <c r="AI478" i="9" s="1"/>
  <c r="AI479" i="9" s="1"/>
  <c r="AI480" i="9" s="1"/>
  <c r="AI481" i="9" s="1"/>
  <c r="AI482" i="9" s="1"/>
  <c r="AI483" i="9" s="1"/>
  <c r="AI484" i="9" s="1"/>
  <c r="AI485" i="9" s="1"/>
  <c r="AI486" i="9" s="1"/>
  <c r="AI487" i="9" s="1"/>
  <c r="AI488" i="9" s="1"/>
  <c r="AI489" i="9" s="1"/>
  <c r="AI490" i="9" s="1"/>
  <c r="AI491" i="9" s="1"/>
  <c r="AI492" i="9" s="1"/>
  <c r="AI493" i="9" s="1"/>
  <c r="AI494" i="9" s="1"/>
  <c r="AI495" i="9" s="1"/>
  <c r="AI496" i="9" s="1"/>
  <c r="AI497" i="9" s="1"/>
  <c r="AI498" i="9" s="1"/>
  <c r="AI499" i="9" s="1"/>
  <c r="AI500" i="9" s="1"/>
  <c r="AI501" i="9" s="1"/>
  <c r="AI502" i="9" s="1"/>
  <c r="AI503" i="9" s="1"/>
  <c r="AI504" i="9" s="1"/>
  <c r="AI505" i="9" s="1"/>
  <c r="AI506" i="9" s="1"/>
  <c r="AI507" i="9" s="1"/>
  <c r="AI508" i="9" s="1"/>
  <c r="AI509" i="9" s="1"/>
  <c r="AI510" i="9" s="1"/>
  <c r="AI511" i="9" s="1"/>
  <c r="AI512" i="9" s="1"/>
  <c r="AI513" i="9" s="1"/>
  <c r="AI514" i="9" s="1"/>
  <c r="AI515" i="9" s="1"/>
  <c r="AI516" i="9" s="1"/>
  <c r="AI517" i="9" s="1"/>
  <c r="AI518" i="9" s="1"/>
  <c r="AI519" i="9" s="1"/>
  <c r="AI520" i="9" s="1"/>
  <c r="AI521" i="9" s="1"/>
  <c r="AI522" i="9" s="1"/>
  <c r="AI523" i="9" s="1"/>
  <c r="AI524" i="9" s="1"/>
  <c r="AI525" i="9" s="1"/>
  <c r="AI526" i="9" s="1"/>
  <c r="AI527" i="9" s="1"/>
  <c r="AI528" i="9" s="1"/>
  <c r="AI529" i="9" s="1"/>
  <c r="AI530" i="9" s="1"/>
  <c r="AI531" i="9" s="1"/>
  <c r="AI532" i="9" s="1"/>
  <c r="F447" i="9"/>
  <c r="B448" i="9"/>
  <c r="E448" i="9" l="1"/>
  <c r="D448" i="9"/>
  <c r="F448" i="9" l="1"/>
  <c r="B449" i="9"/>
  <c r="D449" i="9" l="1"/>
  <c r="E449" i="9"/>
  <c r="F449" i="9" l="1"/>
  <c r="B450" i="9"/>
  <c r="D450" i="9" l="1"/>
  <c r="E450" i="9"/>
  <c r="B451" i="9" l="1"/>
  <c r="AG451" i="9" s="1"/>
  <c r="F450" i="9"/>
  <c r="AV451" i="9" l="1"/>
  <c r="DF436" i="9" s="1"/>
  <c r="DC451" i="9"/>
  <c r="DD449" i="9"/>
  <c r="DE449" i="9" s="1"/>
  <c r="AG452" i="9"/>
  <c r="AS466" i="9"/>
  <c r="D451" i="9"/>
  <c r="E451" i="9"/>
  <c r="AG453" i="9" l="1"/>
  <c r="AS467" i="9"/>
  <c r="AV452" i="9"/>
  <c r="DF437" i="9" s="1"/>
  <c r="B452" i="9"/>
  <c r="AK452" i="9" s="1"/>
  <c r="DC452" i="9" s="1"/>
  <c r="F451" i="9"/>
  <c r="DD450" i="9" l="1"/>
  <c r="DE450" i="9" s="1"/>
  <c r="AS468" i="9"/>
  <c r="AV453" i="9"/>
  <c r="DF438" i="9" s="1"/>
  <c r="AK453" i="9"/>
  <c r="DD451" i="9" s="1"/>
  <c r="DE451" i="9" s="1"/>
  <c r="D452" i="9"/>
  <c r="E452" i="9"/>
  <c r="DC453" i="9" l="1"/>
  <c r="AS469" i="9"/>
  <c r="AV454" i="9"/>
  <c r="AK454" i="9"/>
  <c r="F452" i="9"/>
  <c r="B453" i="9"/>
  <c r="AS470" i="9" l="1"/>
  <c r="AV455" i="9"/>
  <c r="AZ454" i="9"/>
  <c r="AK455" i="9"/>
  <c r="E453" i="9"/>
  <c r="D453" i="9"/>
  <c r="AZ455" i="9" l="1"/>
  <c r="AZ456" i="9" s="1"/>
  <c r="AZ457" i="9" s="1"/>
  <c r="AZ458" i="9" s="1"/>
  <c r="AZ459" i="9" s="1"/>
  <c r="AZ460" i="9" s="1"/>
  <c r="AZ461" i="9" s="1"/>
  <c r="AZ462" i="9" s="1"/>
  <c r="AZ463" i="9" s="1"/>
  <c r="AZ464" i="9" s="1"/>
  <c r="AZ465" i="9" s="1"/>
  <c r="AZ466" i="9" s="1"/>
  <c r="AZ467" i="9" s="1"/>
  <c r="AZ468" i="9" s="1"/>
  <c r="AZ469" i="9" s="1"/>
  <c r="AZ470" i="9" s="1"/>
  <c r="AZ471" i="9" s="1"/>
  <c r="AZ472" i="9" s="1"/>
  <c r="AZ473" i="9" s="1"/>
  <c r="AZ474" i="9" s="1"/>
  <c r="AZ475" i="9" s="1"/>
  <c r="AZ476" i="9" s="1"/>
  <c r="AZ477" i="9" s="1"/>
  <c r="AZ478" i="9" s="1"/>
  <c r="AZ479" i="9" s="1"/>
  <c r="AZ480" i="9" s="1"/>
  <c r="AZ481" i="9" s="1"/>
  <c r="AZ482" i="9" s="1"/>
  <c r="AZ483" i="9" s="1"/>
  <c r="AZ484" i="9" s="1"/>
  <c r="AZ485" i="9" s="1"/>
  <c r="AZ486" i="9" s="1"/>
  <c r="AZ487" i="9" s="1"/>
  <c r="AZ488" i="9" s="1"/>
  <c r="AZ489" i="9" s="1"/>
  <c r="AZ490" i="9" s="1"/>
  <c r="AZ491" i="9" s="1"/>
  <c r="AZ492" i="9" s="1"/>
  <c r="AZ493" i="9" s="1"/>
  <c r="AZ494" i="9" s="1"/>
  <c r="AZ495" i="9" s="1"/>
  <c r="AZ496" i="9" s="1"/>
  <c r="AZ497" i="9" s="1"/>
  <c r="AZ498" i="9" s="1"/>
  <c r="AZ499" i="9" s="1"/>
  <c r="AZ500" i="9" s="1"/>
  <c r="AZ501" i="9" s="1"/>
  <c r="AZ502" i="9" s="1"/>
  <c r="AZ503" i="9" s="1"/>
  <c r="AZ504" i="9" s="1"/>
  <c r="AZ505" i="9" s="1"/>
  <c r="AZ506" i="9" s="1"/>
  <c r="AZ507" i="9" s="1"/>
  <c r="AZ508" i="9" s="1"/>
  <c r="AZ509" i="9" s="1"/>
  <c r="AZ510" i="9" s="1"/>
  <c r="AZ511" i="9" s="1"/>
  <c r="AZ512" i="9" s="1"/>
  <c r="AZ513" i="9" s="1"/>
  <c r="AZ514" i="9" s="1"/>
  <c r="AZ515" i="9" s="1"/>
  <c r="AZ516" i="9" s="1"/>
  <c r="AZ517" i="9" s="1"/>
  <c r="AZ518" i="9" s="1"/>
  <c r="AZ519" i="9" s="1"/>
  <c r="AZ520" i="9" s="1"/>
  <c r="AZ521" i="9" s="1"/>
  <c r="AZ522" i="9" s="1"/>
  <c r="AZ523" i="9" s="1"/>
  <c r="AZ524" i="9" s="1"/>
  <c r="AZ525" i="9" s="1"/>
  <c r="AZ526" i="9" s="1"/>
  <c r="AZ527" i="9" s="1"/>
  <c r="AZ528" i="9" s="1"/>
  <c r="AZ529" i="9" s="1"/>
  <c r="AZ530" i="9" s="1"/>
  <c r="AZ531" i="9" s="1"/>
  <c r="AZ532" i="9" s="1"/>
  <c r="AZ533" i="9" s="1"/>
  <c r="AZ534" i="9" s="1"/>
  <c r="AZ535" i="9" s="1"/>
  <c r="AZ536" i="9" s="1"/>
  <c r="AZ537" i="9" s="1"/>
  <c r="AZ538" i="9" s="1"/>
  <c r="AZ539" i="9" s="1"/>
  <c r="AZ540" i="9" s="1"/>
  <c r="AZ541" i="9" s="1"/>
  <c r="AZ542" i="9" s="1"/>
  <c r="AZ543" i="9" s="1"/>
  <c r="AZ544" i="9" s="1"/>
  <c r="AZ545" i="9" s="1"/>
  <c r="AZ546" i="9" s="1"/>
  <c r="AZ547" i="9" s="1"/>
  <c r="AZ548" i="9" s="1"/>
  <c r="AZ549" i="9" s="1"/>
  <c r="AZ550" i="9" s="1"/>
  <c r="AZ551" i="9" s="1"/>
  <c r="AZ552" i="9" s="1"/>
  <c r="AZ553" i="9" s="1"/>
  <c r="AZ554" i="9" s="1"/>
  <c r="AZ555" i="9" s="1"/>
  <c r="AZ556" i="9" s="1"/>
  <c r="AZ557" i="9" s="1"/>
  <c r="AZ558" i="9" s="1"/>
  <c r="AZ559" i="9" s="1"/>
  <c r="AZ560" i="9" s="1"/>
  <c r="AZ561" i="9" s="1"/>
  <c r="AZ562" i="9" s="1"/>
  <c r="AZ563" i="9" s="1"/>
  <c r="AZ564" i="9" s="1"/>
  <c r="AZ565" i="9" s="1"/>
  <c r="AZ566" i="9" s="1"/>
  <c r="AZ567" i="9" s="1"/>
  <c r="AZ568" i="9" s="1"/>
  <c r="AZ569" i="9" s="1"/>
  <c r="AZ570" i="9" s="1"/>
  <c r="AZ571" i="9" s="1"/>
  <c r="AZ572" i="9" s="1"/>
  <c r="AZ573" i="9" s="1"/>
  <c r="AZ574" i="9" s="1"/>
  <c r="AZ575" i="9" s="1"/>
  <c r="AZ576" i="9" s="1"/>
  <c r="AZ577" i="9" s="1"/>
  <c r="AZ578" i="9" s="1"/>
  <c r="AZ579" i="9" s="1"/>
  <c r="AZ580" i="9" s="1"/>
  <c r="AZ581" i="9" s="1"/>
  <c r="AZ582" i="9" s="1"/>
  <c r="AZ583" i="9" s="1"/>
  <c r="AZ584" i="9" s="1"/>
  <c r="AZ585" i="9" s="1"/>
  <c r="AZ586" i="9" s="1"/>
  <c r="AZ587" i="9" s="1"/>
  <c r="AZ588" i="9" s="1"/>
  <c r="AZ589" i="9" s="1"/>
  <c r="AZ590" i="9" s="1"/>
  <c r="AZ591" i="9" s="1"/>
  <c r="AZ592" i="9" s="1"/>
  <c r="AZ593" i="9" s="1"/>
  <c r="AZ594" i="9" s="1"/>
  <c r="AZ595" i="9" s="1"/>
  <c r="AZ596" i="9" s="1"/>
  <c r="AZ597" i="9" s="1"/>
  <c r="AZ598" i="9" s="1"/>
  <c r="AZ599" i="9" s="1"/>
  <c r="AZ600" i="9" s="1"/>
  <c r="AZ601" i="9" s="1"/>
  <c r="AZ602" i="9" s="1"/>
  <c r="AZ603" i="9" s="1"/>
  <c r="AZ604" i="9" s="1"/>
  <c r="AZ605" i="9" s="1"/>
  <c r="AZ606" i="9" s="1"/>
  <c r="AZ607" i="9" s="1"/>
  <c r="AZ608" i="9" s="1"/>
  <c r="AZ609" i="9" s="1"/>
  <c r="AZ610" i="9" s="1"/>
  <c r="AZ611" i="9" s="1"/>
  <c r="AZ612" i="9" s="1"/>
  <c r="AZ613" i="9" s="1"/>
  <c r="AZ614" i="9" s="1"/>
  <c r="AZ615" i="9" s="1"/>
  <c r="AZ616" i="9" s="1"/>
  <c r="AZ617" i="9" s="1"/>
  <c r="AZ618" i="9" s="1"/>
  <c r="AZ619" i="9" s="1"/>
  <c r="AZ620" i="9" s="1"/>
  <c r="AZ621" i="9" s="1"/>
  <c r="AZ622" i="9" s="1"/>
  <c r="AZ623" i="9" s="1"/>
  <c r="AZ624" i="9" s="1"/>
  <c r="AZ625" i="9" s="1"/>
  <c r="AZ626" i="9" s="1"/>
  <c r="AZ627" i="9" s="1"/>
  <c r="AZ628" i="9" s="1"/>
  <c r="AZ629" i="9" s="1"/>
  <c r="AZ630" i="9" s="1"/>
  <c r="AZ631" i="9" s="1"/>
  <c r="AZ632" i="9" s="1"/>
  <c r="AZ633" i="9" s="1"/>
  <c r="AZ634" i="9" s="1"/>
  <c r="AZ635" i="9" s="1"/>
  <c r="AZ636" i="9" s="1"/>
  <c r="AZ637" i="9" s="1"/>
  <c r="AZ638" i="9" s="1"/>
  <c r="AZ639" i="9" s="1"/>
  <c r="AZ640" i="9" s="1"/>
  <c r="AZ641" i="9" s="1"/>
  <c r="AZ642" i="9" s="1"/>
  <c r="AZ643" i="9" s="1"/>
  <c r="AZ644" i="9" s="1"/>
  <c r="AZ645" i="9" s="1"/>
  <c r="AZ646" i="9" s="1"/>
  <c r="AZ647" i="9" s="1"/>
  <c r="AZ648" i="9" s="1"/>
  <c r="AZ649" i="9" s="1"/>
  <c r="AZ650" i="9" s="1"/>
  <c r="AZ651" i="9" s="1"/>
  <c r="AZ652" i="9" s="1"/>
  <c r="AZ653" i="9" s="1"/>
  <c r="AZ654" i="9" s="1"/>
  <c r="AZ655" i="9" s="1"/>
  <c r="AZ656" i="9" s="1"/>
  <c r="AZ657" i="9" s="1"/>
  <c r="AZ658" i="9" s="1"/>
  <c r="AZ659" i="9" s="1"/>
  <c r="AZ660" i="9" s="1"/>
  <c r="AZ661" i="9" s="1"/>
  <c r="AZ662" i="9" s="1"/>
  <c r="AZ663" i="9" s="1"/>
  <c r="AZ664" i="9" s="1"/>
  <c r="AZ665" i="9" s="1"/>
  <c r="AZ666" i="9" s="1"/>
  <c r="AZ667" i="9" s="1"/>
  <c r="AZ668" i="9" s="1"/>
  <c r="AZ669" i="9" s="1"/>
  <c r="AZ670" i="9" s="1"/>
  <c r="AZ671" i="9" s="1"/>
  <c r="AZ672" i="9" s="1"/>
  <c r="AZ673" i="9" s="1"/>
  <c r="AZ674" i="9" s="1"/>
  <c r="AZ675" i="9" s="1"/>
  <c r="AZ676" i="9" s="1"/>
  <c r="AZ677" i="9" s="1"/>
  <c r="AZ678" i="9" s="1"/>
  <c r="AZ679" i="9" s="1"/>
  <c r="AZ680" i="9" s="1"/>
  <c r="AZ681" i="9" s="1"/>
  <c r="AZ682" i="9" s="1"/>
  <c r="AZ683" i="9" s="1"/>
  <c r="AZ684" i="9" s="1"/>
  <c r="AZ685" i="9" s="1"/>
  <c r="AS471" i="9"/>
  <c r="DF439" i="9"/>
  <c r="AV456" i="9"/>
  <c r="AK456" i="9"/>
  <c r="F453" i="9"/>
  <c r="B454" i="9"/>
  <c r="AG454" i="9" s="1"/>
  <c r="DC454" i="9" l="1"/>
  <c r="DD452" i="9"/>
  <c r="DE452" i="9" s="1"/>
  <c r="DF440" i="9"/>
  <c r="DF441" i="9"/>
  <c r="AG455" i="9"/>
  <c r="DC455" i="9" s="1"/>
  <c r="AS472" i="9"/>
  <c r="AV457" i="9"/>
  <c r="DF442" i="9" s="1"/>
  <c r="AK457" i="9"/>
  <c r="D454" i="9"/>
  <c r="E454" i="9"/>
  <c r="DD453" i="9" l="1"/>
  <c r="DE453" i="9" s="1"/>
  <c r="AG456" i="9"/>
  <c r="AS473" i="9"/>
  <c r="AV458" i="9"/>
  <c r="DF443" i="9" s="1"/>
  <c r="AK458" i="9"/>
  <c r="F454" i="9"/>
  <c r="B455" i="9"/>
  <c r="AG457" i="9" l="1"/>
  <c r="AS474" i="9"/>
  <c r="AV459" i="9"/>
  <c r="DF444" i="9" s="1"/>
  <c r="D455" i="9"/>
  <c r="E455" i="9"/>
  <c r="AG458" i="9" l="1"/>
  <c r="AS475" i="9"/>
  <c r="AV460" i="9"/>
  <c r="DF445" i="9" s="1"/>
  <c r="AK460" i="9"/>
  <c r="F455" i="9"/>
  <c r="B456" i="9"/>
  <c r="AG459" i="9" l="1"/>
  <c r="AS476" i="9"/>
  <c r="AV461" i="9"/>
  <c r="DF446" i="9" s="1"/>
  <c r="AJ456" i="9"/>
  <c r="AK461" i="9"/>
  <c r="D456" i="9"/>
  <c r="E456" i="9"/>
  <c r="DC456" i="9" l="1"/>
  <c r="AG460" i="9"/>
  <c r="AJ457" i="9"/>
  <c r="DD454" i="9"/>
  <c r="DE454" i="9" s="1"/>
  <c r="AS477" i="9"/>
  <c r="AV462" i="9"/>
  <c r="DF447" i="9" s="1"/>
  <c r="AK462" i="9"/>
  <c r="F456" i="9"/>
  <c r="B457" i="9"/>
  <c r="AJ458" i="9" l="1"/>
  <c r="DC457" i="9"/>
  <c r="DD456" i="9"/>
  <c r="DE456" i="9" s="1"/>
  <c r="AG461" i="9"/>
  <c r="DD455" i="9"/>
  <c r="DE455" i="9" s="1"/>
  <c r="AS478" i="9"/>
  <c r="AV463" i="9"/>
  <c r="DF448" i="9" s="1"/>
  <c r="AK463" i="9"/>
  <c r="D457" i="9"/>
  <c r="E457" i="9"/>
  <c r="AG462" i="9" l="1"/>
  <c r="DC458" i="9"/>
  <c r="AJ459" i="9"/>
  <c r="AJ460" i="9" s="1"/>
  <c r="AS479" i="9"/>
  <c r="AV464" i="9"/>
  <c r="DF449" i="9" s="1"/>
  <c r="AJ461" i="9"/>
  <c r="AK464" i="9"/>
  <c r="F457" i="9"/>
  <c r="B458" i="9"/>
  <c r="AG463" i="9" l="1"/>
  <c r="AS480" i="9"/>
  <c r="AV465" i="9"/>
  <c r="DF450" i="9" s="1"/>
  <c r="AJ462" i="9"/>
  <c r="AK465" i="9"/>
  <c r="D458" i="9"/>
  <c r="E458" i="9"/>
  <c r="AG464" i="9" l="1"/>
  <c r="AS481" i="9"/>
  <c r="AV466" i="9"/>
  <c r="DF451" i="9" s="1"/>
  <c r="AJ463" i="9"/>
  <c r="AK466" i="9"/>
  <c r="F458" i="9"/>
  <c r="B459" i="9"/>
  <c r="AG465" i="9" l="1"/>
  <c r="AO459" i="9"/>
  <c r="AO460" i="9" s="1"/>
  <c r="AK459" i="9"/>
  <c r="AS482" i="9"/>
  <c r="AV467" i="9"/>
  <c r="AJ464" i="9"/>
  <c r="AK467" i="9"/>
  <c r="E459" i="9"/>
  <c r="D459" i="9"/>
  <c r="DD457" i="9" l="1"/>
  <c r="DE457" i="9" s="1"/>
  <c r="DC459" i="9"/>
  <c r="DC460" i="9"/>
  <c r="DD458" i="9"/>
  <c r="DE458" i="9" s="1"/>
  <c r="AG466" i="9"/>
  <c r="AO461" i="9"/>
  <c r="DD459" i="9" s="1"/>
  <c r="DE459" i="9" s="1"/>
  <c r="AV468" i="9"/>
  <c r="DF452" i="9"/>
  <c r="AS483" i="9"/>
  <c r="AJ465" i="9"/>
  <c r="AK468" i="9"/>
  <c r="F459" i="9"/>
  <c r="B460" i="9"/>
  <c r="AG467" i="9" l="1"/>
  <c r="DC461" i="9"/>
  <c r="AO462" i="9"/>
  <c r="DD460" i="9" s="1"/>
  <c r="DE460" i="9" s="1"/>
  <c r="AS484" i="9"/>
  <c r="AV469" i="9"/>
  <c r="DF453" i="9"/>
  <c r="AJ466" i="9"/>
  <c r="AK469" i="9"/>
  <c r="E460" i="9"/>
  <c r="D460" i="9"/>
  <c r="DC462" i="9" l="1"/>
  <c r="AG468" i="9"/>
  <c r="AG469" i="9" s="1"/>
  <c r="AO463" i="9"/>
  <c r="DD461" i="9" s="1"/>
  <c r="DE461" i="9" s="1"/>
  <c r="AV470" i="9"/>
  <c r="AS485" i="9"/>
  <c r="AJ467" i="9"/>
  <c r="AK470" i="9"/>
  <c r="B461" i="9"/>
  <c r="F460" i="9"/>
  <c r="AG470" i="9" l="1"/>
  <c r="AG471" i="9" s="1"/>
  <c r="AG472" i="9" s="1"/>
  <c r="AU469" i="9"/>
  <c r="DC463" i="9"/>
  <c r="AO464" i="9"/>
  <c r="DD462" i="9" s="1"/>
  <c r="DE462" i="9" s="1"/>
  <c r="AS486" i="9"/>
  <c r="AV471" i="9"/>
  <c r="AJ468" i="9"/>
  <c r="AJ469" i="9" s="1"/>
  <c r="AJ470" i="9" s="1"/>
  <c r="AJ471" i="9" s="1"/>
  <c r="AK471" i="9"/>
  <c r="D461" i="9"/>
  <c r="E461" i="9"/>
  <c r="DF454" i="9" l="1"/>
  <c r="AU470" i="9"/>
  <c r="DC464" i="9"/>
  <c r="AO465" i="9"/>
  <c r="DD463" i="9" s="1"/>
  <c r="DE463" i="9" s="1"/>
  <c r="AV472" i="9"/>
  <c r="AS487" i="9"/>
  <c r="AJ472" i="9"/>
  <c r="AJ473" i="9" s="1"/>
  <c r="AJ474" i="9" s="1"/>
  <c r="AJ475" i="9" s="1"/>
  <c r="AJ476" i="9" s="1"/>
  <c r="AJ477" i="9" s="1"/>
  <c r="AJ478" i="9" s="1"/>
  <c r="AJ479" i="9" s="1"/>
  <c r="AJ480" i="9" s="1"/>
  <c r="AJ481" i="9" s="1"/>
  <c r="AJ482" i="9" s="1"/>
  <c r="AJ483" i="9" s="1"/>
  <c r="AJ484" i="9" s="1"/>
  <c r="AK472" i="9"/>
  <c r="F461" i="9"/>
  <c r="B462" i="9"/>
  <c r="AU471" i="9" l="1"/>
  <c r="DF455" i="9"/>
  <c r="DC465" i="9"/>
  <c r="AO466" i="9"/>
  <c r="AS488" i="9"/>
  <c r="AV473" i="9"/>
  <c r="AJ485" i="9"/>
  <c r="D462" i="9"/>
  <c r="E462" i="9"/>
  <c r="DC466" i="9" l="1"/>
  <c r="DD464" i="9"/>
  <c r="DE464" i="9" s="1"/>
  <c r="AU472" i="9"/>
  <c r="DF456" i="9"/>
  <c r="AO467" i="9"/>
  <c r="DC467" i="9" s="1"/>
  <c r="AV474" i="9"/>
  <c r="AS489" i="9"/>
  <c r="AJ486" i="9"/>
  <c r="F462" i="9"/>
  <c r="B463" i="9"/>
  <c r="DD465" i="9" l="1"/>
  <c r="DE465" i="9" s="1"/>
  <c r="AU473" i="9"/>
  <c r="DF457" i="9"/>
  <c r="AO468" i="9"/>
  <c r="AO469" i="9" s="1"/>
  <c r="AO470" i="9" s="1"/>
  <c r="AO471" i="9" s="1"/>
  <c r="AO472" i="9" s="1"/>
  <c r="AO473" i="9" s="1"/>
  <c r="AO474" i="9" s="1"/>
  <c r="AS490" i="9"/>
  <c r="AV475" i="9"/>
  <c r="AJ487" i="9"/>
  <c r="D463" i="9"/>
  <c r="E463" i="9"/>
  <c r="AU474" i="9" l="1"/>
  <c r="DF458" i="9"/>
  <c r="AO475" i="9"/>
  <c r="AO476" i="9" s="1"/>
  <c r="AO477" i="9" s="1"/>
  <c r="AO478" i="9" s="1"/>
  <c r="AO479" i="9" s="1"/>
  <c r="AO480" i="9" s="1"/>
  <c r="AO481" i="9" s="1"/>
  <c r="AO482" i="9" s="1"/>
  <c r="AO483" i="9" s="1"/>
  <c r="AO484" i="9" s="1"/>
  <c r="AO485" i="9" s="1"/>
  <c r="AO486" i="9" s="1"/>
  <c r="AO487" i="9" s="1"/>
  <c r="AO488" i="9" s="1"/>
  <c r="AO489" i="9" s="1"/>
  <c r="AO490" i="9" s="1"/>
  <c r="AO491" i="9" s="1"/>
  <c r="AO492" i="9" s="1"/>
  <c r="AO493" i="9" s="1"/>
  <c r="AO494" i="9" s="1"/>
  <c r="AO495" i="9" s="1"/>
  <c r="AO496" i="9" s="1"/>
  <c r="AO497" i="9" s="1"/>
  <c r="AO498" i="9" s="1"/>
  <c r="AO499" i="9" s="1"/>
  <c r="AO500" i="9" s="1"/>
  <c r="AO501" i="9" s="1"/>
  <c r="AO502" i="9" s="1"/>
  <c r="AO503" i="9" s="1"/>
  <c r="AO504" i="9" s="1"/>
  <c r="AO505" i="9" s="1"/>
  <c r="AO506" i="9" s="1"/>
  <c r="AO507" i="9" s="1"/>
  <c r="AO508" i="9" s="1"/>
  <c r="AO509" i="9" s="1"/>
  <c r="AO510" i="9" s="1"/>
  <c r="AO511" i="9" s="1"/>
  <c r="AO512" i="9" s="1"/>
  <c r="AO513" i="9" s="1"/>
  <c r="AO514" i="9" s="1"/>
  <c r="AO515" i="9" s="1"/>
  <c r="AO516" i="9" s="1"/>
  <c r="AO517" i="9" s="1"/>
  <c r="AO518" i="9" s="1"/>
  <c r="AO519" i="9" s="1"/>
  <c r="AO520" i="9" s="1"/>
  <c r="AO521" i="9" s="1"/>
  <c r="AO522" i="9" s="1"/>
  <c r="AO523" i="9" s="1"/>
  <c r="AO524" i="9" s="1"/>
  <c r="AO525" i="9" s="1"/>
  <c r="AO526" i="9" s="1"/>
  <c r="AO527" i="9" s="1"/>
  <c r="AY474" i="9"/>
  <c r="AY475" i="9" s="1"/>
  <c r="AY476" i="9" s="1"/>
  <c r="AY477" i="9" s="1"/>
  <c r="AY478" i="9" s="1"/>
  <c r="AY479" i="9" s="1"/>
  <c r="AY480" i="9" s="1"/>
  <c r="AY481" i="9" s="1"/>
  <c r="AY482" i="9" s="1"/>
  <c r="AY483" i="9" s="1"/>
  <c r="AY484" i="9" s="1"/>
  <c r="AY485" i="9" s="1"/>
  <c r="AY486" i="9" s="1"/>
  <c r="AY487" i="9" s="1"/>
  <c r="AY488" i="9" s="1"/>
  <c r="AY489" i="9" s="1"/>
  <c r="AY490" i="9" s="1"/>
  <c r="AY491" i="9" s="1"/>
  <c r="AY492" i="9" s="1"/>
  <c r="AY493" i="9" s="1"/>
  <c r="AY494" i="9" s="1"/>
  <c r="AY495" i="9" s="1"/>
  <c r="AY496" i="9" s="1"/>
  <c r="AY497" i="9" s="1"/>
  <c r="AY498" i="9" s="1"/>
  <c r="AY499" i="9" s="1"/>
  <c r="AY500" i="9" s="1"/>
  <c r="AY501" i="9" s="1"/>
  <c r="AY502" i="9" s="1"/>
  <c r="AY503" i="9" s="1"/>
  <c r="AY504" i="9" s="1"/>
  <c r="AY505" i="9" s="1"/>
  <c r="AY506" i="9" s="1"/>
  <c r="AY507" i="9" s="1"/>
  <c r="AY508" i="9" s="1"/>
  <c r="AY509" i="9" s="1"/>
  <c r="AY510" i="9" s="1"/>
  <c r="AY511" i="9" s="1"/>
  <c r="AY512" i="9" s="1"/>
  <c r="AY513" i="9" s="1"/>
  <c r="AY514" i="9" s="1"/>
  <c r="AY515" i="9" s="1"/>
  <c r="AY516" i="9" s="1"/>
  <c r="AY517" i="9" s="1"/>
  <c r="AY518" i="9" s="1"/>
  <c r="AY519" i="9" s="1"/>
  <c r="AY520" i="9" s="1"/>
  <c r="AY521" i="9" s="1"/>
  <c r="AY522" i="9" s="1"/>
  <c r="AY523" i="9" s="1"/>
  <c r="AY524" i="9" s="1"/>
  <c r="AY525" i="9" s="1"/>
  <c r="AY526" i="9" s="1"/>
  <c r="AY527" i="9" s="1"/>
  <c r="AY528" i="9" s="1"/>
  <c r="AY529" i="9" s="1"/>
  <c r="AY530" i="9" s="1"/>
  <c r="AY531" i="9" s="1"/>
  <c r="AY532" i="9" s="1"/>
  <c r="AY533" i="9" s="1"/>
  <c r="AY534" i="9" s="1"/>
  <c r="AY535" i="9" s="1"/>
  <c r="AY536" i="9" s="1"/>
  <c r="AY537" i="9" s="1"/>
  <c r="AY538" i="9" s="1"/>
  <c r="AY539" i="9" s="1"/>
  <c r="AY540" i="9" s="1"/>
  <c r="AY541" i="9" s="1"/>
  <c r="AY542" i="9" s="1"/>
  <c r="AY543" i="9" s="1"/>
  <c r="AY544" i="9" s="1"/>
  <c r="AY545" i="9" s="1"/>
  <c r="AY546" i="9" s="1"/>
  <c r="AY547" i="9" s="1"/>
  <c r="AY548" i="9" s="1"/>
  <c r="AY549" i="9" s="1"/>
  <c r="AY550" i="9" s="1"/>
  <c r="AY551" i="9" s="1"/>
  <c r="AY552" i="9" s="1"/>
  <c r="AY553" i="9" s="1"/>
  <c r="AY554" i="9" s="1"/>
  <c r="AY555" i="9" s="1"/>
  <c r="AY556" i="9" s="1"/>
  <c r="AY557" i="9" s="1"/>
  <c r="AY558" i="9" s="1"/>
  <c r="AY559" i="9" s="1"/>
  <c r="AY560" i="9" s="1"/>
  <c r="AY561" i="9" s="1"/>
  <c r="AY562" i="9" s="1"/>
  <c r="AY563" i="9" s="1"/>
  <c r="AY564" i="9" s="1"/>
  <c r="AY565" i="9" s="1"/>
  <c r="AY566" i="9" s="1"/>
  <c r="AY567" i="9" s="1"/>
  <c r="AY568" i="9" s="1"/>
  <c r="AY569" i="9" s="1"/>
  <c r="AY570" i="9" s="1"/>
  <c r="AY571" i="9" s="1"/>
  <c r="AY572" i="9" s="1"/>
  <c r="AY573" i="9" s="1"/>
  <c r="AY574" i="9" s="1"/>
  <c r="AY575" i="9" s="1"/>
  <c r="AY576" i="9" s="1"/>
  <c r="AY577" i="9" s="1"/>
  <c r="AY578" i="9" s="1"/>
  <c r="AY579" i="9" s="1"/>
  <c r="AY580" i="9" s="1"/>
  <c r="AY581" i="9" s="1"/>
  <c r="AY582" i="9" s="1"/>
  <c r="AY583" i="9" s="1"/>
  <c r="AY584" i="9" s="1"/>
  <c r="AY585" i="9" s="1"/>
  <c r="AY586" i="9" s="1"/>
  <c r="AY587" i="9" s="1"/>
  <c r="AY588" i="9" s="1"/>
  <c r="AY589" i="9" s="1"/>
  <c r="AY590" i="9" s="1"/>
  <c r="AY591" i="9" s="1"/>
  <c r="AY592" i="9" s="1"/>
  <c r="AY593" i="9" s="1"/>
  <c r="AY594" i="9" s="1"/>
  <c r="AY595" i="9" s="1"/>
  <c r="AY596" i="9" s="1"/>
  <c r="AY597" i="9" s="1"/>
  <c r="AY598" i="9" s="1"/>
  <c r="AY599" i="9" s="1"/>
  <c r="AY600" i="9" s="1"/>
  <c r="AY601" i="9" s="1"/>
  <c r="AY602" i="9" s="1"/>
  <c r="AY603" i="9" s="1"/>
  <c r="AY604" i="9" s="1"/>
  <c r="AY605" i="9" s="1"/>
  <c r="AY606" i="9" s="1"/>
  <c r="AY607" i="9" s="1"/>
  <c r="AY608" i="9" s="1"/>
  <c r="AY609" i="9" s="1"/>
  <c r="AY610" i="9" s="1"/>
  <c r="AY611" i="9" s="1"/>
  <c r="AY612" i="9" s="1"/>
  <c r="AY613" i="9" s="1"/>
  <c r="AY614" i="9" s="1"/>
  <c r="AY615" i="9" s="1"/>
  <c r="AY616" i="9" s="1"/>
  <c r="AY617" i="9" s="1"/>
  <c r="AY618" i="9" s="1"/>
  <c r="AY619" i="9" s="1"/>
  <c r="AY620" i="9" s="1"/>
  <c r="AY621" i="9" s="1"/>
  <c r="AY622" i="9" s="1"/>
  <c r="AY623" i="9" s="1"/>
  <c r="AY624" i="9" s="1"/>
  <c r="AY625" i="9" s="1"/>
  <c r="AY626" i="9" s="1"/>
  <c r="AY627" i="9" s="1"/>
  <c r="AY628" i="9" s="1"/>
  <c r="AY629" i="9" s="1"/>
  <c r="AY630" i="9" s="1"/>
  <c r="AY631" i="9" s="1"/>
  <c r="AY632" i="9" s="1"/>
  <c r="AY633" i="9" s="1"/>
  <c r="AY634" i="9" s="1"/>
  <c r="AY635" i="9" s="1"/>
  <c r="AY636" i="9" s="1"/>
  <c r="AY637" i="9" s="1"/>
  <c r="AY638" i="9" s="1"/>
  <c r="AY639" i="9" s="1"/>
  <c r="AY640" i="9" s="1"/>
  <c r="AY641" i="9" s="1"/>
  <c r="AY642" i="9" s="1"/>
  <c r="AY643" i="9" s="1"/>
  <c r="AY644" i="9" s="1"/>
  <c r="AY645" i="9" s="1"/>
  <c r="AY646" i="9" s="1"/>
  <c r="AY647" i="9" s="1"/>
  <c r="AY648" i="9" s="1"/>
  <c r="AY649" i="9" s="1"/>
  <c r="AY650" i="9" s="1"/>
  <c r="AY651" i="9" s="1"/>
  <c r="AY652" i="9" s="1"/>
  <c r="AY653" i="9" s="1"/>
  <c r="AY654" i="9" s="1"/>
  <c r="AY655" i="9" s="1"/>
  <c r="AY656" i="9" s="1"/>
  <c r="AY657" i="9" s="1"/>
  <c r="AY658" i="9" s="1"/>
  <c r="AY659" i="9" s="1"/>
  <c r="AY660" i="9" s="1"/>
  <c r="AY661" i="9" s="1"/>
  <c r="AY662" i="9" s="1"/>
  <c r="AY663" i="9" s="1"/>
  <c r="AY664" i="9" s="1"/>
  <c r="AY665" i="9" s="1"/>
  <c r="AY666" i="9" s="1"/>
  <c r="AY667" i="9" s="1"/>
  <c r="AY668" i="9" s="1"/>
  <c r="AY669" i="9" s="1"/>
  <c r="AY670" i="9" s="1"/>
  <c r="AY671" i="9" s="1"/>
  <c r="AY672" i="9" s="1"/>
  <c r="AY673" i="9" s="1"/>
  <c r="AY674" i="9" s="1"/>
  <c r="AY675" i="9" s="1"/>
  <c r="AY676" i="9" s="1"/>
  <c r="AY677" i="9" s="1"/>
  <c r="AY678" i="9" s="1"/>
  <c r="AY679" i="9" s="1"/>
  <c r="AY680" i="9" s="1"/>
  <c r="AY681" i="9" s="1"/>
  <c r="AY682" i="9" s="1"/>
  <c r="AY683" i="9" s="1"/>
  <c r="AY684" i="9" s="1"/>
  <c r="AY685" i="9" s="1"/>
  <c r="AV476" i="9"/>
  <c r="AS491" i="9"/>
  <c r="AJ488" i="9"/>
  <c r="F463" i="9"/>
  <c r="B464" i="9"/>
  <c r="AU475" i="9" l="1"/>
  <c r="AU476" i="9" s="1"/>
  <c r="AU477" i="9" s="1"/>
  <c r="AU478" i="9" s="1"/>
  <c r="AU479" i="9" s="1"/>
  <c r="AU480" i="9" s="1"/>
  <c r="AU481" i="9" s="1"/>
  <c r="AU482" i="9" s="1"/>
  <c r="AU483" i="9" s="1"/>
  <c r="AU484" i="9" s="1"/>
  <c r="AU485" i="9" s="1"/>
  <c r="AU486" i="9" s="1"/>
  <c r="AU487" i="9" s="1"/>
  <c r="AU488" i="9" s="1"/>
  <c r="AU489" i="9" s="1"/>
  <c r="AU490" i="9" s="1"/>
  <c r="AU491" i="9" s="1"/>
  <c r="AU492" i="9" s="1"/>
  <c r="AU493" i="9" s="1"/>
  <c r="AU494" i="9" s="1"/>
  <c r="AU495" i="9" s="1"/>
  <c r="AU496" i="9" s="1"/>
  <c r="AU497" i="9" s="1"/>
  <c r="AU498" i="9" s="1"/>
  <c r="AU499" i="9" s="1"/>
  <c r="AU500" i="9" s="1"/>
  <c r="AU501" i="9" s="1"/>
  <c r="AU502" i="9" s="1"/>
  <c r="AU503" i="9" s="1"/>
  <c r="AU504" i="9" s="1"/>
  <c r="AU505" i="9" s="1"/>
  <c r="AU506" i="9" s="1"/>
  <c r="AU507" i="9" s="1"/>
  <c r="AU508" i="9" s="1"/>
  <c r="AU509" i="9" s="1"/>
  <c r="AU510" i="9" s="1"/>
  <c r="AU511" i="9" s="1"/>
  <c r="AU512" i="9" s="1"/>
  <c r="AU513" i="9" s="1"/>
  <c r="AU514" i="9" s="1"/>
  <c r="AU515" i="9" s="1"/>
  <c r="AU516" i="9" s="1"/>
  <c r="AU517" i="9" s="1"/>
  <c r="AU518" i="9" s="1"/>
  <c r="AU519" i="9" s="1"/>
  <c r="AU520" i="9" s="1"/>
  <c r="AU521" i="9" s="1"/>
  <c r="AU522" i="9" s="1"/>
  <c r="AU523" i="9" s="1"/>
  <c r="AU524" i="9" s="1"/>
  <c r="AU525" i="9" s="1"/>
  <c r="AU526" i="9" s="1"/>
  <c r="AU527" i="9" s="1"/>
  <c r="AU528" i="9" s="1"/>
  <c r="AU529" i="9" s="1"/>
  <c r="AU530" i="9" s="1"/>
  <c r="AU531" i="9" s="1"/>
  <c r="AU532" i="9" s="1"/>
  <c r="AU533" i="9" s="1"/>
  <c r="AU534" i="9" s="1"/>
  <c r="AU535" i="9" s="1"/>
  <c r="AU536" i="9" s="1"/>
  <c r="AU537" i="9" s="1"/>
  <c r="AU538" i="9" s="1"/>
  <c r="AU539" i="9" s="1"/>
  <c r="AU540" i="9" s="1"/>
  <c r="AU541" i="9" s="1"/>
  <c r="AU542" i="9" s="1"/>
  <c r="AU543" i="9" s="1"/>
  <c r="AU544" i="9" s="1"/>
  <c r="AU545" i="9" s="1"/>
  <c r="AU546" i="9" s="1"/>
  <c r="AU547" i="9" s="1"/>
  <c r="AU548" i="9" s="1"/>
  <c r="AU549" i="9" s="1"/>
  <c r="AU550" i="9" s="1"/>
  <c r="AU551" i="9" s="1"/>
  <c r="AU552" i="9" s="1"/>
  <c r="AU553" i="9" s="1"/>
  <c r="AU554" i="9" s="1"/>
  <c r="AU555" i="9" s="1"/>
  <c r="AU556" i="9" s="1"/>
  <c r="AU557" i="9" s="1"/>
  <c r="AU558" i="9" s="1"/>
  <c r="AU559" i="9" s="1"/>
  <c r="AU560" i="9" s="1"/>
  <c r="AU561" i="9" s="1"/>
  <c r="AU562" i="9" s="1"/>
  <c r="AU563" i="9" s="1"/>
  <c r="AU564" i="9" s="1"/>
  <c r="AU565" i="9" s="1"/>
  <c r="AU566" i="9" s="1"/>
  <c r="AU567" i="9" s="1"/>
  <c r="AU568" i="9" s="1"/>
  <c r="AU569" i="9" s="1"/>
  <c r="AU570" i="9" s="1"/>
  <c r="AU571" i="9" s="1"/>
  <c r="AU572" i="9" s="1"/>
  <c r="AU573" i="9" s="1"/>
  <c r="AU574" i="9" s="1"/>
  <c r="AU575" i="9" s="1"/>
  <c r="AU576" i="9" s="1"/>
  <c r="AU577" i="9" s="1"/>
  <c r="AU578" i="9" s="1"/>
  <c r="AU579" i="9" s="1"/>
  <c r="AU580" i="9" s="1"/>
  <c r="AU581" i="9" s="1"/>
  <c r="AU582" i="9" s="1"/>
  <c r="AU583" i="9" s="1"/>
  <c r="AU584" i="9" s="1"/>
  <c r="AU585" i="9" s="1"/>
  <c r="AU586" i="9" s="1"/>
  <c r="AU587" i="9" s="1"/>
  <c r="AU588" i="9" s="1"/>
  <c r="AU589" i="9" s="1"/>
  <c r="AU590" i="9" s="1"/>
  <c r="AU591" i="9" s="1"/>
  <c r="AU592" i="9" s="1"/>
  <c r="AU593" i="9" s="1"/>
  <c r="AU594" i="9" s="1"/>
  <c r="AU595" i="9" s="1"/>
  <c r="AU596" i="9" s="1"/>
  <c r="AU597" i="9" s="1"/>
  <c r="AU598" i="9" s="1"/>
  <c r="AU599" i="9" s="1"/>
  <c r="AU600" i="9" s="1"/>
  <c r="AU601" i="9" s="1"/>
  <c r="AU602" i="9" s="1"/>
  <c r="AU603" i="9" s="1"/>
  <c r="AU604" i="9" s="1"/>
  <c r="AU605" i="9" s="1"/>
  <c r="AU606" i="9" s="1"/>
  <c r="AU607" i="9" s="1"/>
  <c r="AU608" i="9" s="1"/>
  <c r="AU609" i="9" s="1"/>
  <c r="AU610" i="9" s="1"/>
  <c r="AU611" i="9" s="1"/>
  <c r="AU612" i="9" s="1"/>
  <c r="AU613" i="9" s="1"/>
  <c r="AU614" i="9" s="1"/>
  <c r="AU615" i="9" s="1"/>
  <c r="AU616" i="9" s="1"/>
  <c r="AU617" i="9" s="1"/>
  <c r="AU618" i="9" s="1"/>
  <c r="AU619" i="9" s="1"/>
  <c r="AU620" i="9" s="1"/>
  <c r="AU621" i="9" s="1"/>
  <c r="AU622" i="9" s="1"/>
  <c r="AU623" i="9" s="1"/>
  <c r="AU624" i="9" s="1"/>
  <c r="AU625" i="9" s="1"/>
  <c r="AU626" i="9" s="1"/>
  <c r="AU627" i="9" s="1"/>
  <c r="AU628" i="9" s="1"/>
  <c r="AU629" i="9" s="1"/>
  <c r="AU630" i="9" s="1"/>
  <c r="AU631" i="9" s="1"/>
  <c r="AU632" i="9" s="1"/>
  <c r="AU633" i="9" s="1"/>
  <c r="AU634" i="9" s="1"/>
  <c r="AU635" i="9" s="1"/>
  <c r="AU636" i="9" s="1"/>
  <c r="AU637" i="9" s="1"/>
  <c r="AU638" i="9" s="1"/>
  <c r="AU639" i="9" s="1"/>
  <c r="AU640" i="9" s="1"/>
  <c r="AU641" i="9" s="1"/>
  <c r="AU642" i="9" s="1"/>
  <c r="AU643" i="9" s="1"/>
  <c r="AU644" i="9" s="1"/>
  <c r="AU645" i="9" s="1"/>
  <c r="AU646" i="9" s="1"/>
  <c r="AU647" i="9" s="1"/>
  <c r="AU648" i="9" s="1"/>
  <c r="AU649" i="9" s="1"/>
  <c r="AU650" i="9" s="1"/>
  <c r="AU651" i="9" s="1"/>
  <c r="AU652" i="9" s="1"/>
  <c r="AU653" i="9" s="1"/>
  <c r="AU654" i="9" s="1"/>
  <c r="AU655" i="9" s="1"/>
  <c r="AU656" i="9" s="1"/>
  <c r="AU657" i="9" s="1"/>
  <c r="AU658" i="9" s="1"/>
  <c r="AU659" i="9" s="1"/>
  <c r="AU660" i="9" s="1"/>
  <c r="AU661" i="9" s="1"/>
  <c r="AU662" i="9" s="1"/>
  <c r="AU663" i="9" s="1"/>
  <c r="AU664" i="9" s="1"/>
  <c r="AU665" i="9" s="1"/>
  <c r="AU666" i="9" s="1"/>
  <c r="AU667" i="9" s="1"/>
  <c r="AU668" i="9" s="1"/>
  <c r="AU669" i="9" s="1"/>
  <c r="AU670" i="9" s="1"/>
  <c r="AU671" i="9" s="1"/>
  <c r="AU672" i="9" s="1"/>
  <c r="AU673" i="9" s="1"/>
  <c r="AU674" i="9" s="1"/>
  <c r="AU675" i="9" s="1"/>
  <c r="AU676" i="9" s="1"/>
  <c r="AU677" i="9" s="1"/>
  <c r="AU678" i="9" s="1"/>
  <c r="AU679" i="9" s="1"/>
  <c r="AU680" i="9" s="1"/>
  <c r="AU681" i="9" s="1"/>
  <c r="AU682" i="9" s="1"/>
  <c r="AU683" i="9" s="1"/>
  <c r="AU684" i="9" s="1"/>
  <c r="AU685" i="9" s="1"/>
  <c r="AS492" i="9"/>
  <c r="AV477" i="9"/>
  <c r="AJ489" i="9"/>
  <c r="D464" i="9"/>
  <c r="E464" i="9"/>
  <c r="AV478" i="9" l="1"/>
  <c r="AS493" i="9"/>
  <c r="AJ490" i="9"/>
  <c r="B465" i="9"/>
  <c r="F464" i="9"/>
  <c r="AS494" i="9" l="1"/>
  <c r="AV479" i="9"/>
  <c r="AJ491" i="9"/>
  <c r="E465" i="9"/>
  <c r="D465" i="9"/>
  <c r="AV480" i="9" l="1"/>
  <c r="AS495" i="9"/>
  <c r="AJ492" i="9"/>
  <c r="B466" i="9"/>
  <c r="F465" i="9"/>
  <c r="AS496" i="9" l="1"/>
  <c r="AV481" i="9"/>
  <c r="AJ493" i="9"/>
  <c r="E466" i="9"/>
  <c r="D466" i="9"/>
  <c r="AV482" i="9" l="1"/>
  <c r="AS497" i="9"/>
  <c r="AJ494" i="9"/>
  <c r="B467" i="9"/>
  <c r="F466" i="9"/>
  <c r="AS498" i="9" l="1"/>
  <c r="AV483" i="9"/>
  <c r="AV484" i="9" s="1"/>
  <c r="AV485" i="9" s="1"/>
  <c r="AV486" i="9" s="1"/>
  <c r="AV487" i="9" s="1"/>
  <c r="AV488" i="9" s="1"/>
  <c r="AV489" i="9" s="1"/>
  <c r="AV490" i="9" s="1"/>
  <c r="AV491" i="9" s="1"/>
  <c r="AV492" i="9" s="1"/>
  <c r="AV493" i="9" s="1"/>
  <c r="AV494" i="9" s="1"/>
  <c r="AV495" i="9" s="1"/>
  <c r="AV496" i="9" s="1"/>
  <c r="AV497" i="9" s="1"/>
  <c r="AV498" i="9" s="1"/>
  <c r="AV499" i="9" s="1"/>
  <c r="AV500" i="9" s="1"/>
  <c r="AV501" i="9" s="1"/>
  <c r="AV502" i="9" s="1"/>
  <c r="AV503" i="9" s="1"/>
  <c r="AV504" i="9" s="1"/>
  <c r="AV505" i="9" s="1"/>
  <c r="AV506" i="9" s="1"/>
  <c r="AV507" i="9" s="1"/>
  <c r="AV508" i="9" s="1"/>
  <c r="AV509" i="9" s="1"/>
  <c r="AV510" i="9" s="1"/>
  <c r="AV511" i="9" s="1"/>
  <c r="AV512" i="9" s="1"/>
  <c r="AV513" i="9" s="1"/>
  <c r="AV514" i="9" s="1"/>
  <c r="AV515" i="9" s="1"/>
  <c r="AV516" i="9" s="1"/>
  <c r="AV517" i="9" s="1"/>
  <c r="AV518" i="9" s="1"/>
  <c r="AV519" i="9" s="1"/>
  <c r="AV520" i="9" s="1"/>
  <c r="AV521" i="9" s="1"/>
  <c r="AV522" i="9" s="1"/>
  <c r="AV523" i="9" s="1"/>
  <c r="AV524" i="9" s="1"/>
  <c r="AV525" i="9" s="1"/>
  <c r="AV526" i="9" s="1"/>
  <c r="AV527" i="9" s="1"/>
  <c r="AV528" i="9" s="1"/>
  <c r="AV529" i="9" s="1"/>
  <c r="AV530" i="9" s="1"/>
  <c r="AV531" i="9" s="1"/>
  <c r="AV532" i="9" s="1"/>
  <c r="AV533" i="9" s="1"/>
  <c r="AV534" i="9" s="1"/>
  <c r="AV535" i="9" s="1"/>
  <c r="AV536" i="9" s="1"/>
  <c r="AV537" i="9" s="1"/>
  <c r="AV538" i="9" s="1"/>
  <c r="AV539" i="9" s="1"/>
  <c r="AV540" i="9" s="1"/>
  <c r="AV541" i="9" s="1"/>
  <c r="AV542" i="9" s="1"/>
  <c r="AV543" i="9" s="1"/>
  <c r="AV544" i="9" s="1"/>
  <c r="AV545" i="9" s="1"/>
  <c r="AV546" i="9" s="1"/>
  <c r="AV547" i="9" s="1"/>
  <c r="AV548" i="9" s="1"/>
  <c r="AV549" i="9" s="1"/>
  <c r="AV550" i="9" s="1"/>
  <c r="AV551" i="9" s="1"/>
  <c r="AV552" i="9" s="1"/>
  <c r="AV553" i="9" s="1"/>
  <c r="AV554" i="9" s="1"/>
  <c r="AV555" i="9" s="1"/>
  <c r="AV556" i="9" s="1"/>
  <c r="AV557" i="9" s="1"/>
  <c r="AV558" i="9" s="1"/>
  <c r="AV559" i="9" s="1"/>
  <c r="AV560" i="9" s="1"/>
  <c r="AV561" i="9" s="1"/>
  <c r="AV562" i="9" s="1"/>
  <c r="AV563" i="9" s="1"/>
  <c r="AV564" i="9" s="1"/>
  <c r="AV565" i="9" s="1"/>
  <c r="AV566" i="9" s="1"/>
  <c r="AV567" i="9" s="1"/>
  <c r="AV568" i="9" s="1"/>
  <c r="AV569" i="9" s="1"/>
  <c r="AV570" i="9" s="1"/>
  <c r="AV571" i="9" s="1"/>
  <c r="AV572" i="9" s="1"/>
  <c r="AV573" i="9" s="1"/>
  <c r="AV574" i="9" s="1"/>
  <c r="AV575" i="9" s="1"/>
  <c r="AV576" i="9" s="1"/>
  <c r="AV577" i="9" s="1"/>
  <c r="AV578" i="9" s="1"/>
  <c r="AV579" i="9" s="1"/>
  <c r="AV580" i="9" s="1"/>
  <c r="AV581" i="9" s="1"/>
  <c r="AV582" i="9" s="1"/>
  <c r="AV583" i="9" s="1"/>
  <c r="AV584" i="9" s="1"/>
  <c r="AV585" i="9" s="1"/>
  <c r="AV586" i="9" s="1"/>
  <c r="AV587" i="9" s="1"/>
  <c r="AV588" i="9" s="1"/>
  <c r="AV589" i="9" s="1"/>
  <c r="AV590" i="9" s="1"/>
  <c r="AV591" i="9" s="1"/>
  <c r="AV592" i="9" s="1"/>
  <c r="AV593" i="9" s="1"/>
  <c r="AV594" i="9" s="1"/>
  <c r="AV595" i="9" s="1"/>
  <c r="AV596" i="9" s="1"/>
  <c r="AV597" i="9" s="1"/>
  <c r="AV598" i="9" s="1"/>
  <c r="AV599" i="9" s="1"/>
  <c r="AV600" i="9" s="1"/>
  <c r="AV601" i="9" s="1"/>
  <c r="AV602" i="9" s="1"/>
  <c r="AV603" i="9" s="1"/>
  <c r="AV604" i="9" s="1"/>
  <c r="AV605" i="9" s="1"/>
  <c r="AV606" i="9" s="1"/>
  <c r="AV607" i="9" s="1"/>
  <c r="AV608" i="9" s="1"/>
  <c r="AV609" i="9" s="1"/>
  <c r="AV610" i="9" s="1"/>
  <c r="AV611" i="9" s="1"/>
  <c r="AV612" i="9" s="1"/>
  <c r="AV613" i="9" s="1"/>
  <c r="AV614" i="9" s="1"/>
  <c r="AV615" i="9" s="1"/>
  <c r="AV616" i="9" s="1"/>
  <c r="AV617" i="9" s="1"/>
  <c r="AV618" i="9" s="1"/>
  <c r="AV619" i="9" s="1"/>
  <c r="AV620" i="9" s="1"/>
  <c r="AV621" i="9" s="1"/>
  <c r="AV622" i="9" s="1"/>
  <c r="AV623" i="9" s="1"/>
  <c r="AV624" i="9" s="1"/>
  <c r="AV625" i="9" s="1"/>
  <c r="AV626" i="9" s="1"/>
  <c r="AV627" i="9" s="1"/>
  <c r="AV628" i="9" s="1"/>
  <c r="AV629" i="9" s="1"/>
  <c r="AV630" i="9" s="1"/>
  <c r="AV631" i="9" s="1"/>
  <c r="AV632" i="9" s="1"/>
  <c r="AV633" i="9" s="1"/>
  <c r="AV634" i="9" s="1"/>
  <c r="AV635" i="9" s="1"/>
  <c r="AV636" i="9" s="1"/>
  <c r="AV637" i="9" s="1"/>
  <c r="AV638" i="9" s="1"/>
  <c r="AV639" i="9" s="1"/>
  <c r="AV640" i="9" s="1"/>
  <c r="AV641" i="9" s="1"/>
  <c r="AV642" i="9" s="1"/>
  <c r="AV643" i="9" s="1"/>
  <c r="AV644" i="9" s="1"/>
  <c r="AV645" i="9" s="1"/>
  <c r="AV646" i="9" s="1"/>
  <c r="AV647" i="9" s="1"/>
  <c r="AV648" i="9" s="1"/>
  <c r="AV649" i="9" s="1"/>
  <c r="AV650" i="9" s="1"/>
  <c r="AV651" i="9" s="1"/>
  <c r="AV652" i="9" s="1"/>
  <c r="AV653" i="9" s="1"/>
  <c r="AV654" i="9" s="1"/>
  <c r="AV655" i="9" s="1"/>
  <c r="AV656" i="9" s="1"/>
  <c r="AV657" i="9" s="1"/>
  <c r="AV658" i="9" s="1"/>
  <c r="AV659" i="9" s="1"/>
  <c r="AV660" i="9" s="1"/>
  <c r="AV661" i="9" s="1"/>
  <c r="AV662" i="9" s="1"/>
  <c r="AV663" i="9" s="1"/>
  <c r="AV664" i="9" s="1"/>
  <c r="AV665" i="9" s="1"/>
  <c r="AV666" i="9" s="1"/>
  <c r="AV667" i="9" s="1"/>
  <c r="AV668" i="9" s="1"/>
  <c r="AV669" i="9" s="1"/>
  <c r="AV670" i="9" s="1"/>
  <c r="AV671" i="9" s="1"/>
  <c r="AV672" i="9" s="1"/>
  <c r="AV673" i="9" s="1"/>
  <c r="AV674" i="9" s="1"/>
  <c r="AV675" i="9" s="1"/>
  <c r="AV676" i="9" s="1"/>
  <c r="AV677" i="9" s="1"/>
  <c r="AV678" i="9" s="1"/>
  <c r="AV679" i="9" s="1"/>
  <c r="AV680" i="9" s="1"/>
  <c r="AV681" i="9" s="1"/>
  <c r="AV682" i="9" s="1"/>
  <c r="AV683" i="9" s="1"/>
  <c r="AV684" i="9" s="1"/>
  <c r="AV685" i="9" s="1"/>
  <c r="AJ495" i="9"/>
  <c r="E467" i="9"/>
  <c r="D467" i="9"/>
  <c r="AS499" i="9" l="1"/>
  <c r="AJ496" i="9"/>
  <c r="B468" i="9"/>
  <c r="AQ468" i="9" s="1"/>
  <c r="F467" i="9"/>
  <c r="DC468" i="9" l="1"/>
  <c r="DD466" i="9"/>
  <c r="DE466" i="9" s="1"/>
  <c r="AS500" i="9"/>
  <c r="AQ469" i="9"/>
  <c r="DD467" i="9" s="1"/>
  <c r="DE467" i="9" s="1"/>
  <c r="AJ497" i="9"/>
  <c r="D468" i="9"/>
  <c r="E468" i="9"/>
  <c r="DC469" i="9" l="1"/>
  <c r="AS501" i="9"/>
  <c r="AQ470" i="9"/>
  <c r="DD468" i="9" s="1"/>
  <c r="DE468" i="9" s="1"/>
  <c r="AJ498" i="9"/>
  <c r="B469" i="9"/>
  <c r="F468" i="9"/>
  <c r="DC470" i="9" l="1"/>
  <c r="AS502" i="9"/>
  <c r="AQ471" i="9"/>
  <c r="AJ499" i="9"/>
  <c r="D469" i="9"/>
  <c r="E469" i="9"/>
  <c r="DC471" i="9" l="1"/>
  <c r="DD469" i="9"/>
  <c r="DE469" i="9" s="1"/>
  <c r="AS503" i="9"/>
  <c r="AQ472" i="9"/>
  <c r="AJ500" i="9"/>
  <c r="B470" i="9"/>
  <c r="F469" i="9"/>
  <c r="DC472" i="9" l="1"/>
  <c r="DD470" i="9"/>
  <c r="DE470" i="9" s="1"/>
  <c r="AS504" i="9"/>
  <c r="AQ473" i="9"/>
  <c r="AJ501" i="9"/>
  <c r="D470" i="9"/>
  <c r="E470" i="9"/>
  <c r="AQ474" i="9" l="1"/>
  <c r="AS505" i="9"/>
  <c r="AQ475" i="9"/>
  <c r="AJ502" i="9"/>
  <c r="B471" i="9"/>
  <c r="F470" i="9"/>
  <c r="AS506" i="9" l="1"/>
  <c r="AQ476" i="9"/>
  <c r="AJ503" i="9"/>
  <c r="E471" i="9"/>
  <c r="D471" i="9"/>
  <c r="AS507" i="9" l="1"/>
  <c r="AQ477" i="9"/>
  <c r="AJ504" i="9"/>
  <c r="B472" i="9"/>
  <c r="F471" i="9"/>
  <c r="AS508" i="9" l="1"/>
  <c r="AQ478" i="9"/>
  <c r="AJ505" i="9"/>
  <c r="D472" i="9"/>
  <c r="E472" i="9"/>
  <c r="AS509" i="9" l="1"/>
  <c r="AQ479" i="9"/>
  <c r="AJ506" i="9"/>
  <c r="B473" i="9"/>
  <c r="F472" i="9"/>
  <c r="AS510" i="9" l="1"/>
  <c r="AQ480" i="9"/>
  <c r="AG473" i="9"/>
  <c r="AK473" i="9"/>
  <c r="AK474" i="9" s="1"/>
  <c r="AJ507" i="9"/>
  <c r="D473" i="9"/>
  <c r="E473" i="9"/>
  <c r="AG474" i="9" l="1"/>
  <c r="DD472" i="9" s="1"/>
  <c r="DE472" i="9" s="1"/>
  <c r="DD471" i="9"/>
  <c r="DE471" i="9" s="1"/>
  <c r="DC473" i="9"/>
  <c r="AK475" i="9"/>
  <c r="AK476" i="9" s="1"/>
  <c r="AK477" i="9" s="1"/>
  <c r="AK478" i="9" s="1"/>
  <c r="AK479" i="9" s="1"/>
  <c r="AK480" i="9" s="1"/>
  <c r="AK481" i="9" s="1"/>
  <c r="AK482" i="9" s="1"/>
  <c r="AK483" i="9" s="1"/>
  <c r="AK484" i="9" s="1"/>
  <c r="AK485" i="9" s="1"/>
  <c r="AK486" i="9" s="1"/>
  <c r="AK487" i="9" s="1"/>
  <c r="AK488" i="9" s="1"/>
  <c r="AK489" i="9" s="1"/>
  <c r="AK490" i="9" s="1"/>
  <c r="AK491" i="9" s="1"/>
  <c r="AK492" i="9" s="1"/>
  <c r="AK493" i="9" s="1"/>
  <c r="AK494" i="9" s="1"/>
  <c r="AK495" i="9" s="1"/>
  <c r="AK496" i="9" s="1"/>
  <c r="AW474" i="9"/>
  <c r="DF459" i="9" s="1"/>
  <c r="AS511" i="9"/>
  <c r="AQ481" i="9"/>
  <c r="AJ508" i="9"/>
  <c r="B474" i="9"/>
  <c r="F473" i="9"/>
  <c r="AG475" i="9" l="1"/>
  <c r="DD473" i="9"/>
  <c r="DE473" i="9" s="1"/>
  <c r="DC474" i="9"/>
  <c r="AW475" i="9"/>
  <c r="AS512" i="9"/>
  <c r="AQ482" i="9"/>
  <c r="AK497" i="9"/>
  <c r="AJ509" i="9"/>
  <c r="D474" i="9"/>
  <c r="E474" i="9"/>
  <c r="DC475" i="9" l="1"/>
  <c r="AG476" i="9"/>
  <c r="AW476" i="9"/>
  <c r="DF460" i="9"/>
  <c r="AS513" i="9"/>
  <c r="AQ483" i="9"/>
  <c r="AK498" i="9"/>
  <c r="AJ510" i="9"/>
  <c r="F474" i="9"/>
  <c r="B475" i="9"/>
  <c r="DC476" i="9" l="1"/>
  <c r="AG477" i="9"/>
  <c r="DD474" i="9"/>
  <c r="DE474" i="9" s="1"/>
  <c r="AW477" i="9"/>
  <c r="DF461" i="9"/>
  <c r="AS514" i="9"/>
  <c r="AQ484" i="9"/>
  <c r="AT483" i="9"/>
  <c r="AK499" i="9"/>
  <c r="AJ511" i="9"/>
  <c r="E475" i="9"/>
  <c r="D475" i="9"/>
  <c r="DC477" i="9" l="1"/>
  <c r="AG478" i="9"/>
  <c r="DD475" i="9"/>
  <c r="DE475" i="9" s="1"/>
  <c r="AW478" i="9"/>
  <c r="DF462" i="9"/>
  <c r="AS515" i="9"/>
  <c r="AQ485" i="9"/>
  <c r="AT484" i="9"/>
  <c r="AJ512" i="9"/>
  <c r="B476" i="9"/>
  <c r="F475" i="9"/>
  <c r="DC478" i="9" l="1"/>
  <c r="AG479" i="9"/>
  <c r="DD476" i="9"/>
  <c r="DE476" i="9" s="1"/>
  <c r="AW479" i="9"/>
  <c r="DF463" i="9"/>
  <c r="AS516" i="9"/>
  <c r="AT485" i="9"/>
  <c r="AQ486" i="9"/>
  <c r="AJ513" i="9"/>
  <c r="D476" i="9"/>
  <c r="E476" i="9"/>
  <c r="DC479" i="9" l="1"/>
  <c r="AG480" i="9"/>
  <c r="DD477" i="9"/>
  <c r="DE477" i="9" s="1"/>
  <c r="AW480" i="9"/>
  <c r="DF464" i="9"/>
  <c r="AS517" i="9"/>
  <c r="AQ487" i="9"/>
  <c r="AT486" i="9"/>
  <c r="AJ514" i="9"/>
  <c r="B477" i="9"/>
  <c r="F476" i="9"/>
  <c r="DC480" i="9" l="1"/>
  <c r="AG481" i="9"/>
  <c r="DD478" i="9"/>
  <c r="DE478" i="9" s="1"/>
  <c r="AW481" i="9"/>
  <c r="DF465" i="9"/>
  <c r="AS518" i="9"/>
  <c r="AT487" i="9"/>
  <c r="AQ488" i="9"/>
  <c r="AJ515" i="9"/>
  <c r="D477" i="9"/>
  <c r="E477" i="9"/>
  <c r="DC481" i="9" l="1"/>
  <c r="AG482" i="9"/>
  <c r="DD479" i="9"/>
  <c r="DE479" i="9" s="1"/>
  <c r="AW482" i="9"/>
  <c r="DF466" i="9"/>
  <c r="AS519" i="9"/>
  <c r="AQ489" i="9"/>
  <c r="AT488" i="9"/>
  <c r="AJ516" i="9"/>
  <c r="F477" i="9"/>
  <c r="B478" i="9"/>
  <c r="DC482" i="9" l="1"/>
  <c r="AG483" i="9"/>
  <c r="DD480" i="9"/>
  <c r="DE480" i="9" s="1"/>
  <c r="AW483" i="9"/>
  <c r="DF467" i="9"/>
  <c r="AS520" i="9"/>
  <c r="AT489" i="9"/>
  <c r="AQ490" i="9"/>
  <c r="AJ517" i="9"/>
  <c r="D478" i="9"/>
  <c r="E478" i="9"/>
  <c r="DC483" i="9" l="1"/>
  <c r="AG484" i="9"/>
  <c r="DD481" i="9"/>
  <c r="DE481" i="9" s="1"/>
  <c r="AW484" i="9"/>
  <c r="DF468" i="9"/>
  <c r="AS521" i="9"/>
  <c r="AQ491" i="9"/>
  <c r="AT490" i="9"/>
  <c r="AJ518" i="9"/>
  <c r="F478" i="9"/>
  <c r="B479" i="9"/>
  <c r="DC484" i="9" l="1"/>
  <c r="AG485" i="9"/>
  <c r="DD482" i="9"/>
  <c r="DE482" i="9" s="1"/>
  <c r="AW485" i="9"/>
  <c r="DF469" i="9"/>
  <c r="AS522" i="9"/>
  <c r="AT491" i="9"/>
  <c r="AQ492" i="9"/>
  <c r="AJ519" i="9"/>
  <c r="D479" i="9"/>
  <c r="E479" i="9"/>
  <c r="DC485" i="9" l="1"/>
  <c r="AG486" i="9"/>
  <c r="DD483" i="9"/>
  <c r="DE483" i="9" s="1"/>
  <c r="AW486" i="9"/>
  <c r="DF470" i="9"/>
  <c r="AS523" i="9"/>
  <c r="AQ493" i="9"/>
  <c r="AT492" i="9"/>
  <c r="AJ520" i="9"/>
  <c r="F479" i="9"/>
  <c r="B480" i="9"/>
  <c r="DC486" i="9" l="1"/>
  <c r="AG487" i="9"/>
  <c r="DD485" i="9" s="1"/>
  <c r="DE485" i="9" s="1"/>
  <c r="DD484" i="9"/>
  <c r="DE484" i="9" s="1"/>
  <c r="AW487" i="9"/>
  <c r="DF471" i="9"/>
  <c r="AS524" i="9"/>
  <c r="AT493" i="9"/>
  <c r="AQ494" i="9"/>
  <c r="AJ521" i="9"/>
  <c r="E480" i="9"/>
  <c r="D480" i="9"/>
  <c r="DC487" i="9" l="1"/>
  <c r="AG488" i="9"/>
  <c r="DD486" i="9" s="1"/>
  <c r="DE486" i="9" s="1"/>
  <c r="AW488" i="9"/>
  <c r="DF472" i="9"/>
  <c r="AS525" i="9"/>
  <c r="AQ495" i="9"/>
  <c r="AT494" i="9"/>
  <c r="AJ522" i="9"/>
  <c r="F480" i="9"/>
  <c r="B481" i="9"/>
  <c r="DC488" i="9" l="1"/>
  <c r="AG489" i="9"/>
  <c r="AW489" i="9"/>
  <c r="DF473" i="9"/>
  <c r="AS526" i="9"/>
  <c r="AT495" i="9"/>
  <c r="AQ496" i="9"/>
  <c r="AJ523" i="9"/>
  <c r="E481" i="9"/>
  <c r="D481" i="9"/>
  <c r="DC489" i="9" l="1"/>
  <c r="AG490" i="9"/>
  <c r="DD487" i="9"/>
  <c r="DE487" i="9" s="1"/>
  <c r="AW490" i="9"/>
  <c r="DF474" i="9"/>
  <c r="AS527" i="9"/>
  <c r="AT496" i="9"/>
  <c r="AQ497" i="9"/>
  <c r="AJ524" i="9"/>
  <c r="F481" i="9"/>
  <c r="B482" i="9"/>
  <c r="DC490" i="9" l="1"/>
  <c r="AG491" i="9"/>
  <c r="DD488" i="9"/>
  <c r="DE488" i="9" s="1"/>
  <c r="AW491" i="9"/>
  <c r="DF475" i="9"/>
  <c r="AS528" i="9"/>
  <c r="AQ498" i="9"/>
  <c r="AT497" i="9"/>
  <c r="AJ525" i="9"/>
  <c r="E482" i="9"/>
  <c r="D482" i="9"/>
  <c r="DC491" i="9" l="1"/>
  <c r="AG492" i="9"/>
  <c r="DD489" i="9"/>
  <c r="DE489" i="9" s="1"/>
  <c r="AW492" i="9"/>
  <c r="DF476" i="9"/>
  <c r="AS529" i="9"/>
  <c r="AQ499" i="9"/>
  <c r="AT498" i="9"/>
  <c r="AJ526" i="9"/>
  <c r="B483" i="9"/>
  <c r="F482" i="9"/>
  <c r="DC492" i="9" l="1"/>
  <c r="AG493" i="9"/>
  <c r="DD490" i="9"/>
  <c r="DE490" i="9" s="1"/>
  <c r="AW493" i="9"/>
  <c r="DF477" i="9"/>
  <c r="AS530" i="9"/>
  <c r="AT499" i="9"/>
  <c r="AQ500" i="9"/>
  <c r="AJ527" i="9"/>
  <c r="E483" i="9"/>
  <c r="D483" i="9"/>
  <c r="DC493" i="9" l="1"/>
  <c r="AG494" i="9"/>
  <c r="DD491" i="9"/>
  <c r="DE491" i="9" s="1"/>
  <c r="AQ501" i="9"/>
  <c r="AQ502" i="9" s="1"/>
  <c r="AW494" i="9"/>
  <c r="DF478" i="9"/>
  <c r="AS531" i="9"/>
  <c r="AT500" i="9"/>
  <c r="AJ528" i="9"/>
  <c r="F483" i="9"/>
  <c r="B484" i="9"/>
  <c r="DC494" i="9" l="1"/>
  <c r="AG495" i="9"/>
  <c r="DD493" i="9" s="1"/>
  <c r="DE493" i="9" s="1"/>
  <c r="DD492" i="9"/>
  <c r="DE492" i="9" s="1"/>
  <c r="AW495" i="9"/>
  <c r="DF479" i="9"/>
  <c r="AS532" i="9"/>
  <c r="AT501" i="9"/>
  <c r="AQ503" i="9"/>
  <c r="AJ529" i="9"/>
  <c r="E484" i="9"/>
  <c r="D484" i="9"/>
  <c r="DC495" i="9" l="1"/>
  <c r="AG496" i="9"/>
  <c r="AW496" i="9"/>
  <c r="DF480" i="9"/>
  <c r="AS533" i="9"/>
  <c r="AQ504" i="9"/>
  <c r="AT502" i="9"/>
  <c r="AJ530" i="9"/>
  <c r="F484" i="9"/>
  <c r="B485" i="9"/>
  <c r="DC496" i="9" l="1"/>
  <c r="AG497" i="9"/>
  <c r="DD494" i="9"/>
  <c r="DE494" i="9" s="1"/>
  <c r="AW497" i="9"/>
  <c r="DF481" i="9"/>
  <c r="AS534" i="9"/>
  <c r="AT503" i="9"/>
  <c r="AQ505" i="9"/>
  <c r="AJ531" i="9"/>
  <c r="E485" i="9"/>
  <c r="D485" i="9"/>
  <c r="DC497" i="9" l="1"/>
  <c r="AG498" i="9"/>
  <c r="DD495" i="9"/>
  <c r="DE495" i="9" s="1"/>
  <c r="AW498" i="9"/>
  <c r="DF482" i="9"/>
  <c r="AS535" i="9"/>
  <c r="AQ506" i="9"/>
  <c r="AT504" i="9"/>
  <c r="AJ532" i="9"/>
  <c r="F485" i="9"/>
  <c r="B486" i="9"/>
  <c r="DC498" i="9" l="1"/>
  <c r="AG499" i="9"/>
  <c r="DD496" i="9"/>
  <c r="DE496" i="9" s="1"/>
  <c r="AW499" i="9"/>
  <c r="DF483" i="9"/>
  <c r="AS536" i="9"/>
  <c r="AQ507" i="9"/>
  <c r="AT505" i="9"/>
  <c r="AJ533" i="9"/>
  <c r="E486" i="9"/>
  <c r="D486" i="9"/>
  <c r="DC499" i="9" l="1"/>
  <c r="DD497" i="9"/>
  <c r="DE497" i="9" s="1"/>
  <c r="AW500" i="9"/>
  <c r="DF484" i="9"/>
  <c r="AS537" i="9"/>
  <c r="AT506" i="9"/>
  <c r="AQ508" i="9"/>
  <c r="AJ534" i="9"/>
  <c r="F486" i="9"/>
  <c r="B487" i="9"/>
  <c r="AW501" i="9" l="1"/>
  <c r="DF485" i="9"/>
  <c r="AS538" i="9"/>
  <c r="AQ509" i="9"/>
  <c r="AT507" i="9"/>
  <c r="AJ535" i="9"/>
  <c r="D487" i="9"/>
  <c r="E487" i="9"/>
  <c r="AW502" i="9" l="1"/>
  <c r="DF486" i="9"/>
  <c r="AS539" i="9"/>
  <c r="AT508" i="9"/>
  <c r="AQ510" i="9"/>
  <c r="AJ536" i="9"/>
  <c r="F487" i="9"/>
  <c r="B488" i="9"/>
  <c r="AW503" i="9" l="1"/>
  <c r="DF487" i="9"/>
  <c r="AS540" i="9"/>
  <c r="AQ511" i="9"/>
  <c r="AT509" i="9"/>
  <c r="AJ537" i="9"/>
  <c r="E488" i="9"/>
  <c r="D488" i="9"/>
  <c r="AW504" i="9" l="1"/>
  <c r="DF488" i="9"/>
  <c r="AS541" i="9"/>
  <c r="AT510" i="9"/>
  <c r="AQ512" i="9"/>
  <c r="AJ538" i="9"/>
  <c r="B489" i="9"/>
  <c r="F488" i="9"/>
  <c r="AW505" i="9" l="1"/>
  <c r="DF489" i="9"/>
  <c r="AS542" i="9"/>
  <c r="AQ513" i="9"/>
  <c r="AT511" i="9"/>
  <c r="AJ539" i="9"/>
  <c r="E489" i="9"/>
  <c r="D489" i="9"/>
  <c r="AW506" i="9" l="1"/>
  <c r="DF490" i="9"/>
  <c r="AS543" i="9"/>
  <c r="AT512" i="9"/>
  <c r="AQ514" i="9"/>
  <c r="AJ540" i="9"/>
  <c r="F489" i="9"/>
  <c r="B490" i="9"/>
  <c r="AW507" i="9" l="1"/>
  <c r="DF491" i="9"/>
  <c r="AS544" i="9"/>
  <c r="AQ515" i="9"/>
  <c r="AT513" i="9"/>
  <c r="AJ541" i="9"/>
  <c r="E490" i="9"/>
  <c r="D490" i="9"/>
  <c r="AW508" i="9" l="1"/>
  <c r="DF492" i="9"/>
  <c r="AS545" i="9"/>
  <c r="AT514" i="9"/>
  <c r="AQ516" i="9"/>
  <c r="AJ542" i="9"/>
  <c r="B491" i="9"/>
  <c r="F490" i="9"/>
  <c r="AW509" i="9" l="1"/>
  <c r="DF493" i="9"/>
  <c r="AS546" i="9"/>
  <c r="AQ517" i="9"/>
  <c r="AT515" i="9"/>
  <c r="AJ543" i="9"/>
  <c r="E491" i="9"/>
  <c r="D491" i="9"/>
  <c r="AW510" i="9" l="1"/>
  <c r="DF494" i="9"/>
  <c r="AS547" i="9"/>
  <c r="AT516" i="9"/>
  <c r="AQ518" i="9"/>
  <c r="F491" i="9"/>
  <c r="B492" i="9"/>
  <c r="AW511" i="9" l="1"/>
  <c r="DF495" i="9"/>
  <c r="AS548" i="9"/>
  <c r="AT517" i="9"/>
  <c r="AQ519" i="9"/>
  <c r="E492" i="9"/>
  <c r="D492" i="9"/>
  <c r="AW512" i="9" l="1"/>
  <c r="DF496" i="9"/>
  <c r="AS549" i="9"/>
  <c r="AQ520" i="9"/>
  <c r="AT518" i="9"/>
  <c r="F492" i="9"/>
  <c r="B493" i="9"/>
  <c r="AQ521" i="9" l="1"/>
  <c r="AW513" i="9"/>
  <c r="DF497" i="9"/>
  <c r="AS550" i="9"/>
  <c r="AT519" i="9"/>
  <c r="D493" i="9"/>
  <c r="E493" i="9"/>
  <c r="AQ522" i="9" l="1"/>
  <c r="AW514" i="9"/>
  <c r="DF498" i="9"/>
  <c r="AS551" i="9"/>
  <c r="AT520" i="9"/>
  <c r="F493" i="9"/>
  <c r="B494" i="9"/>
  <c r="AQ523" i="9" l="1"/>
  <c r="AW515" i="9"/>
  <c r="DF499" i="9"/>
  <c r="AS552" i="9"/>
  <c r="AT521" i="9"/>
  <c r="D494" i="9"/>
  <c r="E494" i="9"/>
  <c r="AQ524" i="9" l="1"/>
  <c r="AW516" i="9"/>
  <c r="DF500" i="9"/>
  <c r="AS553" i="9"/>
  <c r="AT522" i="9"/>
  <c r="F494" i="9"/>
  <c r="B495" i="9"/>
  <c r="AQ525" i="9" l="1"/>
  <c r="AW517" i="9"/>
  <c r="DF501" i="9"/>
  <c r="AS554" i="9"/>
  <c r="AT523" i="9"/>
  <c r="D495" i="9"/>
  <c r="E495" i="9"/>
  <c r="AQ526" i="9" l="1"/>
  <c r="AW518" i="9"/>
  <c r="DF502" i="9"/>
  <c r="AS555" i="9"/>
  <c r="AT524" i="9"/>
  <c r="F495" i="9"/>
  <c r="B496" i="9"/>
  <c r="AQ527" i="9" l="1"/>
  <c r="AW519" i="9"/>
  <c r="DF503" i="9"/>
  <c r="AS556" i="9"/>
  <c r="AT525" i="9"/>
  <c r="D496" i="9"/>
  <c r="E496" i="9"/>
  <c r="AQ528" i="9" l="1"/>
  <c r="AW520" i="9"/>
  <c r="DF504" i="9"/>
  <c r="AS557" i="9"/>
  <c r="AT526" i="9"/>
  <c r="F496" i="9"/>
  <c r="B497" i="9"/>
  <c r="AQ529" i="9" l="1"/>
  <c r="AW521" i="9"/>
  <c r="DF505" i="9"/>
  <c r="AS558" i="9"/>
  <c r="AT527" i="9"/>
  <c r="D497" i="9"/>
  <c r="E497" i="9"/>
  <c r="AQ530" i="9" l="1"/>
  <c r="AW522" i="9"/>
  <c r="DF506" i="9"/>
  <c r="AS559" i="9"/>
  <c r="AT528" i="9"/>
  <c r="F497" i="9"/>
  <c r="B498" i="9"/>
  <c r="AQ531" i="9" l="1"/>
  <c r="AW523" i="9"/>
  <c r="DF507" i="9"/>
  <c r="AS560" i="9"/>
  <c r="AT529" i="9"/>
  <c r="D498" i="9"/>
  <c r="E498" i="9"/>
  <c r="AQ532" i="9" l="1"/>
  <c r="AW524" i="9"/>
  <c r="DF508" i="9"/>
  <c r="AS561" i="9"/>
  <c r="AT530" i="9"/>
  <c r="F498" i="9"/>
  <c r="B499" i="9"/>
  <c r="AQ533" i="9" l="1"/>
  <c r="AW525" i="9"/>
  <c r="DF509" i="9"/>
  <c r="AS562" i="9"/>
  <c r="AT531" i="9"/>
  <c r="D499" i="9"/>
  <c r="E499" i="9"/>
  <c r="AQ534" i="9" l="1"/>
  <c r="AW526" i="9"/>
  <c r="DF510" i="9"/>
  <c r="AS563" i="9"/>
  <c r="AT532" i="9"/>
  <c r="F499" i="9"/>
  <c r="B500" i="9"/>
  <c r="AQ535" i="9" l="1"/>
  <c r="AW527" i="9"/>
  <c r="DF511" i="9"/>
  <c r="AS564" i="9"/>
  <c r="AG500" i="9"/>
  <c r="AK500" i="9"/>
  <c r="AK501" i="9" s="1"/>
  <c r="AK502" i="9" s="1"/>
  <c r="AK503" i="9" s="1"/>
  <c r="AK504" i="9" s="1"/>
  <c r="AK505" i="9" s="1"/>
  <c r="AK506" i="9" s="1"/>
  <c r="AK507" i="9" s="1"/>
  <c r="AK508" i="9" s="1"/>
  <c r="AK509" i="9" s="1"/>
  <c r="AK510" i="9" s="1"/>
  <c r="AK511" i="9" s="1"/>
  <c r="AK512" i="9" s="1"/>
  <c r="AK513" i="9" s="1"/>
  <c r="AK514" i="9" s="1"/>
  <c r="AK515" i="9" s="1"/>
  <c r="AK516" i="9" s="1"/>
  <c r="AK517" i="9" s="1"/>
  <c r="AK518" i="9" s="1"/>
  <c r="AK519" i="9" s="1"/>
  <c r="AK520" i="9" s="1"/>
  <c r="AT533" i="9"/>
  <c r="D500" i="9"/>
  <c r="E500" i="9"/>
  <c r="AG501" i="9" l="1"/>
  <c r="DC500" i="9"/>
  <c r="DD499" i="9"/>
  <c r="DE499" i="9" s="1"/>
  <c r="DD498" i="9"/>
  <c r="DE498" i="9" s="1"/>
  <c r="AQ536" i="9"/>
  <c r="AW528" i="9"/>
  <c r="DF512" i="9"/>
  <c r="AS565" i="9"/>
  <c r="AT534" i="9"/>
  <c r="F500" i="9"/>
  <c r="B501" i="9"/>
  <c r="AG502" i="9" l="1"/>
  <c r="DD500" i="9"/>
  <c r="DE500" i="9" s="1"/>
  <c r="DC501" i="9"/>
  <c r="AQ537" i="9"/>
  <c r="AW529" i="9"/>
  <c r="DF513" i="9"/>
  <c r="AS566" i="9"/>
  <c r="AT535" i="9"/>
  <c r="D501" i="9"/>
  <c r="E501" i="9"/>
  <c r="DC502" i="9" l="1"/>
  <c r="AG503" i="9"/>
  <c r="AQ538" i="9"/>
  <c r="AW530" i="9"/>
  <c r="DF514" i="9"/>
  <c r="AS567" i="9"/>
  <c r="AT536" i="9"/>
  <c r="B502" i="9"/>
  <c r="F501" i="9"/>
  <c r="DC503" i="9" l="1"/>
  <c r="AG504" i="9"/>
  <c r="DD501" i="9"/>
  <c r="DE501" i="9" s="1"/>
  <c r="AQ539" i="9"/>
  <c r="AW531" i="9"/>
  <c r="DF515" i="9"/>
  <c r="AS568" i="9"/>
  <c r="AT537" i="9"/>
  <c r="D502" i="9"/>
  <c r="E502" i="9"/>
  <c r="DC504" i="9" l="1"/>
  <c r="AG505" i="9"/>
  <c r="DD502" i="9"/>
  <c r="DE502" i="9" s="1"/>
  <c r="AQ540" i="9"/>
  <c r="AW532" i="9"/>
  <c r="DF516" i="9"/>
  <c r="AS569" i="9"/>
  <c r="AT538" i="9"/>
  <c r="F502" i="9"/>
  <c r="B503" i="9"/>
  <c r="DC505" i="9" l="1"/>
  <c r="AG506" i="9"/>
  <c r="DD503" i="9"/>
  <c r="DE503" i="9" s="1"/>
  <c r="AQ541" i="9"/>
  <c r="AW533" i="9"/>
  <c r="DF517" i="9"/>
  <c r="AS570" i="9"/>
  <c r="AT539" i="9"/>
  <c r="D503" i="9"/>
  <c r="E503" i="9"/>
  <c r="DC506" i="9" l="1"/>
  <c r="AG507" i="9"/>
  <c r="DD504" i="9"/>
  <c r="DE504" i="9" s="1"/>
  <c r="AQ542" i="9"/>
  <c r="AW534" i="9"/>
  <c r="DF518" i="9"/>
  <c r="AS571" i="9"/>
  <c r="AT540" i="9"/>
  <c r="F503" i="9"/>
  <c r="B504" i="9"/>
  <c r="DC507" i="9" l="1"/>
  <c r="AG508" i="9"/>
  <c r="DD505" i="9"/>
  <c r="DE505" i="9" s="1"/>
  <c r="AQ543" i="9"/>
  <c r="AW535" i="9"/>
  <c r="DF519" i="9"/>
  <c r="AS572" i="9"/>
  <c r="AT541" i="9"/>
  <c r="D504" i="9"/>
  <c r="E504" i="9"/>
  <c r="DC508" i="9" l="1"/>
  <c r="AG509" i="9"/>
  <c r="DD507" i="9" s="1"/>
  <c r="DE507" i="9" s="1"/>
  <c r="DD506" i="9"/>
  <c r="DE506" i="9" s="1"/>
  <c r="AQ544" i="9"/>
  <c r="AW536" i="9"/>
  <c r="DF520" i="9"/>
  <c r="AS573" i="9"/>
  <c r="AT542" i="9"/>
  <c r="F504" i="9"/>
  <c r="B505" i="9"/>
  <c r="DC509" i="9" l="1"/>
  <c r="AG510" i="9"/>
  <c r="AQ545" i="9"/>
  <c r="AW537" i="9"/>
  <c r="DF521" i="9"/>
  <c r="AS574" i="9"/>
  <c r="AT543" i="9"/>
  <c r="D505" i="9"/>
  <c r="E505" i="9"/>
  <c r="DC510" i="9" l="1"/>
  <c r="AG511" i="9"/>
  <c r="DD508" i="9"/>
  <c r="DE508" i="9" s="1"/>
  <c r="AQ546" i="9"/>
  <c r="AW538" i="9"/>
  <c r="DF522" i="9"/>
  <c r="AS575" i="9"/>
  <c r="AT544" i="9"/>
  <c r="F505" i="9"/>
  <c r="B506" i="9"/>
  <c r="DC511" i="9" l="1"/>
  <c r="AG512" i="9"/>
  <c r="DD509" i="9"/>
  <c r="DE509" i="9" s="1"/>
  <c r="AQ547" i="9"/>
  <c r="AW539" i="9"/>
  <c r="DF523" i="9"/>
  <c r="AS576" i="9"/>
  <c r="AT545" i="9"/>
  <c r="D506" i="9"/>
  <c r="E506" i="9"/>
  <c r="DC512" i="9" l="1"/>
  <c r="AG513" i="9"/>
  <c r="DD510" i="9"/>
  <c r="DE510" i="9" s="1"/>
  <c r="AQ548" i="9"/>
  <c r="AW540" i="9"/>
  <c r="DF524" i="9"/>
  <c r="AS577" i="9"/>
  <c r="AT546" i="9"/>
  <c r="F506" i="9"/>
  <c r="B507" i="9"/>
  <c r="DC513" i="9" l="1"/>
  <c r="AG514" i="9"/>
  <c r="DD511" i="9"/>
  <c r="DE511" i="9" s="1"/>
  <c r="AQ549" i="9"/>
  <c r="AW541" i="9"/>
  <c r="DF525" i="9"/>
  <c r="AS578" i="9"/>
  <c r="AT547" i="9"/>
  <c r="D507" i="9"/>
  <c r="E507" i="9"/>
  <c r="DC514" i="9" l="1"/>
  <c r="AG515" i="9"/>
  <c r="DD512" i="9"/>
  <c r="DE512" i="9" s="1"/>
  <c r="AQ550" i="9"/>
  <c r="AW542" i="9"/>
  <c r="DF526" i="9"/>
  <c r="AS579" i="9"/>
  <c r="AT548" i="9"/>
  <c r="F507" i="9"/>
  <c r="B508" i="9"/>
  <c r="DC515" i="9" l="1"/>
  <c r="AG516" i="9"/>
  <c r="DD513" i="9"/>
  <c r="DE513" i="9" s="1"/>
  <c r="AQ551" i="9"/>
  <c r="AW543" i="9"/>
  <c r="DF527" i="9"/>
  <c r="AS580" i="9"/>
  <c r="AT549" i="9"/>
  <c r="E508" i="9"/>
  <c r="D508" i="9"/>
  <c r="DC516" i="9" l="1"/>
  <c r="AG517" i="9"/>
  <c r="DD515" i="9" s="1"/>
  <c r="DE515" i="9" s="1"/>
  <c r="DD514" i="9"/>
  <c r="DE514" i="9" s="1"/>
  <c r="AQ552" i="9"/>
  <c r="AW544" i="9"/>
  <c r="DF528" i="9"/>
  <c r="AS581" i="9"/>
  <c r="AT550" i="9"/>
  <c r="F508" i="9"/>
  <c r="B509" i="9"/>
  <c r="DC517" i="9" l="1"/>
  <c r="AG518" i="9"/>
  <c r="DD516" i="9" s="1"/>
  <c r="DE516" i="9" s="1"/>
  <c r="AQ553" i="9"/>
  <c r="AW545" i="9"/>
  <c r="DF529" i="9"/>
  <c r="AS582" i="9"/>
  <c r="AT551" i="9"/>
  <c r="D509" i="9"/>
  <c r="E509" i="9"/>
  <c r="DC518" i="9" l="1"/>
  <c r="AG519" i="9"/>
  <c r="DD517" i="9" s="1"/>
  <c r="DE517" i="9" s="1"/>
  <c r="AQ554" i="9"/>
  <c r="AW546" i="9"/>
  <c r="DF530" i="9"/>
  <c r="AS583" i="9"/>
  <c r="AT552" i="9"/>
  <c r="B510" i="9"/>
  <c r="F509" i="9"/>
  <c r="DC519" i="9" l="1"/>
  <c r="AQ555" i="9"/>
  <c r="AW547" i="9"/>
  <c r="DF531" i="9"/>
  <c r="AS584" i="9"/>
  <c r="AT553" i="9"/>
  <c r="E510" i="9"/>
  <c r="D510" i="9"/>
  <c r="AW548" i="9" l="1"/>
  <c r="DF532" i="9"/>
  <c r="AS585" i="9"/>
  <c r="AT554" i="9"/>
  <c r="F510" i="9"/>
  <c r="B511" i="9"/>
  <c r="AW549" i="9" l="1"/>
  <c r="DF533" i="9"/>
  <c r="AS586" i="9"/>
  <c r="AT555" i="9"/>
  <c r="D511" i="9"/>
  <c r="E511" i="9"/>
  <c r="AW550" i="9" l="1"/>
  <c r="DF534" i="9"/>
  <c r="AS587" i="9"/>
  <c r="AT556" i="9"/>
  <c r="B512" i="9"/>
  <c r="F511" i="9"/>
  <c r="AW551" i="9" l="1"/>
  <c r="DF535" i="9"/>
  <c r="AS588" i="9"/>
  <c r="AT557" i="9"/>
  <c r="D512" i="9"/>
  <c r="E512" i="9"/>
  <c r="AW552" i="9" l="1"/>
  <c r="DF536" i="9"/>
  <c r="AT558" i="9"/>
  <c r="AS589" i="9"/>
  <c r="B513" i="9"/>
  <c r="F512" i="9"/>
  <c r="AW553" i="9" l="1"/>
  <c r="DF537" i="9"/>
  <c r="AT559" i="9"/>
  <c r="AS590" i="9"/>
  <c r="D513" i="9"/>
  <c r="E513" i="9"/>
  <c r="AW554" i="9" l="1"/>
  <c r="DF538" i="9"/>
  <c r="AT560" i="9"/>
  <c r="AS591" i="9"/>
  <c r="F513" i="9"/>
  <c r="B514" i="9"/>
  <c r="AW555" i="9" l="1"/>
  <c r="DF539" i="9"/>
  <c r="AT561" i="9"/>
  <c r="AS592" i="9"/>
  <c r="D514" i="9"/>
  <c r="E514" i="9"/>
  <c r="AW556" i="9" l="1"/>
  <c r="DF540" i="9"/>
  <c r="AT562" i="9"/>
  <c r="AS593" i="9"/>
  <c r="F514" i="9"/>
  <c r="B515" i="9"/>
  <c r="AW557" i="9" l="1"/>
  <c r="DF541" i="9"/>
  <c r="AT563" i="9"/>
  <c r="AS594" i="9"/>
  <c r="D515" i="9"/>
  <c r="E515" i="9"/>
  <c r="AW558" i="9" l="1"/>
  <c r="DF542" i="9"/>
  <c r="AT564" i="9"/>
  <c r="AS595" i="9"/>
  <c r="F515" i="9"/>
  <c r="B516" i="9"/>
  <c r="AW559" i="9" l="1"/>
  <c r="DF543" i="9"/>
  <c r="AT565" i="9"/>
  <c r="AS596" i="9"/>
  <c r="D516" i="9"/>
  <c r="E516" i="9"/>
  <c r="AW560" i="9" l="1"/>
  <c r="DF544" i="9"/>
  <c r="AT566" i="9"/>
  <c r="AS597" i="9"/>
  <c r="B517" i="9"/>
  <c r="F516" i="9"/>
  <c r="AW561" i="9" l="1"/>
  <c r="DF545" i="9"/>
  <c r="AT567" i="9"/>
  <c r="AS598" i="9"/>
  <c r="D517" i="9"/>
  <c r="E517" i="9"/>
  <c r="AW562" i="9" l="1"/>
  <c r="DF546" i="9"/>
  <c r="AT568" i="9"/>
  <c r="AS599" i="9"/>
  <c r="B518" i="9"/>
  <c r="F517" i="9"/>
  <c r="AW563" i="9" l="1"/>
  <c r="DF547" i="9"/>
  <c r="AT569" i="9"/>
  <c r="AS600" i="9"/>
  <c r="E518" i="9"/>
  <c r="D518" i="9"/>
  <c r="AW564" i="9" l="1"/>
  <c r="DF548" i="9"/>
  <c r="AT570" i="9"/>
  <c r="AS601" i="9"/>
  <c r="F518" i="9"/>
  <c r="B519" i="9"/>
  <c r="AW565" i="9" l="1"/>
  <c r="DF549" i="9"/>
  <c r="AS602" i="9"/>
  <c r="D519" i="9"/>
  <c r="E519" i="9"/>
  <c r="AW566" i="9" l="1"/>
  <c r="DF550" i="9"/>
  <c r="AS603" i="9"/>
  <c r="F519" i="9"/>
  <c r="B520" i="9"/>
  <c r="AG520" i="9" s="1"/>
  <c r="AG521" i="9" l="1"/>
  <c r="DC520" i="9"/>
  <c r="DD518" i="9"/>
  <c r="DE518" i="9" s="1"/>
  <c r="AW567" i="9"/>
  <c r="DF551" i="9"/>
  <c r="AS604" i="9"/>
  <c r="D520" i="9"/>
  <c r="E520" i="9"/>
  <c r="AG522" i="9" l="1"/>
  <c r="AW568" i="9"/>
  <c r="DF552" i="9"/>
  <c r="AS605" i="9"/>
  <c r="F520" i="9"/>
  <c r="B521" i="9"/>
  <c r="AG523" i="9" l="1"/>
  <c r="AW569" i="9"/>
  <c r="DF553" i="9"/>
  <c r="AS606" i="9"/>
  <c r="AK521" i="9"/>
  <c r="D521" i="9"/>
  <c r="E521" i="9"/>
  <c r="AG524" i="9" l="1"/>
  <c r="AK522" i="9"/>
  <c r="DD520" i="9" s="1"/>
  <c r="DE520" i="9" s="1"/>
  <c r="DD519" i="9"/>
  <c r="DE519" i="9" s="1"/>
  <c r="DC521" i="9"/>
  <c r="AW570" i="9"/>
  <c r="DF554" i="9"/>
  <c r="AS607" i="9"/>
  <c r="F521" i="9"/>
  <c r="B522" i="9"/>
  <c r="AK523" i="9" l="1"/>
  <c r="DC522" i="9"/>
  <c r="DD521" i="9"/>
  <c r="DE521" i="9" s="1"/>
  <c r="AG525" i="9"/>
  <c r="AW571" i="9"/>
  <c r="AW572" i="9" s="1"/>
  <c r="AW573" i="9" s="1"/>
  <c r="AW574" i="9" s="1"/>
  <c r="AW575" i="9" s="1"/>
  <c r="AW576" i="9" s="1"/>
  <c r="AW577" i="9" s="1"/>
  <c r="AW578" i="9" s="1"/>
  <c r="AW579" i="9" s="1"/>
  <c r="AW580" i="9" s="1"/>
  <c r="AW581" i="9" s="1"/>
  <c r="AW582" i="9" s="1"/>
  <c r="AW583" i="9" s="1"/>
  <c r="AW584" i="9" s="1"/>
  <c r="AW585" i="9" s="1"/>
  <c r="AW586" i="9" s="1"/>
  <c r="AW587" i="9" s="1"/>
  <c r="AW588" i="9" s="1"/>
  <c r="AW589" i="9" s="1"/>
  <c r="AW590" i="9" s="1"/>
  <c r="AW591" i="9" s="1"/>
  <c r="AW592" i="9" s="1"/>
  <c r="AW593" i="9" s="1"/>
  <c r="AW594" i="9" s="1"/>
  <c r="AW595" i="9" s="1"/>
  <c r="AW596" i="9" s="1"/>
  <c r="AW597" i="9" s="1"/>
  <c r="AW598" i="9" s="1"/>
  <c r="AW599" i="9" s="1"/>
  <c r="AW600" i="9" s="1"/>
  <c r="AW601" i="9" s="1"/>
  <c r="AW602" i="9" s="1"/>
  <c r="AW603" i="9" s="1"/>
  <c r="AW604" i="9" s="1"/>
  <c r="AW605" i="9" s="1"/>
  <c r="AW606" i="9" s="1"/>
  <c r="AW607" i="9" s="1"/>
  <c r="AW608" i="9" s="1"/>
  <c r="AW609" i="9" s="1"/>
  <c r="AW610" i="9" s="1"/>
  <c r="AW611" i="9" s="1"/>
  <c r="AW612" i="9" s="1"/>
  <c r="AW613" i="9" s="1"/>
  <c r="AW614" i="9" s="1"/>
  <c r="AW615" i="9" s="1"/>
  <c r="AW616" i="9" s="1"/>
  <c r="AW617" i="9" s="1"/>
  <c r="AW618" i="9" s="1"/>
  <c r="AW619" i="9" s="1"/>
  <c r="AW620" i="9" s="1"/>
  <c r="AW621" i="9" s="1"/>
  <c r="AW622" i="9" s="1"/>
  <c r="AW623" i="9" s="1"/>
  <c r="AW624" i="9" s="1"/>
  <c r="AW625" i="9" s="1"/>
  <c r="AW626" i="9" s="1"/>
  <c r="AW627" i="9" s="1"/>
  <c r="AW628" i="9" s="1"/>
  <c r="AW629" i="9" s="1"/>
  <c r="AW630" i="9" s="1"/>
  <c r="AW631" i="9" s="1"/>
  <c r="AW632" i="9" s="1"/>
  <c r="AW633" i="9" s="1"/>
  <c r="AW634" i="9" s="1"/>
  <c r="AW635" i="9" s="1"/>
  <c r="AW636" i="9" s="1"/>
  <c r="AW637" i="9" s="1"/>
  <c r="AW638" i="9" s="1"/>
  <c r="AW639" i="9" s="1"/>
  <c r="AW640" i="9" s="1"/>
  <c r="AW641" i="9" s="1"/>
  <c r="AW642" i="9" s="1"/>
  <c r="AW643" i="9" s="1"/>
  <c r="AW644" i="9" s="1"/>
  <c r="AW645" i="9" s="1"/>
  <c r="AW646" i="9" s="1"/>
  <c r="AW647" i="9" s="1"/>
  <c r="AW648" i="9" s="1"/>
  <c r="AW649" i="9" s="1"/>
  <c r="AW650" i="9" s="1"/>
  <c r="AW651" i="9" s="1"/>
  <c r="AW652" i="9" s="1"/>
  <c r="AW653" i="9" s="1"/>
  <c r="AW654" i="9" s="1"/>
  <c r="AW655" i="9" s="1"/>
  <c r="AW656" i="9" s="1"/>
  <c r="AW657" i="9" s="1"/>
  <c r="AW658" i="9" s="1"/>
  <c r="AW659" i="9" s="1"/>
  <c r="AW660" i="9" s="1"/>
  <c r="AW661" i="9" s="1"/>
  <c r="AW662" i="9" s="1"/>
  <c r="AW663" i="9" s="1"/>
  <c r="AW664" i="9" s="1"/>
  <c r="AW665" i="9" s="1"/>
  <c r="AW666" i="9" s="1"/>
  <c r="AW667" i="9" s="1"/>
  <c r="AW668" i="9" s="1"/>
  <c r="AW669" i="9" s="1"/>
  <c r="AW670" i="9" s="1"/>
  <c r="AW671" i="9" s="1"/>
  <c r="AW672" i="9" s="1"/>
  <c r="AW673" i="9" s="1"/>
  <c r="AW674" i="9" s="1"/>
  <c r="AW675" i="9" s="1"/>
  <c r="AW676" i="9" s="1"/>
  <c r="AW677" i="9" s="1"/>
  <c r="AW678" i="9" s="1"/>
  <c r="AW679" i="9" s="1"/>
  <c r="AW680" i="9" s="1"/>
  <c r="AW681" i="9" s="1"/>
  <c r="AW682" i="9" s="1"/>
  <c r="AW683" i="9" s="1"/>
  <c r="AW684" i="9" s="1"/>
  <c r="AW685" i="9" s="1"/>
  <c r="DF555" i="9"/>
  <c r="AS608" i="9"/>
  <c r="D522" i="9"/>
  <c r="E522" i="9"/>
  <c r="AG526" i="9" l="1"/>
  <c r="DC523" i="9"/>
  <c r="AK524" i="9"/>
  <c r="AS609" i="9"/>
  <c r="B523" i="9"/>
  <c r="F522" i="9"/>
  <c r="DD522" i="9" l="1"/>
  <c r="DE522" i="9" s="1"/>
  <c r="DC524" i="9"/>
  <c r="AK525" i="9"/>
  <c r="DD523" i="9"/>
  <c r="DE523" i="9" s="1"/>
  <c r="AG527" i="9"/>
  <c r="AS610" i="9"/>
  <c r="E523" i="9"/>
  <c r="D523" i="9"/>
  <c r="AG528" i="9" l="1"/>
  <c r="DC525" i="9"/>
  <c r="AK526" i="9"/>
  <c r="AS611" i="9"/>
  <c r="B524" i="9"/>
  <c r="F523" i="9"/>
  <c r="DD524" i="9" l="1"/>
  <c r="DE524" i="9" s="1"/>
  <c r="AK527" i="9"/>
  <c r="DC526" i="9"/>
  <c r="AG529" i="9"/>
  <c r="DD525" i="9"/>
  <c r="DE525" i="9" s="1"/>
  <c r="AS612" i="9"/>
  <c r="D524" i="9"/>
  <c r="E524" i="9"/>
  <c r="AG530" i="9" l="1"/>
  <c r="DC527" i="9"/>
  <c r="AK528" i="9"/>
  <c r="AS613" i="9"/>
  <c r="B525" i="9"/>
  <c r="F524" i="9"/>
  <c r="AK529" i="9" l="1"/>
  <c r="AG531" i="9"/>
  <c r="AS614" i="9"/>
  <c r="E525" i="9"/>
  <c r="D525" i="9"/>
  <c r="AG532" i="9" l="1"/>
  <c r="AK530" i="9"/>
  <c r="AS615" i="9"/>
  <c r="F525" i="9"/>
  <c r="B526" i="9"/>
  <c r="AK531" i="9" l="1"/>
  <c r="AG533" i="9"/>
  <c r="AS616" i="9"/>
  <c r="D526" i="9"/>
  <c r="E526" i="9"/>
  <c r="AG534" i="9" l="1"/>
  <c r="AK532" i="9"/>
  <c r="AS617" i="9"/>
  <c r="B527" i="9"/>
  <c r="F526" i="9"/>
  <c r="AK533" i="9" l="1"/>
  <c r="AG535" i="9"/>
  <c r="AS618" i="9"/>
  <c r="E527" i="9"/>
  <c r="D527" i="9"/>
  <c r="AK534" i="9" l="1"/>
  <c r="AG536" i="9"/>
  <c r="AS619" i="9"/>
  <c r="F527" i="9"/>
  <c r="B528" i="9"/>
  <c r="AO528" i="9" s="1"/>
  <c r="AG537" i="9" l="1"/>
  <c r="DC528" i="9"/>
  <c r="DD526" i="9"/>
  <c r="DE526" i="9" s="1"/>
  <c r="AK535" i="9"/>
  <c r="AS620" i="9"/>
  <c r="AO529" i="9"/>
  <c r="DD527" i="9" s="1"/>
  <c r="DE527" i="9" s="1"/>
  <c r="D528" i="9"/>
  <c r="E528" i="9"/>
  <c r="AK536" i="9" l="1"/>
  <c r="DC529" i="9"/>
  <c r="AG538" i="9"/>
  <c r="AS621" i="9"/>
  <c r="AO530" i="9"/>
  <c r="F528" i="9"/>
  <c r="B529" i="9"/>
  <c r="AG539" i="9" l="1"/>
  <c r="DC530" i="9"/>
  <c r="DD528" i="9"/>
  <c r="DE528" i="9" s="1"/>
  <c r="AK537" i="9"/>
  <c r="AS622" i="9"/>
  <c r="AO531" i="9"/>
  <c r="DD529" i="9" s="1"/>
  <c r="DE529" i="9" s="1"/>
  <c r="E529" i="9"/>
  <c r="D529" i="9"/>
  <c r="AK538" i="9" l="1"/>
  <c r="DC531" i="9"/>
  <c r="AS623" i="9"/>
  <c r="AO532" i="9"/>
  <c r="DD530" i="9" s="1"/>
  <c r="DE530" i="9" s="1"/>
  <c r="F529" i="9"/>
  <c r="B530" i="9"/>
  <c r="DC532" i="9" l="1"/>
  <c r="AK539" i="9"/>
  <c r="AS624" i="9"/>
  <c r="AO533" i="9"/>
  <c r="E530" i="9"/>
  <c r="D530" i="9"/>
  <c r="AK540" i="9" l="1"/>
  <c r="AS625" i="9"/>
  <c r="AO534" i="9"/>
  <c r="B531" i="9"/>
  <c r="F530" i="9"/>
  <c r="AS626" i="9" l="1"/>
  <c r="AO535" i="9"/>
  <c r="D531" i="9"/>
  <c r="E531" i="9"/>
  <c r="AS627" i="9" l="1"/>
  <c r="AO536" i="9"/>
  <c r="B532" i="9"/>
  <c r="F531" i="9"/>
  <c r="AS628" i="9" l="1"/>
  <c r="AO537" i="9"/>
  <c r="D532" i="9"/>
  <c r="E532" i="9"/>
  <c r="AS629" i="9" l="1"/>
  <c r="AO538" i="9"/>
  <c r="F532" i="9"/>
  <c r="B533" i="9"/>
  <c r="AI533" i="9" s="1"/>
  <c r="DC533" i="9" l="1"/>
  <c r="DD531" i="9"/>
  <c r="DE531" i="9" s="1"/>
  <c r="AS630" i="9"/>
  <c r="AI534" i="9"/>
  <c r="DD532" i="9" s="1"/>
  <c r="DE532" i="9" s="1"/>
  <c r="AO539" i="9"/>
  <c r="E533" i="9"/>
  <c r="D533" i="9"/>
  <c r="DC534" i="9" l="1"/>
  <c r="AS631" i="9"/>
  <c r="AO540" i="9"/>
  <c r="AO541" i="9" s="1"/>
  <c r="AO542" i="9" s="1"/>
  <c r="AI535" i="9"/>
  <c r="B534" i="9"/>
  <c r="F533" i="9"/>
  <c r="DC535" i="9" l="1"/>
  <c r="DD533" i="9"/>
  <c r="DE533" i="9" s="1"/>
  <c r="AS632" i="9"/>
  <c r="AI536" i="9"/>
  <c r="AO543" i="9"/>
  <c r="D534" i="9"/>
  <c r="E534" i="9"/>
  <c r="DC536" i="9" l="1"/>
  <c r="DD534" i="9"/>
  <c r="DE534" i="9" s="1"/>
  <c r="AS633" i="9"/>
  <c r="AO544" i="9"/>
  <c r="AI537" i="9"/>
  <c r="F534" i="9"/>
  <c r="B535" i="9"/>
  <c r="DC537" i="9" l="1"/>
  <c r="DD535" i="9"/>
  <c r="DE535" i="9" s="1"/>
  <c r="AS634" i="9"/>
  <c r="AI538" i="9"/>
  <c r="AO545" i="9"/>
  <c r="D535" i="9"/>
  <c r="E535" i="9"/>
  <c r="DC538" i="9" l="1"/>
  <c r="DD536" i="9"/>
  <c r="DE536" i="9" s="1"/>
  <c r="AS635" i="9"/>
  <c r="AO546" i="9"/>
  <c r="AI539" i="9"/>
  <c r="DC539" i="9" s="1"/>
  <c r="B536" i="9"/>
  <c r="F535" i="9"/>
  <c r="DD537" i="9" l="1"/>
  <c r="DE537" i="9" s="1"/>
  <c r="AS636" i="9"/>
  <c r="AO547" i="9"/>
  <c r="AI540" i="9"/>
  <c r="AI541" i="9" s="1"/>
  <c r="AI542" i="9" s="1"/>
  <c r="E536" i="9"/>
  <c r="D536" i="9"/>
  <c r="AS637" i="9" l="1"/>
  <c r="AI543" i="9"/>
  <c r="AO548" i="9"/>
  <c r="B537" i="9"/>
  <c r="F536" i="9"/>
  <c r="AS638" i="9" l="1"/>
  <c r="AO549" i="9"/>
  <c r="AI544" i="9"/>
  <c r="D537" i="9"/>
  <c r="E537" i="9"/>
  <c r="AS639" i="9" l="1"/>
  <c r="AI545" i="9"/>
  <c r="AO550" i="9"/>
  <c r="F537" i="9"/>
  <c r="B538" i="9"/>
  <c r="AS640" i="9" l="1"/>
  <c r="AO551" i="9"/>
  <c r="AI546" i="9"/>
  <c r="D538" i="9"/>
  <c r="E538" i="9"/>
  <c r="AS641" i="9" l="1"/>
  <c r="AI547" i="9"/>
  <c r="AO552" i="9"/>
  <c r="F538" i="9"/>
  <c r="B539" i="9"/>
  <c r="AS642" i="9" l="1"/>
  <c r="AO553" i="9"/>
  <c r="AI548" i="9"/>
  <c r="E539" i="9"/>
  <c r="D539" i="9"/>
  <c r="AS643" i="9" l="1"/>
  <c r="AI549" i="9"/>
  <c r="AO554" i="9"/>
  <c r="B540" i="9"/>
  <c r="AG540" i="9" s="1"/>
  <c r="F539" i="9"/>
  <c r="AG541" i="9" l="1"/>
  <c r="DC540" i="9"/>
  <c r="DD538" i="9"/>
  <c r="DE538" i="9" s="1"/>
  <c r="AS644" i="9"/>
  <c r="AO555" i="9"/>
  <c r="AI550" i="9"/>
  <c r="E540" i="9"/>
  <c r="D540" i="9"/>
  <c r="AG542" i="9" l="1"/>
  <c r="AS645" i="9"/>
  <c r="AI551" i="9"/>
  <c r="AO556" i="9"/>
  <c r="B541" i="9"/>
  <c r="F540" i="9"/>
  <c r="AG543" i="9" l="1"/>
  <c r="AS646" i="9"/>
  <c r="AI552" i="9"/>
  <c r="AK541" i="9"/>
  <c r="AO557" i="9"/>
  <c r="D541" i="9"/>
  <c r="E541" i="9"/>
  <c r="AK542" i="9" l="1"/>
  <c r="DD539" i="9"/>
  <c r="DE539" i="9" s="1"/>
  <c r="DD540" i="9"/>
  <c r="DE540" i="9" s="1"/>
  <c r="DC541" i="9"/>
  <c r="AG544" i="9"/>
  <c r="AS647" i="9"/>
  <c r="AI553" i="9"/>
  <c r="AO558" i="9"/>
  <c r="F541" i="9"/>
  <c r="B542" i="9"/>
  <c r="AG545" i="9" l="1"/>
  <c r="AK543" i="9"/>
  <c r="DD541" i="9"/>
  <c r="DE541" i="9" s="1"/>
  <c r="DC542" i="9"/>
  <c r="AS648" i="9"/>
  <c r="AI554" i="9"/>
  <c r="AO559" i="9"/>
  <c r="E542" i="9"/>
  <c r="D542" i="9"/>
  <c r="AK544" i="9" l="1"/>
  <c r="DC543" i="9"/>
  <c r="AG546" i="9"/>
  <c r="AS649" i="9"/>
  <c r="AO560" i="9"/>
  <c r="AO561" i="9" s="1"/>
  <c r="AO562" i="9" s="1"/>
  <c r="AI555" i="9"/>
  <c r="B543" i="9"/>
  <c r="F542" i="9"/>
  <c r="AG547" i="9" l="1"/>
  <c r="AK545" i="9"/>
  <c r="AS650" i="9"/>
  <c r="AI556" i="9"/>
  <c r="AO563" i="9"/>
  <c r="D543" i="9"/>
  <c r="E543" i="9"/>
  <c r="AK546" i="9" l="1"/>
  <c r="AG548" i="9"/>
  <c r="AS651" i="9"/>
  <c r="AI557" i="9"/>
  <c r="AO564" i="9"/>
  <c r="B544" i="9"/>
  <c r="F543" i="9"/>
  <c r="AG549" i="9" l="1"/>
  <c r="AK547" i="9"/>
  <c r="AS652" i="9"/>
  <c r="AI558" i="9"/>
  <c r="AJ544" i="9"/>
  <c r="AO565" i="9"/>
  <c r="D544" i="9"/>
  <c r="E544" i="9"/>
  <c r="AK548" i="9" l="1"/>
  <c r="AG550" i="9"/>
  <c r="AJ545" i="9"/>
  <c r="DD542" i="9"/>
  <c r="DE542" i="9" s="1"/>
  <c r="DC544" i="9"/>
  <c r="DD543" i="9"/>
  <c r="DE543" i="9" s="1"/>
  <c r="AS653" i="9"/>
  <c r="AO566" i="9"/>
  <c r="AI559" i="9"/>
  <c r="B545" i="9"/>
  <c r="F544" i="9"/>
  <c r="AG551" i="9" l="1"/>
  <c r="AJ546" i="9"/>
  <c r="DC545" i="9"/>
  <c r="DD544" i="9"/>
  <c r="DE544" i="9" s="1"/>
  <c r="AK549" i="9"/>
  <c r="AS654" i="9"/>
  <c r="AO567" i="9"/>
  <c r="AI560" i="9"/>
  <c r="AI561" i="9" s="1"/>
  <c r="AI562" i="9" s="1"/>
  <c r="E545" i="9"/>
  <c r="D545" i="9"/>
  <c r="AK550" i="9" l="1"/>
  <c r="AG552" i="9"/>
  <c r="DC546" i="9"/>
  <c r="AJ547" i="9"/>
  <c r="DD545" i="9" s="1"/>
  <c r="DE545" i="9" s="1"/>
  <c r="AS655" i="9"/>
  <c r="AI563" i="9"/>
  <c r="AO568" i="9"/>
  <c r="B546" i="9"/>
  <c r="F545" i="9"/>
  <c r="AG553" i="9" l="1"/>
  <c r="DC547" i="9"/>
  <c r="AJ548" i="9"/>
  <c r="AK551" i="9"/>
  <c r="AS656" i="9"/>
  <c r="AO569" i="9"/>
  <c r="AI564" i="9"/>
  <c r="D546" i="9"/>
  <c r="E546" i="9"/>
  <c r="AG554" i="9" l="1"/>
  <c r="DC548" i="9"/>
  <c r="AJ549" i="9"/>
  <c r="AK552" i="9"/>
  <c r="DD546" i="9"/>
  <c r="DE546" i="9" s="1"/>
  <c r="AS657" i="9"/>
  <c r="AI565" i="9"/>
  <c r="AO570" i="9"/>
  <c r="F546" i="9"/>
  <c r="B547" i="9"/>
  <c r="AG555" i="9" l="1"/>
  <c r="DC549" i="9"/>
  <c r="AJ550" i="9"/>
  <c r="DD547" i="9"/>
  <c r="DE547" i="9" s="1"/>
  <c r="AK553" i="9"/>
  <c r="AS658" i="9"/>
  <c r="AO571" i="9"/>
  <c r="AI566" i="9"/>
  <c r="D547" i="9"/>
  <c r="E547" i="9"/>
  <c r="DC550" i="9" l="1"/>
  <c r="AJ551" i="9"/>
  <c r="DD548" i="9"/>
  <c r="DE548" i="9" s="1"/>
  <c r="AG556" i="9"/>
  <c r="AG557" i="9" s="1"/>
  <c r="AG558" i="9" s="1"/>
  <c r="AG559" i="9" s="1"/>
  <c r="AK554" i="9"/>
  <c r="AS659" i="9"/>
  <c r="AI567" i="9"/>
  <c r="AO572" i="9"/>
  <c r="B548" i="9"/>
  <c r="F547" i="9"/>
  <c r="DC551" i="9" l="1"/>
  <c r="AJ552" i="9"/>
  <c r="DD550" i="9" s="1"/>
  <c r="DE550" i="9" s="1"/>
  <c r="DD549" i="9"/>
  <c r="DE549" i="9" s="1"/>
  <c r="AK555" i="9"/>
  <c r="AS660" i="9"/>
  <c r="AO573" i="9"/>
  <c r="AI568" i="9"/>
  <c r="D548" i="9"/>
  <c r="E548" i="9"/>
  <c r="AK556" i="9" l="1"/>
  <c r="AK557" i="9" s="1"/>
  <c r="AK558" i="9" s="1"/>
  <c r="AK559" i="9" s="1"/>
  <c r="AK560" i="9" s="1"/>
  <c r="DC552" i="9"/>
  <c r="AJ553" i="9"/>
  <c r="AS661" i="9"/>
  <c r="AI569" i="9"/>
  <c r="AO574" i="9"/>
  <c r="B549" i="9"/>
  <c r="F548" i="9"/>
  <c r="DC553" i="9" l="1"/>
  <c r="AJ554" i="9"/>
  <c r="DD552" i="9"/>
  <c r="DE552" i="9" s="1"/>
  <c r="DD551" i="9"/>
  <c r="DE551" i="9" s="1"/>
  <c r="AS662" i="9"/>
  <c r="AO575" i="9"/>
  <c r="AI570" i="9"/>
  <c r="D549" i="9"/>
  <c r="E549" i="9"/>
  <c r="DC554" i="9" l="1"/>
  <c r="AJ555" i="9"/>
  <c r="DD553" i="9" s="1"/>
  <c r="DE553" i="9" s="1"/>
  <c r="AS663" i="9"/>
  <c r="AI571" i="9"/>
  <c r="AO576" i="9"/>
  <c r="F549" i="9"/>
  <c r="B550" i="9"/>
  <c r="DC555" i="9" l="1"/>
  <c r="AJ556" i="9"/>
  <c r="AJ557" i="9" s="1"/>
  <c r="AJ558" i="9" s="1"/>
  <c r="AJ559" i="9" s="1"/>
  <c r="AJ560" i="9" s="1"/>
  <c r="AJ561" i="9" s="1"/>
  <c r="AJ562" i="9" s="1"/>
  <c r="AJ563" i="9" s="1"/>
  <c r="AJ564" i="9" s="1"/>
  <c r="AJ565" i="9" s="1"/>
  <c r="AJ566" i="9" s="1"/>
  <c r="AJ567" i="9" s="1"/>
  <c r="AJ568" i="9" s="1"/>
  <c r="AJ569" i="9" s="1"/>
  <c r="AJ570" i="9" s="1"/>
  <c r="AJ571" i="9" s="1"/>
  <c r="AJ572" i="9" s="1"/>
  <c r="AJ573" i="9" s="1"/>
  <c r="AJ574" i="9" s="1"/>
  <c r="AJ575" i="9" s="1"/>
  <c r="AJ576" i="9" s="1"/>
  <c r="AJ577" i="9" s="1"/>
  <c r="AJ578" i="9" s="1"/>
  <c r="AJ579" i="9" s="1"/>
  <c r="AJ580" i="9" s="1"/>
  <c r="AJ581" i="9" s="1"/>
  <c r="AJ582" i="9" s="1"/>
  <c r="AJ583" i="9" s="1"/>
  <c r="AJ584" i="9" s="1"/>
  <c r="AJ585" i="9" s="1"/>
  <c r="AJ586" i="9" s="1"/>
  <c r="AJ587" i="9" s="1"/>
  <c r="AJ588" i="9" s="1"/>
  <c r="AJ589" i="9" s="1"/>
  <c r="AJ590" i="9" s="1"/>
  <c r="AJ591" i="9" s="1"/>
  <c r="AJ592" i="9" s="1"/>
  <c r="AJ593" i="9" s="1"/>
  <c r="AJ594" i="9" s="1"/>
  <c r="AJ595" i="9" s="1"/>
  <c r="AJ596" i="9" s="1"/>
  <c r="AJ597" i="9" s="1"/>
  <c r="AJ598" i="9" s="1"/>
  <c r="AJ599" i="9" s="1"/>
  <c r="AJ600" i="9" s="1"/>
  <c r="AJ601" i="9" s="1"/>
  <c r="AJ602" i="9" s="1"/>
  <c r="AJ603" i="9" s="1"/>
  <c r="AJ604" i="9" s="1"/>
  <c r="AJ605" i="9" s="1"/>
  <c r="AJ606" i="9" s="1"/>
  <c r="AJ607" i="9" s="1"/>
  <c r="AJ608" i="9" s="1"/>
  <c r="AJ609" i="9" s="1"/>
  <c r="AJ610" i="9" s="1"/>
  <c r="AJ611" i="9" s="1"/>
  <c r="AJ612" i="9" s="1"/>
  <c r="AJ613" i="9" s="1"/>
  <c r="AJ614" i="9" s="1"/>
  <c r="AJ615" i="9" s="1"/>
  <c r="AJ616" i="9" s="1"/>
  <c r="AJ617" i="9" s="1"/>
  <c r="AJ618" i="9" s="1"/>
  <c r="AJ619" i="9" s="1"/>
  <c r="AJ620" i="9" s="1"/>
  <c r="AJ621" i="9" s="1"/>
  <c r="AJ622" i="9" s="1"/>
  <c r="AJ623" i="9" s="1"/>
  <c r="AJ624" i="9" s="1"/>
  <c r="AJ625" i="9" s="1"/>
  <c r="AJ626" i="9" s="1"/>
  <c r="AJ627" i="9" s="1"/>
  <c r="AJ628" i="9" s="1"/>
  <c r="AJ629" i="9" s="1"/>
  <c r="AJ630" i="9" s="1"/>
  <c r="AJ631" i="9" s="1"/>
  <c r="AJ632" i="9" s="1"/>
  <c r="AJ633" i="9" s="1"/>
  <c r="AJ634" i="9" s="1"/>
  <c r="AJ635" i="9" s="1"/>
  <c r="AJ636" i="9" s="1"/>
  <c r="AJ637" i="9" s="1"/>
  <c r="AJ638" i="9" s="1"/>
  <c r="AJ639" i="9" s="1"/>
  <c r="AJ640" i="9" s="1"/>
  <c r="AJ641" i="9" s="1"/>
  <c r="AJ642" i="9" s="1"/>
  <c r="AJ643" i="9" s="1"/>
  <c r="AJ644" i="9" s="1"/>
  <c r="AJ645" i="9" s="1"/>
  <c r="AJ646" i="9" s="1"/>
  <c r="AJ647" i="9" s="1"/>
  <c r="AJ648" i="9" s="1"/>
  <c r="AJ649" i="9" s="1"/>
  <c r="AJ650" i="9" s="1"/>
  <c r="AJ651" i="9" s="1"/>
  <c r="AJ652" i="9" s="1"/>
  <c r="AJ653" i="9" s="1"/>
  <c r="AJ654" i="9" s="1"/>
  <c r="AJ655" i="9" s="1"/>
  <c r="AJ656" i="9" s="1"/>
  <c r="AJ657" i="9" s="1"/>
  <c r="AJ658" i="9" s="1"/>
  <c r="AJ659" i="9" s="1"/>
  <c r="AJ660" i="9" s="1"/>
  <c r="AJ661" i="9" s="1"/>
  <c r="AS664" i="9"/>
  <c r="AO577" i="9"/>
  <c r="AI572" i="9"/>
  <c r="D550" i="9"/>
  <c r="E550" i="9"/>
  <c r="AS665" i="9" l="1"/>
  <c r="AI573" i="9"/>
  <c r="AO578" i="9"/>
  <c r="AJ662" i="9"/>
  <c r="B551" i="9"/>
  <c r="F550" i="9"/>
  <c r="AS666" i="9" l="1"/>
  <c r="AO579" i="9"/>
  <c r="AI574" i="9"/>
  <c r="AJ663" i="9"/>
  <c r="D551" i="9"/>
  <c r="E551" i="9"/>
  <c r="AS667" i="9" l="1"/>
  <c r="AI575" i="9"/>
  <c r="AO580" i="9"/>
  <c r="AJ664" i="9"/>
  <c r="F551" i="9"/>
  <c r="B552" i="9"/>
  <c r="AS668" i="9" l="1"/>
  <c r="AO581" i="9"/>
  <c r="AI576" i="9"/>
  <c r="AJ665" i="9"/>
  <c r="E552" i="9"/>
  <c r="D552" i="9"/>
  <c r="AS669" i="9" l="1"/>
  <c r="AI577" i="9"/>
  <c r="AO582" i="9"/>
  <c r="AJ666" i="9"/>
  <c r="F552" i="9"/>
  <c r="B553" i="9"/>
  <c r="AS670" i="9" l="1"/>
  <c r="AO583" i="9"/>
  <c r="AI578" i="9"/>
  <c r="AJ667" i="9"/>
  <c r="D553" i="9"/>
  <c r="E553" i="9"/>
  <c r="AS671" i="9" l="1"/>
  <c r="AI579" i="9"/>
  <c r="AO584" i="9"/>
  <c r="AJ668" i="9"/>
  <c r="F553" i="9"/>
  <c r="B554" i="9"/>
  <c r="AS672" i="9" l="1"/>
  <c r="AO585" i="9"/>
  <c r="AI580" i="9"/>
  <c r="AJ669" i="9"/>
  <c r="E554" i="9"/>
  <c r="D554" i="9"/>
  <c r="AS673" i="9" l="1"/>
  <c r="AI581" i="9"/>
  <c r="AO586" i="9"/>
  <c r="AJ670" i="9"/>
  <c r="B555" i="9"/>
  <c r="F554" i="9"/>
  <c r="AS674" i="9" l="1"/>
  <c r="AO587" i="9"/>
  <c r="AI582" i="9"/>
  <c r="AJ671" i="9"/>
  <c r="E555" i="9"/>
  <c r="D555" i="9"/>
  <c r="AS675" i="9" l="1"/>
  <c r="AI583" i="9"/>
  <c r="AO588" i="9"/>
  <c r="AJ672" i="9"/>
  <c r="F555" i="9"/>
  <c r="B556" i="9"/>
  <c r="AQ556" i="9" s="1"/>
  <c r="DC556" i="9" l="1"/>
  <c r="DD554" i="9"/>
  <c r="DE554" i="9" s="1"/>
  <c r="AS676" i="9"/>
  <c r="AQ557" i="9"/>
  <c r="DD555" i="9" s="1"/>
  <c r="DE555" i="9" s="1"/>
  <c r="AO589" i="9"/>
  <c r="AI584" i="9"/>
  <c r="AJ673" i="9"/>
  <c r="D556" i="9"/>
  <c r="E556" i="9"/>
  <c r="DC557" i="9" l="1"/>
  <c r="AS677" i="9"/>
  <c r="AO590" i="9"/>
  <c r="AI585" i="9"/>
  <c r="AQ558" i="9"/>
  <c r="AJ674" i="9"/>
  <c r="B557" i="9"/>
  <c r="F556" i="9"/>
  <c r="DC558" i="9" l="1"/>
  <c r="DD556" i="9"/>
  <c r="DE556" i="9" s="1"/>
  <c r="AS678" i="9"/>
  <c r="AQ559" i="9"/>
  <c r="AI586" i="9"/>
  <c r="AO591" i="9"/>
  <c r="AJ675" i="9"/>
  <c r="D557" i="9"/>
  <c r="E557" i="9"/>
  <c r="DC559" i="9" l="1"/>
  <c r="DD557" i="9"/>
  <c r="DE557" i="9" s="1"/>
  <c r="AS679" i="9"/>
  <c r="AI587" i="9"/>
  <c r="AO592" i="9"/>
  <c r="AQ560" i="9"/>
  <c r="AJ676" i="9"/>
  <c r="F557" i="9"/>
  <c r="B558" i="9"/>
  <c r="AQ561" i="9" l="1"/>
  <c r="AS680" i="9"/>
  <c r="AO593" i="9"/>
  <c r="AI588" i="9"/>
  <c r="AJ677" i="9"/>
  <c r="E558" i="9"/>
  <c r="D558" i="9"/>
  <c r="AQ562" i="9" l="1"/>
  <c r="AS681" i="9"/>
  <c r="AO594" i="9"/>
  <c r="AI589" i="9"/>
  <c r="AJ678" i="9"/>
  <c r="F558" i="9"/>
  <c r="B559" i="9"/>
  <c r="AQ563" i="9" l="1"/>
  <c r="AS682" i="9"/>
  <c r="AO595" i="9"/>
  <c r="AI590" i="9"/>
  <c r="AJ679" i="9"/>
  <c r="D559" i="9"/>
  <c r="E559" i="9"/>
  <c r="AQ564" i="9" l="1"/>
  <c r="AS683" i="9"/>
  <c r="AI591" i="9"/>
  <c r="AO596" i="9"/>
  <c r="AJ680" i="9"/>
  <c r="F559" i="9"/>
  <c r="B560" i="9"/>
  <c r="AG560" i="9" s="1"/>
  <c r="AG561" i="9" l="1"/>
  <c r="DC560" i="9"/>
  <c r="DD558" i="9"/>
  <c r="DE558" i="9" s="1"/>
  <c r="AQ565" i="9"/>
  <c r="AS684" i="9"/>
  <c r="AO597" i="9"/>
  <c r="AI592" i="9"/>
  <c r="AJ681" i="9"/>
  <c r="D560" i="9"/>
  <c r="E560" i="9"/>
  <c r="AG562" i="9" l="1"/>
  <c r="AQ566" i="9"/>
  <c r="AS685" i="9"/>
  <c r="AO598" i="9"/>
  <c r="AI593" i="9"/>
  <c r="AJ682" i="9"/>
  <c r="B561" i="9"/>
  <c r="F560" i="9"/>
  <c r="AG563" i="9" l="1"/>
  <c r="AQ567" i="9"/>
  <c r="AI594" i="9"/>
  <c r="AO599" i="9"/>
  <c r="AK561" i="9"/>
  <c r="AJ683" i="9"/>
  <c r="E561" i="9"/>
  <c r="D561" i="9"/>
  <c r="AK562" i="9" l="1"/>
  <c r="DD559" i="9"/>
  <c r="DE559" i="9" s="1"/>
  <c r="DD560" i="9"/>
  <c r="DE560" i="9" s="1"/>
  <c r="DC561" i="9"/>
  <c r="AG564" i="9"/>
  <c r="AQ568" i="9"/>
  <c r="AI595" i="9"/>
  <c r="AO600" i="9"/>
  <c r="AJ684" i="9"/>
  <c r="F561" i="9"/>
  <c r="B562" i="9"/>
  <c r="AG565" i="9" l="1"/>
  <c r="AK563" i="9"/>
  <c r="DD561" i="9"/>
  <c r="DE561" i="9" s="1"/>
  <c r="DC562" i="9"/>
  <c r="AQ569" i="9"/>
  <c r="AO601" i="9"/>
  <c r="AI596" i="9"/>
  <c r="AJ685" i="9"/>
  <c r="D562" i="9"/>
  <c r="E562" i="9"/>
  <c r="AG566" i="9" l="1"/>
  <c r="AK564" i="9"/>
  <c r="DC563" i="9"/>
  <c r="DD562" i="9"/>
  <c r="DE562" i="9" s="1"/>
  <c r="AQ570" i="9"/>
  <c r="AT571" i="9"/>
  <c r="DF556" i="9" s="1"/>
  <c r="AO602" i="9"/>
  <c r="AI597" i="9"/>
  <c r="B563" i="9"/>
  <c r="F562" i="9"/>
  <c r="DC564" i="9" l="1"/>
  <c r="AK565" i="9"/>
  <c r="AG567" i="9"/>
  <c r="AQ571" i="9"/>
  <c r="AO603" i="9"/>
  <c r="AT572" i="9"/>
  <c r="DF557" i="9" s="1"/>
  <c r="AI598" i="9"/>
  <c r="D563" i="9"/>
  <c r="E563" i="9"/>
  <c r="AG568" i="9" l="1"/>
  <c r="DC565" i="9"/>
  <c r="DD563" i="9"/>
  <c r="DE563" i="9" s="1"/>
  <c r="AK566" i="9"/>
  <c r="DD564" i="9" s="1"/>
  <c r="DE564" i="9" s="1"/>
  <c r="AQ572" i="9"/>
  <c r="AT573" i="9"/>
  <c r="DF558" i="9" s="1"/>
  <c r="AI599" i="9"/>
  <c r="AO604" i="9"/>
  <c r="F563" i="9"/>
  <c r="B564" i="9"/>
  <c r="AK567" i="9" l="1"/>
  <c r="DC566" i="9"/>
  <c r="AG569" i="9"/>
  <c r="AQ573" i="9"/>
  <c r="AI600" i="9"/>
  <c r="AT574" i="9"/>
  <c r="DF559" i="9" s="1"/>
  <c r="AO605" i="9"/>
  <c r="D564" i="9"/>
  <c r="E564" i="9"/>
  <c r="AG570" i="9" l="1"/>
  <c r="DC567" i="9"/>
  <c r="AK568" i="9"/>
  <c r="DD565" i="9"/>
  <c r="DE565" i="9" s="1"/>
  <c r="DD566" i="9"/>
  <c r="DE566" i="9" s="1"/>
  <c r="AQ574" i="9"/>
  <c r="AO606" i="9"/>
  <c r="AI601" i="9"/>
  <c r="AT575" i="9"/>
  <c r="DF560" i="9" s="1"/>
  <c r="F564" i="9"/>
  <c r="B565" i="9"/>
  <c r="AK569" i="9" l="1"/>
  <c r="DC568" i="9"/>
  <c r="DD567" i="9"/>
  <c r="DE567" i="9" s="1"/>
  <c r="AG571" i="9"/>
  <c r="AQ575" i="9"/>
  <c r="AO607" i="9"/>
  <c r="AT576" i="9"/>
  <c r="DF561" i="9" s="1"/>
  <c r="AI602" i="9"/>
  <c r="D565" i="9"/>
  <c r="E565" i="9"/>
  <c r="AG572" i="9" l="1"/>
  <c r="DC569" i="9"/>
  <c r="AK570" i="9"/>
  <c r="AQ576" i="9"/>
  <c r="AT577" i="9"/>
  <c r="DF562" i="9" s="1"/>
  <c r="AI603" i="9"/>
  <c r="AO608" i="9"/>
  <c r="F565" i="9"/>
  <c r="B566" i="9"/>
  <c r="AG573" i="9" l="1"/>
  <c r="AK571" i="9"/>
  <c r="DC570" i="9"/>
  <c r="DD568" i="9"/>
  <c r="DE568" i="9" s="1"/>
  <c r="AQ577" i="9"/>
  <c r="AT578" i="9"/>
  <c r="DF563" i="9" s="1"/>
  <c r="AO609" i="9"/>
  <c r="AI604" i="9"/>
  <c r="D566" i="9"/>
  <c r="E566" i="9"/>
  <c r="DC571" i="9" l="1"/>
  <c r="AK572" i="9"/>
  <c r="DD570" i="9"/>
  <c r="DE570" i="9" s="1"/>
  <c r="AG574" i="9"/>
  <c r="DD569" i="9"/>
  <c r="DE569" i="9" s="1"/>
  <c r="AQ578" i="9"/>
  <c r="AO610" i="9"/>
  <c r="AI605" i="9"/>
  <c r="AT579" i="9"/>
  <c r="DF564" i="9" s="1"/>
  <c r="F566" i="9"/>
  <c r="B567" i="9"/>
  <c r="DC572" i="9" l="1"/>
  <c r="AK573" i="9"/>
  <c r="AG575" i="9"/>
  <c r="AQ579" i="9"/>
  <c r="AO611" i="9"/>
  <c r="AT580" i="9"/>
  <c r="DF565" i="9" s="1"/>
  <c r="AI606" i="9"/>
  <c r="D567" i="9"/>
  <c r="E567" i="9"/>
  <c r="AG576" i="9" l="1"/>
  <c r="DC573" i="9"/>
  <c r="AK574" i="9"/>
  <c r="DD571" i="9"/>
  <c r="DE571" i="9" s="1"/>
  <c r="AQ580" i="9"/>
  <c r="AT581" i="9"/>
  <c r="DF566" i="9" s="1"/>
  <c r="AI607" i="9"/>
  <c r="AO612" i="9"/>
  <c r="F567" i="9"/>
  <c r="B568" i="9"/>
  <c r="DC574" i="9" l="1"/>
  <c r="DD572" i="9"/>
  <c r="DE572" i="9" s="1"/>
  <c r="AK575" i="9"/>
  <c r="DD573" i="9"/>
  <c r="DE573" i="9" s="1"/>
  <c r="AG577" i="9"/>
  <c r="AQ581" i="9"/>
  <c r="AO613" i="9"/>
  <c r="AI608" i="9"/>
  <c r="AT582" i="9"/>
  <c r="DF567" i="9" s="1"/>
  <c r="D568" i="9"/>
  <c r="E568" i="9"/>
  <c r="AG578" i="9" l="1"/>
  <c r="DC575" i="9"/>
  <c r="AK576" i="9"/>
  <c r="AQ582" i="9"/>
  <c r="AI609" i="9"/>
  <c r="AT583" i="9"/>
  <c r="DF568" i="9" s="1"/>
  <c r="AO614" i="9"/>
  <c r="F568" i="9"/>
  <c r="B569" i="9"/>
  <c r="AG579" i="9" l="1"/>
  <c r="AK577" i="9"/>
  <c r="DC576" i="9"/>
  <c r="DD574" i="9"/>
  <c r="DE574" i="9" s="1"/>
  <c r="AQ583" i="9"/>
  <c r="AI610" i="9"/>
  <c r="AO615" i="9"/>
  <c r="AT584" i="9"/>
  <c r="DF569" i="9" s="1"/>
  <c r="D569" i="9"/>
  <c r="E569" i="9"/>
  <c r="DC577" i="9" l="1"/>
  <c r="AK578" i="9"/>
  <c r="DD576" i="9"/>
  <c r="DE576" i="9" s="1"/>
  <c r="AG580" i="9"/>
  <c r="DD575" i="9"/>
  <c r="DE575" i="9" s="1"/>
  <c r="AQ584" i="9"/>
  <c r="AO616" i="9"/>
  <c r="AT585" i="9"/>
  <c r="DF570" i="9" s="1"/>
  <c r="AI611" i="9"/>
  <c r="F569" i="9"/>
  <c r="B570" i="9"/>
  <c r="AG581" i="9" l="1"/>
  <c r="AK579" i="9"/>
  <c r="DC578" i="9"/>
  <c r="AQ585" i="9"/>
  <c r="AI612" i="9"/>
  <c r="AT586" i="9"/>
  <c r="DF571" i="9" s="1"/>
  <c r="AO617" i="9"/>
  <c r="D570" i="9"/>
  <c r="E570" i="9"/>
  <c r="DC579" i="9" l="1"/>
  <c r="AK580" i="9"/>
  <c r="DD577" i="9"/>
  <c r="DE577" i="9" s="1"/>
  <c r="AG582" i="9"/>
  <c r="AQ586" i="9"/>
  <c r="AT587" i="9"/>
  <c r="DF572" i="9" s="1"/>
  <c r="AO618" i="9"/>
  <c r="AI613" i="9"/>
  <c r="F570" i="9"/>
  <c r="B571" i="9"/>
  <c r="AG583" i="9" l="1"/>
  <c r="DC580" i="9"/>
  <c r="AK581" i="9"/>
  <c r="DD579" i="9"/>
  <c r="DE579" i="9" s="1"/>
  <c r="DD578" i="9"/>
  <c r="DE578" i="9" s="1"/>
  <c r="AQ587" i="9"/>
  <c r="AO619" i="9"/>
  <c r="AT588" i="9"/>
  <c r="DF573" i="9" s="1"/>
  <c r="AI614" i="9"/>
  <c r="D571" i="9"/>
  <c r="E571" i="9"/>
  <c r="AK582" i="9" l="1"/>
  <c r="DC581" i="9"/>
  <c r="AG584" i="9"/>
  <c r="DD580" i="9"/>
  <c r="DE580" i="9" s="1"/>
  <c r="AQ588" i="9"/>
  <c r="AI615" i="9"/>
  <c r="AT589" i="9"/>
  <c r="DF574" i="9" s="1"/>
  <c r="AO620" i="9"/>
  <c r="F571" i="9"/>
  <c r="B572" i="9"/>
  <c r="AG585" i="9" l="1"/>
  <c r="DC582" i="9"/>
  <c r="AK583" i="9"/>
  <c r="AQ589" i="9"/>
  <c r="AT590" i="9"/>
  <c r="DF575" i="9" s="1"/>
  <c r="AO621" i="9"/>
  <c r="AI616" i="9"/>
  <c r="D572" i="9"/>
  <c r="E572" i="9"/>
  <c r="AK584" i="9" l="1"/>
  <c r="DC583" i="9"/>
  <c r="DD581" i="9"/>
  <c r="DE581" i="9" s="1"/>
  <c r="DD582" i="9"/>
  <c r="DE582" i="9" s="1"/>
  <c r="AG586" i="9"/>
  <c r="AQ590" i="9"/>
  <c r="AO622" i="9"/>
  <c r="AT591" i="9"/>
  <c r="DF576" i="9" s="1"/>
  <c r="AI617" i="9"/>
  <c r="F572" i="9"/>
  <c r="B573" i="9"/>
  <c r="AG587" i="9" l="1"/>
  <c r="DC584" i="9"/>
  <c r="AK585" i="9"/>
  <c r="DD583" i="9"/>
  <c r="DE583" i="9" s="1"/>
  <c r="AQ591" i="9"/>
  <c r="AI618" i="9"/>
  <c r="AT592" i="9"/>
  <c r="DF577" i="9" s="1"/>
  <c r="AO623" i="9"/>
  <c r="D573" i="9"/>
  <c r="E573" i="9"/>
  <c r="DC585" i="9" l="1"/>
  <c r="AK586" i="9"/>
  <c r="DD584" i="9" s="1"/>
  <c r="DE584" i="9" s="1"/>
  <c r="AG588" i="9"/>
  <c r="AQ592" i="9"/>
  <c r="AT593" i="9"/>
  <c r="DF578" i="9" s="1"/>
  <c r="AO624" i="9"/>
  <c r="AI619" i="9"/>
  <c r="F573" i="9"/>
  <c r="B574" i="9"/>
  <c r="DC586" i="9" l="1"/>
  <c r="AK587" i="9"/>
  <c r="AG589" i="9"/>
  <c r="AQ593" i="9"/>
  <c r="AO625" i="9"/>
  <c r="AT594" i="9"/>
  <c r="DF579" i="9" s="1"/>
  <c r="AI620" i="9"/>
  <c r="D574" i="9"/>
  <c r="E574" i="9"/>
  <c r="AG590" i="9" l="1"/>
  <c r="AK588" i="9"/>
  <c r="DC587" i="9"/>
  <c r="DD585" i="9"/>
  <c r="DE585" i="9" s="1"/>
  <c r="DD586" i="9"/>
  <c r="DE586" i="9" s="1"/>
  <c r="AQ594" i="9"/>
  <c r="AI621" i="9"/>
  <c r="AT595" i="9"/>
  <c r="DF580" i="9" s="1"/>
  <c r="AO626" i="9"/>
  <c r="F574" i="9"/>
  <c r="B575" i="9"/>
  <c r="AK589" i="9" l="1"/>
  <c r="DC588" i="9"/>
  <c r="DD587" i="9"/>
  <c r="DE587" i="9" s="1"/>
  <c r="AG591" i="9"/>
  <c r="AQ595" i="9"/>
  <c r="AT596" i="9"/>
  <c r="DF581" i="9" s="1"/>
  <c r="AO627" i="9"/>
  <c r="AI622" i="9"/>
  <c r="D575" i="9"/>
  <c r="E575" i="9"/>
  <c r="AG592" i="9" l="1"/>
  <c r="DC589" i="9"/>
  <c r="AK590" i="9"/>
  <c r="AQ596" i="9"/>
  <c r="AO628" i="9"/>
  <c r="AT597" i="9"/>
  <c r="DF582" i="9" s="1"/>
  <c r="AI623" i="9"/>
  <c r="F575" i="9"/>
  <c r="B576" i="9"/>
  <c r="AK591" i="9" l="1"/>
  <c r="DC590" i="9"/>
  <c r="AG593" i="9"/>
  <c r="DD588" i="9"/>
  <c r="DE588" i="9" s="1"/>
  <c r="DD589" i="9"/>
  <c r="DE589" i="9" s="1"/>
  <c r="AQ597" i="9"/>
  <c r="AI624" i="9"/>
  <c r="AT598" i="9"/>
  <c r="DF583" i="9" s="1"/>
  <c r="AO629" i="9"/>
  <c r="D576" i="9"/>
  <c r="E576" i="9"/>
  <c r="AG594" i="9" l="1"/>
  <c r="AK592" i="9"/>
  <c r="DC591" i="9"/>
  <c r="AQ598" i="9"/>
  <c r="AI625" i="9"/>
  <c r="AT599" i="9"/>
  <c r="DF584" i="9" s="1"/>
  <c r="AO630" i="9"/>
  <c r="F576" i="9"/>
  <c r="B577" i="9"/>
  <c r="DC592" i="9" l="1"/>
  <c r="AK593" i="9"/>
  <c r="DD590" i="9"/>
  <c r="DE590" i="9" s="1"/>
  <c r="DD591" i="9"/>
  <c r="DE591" i="9" s="1"/>
  <c r="AG595" i="9"/>
  <c r="AQ599" i="9"/>
  <c r="AT600" i="9"/>
  <c r="DF585" i="9" s="1"/>
  <c r="AO631" i="9"/>
  <c r="AI626" i="9"/>
  <c r="D577" i="9"/>
  <c r="E577" i="9"/>
  <c r="AG596" i="9" l="1"/>
  <c r="DC593" i="9"/>
  <c r="AK594" i="9"/>
  <c r="AQ600" i="9"/>
  <c r="AO632" i="9"/>
  <c r="AI627" i="9"/>
  <c r="AT601" i="9"/>
  <c r="DF586" i="9" s="1"/>
  <c r="F577" i="9"/>
  <c r="B578" i="9"/>
  <c r="AG597" i="9" l="1"/>
  <c r="DC594" i="9"/>
  <c r="AK595" i="9"/>
  <c r="DD592" i="9"/>
  <c r="DE592" i="9" s="1"/>
  <c r="DD593" i="9"/>
  <c r="DE593" i="9" s="1"/>
  <c r="AQ601" i="9"/>
  <c r="AT602" i="9"/>
  <c r="DF587" i="9" s="1"/>
  <c r="AO633" i="9"/>
  <c r="AI628" i="9"/>
  <c r="D578" i="9"/>
  <c r="E578" i="9"/>
  <c r="DC595" i="9" l="1"/>
  <c r="AK596" i="9"/>
  <c r="AG598" i="9"/>
  <c r="AQ602" i="9"/>
  <c r="AO634" i="9"/>
  <c r="AT603" i="9"/>
  <c r="DF588" i="9" s="1"/>
  <c r="AI629" i="9"/>
  <c r="F578" i="9"/>
  <c r="B579" i="9"/>
  <c r="AG599" i="9" l="1"/>
  <c r="DC596" i="9"/>
  <c r="DD594" i="9"/>
  <c r="DE594" i="9" s="1"/>
  <c r="AK597" i="9"/>
  <c r="DD595" i="9" s="1"/>
  <c r="DE595" i="9" s="1"/>
  <c r="AQ603" i="9"/>
  <c r="AI630" i="9"/>
  <c r="AT604" i="9"/>
  <c r="DF589" i="9" s="1"/>
  <c r="AO635" i="9"/>
  <c r="D579" i="9"/>
  <c r="E579" i="9"/>
  <c r="AK598" i="9" l="1"/>
  <c r="DC597" i="9"/>
  <c r="DD596" i="9"/>
  <c r="DE596" i="9" s="1"/>
  <c r="AG600" i="9"/>
  <c r="AQ604" i="9"/>
  <c r="AT605" i="9"/>
  <c r="DF590" i="9" s="1"/>
  <c r="AO636" i="9"/>
  <c r="AI631" i="9"/>
  <c r="F579" i="9"/>
  <c r="B580" i="9"/>
  <c r="AG601" i="9" l="1"/>
  <c r="DC598" i="9"/>
  <c r="AK599" i="9"/>
  <c r="AQ605" i="9"/>
  <c r="AO637" i="9"/>
  <c r="AT606" i="9"/>
  <c r="DF591" i="9" s="1"/>
  <c r="AI632" i="9"/>
  <c r="D580" i="9"/>
  <c r="E580" i="9"/>
  <c r="AK600" i="9" l="1"/>
  <c r="DC599" i="9"/>
  <c r="DD597" i="9"/>
  <c r="DE597" i="9" s="1"/>
  <c r="DD598" i="9"/>
  <c r="DE598" i="9" s="1"/>
  <c r="AG602" i="9"/>
  <c r="AQ606" i="9"/>
  <c r="AT607" i="9"/>
  <c r="DF592" i="9" s="1"/>
  <c r="AI633" i="9"/>
  <c r="AO638" i="9"/>
  <c r="B581" i="9"/>
  <c r="F580" i="9"/>
  <c r="AG603" i="9" l="1"/>
  <c r="DC600" i="9"/>
  <c r="AK601" i="9"/>
  <c r="AQ607" i="9"/>
  <c r="AI634" i="9"/>
  <c r="AT608" i="9"/>
  <c r="DF593" i="9" s="1"/>
  <c r="AO639" i="9"/>
  <c r="D581" i="9"/>
  <c r="E581" i="9"/>
  <c r="AK602" i="9" l="1"/>
  <c r="DC601" i="9"/>
  <c r="DD599" i="9"/>
  <c r="DE599" i="9" s="1"/>
  <c r="AG604" i="9"/>
  <c r="DD600" i="9"/>
  <c r="DE600" i="9" s="1"/>
  <c r="AQ608" i="9"/>
  <c r="AO640" i="9"/>
  <c r="AI635" i="9"/>
  <c r="AT609" i="9"/>
  <c r="DF594" i="9" s="1"/>
  <c r="B582" i="9"/>
  <c r="F581" i="9"/>
  <c r="AG605" i="9" l="1"/>
  <c r="DC602" i="9"/>
  <c r="AK603" i="9"/>
  <c r="AQ609" i="9"/>
  <c r="AO641" i="9"/>
  <c r="AT610" i="9"/>
  <c r="DF595" i="9" s="1"/>
  <c r="AI636" i="9"/>
  <c r="D582" i="9"/>
  <c r="E582" i="9"/>
  <c r="AK604" i="9" l="1"/>
  <c r="DC603" i="9"/>
  <c r="DD601" i="9"/>
  <c r="DE601" i="9" s="1"/>
  <c r="DD602" i="9"/>
  <c r="DE602" i="9" s="1"/>
  <c r="AG606" i="9"/>
  <c r="AQ610" i="9"/>
  <c r="AT611" i="9"/>
  <c r="DF596" i="9" s="1"/>
  <c r="AI637" i="9"/>
  <c r="AO642" i="9"/>
  <c r="B583" i="9"/>
  <c r="F582" i="9"/>
  <c r="AG607" i="9" l="1"/>
  <c r="DC604" i="9"/>
  <c r="AK605" i="9"/>
  <c r="DD603" i="9" s="1"/>
  <c r="DE603" i="9" s="1"/>
  <c r="AQ611" i="9"/>
  <c r="AI638" i="9"/>
  <c r="AT612" i="9"/>
  <c r="DF597" i="9" s="1"/>
  <c r="AO643" i="9"/>
  <c r="D583" i="9"/>
  <c r="E583" i="9"/>
  <c r="DC605" i="9" l="1"/>
  <c r="AK606" i="9"/>
  <c r="AG608" i="9"/>
  <c r="AQ612" i="9"/>
  <c r="AO644" i="9"/>
  <c r="AT613" i="9"/>
  <c r="DF598" i="9" s="1"/>
  <c r="AI639" i="9"/>
  <c r="B584" i="9"/>
  <c r="F583" i="9"/>
  <c r="AG609" i="9" l="1"/>
  <c r="DC606" i="9"/>
  <c r="AK607" i="9"/>
  <c r="DD604" i="9"/>
  <c r="DE604" i="9" s="1"/>
  <c r="AQ613" i="9"/>
  <c r="AT614" i="9"/>
  <c r="DF599" i="9" s="1"/>
  <c r="AI640" i="9"/>
  <c r="AO645" i="9"/>
  <c r="D584" i="9"/>
  <c r="E584" i="9"/>
  <c r="DC607" i="9" l="1"/>
  <c r="AK608" i="9"/>
  <c r="DD605" i="9"/>
  <c r="DE605" i="9" s="1"/>
  <c r="DD606" i="9"/>
  <c r="DE606" i="9" s="1"/>
  <c r="AG610" i="9"/>
  <c r="AQ614" i="9"/>
  <c r="AI641" i="9"/>
  <c r="AT615" i="9"/>
  <c r="DF600" i="9" s="1"/>
  <c r="AO646" i="9"/>
  <c r="B585" i="9"/>
  <c r="F584" i="9"/>
  <c r="AG611" i="9" l="1"/>
  <c r="DC608" i="9"/>
  <c r="AK609" i="9"/>
  <c r="AQ615" i="9"/>
  <c r="AO647" i="9"/>
  <c r="AT616" i="9"/>
  <c r="DF601" i="9" s="1"/>
  <c r="AI642" i="9"/>
  <c r="D585" i="9"/>
  <c r="E585" i="9"/>
  <c r="DC609" i="9" l="1"/>
  <c r="AK610" i="9"/>
  <c r="DD608" i="9"/>
  <c r="DE608" i="9" s="1"/>
  <c r="DD607" i="9"/>
  <c r="DE607" i="9" s="1"/>
  <c r="AG612" i="9"/>
  <c r="AQ616" i="9"/>
  <c r="AT617" i="9"/>
  <c r="DF602" i="9" s="1"/>
  <c r="AI643" i="9"/>
  <c r="AO648" i="9"/>
  <c r="B586" i="9"/>
  <c r="F585" i="9"/>
  <c r="AG613" i="9" l="1"/>
  <c r="DC610" i="9"/>
  <c r="AK611" i="9"/>
  <c r="AQ617" i="9"/>
  <c r="AI644" i="9"/>
  <c r="AT618" i="9"/>
  <c r="DF603" i="9" s="1"/>
  <c r="AO649" i="9"/>
  <c r="D586" i="9"/>
  <c r="E586" i="9"/>
  <c r="AK612" i="9" l="1"/>
  <c r="DC611" i="9"/>
  <c r="DD610" i="9"/>
  <c r="DE610" i="9" s="1"/>
  <c r="DD609" i="9"/>
  <c r="DE609" i="9" s="1"/>
  <c r="AG614" i="9"/>
  <c r="AQ618" i="9"/>
  <c r="AO650" i="9"/>
  <c r="AT619" i="9"/>
  <c r="DF604" i="9" s="1"/>
  <c r="AI645" i="9"/>
  <c r="B587" i="9"/>
  <c r="F586" i="9"/>
  <c r="AG615" i="9" l="1"/>
  <c r="DC612" i="9"/>
  <c r="AK613" i="9"/>
  <c r="AQ619" i="9"/>
  <c r="AT620" i="9"/>
  <c r="DF605" i="9" s="1"/>
  <c r="AI646" i="9"/>
  <c r="AO651" i="9"/>
  <c r="D587" i="9"/>
  <c r="E587" i="9"/>
  <c r="AK614" i="9" l="1"/>
  <c r="DD612" i="9" s="1"/>
  <c r="DE612" i="9" s="1"/>
  <c r="DC613" i="9"/>
  <c r="DD611" i="9"/>
  <c r="DE611" i="9" s="1"/>
  <c r="AG616" i="9"/>
  <c r="AQ620" i="9"/>
  <c r="AI647" i="9"/>
  <c r="AT621" i="9"/>
  <c r="DF606" i="9" s="1"/>
  <c r="AO652" i="9"/>
  <c r="B588" i="9"/>
  <c r="F587" i="9"/>
  <c r="AG617" i="9" l="1"/>
  <c r="DC614" i="9"/>
  <c r="AK615" i="9"/>
  <c r="AQ621" i="9"/>
  <c r="AO653" i="9"/>
  <c r="AT622" i="9"/>
  <c r="DF607" i="9" s="1"/>
  <c r="AI648" i="9"/>
  <c r="E588" i="9"/>
  <c r="D588" i="9"/>
  <c r="DD613" i="9" l="1"/>
  <c r="DE613" i="9" s="1"/>
  <c r="AK616" i="9"/>
  <c r="DC615" i="9"/>
  <c r="DD614" i="9"/>
  <c r="DE614" i="9" s="1"/>
  <c r="AG618" i="9"/>
  <c r="AQ622" i="9"/>
  <c r="AT623" i="9"/>
  <c r="DF608" i="9" s="1"/>
  <c r="AI649" i="9"/>
  <c r="AO654" i="9"/>
  <c r="B589" i="9"/>
  <c r="F588" i="9"/>
  <c r="AG619" i="9" l="1"/>
  <c r="DC616" i="9"/>
  <c r="AK617" i="9"/>
  <c r="AQ623" i="9"/>
  <c r="AI650" i="9"/>
  <c r="AT624" i="9"/>
  <c r="DF609" i="9" s="1"/>
  <c r="AO655" i="9"/>
  <c r="E589" i="9"/>
  <c r="D589" i="9"/>
  <c r="DC617" i="9" l="1"/>
  <c r="DD615" i="9"/>
  <c r="DE615" i="9" s="1"/>
  <c r="AK618" i="9"/>
  <c r="AG620" i="9"/>
  <c r="DD616" i="9"/>
  <c r="DE616" i="9" s="1"/>
  <c r="AQ624" i="9"/>
  <c r="AO656" i="9"/>
  <c r="AT625" i="9"/>
  <c r="DF610" i="9" s="1"/>
  <c r="AI651" i="9"/>
  <c r="B590" i="9"/>
  <c r="F589" i="9"/>
  <c r="AG621" i="9" l="1"/>
  <c r="DC618" i="9"/>
  <c r="AK619" i="9"/>
  <c r="AQ625" i="9"/>
  <c r="AT626" i="9"/>
  <c r="DF611" i="9" s="1"/>
  <c r="AI652" i="9"/>
  <c r="AO657" i="9"/>
  <c r="E590" i="9"/>
  <c r="D590" i="9"/>
  <c r="DC619" i="9" l="1"/>
  <c r="AK620" i="9"/>
  <c r="DD618" i="9"/>
  <c r="DE618" i="9" s="1"/>
  <c r="DD617" i="9"/>
  <c r="DE617" i="9" s="1"/>
  <c r="AG622" i="9"/>
  <c r="AQ626" i="9"/>
  <c r="AI653" i="9"/>
  <c r="AT627" i="9"/>
  <c r="DF612" i="9" s="1"/>
  <c r="AO658" i="9"/>
  <c r="B591" i="9"/>
  <c r="F590" i="9"/>
  <c r="AG623" i="9" l="1"/>
  <c r="DC620" i="9"/>
  <c r="AK621" i="9"/>
  <c r="AQ627" i="9"/>
  <c r="AO659" i="9"/>
  <c r="AT628" i="9"/>
  <c r="DF613" i="9" s="1"/>
  <c r="AI654" i="9"/>
  <c r="D591" i="9"/>
  <c r="E591" i="9"/>
  <c r="DC621" i="9" l="1"/>
  <c r="DD619" i="9"/>
  <c r="DE619" i="9" s="1"/>
  <c r="AK622" i="9"/>
  <c r="AG624" i="9"/>
  <c r="AQ628" i="9"/>
  <c r="AT629" i="9"/>
  <c r="DF614" i="9" s="1"/>
  <c r="AI655" i="9"/>
  <c r="AO660" i="9"/>
  <c r="B592" i="9"/>
  <c r="F591" i="9"/>
  <c r="AG625" i="9" l="1"/>
  <c r="DC622" i="9"/>
  <c r="AK623" i="9"/>
  <c r="DD620" i="9"/>
  <c r="DE620" i="9" s="1"/>
  <c r="DD621" i="9"/>
  <c r="DE621" i="9" s="1"/>
  <c r="AQ629" i="9"/>
  <c r="AI656" i="9"/>
  <c r="AT630" i="9"/>
  <c r="DF615" i="9" s="1"/>
  <c r="AO661" i="9"/>
  <c r="E592" i="9"/>
  <c r="D592" i="9"/>
  <c r="AK624" i="9" l="1"/>
  <c r="DD622" i="9" s="1"/>
  <c r="DE622" i="9" s="1"/>
  <c r="DC623" i="9"/>
  <c r="AG626" i="9"/>
  <c r="AQ630" i="9"/>
  <c r="AO662" i="9"/>
  <c r="AT631" i="9"/>
  <c r="DF616" i="9" s="1"/>
  <c r="AI657" i="9"/>
  <c r="B593" i="9"/>
  <c r="F592" i="9"/>
  <c r="AG627" i="9" l="1"/>
  <c r="DC624" i="9"/>
  <c r="AK625" i="9"/>
  <c r="AQ631" i="9"/>
  <c r="AT632" i="9"/>
  <c r="DF617" i="9" s="1"/>
  <c r="AI658" i="9"/>
  <c r="AO663" i="9"/>
  <c r="D593" i="9"/>
  <c r="E593" i="9"/>
  <c r="AK626" i="9" l="1"/>
  <c r="DC625" i="9"/>
  <c r="DD623" i="9"/>
  <c r="DE623" i="9" s="1"/>
  <c r="DD624" i="9"/>
  <c r="DE624" i="9" s="1"/>
  <c r="AG628" i="9"/>
  <c r="AQ632" i="9"/>
  <c r="AI659" i="9"/>
  <c r="AT633" i="9"/>
  <c r="DF618" i="9" s="1"/>
  <c r="AO664" i="9"/>
  <c r="B594" i="9"/>
  <c r="F593" i="9"/>
  <c r="AG629" i="9" l="1"/>
  <c r="DC626" i="9"/>
  <c r="AK627" i="9"/>
  <c r="AQ633" i="9"/>
  <c r="AO665" i="9"/>
  <c r="AT634" i="9"/>
  <c r="DF619" i="9" s="1"/>
  <c r="AI660" i="9"/>
  <c r="E594" i="9"/>
  <c r="D594" i="9"/>
  <c r="DC627" i="9" l="1"/>
  <c r="AK628" i="9"/>
  <c r="DD625" i="9"/>
  <c r="DE625" i="9" s="1"/>
  <c r="AG630" i="9"/>
  <c r="AQ634" i="9"/>
  <c r="AT635" i="9"/>
  <c r="DF620" i="9" s="1"/>
  <c r="AI661" i="9"/>
  <c r="AO666" i="9"/>
  <c r="B595" i="9"/>
  <c r="F594" i="9"/>
  <c r="DC628" i="9" l="1"/>
  <c r="AK629" i="9"/>
  <c r="AG631" i="9"/>
  <c r="DD626" i="9"/>
  <c r="DE626" i="9" s="1"/>
  <c r="AQ635" i="9"/>
  <c r="AI662" i="9"/>
  <c r="AT636" i="9"/>
  <c r="DF621" i="9" s="1"/>
  <c r="AO667" i="9"/>
  <c r="D595" i="9"/>
  <c r="E595" i="9"/>
  <c r="AK630" i="9" l="1"/>
  <c r="DC629" i="9"/>
  <c r="DD628" i="9"/>
  <c r="DE628" i="9" s="1"/>
  <c r="AG632" i="9"/>
  <c r="DD627" i="9"/>
  <c r="DE627" i="9" s="1"/>
  <c r="AQ636" i="9"/>
  <c r="AT637" i="9"/>
  <c r="DF622" i="9" s="1"/>
  <c r="AO668" i="9"/>
  <c r="AI663" i="9"/>
  <c r="B596" i="9"/>
  <c r="F595" i="9"/>
  <c r="AG633" i="9" l="1"/>
  <c r="AK631" i="9"/>
  <c r="DC630" i="9"/>
  <c r="AQ637" i="9"/>
  <c r="AO669" i="9"/>
  <c r="AI664" i="9"/>
  <c r="AT638" i="9"/>
  <c r="DF623" i="9" s="1"/>
  <c r="D596" i="9"/>
  <c r="E596" i="9"/>
  <c r="DC631" i="9" l="1"/>
  <c r="AK632" i="9"/>
  <c r="DD629" i="9"/>
  <c r="DE629" i="9" s="1"/>
  <c r="DD630" i="9"/>
  <c r="DE630" i="9" s="1"/>
  <c r="AG634" i="9"/>
  <c r="AQ638" i="9"/>
  <c r="AI665" i="9"/>
  <c r="AO670" i="9"/>
  <c r="AT639" i="9"/>
  <c r="DF624" i="9" s="1"/>
  <c r="B597" i="9"/>
  <c r="F596" i="9"/>
  <c r="AG635" i="9" l="1"/>
  <c r="DC632" i="9"/>
  <c r="AK633" i="9"/>
  <c r="AQ639" i="9"/>
  <c r="AT640" i="9"/>
  <c r="DF625" i="9" s="1"/>
  <c r="AO671" i="9"/>
  <c r="AI666" i="9"/>
  <c r="D597" i="9"/>
  <c r="E597" i="9"/>
  <c r="AK634" i="9" l="1"/>
  <c r="DC633" i="9"/>
  <c r="DD631" i="9"/>
  <c r="DE631" i="9" s="1"/>
  <c r="AG636" i="9"/>
  <c r="AQ640" i="9"/>
  <c r="AO672" i="9"/>
  <c r="AI667" i="9"/>
  <c r="AT641" i="9"/>
  <c r="DF626" i="9" s="1"/>
  <c r="F597" i="9"/>
  <c r="B598" i="9"/>
  <c r="AG637" i="9" l="1"/>
  <c r="DC634" i="9"/>
  <c r="AK635" i="9"/>
  <c r="DD633" i="9"/>
  <c r="DE633" i="9" s="1"/>
  <c r="DD632" i="9"/>
  <c r="DE632" i="9" s="1"/>
  <c r="AQ641" i="9"/>
  <c r="AI668" i="9"/>
  <c r="AO673" i="9"/>
  <c r="AT642" i="9"/>
  <c r="DF627" i="9" s="1"/>
  <c r="D598" i="9"/>
  <c r="E598" i="9"/>
  <c r="AK636" i="9" l="1"/>
  <c r="DC635" i="9"/>
  <c r="DD634" i="9"/>
  <c r="DE634" i="9" s="1"/>
  <c r="AG638" i="9"/>
  <c r="AQ642" i="9"/>
  <c r="AT643" i="9"/>
  <c r="DF628" i="9" s="1"/>
  <c r="AO674" i="9"/>
  <c r="AI669" i="9"/>
  <c r="B599" i="9"/>
  <c r="F598" i="9"/>
  <c r="AG639" i="9" l="1"/>
  <c r="DC636" i="9"/>
  <c r="AK637" i="9"/>
  <c r="AQ643" i="9"/>
  <c r="AI670" i="9"/>
  <c r="AO675" i="9"/>
  <c r="AT644" i="9"/>
  <c r="DF629" i="9" s="1"/>
  <c r="E599" i="9"/>
  <c r="D599" i="9"/>
  <c r="AK638" i="9" l="1"/>
  <c r="DC637" i="9"/>
  <c r="DD635" i="9"/>
  <c r="DE635" i="9" s="1"/>
  <c r="AG640" i="9"/>
  <c r="DD636" i="9"/>
  <c r="DE636" i="9" s="1"/>
  <c r="AQ644" i="9"/>
  <c r="AT645" i="9"/>
  <c r="DF630" i="9" s="1"/>
  <c r="AO676" i="9"/>
  <c r="AI671" i="9"/>
  <c r="B600" i="9"/>
  <c r="F599" i="9"/>
  <c r="AG641" i="9" l="1"/>
  <c r="DC638" i="9"/>
  <c r="AK639" i="9"/>
  <c r="AQ645" i="9"/>
  <c r="AO677" i="9"/>
  <c r="AI672" i="9"/>
  <c r="AT646" i="9"/>
  <c r="DF631" i="9" s="1"/>
  <c r="E600" i="9"/>
  <c r="D600" i="9"/>
  <c r="DC639" i="9" l="1"/>
  <c r="AK640" i="9"/>
  <c r="DD637" i="9"/>
  <c r="DE637" i="9" s="1"/>
  <c r="AG642" i="9"/>
  <c r="AQ646" i="9"/>
  <c r="AI673" i="9"/>
  <c r="AO678" i="9"/>
  <c r="AT647" i="9"/>
  <c r="DF632" i="9" s="1"/>
  <c r="B601" i="9"/>
  <c r="F600" i="9"/>
  <c r="DC640" i="9" l="1"/>
  <c r="AK641" i="9"/>
  <c r="DD638" i="9"/>
  <c r="DE638" i="9" s="1"/>
  <c r="AG643" i="9"/>
  <c r="AQ647" i="9"/>
  <c r="AT648" i="9"/>
  <c r="DF633" i="9" s="1"/>
  <c r="AO679" i="9"/>
  <c r="AI674" i="9"/>
  <c r="E601" i="9"/>
  <c r="D601" i="9"/>
  <c r="AG644" i="9" l="1"/>
  <c r="AK642" i="9"/>
  <c r="DC641" i="9"/>
  <c r="DD639" i="9"/>
  <c r="DE639" i="9" s="1"/>
  <c r="AQ648" i="9"/>
  <c r="AO680" i="9"/>
  <c r="AI675" i="9"/>
  <c r="AT649" i="9"/>
  <c r="DF634" i="9" s="1"/>
  <c r="B602" i="9"/>
  <c r="F601" i="9"/>
  <c r="AK643" i="9" l="1"/>
  <c r="DC642" i="9"/>
  <c r="DD640" i="9"/>
  <c r="DE640" i="9" s="1"/>
  <c r="DD641" i="9"/>
  <c r="DE641" i="9" s="1"/>
  <c r="AG645" i="9"/>
  <c r="AQ649" i="9"/>
  <c r="AI676" i="9"/>
  <c r="AO681" i="9"/>
  <c r="AT650" i="9"/>
  <c r="DF635" i="9" s="1"/>
  <c r="E602" i="9"/>
  <c r="D602" i="9"/>
  <c r="AG646" i="9" l="1"/>
  <c r="DC643" i="9"/>
  <c r="AK644" i="9"/>
  <c r="AQ650" i="9"/>
  <c r="AT651" i="9"/>
  <c r="DF636" i="9" s="1"/>
  <c r="AO682" i="9"/>
  <c r="AI677" i="9"/>
  <c r="B603" i="9"/>
  <c r="F602" i="9"/>
  <c r="AK645" i="9" l="1"/>
  <c r="DD642" i="9"/>
  <c r="DE642" i="9" s="1"/>
  <c r="DC644" i="9"/>
  <c r="DD643" i="9"/>
  <c r="DE643" i="9" s="1"/>
  <c r="AG647" i="9"/>
  <c r="AQ651" i="9"/>
  <c r="AO683" i="9"/>
  <c r="AT652" i="9"/>
  <c r="DF637" i="9" s="1"/>
  <c r="AI678" i="9"/>
  <c r="E603" i="9"/>
  <c r="D603" i="9"/>
  <c r="AG648" i="9" l="1"/>
  <c r="DC645" i="9"/>
  <c r="AK646" i="9"/>
  <c r="DD644" i="9"/>
  <c r="DE644" i="9" s="1"/>
  <c r="AQ652" i="9"/>
  <c r="AT653" i="9"/>
  <c r="DF638" i="9" s="1"/>
  <c r="AI679" i="9"/>
  <c r="AO684" i="9"/>
  <c r="B604" i="9"/>
  <c r="F603" i="9"/>
  <c r="AK647" i="9" l="1"/>
  <c r="DC646" i="9"/>
  <c r="DD645" i="9"/>
  <c r="DE645" i="9" s="1"/>
  <c r="AG649" i="9"/>
  <c r="AQ653" i="9"/>
  <c r="AI680" i="9"/>
  <c r="AT654" i="9"/>
  <c r="DF639" i="9" s="1"/>
  <c r="AO685" i="9"/>
  <c r="E604" i="9"/>
  <c r="D604" i="9"/>
  <c r="AG650" i="9" l="1"/>
  <c r="DC647" i="9"/>
  <c r="AK648" i="9"/>
  <c r="DD646" i="9"/>
  <c r="DE646" i="9" s="1"/>
  <c r="AQ654" i="9"/>
  <c r="AT655" i="9"/>
  <c r="DF640" i="9" s="1"/>
  <c r="AI681" i="9"/>
  <c r="B605" i="9"/>
  <c r="F604" i="9"/>
  <c r="AK649" i="9" l="1"/>
  <c r="DC648" i="9"/>
  <c r="DD647" i="9"/>
  <c r="DE647" i="9" s="1"/>
  <c r="AG651" i="9"/>
  <c r="AQ655" i="9"/>
  <c r="AT656" i="9"/>
  <c r="DF641" i="9" s="1"/>
  <c r="AI682" i="9"/>
  <c r="E605" i="9"/>
  <c r="D605" i="9"/>
  <c r="AG652" i="9" l="1"/>
  <c r="DC649" i="9"/>
  <c r="AK650" i="9"/>
  <c r="DD648" i="9"/>
  <c r="DE648" i="9" s="1"/>
  <c r="AQ656" i="9"/>
  <c r="AI683" i="9"/>
  <c r="AT657" i="9"/>
  <c r="DF642" i="9" s="1"/>
  <c r="B606" i="9"/>
  <c r="F605" i="9"/>
  <c r="AK651" i="9" l="1"/>
  <c r="DC650" i="9"/>
  <c r="DD649" i="9"/>
  <c r="DE649" i="9" s="1"/>
  <c r="AG653" i="9"/>
  <c r="AQ657" i="9"/>
  <c r="AT658" i="9"/>
  <c r="DF643" i="9" s="1"/>
  <c r="AI684" i="9"/>
  <c r="E606" i="9"/>
  <c r="D606" i="9"/>
  <c r="AG654" i="9" l="1"/>
  <c r="DC651" i="9"/>
  <c r="AK652" i="9"/>
  <c r="AQ658" i="9"/>
  <c r="AI685" i="9"/>
  <c r="AT659" i="9"/>
  <c r="DF644" i="9" s="1"/>
  <c r="B607" i="9"/>
  <c r="F606" i="9"/>
  <c r="DC652" i="9" l="1"/>
  <c r="AK653" i="9"/>
  <c r="DD650" i="9"/>
  <c r="DE650" i="9" s="1"/>
  <c r="DD651" i="9"/>
  <c r="DE651" i="9" s="1"/>
  <c r="AG655" i="9"/>
  <c r="AQ659" i="9"/>
  <c r="AT660" i="9"/>
  <c r="DF645" i="9" s="1"/>
  <c r="E607" i="9"/>
  <c r="D607" i="9"/>
  <c r="AG656" i="9" l="1"/>
  <c r="DC653" i="9"/>
  <c r="AK654" i="9"/>
  <c r="AQ660" i="9"/>
  <c r="AT661" i="9"/>
  <c r="DF646" i="9" s="1"/>
  <c r="B608" i="9"/>
  <c r="F607" i="9"/>
  <c r="DC654" i="9" l="1"/>
  <c r="AK655" i="9"/>
  <c r="DD652" i="9"/>
  <c r="DE652" i="9" s="1"/>
  <c r="DD653" i="9"/>
  <c r="DE653" i="9" s="1"/>
  <c r="AG657" i="9"/>
  <c r="AQ661" i="9"/>
  <c r="AT662" i="9"/>
  <c r="DF647" i="9" s="1"/>
  <c r="E608" i="9"/>
  <c r="D608" i="9"/>
  <c r="AG658" i="9" l="1"/>
  <c r="DC655" i="9"/>
  <c r="AK656" i="9"/>
  <c r="AQ662" i="9"/>
  <c r="AT663" i="9"/>
  <c r="DF648" i="9" s="1"/>
  <c r="B609" i="9"/>
  <c r="F608" i="9"/>
  <c r="DC656" i="9" l="1"/>
  <c r="AK657" i="9"/>
  <c r="DD654" i="9"/>
  <c r="DE654" i="9" s="1"/>
  <c r="AG659" i="9"/>
  <c r="AQ663" i="9"/>
  <c r="AT664" i="9"/>
  <c r="DF649" i="9" s="1"/>
  <c r="E609" i="9"/>
  <c r="D609" i="9"/>
  <c r="DC657" i="9" l="1"/>
  <c r="AK658" i="9"/>
  <c r="DD655" i="9"/>
  <c r="DE655" i="9" s="1"/>
  <c r="AG660" i="9"/>
  <c r="AQ664" i="9"/>
  <c r="AT665" i="9"/>
  <c r="DF650" i="9" s="1"/>
  <c r="B610" i="9"/>
  <c r="F609" i="9"/>
  <c r="AG661" i="9" l="1"/>
  <c r="AK659" i="9"/>
  <c r="DC658" i="9"/>
  <c r="DD657" i="9"/>
  <c r="DE657" i="9" s="1"/>
  <c r="DD656" i="9"/>
  <c r="DE656" i="9" s="1"/>
  <c r="AQ665" i="9"/>
  <c r="AT666" i="9"/>
  <c r="DF651" i="9" s="1"/>
  <c r="E610" i="9"/>
  <c r="D610" i="9"/>
  <c r="AK660" i="9" l="1"/>
  <c r="DC659" i="9"/>
  <c r="DD658" i="9"/>
  <c r="DE658" i="9" s="1"/>
  <c r="AG662" i="9"/>
  <c r="AQ666" i="9"/>
  <c r="AT667" i="9"/>
  <c r="DF652" i="9" s="1"/>
  <c r="B611" i="9"/>
  <c r="F610" i="9"/>
  <c r="AG663" i="9" l="1"/>
  <c r="DC660" i="9"/>
  <c r="AK661" i="9"/>
  <c r="AQ667" i="9"/>
  <c r="AT668" i="9"/>
  <c r="DF653" i="9" s="1"/>
  <c r="E611" i="9"/>
  <c r="D611" i="9"/>
  <c r="DC661" i="9" l="1"/>
  <c r="AK662" i="9"/>
  <c r="DD659" i="9"/>
  <c r="DE659" i="9" s="1"/>
  <c r="DD660" i="9"/>
  <c r="DE660" i="9" s="1"/>
  <c r="AG664" i="9"/>
  <c r="AQ668" i="9"/>
  <c r="AT669" i="9"/>
  <c r="DF654" i="9" s="1"/>
  <c r="B612" i="9"/>
  <c r="F611" i="9"/>
  <c r="AG665" i="9" l="1"/>
  <c r="DC662" i="9"/>
  <c r="AK663" i="9"/>
  <c r="DD661" i="9"/>
  <c r="DE661" i="9" s="1"/>
  <c r="AQ669" i="9"/>
  <c r="AT670" i="9"/>
  <c r="DF655" i="9" s="1"/>
  <c r="E612" i="9"/>
  <c r="D612" i="9"/>
  <c r="AG666" i="9" l="1"/>
  <c r="AK664" i="9"/>
  <c r="DC663" i="9"/>
  <c r="DD662" i="9"/>
  <c r="DE662" i="9" s="1"/>
  <c r="AQ670" i="9"/>
  <c r="AT671" i="9"/>
  <c r="DF656" i="9" s="1"/>
  <c r="B613" i="9"/>
  <c r="F612" i="9"/>
  <c r="DC664" i="9" l="1"/>
  <c r="AK665" i="9"/>
  <c r="AG667" i="9"/>
  <c r="AQ671" i="9"/>
  <c r="AT672" i="9"/>
  <c r="DF657" i="9" s="1"/>
  <c r="E613" i="9"/>
  <c r="D613" i="9"/>
  <c r="AG668" i="9" l="1"/>
  <c r="DC665" i="9"/>
  <c r="AK666" i="9"/>
  <c r="DD663" i="9"/>
  <c r="DE663" i="9" s="1"/>
  <c r="AQ672" i="9"/>
  <c r="AT673" i="9"/>
  <c r="DF658" i="9" s="1"/>
  <c r="B614" i="9"/>
  <c r="F613" i="9"/>
  <c r="AK667" i="9" l="1"/>
  <c r="DC666" i="9"/>
  <c r="DD664" i="9"/>
  <c r="DE664" i="9" s="1"/>
  <c r="DD665" i="9"/>
  <c r="DE665" i="9" s="1"/>
  <c r="AG669" i="9"/>
  <c r="AQ673" i="9"/>
  <c r="AT674" i="9"/>
  <c r="DF659" i="9" s="1"/>
  <c r="E614" i="9"/>
  <c r="D614" i="9"/>
  <c r="AG670" i="9" l="1"/>
  <c r="DC667" i="9"/>
  <c r="AK668" i="9"/>
  <c r="AQ674" i="9"/>
  <c r="AT675" i="9"/>
  <c r="DF660" i="9" s="1"/>
  <c r="B615" i="9"/>
  <c r="F614" i="9"/>
  <c r="DD666" i="9" l="1"/>
  <c r="DE666" i="9" s="1"/>
  <c r="AK669" i="9"/>
  <c r="DC668" i="9"/>
  <c r="AG671" i="9"/>
  <c r="DD667" i="9"/>
  <c r="DE667" i="9" s="1"/>
  <c r="AQ675" i="9"/>
  <c r="AT676" i="9"/>
  <c r="DF661" i="9" s="1"/>
  <c r="E615" i="9"/>
  <c r="D615" i="9"/>
  <c r="AG672" i="9" l="1"/>
  <c r="AK670" i="9"/>
  <c r="DC669" i="9"/>
  <c r="AQ676" i="9"/>
  <c r="AT677" i="9"/>
  <c r="DF662" i="9" s="1"/>
  <c r="B616" i="9"/>
  <c r="F615" i="9"/>
  <c r="DC670" i="9" l="1"/>
  <c r="AK671" i="9"/>
  <c r="DD668" i="9"/>
  <c r="DE668" i="9" s="1"/>
  <c r="DD669" i="9"/>
  <c r="DE669" i="9" s="1"/>
  <c r="AG673" i="9"/>
  <c r="AQ677" i="9"/>
  <c r="AT678" i="9"/>
  <c r="DF663" i="9" s="1"/>
  <c r="E616" i="9"/>
  <c r="D616" i="9"/>
  <c r="AG674" i="9" l="1"/>
  <c r="DC671" i="9"/>
  <c r="AK672" i="9"/>
  <c r="DD670" i="9" s="1"/>
  <c r="DE670" i="9" s="1"/>
  <c r="AQ678" i="9"/>
  <c r="AT679" i="9"/>
  <c r="DF664" i="9" s="1"/>
  <c r="B617" i="9"/>
  <c r="F616" i="9"/>
  <c r="AK673" i="9" l="1"/>
  <c r="DC672" i="9"/>
  <c r="DD671" i="9"/>
  <c r="DE671" i="9" s="1"/>
  <c r="AG675" i="9"/>
  <c r="AQ679" i="9"/>
  <c r="AT680" i="9"/>
  <c r="DF665" i="9" s="1"/>
  <c r="D617" i="9"/>
  <c r="E617" i="9"/>
  <c r="AG676" i="9" l="1"/>
  <c r="DC673" i="9"/>
  <c r="AK674" i="9"/>
  <c r="AQ680" i="9"/>
  <c r="AT681" i="9"/>
  <c r="DF666" i="9" s="1"/>
  <c r="B618" i="9"/>
  <c r="F617" i="9"/>
  <c r="AK675" i="9" l="1"/>
  <c r="DC674" i="9"/>
  <c r="DD672" i="9"/>
  <c r="DE672" i="9" s="1"/>
  <c r="DD673" i="9"/>
  <c r="DE673" i="9" s="1"/>
  <c r="AG677" i="9"/>
  <c r="AQ681" i="9"/>
  <c r="AT682" i="9"/>
  <c r="DF667" i="9" s="1"/>
  <c r="E618" i="9"/>
  <c r="D618" i="9"/>
  <c r="AG678" i="9" l="1"/>
  <c r="DC675" i="9"/>
  <c r="AK676" i="9"/>
  <c r="DD674" i="9" s="1"/>
  <c r="DE674" i="9" s="1"/>
  <c r="AQ682" i="9"/>
  <c r="AT683" i="9"/>
  <c r="DF668" i="9" s="1"/>
  <c r="B619" i="9"/>
  <c r="F618" i="9"/>
  <c r="AK677" i="9" l="1"/>
  <c r="DC676" i="9"/>
  <c r="DD675" i="9"/>
  <c r="DE675" i="9" s="1"/>
  <c r="AG679" i="9"/>
  <c r="AQ683" i="9"/>
  <c r="AT684" i="9"/>
  <c r="DF669" i="9" s="1"/>
  <c r="E619" i="9"/>
  <c r="D619" i="9"/>
  <c r="AG680" i="9" l="1"/>
  <c r="DC677" i="9"/>
  <c r="AK678" i="9"/>
  <c r="AQ684" i="9"/>
  <c r="AT685" i="9"/>
  <c r="B620" i="9"/>
  <c r="F619" i="9"/>
  <c r="AK679" i="9" l="1"/>
  <c r="DC678" i="9"/>
  <c r="DD676" i="9"/>
  <c r="DE676" i="9" s="1"/>
  <c r="DD677" i="9"/>
  <c r="DE677" i="9" s="1"/>
  <c r="AG681" i="9"/>
  <c r="AQ685" i="9"/>
  <c r="DF671" i="9"/>
  <c r="DF670" i="9"/>
  <c r="E620" i="9"/>
  <c r="D620" i="9"/>
  <c r="AG682" i="9" l="1"/>
  <c r="DC679" i="9"/>
  <c r="AK680" i="9"/>
  <c r="F620" i="9"/>
  <c r="B621" i="9"/>
  <c r="DD678" i="9" l="1"/>
  <c r="DE678" i="9" s="1"/>
  <c r="DC680" i="9"/>
  <c r="AK681" i="9"/>
  <c r="DD679" i="9" s="1"/>
  <c r="DE679" i="9" s="1"/>
  <c r="AG683" i="9"/>
  <c r="E621" i="9"/>
  <c r="D621" i="9"/>
  <c r="AG684" i="9" l="1"/>
  <c r="DC681" i="9"/>
  <c r="AK682" i="9"/>
  <c r="F621" i="9"/>
  <c r="B622" i="9"/>
  <c r="AK683" i="9" l="1"/>
  <c r="DD681" i="9"/>
  <c r="DE681" i="9" s="1"/>
  <c r="DC682" i="9"/>
  <c r="AG685" i="9"/>
  <c r="DD680" i="9"/>
  <c r="DE680" i="9" s="1"/>
  <c r="E622" i="9"/>
  <c r="D622" i="9"/>
  <c r="DC683" i="9" l="1"/>
  <c r="AK684" i="9"/>
  <c r="F622" i="9"/>
  <c r="B623" i="9"/>
  <c r="AK685" i="9" l="1"/>
  <c r="DD682" i="9"/>
  <c r="DE682" i="9" s="1"/>
  <c r="DC684" i="9"/>
  <c r="DD683" i="9"/>
  <c r="DE683" i="9" s="1"/>
  <c r="E623" i="9"/>
  <c r="D623" i="9"/>
  <c r="DC685" i="9" l="1"/>
  <c r="DD684" i="9"/>
  <c r="DE684" i="9" s="1"/>
  <c r="F623" i="9"/>
  <c r="B624" i="9"/>
  <c r="E624" i="9" l="1"/>
  <c r="D624" i="9"/>
  <c r="F624" i="9" l="1"/>
  <c r="B625" i="9"/>
  <c r="E625" i="9" l="1"/>
  <c r="D625" i="9"/>
  <c r="F625" i="9" l="1"/>
  <c r="B626" i="9"/>
  <c r="E626" i="9" l="1"/>
  <c r="D626" i="9"/>
  <c r="F626" i="9" l="1"/>
  <c r="B627" i="9"/>
  <c r="E627" i="9" l="1"/>
  <c r="D627" i="9"/>
  <c r="F627" i="9" l="1"/>
  <c r="B628" i="9"/>
  <c r="E628" i="9" l="1"/>
  <c r="D628" i="9"/>
  <c r="F628" i="9" l="1"/>
  <c r="B629" i="9"/>
  <c r="E629" i="9" l="1"/>
  <c r="D629" i="9"/>
  <c r="F629" i="9" l="1"/>
  <c r="B630" i="9"/>
  <c r="E630" i="9" l="1"/>
  <c r="D630" i="9"/>
  <c r="F630" i="9" l="1"/>
  <c r="B631" i="9"/>
  <c r="E631" i="9" l="1"/>
  <c r="D631" i="9"/>
  <c r="F631" i="9" l="1"/>
  <c r="B632" i="9"/>
  <c r="E632" i="9" l="1"/>
  <c r="D632" i="9"/>
  <c r="F632" i="9" l="1"/>
  <c r="B633" i="9"/>
  <c r="E633" i="9" l="1"/>
  <c r="D633" i="9"/>
  <c r="F633" i="9" l="1"/>
  <c r="B634" i="9"/>
  <c r="E634" i="9" l="1"/>
  <c r="D634" i="9"/>
  <c r="F634" i="9" l="1"/>
  <c r="B635" i="9"/>
  <c r="E635" i="9" l="1"/>
  <c r="D635" i="9"/>
  <c r="F635" i="9" l="1"/>
  <c r="B636" i="9"/>
  <c r="E636" i="9" l="1"/>
  <c r="D636" i="9"/>
  <c r="F636" i="9" l="1"/>
  <c r="B637" i="9"/>
  <c r="E637" i="9" l="1"/>
  <c r="D637" i="9"/>
  <c r="F637" i="9" l="1"/>
  <c r="B638" i="9"/>
  <c r="D638" i="9" l="1"/>
  <c r="E638" i="9"/>
  <c r="F638" i="9" l="1"/>
  <c r="B639" i="9"/>
  <c r="D639" i="9" l="1"/>
  <c r="E639" i="9"/>
  <c r="F639" i="9" l="1"/>
  <c r="B640" i="9"/>
  <c r="D640" i="9" l="1"/>
  <c r="E640" i="9"/>
  <c r="F640" i="9" l="1"/>
  <c r="B641" i="9"/>
  <c r="D641" i="9" l="1"/>
  <c r="E641" i="9"/>
  <c r="B642" i="9" l="1"/>
  <c r="F641" i="9"/>
  <c r="D642" i="9" l="1"/>
  <c r="E642" i="9"/>
  <c r="F642" i="9" l="1"/>
  <c r="B643" i="9"/>
  <c r="D643" i="9" l="1"/>
  <c r="E643" i="9"/>
  <c r="B644" i="9" l="1"/>
  <c r="F643" i="9"/>
  <c r="D644" i="9" l="1"/>
  <c r="E644" i="9"/>
  <c r="F644" i="9" l="1"/>
  <c r="B645" i="9"/>
  <c r="D645" i="9" l="1"/>
  <c r="E645" i="9"/>
  <c r="B646" i="9" l="1"/>
  <c r="F645" i="9"/>
  <c r="D646" i="9" l="1"/>
  <c r="E646" i="9"/>
  <c r="F646" i="9" l="1"/>
  <c r="B647" i="9"/>
  <c r="D647" i="9" l="1"/>
  <c r="E647" i="9"/>
  <c r="F647" i="9" l="1"/>
  <c r="B648" i="9"/>
  <c r="D648" i="9" l="1"/>
  <c r="E648" i="9"/>
  <c r="F648" i="9" l="1"/>
  <c r="B649" i="9"/>
  <c r="D649" i="9" l="1"/>
  <c r="E649" i="9"/>
  <c r="F649" i="9" l="1"/>
  <c r="B650" i="9"/>
  <c r="D650" i="9" l="1"/>
  <c r="E650" i="9"/>
  <c r="F650" i="9" l="1"/>
  <c r="B651" i="9"/>
  <c r="D651" i="9" l="1"/>
  <c r="E651" i="9"/>
  <c r="B652" i="9" l="1"/>
  <c r="F651" i="9"/>
  <c r="D652" i="9" l="1"/>
  <c r="E652" i="9"/>
  <c r="B653" i="9" l="1"/>
  <c r="F652" i="9"/>
  <c r="D653" i="9" l="1"/>
  <c r="E653" i="9"/>
  <c r="B654" i="9" l="1"/>
  <c r="F653" i="9"/>
  <c r="D654" i="9" l="1"/>
  <c r="E654" i="9"/>
  <c r="B655" i="9" l="1"/>
  <c r="F654" i="9"/>
  <c r="E655" i="9" l="1"/>
  <c r="D655" i="9"/>
  <c r="B656" i="9" l="1"/>
  <c r="F655" i="9"/>
  <c r="D656" i="9" l="1"/>
  <c r="E656" i="9"/>
  <c r="B657" i="9" l="1"/>
  <c r="F656" i="9"/>
  <c r="D657" i="9" l="1"/>
  <c r="E657" i="9"/>
  <c r="B658" i="9" l="1"/>
  <c r="F657" i="9"/>
  <c r="D658" i="9" l="1"/>
  <c r="E658" i="9"/>
  <c r="B659" i="9" l="1"/>
  <c r="F658" i="9"/>
  <c r="D659" i="9" l="1"/>
  <c r="E659" i="9"/>
  <c r="B660" i="9" l="1"/>
  <c r="F659" i="9"/>
  <c r="D660" i="9" l="1"/>
  <c r="E660" i="9"/>
  <c r="F660" i="9" l="1"/>
  <c r="B661" i="9"/>
  <c r="D661" i="9" l="1"/>
  <c r="E661" i="9"/>
  <c r="B662" i="9" l="1"/>
  <c r="F661" i="9"/>
  <c r="D662" i="9" l="1"/>
  <c r="E662" i="9"/>
  <c r="B663" i="9" l="1"/>
  <c r="F662" i="9"/>
  <c r="D663" i="9" l="1"/>
  <c r="E663" i="9"/>
  <c r="F663" i="9" l="1"/>
  <c r="B664" i="9"/>
  <c r="D664" i="9" l="1"/>
  <c r="E664" i="9"/>
  <c r="F664" i="9" l="1"/>
  <c r="B665" i="9"/>
  <c r="D665" i="9" l="1"/>
  <c r="E665" i="9"/>
  <c r="B666" i="9" l="1"/>
  <c r="F665" i="9"/>
  <c r="D666" i="9" l="1"/>
  <c r="E666" i="9"/>
  <c r="F666" i="9" l="1"/>
  <c r="B667" i="9"/>
  <c r="D667" i="9" l="1"/>
  <c r="E667" i="9"/>
  <c r="F667" i="9" l="1"/>
  <c r="B668" i="9"/>
  <c r="D668" i="9" l="1"/>
  <c r="E668" i="9"/>
  <c r="F668" i="9" l="1"/>
  <c r="B669" i="9"/>
  <c r="D669" i="9" l="1"/>
  <c r="E669" i="9"/>
  <c r="F669" i="9" l="1"/>
  <c r="B670" i="9"/>
  <c r="E670" i="9" l="1"/>
  <c r="D670" i="9"/>
  <c r="F670" i="9" l="1"/>
  <c r="B671" i="9"/>
  <c r="D671" i="9" l="1"/>
  <c r="E671" i="9"/>
  <c r="F671" i="9" l="1"/>
  <c r="B672" i="9"/>
  <c r="D672" i="9" l="1"/>
  <c r="E672" i="9"/>
  <c r="F672" i="9" l="1"/>
  <c r="B673" i="9"/>
  <c r="D673" i="9" l="1"/>
  <c r="E673" i="9"/>
  <c r="F673" i="9" l="1"/>
  <c r="B674" i="9"/>
  <c r="D674" i="9" l="1"/>
  <c r="E674" i="9"/>
  <c r="F674" i="9" l="1"/>
  <c r="B675" i="9"/>
  <c r="E675" i="9" l="1"/>
  <c r="D675" i="9"/>
  <c r="F675" i="9" l="1"/>
  <c r="B676" i="9"/>
  <c r="D676" i="9" l="1"/>
  <c r="E676" i="9"/>
  <c r="F676" i="9" l="1"/>
  <c r="B677" i="9"/>
  <c r="D677" i="9" l="1"/>
  <c r="E677" i="9"/>
  <c r="F677" i="9" l="1"/>
  <c r="B678" i="9"/>
  <c r="D678" i="9" l="1"/>
  <c r="E678" i="9"/>
  <c r="F678" i="9" l="1"/>
  <c r="B679" i="9"/>
  <c r="D679" i="9" l="1"/>
  <c r="E679" i="9"/>
  <c r="F679" i="9" l="1"/>
  <c r="B680" i="9"/>
  <c r="E680" i="9" l="1"/>
  <c r="D680" i="9"/>
  <c r="F680" i="9" l="1"/>
  <c r="B681" i="9"/>
  <c r="D681" i="9" l="1"/>
  <c r="E681" i="9"/>
  <c r="F681" i="9" l="1"/>
  <c r="B682" i="9"/>
  <c r="E682" i="9" l="1"/>
  <c r="D682" i="9"/>
  <c r="F682" i="9" l="1"/>
  <c r="B683" i="9"/>
  <c r="D683" i="9" l="1"/>
  <c r="E683" i="9"/>
  <c r="F683" i="9" l="1"/>
  <c r="B684" i="9"/>
  <c r="E684" i="9" l="1"/>
  <c r="D684" i="9"/>
  <c r="F684" i="9" l="1"/>
  <c r="B685" i="9"/>
  <c r="D685" i="9" l="1"/>
  <c r="F685" i="9" s="1"/>
  <c r="E685" i="9"/>
</calcChain>
</file>

<file path=xl/sharedStrings.xml><?xml version="1.0" encoding="utf-8"?>
<sst xmlns="http://schemas.openxmlformats.org/spreadsheetml/2006/main" count="2985" uniqueCount="34">
  <si>
    <t>Dia do Aloj.</t>
  </si>
  <si>
    <t>a</t>
  </si>
  <si>
    <t>Semana</t>
  </si>
  <si>
    <t>Mês</t>
  </si>
  <si>
    <t>Ano</t>
  </si>
  <si>
    <t>A</t>
  </si>
  <si>
    <t>Bovans</t>
  </si>
  <si>
    <t>Hy Sex</t>
  </si>
  <si>
    <t>Lohmann</t>
  </si>
  <si>
    <t>N</t>
  </si>
  <si>
    <t>P</t>
  </si>
  <si>
    <t>X</t>
  </si>
  <si>
    <t/>
  </si>
  <si>
    <t>x</t>
  </si>
  <si>
    <t>Recria</t>
  </si>
  <si>
    <t>Produção</t>
  </si>
  <si>
    <t>Aviário</t>
  </si>
  <si>
    <t>Data Aloj</t>
  </si>
  <si>
    <t>ok</t>
  </si>
  <si>
    <t>H&amp;N</t>
  </si>
  <si>
    <t>Linhagem</t>
  </si>
  <si>
    <t>SIN</t>
  </si>
  <si>
    <t>DOR</t>
  </si>
  <si>
    <t>VNI</t>
  </si>
  <si>
    <t>PAT</t>
  </si>
  <si>
    <t>ZET</t>
  </si>
  <si>
    <t>AME</t>
  </si>
  <si>
    <t>SPE</t>
  </si>
  <si>
    <t>BB2</t>
  </si>
  <si>
    <t>BB1</t>
  </si>
  <si>
    <t>Ju1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</si>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</sst>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dd"/>
    <numFmt numFmtId="166" formatCode="_-[$R$-416]\ * #,##0.00_-;\-[$R$-416]\ * #,##0.00_-;_-[$R$-416]\ * &quot;-&quot;??_-;_-@_-"/>
    <numFmt numFmtId="167" formatCode="_(* #,##0_);_(* \(#,##0\);_(* &quot;-&quot;??_);_(@_)"/>
    <numFmt numFmtId="168" formatCode="dd/mm/yy;@"/>
    <numFmt numFmtId="169" formatCode="dd;@"/>
    <numFmt numFmtId="170" formatCode="_(* #,##0.0_);_(* \(#,##0.0\);_(* &quot;-&quot;??_);_(@_)"/>
    <numFmt numFmtId="171" formatCode="0.0"/>
  </numFmts>
  <fonts count="25"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8" tint="-0.249977111117893"/>
      <name val="Arial"/>
      <family val="2"/>
    </font>
    <font>
      <sz val="10"/>
      <color theme="9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color theme="0" tint="-0.499984740745262"/>
      <name val="Arial"/>
      <family val="2"/>
    </font>
    <font>
      <sz val="10"/>
      <color theme="0" tint="-4.9989318521683403E-2"/>
      <name val="Arial"/>
      <family val="2"/>
    </font>
    <font>
      <sz val="9"/>
      <color theme="8" tint="-0.249977111117893"/>
      <name val="Arial"/>
      <family val="2"/>
    </font>
    <font>
      <sz val="9"/>
      <name val="Arial"/>
      <family val="2"/>
    </font>
    <font>
      <sz val="2"/>
      <color theme="8" tint="-0.249977111117893"/>
      <name val="Arial"/>
      <family val="2"/>
    </font>
    <font>
      <sz val="2"/>
      <name val="Arial"/>
      <family val="2"/>
    </font>
    <font>
      <sz val="2"/>
      <color rgb="FF92D050"/>
      <name val="Arial"/>
      <family val="2"/>
    </font>
    <font>
      <sz val="9"/>
      <color theme="9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59996337778862885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59996337778862885"/>
      </top>
      <bottom style="thin">
        <color theme="8" tint="0.59996337778862885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5" tint="0.39994506668294322"/>
      </bottom>
      <diagonal/>
    </border>
    <border>
      <left/>
      <right/>
      <top style="thin">
        <color theme="0" tint="-0.24994659260841701"/>
      </top>
      <bottom style="thin">
        <color theme="5" tint="0.39994506668294322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5" tint="0.39994506668294322"/>
      </bottom>
      <diagonal/>
    </border>
    <border>
      <left style="thin">
        <color theme="9" tint="0.39994506668294322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39994506668294322"/>
      </right>
      <top style="thin">
        <color theme="9" tint="0.59996337778862885"/>
      </top>
      <bottom style="thin">
        <color theme="9" tint="0.59996337778862885"/>
      </bottom>
      <diagonal/>
    </border>
    <border>
      <left style="double">
        <color theme="5" tint="-0.24994659260841701"/>
      </left>
      <right style="double">
        <color theme="5" tint="-0.24994659260841701"/>
      </right>
      <top style="double">
        <color theme="5" tint="-0.24994659260841701"/>
      </top>
      <bottom style="double">
        <color theme="5" tint="-0.24994659260841701"/>
      </bottom>
      <diagonal/>
    </border>
    <border>
      <left style="thin">
        <color theme="9" tint="0.39994506668294322"/>
      </left>
      <right/>
      <top/>
      <bottom style="thin">
        <color theme="9" tint="0.59996337778862885"/>
      </bottom>
      <diagonal/>
    </border>
    <border>
      <left style="thin">
        <color theme="8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/>
      <top style="thin">
        <color theme="9" tint="0.39994506668294322"/>
      </top>
      <bottom/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59996337778862885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0" borderId="0"/>
    <xf numFmtId="166" fontId="4" fillId="2" borderId="0" applyNumberFormat="0" applyBorder="0" applyAlignment="0" applyProtection="0"/>
    <xf numFmtId="166" fontId="5" fillId="4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165" fontId="7" fillId="0" borderId="2" xfId="3" applyNumberFormat="1" applyFont="1" applyBorder="1"/>
    <xf numFmtId="0" fontId="8" fillId="6" borderId="3" xfId="3" applyFont="1" applyFill="1" applyBorder="1" applyAlignment="1">
      <alignment horizontal="center"/>
    </xf>
    <xf numFmtId="167" fontId="7" fillId="0" borderId="4" xfId="1" applyNumberFormat="1" applyFont="1" applyFill="1" applyBorder="1" applyAlignment="1">
      <alignment horizontal="center" vertical="center"/>
    </xf>
    <xf numFmtId="0" fontId="9" fillId="5" borderId="5" xfId="3" applyFont="1" applyFill="1" applyBorder="1" applyAlignment="1">
      <alignment horizontal="center" vertical="center"/>
    </xf>
    <xf numFmtId="167" fontId="6" fillId="0" borderId="4" xfId="1" applyNumberFormat="1" applyFont="1" applyFill="1" applyBorder="1" applyAlignment="1">
      <alignment horizontal="center" vertical="center"/>
    </xf>
    <xf numFmtId="165" fontId="10" fillId="0" borderId="2" xfId="3" applyNumberFormat="1" applyFont="1" applyBorder="1"/>
    <xf numFmtId="0" fontId="8" fillId="0" borderId="0" xfId="0" applyFont="1"/>
    <xf numFmtId="167" fontId="8" fillId="6" borderId="3" xfId="1" applyNumberFormat="1" applyFont="1" applyFill="1" applyBorder="1" applyAlignment="1">
      <alignment horizontal="center"/>
    </xf>
    <xf numFmtId="167" fontId="10" fillId="0" borderId="2" xfId="1" applyNumberFormat="1" applyFont="1" applyFill="1" applyBorder="1"/>
    <xf numFmtId="167" fontId="8" fillId="0" borderId="0" xfId="1" applyNumberFormat="1" applyFont="1"/>
    <xf numFmtId="165" fontId="10" fillId="0" borderId="9" xfId="3" applyNumberFormat="1" applyFont="1" applyBorder="1"/>
    <xf numFmtId="165" fontId="11" fillId="0" borderId="10" xfId="3" applyNumberFormat="1" applyFont="1" applyBorder="1"/>
    <xf numFmtId="165" fontId="11" fillId="0" borderId="12" xfId="3" applyNumberFormat="1" applyFont="1" applyBorder="1"/>
    <xf numFmtId="165" fontId="11" fillId="0" borderId="13" xfId="3" applyNumberFormat="1" applyFont="1" applyBorder="1"/>
    <xf numFmtId="0" fontId="11" fillId="0" borderId="11" xfId="3" applyFont="1" applyBorder="1" applyAlignment="1">
      <alignment horizontal="center"/>
    </xf>
    <xf numFmtId="0" fontId="11" fillId="0" borderId="11" xfId="2" applyFont="1" applyFill="1" applyBorder="1"/>
    <xf numFmtId="165" fontId="5" fillId="0" borderId="2" xfId="3" applyNumberFormat="1" applyFont="1" applyBorder="1"/>
    <xf numFmtId="167" fontId="7" fillId="0" borderId="17" xfId="1" applyNumberFormat="1" applyFont="1" applyFill="1" applyBorder="1" applyAlignment="1">
      <alignment horizontal="center" vertical="center"/>
    </xf>
    <xf numFmtId="167" fontId="7" fillId="0" borderId="18" xfId="1" applyNumberFormat="1" applyFont="1" applyFill="1" applyBorder="1" applyAlignment="1">
      <alignment horizontal="center" vertical="center"/>
    </xf>
    <xf numFmtId="167" fontId="7" fillId="0" borderId="19" xfId="1" applyNumberFormat="1" applyFont="1" applyFill="1" applyBorder="1" applyAlignment="1">
      <alignment horizontal="center" vertical="center"/>
    </xf>
    <xf numFmtId="167" fontId="7" fillId="0" borderId="20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14" fillId="0" borderId="0" xfId="0" applyFont="1"/>
    <xf numFmtId="0" fontId="12" fillId="7" borderId="0" xfId="6" applyAlignment="1">
      <alignment horizontal="center" vertical="center"/>
    </xf>
    <xf numFmtId="0" fontId="3" fillId="3" borderId="0" xfId="2" applyAlignment="1">
      <alignment horizontal="center" vertical="center"/>
    </xf>
    <xf numFmtId="0" fontId="13" fillId="2" borderId="0" xfId="7" applyAlignment="1">
      <alignment horizontal="center" vertical="center"/>
    </xf>
    <xf numFmtId="14" fontId="0" fillId="8" borderId="0" xfId="0" applyNumberFormat="1" applyFill="1"/>
    <xf numFmtId="14" fontId="0" fillId="9" borderId="0" xfId="0" applyNumberFormat="1" applyFill="1"/>
    <xf numFmtId="168" fontId="0" fillId="0" borderId="0" xfId="0" applyNumberFormat="1"/>
    <xf numFmtId="164" fontId="0" fillId="0" borderId="0" xfId="1" applyFont="1"/>
    <xf numFmtId="164" fontId="0" fillId="0" borderId="0" xfId="0" applyNumberFormat="1"/>
    <xf numFmtId="168" fontId="0" fillId="10" borderId="0" xfId="0" applyNumberFormat="1" applyFill="1"/>
    <xf numFmtId="167" fontId="6" fillId="0" borderId="1" xfId="1" applyNumberFormat="1" applyFont="1" applyFill="1" applyBorder="1" applyAlignment="1">
      <alignment horizontal="center" vertical="center"/>
    </xf>
    <xf numFmtId="168" fontId="10" fillId="0" borderId="2" xfId="3" applyNumberFormat="1" applyFont="1" applyBorder="1"/>
    <xf numFmtId="168" fontId="6" fillId="0" borderId="1" xfId="1" applyNumberFormat="1" applyFont="1" applyFill="1" applyBorder="1" applyAlignment="1">
      <alignment horizontal="center" vertical="center"/>
    </xf>
    <xf numFmtId="168" fontId="5" fillId="0" borderId="2" xfId="3" applyNumberFormat="1" applyFont="1" applyBorder="1"/>
    <xf numFmtId="168" fontId="5" fillId="0" borderId="1" xfId="1" applyNumberFormat="1" applyFont="1" applyFill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0" fillId="8" borderId="0" xfId="0" applyFill="1"/>
    <xf numFmtId="0" fontId="12" fillId="7" borderId="0" xfId="6" applyAlignment="1">
      <alignment horizontal="right"/>
    </xf>
    <xf numFmtId="0" fontId="3" fillId="3" borderId="0" xfId="2" applyAlignment="1">
      <alignment horizontal="right"/>
    </xf>
    <xf numFmtId="0" fontId="0" fillId="11" borderId="0" xfId="0" applyFill="1"/>
    <xf numFmtId="14" fontId="0" fillId="11" borderId="0" xfId="0" applyNumberFormat="1" applyFill="1"/>
    <xf numFmtId="168" fontId="0" fillId="11" borderId="0" xfId="0" applyNumberFormat="1" applyFill="1"/>
    <xf numFmtId="0" fontId="0" fillId="11" borderId="0" xfId="0" applyFill="1" applyAlignment="1">
      <alignment horizontal="right"/>
    </xf>
    <xf numFmtId="0" fontId="17" fillId="0" borderId="11" xfId="3" applyFont="1" applyBorder="1" applyAlignment="1">
      <alignment horizontal="center"/>
    </xf>
    <xf numFmtId="0" fontId="17" fillId="0" borderId="11" xfId="2" applyFont="1" applyFill="1" applyBorder="1"/>
    <xf numFmtId="165" fontId="17" fillId="0" borderId="12" xfId="3" applyNumberFormat="1" applyFont="1" applyBorder="1"/>
    <xf numFmtId="165" fontId="17" fillId="0" borderId="10" xfId="3" applyNumberFormat="1" applyFont="1" applyBorder="1"/>
    <xf numFmtId="165" fontId="17" fillId="0" borderId="13" xfId="3" applyNumberFormat="1" applyFont="1" applyBorder="1"/>
    <xf numFmtId="165" fontId="8" fillId="0" borderId="2" xfId="3" applyNumberFormat="1" applyFont="1" applyBorder="1"/>
    <xf numFmtId="167" fontId="9" fillId="0" borderId="4" xfId="1" applyNumberFormat="1" applyFont="1" applyFill="1" applyBorder="1" applyAlignment="1">
      <alignment horizontal="center" vertical="center"/>
    </xf>
    <xf numFmtId="167" fontId="8" fillId="0" borderId="2" xfId="1" applyNumberFormat="1" applyFont="1" applyFill="1" applyBorder="1"/>
    <xf numFmtId="165" fontId="18" fillId="0" borderId="2" xfId="3" applyNumberFormat="1" applyFont="1" applyBorder="1"/>
    <xf numFmtId="167" fontId="18" fillId="0" borderId="4" xfId="1" applyNumberFormat="1" applyFont="1" applyFill="1" applyBorder="1" applyAlignment="1">
      <alignment horizontal="center" vertical="center"/>
    </xf>
    <xf numFmtId="1" fontId="8" fillId="0" borderId="2" xfId="3" applyNumberFormat="1" applyFont="1" applyBorder="1"/>
    <xf numFmtId="1" fontId="9" fillId="0" borderId="4" xfId="1" applyNumberFormat="1" applyFont="1" applyFill="1" applyBorder="1" applyAlignment="1">
      <alignment horizontal="center" vertical="center"/>
    </xf>
    <xf numFmtId="168" fontId="8" fillId="0" borderId="2" xfId="3" applyNumberFormat="1" applyFont="1" applyBorder="1"/>
    <xf numFmtId="168" fontId="9" fillId="0" borderId="1" xfId="1" applyNumberFormat="1" applyFont="1" applyFill="1" applyBorder="1" applyAlignment="1">
      <alignment horizontal="center" vertical="center"/>
    </xf>
    <xf numFmtId="167" fontId="9" fillId="0" borderId="1" xfId="1" applyNumberFormat="1" applyFont="1" applyFill="1" applyBorder="1" applyAlignment="1">
      <alignment horizontal="center" vertical="center"/>
    </xf>
    <xf numFmtId="165" fontId="17" fillId="11" borderId="12" xfId="3" applyNumberFormat="1" applyFont="1" applyFill="1" applyBorder="1"/>
    <xf numFmtId="165" fontId="17" fillId="11" borderId="10" xfId="3" applyNumberFormat="1" applyFont="1" applyFill="1" applyBorder="1"/>
    <xf numFmtId="165" fontId="17" fillId="11" borderId="13" xfId="3" applyNumberFormat="1" applyFont="1" applyFill="1" applyBorder="1"/>
    <xf numFmtId="0" fontId="17" fillId="11" borderId="11" xfId="3" applyFont="1" applyFill="1" applyBorder="1" applyAlignment="1">
      <alignment horizontal="center"/>
    </xf>
    <xf numFmtId="0" fontId="17" fillId="11" borderId="11" xfId="2" applyFont="1" applyFill="1" applyBorder="1"/>
    <xf numFmtId="1" fontId="8" fillId="11" borderId="2" xfId="3" applyNumberFormat="1" applyFont="1" applyFill="1" applyBorder="1"/>
    <xf numFmtId="1" fontId="9" fillId="11" borderId="4" xfId="1" applyNumberFormat="1" applyFont="1" applyFill="1" applyBorder="1" applyAlignment="1">
      <alignment horizontal="center" vertical="center"/>
    </xf>
    <xf numFmtId="165" fontId="8" fillId="11" borderId="2" xfId="3" applyNumberFormat="1" applyFont="1" applyFill="1" applyBorder="1"/>
    <xf numFmtId="168" fontId="8" fillId="11" borderId="2" xfId="3" applyNumberFormat="1" applyFont="1" applyFill="1" applyBorder="1"/>
    <xf numFmtId="168" fontId="9" fillId="11" borderId="1" xfId="1" applyNumberFormat="1" applyFont="1" applyFill="1" applyBorder="1" applyAlignment="1">
      <alignment horizontal="center" vertical="center"/>
    </xf>
    <xf numFmtId="167" fontId="9" fillId="11" borderId="1" xfId="1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right"/>
    </xf>
    <xf numFmtId="1" fontId="8" fillId="0" borderId="2" xfId="1" applyNumberFormat="1" applyFont="1" applyFill="1" applyBorder="1"/>
    <xf numFmtId="1" fontId="8" fillId="0" borderId="0" xfId="1" applyNumberFormat="1" applyFont="1"/>
    <xf numFmtId="1" fontId="0" fillId="0" borderId="0" xfId="0" applyNumberFormat="1"/>
    <xf numFmtId="1" fontId="8" fillId="11" borderId="2" xfId="1" applyNumberFormat="1" applyFont="1" applyFill="1" applyBorder="1"/>
    <xf numFmtId="1" fontId="8" fillId="11" borderId="0" xfId="1" applyNumberFormat="1" applyFont="1" applyFill="1"/>
    <xf numFmtId="1" fontId="0" fillId="11" borderId="0" xfId="0" applyNumberFormat="1" applyFill="1"/>
    <xf numFmtId="1" fontId="15" fillId="0" borderId="1" xfId="1" applyNumberFormat="1" applyFont="1" applyFill="1" applyBorder="1" applyAlignment="1">
      <alignment horizontal="center" vertical="center"/>
    </xf>
    <xf numFmtId="1" fontId="15" fillId="11" borderId="1" xfId="1" applyNumberFormat="1" applyFont="1" applyFill="1" applyBorder="1" applyAlignment="1">
      <alignment horizontal="center" vertical="center"/>
    </xf>
    <xf numFmtId="169" fontId="15" fillId="0" borderId="2" xfId="3" applyNumberFormat="1" applyFont="1" applyBorder="1"/>
    <xf numFmtId="169" fontId="15" fillId="11" borderId="2" xfId="3" applyNumberFormat="1" applyFont="1" applyFill="1" applyBorder="1"/>
    <xf numFmtId="1" fontId="14" fillId="0" borderId="4" xfId="1" applyNumberFormat="1" applyFont="1" applyFill="1" applyBorder="1" applyAlignment="1">
      <alignment horizontal="center" vertical="center"/>
    </xf>
    <xf numFmtId="0" fontId="8" fillId="6" borderId="6" xfId="3" applyFont="1" applyFill="1" applyBorder="1" applyAlignment="1">
      <alignment horizontal="center" vertical="center"/>
    </xf>
    <xf numFmtId="0" fontId="8" fillId="6" borderId="8" xfId="3" applyFont="1" applyFill="1" applyBorder="1" applyAlignment="1">
      <alignment horizontal="center" vertical="center"/>
    </xf>
    <xf numFmtId="0" fontId="9" fillId="5" borderId="22" xfId="3" applyFont="1" applyFill="1" applyBorder="1" applyAlignment="1">
      <alignment horizontal="center" vertical="center"/>
    </xf>
    <xf numFmtId="0" fontId="9" fillId="5" borderId="23" xfId="3" applyFont="1" applyFill="1" applyBorder="1" applyAlignment="1">
      <alignment horizontal="center" vertical="center"/>
    </xf>
    <xf numFmtId="167" fontId="8" fillId="0" borderId="0" xfId="1" applyNumberFormat="1" applyFont="1" applyAlignment="1"/>
    <xf numFmtId="0" fontId="21" fillId="6" borderId="3" xfId="3" applyFont="1" applyFill="1" applyBorder="1" applyAlignment="1">
      <alignment horizontal="center"/>
    </xf>
    <xf numFmtId="170" fontId="22" fillId="0" borderId="0" xfId="1" applyNumberFormat="1" applyFont="1" applyAlignment="1"/>
    <xf numFmtId="0" fontId="23" fillId="5" borderId="5" xfId="3" applyFont="1" applyFill="1" applyBorder="1" applyAlignment="1">
      <alignment horizontal="center" vertical="center"/>
    </xf>
    <xf numFmtId="167" fontId="0" fillId="0" borderId="0" xfId="1" applyNumberFormat="1" applyFont="1"/>
    <xf numFmtId="167" fontId="0" fillId="0" borderId="0" xfId="0" applyNumberFormat="1"/>
    <xf numFmtId="0" fontId="20" fillId="0" borderId="0" xfId="0" applyFont="1"/>
    <xf numFmtId="0" fontId="20" fillId="0" borderId="0" xfId="0" applyFont="1" applyAlignment="1">
      <alignment horizontal="center"/>
    </xf>
    <xf numFmtId="0" fontId="19" fillId="0" borderId="0" xfId="0" applyFont="1"/>
    <xf numFmtId="170" fontId="19" fillId="6" borderId="3" xfId="1" applyNumberFormat="1" applyFont="1" applyFill="1" applyBorder="1" applyAlignment="1">
      <alignment horizontal="center"/>
    </xf>
    <xf numFmtId="167" fontId="19" fillId="0" borderId="0" xfId="1" applyNumberFormat="1" applyFont="1"/>
    <xf numFmtId="170" fontId="20" fillId="0" borderId="0" xfId="1" applyNumberFormat="1" applyFont="1"/>
    <xf numFmtId="171" fontId="24" fillId="5" borderId="5" xfId="3" applyNumberFormat="1" applyFont="1" applyFill="1" applyBorder="1" applyAlignment="1">
      <alignment horizontal="center" vertical="center"/>
    </xf>
    <xf numFmtId="14" fontId="20" fillId="0" borderId="0" xfId="0" applyNumberFormat="1" applyFont="1"/>
    <xf numFmtId="168" fontId="20" fillId="10" borderId="0" xfId="0" applyNumberFormat="1" applyFont="1" applyFill="1"/>
    <xf numFmtId="0" fontId="20" fillId="12" borderId="0" xfId="0" applyFont="1" applyFill="1" applyAlignment="1">
      <alignment horizontal="right"/>
    </xf>
    <xf numFmtId="0" fontId="8" fillId="13" borderId="3" xfId="3" applyFont="1" applyFill="1" applyBorder="1" applyAlignment="1">
      <alignment horizontal="center"/>
    </xf>
    <xf numFmtId="0" fontId="9" fillId="13" borderId="5" xfId="3" applyFont="1" applyFill="1" applyBorder="1" applyAlignment="1">
      <alignment horizontal="center" vertical="center"/>
    </xf>
    <xf numFmtId="171" fontId="24" fillId="5" borderId="24" xfId="3" applyNumberFormat="1" applyFont="1" applyFill="1" applyBorder="1" applyAlignment="1">
      <alignment horizontal="center" vertical="center"/>
    </xf>
    <xf numFmtId="171" fontId="24" fillId="5" borderId="22" xfId="3" applyNumberFormat="1" applyFont="1" applyFill="1" applyBorder="1" applyAlignment="1">
      <alignment horizontal="center" vertical="center"/>
    </xf>
    <xf numFmtId="0" fontId="23" fillId="5" borderId="24" xfId="3" applyFont="1" applyFill="1" applyBorder="1" applyAlignment="1">
      <alignment horizontal="center" vertical="center"/>
    </xf>
    <xf numFmtId="0" fontId="23" fillId="5" borderId="22" xfId="3" applyFont="1" applyFill="1" applyBorder="1" applyAlignment="1">
      <alignment horizontal="center" vertical="center"/>
    </xf>
    <xf numFmtId="0" fontId="9" fillId="5" borderId="24" xfId="3" applyFont="1" applyFill="1" applyBorder="1" applyAlignment="1">
      <alignment horizontal="center" vertical="center"/>
    </xf>
    <xf numFmtId="0" fontId="9" fillId="5" borderId="22" xfId="3" applyFont="1" applyFill="1" applyBorder="1" applyAlignment="1">
      <alignment horizontal="center" vertical="center"/>
    </xf>
    <xf numFmtId="170" fontId="19" fillId="6" borderId="6" xfId="1" applyNumberFormat="1" applyFont="1" applyFill="1" applyBorder="1" applyAlignment="1">
      <alignment horizontal="center"/>
    </xf>
    <xf numFmtId="170" fontId="19" fillId="6" borderId="8" xfId="1" applyNumberFormat="1" applyFont="1" applyFill="1" applyBorder="1" applyAlignment="1">
      <alignment horizontal="center"/>
    </xf>
    <xf numFmtId="170" fontId="21" fillId="6" borderId="6" xfId="1" applyNumberFormat="1" applyFont="1" applyFill="1" applyBorder="1" applyAlignment="1">
      <alignment horizontal="center"/>
    </xf>
    <xf numFmtId="170" fontId="21" fillId="6" borderId="8" xfId="1" applyNumberFormat="1" applyFont="1" applyFill="1" applyBorder="1" applyAlignment="1">
      <alignment horizontal="center"/>
    </xf>
    <xf numFmtId="0" fontId="21" fillId="6" borderId="6" xfId="3" applyFont="1" applyFill="1" applyBorder="1" applyAlignment="1">
      <alignment horizontal="center"/>
    </xf>
    <xf numFmtId="0" fontId="21" fillId="6" borderId="8" xfId="3" applyFont="1" applyFill="1" applyBorder="1" applyAlignment="1">
      <alignment horizontal="center"/>
    </xf>
    <xf numFmtId="0" fontId="8" fillId="6" borderId="6" xfId="3" applyFont="1" applyFill="1" applyBorder="1" applyAlignment="1">
      <alignment horizontal="center"/>
    </xf>
    <xf numFmtId="0" fontId="8" fillId="6" borderId="8" xfId="3" applyFont="1" applyFill="1" applyBorder="1" applyAlignment="1">
      <alignment horizontal="center"/>
    </xf>
    <xf numFmtId="0" fontId="19" fillId="6" borderId="6" xfId="3" applyFont="1" applyFill="1" applyBorder="1" applyAlignment="1">
      <alignment horizontal="center" vertical="center"/>
    </xf>
    <xf numFmtId="0" fontId="19" fillId="6" borderId="8" xfId="3" applyFont="1" applyFill="1" applyBorder="1" applyAlignment="1">
      <alignment horizontal="center" vertical="center"/>
    </xf>
    <xf numFmtId="0" fontId="24" fillId="5" borderId="21" xfId="3" applyFont="1" applyFill="1" applyBorder="1" applyAlignment="1">
      <alignment horizontal="center" vertical="center"/>
    </xf>
    <xf numFmtId="0" fontId="24" fillId="5" borderId="22" xfId="3" applyFont="1" applyFill="1" applyBorder="1" applyAlignment="1">
      <alignment horizontal="center" vertical="center"/>
    </xf>
    <xf numFmtId="165" fontId="17" fillId="0" borderId="14" xfId="3" applyNumberFormat="1" applyFont="1" applyBorder="1" applyAlignment="1">
      <alignment horizontal="center"/>
    </xf>
    <xf numFmtId="165" fontId="17" fillId="0" borderId="15" xfId="3" applyNumberFormat="1" applyFont="1" applyBorder="1" applyAlignment="1">
      <alignment horizontal="center"/>
    </xf>
    <xf numFmtId="165" fontId="17" fillId="0" borderId="16" xfId="3" applyNumberFormat="1" applyFont="1" applyBorder="1" applyAlignment="1">
      <alignment horizontal="center"/>
    </xf>
    <xf numFmtId="0" fontId="8" fillId="6" borderId="6" xfId="3" applyFont="1" applyFill="1" applyBorder="1" applyAlignment="1">
      <alignment horizontal="center" vertical="center"/>
    </xf>
    <xf numFmtId="0" fontId="8" fillId="6" borderId="8" xfId="3" applyFont="1" applyFill="1" applyBorder="1" applyAlignment="1">
      <alignment horizontal="center" vertical="center"/>
    </xf>
    <xf numFmtId="0" fontId="9" fillId="5" borderId="21" xfId="3" applyFont="1" applyFill="1" applyBorder="1" applyAlignment="1">
      <alignment horizontal="center" vertical="center"/>
    </xf>
    <xf numFmtId="165" fontId="11" fillId="0" borderId="14" xfId="3" applyNumberFormat="1" applyFont="1" applyBorder="1" applyAlignment="1">
      <alignment horizontal="center"/>
    </xf>
    <xf numFmtId="165" fontId="11" fillId="0" borderId="15" xfId="3" applyNumberFormat="1" applyFont="1" applyBorder="1" applyAlignment="1">
      <alignment horizontal="center"/>
    </xf>
    <xf numFmtId="165" fontId="11" fillId="0" borderId="16" xfId="3" applyNumberFormat="1" applyFont="1" applyBorder="1" applyAlignment="1">
      <alignment horizontal="center"/>
    </xf>
    <xf numFmtId="0" fontId="8" fillId="6" borderId="7" xfId="3" applyFont="1" applyFill="1" applyBorder="1" applyAlignment="1">
      <alignment horizontal="center"/>
    </xf>
    <xf numFmtId="0" fontId="8" fillId="11" borderId="0" xfId="0" applyFont="1" applyFill="1"/>
    <xf numFmtId="0" fontId="0" fillId="11" borderId="0" xfId="0" applyFill="1" applyAlignment="1">
      <alignment horizontal="center" vertical="center"/>
    </xf>
    <xf numFmtId="0" fontId="9" fillId="13" borderId="22" xfId="3" applyFont="1" applyFill="1" applyBorder="1" applyAlignment="1">
      <alignment horizontal="center" vertical="center"/>
    </xf>
    <xf numFmtId="0" fontId="23" fillId="5" borderId="25" xfId="3" applyFont="1" applyFill="1" applyBorder="1" applyAlignment="1">
      <alignment horizontal="center" vertical="center"/>
    </xf>
    <xf numFmtId="0" fontId="23" fillId="5" borderId="26" xfId="3" applyFont="1" applyFill="1" applyBorder="1" applyAlignment="1">
      <alignment horizontal="center" vertical="center"/>
    </xf>
    <xf numFmtId="0" fontId="9" fillId="14" borderId="27" xfId="3" applyFont="1" applyFill="1" applyBorder="1" applyAlignment="1">
      <alignment horizontal="center" vertical="center"/>
    </xf>
    <xf numFmtId="0" fontId="8" fillId="13" borderId="8" xfId="3" applyFont="1" applyFill="1" applyBorder="1" applyAlignment="1">
      <alignment horizontal="center"/>
    </xf>
    <xf numFmtId="170" fontId="21" fillId="6" borderId="28" xfId="1" applyNumberFormat="1" applyFont="1" applyFill="1" applyBorder="1" applyAlignment="1">
      <alignment horizontal="center"/>
    </xf>
    <xf numFmtId="165" fontId="18" fillId="0" borderId="29" xfId="3" applyNumberFormat="1" applyFont="1" applyBorder="1"/>
    <xf numFmtId="0" fontId="8" fillId="14" borderId="27" xfId="3" applyFont="1" applyFill="1" applyBorder="1" applyAlignment="1">
      <alignment horizontal="center"/>
    </xf>
  </cellXfs>
  <cellStyles count="8">
    <cellStyle name="Bom" xfId="6" builtinId="26"/>
    <cellStyle name="Ênfase3 2 3" xfId="5" xr:uid="{C418FBC5-4151-9F41-9331-2BE44CAD7E47}"/>
    <cellStyle name="Incorreto 2 3" xfId="4" xr:uid="{80B474D0-869C-DA44-A8D2-29FC33B3F4BB}"/>
    <cellStyle name="Neutro" xfId="2" builtinId="28"/>
    <cellStyle name="Normal" xfId="0" builtinId="0"/>
    <cellStyle name="Normal 2 3 2 4" xfId="3" xr:uid="{AE8859A0-51C7-D649-B72B-36DCA78B8ECD}"/>
    <cellStyle name="Ruim" xfId="7" builtinId="27"/>
    <cellStyle name="Vírgula" xfId="1" builtinId="3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E79"/>
      <color rgb="FFA4C7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bermartins/Library/Containers/com.microsoft.Excel/Data/Documents/P:\WINDOWS\TEMP\file:\P:\GEPRO\Qualidade\ISO%209001\Formul&#225;rios\Form%20E10-E%20-%20Planilha%20de%20Analise%20CREGE%20-%20For&#231;a%20Tarefa%20-%20Implanta&#231;&#227;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bermartins/Library/Containers/com.microsoft.Excel/Data/Documents/Ntbrulasap01\shpubavosmat\PADR&#213;ES%20DE%20PROCESS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bermartins/Library/Containers/com.microsoft.Excel/Data/Documents/NTBRULASAP01\SHPUBSUINOS\U_G_B\Ger_Rotina\Braul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 Dados - Relatóri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P crersciment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A930-F6CE-504B-BE15-D8D2A9946BEC}">
  <sheetPr>
    <pageSetUpPr fitToPage="1"/>
  </sheetPr>
  <dimension ref="B1:BU421"/>
  <sheetViews>
    <sheetView showGridLines="0" zoomScale="70" zoomScaleNormal="70" workbookViewId="0">
      <pane xSplit="6" ySplit="2" topLeftCell="N6" activePane="bottomRight" state="frozen"/>
      <selection pane="topRight" activeCell="E1" sqref="E1"/>
      <selection pane="bottomLeft" activeCell="A3" sqref="A3"/>
      <selection pane="bottomRight" activeCell="BW22" sqref="BW22"/>
    </sheetView>
  </sheetViews>
  <sheetFormatPr baseColWidth="10" defaultRowHeight="13" outlineLevelCol="2"/>
  <cols>
    <col min="1" max="1" width="5.83203125" customWidth="1"/>
    <col min="2" max="2" width="3.5" bestFit="1" customWidth="1"/>
    <col min="3" max="3" width="1.83203125" customWidth="1"/>
    <col min="4" max="4" width="3.5" bestFit="1" customWidth="1"/>
    <col min="5" max="5" width="4.83203125" style="1" bestFit="1" customWidth="1"/>
    <col min="6" max="6" width="5.6640625" bestFit="1" customWidth="1"/>
    <col min="7" max="7" width="3.5" style="10" customWidth="1" outlineLevel="2"/>
    <col min="8" max="8" width="4.83203125" style="1" customWidth="1" outlineLevel="2"/>
    <col min="9" max="14" width="3.5" style="10" customWidth="1" outlineLevel="2"/>
    <col min="15" max="20" width="3.6640625" style="13" customWidth="1" outlineLevel="1"/>
    <col min="21" max="21" width="2.83203125" style="13" customWidth="1"/>
    <col min="22" max="26" width="3.5" bestFit="1" customWidth="1"/>
    <col min="27" max="27" width="3.5" customWidth="1"/>
    <col min="28" max="28" width="2.83203125" customWidth="1"/>
    <col min="29" max="44" width="5.33203125" style="2" customWidth="1"/>
    <col min="45" max="45" width="3.33203125" style="1" customWidth="1" outlineLevel="1"/>
    <col min="46" max="48" width="4.33203125" style="1" customWidth="1" outlineLevel="1"/>
    <col min="49" max="51" width="3.33203125" style="1" customWidth="1" outlineLevel="1"/>
    <col min="52" max="53" width="4.33203125" style="1" customWidth="1" outlineLevel="1"/>
    <col min="54" max="56" width="3.33203125" style="1" customWidth="1" outlineLevel="1"/>
    <col min="57" max="57" width="4.33203125" style="1" customWidth="1" outlineLevel="1"/>
    <col min="58" max="59" width="3.33203125" style="1" customWidth="1" outlineLevel="1"/>
    <col min="60" max="60" width="4.33203125" style="1" customWidth="1" outlineLevel="1"/>
    <col min="61" max="61" width="2.33203125" bestFit="1" customWidth="1"/>
    <col min="62" max="62" width="10.1640625" style="25" hidden="1" customWidth="1"/>
    <col min="63" max="63" width="8.5" hidden="1" customWidth="1"/>
    <col min="64" max="64" width="10.83203125" hidden="1" customWidth="1"/>
    <col min="65" max="65" width="0" style="32" hidden="1" customWidth="1"/>
    <col min="66" max="66" width="0" hidden="1" customWidth="1"/>
    <col min="67" max="67" width="0" style="32" hidden="1" customWidth="1"/>
    <col min="68" max="68" width="0" hidden="1" customWidth="1"/>
    <col min="69" max="69" width="8.5" style="42" bestFit="1" customWidth="1"/>
    <col min="70" max="70" width="6.33203125" bestFit="1" customWidth="1"/>
    <col min="71" max="72" width="8.5" bestFit="1" customWidth="1"/>
    <col min="73" max="73" width="6.33203125" bestFit="1" customWidth="1"/>
    <col min="74" max="74" width="4.5" bestFit="1" customWidth="1"/>
  </cols>
  <sheetData>
    <row r="1" spans="2:73" ht="16">
      <c r="AC1" s="27" t="s">
        <v>9</v>
      </c>
      <c r="AD1" s="27" t="s">
        <v>9</v>
      </c>
      <c r="AE1" s="29" t="s">
        <v>11</v>
      </c>
      <c r="AF1" s="27" t="s">
        <v>9</v>
      </c>
      <c r="AG1" s="27" t="s">
        <v>9</v>
      </c>
      <c r="AH1" s="27" t="s">
        <v>9</v>
      </c>
      <c r="AI1" s="27" t="s">
        <v>9</v>
      </c>
      <c r="AJ1" s="27" t="s">
        <v>9</v>
      </c>
      <c r="AK1" s="27" t="s">
        <v>9</v>
      </c>
      <c r="AL1" s="27" t="s">
        <v>9</v>
      </c>
      <c r="AM1" s="27" t="s">
        <v>9</v>
      </c>
      <c r="AN1" s="27" t="s">
        <v>9</v>
      </c>
      <c r="AO1" s="29" t="s">
        <v>11</v>
      </c>
      <c r="AP1" s="28" t="s">
        <v>10</v>
      </c>
      <c r="AQ1" s="28" t="s">
        <v>10</v>
      </c>
      <c r="AR1" s="29" t="s">
        <v>11</v>
      </c>
      <c r="BM1" s="35"/>
      <c r="BO1" s="35"/>
      <c r="BR1" s="133" t="s">
        <v>14</v>
      </c>
      <c r="BS1" s="134"/>
      <c r="BT1" s="135" t="s">
        <v>15</v>
      </c>
      <c r="BU1" s="117"/>
    </row>
    <row r="2" spans="2:73" ht="15">
      <c r="B2" s="136" t="s">
        <v>2</v>
      </c>
      <c r="C2" s="137"/>
      <c r="D2" s="138"/>
      <c r="E2" s="18" t="s">
        <v>3</v>
      </c>
      <c r="F2" s="19" t="s">
        <v>4</v>
      </c>
      <c r="G2" s="11"/>
      <c r="H2" s="7"/>
      <c r="I2" s="124" t="s">
        <v>0</v>
      </c>
      <c r="J2" s="139"/>
      <c r="K2" s="139"/>
      <c r="L2" s="139"/>
      <c r="M2" s="139"/>
      <c r="N2" s="125"/>
      <c r="O2" s="11">
        <v>1</v>
      </c>
      <c r="P2" s="11">
        <v>2</v>
      </c>
      <c r="Q2" s="11">
        <v>3</v>
      </c>
      <c r="R2" s="11">
        <v>4</v>
      </c>
      <c r="S2" s="11">
        <v>5</v>
      </c>
      <c r="T2" s="11">
        <v>6</v>
      </c>
      <c r="V2" s="5">
        <v>1</v>
      </c>
      <c r="W2" s="5">
        <v>2</v>
      </c>
      <c r="X2" s="5">
        <v>3</v>
      </c>
      <c r="Y2" s="5">
        <v>4</v>
      </c>
      <c r="Z2" s="5">
        <v>5</v>
      </c>
      <c r="AA2" s="5">
        <v>6</v>
      </c>
      <c r="AC2" s="7">
        <v>9</v>
      </c>
      <c r="AD2" s="7">
        <v>11</v>
      </c>
      <c r="AE2" s="7">
        <v>10</v>
      </c>
      <c r="AF2" s="7">
        <v>12</v>
      </c>
      <c r="AG2" s="7">
        <v>1</v>
      </c>
      <c r="AH2" s="7">
        <v>6</v>
      </c>
      <c r="AI2" s="7">
        <v>2</v>
      </c>
      <c r="AJ2" s="7">
        <v>13</v>
      </c>
      <c r="AK2" s="7">
        <v>14</v>
      </c>
      <c r="AL2" s="7">
        <v>3</v>
      </c>
      <c r="AM2" s="7">
        <v>4</v>
      </c>
      <c r="AN2" s="7">
        <v>5</v>
      </c>
      <c r="AO2" s="7">
        <v>15</v>
      </c>
      <c r="AP2" s="7">
        <v>7</v>
      </c>
      <c r="AQ2" s="7">
        <v>8</v>
      </c>
      <c r="AR2" s="7">
        <v>16</v>
      </c>
      <c r="AS2" s="7">
        <v>9</v>
      </c>
      <c r="AT2" s="7">
        <v>11</v>
      </c>
      <c r="AU2" s="7">
        <v>10</v>
      </c>
      <c r="AV2" s="7">
        <v>12</v>
      </c>
      <c r="AW2" s="7">
        <v>1</v>
      </c>
      <c r="AX2" s="7">
        <v>6</v>
      </c>
      <c r="AY2" s="7">
        <v>2</v>
      </c>
      <c r="AZ2" s="7">
        <v>13</v>
      </c>
      <c r="BA2" s="7">
        <v>14</v>
      </c>
      <c r="BB2" s="7">
        <v>3</v>
      </c>
      <c r="BC2" s="7">
        <v>4</v>
      </c>
      <c r="BD2" s="7">
        <v>5</v>
      </c>
      <c r="BE2" s="7">
        <v>15</v>
      </c>
      <c r="BF2" s="7">
        <v>7</v>
      </c>
      <c r="BG2" s="7">
        <v>8</v>
      </c>
      <c r="BH2" s="7">
        <v>16</v>
      </c>
      <c r="BM2" s="35"/>
      <c r="BO2" s="35"/>
      <c r="BR2" s="5" t="s">
        <v>16</v>
      </c>
      <c r="BS2" s="5" t="s">
        <v>17</v>
      </c>
      <c r="BT2" s="7" t="s">
        <v>17</v>
      </c>
      <c r="BU2" s="7" t="s">
        <v>16</v>
      </c>
    </row>
    <row r="3" spans="2:73" ht="15" hidden="1">
      <c r="B3" s="16"/>
      <c r="C3" s="15"/>
      <c r="D3" s="17"/>
      <c r="E3" s="18"/>
      <c r="F3" s="19"/>
      <c r="G3" s="9"/>
      <c r="H3" s="8"/>
      <c r="I3" s="9"/>
      <c r="J3" s="9"/>
      <c r="K3" s="9"/>
      <c r="L3" s="9"/>
      <c r="M3" s="9"/>
      <c r="N3" s="9"/>
      <c r="O3" s="12"/>
      <c r="P3" s="12"/>
      <c r="Q3" s="12"/>
      <c r="R3" s="12"/>
      <c r="S3" s="12"/>
      <c r="T3" s="12"/>
      <c r="V3" s="4"/>
      <c r="W3" s="4"/>
      <c r="X3" s="4"/>
      <c r="Y3" s="4"/>
      <c r="Z3" s="4"/>
      <c r="AA3" s="4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M3" s="35"/>
      <c r="BO3" s="35"/>
    </row>
    <row r="4" spans="2:73" ht="15">
      <c r="B4" s="16">
        <v>43101</v>
      </c>
      <c r="C4" s="15" t="s">
        <v>1</v>
      </c>
      <c r="D4" s="17">
        <v>43107</v>
      </c>
      <c r="E4" s="18">
        <v>1</v>
      </c>
      <c r="F4" s="19">
        <v>2018</v>
      </c>
      <c r="G4" s="9">
        <v>17</v>
      </c>
      <c r="H4" s="8">
        <v>96</v>
      </c>
      <c r="I4" s="9"/>
      <c r="J4" s="9"/>
      <c r="K4" s="9"/>
      <c r="L4" s="9"/>
      <c r="M4" s="9"/>
      <c r="N4" s="9"/>
      <c r="O4" s="12"/>
      <c r="P4" s="12"/>
      <c r="Q4" s="12"/>
      <c r="R4" s="12"/>
      <c r="S4" s="12"/>
      <c r="T4" s="12"/>
      <c r="V4" s="20">
        <f t="shared" ref="V4:AA46" si="0">IF(I4&gt;0,I4,IF(O4=1,$B4+2,IF(O3=1,1,IF(O3=2,0,IF(V3=$G3,0,(IF(V3&gt;=1,V3+1,0)))))))</f>
        <v>0</v>
      </c>
      <c r="W4" s="20">
        <f t="shared" si="0"/>
        <v>0</v>
      </c>
      <c r="X4" s="20">
        <f t="shared" si="0"/>
        <v>0</v>
      </c>
      <c r="Y4" s="20">
        <f t="shared" si="0"/>
        <v>0</v>
      </c>
      <c r="Z4" s="20">
        <f t="shared" si="0"/>
        <v>0</v>
      </c>
      <c r="AA4" s="20">
        <f t="shared" si="0"/>
        <v>0</v>
      </c>
      <c r="AC4" s="3">
        <f t="shared" ref="AC4:AC33" si="1">IF(AND(AS4&gt;=$V$2,AS4&lt;=$AA$2),LOOKUP(AS4,$V$2:$AA$2,$V4:$AA4),IF(AS3="A",0,IF(AC3=$H4,0,IF(AC3=0,0,AC3+1))))</f>
        <v>0</v>
      </c>
      <c r="AD4" s="3">
        <f t="shared" ref="AD4:AD33" si="2">IF(AND(AT4&gt;=$V$2,AT4&lt;=$AA$2),LOOKUP(AT4,$V$2:$AA$2,$V4:$AA4),IF(AT3="A",0,IF(AD3=$H4,0,IF(AD3=0,0,AD3+1))))</f>
        <v>0</v>
      </c>
      <c r="AE4" s="3">
        <f t="shared" ref="AE4:AE33" si="3">IF(AND(AU4&gt;=$V$2,AU4&lt;=$AA$2),LOOKUP(AU4,$V$2:$AA$2,$V4:$AA4),IF(AU3="A",0,IF(AE3=$H4,0,IF(AE3=0,0,AE3+1))))</f>
        <v>0</v>
      </c>
      <c r="AF4" s="3">
        <f t="shared" ref="AF4:AF33" si="4">IF(AND(AV4&gt;=$V$2,AV4&lt;=$AA$2),LOOKUP(AV4,$V$2:$AA$2,$V4:$AA4),IF(AV3="A",0,IF(AF3=$H4,0,IF(AF3=0,0,AF3+1))))</f>
        <v>0</v>
      </c>
      <c r="AG4" s="3">
        <f t="shared" ref="AG4:AG33" si="5">IF(AND(AW4&gt;=$V$2,AW4&lt;=$AA$2),LOOKUP(AW4,$V$2:$AA$2,$V4:$AA4),IF(AW3="A",0,IF(AG3=$H4,0,IF(AG3=0,0,AG3+1))))</f>
        <v>0</v>
      </c>
      <c r="AH4" s="3">
        <f t="shared" ref="AH4:AH33" si="6">IF(AND(AX4&gt;=$V$2,AX4&lt;=$AA$2),LOOKUP(AX4,$V$2:$AA$2,$V4:$AA4),IF(AX3="A",0,IF(AH3=$H4,0,IF(AH3=0,0,AH3+1))))</f>
        <v>0</v>
      </c>
      <c r="AI4" s="3">
        <f t="shared" ref="AI4:AI33" si="7">IF(AND(AY4&gt;=$V$2,AY4&lt;=$AA$2),LOOKUP(AY4,$V$2:$AA$2,$V4:$AA4),IF(AY3="A",0,IF(AI3=$H4,0,IF(AI3=0,0,AI3+1))))</f>
        <v>0</v>
      </c>
      <c r="AJ4" s="3">
        <f t="shared" ref="AJ4:AJ33" si="8">IF(AND(AZ4&gt;=$V$2,AZ4&lt;=$AA$2),LOOKUP(AZ4,$V$2:$AA$2,$V4:$AA4),IF(AZ3="A",0,IF(AJ3=$H4,0,IF(AJ3=0,0,AJ3+1))))</f>
        <v>0</v>
      </c>
      <c r="AK4" s="3">
        <f t="shared" ref="AK4:AK33" si="9">IF(AND(BA4&gt;=$V$2,BA4&lt;=$AA$2),LOOKUP(BA4,$V$2:$AA$2,$V4:$AA4),IF(BA3="A",0,IF(AK3=$H4,0,IF(AK3=0,0,AK3+1))))</f>
        <v>0</v>
      </c>
      <c r="AL4" s="3">
        <f t="shared" ref="AL4:AL33" si="10">IF(AND(BB4&gt;=$V$2,BB4&lt;=$AA$2),LOOKUP(BB4,$V$2:$AA$2,$V4:$AA4),IF(BB3="A",0,IF(AL3=$H4,0,IF(AL3=0,0,AL3+1))))</f>
        <v>0</v>
      </c>
      <c r="AM4" s="3">
        <f t="shared" ref="AM4:AM33" si="11">IF(AND(BC4&gt;=$V$2,BC4&lt;=$AA$2),LOOKUP(BC4,$V$2:$AA$2,$V4:$AA4),IF(BC3="A",0,IF(AM3=$H4,0,IF(AM3=0,0,AM3+1))))</f>
        <v>0</v>
      </c>
      <c r="AN4" s="3">
        <f t="shared" ref="AN4:AN33" si="12">IF(AND(BD4&gt;=$V$2,BD4&lt;=$AA$2),LOOKUP(BD4,$V$2:$AA$2,$V4:$AA4),IF(BD3="A",0,IF(AN3=$H4,0,IF(AN3=0,0,AN3+1))))</f>
        <v>0</v>
      </c>
      <c r="AO4" s="3">
        <f t="shared" ref="AO4:AO33" si="13">IF(AND(BE4&gt;=$V$2,BE4&lt;=$AA$2),LOOKUP(BE4,$V$2:$AA$2,$V4:$AA4),IF(BE3="A",0,IF(AO3=$H4,0,IF(AO3=0,0,AO3+1))))</f>
        <v>0</v>
      </c>
      <c r="AP4" s="3">
        <f t="shared" ref="AP4:AP33" si="14">IF(AND(BF4&gt;=$V$2,BF4&lt;=$AA$2),LOOKUP(BF4,$V$2:$AA$2,$V4:$AA4),IF(BF3="A",0,IF(AP3=$H4,0,IF(AP3=0,0,AP3+1))))</f>
        <v>0</v>
      </c>
      <c r="AQ4" s="3">
        <f t="shared" ref="AQ4:AQ33" si="15">IF(AND(BG4&gt;=$V$2,BG4&lt;=$AA$2),LOOKUP(BG4,$V$2:$AA$2,$V4:$AA4),IF(BG3="A",0,IF(AQ3=$H4,0,IF(AQ3=0,0,AQ3+1))))</f>
        <v>0</v>
      </c>
      <c r="AR4" s="3">
        <f t="shared" ref="AR4:AR33" si="16">IF(AND(BH4&gt;=$V$2,BH4&lt;=$AA$2),LOOKUP(BH4,$V$2:$AA$2,$V4:$AA4),IF(BH3="A",0,IF(AR3=$H4,0,IF(AR3=0,0,AR3+1))))</f>
        <v>0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M4" s="35"/>
      <c r="BO4" s="35"/>
      <c r="BR4" s="9" t="str">
        <f t="shared" ref="BR4:BR67" si="17">IF(AND(V4&gt;0,V3=0),$V$2,IF(AND(W4&gt;0,W3=0),$W$2,IF(AND(X4&gt;0,X3=0),$X$2,IF(AND(Y4&gt;0,Y3=0),$Y$2,IF(AND(Z4&gt;0,Z3=0),$Z$2,IF(AND(AA4&gt;0,AA3=0),$AA$2,""))))))</f>
        <v/>
      </c>
      <c r="BS4" s="37" t="str">
        <f t="shared" ref="BS4:BS67" si="18">IF(OR(AND($V5=1,$V6=2),OR(AND($W5=1,$W6=2),OR(AND($X5=1,$X6=2),OR(AND($Y5=1,$Y6=2),OR(AND($Z5=1,$Z6),OR(AND($AA5=1,$AA6=2))))))),$B4+2,"")</f>
        <v/>
      </c>
      <c r="BT4" s="38" t="str">
        <f t="shared" ref="BT4:BT40" si="19">IF(BS4="","",BS4+(17*7))</f>
        <v/>
      </c>
      <c r="BU4" s="36" t="str">
        <f t="shared" ref="BU4:BU67" si="20">IF(AND(AC21&gt;0,AC20=0),$AC$2,IF(AND(AD21&gt;0,AD20=0),$AD$2,IF(AND(AE21&gt;0,AE20=0),$AE$2,IF(AND(AF21&gt;0,AF20=0),$AF$2,IF(AND(AG21&gt;0,AG20=0),$AG$2,IF(AND(AH21&gt;0,AH20=0),$AH$2,IF(AND(AI21&gt;0,AI20=0),$AI$2,IF(AND(AJ21&gt;0,AJ20=0),$AJ$2,IF(AND(AK21&gt;0,AK20=0),$AK$2,IF(AND(AL21&gt;0,AL20=0),$AL$2,IF(AND(AM21&gt;0,AM20=0),$AM$2,IF(AND(AN21&gt;0,AN20=0),$AN$2,IF(AND(AO21&gt;0,AO20=0),$AO$2,IF(AND(AP21&gt;0,AP20=0),$AP$2,IF(AND(AQ21&gt;0,AQ20=0),$AQ$2,IF(AND(AR21&gt;0,AR20=0),$AR$2,""))))))))))))))))</f>
        <v/>
      </c>
    </row>
    <row r="5" spans="2:73" ht="15">
      <c r="B5" s="16">
        <f t="shared" ref="B5:B68" si="21">D4+1</f>
        <v>43108</v>
      </c>
      <c r="C5" s="15" t="s">
        <v>1</v>
      </c>
      <c r="D5" s="17">
        <f t="shared" ref="D5:D68" si="22">B5+6</f>
        <v>43114</v>
      </c>
      <c r="E5" s="18">
        <f t="shared" ref="E5:E68" si="23">MONTH(B5)</f>
        <v>1</v>
      </c>
      <c r="F5" s="19">
        <f t="shared" ref="F5:F68" si="24">YEAR(D5)</f>
        <v>2018</v>
      </c>
      <c r="G5" s="14">
        <f>G4</f>
        <v>17</v>
      </c>
      <c r="H5" s="8">
        <f>H4</f>
        <v>96</v>
      </c>
      <c r="I5" s="9"/>
      <c r="J5" s="9"/>
      <c r="K5" s="9"/>
      <c r="L5" s="9"/>
      <c r="M5" s="9"/>
      <c r="N5" s="9"/>
      <c r="O5" s="12"/>
      <c r="P5" s="12"/>
      <c r="Q5" s="12"/>
      <c r="R5" s="12"/>
      <c r="S5" s="12"/>
      <c r="T5" s="12"/>
      <c r="V5" s="20">
        <f t="shared" si="0"/>
        <v>0</v>
      </c>
      <c r="W5" s="20">
        <f t="shared" si="0"/>
        <v>0</v>
      </c>
      <c r="X5" s="20">
        <f t="shared" si="0"/>
        <v>0</v>
      </c>
      <c r="Y5" s="20">
        <f t="shared" si="0"/>
        <v>0</v>
      </c>
      <c r="Z5" s="20">
        <f t="shared" si="0"/>
        <v>0</v>
      </c>
      <c r="AA5" s="20">
        <f t="shared" si="0"/>
        <v>0</v>
      </c>
      <c r="AC5" s="3">
        <f t="shared" si="1"/>
        <v>0</v>
      </c>
      <c r="AD5" s="3">
        <f t="shared" si="2"/>
        <v>0</v>
      </c>
      <c r="AE5" s="3">
        <f t="shared" si="3"/>
        <v>0</v>
      </c>
      <c r="AF5" s="3">
        <f t="shared" si="4"/>
        <v>0</v>
      </c>
      <c r="AG5" s="3">
        <f t="shared" si="5"/>
        <v>0</v>
      </c>
      <c r="AH5" s="3">
        <f t="shared" si="6"/>
        <v>0</v>
      </c>
      <c r="AI5" s="3">
        <f t="shared" si="7"/>
        <v>0</v>
      </c>
      <c r="AJ5" s="3">
        <f t="shared" si="8"/>
        <v>0</v>
      </c>
      <c r="AK5" s="3">
        <f t="shared" si="9"/>
        <v>0</v>
      </c>
      <c r="AL5" s="3">
        <f t="shared" si="10"/>
        <v>0</v>
      </c>
      <c r="AM5" s="3">
        <f t="shared" si="11"/>
        <v>0</v>
      </c>
      <c r="AN5" s="3">
        <f t="shared" si="12"/>
        <v>0</v>
      </c>
      <c r="AO5" s="3">
        <f t="shared" si="13"/>
        <v>0</v>
      </c>
      <c r="AP5" s="3">
        <f t="shared" si="14"/>
        <v>0</v>
      </c>
      <c r="AQ5" s="3">
        <f t="shared" si="15"/>
        <v>0</v>
      </c>
      <c r="AR5" s="3">
        <f t="shared" si="16"/>
        <v>0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M5" s="35"/>
      <c r="BO5" s="35"/>
      <c r="BR5" s="9" t="str">
        <f t="shared" si="17"/>
        <v/>
      </c>
      <c r="BS5" s="37" t="str">
        <f t="shared" si="18"/>
        <v/>
      </c>
      <c r="BT5" s="38" t="str">
        <f t="shared" si="19"/>
        <v/>
      </c>
      <c r="BU5" s="36" t="str">
        <f t="shared" si="20"/>
        <v/>
      </c>
    </row>
    <row r="6" spans="2:73" ht="15">
      <c r="B6" s="16">
        <f t="shared" si="21"/>
        <v>43115</v>
      </c>
      <c r="C6" s="15" t="s">
        <v>1</v>
      </c>
      <c r="D6" s="17">
        <f t="shared" si="22"/>
        <v>43121</v>
      </c>
      <c r="E6" s="18">
        <f t="shared" si="23"/>
        <v>1</v>
      </c>
      <c r="F6" s="19">
        <f t="shared" si="24"/>
        <v>2018</v>
      </c>
      <c r="G6" s="9">
        <f t="shared" ref="G6:H21" si="25">G5</f>
        <v>17</v>
      </c>
      <c r="H6" s="8">
        <f t="shared" si="25"/>
        <v>96</v>
      </c>
      <c r="I6" s="9"/>
      <c r="J6" s="9"/>
      <c r="K6" s="9"/>
      <c r="L6" s="9"/>
      <c r="M6" s="9"/>
      <c r="N6" s="9"/>
      <c r="O6" s="12"/>
      <c r="P6" s="12"/>
      <c r="Q6" s="12"/>
      <c r="R6" s="12"/>
      <c r="S6" s="12"/>
      <c r="T6" s="12"/>
      <c r="V6" s="20">
        <f t="shared" si="0"/>
        <v>0</v>
      </c>
      <c r="W6" s="20">
        <f t="shared" si="0"/>
        <v>0</v>
      </c>
      <c r="X6" s="20">
        <f t="shared" si="0"/>
        <v>0</v>
      </c>
      <c r="Y6" s="20">
        <f t="shared" si="0"/>
        <v>0</v>
      </c>
      <c r="Z6" s="20">
        <f t="shared" si="0"/>
        <v>0</v>
      </c>
      <c r="AA6" s="20">
        <f t="shared" si="0"/>
        <v>0</v>
      </c>
      <c r="AC6" s="3">
        <f t="shared" si="1"/>
        <v>0</v>
      </c>
      <c r="AD6" s="3">
        <f t="shared" si="2"/>
        <v>0</v>
      </c>
      <c r="AE6" s="3">
        <f t="shared" si="3"/>
        <v>0</v>
      </c>
      <c r="AF6" s="3">
        <f t="shared" si="4"/>
        <v>0</v>
      </c>
      <c r="AG6" s="3">
        <f t="shared" si="5"/>
        <v>0</v>
      </c>
      <c r="AH6" s="3">
        <f t="shared" si="6"/>
        <v>0</v>
      </c>
      <c r="AI6" s="3">
        <f t="shared" si="7"/>
        <v>0</v>
      </c>
      <c r="AJ6" s="3">
        <f t="shared" si="8"/>
        <v>0</v>
      </c>
      <c r="AK6" s="3">
        <f t="shared" si="9"/>
        <v>0</v>
      </c>
      <c r="AL6" s="3">
        <f t="shared" si="10"/>
        <v>0</v>
      </c>
      <c r="AM6" s="3">
        <f t="shared" si="11"/>
        <v>0</v>
      </c>
      <c r="AN6" s="3">
        <f t="shared" si="12"/>
        <v>0</v>
      </c>
      <c r="AO6" s="3">
        <f t="shared" si="13"/>
        <v>0</v>
      </c>
      <c r="AP6" s="3">
        <f t="shared" si="14"/>
        <v>0</v>
      </c>
      <c r="AQ6" s="3">
        <f t="shared" si="15"/>
        <v>0</v>
      </c>
      <c r="AR6" s="3">
        <f t="shared" si="16"/>
        <v>0</v>
      </c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M6" s="35"/>
      <c r="BO6" s="35"/>
      <c r="BR6" s="9" t="str">
        <f t="shared" si="17"/>
        <v/>
      </c>
      <c r="BS6" s="37" t="str">
        <f t="shared" si="18"/>
        <v/>
      </c>
      <c r="BT6" s="38" t="str">
        <f t="shared" si="19"/>
        <v/>
      </c>
      <c r="BU6" s="36" t="str">
        <f t="shared" si="20"/>
        <v/>
      </c>
    </row>
    <row r="7" spans="2:73" ht="15">
      <c r="B7" s="16">
        <f t="shared" si="21"/>
        <v>43122</v>
      </c>
      <c r="C7" s="15" t="s">
        <v>1</v>
      </c>
      <c r="D7" s="17">
        <f t="shared" si="22"/>
        <v>43128</v>
      </c>
      <c r="E7" s="18">
        <f t="shared" si="23"/>
        <v>1</v>
      </c>
      <c r="F7" s="19">
        <f t="shared" si="24"/>
        <v>2018</v>
      </c>
      <c r="G7" s="9">
        <f t="shared" si="25"/>
        <v>17</v>
      </c>
      <c r="H7" s="8">
        <f t="shared" si="25"/>
        <v>96</v>
      </c>
      <c r="I7" s="9"/>
      <c r="J7" s="9"/>
      <c r="K7" s="9"/>
      <c r="L7" s="9"/>
      <c r="M7" s="9"/>
      <c r="N7" s="9"/>
      <c r="O7" s="12"/>
      <c r="P7" s="12"/>
      <c r="Q7" s="12"/>
      <c r="R7" s="12"/>
      <c r="S7" s="12"/>
      <c r="T7" s="12"/>
      <c r="V7" s="20">
        <f t="shared" si="0"/>
        <v>0</v>
      </c>
      <c r="W7" s="20">
        <f t="shared" si="0"/>
        <v>0</v>
      </c>
      <c r="X7" s="20">
        <f t="shared" si="0"/>
        <v>0</v>
      </c>
      <c r="Y7" s="20">
        <f t="shared" si="0"/>
        <v>0</v>
      </c>
      <c r="Z7" s="20">
        <f t="shared" si="0"/>
        <v>0</v>
      </c>
      <c r="AA7" s="20">
        <f t="shared" si="0"/>
        <v>0</v>
      </c>
      <c r="AC7" s="3">
        <f t="shared" si="1"/>
        <v>0</v>
      </c>
      <c r="AD7" s="3">
        <f t="shared" si="2"/>
        <v>0</v>
      </c>
      <c r="AE7" s="3">
        <f t="shared" si="3"/>
        <v>0</v>
      </c>
      <c r="AF7" s="3">
        <f t="shared" si="4"/>
        <v>0</v>
      </c>
      <c r="AG7" s="3">
        <f t="shared" si="5"/>
        <v>0</v>
      </c>
      <c r="AH7" s="3">
        <f t="shared" si="6"/>
        <v>0</v>
      </c>
      <c r="AI7" s="3">
        <f t="shared" si="7"/>
        <v>0</v>
      </c>
      <c r="AJ7" s="3">
        <f t="shared" si="8"/>
        <v>0</v>
      </c>
      <c r="AK7" s="3">
        <f t="shared" si="9"/>
        <v>0</v>
      </c>
      <c r="AL7" s="3">
        <f t="shared" si="10"/>
        <v>0</v>
      </c>
      <c r="AM7" s="3">
        <f t="shared" si="11"/>
        <v>0</v>
      </c>
      <c r="AN7" s="3">
        <f t="shared" si="12"/>
        <v>0</v>
      </c>
      <c r="AO7" s="3">
        <f t="shared" si="13"/>
        <v>0</v>
      </c>
      <c r="AP7" s="3">
        <f t="shared" si="14"/>
        <v>0</v>
      </c>
      <c r="AQ7" s="3">
        <f t="shared" si="15"/>
        <v>0</v>
      </c>
      <c r="AR7" s="3">
        <f t="shared" si="16"/>
        <v>0</v>
      </c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M7" s="35"/>
      <c r="BO7" s="35"/>
      <c r="BR7" s="9" t="str">
        <f t="shared" si="17"/>
        <v/>
      </c>
      <c r="BS7" s="37" t="str">
        <f t="shared" si="18"/>
        <v/>
      </c>
      <c r="BT7" s="38" t="str">
        <f t="shared" si="19"/>
        <v/>
      </c>
      <c r="BU7" s="36" t="str">
        <f t="shared" si="20"/>
        <v/>
      </c>
    </row>
    <row r="8" spans="2:73" ht="15">
      <c r="B8" s="16">
        <f t="shared" si="21"/>
        <v>43129</v>
      </c>
      <c r="C8" s="15" t="s">
        <v>1</v>
      </c>
      <c r="D8" s="17">
        <f t="shared" si="22"/>
        <v>43135</v>
      </c>
      <c r="E8" s="18">
        <f t="shared" si="23"/>
        <v>1</v>
      </c>
      <c r="F8" s="19">
        <f t="shared" si="24"/>
        <v>2018</v>
      </c>
      <c r="G8" s="9">
        <f t="shared" si="25"/>
        <v>17</v>
      </c>
      <c r="H8" s="8">
        <f t="shared" si="25"/>
        <v>96</v>
      </c>
      <c r="I8" s="9"/>
      <c r="J8" s="9"/>
      <c r="K8" s="9"/>
      <c r="L8" s="9"/>
      <c r="M8" s="9"/>
      <c r="N8" s="9"/>
      <c r="O8" s="12"/>
      <c r="P8" s="12"/>
      <c r="Q8" s="12"/>
      <c r="R8" s="12"/>
      <c r="S8" s="12"/>
      <c r="T8" s="12"/>
      <c r="V8" s="20">
        <f t="shared" si="0"/>
        <v>0</v>
      </c>
      <c r="W8" s="20">
        <f t="shared" si="0"/>
        <v>0</v>
      </c>
      <c r="X8" s="20">
        <f t="shared" si="0"/>
        <v>0</v>
      </c>
      <c r="Y8" s="20">
        <f t="shared" si="0"/>
        <v>0</v>
      </c>
      <c r="Z8" s="20">
        <f t="shared" si="0"/>
        <v>0</v>
      </c>
      <c r="AA8" s="20">
        <f t="shared" si="0"/>
        <v>0</v>
      </c>
      <c r="AC8" s="3">
        <f t="shared" si="1"/>
        <v>0</v>
      </c>
      <c r="AD8" s="3">
        <f t="shared" si="2"/>
        <v>0</v>
      </c>
      <c r="AE8" s="3">
        <f t="shared" si="3"/>
        <v>0</v>
      </c>
      <c r="AF8" s="3">
        <f t="shared" si="4"/>
        <v>0</v>
      </c>
      <c r="AG8" s="3">
        <f t="shared" si="5"/>
        <v>0</v>
      </c>
      <c r="AH8" s="3">
        <f t="shared" si="6"/>
        <v>0</v>
      </c>
      <c r="AI8" s="3">
        <f t="shared" si="7"/>
        <v>0</v>
      </c>
      <c r="AJ8" s="3">
        <f t="shared" si="8"/>
        <v>0</v>
      </c>
      <c r="AK8" s="3">
        <f t="shared" si="9"/>
        <v>0</v>
      </c>
      <c r="AL8" s="3">
        <f t="shared" si="10"/>
        <v>0</v>
      </c>
      <c r="AM8" s="3">
        <f t="shared" si="11"/>
        <v>0</v>
      </c>
      <c r="AN8" s="3">
        <f t="shared" si="12"/>
        <v>0</v>
      </c>
      <c r="AO8" s="3">
        <f t="shared" si="13"/>
        <v>0</v>
      </c>
      <c r="AP8" s="3">
        <f t="shared" si="14"/>
        <v>0</v>
      </c>
      <c r="AQ8" s="3">
        <f t="shared" si="15"/>
        <v>0</v>
      </c>
      <c r="AR8" s="3">
        <f t="shared" si="16"/>
        <v>0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M8" s="35"/>
      <c r="BO8" s="35"/>
      <c r="BR8" s="9" t="str">
        <f t="shared" si="17"/>
        <v/>
      </c>
      <c r="BS8" s="37" t="str">
        <f t="shared" si="18"/>
        <v/>
      </c>
      <c r="BT8" s="38" t="str">
        <f t="shared" si="19"/>
        <v/>
      </c>
      <c r="BU8" s="36" t="str">
        <f t="shared" si="20"/>
        <v/>
      </c>
    </row>
    <row r="9" spans="2:73" ht="15">
      <c r="B9" s="16">
        <f t="shared" si="21"/>
        <v>43136</v>
      </c>
      <c r="C9" s="15" t="s">
        <v>1</v>
      </c>
      <c r="D9" s="17">
        <f t="shared" si="22"/>
        <v>43142</v>
      </c>
      <c r="E9" s="18">
        <f t="shared" si="23"/>
        <v>2</v>
      </c>
      <c r="F9" s="19">
        <f t="shared" si="24"/>
        <v>2018</v>
      </c>
      <c r="G9" s="9">
        <f t="shared" si="25"/>
        <v>17</v>
      </c>
      <c r="H9" s="8">
        <f t="shared" si="25"/>
        <v>96</v>
      </c>
      <c r="I9" s="9"/>
      <c r="J9" s="9"/>
      <c r="K9" s="9"/>
      <c r="L9" s="9"/>
      <c r="M9" s="9"/>
      <c r="N9" s="9"/>
      <c r="O9" s="12"/>
      <c r="P9" s="12"/>
      <c r="Q9" s="12"/>
      <c r="R9" s="12"/>
      <c r="S9" s="12"/>
      <c r="T9" s="12"/>
      <c r="V9" s="20">
        <f t="shared" si="0"/>
        <v>0</v>
      </c>
      <c r="W9" s="20">
        <f t="shared" si="0"/>
        <v>0</v>
      </c>
      <c r="X9" s="20">
        <f t="shared" si="0"/>
        <v>0</v>
      </c>
      <c r="Y9" s="20">
        <f t="shared" si="0"/>
        <v>0</v>
      </c>
      <c r="Z9" s="20">
        <f t="shared" si="0"/>
        <v>0</v>
      </c>
      <c r="AA9" s="20">
        <f t="shared" si="0"/>
        <v>0</v>
      </c>
      <c r="AC9" s="3">
        <f t="shared" si="1"/>
        <v>0</v>
      </c>
      <c r="AD9" s="3">
        <f t="shared" si="2"/>
        <v>0</v>
      </c>
      <c r="AE9" s="3">
        <f t="shared" si="3"/>
        <v>0</v>
      </c>
      <c r="AF9" s="3">
        <f t="shared" si="4"/>
        <v>0</v>
      </c>
      <c r="AG9" s="3">
        <f t="shared" si="5"/>
        <v>0</v>
      </c>
      <c r="AH9" s="3">
        <f t="shared" si="6"/>
        <v>0</v>
      </c>
      <c r="AI9" s="3">
        <f t="shared" si="7"/>
        <v>0</v>
      </c>
      <c r="AJ9" s="3">
        <f t="shared" si="8"/>
        <v>0</v>
      </c>
      <c r="AK9" s="3">
        <f t="shared" si="9"/>
        <v>0</v>
      </c>
      <c r="AL9" s="3">
        <f t="shared" si="10"/>
        <v>0</v>
      </c>
      <c r="AM9" s="3">
        <f t="shared" si="11"/>
        <v>0</v>
      </c>
      <c r="AN9" s="3">
        <f t="shared" si="12"/>
        <v>0</v>
      </c>
      <c r="AO9" s="3">
        <f t="shared" si="13"/>
        <v>0</v>
      </c>
      <c r="AP9" s="3">
        <f t="shared" si="14"/>
        <v>0</v>
      </c>
      <c r="AQ9" s="3">
        <f t="shared" si="15"/>
        <v>0</v>
      </c>
      <c r="AR9" s="3">
        <f t="shared" si="16"/>
        <v>0</v>
      </c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M9" s="35"/>
      <c r="BO9" s="35"/>
      <c r="BR9" s="9" t="str">
        <f t="shared" si="17"/>
        <v/>
      </c>
      <c r="BS9" s="37" t="str">
        <f t="shared" si="18"/>
        <v/>
      </c>
      <c r="BT9" s="38" t="str">
        <f t="shared" si="19"/>
        <v/>
      </c>
      <c r="BU9" s="36" t="str">
        <f t="shared" si="20"/>
        <v/>
      </c>
    </row>
    <row r="10" spans="2:73" ht="15">
      <c r="B10" s="16">
        <f t="shared" si="21"/>
        <v>43143</v>
      </c>
      <c r="C10" s="15" t="s">
        <v>1</v>
      </c>
      <c r="D10" s="17">
        <f t="shared" si="22"/>
        <v>43149</v>
      </c>
      <c r="E10" s="18">
        <f t="shared" si="23"/>
        <v>2</v>
      </c>
      <c r="F10" s="19">
        <f t="shared" si="24"/>
        <v>2018</v>
      </c>
      <c r="G10" s="9">
        <f t="shared" si="25"/>
        <v>17</v>
      </c>
      <c r="H10" s="8">
        <f t="shared" si="25"/>
        <v>96</v>
      </c>
      <c r="I10" s="9"/>
      <c r="J10" s="9"/>
      <c r="K10" s="9"/>
      <c r="L10" s="9"/>
      <c r="M10" s="9"/>
      <c r="N10" s="9"/>
      <c r="O10" s="12"/>
      <c r="P10" s="12"/>
      <c r="Q10" s="12"/>
      <c r="R10" s="12"/>
      <c r="S10" s="12"/>
      <c r="T10" s="12"/>
      <c r="V10" s="20">
        <f t="shared" si="0"/>
        <v>0</v>
      </c>
      <c r="W10" s="20">
        <f t="shared" si="0"/>
        <v>0</v>
      </c>
      <c r="X10" s="20">
        <f t="shared" si="0"/>
        <v>0</v>
      </c>
      <c r="Y10" s="20">
        <f t="shared" si="0"/>
        <v>0</v>
      </c>
      <c r="Z10" s="20">
        <f t="shared" si="0"/>
        <v>0</v>
      </c>
      <c r="AA10" s="20">
        <f t="shared" si="0"/>
        <v>0</v>
      </c>
      <c r="AC10" s="3">
        <f t="shared" si="1"/>
        <v>0</v>
      </c>
      <c r="AD10" s="3">
        <f t="shared" si="2"/>
        <v>0</v>
      </c>
      <c r="AE10" s="3">
        <f t="shared" si="3"/>
        <v>0</v>
      </c>
      <c r="AF10" s="3">
        <f t="shared" si="4"/>
        <v>0</v>
      </c>
      <c r="AG10" s="3">
        <f t="shared" si="5"/>
        <v>0</v>
      </c>
      <c r="AH10" s="3">
        <f t="shared" si="6"/>
        <v>0</v>
      </c>
      <c r="AI10" s="3">
        <f t="shared" si="7"/>
        <v>0</v>
      </c>
      <c r="AJ10" s="3">
        <f t="shared" si="8"/>
        <v>0</v>
      </c>
      <c r="AK10" s="3">
        <f t="shared" si="9"/>
        <v>0</v>
      </c>
      <c r="AL10" s="3">
        <f t="shared" si="10"/>
        <v>0</v>
      </c>
      <c r="AM10" s="3">
        <f t="shared" si="11"/>
        <v>0</v>
      </c>
      <c r="AN10" s="3">
        <f t="shared" si="12"/>
        <v>0</v>
      </c>
      <c r="AO10" s="3">
        <f t="shared" si="13"/>
        <v>0</v>
      </c>
      <c r="AP10" s="3">
        <f t="shared" si="14"/>
        <v>0</v>
      </c>
      <c r="AQ10" s="3">
        <f t="shared" si="15"/>
        <v>0</v>
      </c>
      <c r="AR10" s="3">
        <f t="shared" si="16"/>
        <v>0</v>
      </c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M10" s="35"/>
      <c r="BO10" s="35"/>
      <c r="BR10" s="9" t="str">
        <f t="shared" si="17"/>
        <v/>
      </c>
      <c r="BS10" s="37" t="str">
        <f t="shared" si="18"/>
        <v/>
      </c>
      <c r="BT10" s="38" t="str">
        <f t="shared" si="19"/>
        <v/>
      </c>
      <c r="BU10" s="36" t="str">
        <f t="shared" si="20"/>
        <v/>
      </c>
    </row>
    <row r="11" spans="2:73" ht="15">
      <c r="B11" s="16">
        <f t="shared" si="21"/>
        <v>43150</v>
      </c>
      <c r="C11" s="15" t="s">
        <v>1</v>
      </c>
      <c r="D11" s="17">
        <f t="shared" si="22"/>
        <v>43156</v>
      </c>
      <c r="E11" s="18">
        <f t="shared" si="23"/>
        <v>2</v>
      </c>
      <c r="F11" s="19">
        <f t="shared" si="24"/>
        <v>2018</v>
      </c>
      <c r="G11" s="9">
        <f t="shared" si="25"/>
        <v>17</v>
      </c>
      <c r="H11" s="8">
        <f t="shared" si="25"/>
        <v>96</v>
      </c>
      <c r="I11" s="9"/>
      <c r="J11" s="9"/>
      <c r="K11" s="9"/>
      <c r="L11" s="9"/>
      <c r="M11" s="9"/>
      <c r="N11" s="9"/>
      <c r="O11" s="12"/>
      <c r="P11" s="12"/>
      <c r="Q11" s="12"/>
      <c r="R11" s="12"/>
      <c r="S11" s="12"/>
      <c r="T11" s="12"/>
      <c r="V11" s="20">
        <f t="shared" si="0"/>
        <v>0</v>
      </c>
      <c r="W11" s="20">
        <f t="shared" si="0"/>
        <v>0</v>
      </c>
      <c r="X11" s="20">
        <f t="shared" si="0"/>
        <v>0</v>
      </c>
      <c r="Y11" s="20">
        <f t="shared" si="0"/>
        <v>0</v>
      </c>
      <c r="Z11" s="20">
        <f t="shared" si="0"/>
        <v>0</v>
      </c>
      <c r="AA11" s="20">
        <f t="shared" si="0"/>
        <v>0</v>
      </c>
      <c r="AC11" s="3">
        <f t="shared" si="1"/>
        <v>0</v>
      </c>
      <c r="AD11" s="3">
        <f t="shared" si="2"/>
        <v>0</v>
      </c>
      <c r="AE11" s="3">
        <f t="shared" si="3"/>
        <v>0</v>
      </c>
      <c r="AF11" s="3">
        <f t="shared" si="4"/>
        <v>0</v>
      </c>
      <c r="AG11" s="3">
        <f t="shared" si="5"/>
        <v>0</v>
      </c>
      <c r="AH11" s="3">
        <f t="shared" si="6"/>
        <v>0</v>
      </c>
      <c r="AI11" s="3">
        <f t="shared" si="7"/>
        <v>0</v>
      </c>
      <c r="AJ11" s="3">
        <f t="shared" si="8"/>
        <v>0</v>
      </c>
      <c r="AK11" s="3">
        <f t="shared" si="9"/>
        <v>0</v>
      </c>
      <c r="AL11" s="3">
        <f t="shared" si="10"/>
        <v>0</v>
      </c>
      <c r="AM11" s="3">
        <f t="shared" si="11"/>
        <v>0</v>
      </c>
      <c r="AN11" s="3">
        <f t="shared" si="12"/>
        <v>0</v>
      </c>
      <c r="AO11" s="3">
        <f t="shared" si="13"/>
        <v>0</v>
      </c>
      <c r="AP11" s="3">
        <f t="shared" si="14"/>
        <v>0</v>
      </c>
      <c r="AQ11" s="3">
        <f t="shared" si="15"/>
        <v>0</v>
      </c>
      <c r="AR11" s="3">
        <f t="shared" si="16"/>
        <v>0</v>
      </c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M11" s="35"/>
      <c r="BO11" s="35"/>
      <c r="BR11" s="9" t="str">
        <f t="shared" si="17"/>
        <v/>
      </c>
      <c r="BS11" s="37" t="str">
        <f t="shared" si="18"/>
        <v/>
      </c>
      <c r="BT11" s="38" t="str">
        <f t="shared" si="19"/>
        <v/>
      </c>
      <c r="BU11" s="36" t="str">
        <f t="shared" si="20"/>
        <v/>
      </c>
    </row>
    <row r="12" spans="2:73" ht="15">
      <c r="B12" s="16">
        <f t="shared" si="21"/>
        <v>43157</v>
      </c>
      <c r="C12" s="15" t="s">
        <v>1</v>
      </c>
      <c r="D12" s="17">
        <f t="shared" si="22"/>
        <v>43163</v>
      </c>
      <c r="E12" s="18">
        <f t="shared" si="23"/>
        <v>2</v>
      </c>
      <c r="F12" s="19">
        <f t="shared" si="24"/>
        <v>2018</v>
      </c>
      <c r="G12" s="14">
        <f t="shared" si="25"/>
        <v>17</v>
      </c>
      <c r="H12" s="8">
        <f t="shared" si="25"/>
        <v>96</v>
      </c>
      <c r="I12" s="9"/>
      <c r="J12" s="9"/>
      <c r="K12" s="9"/>
      <c r="L12" s="9"/>
      <c r="M12" s="9"/>
      <c r="N12" s="9"/>
      <c r="O12" s="12"/>
      <c r="P12" s="12"/>
      <c r="Q12" s="12"/>
      <c r="R12" s="12"/>
      <c r="S12" s="12"/>
      <c r="T12" s="12"/>
      <c r="V12" s="20">
        <f t="shared" si="0"/>
        <v>0</v>
      </c>
      <c r="W12" s="20">
        <f t="shared" si="0"/>
        <v>0</v>
      </c>
      <c r="X12" s="20">
        <f t="shared" si="0"/>
        <v>0</v>
      </c>
      <c r="Y12" s="20">
        <f t="shared" si="0"/>
        <v>0</v>
      </c>
      <c r="Z12" s="20">
        <f t="shared" si="0"/>
        <v>0</v>
      </c>
      <c r="AA12" s="20">
        <f t="shared" si="0"/>
        <v>0</v>
      </c>
      <c r="AC12" s="3">
        <f t="shared" si="1"/>
        <v>0</v>
      </c>
      <c r="AD12" s="3">
        <f t="shared" si="2"/>
        <v>0</v>
      </c>
      <c r="AE12" s="3">
        <f t="shared" si="3"/>
        <v>0</v>
      </c>
      <c r="AF12" s="3">
        <f t="shared" si="4"/>
        <v>0</v>
      </c>
      <c r="AG12" s="3">
        <f t="shared" si="5"/>
        <v>0</v>
      </c>
      <c r="AH12" s="3">
        <f t="shared" si="6"/>
        <v>0</v>
      </c>
      <c r="AI12" s="3">
        <f t="shared" si="7"/>
        <v>0</v>
      </c>
      <c r="AJ12" s="3">
        <f t="shared" si="8"/>
        <v>0</v>
      </c>
      <c r="AK12" s="3">
        <f t="shared" si="9"/>
        <v>0</v>
      </c>
      <c r="AL12" s="3">
        <f t="shared" si="10"/>
        <v>0</v>
      </c>
      <c r="AM12" s="3">
        <f t="shared" si="11"/>
        <v>0</v>
      </c>
      <c r="AN12" s="3">
        <f t="shared" si="12"/>
        <v>0</v>
      </c>
      <c r="AO12" s="3">
        <f t="shared" si="13"/>
        <v>0</v>
      </c>
      <c r="AP12" s="3">
        <f t="shared" si="14"/>
        <v>0</v>
      </c>
      <c r="AQ12" s="3">
        <f t="shared" si="15"/>
        <v>0</v>
      </c>
      <c r="AR12" s="3">
        <f t="shared" si="16"/>
        <v>0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M12" s="35"/>
      <c r="BO12" s="35"/>
      <c r="BR12" s="9" t="str">
        <f t="shared" si="17"/>
        <v/>
      </c>
      <c r="BS12" s="37" t="str">
        <f t="shared" si="18"/>
        <v/>
      </c>
      <c r="BT12" s="38" t="str">
        <f t="shared" si="19"/>
        <v/>
      </c>
      <c r="BU12" s="36" t="str">
        <f t="shared" si="20"/>
        <v/>
      </c>
    </row>
    <row r="13" spans="2:73" ht="15">
      <c r="B13" s="16">
        <f t="shared" si="21"/>
        <v>43164</v>
      </c>
      <c r="C13" s="15" t="s">
        <v>1</v>
      </c>
      <c r="D13" s="17">
        <f t="shared" si="22"/>
        <v>43170</v>
      </c>
      <c r="E13" s="18">
        <f t="shared" si="23"/>
        <v>3</v>
      </c>
      <c r="F13" s="19">
        <f t="shared" si="24"/>
        <v>2018</v>
      </c>
      <c r="G13" s="14">
        <f t="shared" si="25"/>
        <v>17</v>
      </c>
      <c r="H13" s="8">
        <f t="shared" si="25"/>
        <v>96</v>
      </c>
      <c r="I13" s="9"/>
      <c r="J13" s="9"/>
      <c r="K13" s="9"/>
      <c r="L13" s="9"/>
      <c r="M13" s="9"/>
      <c r="N13" s="9"/>
      <c r="O13" s="12"/>
      <c r="P13" s="12"/>
      <c r="Q13" s="12">
        <v>1</v>
      </c>
      <c r="R13" s="12"/>
      <c r="S13" s="12"/>
      <c r="T13" s="12"/>
      <c r="V13" s="20">
        <f t="shared" si="0"/>
        <v>0</v>
      </c>
      <c r="W13" s="20">
        <f t="shared" si="0"/>
        <v>0</v>
      </c>
      <c r="X13" s="20">
        <f t="shared" si="0"/>
        <v>43166</v>
      </c>
      <c r="Y13" s="20">
        <f t="shared" si="0"/>
        <v>0</v>
      </c>
      <c r="Z13" s="20">
        <f t="shared" si="0"/>
        <v>0</v>
      </c>
      <c r="AA13" s="20">
        <f t="shared" si="0"/>
        <v>0</v>
      </c>
      <c r="AC13" s="3">
        <f t="shared" si="1"/>
        <v>0</v>
      </c>
      <c r="AD13" s="3">
        <f t="shared" si="2"/>
        <v>0</v>
      </c>
      <c r="AE13" s="3">
        <f t="shared" si="3"/>
        <v>0</v>
      </c>
      <c r="AF13" s="3">
        <f t="shared" si="4"/>
        <v>0</v>
      </c>
      <c r="AG13" s="3">
        <f t="shared" si="5"/>
        <v>0</v>
      </c>
      <c r="AH13" s="3">
        <f t="shared" si="6"/>
        <v>0</v>
      </c>
      <c r="AI13" s="3">
        <f t="shared" si="7"/>
        <v>0</v>
      </c>
      <c r="AJ13" s="3">
        <f t="shared" si="8"/>
        <v>0</v>
      </c>
      <c r="AK13" s="3">
        <f t="shared" si="9"/>
        <v>0</v>
      </c>
      <c r="AL13" s="3">
        <f t="shared" si="10"/>
        <v>0</v>
      </c>
      <c r="AM13" s="3">
        <f t="shared" si="11"/>
        <v>0</v>
      </c>
      <c r="AN13" s="3">
        <f t="shared" si="12"/>
        <v>0</v>
      </c>
      <c r="AO13" s="3">
        <f t="shared" si="13"/>
        <v>0</v>
      </c>
      <c r="AP13" s="3">
        <f t="shared" si="14"/>
        <v>0</v>
      </c>
      <c r="AQ13" s="3">
        <f t="shared" si="15"/>
        <v>0</v>
      </c>
      <c r="AR13" s="3">
        <f t="shared" si="16"/>
        <v>0</v>
      </c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M13" s="35"/>
      <c r="BO13" s="35"/>
      <c r="BQ13" s="43"/>
      <c r="BR13" s="9">
        <f t="shared" si="17"/>
        <v>3</v>
      </c>
      <c r="BS13" s="37">
        <f t="shared" si="18"/>
        <v>43166</v>
      </c>
      <c r="BT13" s="38">
        <f t="shared" si="19"/>
        <v>43285</v>
      </c>
      <c r="BU13" s="36">
        <f t="shared" si="20"/>
        <v>4</v>
      </c>
    </row>
    <row r="14" spans="2:73" ht="15">
      <c r="B14" s="16">
        <f t="shared" si="21"/>
        <v>43171</v>
      </c>
      <c r="C14" s="15" t="s">
        <v>1</v>
      </c>
      <c r="D14" s="17">
        <f t="shared" si="22"/>
        <v>43177</v>
      </c>
      <c r="E14" s="18">
        <f t="shared" si="23"/>
        <v>3</v>
      </c>
      <c r="F14" s="19">
        <f t="shared" si="24"/>
        <v>2018</v>
      </c>
      <c r="G14" s="14">
        <f t="shared" si="25"/>
        <v>17</v>
      </c>
      <c r="H14" s="8">
        <f t="shared" si="25"/>
        <v>96</v>
      </c>
      <c r="I14" s="9"/>
      <c r="J14" s="9"/>
      <c r="K14" s="9"/>
      <c r="L14" s="9"/>
      <c r="M14" s="9"/>
      <c r="N14" s="9"/>
      <c r="O14" s="12"/>
      <c r="P14" s="12"/>
      <c r="Q14" s="12"/>
      <c r="R14" s="12"/>
      <c r="S14" s="12"/>
      <c r="T14" s="12"/>
      <c r="V14" s="20">
        <f t="shared" si="0"/>
        <v>0</v>
      </c>
      <c r="W14" s="20">
        <f t="shared" si="0"/>
        <v>0</v>
      </c>
      <c r="X14" s="20">
        <f t="shared" si="0"/>
        <v>1</v>
      </c>
      <c r="Y14" s="20">
        <f t="shared" si="0"/>
        <v>0</v>
      </c>
      <c r="Z14" s="20">
        <f t="shared" si="0"/>
        <v>0</v>
      </c>
      <c r="AA14" s="20">
        <f t="shared" si="0"/>
        <v>0</v>
      </c>
      <c r="AC14" s="3">
        <f t="shared" si="1"/>
        <v>0</v>
      </c>
      <c r="AD14" s="3">
        <f t="shared" si="2"/>
        <v>0</v>
      </c>
      <c r="AE14" s="3">
        <f t="shared" si="3"/>
        <v>0</v>
      </c>
      <c r="AF14" s="3">
        <f t="shared" si="4"/>
        <v>0</v>
      </c>
      <c r="AG14" s="3">
        <f t="shared" si="5"/>
        <v>0</v>
      </c>
      <c r="AH14" s="3">
        <f t="shared" si="6"/>
        <v>0</v>
      </c>
      <c r="AI14" s="3">
        <f t="shared" si="7"/>
        <v>0</v>
      </c>
      <c r="AJ14" s="3">
        <f t="shared" si="8"/>
        <v>0</v>
      </c>
      <c r="AK14" s="3">
        <f t="shared" si="9"/>
        <v>0</v>
      </c>
      <c r="AL14" s="3">
        <f t="shared" si="10"/>
        <v>0</v>
      </c>
      <c r="AM14" s="3">
        <f t="shared" si="11"/>
        <v>0</v>
      </c>
      <c r="AN14" s="3">
        <f t="shared" si="12"/>
        <v>0</v>
      </c>
      <c r="AO14" s="3">
        <f t="shared" si="13"/>
        <v>0</v>
      </c>
      <c r="AP14" s="3">
        <f t="shared" si="14"/>
        <v>0</v>
      </c>
      <c r="AQ14" s="3">
        <f t="shared" si="15"/>
        <v>0</v>
      </c>
      <c r="AR14" s="3">
        <f t="shared" si="16"/>
        <v>0</v>
      </c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M14" s="35"/>
      <c r="BO14" s="35"/>
      <c r="BQ14" s="43"/>
      <c r="BR14" s="9" t="str">
        <f t="shared" si="17"/>
        <v/>
      </c>
      <c r="BS14" s="37" t="str">
        <f t="shared" si="18"/>
        <v/>
      </c>
      <c r="BT14" s="38" t="str">
        <f t="shared" si="19"/>
        <v/>
      </c>
      <c r="BU14" s="36" t="str">
        <f t="shared" si="20"/>
        <v/>
      </c>
    </row>
    <row r="15" spans="2:73" ht="15">
      <c r="B15" s="16">
        <f t="shared" si="21"/>
        <v>43178</v>
      </c>
      <c r="C15" s="15" t="s">
        <v>1</v>
      </c>
      <c r="D15" s="17">
        <f t="shared" si="22"/>
        <v>43184</v>
      </c>
      <c r="E15" s="18">
        <f t="shared" si="23"/>
        <v>3</v>
      </c>
      <c r="F15" s="19">
        <f t="shared" si="24"/>
        <v>2018</v>
      </c>
      <c r="G15" s="14">
        <f t="shared" si="25"/>
        <v>17</v>
      </c>
      <c r="H15" s="8">
        <f t="shared" si="25"/>
        <v>96</v>
      </c>
      <c r="I15" s="9"/>
      <c r="J15" s="9"/>
      <c r="K15" s="9"/>
      <c r="L15" s="9"/>
      <c r="M15" s="9"/>
      <c r="N15" s="9"/>
      <c r="O15" s="12"/>
      <c r="P15" s="12"/>
      <c r="Q15" s="12"/>
      <c r="R15" s="12"/>
      <c r="S15" s="12"/>
      <c r="T15" s="12"/>
      <c r="V15" s="20">
        <f t="shared" si="0"/>
        <v>0</v>
      </c>
      <c r="W15" s="20">
        <f t="shared" si="0"/>
        <v>0</v>
      </c>
      <c r="X15" s="20">
        <f t="shared" si="0"/>
        <v>2</v>
      </c>
      <c r="Y15" s="20">
        <f t="shared" si="0"/>
        <v>0</v>
      </c>
      <c r="Z15" s="20">
        <f t="shared" si="0"/>
        <v>0</v>
      </c>
      <c r="AA15" s="20">
        <f t="shared" si="0"/>
        <v>0</v>
      </c>
      <c r="AC15" s="3">
        <f t="shared" si="1"/>
        <v>0</v>
      </c>
      <c r="AD15" s="3">
        <f t="shared" si="2"/>
        <v>0</v>
      </c>
      <c r="AE15" s="3">
        <f t="shared" si="3"/>
        <v>0</v>
      </c>
      <c r="AF15" s="3">
        <f t="shared" si="4"/>
        <v>0</v>
      </c>
      <c r="AG15" s="3">
        <f t="shared" si="5"/>
        <v>0</v>
      </c>
      <c r="AH15" s="3">
        <f t="shared" si="6"/>
        <v>0</v>
      </c>
      <c r="AI15" s="3">
        <f t="shared" si="7"/>
        <v>0</v>
      </c>
      <c r="AJ15" s="3">
        <f t="shared" si="8"/>
        <v>0</v>
      </c>
      <c r="AK15" s="3">
        <f t="shared" si="9"/>
        <v>0</v>
      </c>
      <c r="AL15" s="3">
        <f t="shared" si="10"/>
        <v>0</v>
      </c>
      <c r="AM15" s="3">
        <f t="shared" si="11"/>
        <v>0</v>
      </c>
      <c r="AN15" s="3">
        <f t="shared" si="12"/>
        <v>0</v>
      </c>
      <c r="AO15" s="3">
        <f t="shared" si="13"/>
        <v>0</v>
      </c>
      <c r="AP15" s="3">
        <f t="shared" si="14"/>
        <v>0</v>
      </c>
      <c r="AQ15" s="3">
        <f t="shared" si="15"/>
        <v>0</v>
      </c>
      <c r="AR15" s="3">
        <f t="shared" si="16"/>
        <v>0</v>
      </c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M15" s="35"/>
      <c r="BO15" s="35"/>
      <c r="BQ15" s="43"/>
      <c r="BR15" s="9" t="str">
        <f t="shared" si="17"/>
        <v/>
      </c>
      <c r="BS15" s="37" t="str">
        <f t="shared" si="18"/>
        <v/>
      </c>
      <c r="BT15" s="38" t="str">
        <f t="shared" si="19"/>
        <v/>
      </c>
      <c r="BU15" s="36" t="str">
        <f t="shared" si="20"/>
        <v/>
      </c>
    </row>
    <row r="16" spans="2:73" ht="15">
      <c r="B16" s="16">
        <f t="shared" si="21"/>
        <v>43185</v>
      </c>
      <c r="C16" s="15" t="s">
        <v>1</v>
      </c>
      <c r="D16" s="17">
        <f t="shared" si="22"/>
        <v>43191</v>
      </c>
      <c r="E16" s="18">
        <f t="shared" si="23"/>
        <v>3</v>
      </c>
      <c r="F16" s="19">
        <f t="shared" si="24"/>
        <v>2018</v>
      </c>
      <c r="G16" s="14">
        <f t="shared" si="25"/>
        <v>17</v>
      </c>
      <c r="H16" s="8">
        <f t="shared" si="25"/>
        <v>96</v>
      </c>
      <c r="I16" s="9"/>
      <c r="J16" s="9"/>
      <c r="K16" s="9"/>
      <c r="L16" s="9"/>
      <c r="M16" s="9"/>
      <c r="N16" s="9"/>
      <c r="O16" s="12"/>
      <c r="P16" s="12"/>
      <c r="Q16" s="12"/>
      <c r="R16" s="12"/>
      <c r="S16" s="12"/>
      <c r="T16" s="12"/>
      <c r="V16" s="20">
        <f t="shared" si="0"/>
        <v>0</v>
      </c>
      <c r="W16" s="20">
        <f t="shared" si="0"/>
        <v>0</v>
      </c>
      <c r="X16" s="20">
        <f t="shared" si="0"/>
        <v>3</v>
      </c>
      <c r="Y16" s="20">
        <f t="shared" si="0"/>
        <v>0</v>
      </c>
      <c r="Z16" s="20">
        <f t="shared" si="0"/>
        <v>0</v>
      </c>
      <c r="AA16" s="20">
        <f t="shared" si="0"/>
        <v>0</v>
      </c>
      <c r="AC16" s="3">
        <f t="shared" si="1"/>
        <v>0</v>
      </c>
      <c r="AD16" s="3">
        <f t="shared" si="2"/>
        <v>0</v>
      </c>
      <c r="AE16" s="3">
        <f t="shared" si="3"/>
        <v>0</v>
      </c>
      <c r="AF16" s="3">
        <f t="shared" si="4"/>
        <v>0</v>
      </c>
      <c r="AG16" s="3">
        <f t="shared" si="5"/>
        <v>0</v>
      </c>
      <c r="AH16" s="3">
        <f t="shared" si="6"/>
        <v>0</v>
      </c>
      <c r="AI16" s="3">
        <f t="shared" si="7"/>
        <v>0</v>
      </c>
      <c r="AJ16" s="3">
        <f t="shared" si="8"/>
        <v>0</v>
      </c>
      <c r="AK16" s="3">
        <f t="shared" si="9"/>
        <v>0</v>
      </c>
      <c r="AL16" s="3">
        <f t="shared" si="10"/>
        <v>0</v>
      </c>
      <c r="AM16" s="3">
        <f t="shared" si="11"/>
        <v>0</v>
      </c>
      <c r="AN16" s="3">
        <f t="shared" si="12"/>
        <v>0</v>
      </c>
      <c r="AO16" s="3">
        <f t="shared" si="13"/>
        <v>0</v>
      </c>
      <c r="AP16" s="3">
        <f t="shared" si="14"/>
        <v>0</v>
      </c>
      <c r="AQ16" s="3">
        <f t="shared" si="15"/>
        <v>0</v>
      </c>
      <c r="AR16" s="3">
        <f t="shared" si="16"/>
        <v>0</v>
      </c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M16" s="35"/>
      <c r="BO16" s="35"/>
      <c r="BQ16" s="43"/>
      <c r="BR16" s="9" t="str">
        <f t="shared" si="17"/>
        <v/>
      </c>
      <c r="BS16" s="37" t="str">
        <f t="shared" si="18"/>
        <v/>
      </c>
      <c r="BT16" s="38" t="str">
        <f t="shared" si="19"/>
        <v/>
      </c>
      <c r="BU16" s="36">
        <f t="shared" si="20"/>
        <v>5</v>
      </c>
    </row>
    <row r="17" spans="2:73" ht="15">
      <c r="B17" s="16">
        <f t="shared" si="21"/>
        <v>43192</v>
      </c>
      <c r="C17" s="15" t="s">
        <v>1</v>
      </c>
      <c r="D17" s="17">
        <f t="shared" si="22"/>
        <v>43198</v>
      </c>
      <c r="E17" s="18">
        <f t="shared" si="23"/>
        <v>4</v>
      </c>
      <c r="F17" s="19">
        <f t="shared" si="24"/>
        <v>2018</v>
      </c>
      <c r="G17" s="9">
        <f t="shared" si="25"/>
        <v>17</v>
      </c>
      <c r="H17" s="8">
        <f t="shared" si="25"/>
        <v>96</v>
      </c>
      <c r="I17" s="9"/>
      <c r="J17" s="9"/>
      <c r="K17" s="9"/>
      <c r="L17" s="9"/>
      <c r="M17" s="9"/>
      <c r="N17" s="9"/>
      <c r="O17" s="12"/>
      <c r="P17" s="12"/>
      <c r="Q17" s="12"/>
      <c r="R17" s="12"/>
      <c r="S17" s="12"/>
      <c r="T17" s="12"/>
      <c r="V17" s="20">
        <f t="shared" si="0"/>
        <v>0</v>
      </c>
      <c r="W17" s="20">
        <f t="shared" si="0"/>
        <v>0</v>
      </c>
      <c r="X17" s="20">
        <f t="shared" si="0"/>
        <v>4</v>
      </c>
      <c r="Y17" s="20">
        <f t="shared" si="0"/>
        <v>0</v>
      </c>
      <c r="Z17" s="20">
        <f t="shared" si="0"/>
        <v>0</v>
      </c>
      <c r="AA17" s="20">
        <f t="shared" si="0"/>
        <v>0</v>
      </c>
      <c r="AC17" s="3">
        <f t="shared" si="1"/>
        <v>0</v>
      </c>
      <c r="AD17" s="3">
        <f t="shared" si="2"/>
        <v>0</v>
      </c>
      <c r="AE17" s="3">
        <f t="shared" si="3"/>
        <v>0</v>
      </c>
      <c r="AF17" s="3">
        <f t="shared" si="4"/>
        <v>0</v>
      </c>
      <c r="AG17" s="3">
        <f t="shared" si="5"/>
        <v>0</v>
      </c>
      <c r="AH17" s="3">
        <f t="shared" si="6"/>
        <v>0</v>
      </c>
      <c r="AI17" s="3">
        <f t="shared" si="7"/>
        <v>0</v>
      </c>
      <c r="AJ17" s="3">
        <f t="shared" si="8"/>
        <v>0</v>
      </c>
      <c r="AK17" s="3">
        <f t="shared" si="9"/>
        <v>0</v>
      </c>
      <c r="AL17" s="3">
        <f t="shared" si="10"/>
        <v>0</v>
      </c>
      <c r="AM17" s="3">
        <f t="shared" si="11"/>
        <v>0</v>
      </c>
      <c r="AN17" s="3">
        <f t="shared" si="12"/>
        <v>0</v>
      </c>
      <c r="AO17" s="3">
        <f t="shared" si="13"/>
        <v>0</v>
      </c>
      <c r="AP17" s="3">
        <f t="shared" si="14"/>
        <v>0</v>
      </c>
      <c r="AQ17" s="3">
        <f t="shared" si="15"/>
        <v>0</v>
      </c>
      <c r="AR17" s="3">
        <f t="shared" si="16"/>
        <v>0</v>
      </c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M17" s="35"/>
      <c r="BO17" s="35"/>
      <c r="BQ17" s="43"/>
      <c r="BR17" s="9" t="str">
        <f t="shared" si="17"/>
        <v/>
      </c>
      <c r="BS17" s="37" t="str">
        <f t="shared" si="18"/>
        <v/>
      </c>
      <c r="BT17" s="38" t="str">
        <f t="shared" si="19"/>
        <v/>
      </c>
      <c r="BU17" s="36">
        <f t="shared" si="20"/>
        <v>9</v>
      </c>
    </row>
    <row r="18" spans="2:73" ht="15">
      <c r="B18" s="16">
        <f t="shared" si="21"/>
        <v>43199</v>
      </c>
      <c r="C18" s="15" t="s">
        <v>1</v>
      </c>
      <c r="D18" s="17">
        <f t="shared" si="22"/>
        <v>43205</v>
      </c>
      <c r="E18" s="18">
        <f t="shared" si="23"/>
        <v>4</v>
      </c>
      <c r="F18" s="19">
        <f t="shared" si="24"/>
        <v>2018</v>
      </c>
      <c r="G18" s="9">
        <f t="shared" si="25"/>
        <v>17</v>
      </c>
      <c r="H18" s="8">
        <f t="shared" si="25"/>
        <v>96</v>
      </c>
      <c r="I18" s="9"/>
      <c r="J18" s="9"/>
      <c r="K18" s="9"/>
      <c r="L18" s="9"/>
      <c r="M18" s="9"/>
      <c r="N18" s="9"/>
      <c r="O18" s="12"/>
      <c r="P18" s="12"/>
      <c r="Q18" s="12"/>
      <c r="R18" s="12"/>
      <c r="S18" s="12"/>
      <c r="T18" s="12"/>
      <c r="V18" s="20">
        <f t="shared" si="0"/>
        <v>0</v>
      </c>
      <c r="W18" s="20">
        <f t="shared" si="0"/>
        <v>0</v>
      </c>
      <c r="X18" s="20">
        <f t="shared" si="0"/>
        <v>5</v>
      </c>
      <c r="Y18" s="20">
        <f t="shared" si="0"/>
        <v>0</v>
      </c>
      <c r="Z18" s="20">
        <f t="shared" si="0"/>
        <v>0</v>
      </c>
      <c r="AA18" s="20">
        <f t="shared" si="0"/>
        <v>0</v>
      </c>
      <c r="AC18" s="3">
        <f t="shared" si="1"/>
        <v>0</v>
      </c>
      <c r="AD18" s="3">
        <f t="shared" si="2"/>
        <v>0</v>
      </c>
      <c r="AE18" s="3">
        <f t="shared" si="3"/>
        <v>0</v>
      </c>
      <c r="AF18" s="3">
        <f t="shared" si="4"/>
        <v>0</v>
      </c>
      <c r="AG18" s="3">
        <f t="shared" si="5"/>
        <v>0</v>
      </c>
      <c r="AH18" s="3">
        <f t="shared" si="6"/>
        <v>0</v>
      </c>
      <c r="AI18" s="3">
        <f t="shared" si="7"/>
        <v>0</v>
      </c>
      <c r="AJ18" s="3">
        <f t="shared" si="8"/>
        <v>0</v>
      </c>
      <c r="AK18" s="3">
        <f t="shared" si="9"/>
        <v>0</v>
      </c>
      <c r="AL18" s="3">
        <f t="shared" si="10"/>
        <v>0</v>
      </c>
      <c r="AM18" s="3">
        <f t="shared" si="11"/>
        <v>0</v>
      </c>
      <c r="AN18" s="3">
        <f t="shared" si="12"/>
        <v>0</v>
      </c>
      <c r="AO18" s="3">
        <f t="shared" si="13"/>
        <v>0</v>
      </c>
      <c r="AP18" s="3">
        <f t="shared" si="14"/>
        <v>0</v>
      </c>
      <c r="AQ18" s="3">
        <f t="shared" si="15"/>
        <v>0</v>
      </c>
      <c r="AR18" s="3">
        <f t="shared" si="16"/>
        <v>0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M18" s="35"/>
      <c r="BO18" s="35"/>
      <c r="BQ18" s="43"/>
      <c r="BR18" s="9" t="str">
        <f t="shared" si="17"/>
        <v/>
      </c>
      <c r="BS18" s="37" t="str">
        <f t="shared" si="18"/>
        <v/>
      </c>
      <c r="BT18" s="38" t="str">
        <f t="shared" si="19"/>
        <v/>
      </c>
      <c r="BU18" s="36" t="str">
        <f t="shared" si="20"/>
        <v/>
      </c>
    </row>
    <row r="19" spans="2:73" ht="15">
      <c r="B19" s="16">
        <f t="shared" si="21"/>
        <v>43206</v>
      </c>
      <c r="C19" s="15" t="s">
        <v>1</v>
      </c>
      <c r="D19" s="17">
        <f t="shared" si="22"/>
        <v>43212</v>
      </c>
      <c r="E19" s="18">
        <f t="shared" si="23"/>
        <v>4</v>
      </c>
      <c r="F19" s="19">
        <f t="shared" si="24"/>
        <v>2018</v>
      </c>
      <c r="G19" s="9">
        <f t="shared" si="25"/>
        <v>17</v>
      </c>
      <c r="H19" s="8">
        <f t="shared" si="25"/>
        <v>96</v>
      </c>
      <c r="I19" s="9"/>
      <c r="J19" s="9"/>
      <c r="K19" s="9"/>
      <c r="L19" s="9"/>
      <c r="M19" s="9"/>
      <c r="N19" s="9"/>
      <c r="O19" s="12">
        <v>1</v>
      </c>
      <c r="P19" s="12">
        <v>1</v>
      </c>
      <c r="Q19" s="12"/>
      <c r="R19" s="12"/>
      <c r="S19" s="12"/>
      <c r="T19" s="12"/>
      <c r="V19" s="20">
        <f t="shared" si="0"/>
        <v>43208</v>
      </c>
      <c r="W19" s="20">
        <f t="shared" si="0"/>
        <v>43208</v>
      </c>
      <c r="X19" s="20">
        <f t="shared" si="0"/>
        <v>6</v>
      </c>
      <c r="Y19" s="20">
        <f t="shared" si="0"/>
        <v>0</v>
      </c>
      <c r="Z19" s="20">
        <f t="shared" si="0"/>
        <v>0</v>
      </c>
      <c r="AA19" s="20">
        <f t="shared" si="0"/>
        <v>0</v>
      </c>
      <c r="AC19" s="3">
        <f t="shared" si="1"/>
        <v>0</v>
      </c>
      <c r="AD19" s="3">
        <f t="shared" si="2"/>
        <v>0</v>
      </c>
      <c r="AE19" s="3">
        <f t="shared" si="3"/>
        <v>0</v>
      </c>
      <c r="AF19" s="3">
        <f t="shared" si="4"/>
        <v>0</v>
      </c>
      <c r="AG19" s="3">
        <f t="shared" si="5"/>
        <v>0</v>
      </c>
      <c r="AH19" s="3">
        <f t="shared" si="6"/>
        <v>0</v>
      </c>
      <c r="AI19" s="3">
        <f t="shared" si="7"/>
        <v>0</v>
      </c>
      <c r="AJ19" s="3">
        <f t="shared" si="8"/>
        <v>0</v>
      </c>
      <c r="AK19" s="3">
        <f t="shared" si="9"/>
        <v>0</v>
      </c>
      <c r="AL19" s="3">
        <f t="shared" si="10"/>
        <v>0</v>
      </c>
      <c r="AM19" s="3">
        <f t="shared" si="11"/>
        <v>0</v>
      </c>
      <c r="AN19" s="3">
        <f t="shared" si="12"/>
        <v>0</v>
      </c>
      <c r="AO19" s="3">
        <f t="shared" si="13"/>
        <v>0</v>
      </c>
      <c r="AP19" s="3">
        <f t="shared" si="14"/>
        <v>0</v>
      </c>
      <c r="AQ19" s="3">
        <f t="shared" si="15"/>
        <v>0</v>
      </c>
      <c r="AR19" s="3">
        <f t="shared" si="16"/>
        <v>0</v>
      </c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M19" s="35"/>
      <c r="BO19" s="35"/>
      <c r="BQ19" s="43"/>
      <c r="BR19" s="9">
        <f t="shared" si="17"/>
        <v>1</v>
      </c>
      <c r="BS19" s="37">
        <f t="shared" si="18"/>
        <v>43208</v>
      </c>
      <c r="BT19" s="38">
        <f t="shared" si="19"/>
        <v>43327</v>
      </c>
      <c r="BU19" s="36">
        <f t="shared" si="20"/>
        <v>15</v>
      </c>
    </row>
    <row r="20" spans="2:73" ht="15">
      <c r="B20" s="16">
        <f t="shared" si="21"/>
        <v>43213</v>
      </c>
      <c r="C20" s="15" t="s">
        <v>1</v>
      </c>
      <c r="D20" s="17">
        <f t="shared" si="22"/>
        <v>43219</v>
      </c>
      <c r="E20" s="18">
        <f t="shared" si="23"/>
        <v>4</v>
      </c>
      <c r="F20" s="19">
        <f t="shared" si="24"/>
        <v>2018</v>
      </c>
      <c r="G20" s="9">
        <f t="shared" si="25"/>
        <v>17</v>
      </c>
      <c r="H20" s="8">
        <f t="shared" si="25"/>
        <v>96</v>
      </c>
      <c r="I20" s="9"/>
      <c r="J20" s="9"/>
      <c r="K20" s="9"/>
      <c r="L20" s="9"/>
      <c r="M20" s="9"/>
      <c r="N20" s="9"/>
      <c r="O20" s="12"/>
      <c r="P20" s="12"/>
      <c r="Q20" s="12"/>
      <c r="R20" s="12"/>
      <c r="S20" s="12"/>
      <c r="T20" s="12"/>
      <c r="V20" s="20">
        <f t="shared" si="0"/>
        <v>1</v>
      </c>
      <c r="W20" s="20">
        <f t="shared" si="0"/>
        <v>1</v>
      </c>
      <c r="X20" s="20">
        <f t="shared" si="0"/>
        <v>7</v>
      </c>
      <c r="Y20" s="20">
        <f t="shared" si="0"/>
        <v>0</v>
      </c>
      <c r="Z20" s="20">
        <f t="shared" si="0"/>
        <v>0</v>
      </c>
      <c r="AA20" s="20">
        <f t="shared" si="0"/>
        <v>0</v>
      </c>
      <c r="AC20" s="3">
        <f t="shared" si="1"/>
        <v>0</v>
      </c>
      <c r="AD20" s="3">
        <f t="shared" si="2"/>
        <v>0</v>
      </c>
      <c r="AE20" s="3">
        <f t="shared" si="3"/>
        <v>0</v>
      </c>
      <c r="AF20" s="3">
        <f t="shared" si="4"/>
        <v>0</v>
      </c>
      <c r="AG20" s="3">
        <f t="shared" si="5"/>
        <v>0</v>
      </c>
      <c r="AH20" s="3">
        <f t="shared" si="6"/>
        <v>0</v>
      </c>
      <c r="AI20" s="3">
        <f t="shared" si="7"/>
        <v>0</v>
      </c>
      <c r="AJ20" s="3">
        <f t="shared" si="8"/>
        <v>0</v>
      </c>
      <c r="AK20" s="3">
        <f t="shared" si="9"/>
        <v>0</v>
      </c>
      <c r="AL20" s="3">
        <f t="shared" si="10"/>
        <v>0</v>
      </c>
      <c r="AM20" s="3">
        <f t="shared" si="11"/>
        <v>0</v>
      </c>
      <c r="AN20" s="3">
        <f t="shared" si="12"/>
        <v>0</v>
      </c>
      <c r="AO20" s="3">
        <f t="shared" si="13"/>
        <v>0</v>
      </c>
      <c r="AP20" s="3">
        <f t="shared" si="14"/>
        <v>0</v>
      </c>
      <c r="AQ20" s="3">
        <f t="shared" si="15"/>
        <v>0</v>
      </c>
      <c r="AR20" s="3">
        <f t="shared" si="16"/>
        <v>0</v>
      </c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M20" s="35"/>
      <c r="BO20" s="35"/>
      <c r="BR20" s="9" t="str">
        <f t="shared" si="17"/>
        <v/>
      </c>
      <c r="BS20" s="37" t="str">
        <f t="shared" si="18"/>
        <v/>
      </c>
      <c r="BT20" s="38" t="str">
        <f t="shared" si="19"/>
        <v/>
      </c>
      <c r="BU20" s="36" t="str">
        <f t="shared" si="20"/>
        <v/>
      </c>
    </row>
    <row r="21" spans="2:73" ht="15">
      <c r="B21" s="16">
        <f t="shared" si="21"/>
        <v>43220</v>
      </c>
      <c r="C21" s="15" t="s">
        <v>1</v>
      </c>
      <c r="D21" s="17">
        <f t="shared" si="22"/>
        <v>43226</v>
      </c>
      <c r="E21" s="18">
        <f t="shared" si="23"/>
        <v>4</v>
      </c>
      <c r="F21" s="19">
        <f t="shared" si="24"/>
        <v>2018</v>
      </c>
      <c r="G21" s="9">
        <f t="shared" si="25"/>
        <v>17</v>
      </c>
      <c r="H21" s="8">
        <f t="shared" si="25"/>
        <v>96</v>
      </c>
      <c r="I21" s="9"/>
      <c r="J21" s="9"/>
      <c r="K21" s="9"/>
      <c r="L21" s="9"/>
      <c r="M21" s="9"/>
      <c r="N21" s="9"/>
      <c r="O21" s="12"/>
      <c r="P21" s="12"/>
      <c r="Q21" s="12"/>
      <c r="R21" s="12"/>
      <c r="S21" s="12"/>
      <c r="T21" s="12"/>
      <c r="V21" s="20">
        <f t="shared" si="0"/>
        <v>2</v>
      </c>
      <c r="W21" s="20">
        <f t="shared" si="0"/>
        <v>2</v>
      </c>
      <c r="X21" s="20">
        <f t="shared" si="0"/>
        <v>8</v>
      </c>
      <c r="Y21" s="20">
        <f t="shared" si="0"/>
        <v>0</v>
      </c>
      <c r="Z21" s="20">
        <f t="shared" si="0"/>
        <v>0</v>
      </c>
      <c r="AA21" s="20">
        <f t="shared" si="0"/>
        <v>0</v>
      </c>
      <c r="AC21" s="3">
        <f t="shared" si="1"/>
        <v>0</v>
      </c>
      <c r="AD21" s="3">
        <f t="shared" si="2"/>
        <v>0</v>
      </c>
      <c r="AE21" s="3">
        <f t="shared" si="3"/>
        <v>0</v>
      </c>
      <c r="AF21" s="3">
        <f t="shared" si="4"/>
        <v>0</v>
      </c>
      <c r="AG21" s="3">
        <f t="shared" si="5"/>
        <v>0</v>
      </c>
      <c r="AH21" s="3">
        <f t="shared" si="6"/>
        <v>0</v>
      </c>
      <c r="AI21" s="3">
        <f t="shared" si="7"/>
        <v>0</v>
      </c>
      <c r="AJ21" s="3">
        <f t="shared" si="8"/>
        <v>0</v>
      </c>
      <c r="AK21" s="3">
        <f t="shared" si="9"/>
        <v>0</v>
      </c>
      <c r="AL21" s="3">
        <f t="shared" si="10"/>
        <v>0</v>
      </c>
      <c r="AM21" s="3">
        <f t="shared" si="11"/>
        <v>0</v>
      </c>
      <c r="AN21" s="3">
        <f t="shared" si="12"/>
        <v>0</v>
      </c>
      <c r="AO21" s="3">
        <f t="shared" si="13"/>
        <v>0</v>
      </c>
      <c r="AP21" s="3">
        <f t="shared" si="14"/>
        <v>0</v>
      </c>
      <c r="AQ21" s="3">
        <f t="shared" si="15"/>
        <v>0</v>
      </c>
      <c r="AR21" s="3">
        <f t="shared" si="16"/>
        <v>0</v>
      </c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M21" s="35"/>
      <c r="BO21" s="35"/>
      <c r="BR21" s="9" t="str">
        <f t="shared" si="17"/>
        <v/>
      </c>
      <c r="BS21" s="37" t="str">
        <f t="shared" si="18"/>
        <v/>
      </c>
      <c r="BT21" s="38" t="str">
        <f t="shared" si="19"/>
        <v/>
      </c>
      <c r="BU21" s="36" t="str">
        <f t="shared" si="20"/>
        <v/>
      </c>
    </row>
    <row r="22" spans="2:73" ht="15">
      <c r="B22" s="16">
        <f t="shared" si="21"/>
        <v>43227</v>
      </c>
      <c r="C22" s="15" t="s">
        <v>1</v>
      </c>
      <c r="D22" s="17">
        <f t="shared" si="22"/>
        <v>43233</v>
      </c>
      <c r="E22" s="18">
        <f t="shared" si="23"/>
        <v>5</v>
      </c>
      <c r="F22" s="19">
        <f t="shared" si="24"/>
        <v>2018</v>
      </c>
      <c r="G22" s="9">
        <f t="shared" ref="G22:H37" si="26">G21</f>
        <v>17</v>
      </c>
      <c r="H22" s="8">
        <f t="shared" si="26"/>
        <v>96</v>
      </c>
      <c r="I22" s="9"/>
      <c r="J22" s="9"/>
      <c r="K22" s="9"/>
      <c r="L22" s="9"/>
      <c r="M22" s="9"/>
      <c r="N22" s="9"/>
      <c r="O22" s="12"/>
      <c r="P22" s="12"/>
      <c r="Q22" s="12"/>
      <c r="R22" s="12"/>
      <c r="S22" s="12"/>
      <c r="T22" s="12"/>
      <c r="V22" s="20">
        <f t="shared" si="0"/>
        <v>3</v>
      </c>
      <c r="W22" s="20">
        <f t="shared" si="0"/>
        <v>3</v>
      </c>
      <c r="X22" s="20">
        <f t="shared" si="0"/>
        <v>9</v>
      </c>
      <c r="Y22" s="20">
        <f t="shared" si="0"/>
        <v>0</v>
      </c>
      <c r="Z22" s="20">
        <f t="shared" si="0"/>
        <v>0</v>
      </c>
      <c r="AA22" s="20">
        <f t="shared" si="0"/>
        <v>0</v>
      </c>
      <c r="AC22" s="3">
        <f t="shared" si="1"/>
        <v>0</v>
      </c>
      <c r="AD22" s="3">
        <f t="shared" si="2"/>
        <v>0</v>
      </c>
      <c r="AE22" s="3">
        <f t="shared" si="3"/>
        <v>0</v>
      </c>
      <c r="AF22" s="3">
        <f t="shared" si="4"/>
        <v>0</v>
      </c>
      <c r="AG22" s="3">
        <f t="shared" si="5"/>
        <v>0</v>
      </c>
      <c r="AH22" s="3">
        <f t="shared" si="6"/>
        <v>0</v>
      </c>
      <c r="AI22" s="3">
        <f t="shared" si="7"/>
        <v>0</v>
      </c>
      <c r="AJ22" s="3">
        <f t="shared" si="8"/>
        <v>0</v>
      </c>
      <c r="AK22" s="3">
        <f t="shared" si="9"/>
        <v>0</v>
      </c>
      <c r="AL22" s="3">
        <f t="shared" si="10"/>
        <v>0</v>
      </c>
      <c r="AM22" s="3">
        <f t="shared" si="11"/>
        <v>0</v>
      </c>
      <c r="AN22" s="3">
        <f t="shared" si="12"/>
        <v>0</v>
      </c>
      <c r="AO22" s="3">
        <f t="shared" si="13"/>
        <v>0</v>
      </c>
      <c r="AP22" s="3">
        <f t="shared" si="14"/>
        <v>0</v>
      </c>
      <c r="AQ22" s="3">
        <f t="shared" si="15"/>
        <v>0</v>
      </c>
      <c r="AR22" s="3">
        <f t="shared" si="16"/>
        <v>0</v>
      </c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M22" s="35"/>
      <c r="BO22" s="35"/>
      <c r="BR22" s="9" t="str">
        <f t="shared" si="17"/>
        <v/>
      </c>
      <c r="BS22" s="37" t="str">
        <f t="shared" si="18"/>
        <v/>
      </c>
      <c r="BT22" s="38" t="str">
        <f t="shared" si="19"/>
        <v/>
      </c>
      <c r="BU22" s="36" t="str">
        <f t="shared" si="20"/>
        <v/>
      </c>
    </row>
    <row r="23" spans="2:73" ht="15">
      <c r="B23" s="16">
        <f t="shared" si="21"/>
        <v>43234</v>
      </c>
      <c r="C23" s="15" t="s">
        <v>1</v>
      </c>
      <c r="D23" s="17">
        <f t="shared" si="22"/>
        <v>43240</v>
      </c>
      <c r="E23" s="18">
        <f t="shared" si="23"/>
        <v>5</v>
      </c>
      <c r="F23" s="19">
        <f t="shared" si="24"/>
        <v>2018</v>
      </c>
      <c r="G23" s="9">
        <f t="shared" si="26"/>
        <v>17</v>
      </c>
      <c r="H23" s="8">
        <f t="shared" si="26"/>
        <v>96</v>
      </c>
      <c r="I23" s="9"/>
      <c r="J23" s="9"/>
      <c r="K23" s="9"/>
      <c r="L23" s="9"/>
      <c r="M23" s="9"/>
      <c r="N23" s="9"/>
      <c r="O23" s="12"/>
      <c r="P23" s="12"/>
      <c r="Q23" s="12"/>
      <c r="R23" s="12"/>
      <c r="S23" s="12"/>
      <c r="T23" s="12"/>
      <c r="V23" s="20">
        <f t="shared" si="0"/>
        <v>4</v>
      </c>
      <c r="W23" s="20">
        <f t="shared" si="0"/>
        <v>4</v>
      </c>
      <c r="X23" s="20">
        <f t="shared" si="0"/>
        <v>10</v>
      </c>
      <c r="Y23" s="20">
        <f t="shared" si="0"/>
        <v>0</v>
      </c>
      <c r="Z23" s="20">
        <f t="shared" si="0"/>
        <v>0</v>
      </c>
      <c r="AA23" s="20">
        <f t="shared" si="0"/>
        <v>0</v>
      </c>
      <c r="AC23" s="3">
        <f t="shared" si="1"/>
        <v>0</v>
      </c>
      <c r="AD23" s="3">
        <f t="shared" si="2"/>
        <v>0</v>
      </c>
      <c r="AE23" s="3">
        <f t="shared" si="3"/>
        <v>0</v>
      </c>
      <c r="AF23" s="3">
        <f t="shared" si="4"/>
        <v>0</v>
      </c>
      <c r="AG23" s="3">
        <f t="shared" si="5"/>
        <v>0</v>
      </c>
      <c r="AH23" s="3">
        <f t="shared" si="6"/>
        <v>0</v>
      </c>
      <c r="AI23" s="3">
        <f t="shared" si="7"/>
        <v>0</v>
      </c>
      <c r="AJ23" s="3">
        <f t="shared" si="8"/>
        <v>0</v>
      </c>
      <c r="AK23" s="3">
        <f t="shared" si="9"/>
        <v>0</v>
      </c>
      <c r="AL23" s="3">
        <f t="shared" si="10"/>
        <v>0</v>
      </c>
      <c r="AM23" s="3">
        <f t="shared" si="11"/>
        <v>0</v>
      </c>
      <c r="AN23" s="3">
        <f t="shared" si="12"/>
        <v>0</v>
      </c>
      <c r="AO23" s="3">
        <f t="shared" si="13"/>
        <v>0</v>
      </c>
      <c r="AP23" s="3">
        <f t="shared" si="14"/>
        <v>0</v>
      </c>
      <c r="AQ23" s="3">
        <f t="shared" si="15"/>
        <v>0</v>
      </c>
      <c r="AR23" s="3">
        <f t="shared" si="16"/>
        <v>0</v>
      </c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M23" s="35"/>
      <c r="BO23" s="35"/>
      <c r="BR23" s="9" t="str">
        <f t="shared" si="17"/>
        <v/>
      </c>
      <c r="BS23" s="37" t="str">
        <f t="shared" si="18"/>
        <v/>
      </c>
      <c r="BT23" s="38" t="str">
        <f t="shared" si="19"/>
        <v/>
      </c>
      <c r="BU23" s="36" t="str">
        <f t="shared" si="20"/>
        <v/>
      </c>
    </row>
    <row r="24" spans="2:73" ht="15">
      <c r="B24" s="16">
        <f t="shared" si="21"/>
        <v>43241</v>
      </c>
      <c r="C24" s="15" t="s">
        <v>1</v>
      </c>
      <c r="D24" s="17">
        <f t="shared" si="22"/>
        <v>43247</v>
      </c>
      <c r="E24" s="18">
        <f t="shared" si="23"/>
        <v>5</v>
      </c>
      <c r="F24" s="19">
        <f t="shared" si="24"/>
        <v>2018</v>
      </c>
      <c r="G24" s="9">
        <f t="shared" si="26"/>
        <v>17</v>
      </c>
      <c r="H24" s="8">
        <f t="shared" si="26"/>
        <v>96</v>
      </c>
      <c r="I24" s="9"/>
      <c r="J24" s="9"/>
      <c r="K24" s="9"/>
      <c r="L24" s="9"/>
      <c r="M24" s="9"/>
      <c r="N24" s="9"/>
      <c r="O24" s="12"/>
      <c r="P24" s="12"/>
      <c r="Q24" s="12"/>
      <c r="R24" s="12"/>
      <c r="S24" s="12"/>
      <c r="T24" s="12"/>
      <c r="V24" s="20">
        <f t="shared" si="0"/>
        <v>5</v>
      </c>
      <c r="W24" s="20">
        <f t="shared" si="0"/>
        <v>5</v>
      </c>
      <c r="X24" s="20">
        <f t="shared" si="0"/>
        <v>11</v>
      </c>
      <c r="Y24" s="20">
        <f t="shared" si="0"/>
        <v>0</v>
      </c>
      <c r="Z24" s="20">
        <f t="shared" si="0"/>
        <v>0</v>
      </c>
      <c r="AA24" s="20">
        <f t="shared" si="0"/>
        <v>0</v>
      </c>
      <c r="AC24" s="3">
        <f t="shared" si="1"/>
        <v>0</v>
      </c>
      <c r="AD24" s="3">
        <f t="shared" si="2"/>
        <v>0</v>
      </c>
      <c r="AE24" s="3">
        <f t="shared" si="3"/>
        <v>0</v>
      </c>
      <c r="AF24" s="3">
        <f t="shared" si="4"/>
        <v>0</v>
      </c>
      <c r="AG24" s="3">
        <f t="shared" si="5"/>
        <v>0</v>
      </c>
      <c r="AH24" s="3">
        <f t="shared" si="6"/>
        <v>0</v>
      </c>
      <c r="AI24" s="3">
        <f t="shared" si="7"/>
        <v>0</v>
      </c>
      <c r="AJ24" s="3">
        <f t="shared" si="8"/>
        <v>0</v>
      </c>
      <c r="AK24" s="3">
        <f t="shared" si="9"/>
        <v>0</v>
      </c>
      <c r="AL24" s="3">
        <f t="shared" si="10"/>
        <v>0</v>
      </c>
      <c r="AM24" s="3">
        <f t="shared" si="11"/>
        <v>0</v>
      </c>
      <c r="AN24" s="3">
        <f t="shared" si="12"/>
        <v>0</v>
      </c>
      <c r="AO24" s="3">
        <f t="shared" si="13"/>
        <v>0</v>
      </c>
      <c r="AP24" s="3">
        <f t="shared" si="14"/>
        <v>0</v>
      </c>
      <c r="AQ24" s="3">
        <f t="shared" si="15"/>
        <v>0</v>
      </c>
      <c r="AR24" s="3">
        <f t="shared" si="16"/>
        <v>0</v>
      </c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M24" s="35"/>
      <c r="BO24" s="35"/>
      <c r="BR24" s="9" t="str">
        <f t="shared" si="17"/>
        <v/>
      </c>
      <c r="BS24" s="37" t="str">
        <f t="shared" si="18"/>
        <v/>
      </c>
      <c r="BT24" s="38" t="str">
        <f t="shared" si="19"/>
        <v/>
      </c>
      <c r="BU24" s="36" t="str">
        <f t="shared" si="20"/>
        <v/>
      </c>
    </row>
    <row r="25" spans="2:73" ht="15">
      <c r="B25" s="16">
        <f t="shared" si="21"/>
        <v>43248</v>
      </c>
      <c r="C25" s="15" t="s">
        <v>1</v>
      </c>
      <c r="D25" s="17">
        <f t="shared" si="22"/>
        <v>43254</v>
      </c>
      <c r="E25" s="18">
        <f t="shared" si="23"/>
        <v>5</v>
      </c>
      <c r="F25" s="19">
        <f t="shared" si="24"/>
        <v>2018</v>
      </c>
      <c r="G25" s="9">
        <f t="shared" si="26"/>
        <v>17</v>
      </c>
      <c r="H25" s="8">
        <f t="shared" si="26"/>
        <v>96</v>
      </c>
      <c r="I25" s="9"/>
      <c r="J25" s="9"/>
      <c r="K25" s="9"/>
      <c r="L25" s="9"/>
      <c r="M25" s="9"/>
      <c r="N25" s="9"/>
      <c r="O25" s="12"/>
      <c r="P25" s="12"/>
      <c r="Q25" s="12"/>
      <c r="R25" s="12"/>
      <c r="S25" s="12"/>
      <c r="T25" s="12"/>
      <c r="V25" s="20">
        <f t="shared" si="0"/>
        <v>6</v>
      </c>
      <c r="W25" s="20">
        <f t="shared" si="0"/>
        <v>6</v>
      </c>
      <c r="X25" s="20">
        <f t="shared" si="0"/>
        <v>12</v>
      </c>
      <c r="Y25" s="20">
        <f t="shared" si="0"/>
        <v>0</v>
      </c>
      <c r="Z25" s="20">
        <f t="shared" si="0"/>
        <v>0</v>
      </c>
      <c r="AA25" s="20">
        <f t="shared" si="0"/>
        <v>0</v>
      </c>
      <c r="AC25" s="3">
        <f t="shared" si="1"/>
        <v>0</v>
      </c>
      <c r="AD25" s="3">
        <f t="shared" si="2"/>
        <v>0</v>
      </c>
      <c r="AE25" s="3">
        <f t="shared" si="3"/>
        <v>0</v>
      </c>
      <c r="AF25" s="3">
        <f t="shared" si="4"/>
        <v>0</v>
      </c>
      <c r="AG25" s="3">
        <f t="shared" si="5"/>
        <v>0</v>
      </c>
      <c r="AH25" s="3">
        <f t="shared" si="6"/>
        <v>0</v>
      </c>
      <c r="AI25" s="3">
        <f t="shared" si="7"/>
        <v>0</v>
      </c>
      <c r="AJ25" s="3">
        <f t="shared" si="8"/>
        <v>0</v>
      </c>
      <c r="AK25" s="3">
        <f t="shared" si="9"/>
        <v>0</v>
      </c>
      <c r="AL25" s="3">
        <f t="shared" si="10"/>
        <v>0</v>
      </c>
      <c r="AM25" s="3">
        <f t="shared" si="11"/>
        <v>0</v>
      </c>
      <c r="AN25" s="3">
        <f t="shared" si="12"/>
        <v>0</v>
      </c>
      <c r="AO25" s="3">
        <f t="shared" si="13"/>
        <v>0</v>
      </c>
      <c r="AP25" s="3">
        <f t="shared" si="14"/>
        <v>0</v>
      </c>
      <c r="AQ25" s="3">
        <f t="shared" si="15"/>
        <v>0</v>
      </c>
      <c r="AR25" s="3">
        <f t="shared" si="16"/>
        <v>0</v>
      </c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M25" s="35"/>
      <c r="BO25" s="35"/>
      <c r="BR25" s="9" t="str">
        <f t="shared" si="17"/>
        <v/>
      </c>
      <c r="BS25" s="37" t="str">
        <f t="shared" si="18"/>
        <v/>
      </c>
      <c r="BT25" s="38" t="str">
        <f t="shared" si="19"/>
        <v/>
      </c>
      <c r="BU25" s="36" t="str">
        <f t="shared" si="20"/>
        <v/>
      </c>
    </row>
    <row r="26" spans="2:73" ht="15">
      <c r="B26" s="16">
        <f t="shared" si="21"/>
        <v>43255</v>
      </c>
      <c r="C26" s="15" t="s">
        <v>1</v>
      </c>
      <c r="D26" s="17">
        <f t="shared" si="22"/>
        <v>43261</v>
      </c>
      <c r="E26" s="18">
        <f t="shared" si="23"/>
        <v>6</v>
      </c>
      <c r="F26" s="19">
        <f t="shared" si="24"/>
        <v>2018</v>
      </c>
      <c r="G26" s="9">
        <f t="shared" si="26"/>
        <v>17</v>
      </c>
      <c r="H26" s="8">
        <f t="shared" si="26"/>
        <v>96</v>
      </c>
      <c r="I26" s="9"/>
      <c r="J26" s="9"/>
      <c r="K26" s="9"/>
      <c r="L26" s="9"/>
      <c r="M26" s="9"/>
      <c r="N26" s="9"/>
      <c r="O26" s="12"/>
      <c r="P26" s="12"/>
      <c r="Q26" s="12"/>
      <c r="R26" s="12"/>
      <c r="S26" s="12"/>
      <c r="T26" s="12"/>
      <c r="V26" s="20">
        <f t="shared" si="0"/>
        <v>7</v>
      </c>
      <c r="W26" s="20">
        <f t="shared" si="0"/>
        <v>7</v>
      </c>
      <c r="X26" s="20">
        <f t="shared" si="0"/>
        <v>13</v>
      </c>
      <c r="Y26" s="20">
        <f t="shared" si="0"/>
        <v>0</v>
      </c>
      <c r="Z26" s="20">
        <f t="shared" si="0"/>
        <v>0</v>
      </c>
      <c r="AA26" s="20">
        <f t="shared" si="0"/>
        <v>0</v>
      </c>
      <c r="AC26" s="3">
        <f t="shared" si="1"/>
        <v>0</v>
      </c>
      <c r="AD26" s="3">
        <f t="shared" si="2"/>
        <v>0</v>
      </c>
      <c r="AE26" s="3">
        <f t="shared" si="3"/>
        <v>0</v>
      </c>
      <c r="AF26" s="3">
        <f t="shared" si="4"/>
        <v>0</v>
      </c>
      <c r="AG26" s="3">
        <f t="shared" si="5"/>
        <v>0</v>
      </c>
      <c r="AH26" s="3">
        <f t="shared" si="6"/>
        <v>0</v>
      </c>
      <c r="AI26" s="3">
        <f t="shared" si="7"/>
        <v>0</v>
      </c>
      <c r="AJ26" s="3">
        <f t="shared" si="8"/>
        <v>0</v>
      </c>
      <c r="AK26" s="3">
        <f t="shared" si="9"/>
        <v>0</v>
      </c>
      <c r="AL26" s="3">
        <f t="shared" si="10"/>
        <v>0</v>
      </c>
      <c r="AM26" s="3">
        <f t="shared" si="11"/>
        <v>0</v>
      </c>
      <c r="AN26" s="3">
        <f t="shared" si="12"/>
        <v>0</v>
      </c>
      <c r="AO26" s="3">
        <f t="shared" si="13"/>
        <v>0</v>
      </c>
      <c r="AP26" s="3">
        <f t="shared" si="14"/>
        <v>0</v>
      </c>
      <c r="AQ26" s="3">
        <f t="shared" si="15"/>
        <v>0</v>
      </c>
      <c r="AR26" s="3">
        <f t="shared" si="16"/>
        <v>0</v>
      </c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M26" s="35"/>
      <c r="BO26" s="35"/>
      <c r="BR26" s="9" t="str">
        <f t="shared" si="17"/>
        <v/>
      </c>
      <c r="BS26" s="37" t="str">
        <f t="shared" si="18"/>
        <v/>
      </c>
      <c r="BT26" s="38" t="str">
        <f t="shared" si="19"/>
        <v/>
      </c>
      <c r="BU26" s="36" t="str">
        <f t="shared" si="20"/>
        <v/>
      </c>
    </row>
    <row r="27" spans="2:73" ht="15">
      <c r="B27" s="16">
        <f t="shared" si="21"/>
        <v>43262</v>
      </c>
      <c r="C27" s="15" t="s">
        <v>1</v>
      </c>
      <c r="D27" s="17">
        <f t="shared" si="22"/>
        <v>43268</v>
      </c>
      <c r="E27" s="18">
        <f t="shared" si="23"/>
        <v>6</v>
      </c>
      <c r="F27" s="19">
        <f t="shared" si="24"/>
        <v>2018</v>
      </c>
      <c r="G27" s="9">
        <f t="shared" si="26"/>
        <v>17</v>
      </c>
      <c r="H27" s="8">
        <f t="shared" si="26"/>
        <v>96</v>
      </c>
      <c r="I27" s="9"/>
      <c r="J27" s="9"/>
      <c r="K27" s="9"/>
      <c r="L27" s="9"/>
      <c r="M27" s="9"/>
      <c r="N27" s="9"/>
      <c r="O27" s="12"/>
      <c r="P27" s="12"/>
      <c r="Q27" s="12"/>
      <c r="R27" s="12"/>
      <c r="S27" s="12"/>
      <c r="T27" s="12"/>
      <c r="V27" s="20">
        <f t="shared" si="0"/>
        <v>8</v>
      </c>
      <c r="W27" s="20">
        <f t="shared" si="0"/>
        <v>8</v>
      </c>
      <c r="X27" s="20">
        <f t="shared" si="0"/>
        <v>14</v>
      </c>
      <c r="Y27" s="20">
        <f t="shared" si="0"/>
        <v>0</v>
      </c>
      <c r="Z27" s="20">
        <f t="shared" si="0"/>
        <v>0</v>
      </c>
      <c r="AA27" s="20">
        <f t="shared" si="0"/>
        <v>0</v>
      </c>
      <c r="AC27" s="3">
        <f t="shared" si="1"/>
        <v>0</v>
      </c>
      <c r="AD27" s="3">
        <f t="shared" si="2"/>
        <v>0</v>
      </c>
      <c r="AE27" s="3">
        <f t="shared" si="3"/>
        <v>0</v>
      </c>
      <c r="AF27" s="3">
        <f t="shared" si="4"/>
        <v>0</v>
      </c>
      <c r="AG27" s="3">
        <f t="shared" si="5"/>
        <v>0</v>
      </c>
      <c r="AH27" s="3">
        <f t="shared" si="6"/>
        <v>0</v>
      </c>
      <c r="AI27" s="3">
        <f t="shared" si="7"/>
        <v>0</v>
      </c>
      <c r="AJ27" s="3">
        <f t="shared" si="8"/>
        <v>0</v>
      </c>
      <c r="AK27" s="3">
        <f t="shared" si="9"/>
        <v>0</v>
      </c>
      <c r="AL27" s="3">
        <f t="shared" si="10"/>
        <v>0</v>
      </c>
      <c r="AM27" s="3">
        <f t="shared" si="11"/>
        <v>0</v>
      </c>
      <c r="AN27" s="3">
        <f t="shared" si="12"/>
        <v>0</v>
      </c>
      <c r="AO27" s="3">
        <f t="shared" si="13"/>
        <v>0</v>
      </c>
      <c r="AP27" s="3">
        <f t="shared" si="14"/>
        <v>0</v>
      </c>
      <c r="AQ27" s="3">
        <f t="shared" si="15"/>
        <v>0</v>
      </c>
      <c r="AR27" s="3">
        <f t="shared" si="16"/>
        <v>0</v>
      </c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M27" s="35"/>
      <c r="BO27" s="35"/>
      <c r="BR27" s="9" t="str">
        <f t="shared" si="17"/>
        <v/>
      </c>
      <c r="BS27" s="37" t="str">
        <f t="shared" si="18"/>
        <v/>
      </c>
      <c r="BT27" s="38" t="str">
        <f t="shared" si="19"/>
        <v/>
      </c>
      <c r="BU27" s="36" t="str">
        <f t="shared" si="20"/>
        <v/>
      </c>
    </row>
    <row r="28" spans="2:73" ht="15">
      <c r="B28" s="16">
        <f t="shared" si="21"/>
        <v>43269</v>
      </c>
      <c r="C28" s="15" t="s">
        <v>1</v>
      </c>
      <c r="D28" s="17">
        <f t="shared" si="22"/>
        <v>43275</v>
      </c>
      <c r="E28" s="18">
        <f t="shared" si="23"/>
        <v>6</v>
      </c>
      <c r="F28" s="19">
        <f t="shared" si="24"/>
        <v>2018</v>
      </c>
      <c r="G28" s="9">
        <f t="shared" si="26"/>
        <v>17</v>
      </c>
      <c r="H28" s="8">
        <f t="shared" si="26"/>
        <v>96</v>
      </c>
      <c r="I28" s="9"/>
      <c r="J28" s="9"/>
      <c r="K28" s="9"/>
      <c r="L28" s="9"/>
      <c r="M28" s="9"/>
      <c r="N28" s="9"/>
      <c r="O28" s="12"/>
      <c r="P28" s="12"/>
      <c r="Q28" s="12"/>
      <c r="R28" s="12"/>
      <c r="S28" s="12"/>
      <c r="T28" s="12"/>
      <c r="V28" s="20">
        <f t="shared" si="0"/>
        <v>9</v>
      </c>
      <c r="W28" s="20">
        <f t="shared" si="0"/>
        <v>9</v>
      </c>
      <c r="X28" s="20">
        <f t="shared" si="0"/>
        <v>15</v>
      </c>
      <c r="Y28" s="20">
        <f t="shared" si="0"/>
        <v>0</v>
      </c>
      <c r="Z28" s="20">
        <f t="shared" si="0"/>
        <v>0</v>
      </c>
      <c r="AA28" s="20">
        <f t="shared" si="0"/>
        <v>0</v>
      </c>
      <c r="AC28" s="3">
        <f t="shared" si="1"/>
        <v>0</v>
      </c>
      <c r="AD28" s="3">
        <f t="shared" si="2"/>
        <v>0</v>
      </c>
      <c r="AE28" s="3">
        <f t="shared" si="3"/>
        <v>0</v>
      </c>
      <c r="AF28" s="3">
        <f t="shared" si="4"/>
        <v>0</v>
      </c>
      <c r="AG28" s="3">
        <f t="shared" si="5"/>
        <v>0</v>
      </c>
      <c r="AH28" s="3">
        <f t="shared" si="6"/>
        <v>0</v>
      </c>
      <c r="AI28" s="3">
        <f t="shared" si="7"/>
        <v>0</v>
      </c>
      <c r="AJ28" s="3">
        <f t="shared" si="8"/>
        <v>0</v>
      </c>
      <c r="AK28" s="3">
        <f t="shared" si="9"/>
        <v>0</v>
      </c>
      <c r="AL28" s="3">
        <f t="shared" si="10"/>
        <v>0</v>
      </c>
      <c r="AM28" s="3">
        <f t="shared" si="11"/>
        <v>0</v>
      </c>
      <c r="AN28" s="3">
        <f t="shared" si="12"/>
        <v>0</v>
      </c>
      <c r="AO28" s="3">
        <f t="shared" si="13"/>
        <v>0</v>
      </c>
      <c r="AP28" s="3">
        <f t="shared" si="14"/>
        <v>0</v>
      </c>
      <c r="AQ28" s="3">
        <f t="shared" si="15"/>
        <v>0</v>
      </c>
      <c r="AR28" s="3">
        <f t="shared" si="16"/>
        <v>0</v>
      </c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M28" s="35"/>
      <c r="BO28" s="35"/>
      <c r="BR28" s="9" t="str">
        <f t="shared" si="17"/>
        <v/>
      </c>
      <c r="BS28" s="37" t="str">
        <f t="shared" si="18"/>
        <v/>
      </c>
      <c r="BT28" s="38" t="str">
        <f t="shared" si="19"/>
        <v/>
      </c>
      <c r="BU28" s="36" t="str">
        <f t="shared" si="20"/>
        <v/>
      </c>
    </row>
    <row r="29" spans="2:73" ht="15">
      <c r="B29" s="16">
        <f t="shared" si="21"/>
        <v>43276</v>
      </c>
      <c r="C29" s="15" t="s">
        <v>1</v>
      </c>
      <c r="D29" s="17">
        <f t="shared" si="22"/>
        <v>43282</v>
      </c>
      <c r="E29" s="18">
        <f t="shared" si="23"/>
        <v>6</v>
      </c>
      <c r="F29" s="19">
        <f t="shared" si="24"/>
        <v>2018</v>
      </c>
      <c r="G29" s="9">
        <f t="shared" si="26"/>
        <v>17</v>
      </c>
      <c r="H29" s="8">
        <f t="shared" si="26"/>
        <v>96</v>
      </c>
      <c r="I29" s="9"/>
      <c r="J29" s="9"/>
      <c r="K29" s="9"/>
      <c r="L29" s="9"/>
      <c r="M29" s="9"/>
      <c r="N29" s="9"/>
      <c r="O29" s="12"/>
      <c r="P29" s="12"/>
      <c r="Q29" s="12"/>
      <c r="R29" s="12"/>
      <c r="S29" s="12"/>
      <c r="T29" s="12"/>
      <c r="V29" s="20">
        <f t="shared" si="0"/>
        <v>10</v>
      </c>
      <c r="W29" s="20">
        <f t="shared" si="0"/>
        <v>10</v>
      </c>
      <c r="X29" s="20">
        <f t="shared" si="0"/>
        <v>16</v>
      </c>
      <c r="Y29" s="20">
        <f t="shared" si="0"/>
        <v>0</v>
      </c>
      <c r="Z29" s="20">
        <f t="shared" si="0"/>
        <v>0</v>
      </c>
      <c r="AA29" s="20">
        <f t="shared" si="0"/>
        <v>0</v>
      </c>
      <c r="AC29" s="3">
        <f t="shared" si="1"/>
        <v>0</v>
      </c>
      <c r="AD29" s="3">
        <f t="shared" si="2"/>
        <v>0</v>
      </c>
      <c r="AE29" s="3">
        <f t="shared" si="3"/>
        <v>0</v>
      </c>
      <c r="AF29" s="3">
        <f t="shared" si="4"/>
        <v>0</v>
      </c>
      <c r="AG29" s="3">
        <f t="shared" si="5"/>
        <v>0</v>
      </c>
      <c r="AH29" s="3">
        <f t="shared" si="6"/>
        <v>0</v>
      </c>
      <c r="AI29" s="3">
        <f t="shared" si="7"/>
        <v>0</v>
      </c>
      <c r="AJ29" s="3">
        <f t="shared" si="8"/>
        <v>0</v>
      </c>
      <c r="AK29" s="3">
        <f t="shared" si="9"/>
        <v>0</v>
      </c>
      <c r="AL29" s="3">
        <f t="shared" si="10"/>
        <v>0</v>
      </c>
      <c r="AM29" s="3">
        <f t="shared" si="11"/>
        <v>0</v>
      </c>
      <c r="AN29" s="3">
        <f t="shared" si="12"/>
        <v>0</v>
      </c>
      <c r="AO29" s="3">
        <f t="shared" si="13"/>
        <v>0</v>
      </c>
      <c r="AP29" s="3">
        <f t="shared" si="14"/>
        <v>0</v>
      </c>
      <c r="AQ29" s="3">
        <f t="shared" si="15"/>
        <v>0</v>
      </c>
      <c r="AR29" s="3">
        <f t="shared" si="16"/>
        <v>0</v>
      </c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M29" s="35"/>
      <c r="BO29" s="35"/>
      <c r="BR29" s="9" t="str">
        <f t="shared" si="17"/>
        <v/>
      </c>
      <c r="BS29" s="37" t="str">
        <f t="shared" si="18"/>
        <v/>
      </c>
      <c r="BT29" s="38" t="str">
        <f t="shared" si="19"/>
        <v/>
      </c>
      <c r="BU29" s="36" t="str">
        <f t="shared" si="20"/>
        <v/>
      </c>
    </row>
    <row r="30" spans="2:73" ht="15">
      <c r="B30" s="16">
        <f t="shared" si="21"/>
        <v>43283</v>
      </c>
      <c r="C30" s="15" t="s">
        <v>1</v>
      </c>
      <c r="D30" s="17">
        <f t="shared" si="22"/>
        <v>43289</v>
      </c>
      <c r="E30" s="18">
        <f t="shared" si="23"/>
        <v>7</v>
      </c>
      <c r="F30" s="19">
        <f t="shared" si="24"/>
        <v>2018</v>
      </c>
      <c r="G30" s="9">
        <f t="shared" si="26"/>
        <v>17</v>
      </c>
      <c r="H30" s="8">
        <f t="shared" si="26"/>
        <v>96</v>
      </c>
      <c r="I30" s="9"/>
      <c r="J30" s="9"/>
      <c r="K30" s="9"/>
      <c r="L30" s="9"/>
      <c r="M30" s="9"/>
      <c r="N30" s="9"/>
      <c r="O30" s="12"/>
      <c r="P30" s="12"/>
      <c r="Q30" s="12"/>
      <c r="R30" s="12"/>
      <c r="S30" s="12"/>
      <c r="T30" s="12"/>
      <c r="V30" s="20">
        <f t="shared" si="0"/>
        <v>11</v>
      </c>
      <c r="W30" s="20">
        <f t="shared" si="0"/>
        <v>11</v>
      </c>
      <c r="X30" s="20">
        <f t="shared" si="0"/>
        <v>17</v>
      </c>
      <c r="Y30" s="20">
        <f t="shared" si="0"/>
        <v>0</v>
      </c>
      <c r="Z30" s="20">
        <f t="shared" si="0"/>
        <v>0</v>
      </c>
      <c r="AA30" s="20">
        <f t="shared" si="0"/>
        <v>0</v>
      </c>
      <c r="AC30" s="3">
        <f t="shared" si="1"/>
        <v>0</v>
      </c>
      <c r="AD30" s="3">
        <f t="shared" si="2"/>
        <v>0</v>
      </c>
      <c r="AE30" s="3">
        <f t="shared" si="3"/>
        <v>0</v>
      </c>
      <c r="AF30" s="3">
        <f t="shared" si="4"/>
        <v>0</v>
      </c>
      <c r="AG30" s="3">
        <f t="shared" si="5"/>
        <v>0</v>
      </c>
      <c r="AH30" s="3">
        <f t="shared" si="6"/>
        <v>0</v>
      </c>
      <c r="AI30" s="3">
        <f t="shared" si="7"/>
        <v>0</v>
      </c>
      <c r="AJ30" s="3">
        <f t="shared" si="8"/>
        <v>0</v>
      </c>
      <c r="AK30" s="3">
        <f t="shared" si="9"/>
        <v>0</v>
      </c>
      <c r="AL30" s="3">
        <f t="shared" si="10"/>
        <v>0</v>
      </c>
      <c r="AM30" s="3">
        <f t="shared" si="11"/>
        <v>17</v>
      </c>
      <c r="AN30" s="3">
        <f t="shared" si="12"/>
        <v>0</v>
      </c>
      <c r="AO30" s="3">
        <f t="shared" si="13"/>
        <v>0</v>
      </c>
      <c r="AP30" s="3">
        <f t="shared" si="14"/>
        <v>0</v>
      </c>
      <c r="AQ30" s="3">
        <f t="shared" si="15"/>
        <v>0</v>
      </c>
      <c r="AR30" s="3">
        <f t="shared" si="16"/>
        <v>0</v>
      </c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>
        <v>3</v>
      </c>
      <c r="BD30" s="8"/>
      <c r="BE30" s="8"/>
      <c r="BF30" s="8"/>
      <c r="BG30" s="8"/>
      <c r="BH30" s="8"/>
      <c r="BM30" s="35"/>
      <c r="BO30" s="35"/>
      <c r="BR30" s="9" t="str">
        <f t="shared" si="17"/>
        <v/>
      </c>
      <c r="BS30" s="37" t="str">
        <f t="shared" si="18"/>
        <v/>
      </c>
      <c r="BT30" s="38" t="str">
        <f t="shared" si="19"/>
        <v/>
      </c>
      <c r="BU30" s="36" t="str">
        <f t="shared" si="20"/>
        <v/>
      </c>
    </row>
    <row r="31" spans="2:73" ht="15">
      <c r="B31" s="16">
        <f t="shared" si="21"/>
        <v>43290</v>
      </c>
      <c r="C31" s="15" t="s">
        <v>1</v>
      </c>
      <c r="D31" s="17">
        <f t="shared" si="22"/>
        <v>43296</v>
      </c>
      <c r="E31" s="18">
        <f t="shared" si="23"/>
        <v>7</v>
      </c>
      <c r="F31" s="19">
        <f t="shared" si="24"/>
        <v>2018</v>
      </c>
      <c r="G31" s="9">
        <f t="shared" si="26"/>
        <v>17</v>
      </c>
      <c r="H31" s="8">
        <f t="shared" si="26"/>
        <v>96</v>
      </c>
      <c r="I31" s="9"/>
      <c r="J31" s="9"/>
      <c r="K31" s="9"/>
      <c r="L31" s="9"/>
      <c r="M31" s="9"/>
      <c r="N31" s="9"/>
      <c r="O31" s="12"/>
      <c r="P31" s="12"/>
      <c r="Q31" s="12"/>
      <c r="R31" s="12"/>
      <c r="S31" s="12"/>
      <c r="T31" s="12"/>
      <c r="V31" s="20">
        <f t="shared" si="0"/>
        <v>12</v>
      </c>
      <c r="W31" s="20">
        <f t="shared" si="0"/>
        <v>12</v>
      </c>
      <c r="X31" s="20">
        <f t="shared" si="0"/>
        <v>0</v>
      </c>
      <c r="Y31" s="20">
        <f t="shared" si="0"/>
        <v>0</v>
      </c>
      <c r="Z31" s="20">
        <f t="shared" si="0"/>
        <v>0</v>
      </c>
      <c r="AA31" s="20">
        <f t="shared" si="0"/>
        <v>0</v>
      </c>
      <c r="AC31" s="3">
        <f t="shared" si="1"/>
        <v>0</v>
      </c>
      <c r="AD31" s="3">
        <f t="shared" si="2"/>
        <v>0</v>
      </c>
      <c r="AE31" s="3">
        <f t="shared" si="3"/>
        <v>0</v>
      </c>
      <c r="AF31" s="3">
        <f t="shared" si="4"/>
        <v>0</v>
      </c>
      <c r="AG31" s="3">
        <f t="shared" si="5"/>
        <v>0</v>
      </c>
      <c r="AH31" s="3">
        <f t="shared" si="6"/>
        <v>0</v>
      </c>
      <c r="AI31" s="3">
        <f t="shared" si="7"/>
        <v>0</v>
      </c>
      <c r="AJ31" s="3">
        <f t="shared" si="8"/>
        <v>0</v>
      </c>
      <c r="AK31" s="3">
        <f t="shared" si="9"/>
        <v>0</v>
      </c>
      <c r="AL31" s="3">
        <f t="shared" si="10"/>
        <v>0</v>
      </c>
      <c r="AM31" s="3">
        <f t="shared" si="11"/>
        <v>18</v>
      </c>
      <c r="AN31" s="3">
        <f t="shared" si="12"/>
        <v>0</v>
      </c>
      <c r="AO31" s="3">
        <f t="shared" si="13"/>
        <v>0</v>
      </c>
      <c r="AP31" s="3">
        <f t="shared" si="14"/>
        <v>0</v>
      </c>
      <c r="AQ31" s="3">
        <f t="shared" si="15"/>
        <v>0</v>
      </c>
      <c r="AR31" s="3">
        <f t="shared" si="16"/>
        <v>0</v>
      </c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M31" s="35"/>
      <c r="BO31" s="35"/>
      <c r="BR31" s="9" t="str">
        <f t="shared" si="17"/>
        <v/>
      </c>
      <c r="BS31" s="37" t="str">
        <f t="shared" si="18"/>
        <v/>
      </c>
      <c r="BT31" s="38" t="str">
        <f t="shared" si="19"/>
        <v/>
      </c>
      <c r="BU31" s="36" t="str">
        <f t="shared" si="20"/>
        <v/>
      </c>
    </row>
    <row r="32" spans="2:73" ht="15">
      <c r="B32" s="16">
        <f t="shared" si="21"/>
        <v>43297</v>
      </c>
      <c r="C32" s="15" t="s">
        <v>1</v>
      </c>
      <c r="D32" s="17">
        <f t="shared" si="22"/>
        <v>43303</v>
      </c>
      <c r="E32" s="18">
        <f t="shared" si="23"/>
        <v>7</v>
      </c>
      <c r="F32" s="19">
        <f t="shared" si="24"/>
        <v>2018</v>
      </c>
      <c r="G32" s="9">
        <f t="shared" si="26"/>
        <v>17</v>
      </c>
      <c r="H32" s="8">
        <f t="shared" si="26"/>
        <v>96</v>
      </c>
      <c r="I32" s="9"/>
      <c r="J32" s="9"/>
      <c r="K32" s="9"/>
      <c r="L32" s="9"/>
      <c r="M32" s="9"/>
      <c r="N32" s="9"/>
      <c r="O32" s="12"/>
      <c r="P32" s="12"/>
      <c r="Q32" s="12"/>
      <c r="R32" s="12"/>
      <c r="S32" s="12"/>
      <c r="T32" s="12"/>
      <c r="V32" s="20">
        <f t="shared" si="0"/>
        <v>13</v>
      </c>
      <c r="W32" s="20">
        <f t="shared" si="0"/>
        <v>13</v>
      </c>
      <c r="X32" s="20">
        <f t="shared" si="0"/>
        <v>0</v>
      </c>
      <c r="Y32" s="20">
        <f t="shared" si="0"/>
        <v>0</v>
      </c>
      <c r="Z32" s="20">
        <f t="shared" si="0"/>
        <v>0</v>
      </c>
      <c r="AA32" s="20">
        <f t="shared" si="0"/>
        <v>0</v>
      </c>
      <c r="AC32" s="3">
        <f t="shared" si="1"/>
        <v>0</v>
      </c>
      <c r="AD32" s="3">
        <f t="shared" si="2"/>
        <v>0</v>
      </c>
      <c r="AE32" s="3">
        <f t="shared" si="3"/>
        <v>0</v>
      </c>
      <c r="AF32" s="3">
        <f t="shared" si="4"/>
        <v>0</v>
      </c>
      <c r="AG32" s="3">
        <f t="shared" si="5"/>
        <v>0</v>
      </c>
      <c r="AH32" s="3">
        <f t="shared" si="6"/>
        <v>0</v>
      </c>
      <c r="AI32" s="3">
        <f t="shared" si="7"/>
        <v>0</v>
      </c>
      <c r="AJ32" s="3">
        <f t="shared" si="8"/>
        <v>0</v>
      </c>
      <c r="AK32" s="3">
        <f t="shared" si="9"/>
        <v>0</v>
      </c>
      <c r="AL32" s="3">
        <f t="shared" si="10"/>
        <v>0</v>
      </c>
      <c r="AM32" s="3">
        <f t="shared" si="11"/>
        <v>19</v>
      </c>
      <c r="AN32" s="3">
        <f t="shared" si="12"/>
        <v>0</v>
      </c>
      <c r="AO32" s="3">
        <f t="shared" si="13"/>
        <v>0</v>
      </c>
      <c r="AP32" s="3">
        <f t="shared" si="14"/>
        <v>0</v>
      </c>
      <c r="AQ32" s="3">
        <f t="shared" si="15"/>
        <v>0</v>
      </c>
      <c r="AR32" s="3">
        <f t="shared" si="16"/>
        <v>0</v>
      </c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M32" s="35"/>
      <c r="BO32" s="35"/>
      <c r="BR32" s="9" t="str">
        <f t="shared" si="17"/>
        <v/>
      </c>
      <c r="BS32" s="37" t="str">
        <f t="shared" si="18"/>
        <v/>
      </c>
      <c r="BT32" s="38" t="str">
        <f t="shared" si="19"/>
        <v/>
      </c>
      <c r="BU32" s="36" t="str">
        <f t="shared" si="20"/>
        <v/>
      </c>
    </row>
    <row r="33" spans="2:73" ht="16" thickBot="1">
      <c r="B33" s="16">
        <f t="shared" si="21"/>
        <v>43304</v>
      </c>
      <c r="C33" s="15" t="s">
        <v>1</v>
      </c>
      <c r="D33" s="17">
        <f t="shared" si="22"/>
        <v>43310</v>
      </c>
      <c r="E33" s="18">
        <f t="shared" si="23"/>
        <v>7</v>
      </c>
      <c r="F33" s="19">
        <f t="shared" si="24"/>
        <v>2018</v>
      </c>
      <c r="G33" s="9">
        <f t="shared" si="26"/>
        <v>17</v>
      </c>
      <c r="H33" s="8">
        <f t="shared" si="26"/>
        <v>96</v>
      </c>
      <c r="I33" s="9"/>
      <c r="J33" s="9"/>
      <c r="K33" s="9"/>
      <c r="L33" s="9"/>
      <c r="M33" s="9"/>
      <c r="N33" s="9"/>
      <c r="O33" s="12"/>
      <c r="P33" s="12">
        <v>2</v>
      </c>
      <c r="Q33" s="12"/>
      <c r="R33" s="12"/>
      <c r="S33" s="12"/>
      <c r="T33" s="12"/>
      <c r="V33" s="20">
        <f t="shared" si="0"/>
        <v>14</v>
      </c>
      <c r="W33" s="20">
        <f t="shared" si="0"/>
        <v>14</v>
      </c>
      <c r="X33" s="20">
        <f t="shared" si="0"/>
        <v>0</v>
      </c>
      <c r="Y33" s="20">
        <f t="shared" si="0"/>
        <v>0</v>
      </c>
      <c r="Z33" s="20">
        <f t="shared" si="0"/>
        <v>0</v>
      </c>
      <c r="AA33" s="20">
        <f t="shared" si="0"/>
        <v>0</v>
      </c>
      <c r="AC33" s="3">
        <f t="shared" si="1"/>
        <v>0</v>
      </c>
      <c r="AD33" s="3">
        <f t="shared" si="2"/>
        <v>0</v>
      </c>
      <c r="AE33" s="3">
        <f t="shared" si="3"/>
        <v>0</v>
      </c>
      <c r="AF33" s="3">
        <f t="shared" si="4"/>
        <v>0</v>
      </c>
      <c r="AG33" s="3">
        <f t="shared" si="5"/>
        <v>0</v>
      </c>
      <c r="AH33" s="3">
        <f t="shared" si="6"/>
        <v>0</v>
      </c>
      <c r="AI33" s="3">
        <f t="shared" si="7"/>
        <v>0</v>
      </c>
      <c r="AJ33" s="3">
        <f t="shared" si="8"/>
        <v>0</v>
      </c>
      <c r="AK33" s="3">
        <f t="shared" si="9"/>
        <v>0</v>
      </c>
      <c r="AL33" s="3">
        <f t="shared" si="10"/>
        <v>0</v>
      </c>
      <c r="AM33" s="3">
        <f t="shared" si="11"/>
        <v>20</v>
      </c>
      <c r="AN33" s="3">
        <f t="shared" si="12"/>
        <v>14</v>
      </c>
      <c r="AO33" s="3">
        <f t="shared" si="13"/>
        <v>0</v>
      </c>
      <c r="AP33" s="3">
        <f t="shared" si="14"/>
        <v>0</v>
      </c>
      <c r="AQ33" s="3">
        <f t="shared" si="15"/>
        <v>0</v>
      </c>
      <c r="AR33" s="3">
        <f t="shared" si="16"/>
        <v>0</v>
      </c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>
        <v>2</v>
      </c>
      <c r="BE33" s="8"/>
      <c r="BF33" s="8"/>
      <c r="BG33" s="8"/>
      <c r="BH33" s="8"/>
      <c r="BM33" s="35"/>
      <c r="BO33" s="35"/>
      <c r="BR33" s="9" t="str">
        <f t="shared" si="17"/>
        <v/>
      </c>
      <c r="BS33" s="37" t="str">
        <f t="shared" si="18"/>
        <v/>
      </c>
      <c r="BT33" s="38" t="str">
        <f t="shared" si="19"/>
        <v/>
      </c>
      <c r="BU33" s="36" t="str">
        <f t="shared" si="20"/>
        <v/>
      </c>
    </row>
    <row r="34" spans="2:73" ht="17" thickTop="1" thickBot="1">
      <c r="B34" s="16">
        <f t="shared" si="21"/>
        <v>43311</v>
      </c>
      <c r="C34" s="15" t="s">
        <v>1</v>
      </c>
      <c r="D34" s="17">
        <f t="shared" si="22"/>
        <v>43317</v>
      </c>
      <c r="E34" s="18">
        <f t="shared" si="23"/>
        <v>7</v>
      </c>
      <c r="F34" s="19">
        <f t="shared" si="24"/>
        <v>2018</v>
      </c>
      <c r="G34" s="9">
        <f t="shared" si="26"/>
        <v>17</v>
      </c>
      <c r="H34" s="8">
        <f t="shared" si="26"/>
        <v>96</v>
      </c>
      <c r="I34" s="9"/>
      <c r="J34" s="9"/>
      <c r="K34" s="9"/>
      <c r="L34" s="9"/>
      <c r="M34" s="9"/>
      <c r="N34" s="9"/>
      <c r="O34" s="12"/>
      <c r="P34" s="12"/>
      <c r="Q34" s="12"/>
      <c r="R34" s="12"/>
      <c r="S34" s="12"/>
      <c r="T34" s="12"/>
      <c r="V34" s="20">
        <f t="shared" si="0"/>
        <v>15</v>
      </c>
      <c r="W34" s="20">
        <f t="shared" si="0"/>
        <v>0</v>
      </c>
      <c r="X34" s="20">
        <f t="shared" si="0"/>
        <v>0</v>
      </c>
      <c r="Y34" s="20">
        <f t="shared" si="0"/>
        <v>0</v>
      </c>
      <c r="Z34" s="20">
        <f t="shared" si="0"/>
        <v>0</v>
      </c>
      <c r="AA34" s="20">
        <f t="shared" si="0"/>
        <v>0</v>
      </c>
      <c r="AC34" s="22">
        <v>73</v>
      </c>
      <c r="AD34" s="3">
        <v>67</v>
      </c>
      <c r="AE34" s="3">
        <f>IF(AND(AU34&gt;=$R$2,AU34&lt;=$U$2),LOOKUP(AU34,$R$2:$U$2,$R34:$U34),IF(AU33="A",0,IF(AE33=$H34,0,IF(AE33=0,0,AE33+1))))</f>
        <v>0</v>
      </c>
      <c r="AF34" s="3">
        <v>59</v>
      </c>
      <c r="AG34" s="3">
        <v>55</v>
      </c>
      <c r="AH34" s="3">
        <v>53</v>
      </c>
      <c r="AI34" s="3">
        <v>46</v>
      </c>
      <c r="AJ34" s="3">
        <v>42</v>
      </c>
      <c r="AK34" s="3">
        <v>37</v>
      </c>
      <c r="AL34" s="3">
        <v>34</v>
      </c>
      <c r="AM34" s="3">
        <f>IF(AND(BC34&gt;=$R$2,BC34&lt;=$U$2),LOOKUP(BC34,$R$2:$U$2,$R34:$U34),IF(BC33="A",0,IF(AM33=$H34,0,IF(AM33=0,0,AM33+1))))</f>
        <v>21</v>
      </c>
      <c r="AN34" s="3">
        <f>IF(AND(BD34&gt;=$R$2,BD34&lt;=$U$2),LOOKUP(BD34,$R$2:$U$2,$R34:$U34),IF(BD33="A",0,IF(AN33=$H34,0,IF(AN33=0,0,AN33+1))))</f>
        <v>15</v>
      </c>
      <c r="AO34" s="3">
        <f>IF(AND(BE34&gt;=$R$2,BE34&lt;=$U$2),LOOKUP(BE34,$R$2:$U$2,$R34:$U34),IF(BE33="A",0,IF(AO33=$H34,0,IF(AO33=0,0,AO33+1))))</f>
        <v>0</v>
      </c>
      <c r="AP34" s="21">
        <v>28</v>
      </c>
      <c r="AQ34" s="23">
        <v>12</v>
      </c>
      <c r="AR34" s="3">
        <f>IF(AND(BH34&gt;=$R$2,BH34&lt;=$U$2),LOOKUP(BH34,$R$2:$U$2,$R34:$U34),IF(BH33="A",0,IF(AR33=$H34,0,IF(AR33=0,0,AR33+1))))</f>
        <v>0</v>
      </c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M34" s="35"/>
      <c r="BO34" s="35"/>
      <c r="BR34" s="9" t="str">
        <f t="shared" si="17"/>
        <v/>
      </c>
      <c r="BS34" s="37" t="str">
        <f t="shared" si="18"/>
        <v/>
      </c>
      <c r="BT34" s="38" t="str">
        <f t="shared" si="19"/>
        <v/>
      </c>
      <c r="BU34" s="36" t="str">
        <f t="shared" si="20"/>
        <v/>
      </c>
    </row>
    <row r="35" spans="2:73" ht="17" thickTop="1" thickBot="1">
      <c r="B35" s="16">
        <f t="shared" si="21"/>
        <v>43318</v>
      </c>
      <c r="C35" s="15" t="s">
        <v>1</v>
      </c>
      <c r="D35" s="17">
        <f t="shared" si="22"/>
        <v>43324</v>
      </c>
      <c r="E35" s="18">
        <f t="shared" si="23"/>
        <v>8</v>
      </c>
      <c r="F35" s="19">
        <f t="shared" si="24"/>
        <v>2018</v>
      </c>
      <c r="G35" s="9">
        <f t="shared" si="26"/>
        <v>17</v>
      </c>
      <c r="H35" s="8">
        <f t="shared" si="26"/>
        <v>96</v>
      </c>
      <c r="I35" s="9"/>
      <c r="J35" s="9"/>
      <c r="K35" s="9"/>
      <c r="L35" s="9"/>
      <c r="M35" s="9"/>
      <c r="N35" s="9"/>
      <c r="O35" s="12"/>
      <c r="P35" s="12"/>
      <c r="Q35" s="12"/>
      <c r="R35" s="12"/>
      <c r="S35" s="12"/>
      <c r="T35" s="12"/>
      <c r="V35" s="20">
        <f t="shared" si="0"/>
        <v>16</v>
      </c>
      <c r="W35" s="20">
        <f t="shared" si="0"/>
        <v>0</v>
      </c>
      <c r="X35" s="20">
        <f t="shared" si="0"/>
        <v>0</v>
      </c>
      <c r="Y35" s="20">
        <f t="shared" si="0"/>
        <v>0</v>
      </c>
      <c r="Z35" s="20">
        <f t="shared" si="0"/>
        <v>0</v>
      </c>
      <c r="AA35" s="20">
        <f t="shared" si="0"/>
        <v>0</v>
      </c>
      <c r="AC35" s="3">
        <f t="shared" ref="AC35:AC98" si="27">IF(AND(AS35&gt;=$V$2,AS35&lt;=$AA$2),LOOKUP(AS35,$V$2:$AA$2,$V35:$AA35),IF(AS34="A",0,IF(AC34=$H35,0,IF(AC34=0,0,AC34+1))))</f>
        <v>74</v>
      </c>
      <c r="AD35" s="3">
        <f t="shared" ref="AD35:AD98" si="28">IF(AND(AT35&gt;=$V$2,AT35&lt;=$AA$2),LOOKUP(AT35,$V$2:$AA$2,$V35:$AA35),IF(AT34="A",0,IF(AD34=$H35,0,IF(AD34=0,0,AD34+1))))</f>
        <v>68</v>
      </c>
      <c r="AE35" s="3">
        <f t="shared" ref="AE35:AE98" si="29">IF(AND(AU35&gt;=$V$2,AU35&lt;=$AA$2),LOOKUP(AU35,$V$2:$AA$2,$V35:$AA35),IF(AU34="A",0,IF(AE34=$H35,0,IF(AE34=0,0,AE34+1))))</f>
        <v>0</v>
      </c>
      <c r="AF35" s="3">
        <f t="shared" ref="AF35:AF98" si="30">IF(AND(AV35&gt;=$V$2,AV35&lt;=$AA$2),LOOKUP(AV35,$V$2:$AA$2,$V35:$AA35),IF(AV34="A",0,IF(AF34=$H35,0,IF(AF34=0,0,AF34+1))))</f>
        <v>60</v>
      </c>
      <c r="AG35" s="3">
        <f t="shared" ref="AG35:AG98" si="31">IF(AND(AW35&gt;=$V$2,AW35&lt;=$AA$2),LOOKUP(AW35,$V$2:$AA$2,$V35:$AA35),IF(AW34="A",0,IF(AG34=$H35,0,IF(AG34=0,0,AG34+1))))</f>
        <v>56</v>
      </c>
      <c r="AH35" s="3">
        <f t="shared" ref="AH35:AH98" si="32">IF(AND(AX35&gt;=$V$2,AX35&lt;=$AA$2),LOOKUP(AX35,$V$2:$AA$2,$V35:$AA35),IF(AX34="A",0,IF(AH34=$H35,0,IF(AH34=0,0,AH34+1))))</f>
        <v>54</v>
      </c>
      <c r="AI35" s="3">
        <f t="shared" ref="AI35:AI98" si="33">IF(AND(AY35&gt;=$V$2,AY35&lt;=$AA$2),LOOKUP(AY35,$V$2:$AA$2,$V35:$AA35),IF(AY34="A",0,IF(AI34=$H35,0,IF(AI34=0,0,AI34+1))))</f>
        <v>47</v>
      </c>
      <c r="AJ35" s="3">
        <f t="shared" ref="AJ35:AJ98" si="34">IF(AND(AZ35&gt;=$V$2,AZ35&lt;=$AA$2),LOOKUP(AZ35,$V$2:$AA$2,$V35:$AA35),IF(AZ34="A",0,IF(AJ34=$H35,0,IF(AJ34=0,0,AJ34+1))))</f>
        <v>43</v>
      </c>
      <c r="AK35" s="3">
        <f t="shared" ref="AK35:AK98" si="35">IF(AND(BA35&gt;=$V$2,BA35&lt;=$AA$2),LOOKUP(BA35,$V$2:$AA$2,$V35:$AA35),IF(BA34="A",0,IF(AK34=$H35,0,IF(AK34=0,0,AK34+1))))</f>
        <v>38</v>
      </c>
      <c r="AL35" s="3">
        <f t="shared" ref="AL35:AL98" si="36">IF(AND(BB35&gt;=$V$2,BB35&lt;=$AA$2),LOOKUP(BB35,$V$2:$AA$2,$V35:$AA35),IF(BB34="A",0,IF(AL34=$H35,0,IF(AL34=0,0,AL34+1))))</f>
        <v>35</v>
      </c>
      <c r="AM35" s="3">
        <f t="shared" ref="AM35:AM98" si="37">IF(AND(BC35&gt;=$V$2,BC35&lt;=$AA$2),LOOKUP(BC35,$V$2:$AA$2,$V35:$AA35),IF(BC34="A",0,IF(AM34=$H35,0,IF(AM34=0,0,AM34+1))))</f>
        <v>22</v>
      </c>
      <c r="AN35" s="3">
        <f t="shared" ref="AN35:AN98" si="38">IF(AND(BD35&gt;=$V$2,BD35&lt;=$AA$2),LOOKUP(BD35,$V$2:$AA$2,$V35:$AA35),IF(BD34="A",0,IF(AN34=$H35,0,IF(AN34=0,0,AN34+1))))</f>
        <v>16</v>
      </c>
      <c r="AO35" s="3">
        <f t="shared" ref="AO35:AO98" si="39">IF(AND(BE35&gt;=$V$2,BE35&lt;=$AA$2),LOOKUP(BE35,$V$2:$AA$2,$V35:$AA35),IF(BE34="A",0,IF(AO34=$H35,0,IF(AO34=0,0,AO34+1))))</f>
        <v>0</v>
      </c>
      <c r="AP35" s="3">
        <f t="shared" ref="AP35:AP98" si="40">IF(AND(BF35&gt;=$V$2,BF35&lt;=$AA$2),LOOKUP(BF35,$V$2:$AA$2,$V35:$AA35),IF(BF34="A",0,IF(AP34=$H35,0,IF(AP34=0,0,AP34+1))))</f>
        <v>29</v>
      </c>
      <c r="AQ35" s="23">
        <f t="shared" ref="AQ35:AQ98" si="41">IF(AND(BG35&gt;=$V$2,BG35&lt;=$AA$2),LOOKUP(BG35,$V$2:$AA$2,$V35:$AA35),IF(BG34="A",0,IF(AQ34=$H35,0,IF(AQ34=0,0,AQ34+1))))</f>
        <v>13</v>
      </c>
      <c r="AR35" s="3">
        <f t="shared" ref="AR35:AR98" si="42">IF(AND(BH35&gt;=$V$2,BH35&lt;=$AA$2),LOOKUP(BH35,$V$2:$AA$2,$V35:$AA35),IF(BH34="A",0,IF(AR34=$H35,0,IF(AR34=0,0,AR34+1))))</f>
        <v>0</v>
      </c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 t="s">
        <v>5</v>
      </c>
      <c r="BG35" s="8"/>
      <c r="BH35" s="8"/>
      <c r="BM35" s="35"/>
      <c r="BO35" s="35"/>
      <c r="BR35" s="9" t="str">
        <f t="shared" si="17"/>
        <v/>
      </c>
      <c r="BS35" s="37" t="str">
        <f t="shared" si="18"/>
        <v/>
      </c>
      <c r="BT35" s="38" t="str">
        <f t="shared" si="19"/>
        <v/>
      </c>
      <c r="BU35" s="36" t="str">
        <f t="shared" si="20"/>
        <v/>
      </c>
    </row>
    <row r="36" spans="2:73" ht="17" thickTop="1" thickBot="1">
      <c r="B36" s="16">
        <f t="shared" si="21"/>
        <v>43325</v>
      </c>
      <c r="C36" s="15" t="s">
        <v>1</v>
      </c>
      <c r="D36" s="17">
        <f t="shared" si="22"/>
        <v>43331</v>
      </c>
      <c r="E36" s="18">
        <f t="shared" si="23"/>
        <v>8</v>
      </c>
      <c r="F36" s="19">
        <f t="shared" si="24"/>
        <v>2018</v>
      </c>
      <c r="G36" s="9">
        <f t="shared" si="26"/>
        <v>17</v>
      </c>
      <c r="H36" s="8">
        <f t="shared" si="26"/>
        <v>96</v>
      </c>
      <c r="I36" s="9"/>
      <c r="J36" s="9"/>
      <c r="K36" s="9"/>
      <c r="L36" s="9"/>
      <c r="M36" s="9"/>
      <c r="N36" s="9"/>
      <c r="O36" s="12"/>
      <c r="P36" s="12"/>
      <c r="Q36" s="12"/>
      <c r="R36" s="12"/>
      <c r="S36" s="12"/>
      <c r="T36" s="12"/>
      <c r="V36" s="20">
        <f t="shared" si="0"/>
        <v>17</v>
      </c>
      <c r="W36" s="20">
        <f t="shared" si="0"/>
        <v>0</v>
      </c>
      <c r="X36" s="20">
        <f t="shared" si="0"/>
        <v>0</v>
      </c>
      <c r="Y36" s="20">
        <f t="shared" si="0"/>
        <v>0</v>
      </c>
      <c r="Z36" s="20">
        <f t="shared" si="0"/>
        <v>0</v>
      </c>
      <c r="AA36" s="20">
        <f t="shared" si="0"/>
        <v>0</v>
      </c>
      <c r="AC36" s="3">
        <f t="shared" si="27"/>
        <v>75</v>
      </c>
      <c r="AD36" s="3">
        <f t="shared" si="28"/>
        <v>69</v>
      </c>
      <c r="AE36" s="3">
        <f t="shared" si="29"/>
        <v>0</v>
      </c>
      <c r="AF36" s="3">
        <f t="shared" si="30"/>
        <v>61</v>
      </c>
      <c r="AG36" s="3">
        <f t="shared" si="31"/>
        <v>57</v>
      </c>
      <c r="AH36" s="3">
        <f t="shared" si="32"/>
        <v>55</v>
      </c>
      <c r="AI36" s="3">
        <f t="shared" si="33"/>
        <v>48</v>
      </c>
      <c r="AJ36" s="3">
        <f t="shared" si="34"/>
        <v>44</v>
      </c>
      <c r="AK36" s="3">
        <f t="shared" si="35"/>
        <v>39</v>
      </c>
      <c r="AL36" s="3">
        <f t="shared" si="36"/>
        <v>36</v>
      </c>
      <c r="AM36" s="3">
        <f t="shared" si="37"/>
        <v>23</v>
      </c>
      <c r="AN36" s="3">
        <f t="shared" si="38"/>
        <v>17</v>
      </c>
      <c r="AO36" s="3">
        <f t="shared" si="39"/>
        <v>17</v>
      </c>
      <c r="AP36" s="3">
        <f t="shared" si="40"/>
        <v>0</v>
      </c>
      <c r="AQ36" s="23">
        <f t="shared" si="41"/>
        <v>14</v>
      </c>
      <c r="AR36" s="3">
        <f t="shared" si="42"/>
        <v>0</v>
      </c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>
        <v>1</v>
      </c>
      <c r="BF36" s="8"/>
      <c r="BG36" s="8"/>
      <c r="BH36" s="8"/>
      <c r="BM36" s="35"/>
      <c r="BO36" s="35"/>
      <c r="BR36" s="9" t="str">
        <f t="shared" si="17"/>
        <v/>
      </c>
      <c r="BS36" s="37" t="str">
        <f t="shared" si="18"/>
        <v/>
      </c>
      <c r="BT36" s="38" t="str">
        <f t="shared" si="19"/>
        <v/>
      </c>
      <c r="BU36" s="36" t="str">
        <f t="shared" si="20"/>
        <v/>
      </c>
    </row>
    <row r="37" spans="2:73" ht="17" thickTop="1" thickBot="1">
      <c r="B37" s="16">
        <f t="shared" si="21"/>
        <v>43332</v>
      </c>
      <c r="C37" s="15" t="s">
        <v>1</v>
      </c>
      <c r="D37" s="17">
        <f t="shared" si="22"/>
        <v>43338</v>
      </c>
      <c r="E37" s="18">
        <f t="shared" si="23"/>
        <v>8</v>
      </c>
      <c r="F37" s="19">
        <f t="shared" si="24"/>
        <v>2018</v>
      </c>
      <c r="G37" s="9">
        <f t="shared" si="26"/>
        <v>17</v>
      </c>
      <c r="H37" s="8">
        <f t="shared" si="26"/>
        <v>96</v>
      </c>
      <c r="I37" s="9"/>
      <c r="J37" s="9"/>
      <c r="K37" s="9"/>
      <c r="L37" s="9"/>
      <c r="M37" s="9"/>
      <c r="N37" s="9"/>
      <c r="O37" s="12"/>
      <c r="P37" s="12"/>
      <c r="Q37" s="12"/>
      <c r="R37" s="12"/>
      <c r="S37" s="12"/>
      <c r="T37" s="12"/>
      <c r="V37" s="20">
        <f t="shared" si="0"/>
        <v>0</v>
      </c>
      <c r="W37" s="20">
        <f t="shared" si="0"/>
        <v>0</v>
      </c>
      <c r="X37" s="20">
        <f t="shared" si="0"/>
        <v>0</v>
      </c>
      <c r="Y37" s="20">
        <f t="shared" si="0"/>
        <v>0</v>
      </c>
      <c r="Z37" s="20">
        <f t="shared" si="0"/>
        <v>0</v>
      </c>
      <c r="AA37" s="20">
        <f t="shared" si="0"/>
        <v>0</v>
      </c>
      <c r="AC37" s="3">
        <f t="shared" si="27"/>
        <v>76</v>
      </c>
      <c r="AD37" s="3">
        <f t="shared" si="28"/>
        <v>70</v>
      </c>
      <c r="AE37" s="3">
        <f t="shared" si="29"/>
        <v>0</v>
      </c>
      <c r="AF37" s="3">
        <f t="shared" si="30"/>
        <v>62</v>
      </c>
      <c r="AG37" s="3">
        <f t="shared" si="31"/>
        <v>58</v>
      </c>
      <c r="AH37" s="3">
        <f t="shared" si="32"/>
        <v>56</v>
      </c>
      <c r="AI37" s="3">
        <f t="shared" si="33"/>
        <v>49</v>
      </c>
      <c r="AJ37" s="3">
        <f t="shared" si="34"/>
        <v>45</v>
      </c>
      <c r="AK37" s="3">
        <f t="shared" si="35"/>
        <v>40</v>
      </c>
      <c r="AL37" s="3">
        <f t="shared" si="36"/>
        <v>37</v>
      </c>
      <c r="AM37" s="3">
        <f t="shared" si="37"/>
        <v>24</v>
      </c>
      <c r="AN37" s="3">
        <f t="shared" si="38"/>
        <v>18</v>
      </c>
      <c r="AO37" s="3">
        <f t="shared" si="39"/>
        <v>18</v>
      </c>
      <c r="AP37" s="3">
        <f t="shared" si="40"/>
        <v>0</v>
      </c>
      <c r="AQ37" s="23">
        <f t="shared" si="41"/>
        <v>15</v>
      </c>
      <c r="AR37" s="3">
        <f t="shared" si="42"/>
        <v>0</v>
      </c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M37" s="35"/>
      <c r="BO37" s="35"/>
      <c r="BR37" s="9" t="str">
        <f t="shared" si="17"/>
        <v/>
      </c>
      <c r="BS37" s="37" t="str">
        <f t="shared" si="18"/>
        <v/>
      </c>
      <c r="BT37" s="38" t="str">
        <f t="shared" si="19"/>
        <v/>
      </c>
      <c r="BU37" s="36" t="str">
        <f t="shared" si="20"/>
        <v/>
      </c>
    </row>
    <row r="38" spans="2:73" ht="17" thickTop="1" thickBot="1">
      <c r="B38" s="16">
        <f t="shared" si="21"/>
        <v>43339</v>
      </c>
      <c r="C38" s="15" t="s">
        <v>1</v>
      </c>
      <c r="D38" s="17">
        <f t="shared" si="22"/>
        <v>43345</v>
      </c>
      <c r="E38" s="18">
        <f t="shared" si="23"/>
        <v>8</v>
      </c>
      <c r="F38" s="19">
        <f t="shared" si="24"/>
        <v>2018</v>
      </c>
      <c r="G38" s="9">
        <f t="shared" ref="G38:H53" si="43">G37</f>
        <v>17</v>
      </c>
      <c r="H38" s="8">
        <f t="shared" si="43"/>
        <v>96</v>
      </c>
      <c r="I38" s="9"/>
      <c r="J38" s="9"/>
      <c r="K38" s="9"/>
      <c r="L38" s="9">
        <v>1</v>
      </c>
      <c r="M38" s="9"/>
      <c r="N38" s="9"/>
      <c r="O38" s="12"/>
      <c r="P38" s="12"/>
      <c r="Q38" s="12"/>
      <c r="R38" s="12">
        <v>1</v>
      </c>
      <c r="S38" s="12"/>
      <c r="T38" s="12"/>
      <c r="V38" s="20">
        <f t="shared" si="0"/>
        <v>0</v>
      </c>
      <c r="W38" s="20">
        <f t="shared" si="0"/>
        <v>0</v>
      </c>
      <c r="X38" s="20">
        <f t="shared" si="0"/>
        <v>0</v>
      </c>
      <c r="Y38" s="20">
        <f t="shared" si="0"/>
        <v>1</v>
      </c>
      <c r="Z38" s="20">
        <f t="shared" si="0"/>
        <v>0</v>
      </c>
      <c r="AA38" s="20">
        <f t="shared" si="0"/>
        <v>0</v>
      </c>
      <c r="AC38" s="3">
        <f t="shared" si="27"/>
        <v>77</v>
      </c>
      <c r="AD38" s="3">
        <f t="shared" si="28"/>
        <v>71</v>
      </c>
      <c r="AE38" s="3">
        <f t="shared" si="29"/>
        <v>0</v>
      </c>
      <c r="AF38" s="3">
        <f t="shared" si="30"/>
        <v>63</v>
      </c>
      <c r="AG38" s="3">
        <f t="shared" si="31"/>
        <v>59</v>
      </c>
      <c r="AH38" s="3">
        <f t="shared" si="32"/>
        <v>57</v>
      </c>
      <c r="AI38" s="3">
        <f t="shared" si="33"/>
        <v>50</v>
      </c>
      <c r="AJ38" s="3">
        <f t="shared" si="34"/>
        <v>46</v>
      </c>
      <c r="AK38" s="3">
        <f t="shared" si="35"/>
        <v>41</v>
      </c>
      <c r="AL38" s="3">
        <f t="shared" si="36"/>
        <v>38</v>
      </c>
      <c r="AM38" s="3">
        <f t="shared" si="37"/>
        <v>25</v>
      </c>
      <c r="AN38" s="3">
        <f t="shared" si="38"/>
        <v>19</v>
      </c>
      <c r="AO38" s="3">
        <f t="shared" si="39"/>
        <v>19</v>
      </c>
      <c r="AP38" s="3">
        <f t="shared" si="40"/>
        <v>0</v>
      </c>
      <c r="AQ38" s="23">
        <f t="shared" si="41"/>
        <v>16</v>
      </c>
      <c r="AR38" s="3">
        <f t="shared" si="42"/>
        <v>0</v>
      </c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J38" s="30">
        <f>B38+5</f>
        <v>43344</v>
      </c>
      <c r="BK38" s="26" t="s">
        <v>6</v>
      </c>
      <c r="BL38">
        <v>7</v>
      </c>
      <c r="BM38" s="35">
        <v>43344</v>
      </c>
      <c r="BN38" s="26" t="s">
        <v>6</v>
      </c>
      <c r="BO38" s="35">
        <f>B55</f>
        <v>43458</v>
      </c>
      <c r="BP38">
        <v>92</v>
      </c>
      <c r="BQ38" s="44" t="s">
        <v>6</v>
      </c>
      <c r="BR38" s="9">
        <f t="shared" si="17"/>
        <v>4</v>
      </c>
      <c r="BS38" s="37">
        <f>IF(OR(AND($V39=1,$V40=2),OR(AND($W39=1,$W40=2),OR(AND($X39=1,$X40=2),OR(AND($Y39=1,$Y40=2),OR(AND($Z39=1,$Z40),OR(AND($AA39=1,$AA40=2))))))),$B38+2,"")</f>
        <v>43341</v>
      </c>
      <c r="BT38" s="38">
        <f t="shared" si="19"/>
        <v>43460</v>
      </c>
      <c r="BU38" s="36">
        <f t="shared" si="20"/>
        <v>7</v>
      </c>
    </row>
    <row r="39" spans="2:73" ht="17" thickTop="1" thickBot="1">
      <c r="B39" s="16">
        <f t="shared" si="21"/>
        <v>43346</v>
      </c>
      <c r="C39" s="15" t="s">
        <v>1</v>
      </c>
      <c r="D39" s="17">
        <f t="shared" si="22"/>
        <v>43352</v>
      </c>
      <c r="E39" s="18">
        <f t="shared" si="23"/>
        <v>9</v>
      </c>
      <c r="F39" s="19">
        <f t="shared" si="24"/>
        <v>2018</v>
      </c>
      <c r="G39" s="9">
        <f t="shared" si="43"/>
        <v>17</v>
      </c>
      <c r="H39" s="8">
        <f t="shared" si="43"/>
        <v>96</v>
      </c>
      <c r="I39" s="9"/>
      <c r="J39" s="9"/>
      <c r="K39" s="9"/>
      <c r="L39" s="9"/>
      <c r="M39" s="9"/>
      <c r="N39" s="9"/>
      <c r="O39" s="12"/>
      <c r="P39" s="12"/>
      <c r="Q39" s="12"/>
      <c r="R39" s="12"/>
      <c r="S39" s="12"/>
      <c r="T39" s="12"/>
      <c r="V39" s="20">
        <f t="shared" si="0"/>
        <v>0</v>
      </c>
      <c r="W39" s="20">
        <f t="shared" si="0"/>
        <v>0</v>
      </c>
      <c r="X39" s="20">
        <f t="shared" si="0"/>
        <v>0</v>
      </c>
      <c r="Y39" s="20">
        <f t="shared" si="0"/>
        <v>1</v>
      </c>
      <c r="Z39" s="20">
        <f t="shared" si="0"/>
        <v>0</v>
      </c>
      <c r="AA39" s="20">
        <f t="shared" si="0"/>
        <v>0</v>
      </c>
      <c r="AC39" s="3">
        <f t="shared" si="27"/>
        <v>78</v>
      </c>
      <c r="AD39" s="3">
        <f t="shared" si="28"/>
        <v>72</v>
      </c>
      <c r="AE39" s="3">
        <f t="shared" si="29"/>
        <v>0</v>
      </c>
      <c r="AF39" s="3">
        <f t="shared" si="30"/>
        <v>64</v>
      </c>
      <c r="AG39" s="3">
        <f t="shared" si="31"/>
        <v>60</v>
      </c>
      <c r="AH39" s="3">
        <f t="shared" si="32"/>
        <v>58</v>
      </c>
      <c r="AI39" s="3">
        <f t="shared" si="33"/>
        <v>51</v>
      </c>
      <c r="AJ39" s="3">
        <f t="shared" si="34"/>
        <v>47</v>
      </c>
      <c r="AK39" s="3">
        <f t="shared" si="35"/>
        <v>42</v>
      </c>
      <c r="AL39" s="3">
        <f t="shared" si="36"/>
        <v>39</v>
      </c>
      <c r="AM39" s="3">
        <f t="shared" si="37"/>
        <v>26</v>
      </c>
      <c r="AN39" s="3">
        <f t="shared" si="38"/>
        <v>20</v>
      </c>
      <c r="AO39" s="3">
        <f t="shared" si="39"/>
        <v>20</v>
      </c>
      <c r="AP39" s="3">
        <f t="shared" si="40"/>
        <v>0</v>
      </c>
      <c r="AQ39" s="23">
        <f t="shared" si="41"/>
        <v>17</v>
      </c>
      <c r="AR39" s="3">
        <f t="shared" si="42"/>
        <v>0</v>
      </c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M39" s="35" t="s">
        <v>12</v>
      </c>
      <c r="BO39" s="35"/>
      <c r="BR39" s="9" t="str">
        <f t="shared" si="17"/>
        <v/>
      </c>
      <c r="BS39" s="37" t="str">
        <f t="shared" si="18"/>
        <v/>
      </c>
      <c r="BT39" s="38" t="str">
        <f t="shared" si="19"/>
        <v/>
      </c>
      <c r="BU39" s="36" t="str">
        <f t="shared" si="20"/>
        <v/>
      </c>
    </row>
    <row r="40" spans="2:73" ht="17" thickTop="1" thickBot="1">
      <c r="B40" s="16">
        <f t="shared" si="21"/>
        <v>43353</v>
      </c>
      <c r="C40" s="15" t="s">
        <v>1</v>
      </c>
      <c r="D40" s="17">
        <f t="shared" si="22"/>
        <v>43359</v>
      </c>
      <c r="E40" s="18">
        <f t="shared" si="23"/>
        <v>9</v>
      </c>
      <c r="F40" s="19">
        <f t="shared" si="24"/>
        <v>2018</v>
      </c>
      <c r="G40" s="9">
        <f t="shared" si="43"/>
        <v>17</v>
      </c>
      <c r="H40" s="8">
        <f t="shared" si="43"/>
        <v>96</v>
      </c>
      <c r="I40" s="9"/>
      <c r="J40" s="9"/>
      <c r="K40" s="9"/>
      <c r="L40" s="9"/>
      <c r="M40" s="9"/>
      <c r="N40" s="9"/>
      <c r="O40" s="12"/>
      <c r="P40" s="12"/>
      <c r="Q40" s="12"/>
      <c r="R40" s="12"/>
      <c r="S40" s="12"/>
      <c r="T40" s="12"/>
      <c r="V40" s="20">
        <f t="shared" si="0"/>
        <v>0</v>
      </c>
      <c r="W40" s="20">
        <f t="shared" si="0"/>
        <v>0</v>
      </c>
      <c r="X40" s="20">
        <f t="shared" si="0"/>
        <v>0</v>
      </c>
      <c r="Y40" s="20">
        <f t="shared" si="0"/>
        <v>2</v>
      </c>
      <c r="Z40" s="20">
        <f t="shared" si="0"/>
        <v>0</v>
      </c>
      <c r="AA40" s="20">
        <f t="shared" si="0"/>
        <v>0</v>
      </c>
      <c r="AC40" s="3">
        <f t="shared" si="27"/>
        <v>79</v>
      </c>
      <c r="AD40" s="3">
        <f t="shared" si="28"/>
        <v>73</v>
      </c>
      <c r="AE40" s="3">
        <f t="shared" si="29"/>
        <v>0</v>
      </c>
      <c r="AF40" s="3">
        <f t="shared" si="30"/>
        <v>65</v>
      </c>
      <c r="AG40" s="3">
        <f t="shared" si="31"/>
        <v>61</v>
      </c>
      <c r="AH40" s="3">
        <f t="shared" si="32"/>
        <v>59</v>
      </c>
      <c r="AI40" s="3">
        <f t="shared" si="33"/>
        <v>52</v>
      </c>
      <c r="AJ40" s="3">
        <f t="shared" si="34"/>
        <v>48</v>
      </c>
      <c r="AK40" s="3">
        <f t="shared" si="35"/>
        <v>43</v>
      </c>
      <c r="AL40" s="3">
        <f t="shared" si="36"/>
        <v>40</v>
      </c>
      <c r="AM40" s="3">
        <f t="shared" si="37"/>
        <v>27</v>
      </c>
      <c r="AN40" s="3">
        <f t="shared" si="38"/>
        <v>21</v>
      </c>
      <c r="AO40" s="3">
        <f t="shared" si="39"/>
        <v>21</v>
      </c>
      <c r="AP40" s="3">
        <f t="shared" si="40"/>
        <v>0</v>
      </c>
      <c r="AQ40" s="23">
        <f t="shared" si="41"/>
        <v>18</v>
      </c>
      <c r="AR40" s="3">
        <f t="shared" si="42"/>
        <v>0</v>
      </c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M40" s="35" t="s">
        <v>12</v>
      </c>
      <c r="BO40" s="35"/>
      <c r="BR40" s="9" t="str">
        <f t="shared" si="17"/>
        <v/>
      </c>
      <c r="BS40" s="37" t="str">
        <f t="shared" si="18"/>
        <v/>
      </c>
      <c r="BT40" s="38" t="str">
        <f t="shared" si="19"/>
        <v/>
      </c>
      <c r="BU40" s="41" t="str">
        <f t="shared" si="20"/>
        <v/>
      </c>
    </row>
    <row r="41" spans="2:73" ht="17" thickTop="1" thickBot="1">
      <c r="B41" s="16">
        <f t="shared" si="21"/>
        <v>43360</v>
      </c>
      <c r="C41" s="15" t="s">
        <v>1</v>
      </c>
      <c r="D41" s="17">
        <f t="shared" si="22"/>
        <v>43366</v>
      </c>
      <c r="E41" s="18">
        <f t="shared" si="23"/>
        <v>9</v>
      </c>
      <c r="F41" s="19">
        <f t="shared" si="24"/>
        <v>2018</v>
      </c>
      <c r="G41" s="9">
        <f t="shared" si="43"/>
        <v>17</v>
      </c>
      <c r="H41" s="8">
        <f t="shared" si="43"/>
        <v>96</v>
      </c>
      <c r="I41" s="9"/>
      <c r="J41" s="9"/>
      <c r="K41" s="9">
        <v>23</v>
      </c>
      <c r="L41" s="9"/>
      <c r="M41" s="9"/>
      <c r="N41" s="9"/>
      <c r="O41" s="12"/>
      <c r="P41" s="12"/>
      <c r="Q41" s="12">
        <v>1</v>
      </c>
      <c r="R41" s="12"/>
      <c r="S41" s="12"/>
      <c r="T41" s="12"/>
      <c r="V41" s="20">
        <f t="shared" si="0"/>
        <v>0</v>
      </c>
      <c r="W41" s="20">
        <f t="shared" si="0"/>
        <v>0</v>
      </c>
      <c r="X41" s="20">
        <f t="shared" si="0"/>
        <v>23</v>
      </c>
      <c r="Y41" s="20">
        <f t="shared" si="0"/>
        <v>3</v>
      </c>
      <c r="Z41" s="20">
        <f t="shared" si="0"/>
        <v>0</v>
      </c>
      <c r="AA41" s="20">
        <f t="shared" si="0"/>
        <v>0</v>
      </c>
      <c r="AC41" s="3">
        <f t="shared" si="27"/>
        <v>80</v>
      </c>
      <c r="AD41" s="3">
        <f t="shared" si="28"/>
        <v>74</v>
      </c>
      <c r="AE41" s="3">
        <f t="shared" si="29"/>
        <v>0</v>
      </c>
      <c r="AF41" s="3">
        <f t="shared" si="30"/>
        <v>66</v>
      </c>
      <c r="AG41" s="3">
        <f t="shared" si="31"/>
        <v>62</v>
      </c>
      <c r="AH41" s="3">
        <f t="shared" si="32"/>
        <v>60</v>
      </c>
      <c r="AI41" s="3">
        <f t="shared" si="33"/>
        <v>53</v>
      </c>
      <c r="AJ41" s="3">
        <f t="shared" si="34"/>
        <v>49</v>
      </c>
      <c r="AK41" s="3">
        <f t="shared" si="35"/>
        <v>44</v>
      </c>
      <c r="AL41" s="3">
        <f t="shared" si="36"/>
        <v>41</v>
      </c>
      <c r="AM41" s="3">
        <f t="shared" si="37"/>
        <v>28</v>
      </c>
      <c r="AN41" s="3">
        <f t="shared" si="38"/>
        <v>22</v>
      </c>
      <c r="AO41" s="3">
        <f t="shared" si="39"/>
        <v>22</v>
      </c>
      <c r="AP41" s="3">
        <f t="shared" si="40"/>
        <v>0</v>
      </c>
      <c r="AQ41" s="23">
        <f t="shared" si="41"/>
        <v>19</v>
      </c>
      <c r="AR41" s="3">
        <f t="shared" si="42"/>
        <v>0</v>
      </c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J41" s="30">
        <v>43366</v>
      </c>
      <c r="BK41" t="s">
        <v>8</v>
      </c>
      <c r="BL41">
        <v>8</v>
      </c>
      <c r="BM41" s="35">
        <v>43366</v>
      </c>
      <c r="BN41" t="s">
        <v>8</v>
      </c>
      <c r="BO41" s="35">
        <f>B58</f>
        <v>43479</v>
      </c>
      <c r="BP41">
        <v>93</v>
      </c>
      <c r="BQ41" s="42" t="s">
        <v>8</v>
      </c>
      <c r="BR41" s="9">
        <f t="shared" si="17"/>
        <v>3</v>
      </c>
      <c r="BS41" s="37">
        <f t="shared" si="18"/>
        <v>43362</v>
      </c>
      <c r="BT41" s="38">
        <f>IF(BS41="","",BS41+(17*7))</f>
        <v>43481</v>
      </c>
      <c r="BU41" s="36">
        <f t="shared" si="20"/>
        <v>8</v>
      </c>
    </row>
    <row r="42" spans="2:73" ht="17" thickTop="1" thickBot="1">
      <c r="B42" s="16">
        <f t="shared" si="21"/>
        <v>43367</v>
      </c>
      <c r="C42" s="15" t="s">
        <v>1</v>
      </c>
      <c r="D42" s="17">
        <f t="shared" si="22"/>
        <v>43373</v>
      </c>
      <c r="E42" s="18">
        <f t="shared" si="23"/>
        <v>9</v>
      </c>
      <c r="F42" s="19">
        <f t="shared" si="24"/>
        <v>2018</v>
      </c>
      <c r="G42" s="9">
        <f t="shared" si="43"/>
        <v>17</v>
      </c>
      <c r="H42" s="8">
        <f t="shared" si="43"/>
        <v>96</v>
      </c>
      <c r="I42" s="9"/>
      <c r="J42" s="9"/>
      <c r="K42" s="9"/>
      <c r="L42" s="9"/>
      <c r="M42" s="9"/>
      <c r="N42" s="9"/>
      <c r="O42" s="12"/>
      <c r="P42" s="12"/>
      <c r="Q42" s="12"/>
      <c r="R42" s="12"/>
      <c r="S42" s="12"/>
      <c r="T42" s="12"/>
      <c r="V42" s="20">
        <f t="shared" si="0"/>
        <v>0</v>
      </c>
      <c r="W42" s="20">
        <f t="shared" si="0"/>
        <v>0</v>
      </c>
      <c r="X42" s="20">
        <f t="shared" si="0"/>
        <v>1</v>
      </c>
      <c r="Y42" s="20">
        <f t="shared" si="0"/>
        <v>4</v>
      </c>
      <c r="Z42" s="20">
        <f t="shared" si="0"/>
        <v>0</v>
      </c>
      <c r="AA42" s="20">
        <f t="shared" si="0"/>
        <v>0</v>
      </c>
      <c r="AC42" s="3">
        <f t="shared" si="27"/>
        <v>81</v>
      </c>
      <c r="AD42" s="3">
        <f t="shared" si="28"/>
        <v>75</v>
      </c>
      <c r="AE42" s="3">
        <f t="shared" si="29"/>
        <v>0</v>
      </c>
      <c r="AF42" s="3">
        <f t="shared" si="30"/>
        <v>67</v>
      </c>
      <c r="AG42" s="3">
        <f t="shared" si="31"/>
        <v>63</v>
      </c>
      <c r="AH42" s="3">
        <f t="shared" si="32"/>
        <v>61</v>
      </c>
      <c r="AI42" s="3">
        <f t="shared" si="33"/>
        <v>54</v>
      </c>
      <c r="AJ42" s="3">
        <f t="shared" si="34"/>
        <v>50</v>
      </c>
      <c r="AK42" s="3">
        <f t="shared" si="35"/>
        <v>45</v>
      </c>
      <c r="AL42" s="3">
        <f t="shared" si="36"/>
        <v>42</v>
      </c>
      <c r="AM42" s="3">
        <f t="shared" si="37"/>
        <v>29</v>
      </c>
      <c r="AN42" s="3">
        <f t="shared" si="38"/>
        <v>23</v>
      </c>
      <c r="AO42" s="3">
        <f t="shared" si="39"/>
        <v>23</v>
      </c>
      <c r="AP42" s="3">
        <f t="shared" si="40"/>
        <v>0</v>
      </c>
      <c r="AQ42" s="23">
        <f t="shared" si="41"/>
        <v>20</v>
      </c>
      <c r="AR42" s="3">
        <f t="shared" si="42"/>
        <v>0</v>
      </c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M42" s="35" t="s">
        <v>12</v>
      </c>
      <c r="BO42" s="35"/>
      <c r="BR42" s="9" t="str">
        <f t="shared" si="17"/>
        <v/>
      </c>
      <c r="BS42" s="37" t="str">
        <f t="shared" si="18"/>
        <v/>
      </c>
      <c r="BT42" s="38" t="str">
        <f t="shared" ref="BT42:BT105" si="44">IF(BS42="","",BS42+(17*7))</f>
        <v/>
      </c>
      <c r="BU42" s="36" t="str">
        <f t="shared" si="20"/>
        <v/>
      </c>
    </row>
    <row r="43" spans="2:73" ht="17" thickTop="1" thickBot="1">
      <c r="B43" s="16">
        <f t="shared" si="21"/>
        <v>43374</v>
      </c>
      <c r="C43" s="15" t="s">
        <v>1</v>
      </c>
      <c r="D43" s="17">
        <f t="shared" si="22"/>
        <v>43380</v>
      </c>
      <c r="E43" s="18">
        <f t="shared" si="23"/>
        <v>10</v>
      </c>
      <c r="F43" s="19">
        <f t="shared" si="24"/>
        <v>2018</v>
      </c>
      <c r="G43" s="9">
        <f t="shared" si="43"/>
        <v>17</v>
      </c>
      <c r="H43" s="8">
        <f t="shared" si="43"/>
        <v>96</v>
      </c>
      <c r="I43" s="9"/>
      <c r="J43" s="9"/>
      <c r="K43" s="9"/>
      <c r="L43" s="9"/>
      <c r="M43" s="9"/>
      <c r="N43" s="9"/>
      <c r="O43" s="12"/>
      <c r="P43" s="12"/>
      <c r="Q43" s="12"/>
      <c r="R43" s="12"/>
      <c r="S43" s="12"/>
      <c r="T43" s="12"/>
      <c r="V43" s="20">
        <f t="shared" si="0"/>
        <v>0</v>
      </c>
      <c r="W43" s="20">
        <f t="shared" si="0"/>
        <v>0</v>
      </c>
      <c r="X43" s="20">
        <f t="shared" si="0"/>
        <v>2</v>
      </c>
      <c r="Y43" s="20">
        <f t="shared" si="0"/>
        <v>5</v>
      </c>
      <c r="Z43" s="20">
        <f t="shared" si="0"/>
        <v>0</v>
      </c>
      <c r="AA43" s="20">
        <f t="shared" si="0"/>
        <v>0</v>
      </c>
      <c r="AC43" s="3">
        <f t="shared" si="27"/>
        <v>82</v>
      </c>
      <c r="AD43" s="3">
        <f t="shared" si="28"/>
        <v>76</v>
      </c>
      <c r="AE43" s="3">
        <f t="shared" si="29"/>
        <v>0</v>
      </c>
      <c r="AF43" s="3">
        <f t="shared" si="30"/>
        <v>68</v>
      </c>
      <c r="AG43" s="3">
        <f t="shared" si="31"/>
        <v>64</v>
      </c>
      <c r="AH43" s="3">
        <f t="shared" si="32"/>
        <v>62</v>
      </c>
      <c r="AI43" s="3">
        <f t="shared" si="33"/>
        <v>55</v>
      </c>
      <c r="AJ43" s="3">
        <f t="shared" si="34"/>
        <v>51</v>
      </c>
      <c r="AK43" s="3">
        <f t="shared" si="35"/>
        <v>46</v>
      </c>
      <c r="AL43" s="3">
        <f t="shared" si="36"/>
        <v>43</v>
      </c>
      <c r="AM43" s="3">
        <f t="shared" si="37"/>
        <v>30</v>
      </c>
      <c r="AN43" s="3">
        <f t="shared" si="38"/>
        <v>24</v>
      </c>
      <c r="AO43" s="3">
        <f t="shared" si="39"/>
        <v>24</v>
      </c>
      <c r="AP43" s="3">
        <f t="shared" si="40"/>
        <v>0</v>
      </c>
      <c r="AQ43" s="23">
        <f t="shared" si="41"/>
        <v>21</v>
      </c>
      <c r="AR43" s="3">
        <f t="shared" si="42"/>
        <v>0</v>
      </c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M43" s="35" t="s">
        <v>12</v>
      </c>
      <c r="BO43" s="35"/>
      <c r="BR43" s="9" t="str">
        <f t="shared" si="17"/>
        <v/>
      </c>
      <c r="BS43" s="37" t="str">
        <f t="shared" si="18"/>
        <v/>
      </c>
      <c r="BT43" s="38" t="str">
        <f t="shared" si="44"/>
        <v/>
      </c>
      <c r="BU43" s="36" t="str">
        <f t="shared" si="20"/>
        <v/>
      </c>
    </row>
    <row r="44" spans="2:73" ht="17" thickTop="1" thickBot="1">
      <c r="B44" s="16">
        <f t="shared" si="21"/>
        <v>43381</v>
      </c>
      <c r="C44" s="15" t="s">
        <v>1</v>
      </c>
      <c r="D44" s="17">
        <f t="shared" si="22"/>
        <v>43387</v>
      </c>
      <c r="E44" s="18">
        <f t="shared" si="23"/>
        <v>10</v>
      </c>
      <c r="F44" s="19">
        <f t="shared" si="24"/>
        <v>2018</v>
      </c>
      <c r="G44" s="9">
        <f t="shared" si="43"/>
        <v>17</v>
      </c>
      <c r="H44" s="8">
        <f t="shared" si="43"/>
        <v>96</v>
      </c>
      <c r="I44" s="9"/>
      <c r="J44" s="9"/>
      <c r="K44" s="9"/>
      <c r="L44" s="9"/>
      <c r="M44" s="9"/>
      <c r="N44" s="9"/>
      <c r="O44" s="12"/>
      <c r="P44" s="12"/>
      <c r="Q44" s="12"/>
      <c r="R44" s="12"/>
      <c r="S44" s="12">
        <v>1</v>
      </c>
      <c r="T44" s="12"/>
      <c r="V44" s="20">
        <f t="shared" si="0"/>
        <v>0</v>
      </c>
      <c r="W44" s="20">
        <f t="shared" si="0"/>
        <v>0</v>
      </c>
      <c r="X44" s="20">
        <f t="shared" si="0"/>
        <v>3</v>
      </c>
      <c r="Y44" s="20">
        <f t="shared" si="0"/>
        <v>6</v>
      </c>
      <c r="Z44" s="20">
        <f t="shared" si="0"/>
        <v>43383</v>
      </c>
      <c r="AA44" s="20">
        <f t="shared" si="0"/>
        <v>0</v>
      </c>
      <c r="AC44" s="3">
        <f t="shared" si="27"/>
        <v>83</v>
      </c>
      <c r="AD44" s="3">
        <f t="shared" si="28"/>
        <v>77</v>
      </c>
      <c r="AE44" s="22">
        <f t="shared" si="29"/>
        <v>0</v>
      </c>
      <c r="AF44" s="3">
        <f t="shared" si="30"/>
        <v>69</v>
      </c>
      <c r="AG44" s="3">
        <f t="shared" si="31"/>
        <v>65</v>
      </c>
      <c r="AH44" s="3">
        <f t="shared" si="32"/>
        <v>63</v>
      </c>
      <c r="AI44" s="3">
        <f t="shared" si="33"/>
        <v>56</v>
      </c>
      <c r="AJ44" s="3">
        <f t="shared" si="34"/>
        <v>52</v>
      </c>
      <c r="AK44" s="3">
        <f t="shared" si="35"/>
        <v>47</v>
      </c>
      <c r="AL44" s="3">
        <f t="shared" si="36"/>
        <v>44</v>
      </c>
      <c r="AM44" s="3">
        <f t="shared" si="37"/>
        <v>31</v>
      </c>
      <c r="AN44" s="3">
        <f t="shared" si="38"/>
        <v>25</v>
      </c>
      <c r="AO44" s="3">
        <f t="shared" si="39"/>
        <v>25</v>
      </c>
      <c r="AP44" s="3">
        <f t="shared" si="40"/>
        <v>0</v>
      </c>
      <c r="AQ44" s="23">
        <f t="shared" si="41"/>
        <v>22</v>
      </c>
      <c r="AR44" s="3">
        <f t="shared" si="42"/>
        <v>0</v>
      </c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J44" s="30">
        <f>B44+2</f>
        <v>43383</v>
      </c>
      <c r="BK44" t="s">
        <v>7</v>
      </c>
      <c r="BL44">
        <v>16</v>
      </c>
      <c r="BM44" s="35">
        <v>43383</v>
      </c>
      <c r="BN44" t="s">
        <v>7</v>
      </c>
      <c r="BO44" s="35">
        <f>B57</f>
        <v>43472</v>
      </c>
      <c r="BP44">
        <v>94</v>
      </c>
      <c r="BQ44" s="42" t="s">
        <v>7</v>
      </c>
      <c r="BR44" s="9">
        <f t="shared" si="17"/>
        <v>5</v>
      </c>
      <c r="BS44" s="37">
        <f t="shared" si="18"/>
        <v>43383</v>
      </c>
      <c r="BT44" s="38">
        <f t="shared" si="44"/>
        <v>43502</v>
      </c>
      <c r="BU44" s="36">
        <f t="shared" si="20"/>
        <v>16</v>
      </c>
    </row>
    <row r="45" spans="2:73" ht="17" thickTop="1" thickBot="1">
      <c r="B45" s="16">
        <f t="shared" si="21"/>
        <v>43388</v>
      </c>
      <c r="C45" s="15" t="s">
        <v>1</v>
      </c>
      <c r="D45" s="17">
        <f t="shared" si="22"/>
        <v>43394</v>
      </c>
      <c r="E45" s="18">
        <f t="shared" si="23"/>
        <v>10</v>
      </c>
      <c r="F45" s="19">
        <f t="shared" si="24"/>
        <v>2018</v>
      </c>
      <c r="G45" s="9">
        <f t="shared" si="43"/>
        <v>17</v>
      </c>
      <c r="H45" s="8">
        <f t="shared" si="43"/>
        <v>96</v>
      </c>
      <c r="I45" s="9"/>
      <c r="J45" s="9"/>
      <c r="K45" s="9"/>
      <c r="L45" s="9"/>
      <c r="M45" s="9"/>
      <c r="N45" s="9"/>
      <c r="O45" s="12"/>
      <c r="P45" s="12"/>
      <c r="Q45" s="12"/>
      <c r="R45" s="12"/>
      <c r="S45" s="12"/>
      <c r="T45" s="12"/>
      <c r="V45" s="20">
        <f t="shared" si="0"/>
        <v>0</v>
      </c>
      <c r="W45" s="20">
        <f t="shared" si="0"/>
        <v>0</v>
      </c>
      <c r="X45" s="20">
        <f t="shared" si="0"/>
        <v>4</v>
      </c>
      <c r="Y45" s="20">
        <f t="shared" si="0"/>
        <v>7</v>
      </c>
      <c r="Z45" s="20">
        <f t="shared" si="0"/>
        <v>1</v>
      </c>
      <c r="AA45" s="20">
        <f t="shared" si="0"/>
        <v>0</v>
      </c>
      <c r="AC45" s="3">
        <f t="shared" si="27"/>
        <v>84</v>
      </c>
      <c r="AD45" s="3">
        <f t="shared" si="28"/>
        <v>78</v>
      </c>
      <c r="AE45" s="22">
        <f t="shared" si="29"/>
        <v>0</v>
      </c>
      <c r="AF45" s="3">
        <f t="shared" si="30"/>
        <v>70</v>
      </c>
      <c r="AG45" s="3">
        <f t="shared" si="31"/>
        <v>66</v>
      </c>
      <c r="AH45" s="3">
        <f t="shared" si="32"/>
        <v>64</v>
      </c>
      <c r="AI45" s="3">
        <f t="shared" si="33"/>
        <v>57</v>
      </c>
      <c r="AJ45" s="3">
        <f t="shared" si="34"/>
        <v>53</v>
      </c>
      <c r="AK45" s="3">
        <f t="shared" si="35"/>
        <v>48</v>
      </c>
      <c r="AL45" s="3">
        <f t="shared" si="36"/>
        <v>45</v>
      </c>
      <c r="AM45" s="3">
        <f t="shared" si="37"/>
        <v>32</v>
      </c>
      <c r="AN45" s="3">
        <f t="shared" si="38"/>
        <v>26</v>
      </c>
      <c r="AO45" s="3">
        <f t="shared" si="39"/>
        <v>26</v>
      </c>
      <c r="AP45" s="3">
        <f t="shared" si="40"/>
        <v>0</v>
      </c>
      <c r="AQ45" s="23">
        <f t="shared" si="41"/>
        <v>23</v>
      </c>
      <c r="AR45" s="3">
        <f t="shared" si="42"/>
        <v>0</v>
      </c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M45" s="35" t="s">
        <v>12</v>
      </c>
      <c r="BO45" s="35"/>
      <c r="BR45" s="9" t="str">
        <f t="shared" si="17"/>
        <v/>
      </c>
      <c r="BS45" s="37" t="str">
        <f t="shared" si="18"/>
        <v/>
      </c>
      <c r="BT45" s="38" t="str">
        <f t="shared" si="44"/>
        <v/>
      </c>
      <c r="BU45" s="36" t="str">
        <f t="shared" si="20"/>
        <v/>
      </c>
    </row>
    <row r="46" spans="2:73" ht="17" thickTop="1" thickBot="1">
      <c r="B46" s="16">
        <f t="shared" si="21"/>
        <v>43395</v>
      </c>
      <c r="C46" s="15" t="s">
        <v>1</v>
      </c>
      <c r="D46" s="17">
        <f t="shared" si="22"/>
        <v>43401</v>
      </c>
      <c r="E46" s="18">
        <f t="shared" si="23"/>
        <v>10</v>
      </c>
      <c r="F46" s="19">
        <f t="shared" si="24"/>
        <v>2018</v>
      </c>
      <c r="G46" s="9">
        <f t="shared" si="43"/>
        <v>17</v>
      </c>
      <c r="H46" s="8">
        <f t="shared" si="43"/>
        <v>96</v>
      </c>
      <c r="I46" s="9"/>
      <c r="J46" s="9"/>
      <c r="K46" s="9"/>
      <c r="L46" s="9"/>
      <c r="M46" s="9"/>
      <c r="N46" s="9"/>
      <c r="O46" s="12"/>
      <c r="P46" s="12"/>
      <c r="Q46" s="12"/>
      <c r="R46" s="12"/>
      <c r="S46" s="12"/>
      <c r="T46" s="12"/>
      <c r="V46" s="20">
        <f t="shared" si="0"/>
        <v>0</v>
      </c>
      <c r="W46" s="20">
        <f t="shared" si="0"/>
        <v>0</v>
      </c>
      <c r="X46" s="20">
        <f t="shared" si="0"/>
        <v>5</v>
      </c>
      <c r="Y46" s="20">
        <f t="shared" ref="Y46:AA109" si="45">IF(L46&gt;0,L46,IF(R46=1,$B46+2,IF(R45=1,1,IF(R45=2,0,IF(Y45=$G45,0,(IF(Y45&gt;=1,Y45+1,0)))))))</f>
        <v>8</v>
      </c>
      <c r="Z46" s="20">
        <f t="shared" si="45"/>
        <v>2</v>
      </c>
      <c r="AA46" s="20">
        <f t="shared" si="45"/>
        <v>0</v>
      </c>
      <c r="AC46" s="3">
        <f t="shared" si="27"/>
        <v>85</v>
      </c>
      <c r="AD46" s="3">
        <f t="shared" si="28"/>
        <v>79</v>
      </c>
      <c r="AE46" s="22">
        <f t="shared" si="29"/>
        <v>0</v>
      </c>
      <c r="AF46" s="3">
        <f t="shared" si="30"/>
        <v>71</v>
      </c>
      <c r="AG46" s="3">
        <f t="shared" si="31"/>
        <v>67</v>
      </c>
      <c r="AH46" s="3">
        <f t="shared" si="32"/>
        <v>65</v>
      </c>
      <c r="AI46" s="3">
        <f t="shared" si="33"/>
        <v>58</v>
      </c>
      <c r="AJ46" s="3">
        <f t="shared" si="34"/>
        <v>54</v>
      </c>
      <c r="AK46" s="3">
        <f t="shared" si="35"/>
        <v>49</v>
      </c>
      <c r="AL46" s="3">
        <f t="shared" si="36"/>
        <v>46</v>
      </c>
      <c r="AM46" s="3">
        <f t="shared" si="37"/>
        <v>33</v>
      </c>
      <c r="AN46" s="3">
        <f t="shared" si="38"/>
        <v>27</v>
      </c>
      <c r="AO46" s="3">
        <f t="shared" si="39"/>
        <v>27</v>
      </c>
      <c r="AP46" s="3">
        <f t="shared" si="40"/>
        <v>0</v>
      </c>
      <c r="AQ46" s="23">
        <f t="shared" si="41"/>
        <v>24</v>
      </c>
      <c r="AR46" s="3">
        <f t="shared" si="42"/>
        <v>0</v>
      </c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M46" s="35" t="s">
        <v>12</v>
      </c>
      <c r="BO46" s="35"/>
      <c r="BR46" s="9" t="str">
        <f t="shared" si="17"/>
        <v/>
      </c>
      <c r="BS46" s="37" t="str">
        <f t="shared" si="18"/>
        <v/>
      </c>
      <c r="BT46" s="38" t="str">
        <f t="shared" si="44"/>
        <v/>
      </c>
      <c r="BU46" s="36" t="str">
        <f t="shared" si="20"/>
        <v/>
      </c>
    </row>
    <row r="47" spans="2:73" ht="17" thickTop="1" thickBot="1">
      <c r="B47" s="16">
        <f t="shared" si="21"/>
        <v>43402</v>
      </c>
      <c r="C47" s="15" t="s">
        <v>1</v>
      </c>
      <c r="D47" s="17">
        <f t="shared" si="22"/>
        <v>43408</v>
      </c>
      <c r="E47" s="18">
        <f t="shared" si="23"/>
        <v>10</v>
      </c>
      <c r="F47" s="19">
        <f t="shared" si="24"/>
        <v>2018</v>
      </c>
      <c r="G47" s="9">
        <f t="shared" si="43"/>
        <v>17</v>
      </c>
      <c r="H47" s="8">
        <f t="shared" si="43"/>
        <v>96</v>
      </c>
      <c r="I47" s="9"/>
      <c r="J47" s="9"/>
      <c r="K47" s="9"/>
      <c r="L47" s="9"/>
      <c r="M47" s="9"/>
      <c r="N47" s="9"/>
      <c r="O47" s="12"/>
      <c r="P47" s="12">
        <v>1</v>
      </c>
      <c r="Q47" s="12"/>
      <c r="R47" s="12"/>
      <c r="S47" s="12"/>
      <c r="T47" s="12"/>
      <c r="V47" s="20">
        <f t="shared" ref="V47:AA110" si="46">IF(I47&gt;0,I47,IF(O47=1,$B47+2,IF(O46=1,1,IF(O46=2,0,IF(V46=$G46,0,(IF(V46&gt;=1,V46+1,0)))))))</f>
        <v>0</v>
      </c>
      <c r="W47" s="20">
        <f t="shared" si="46"/>
        <v>43404</v>
      </c>
      <c r="X47" s="20">
        <f t="shared" si="46"/>
        <v>6</v>
      </c>
      <c r="Y47" s="20">
        <f t="shared" si="45"/>
        <v>9</v>
      </c>
      <c r="Z47" s="20">
        <f t="shared" si="45"/>
        <v>3</v>
      </c>
      <c r="AA47" s="20">
        <f t="shared" si="45"/>
        <v>0</v>
      </c>
      <c r="AC47" s="3">
        <f t="shared" si="27"/>
        <v>86</v>
      </c>
      <c r="AD47" s="3">
        <f t="shared" si="28"/>
        <v>80</v>
      </c>
      <c r="AE47" s="22">
        <f t="shared" si="29"/>
        <v>0</v>
      </c>
      <c r="AF47" s="3">
        <f t="shared" si="30"/>
        <v>72</v>
      </c>
      <c r="AG47" s="3">
        <f t="shared" si="31"/>
        <v>68</v>
      </c>
      <c r="AH47" s="3">
        <f t="shared" si="32"/>
        <v>66</v>
      </c>
      <c r="AI47" s="3">
        <f t="shared" si="33"/>
        <v>59</v>
      </c>
      <c r="AJ47" s="3">
        <f t="shared" si="34"/>
        <v>55</v>
      </c>
      <c r="AK47" s="3">
        <f t="shared" si="35"/>
        <v>50</v>
      </c>
      <c r="AL47" s="3">
        <f t="shared" si="36"/>
        <v>47</v>
      </c>
      <c r="AM47" s="3">
        <f t="shared" si="37"/>
        <v>34</v>
      </c>
      <c r="AN47" s="3">
        <f t="shared" si="38"/>
        <v>28</v>
      </c>
      <c r="AO47" s="3">
        <f t="shared" si="39"/>
        <v>28</v>
      </c>
      <c r="AP47" s="3">
        <f t="shared" si="40"/>
        <v>0</v>
      </c>
      <c r="AQ47" s="23">
        <f t="shared" si="41"/>
        <v>25</v>
      </c>
      <c r="AR47" s="3">
        <f t="shared" si="42"/>
        <v>0</v>
      </c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J47" s="30">
        <f>B47+2</f>
        <v>43404</v>
      </c>
      <c r="BK47" t="s">
        <v>8</v>
      </c>
      <c r="BL47">
        <v>9</v>
      </c>
      <c r="BM47" s="35">
        <v>43404</v>
      </c>
      <c r="BN47" t="s">
        <v>8</v>
      </c>
      <c r="BO47" s="35">
        <f>B64</f>
        <v>43521</v>
      </c>
      <c r="BP47">
        <v>96</v>
      </c>
      <c r="BQ47" s="42" t="s">
        <v>8</v>
      </c>
      <c r="BR47" s="9">
        <f t="shared" si="17"/>
        <v>2</v>
      </c>
      <c r="BS47" s="37">
        <f t="shared" si="18"/>
        <v>43404</v>
      </c>
      <c r="BT47" s="38">
        <f t="shared" si="44"/>
        <v>43523</v>
      </c>
      <c r="BU47" s="36">
        <f t="shared" si="20"/>
        <v>9</v>
      </c>
    </row>
    <row r="48" spans="2:73" ht="17" thickTop="1" thickBot="1">
      <c r="B48" s="16">
        <f t="shared" si="21"/>
        <v>43409</v>
      </c>
      <c r="C48" s="15" t="s">
        <v>1</v>
      </c>
      <c r="D48" s="17">
        <f t="shared" si="22"/>
        <v>43415</v>
      </c>
      <c r="E48" s="18">
        <f t="shared" si="23"/>
        <v>11</v>
      </c>
      <c r="F48" s="19">
        <f t="shared" si="24"/>
        <v>2018</v>
      </c>
      <c r="G48" s="9">
        <f t="shared" si="43"/>
        <v>17</v>
      </c>
      <c r="H48" s="8">
        <f t="shared" si="43"/>
        <v>96</v>
      </c>
      <c r="I48" s="9"/>
      <c r="J48" s="9"/>
      <c r="K48" s="9"/>
      <c r="L48" s="9"/>
      <c r="M48" s="9"/>
      <c r="N48" s="9"/>
      <c r="O48" s="12"/>
      <c r="P48" s="12"/>
      <c r="Q48" s="12"/>
      <c r="R48" s="12"/>
      <c r="S48" s="12"/>
      <c r="T48" s="12"/>
      <c r="V48" s="20">
        <f t="shared" si="46"/>
        <v>0</v>
      </c>
      <c r="W48" s="20">
        <f t="shared" si="46"/>
        <v>1</v>
      </c>
      <c r="X48" s="20">
        <f t="shared" si="46"/>
        <v>7</v>
      </c>
      <c r="Y48" s="20">
        <f t="shared" si="45"/>
        <v>10</v>
      </c>
      <c r="Z48" s="20">
        <f t="shared" si="45"/>
        <v>4</v>
      </c>
      <c r="AA48" s="20">
        <f t="shared" si="45"/>
        <v>0</v>
      </c>
      <c r="AC48" s="3">
        <f t="shared" si="27"/>
        <v>87</v>
      </c>
      <c r="AD48" s="3">
        <f t="shared" si="28"/>
        <v>81</v>
      </c>
      <c r="AE48" s="22">
        <f t="shared" si="29"/>
        <v>0</v>
      </c>
      <c r="AF48" s="3">
        <f t="shared" si="30"/>
        <v>73</v>
      </c>
      <c r="AG48" s="3">
        <f t="shared" si="31"/>
        <v>69</v>
      </c>
      <c r="AH48" s="3">
        <f t="shared" si="32"/>
        <v>67</v>
      </c>
      <c r="AI48" s="3">
        <f t="shared" si="33"/>
        <v>60</v>
      </c>
      <c r="AJ48" s="3">
        <f t="shared" si="34"/>
        <v>56</v>
      </c>
      <c r="AK48" s="3">
        <f t="shared" si="35"/>
        <v>51</v>
      </c>
      <c r="AL48" s="3">
        <f t="shared" si="36"/>
        <v>48</v>
      </c>
      <c r="AM48" s="3">
        <f t="shared" si="37"/>
        <v>35</v>
      </c>
      <c r="AN48" s="3">
        <f t="shared" si="38"/>
        <v>29</v>
      </c>
      <c r="AO48" s="3">
        <f t="shared" si="39"/>
        <v>29</v>
      </c>
      <c r="AP48" s="3">
        <f t="shared" si="40"/>
        <v>0</v>
      </c>
      <c r="AQ48" s="23">
        <f t="shared" si="41"/>
        <v>26</v>
      </c>
      <c r="AR48" s="3">
        <f t="shared" si="42"/>
        <v>0</v>
      </c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M48" s="35" t="s">
        <v>12</v>
      </c>
      <c r="BO48" s="35"/>
      <c r="BR48" s="9" t="str">
        <f t="shared" si="17"/>
        <v/>
      </c>
      <c r="BS48" s="37" t="str">
        <f t="shared" si="18"/>
        <v/>
      </c>
      <c r="BT48" s="38" t="str">
        <f t="shared" si="44"/>
        <v/>
      </c>
      <c r="BU48" s="36" t="str">
        <f t="shared" si="20"/>
        <v/>
      </c>
    </row>
    <row r="49" spans="2:73" ht="17" thickTop="1" thickBot="1">
      <c r="B49" s="16">
        <f t="shared" si="21"/>
        <v>43416</v>
      </c>
      <c r="C49" s="15" t="s">
        <v>1</v>
      </c>
      <c r="D49" s="17">
        <f t="shared" si="22"/>
        <v>43422</v>
      </c>
      <c r="E49" s="18">
        <f t="shared" si="23"/>
        <v>11</v>
      </c>
      <c r="F49" s="19">
        <f t="shared" si="24"/>
        <v>2018</v>
      </c>
      <c r="G49" s="9">
        <f t="shared" si="43"/>
        <v>17</v>
      </c>
      <c r="H49" s="8">
        <f t="shared" si="43"/>
        <v>96</v>
      </c>
      <c r="I49" s="9"/>
      <c r="J49" s="9"/>
      <c r="K49" s="9"/>
      <c r="L49" s="9"/>
      <c r="M49" s="9"/>
      <c r="N49" s="9"/>
      <c r="O49" s="12"/>
      <c r="P49" s="12"/>
      <c r="Q49" s="12"/>
      <c r="R49" s="12"/>
      <c r="S49" s="12"/>
      <c r="T49" s="12"/>
      <c r="V49" s="20">
        <f t="shared" si="46"/>
        <v>0</v>
      </c>
      <c r="W49" s="20">
        <f t="shared" si="46"/>
        <v>2</v>
      </c>
      <c r="X49" s="20">
        <f t="shared" si="46"/>
        <v>8</v>
      </c>
      <c r="Y49" s="20">
        <f t="shared" si="45"/>
        <v>11</v>
      </c>
      <c r="Z49" s="20">
        <f t="shared" si="45"/>
        <v>5</v>
      </c>
      <c r="AA49" s="20">
        <f t="shared" si="45"/>
        <v>0</v>
      </c>
      <c r="AC49" s="3">
        <f t="shared" si="27"/>
        <v>88</v>
      </c>
      <c r="AD49" s="3">
        <f t="shared" si="28"/>
        <v>82</v>
      </c>
      <c r="AE49" s="22">
        <f t="shared" si="29"/>
        <v>0</v>
      </c>
      <c r="AF49" s="3">
        <f t="shared" si="30"/>
        <v>74</v>
      </c>
      <c r="AG49" s="3">
        <f t="shared" si="31"/>
        <v>70</v>
      </c>
      <c r="AH49" s="3">
        <f t="shared" si="32"/>
        <v>68</v>
      </c>
      <c r="AI49" s="3">
        <f t="shared" si="33"/>
        <v>61</v>
      </c>
      <c r="AJ49" s="3">
        <f t="shared" si="34"/>
        <v>57</v>
      </c>
      <c r="AK49" s="3">
        <f t="shared" si="35"/>
        <v>52</v>
      </c>
      <c r="AL49" s="3">
        <f t="shared" si="36"/>
        <v>49</v>
      </c>
      <c r="AM49" s="3">
        <f t="shared" si="37"/>
        <v>36</v>
      </c>
      <c r="AN49" s="3">
        <f t="shared" si="38"/>
        <v>30</v>
      </c>
      <c r="AO49" s="3">
        <f t="shared" si="39"/>
        <v>30</v>
      </c>
      <c r="AP49" s="3">
        <f t="shared" si="40"/>
        <v>0</v>
      </c>
      <c r="AQ49" s="23">
        <f t="shared" si="41"/>
        <v>27</v>
      </c>
      <c r="AR49" s="3">
        <f t="shared" si="42"/>
        <v>0</v>
      </c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M49" s="35" t="s">
        <v>12</v>
      </c>
      <c r="BO49" s="35"/>
      <c r="BR49" s="9" t="str">
        <f t="shared" si="17"/>
        <v/>
      </c>
      <c r="BS49" s="37" t="str">
        <f t="shared" si="18"/>
        <v/>
      </c>
      <c r="BT49" s="38" t="str">
        <f t="shared" si="44"/>
        <v/>
      </c>
      <c r="BU49" s="36" t="str">
        <f t="shared" si="20"/>
        <v/>
      </c>
    </row>
    <row r="50" spans="2:73" ht="17" thickTop="1" thickBot="1">
      <c r="B50" s="16">
        <f t="shared" si="21"/>
        <v>43423</v>
      </c>
      <c r="C50" s="15" t="s">
        <v>1</v>
      </c>
      <c r="D50" s="17">
        <f t="shared" si="22"/>
        <v>43429</v>
      </c>
      <c r="E50" s="18">
        <f t="shared" si="23"/>
        <v>11</v>
      </c>
      <c r="F50" s="19">
        <f t="shared" si="24"/>
        <v>2018</v>
      </c>
      <c r="G50" s="9">
        <f t="shared" si="43"/>
        <v>17</v>
      </c>
      <c r="H50" s="8">
        <f t="shared" si="43"/>
        <v>96</v>
      </c>
      <c r="I50" s="9"/>
      <c r="J50" s="9"/>
      <c r="K50" s="9"/>
      <c r="L50" s="9"/>
      <c r="M50" s="9"/>
      <c r="N50" s="9"/>
      <c r="O50" s="12"/>
      <c r="P50" s="12"/>
      <c r="Q50" s="12"/>
      <c r="R50" s="12"/>
      <c r="S50" s="12"/>
      <c r="T50" s="12"/>
      <c r="V50" s="20">
        <f t="shared" si="46"/>
        <v>0</v>
      </c>
      <c r="W50" s="20">
        <f t="shared" si="46"/>
        <v>3</v>
      </c>
      <c r="X50" s="20">
        <f t="shared" si="46"/>
        <v>9</v>
      </c>
      <c r="Y50" s="20">
        <f t="shared" si="45"/>
        <v>12</v>
      </c>
      <c r="Z50" s="20">
        <f t="shared" si="45"/>
        <v>6</v>
      </c>
      <c r="AA50" s="20">
        <f t="shared" si="45"/>
        <v>0</v>
      </c>
      <c r="AC50" s="3">
        <f t="shared" si="27"/>
        <v>89</v>
      </c>
      <c r="AD50" s="3">
        <f t="shared" si="28"/>
        <v>83</v>
      </c>
      <c r="AE50" s="22">
        <f t="shared" si="29"/>
        <v>0</v>
      </c>
      <c r="AF50" s="3">
        <f t="shared" si="30"/>
        <v>75</v>
      </c>
      <c r="AG50" s="3">
        <f t="shared" si="31"/>
        <v>71</v>
      </c>
      <c r="AH50" s="3">
        <f t="shared" si="32"/>
        <v>69</v>
      </c>
      <c r="AI50" s="3">
        <f t="shared" si="33"/>
        <v>62</v>
      </c>
      <c r="AJ50" s="3">
        <f t="shared" si="34"/>
        <v>58</v>
      </c>
      <c r="AK50" s="3">
        <f t="shared" si="35"/>
        <v>53</v>
      </c>
      <c r="AL50" s="3">
        <f t="shared" si="36"/>
        <v>50</v>
      </c>
      <c r="AM50" s="3">
        <f t="shared" si="37"/>
        <v>37</v>
      </c>
      <c r="AN50" s="3">
        <f t="shared" si="38"/>
        <v>31</v>
      </c>
      <c r="AO50" s="3">
        <f t="shared" si="39"/>
        <v>31</v>
      </c>
      <c r="AP50" s="3">
        <f t="shared" si="40"/>
        <v>0</v>
      </c>
      <c r="AQ50" s="23">
        <f t="shared" si="41"/>
        <v>28</v>
      </c>
      <c r="AR50" s="3">
        <f t="shared" si="42"/>
        <v>0</v>
      </c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 t="s">
        <v>5</v>
      </c>
      <c r="BH50" s="8"/>
      <c r="BM50" s="35" t="s">
        <v>12</v>
      </c>
      <c r="BO50" s="35"/>
      <c r="BR50" s="9" t="str">
        <f t="shared" si="17"/>
        <v/>
      </c>
      <c r="BS50" s="37" t="str">
        <f t="shared" si="18"/>
        <v/>
      </c>
      <c r="BT50" s="38" t="str">
        <f t="shared" si="44"/>
        <v/>
      </c>
      <c r="BU50" s="36" t="str">
        <f t="shared" si="20"/>
        <v/>
      </c>
    </row>
    <row r="51" spans="2:73" ht="16" thickTop="1">
      <c r="B51" s="16">
        <f t="shared" si="21"/>
        <v>43430</v>
      </c>
      <c r="C51" s="15" t="s">
        <v>1</v>
      </c>
      <c r="D51" s="17">
        <f t="shared" si="22"/>
        <v>43436</v>
      </c>
      <c r="E51" s="18">
        <f t="shared" si="23"/>
        <v>11</v>
      </c>
      <c r="F51" s="19">
        <f t="shared" si="24"/>
        <v>2018</v>
      </c>
      <c r="G51" s="9">
        <f t="shared" si="43"/>
        <v>17</v>
      </c>
      <c r="H51" s="8">
        <f t="shared" si="43"/>
        <v>96</v>
      </c>
      <c r="I51" s="9">
        <v>29</v>
      </c>
      <c r="J51" s="9"/>
      <c r="K51" s="9"/>
      <c r="L51" s="9"/>
      <c r="M51" s="9"/>
      <c r="N51" s="9"/>
      <c r="O51" s="12">
        <v>1</v>
      </c>
      <c r="P51" s="12"/>
      <c r="Q51" s="12"/>
      <c r="R51" s="12"/>
      <c r="S51" s="12"/>
      <c r="T51" s="12"/>
      <c r="V51" s="20">
        <f t="shared" si="46"/>
        <v>29</v>
      </c>
      <c r="W51" s="20">
        <f t="shared" si="46"/>
        <v>4</v>
      </c>
      <c r="X51" s="20">
        <f t="shared" si="46"/>
        <v>10</v>
      </c>
      <c r="Y51" s="20">
        <f t="shared" si="45"/>
        <v>13</v>
      </c>
      <c r="Z51" s="20">
        <f t="shared" si="45"/>
        <v>7</v>
      </c>
      <c r="AA51" s="20">
        <f t="shared" si="45"/>
        <v>0</v>
      </c>
      <c r="AC51" s="3">
        <f t="shared" si="27"/>
        <v>90</v>
      </c>
      <c r="AD51" s="3">
        <f t="shared" si="28"/>
        <v>84</v>
      </c>
      <c r="AE51" s="22">
        <f t="shared" si="29"/>
        <v>0</v>
      </c>
      <c r="AF51" s="3">
        <f t="shared" si="30"/>
        <v>76</v>
      </c>
      <c r="AG51" s="3">
        <f t="shared" si="31"/>
        <v>72</v>
      </c>
      <c r="AH51" s="3">
        <f t="shared" si="32"/>
        <v>70</v>
      </c>
      <c r="AI51" s="3">
        <f t="shared" si="33"/>
        <v>63</v>
      </c>
      <c r="AJ51" s="3">
        <f t="shared" si="34"/>
        <v>59</v>
      </c>
      <c r="AK51" s="3">
        <f t="shared" si="35"/>
        <v>54</v>
      </c>
      <c r="AL51" s="3">
        <f t="shared" si="36"/>
        <v>51</v>
      </c>
      <c r="AM51" s="3">
        <f t="shared" si="37"/>
        <v>38</v>
      </c>
      <c r="AN51" s="3">
        <f t="shared" si="38"/>
        <v>32</v>
      </c>
      <c r="AO51" s="3">
        <f t="shared" si="39"/>
        <v>32</v>
      </c>
      <c r="AP51" s="3">
        <f t="shared" si="40"/>
        <v>0</v>
      </c>
      <c r="AQ51" s="24">
        <f t="shared" si="41"/>
        <v>0</v>
      </c>
      <c r="AR51" s="3">
        <f t="shared" si="42"/>
        <v>0</v>
      </c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J51" s="30">
        <f>B51+3</f>
        <v>43433</v>
      </c>
      <c r="BK51" s="26" t="s">
        <v>6</v>
      </c>
      <c r="BL51">
        <v>10</v>
      </c>
      <c r="BM51" s="35">
        <v>43433</v>
      </c>
      <c r="BN51" s="26" t="s">
        <v>6</v>
      </c>
      <c r="BO51" s="35">
        <f>B68</f>
        <v>43549</v>
      </c>
      <c r="BP51">
        <v>98</v>
      </c>
      <c r="BQ51" s="44" t="s">
        <v>6</v>
      </c>
      <c r="BR51" s="9">
        <f t="shared" si="17"/>
        <v>1</v>
      </c>
      <c r="BS51" s="37">
        <f t="shared" si="18"/>
        <v>43432</v>
      </c>
      <c r="BT51" s="38">
        <f t="shared" si="44"/>
        <v>43551</v>
      </c>
      <c r="BU51" s="36">
        <f t="shared" si="20"/>
        <v>11</v>
      </c>
    </row>
    <row r="52" spans="2:73" ht="15">
      <c r="B52" s="16">
        <f t="shared" si="21"/>
        <v>43437</v>
      </c>
      <c r="C52" s="15" t="s">
        <v>1</v>
      </c>
      <c r="D52" s="17">
        <f t="shared" si="22"/>
        <v>43443</v>
      </c>
      <c r="E52" s="18">
        <f t="shared" si="23"/>
        <v>12</v>
      </c>
      <c r="F52" s="19">
        <f t="shared" si="24"/>
        <v>2018</v>
      </c>
      <c r="G52" s="9">
        <f t="shared" si="43"/>
        <v>17</v>
      </c>
      <c r="H52" s="8">
        <f t="shared" si="43"/>
        <v>96</v>
      </c>
      <c r="I52" s="9"/>
      <c r="J52" s="9"/>
      <c r="K52" s="9"/>
      <c r="L52" s="9"/>
      <c r="M52" s="9"/>
      <c r="N52" s="9"/>
      <c r="O52" s="12"/>
      <c r="P52" s="12"/>
      <c r="Q52" s="12"/>
      <c r="R52" s="12"/>
      <c r="S52" s="12"/>
      <c r="T52" s="12"/>
      <c r="V52" s="20">
        <f t="shared" si="46"/>
        <v>1</v>
      </c>
      <c r="W52" s="20">
        <f t="shared" si="46"/>
        <v>5</v>
      </c>
      <c r="X52" s="20">
        <f t="shared" si="46"/>
        <v>11</v>
      </c>
      <c r="Y52" s="20">
        <f t="shared" si="45"/>
        <v>14</v>
      </c>
      <c r="Z52" s="20">
        <f t="shared" si="45"/>
        <v>8</v>
      </c>
      <c r="AA52" s="20">
        <f t="shared" si="45"/>
        <v>0</v>
      </c>
      <c r="AC52" s="3">
        <f t="shared" si="27"/>
        <v>91</v>
      </c>
      <c r="AD52" s="3">
        <f t="shared" si="28"/>
        <v>85</v>
      </c>
      <c r="AE52" s="22">
        <f t="shared" si="29"/>
        <v>0</v>
      </c>
      <c r="AF52" s="3">
        <f t="shared" si="30"/>
        <v>77</v>
      </c>
      <c r="AG52" s="3">
        <f t="shared" si="31"/>
        <v>73</v>
      </c>
      <c r="AH52" s="3">
        <f t="shared" si="32"/>
        <v>71</v>
      </c>
      <c r="AI52" s="3">
        <f t="shared" si="33"/>
        <v>64</v>
      </c>
      <c r="AJ52" s="3">
        <f t="shared" si="34"/>
        <v>60</v>
      </c>
      <c r="AK52" s="3">
        <f t="shared" si="35"/>
        <v>55</v>
      </c>
      <c r="AL52" s="3">
        <f t="shared" si="36"/>
        <v>52</v>
      </c>
      <c r="AM52" s="3">
        <f t="shared" si="37"/>
        <v>39</v>
      </c>
      <c r="AN52" s="3">
        <f t="shared" si="38"/>
        <v>33</v>
      </c>
      <c r="AO52" s="3">
        <f t="shared" si="39"/>
        <v>33</v>
      </c>
      <c r="AP52" s="3">
        <f t="shared" si="40"/>
        <v>0</v>
      </c>
      <c r="AQ52" s="21">
        <f t="shared" si="41"/>
        <v>0</v>
      </c>
      <c r="AR52" s="3">
        <f t="shared" si="42"/>
        <v>0</v>
      </c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M52" s="35" t="s">
        <v>12</v>
      </c>
      <c r="BO52" s="35"/>
      <c r="BR52" s="9" t="str">
        <f t="shared" si="17"/>
        <v/>
      </c>
      <c r="BS52" s="37" t="str">
        <f t="shared" si="18"/>
        <v/>
      </c>
      <c r="BT52" s="38" t="str">
        <f t="shared" si="44"/>
        <v/>
      </c>
      <c r="BU52" s="41" t="str">
        <f t="shared" si="20"/>
        <v/>
      </c>
    </row>
    <row r="53" spans="2:73" ht="15">
      <c r="B53" s="16">
        <f t="shared" si="21"/>
        <v>43444</v>
      </c>
      <c r="C53" s="15" t="s">
        <v>1</v>
      </c>
      <c r="D53" s="17">
        <f t="shared" si="22"/>
        <v>43450</v>
      </c>
      <c r="E53" s="18">
        <f t="shared" si="23"/>
        <v>12</v>
      </c>
      <c r="F53" s="19">
        <f t="shared" si="24"/>
        <v>2018</v>
      </c>
      <c r="G53" s="9">
        <f t="shared" si="43"/>
        <v>17</v>
      </c>
      <c r="H53" s="8">
        <f t="shared" si="43"/>
        <v>96</v>
      </c>
      <c r="I53" s="9"/>
      <c r="J53" s="9"/>
      <c r="K53" s="9"/>
      <c r="L53" s="9"/>
      <c r="M53" s="9"/>
      <c r="N53" s="9"/>
      <c r="O53" s="12"/>
      <c r="P53" s="12"/>
      <c r="Q53" s="12"/>
      <c r="R53" s="12"/>
      <c r="S53" s="12"/>
      <c r="T53" s="12"/>
      <c r="V53" s="20">
        <f t="shared" si="46"/>
        <v>2</v>
      </c>
      <c r="W53" s="20">
        <f t="shared" si="46"/>
        <v>6</v>
      </c>
      <c r="X53" s="20">
        <f t="shared" si="46"/>
        <v>12</v>
      </c>
      <c r="Y53" s="20">
        <f t="shared" si="45"/>
        <v>15</v>
      </c>
      <c r="Z53" s="20">
        <f t="shared" si="45"/>
        <v>9</v>
      </c>
      <c r="AA53" s="20">
        <f t="shared" si="45"/>
        <v>0</v>
      </c>
      <c r="AC53" s="3">
        <f t="shared" si="27"/>
        <v>92</v>
      </c>
      <c r="AD53" s="3">
        <f t="shared" si="28"/>
        <v>86</v>
      </c>
      <c r="AE53" s="22">
        <f t="shared" si="29"/>
        <v>0</v>
      </c>
      <c r="AF53" s="3">
        <f t="shared" si="30"/>
        <v>78</v>
      </c>
      <c r="AG53" s="3">
        <f t="shared" si="31"/>
        <v>74</v>
      </c>
      <c r="AH53" s="3">
        <f t="shared" si="32"/>
        <v>72</v>
      </c>
      <c r="AI53" s="3">
        <f t="shared" si="33"/>
        <v>65</v>
      </c>
      <c r="AJ53" s="3">
        <f t="shared" si="34"/>
        <v>61</v>
      </c>
      <c r="AK53" s="3">
        <f t="shared" si="35"/>
        <v>56</v>
      </c>
      <c r="AL53" s="3">
        <f t="shared" si="36"/>
        <v>53</v>
      </c>
      <c r="AM53" s="3">
        <f t="shared" si="37"/>
        <v>40</v>
      </c>
      <c r="AN53" s="3">
        <f t="shared" si="38"/>
        <v>34</v>
      </c>
      <c r="AO53" s="3">
        <f t="shared" si="39"/>
        <v>34</v>
      </c>
      <c r="AP53" s="3">
        <f t="shared" si="40"/>
        <v>0</v>
      </c>
      <c r="AQ53" s="21">
        <f t="shared" si="41"/>
        <v>0</v>
      </c>
      <c r="AR53" s="3">
        <f t="shared" si="42"/>
        <v>0</v>
      </c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M53" s="35" t="s">
        <v>12</v>
      </c>
      <c r="BO53" s="35"/>
      <c r="BR53" s="9" t="str">
        <f t="shared" si="17"/>
        <v/>
      </c>
      <c r="BS53" s="37" t="str">
        <f t="shared" si="18"/>
        <v/>
      </c>
      <c r="BT53" s="38" t="str">
        <f t="shared" si="44"/>
        <v/>
      </c>
      <c r="BU53" s="36" t="str">
        <f t="shared" si="20"/>
        <v/>
      </c>
    </row>
    <row r="54" spans="2:73" ht="15">
      <c r="B54" s="16">
        <f t="shared" si="21"/>
        <v>43451</v>
      </c>
      <c r="C54" s="15" t="s">
        <v>1</v>
      </c>
      <c r="D54" s="17">
        <f t="shared" si="22"/>
        <v>43457</v>
      </c>
      <c r="E54" s="18">
        <f t="shared" si="23"/>
        <v>12</v>
      </c>
      <c r="F54" s="19">
        <f t="shared" si="24"/>
        <v>2018</v>
      </c>
      <c r="G54" s="9">
        <f t="shared" ref="G54:H69" si="47">G53</f>
        <v>17</v>
      </c>
      <c r="H54" s="8">
        <f t="shared" si="47"/>
        <v>96</v>
      </c>
      <c r="I54" s="9"/>
      <c r="J54" s="9"/>
      <c r="K54" s="9"/>
      <c r="L54" s="9"/>
      <c r="M54" s="9"/>
      <c r="N54" s="9"/>
      <c r="O54" s="12"/>
      <c r="P54" s="12"/>
      <c r="Q54" s="12"/>
      <c r="R54" s="12"/>
      <c r="S54" s="12"/>
      <c r="T54" s="12"/>
      <c r="V54" s="20">
        <f t="shared" si="46"/>
        <v>3</v>
      </c>
      <c r="W54" s="20">
        <f t="shared" si="46"/>
        <v>7</v>
      </c>
      <c r="X54" s="20">
        <f t="shared" si="46"/>
        <v>13</v>
      </c>
      <c r="Y54" s="20">
        <f t="shared" si="45"/>
        <v>16</v>
      </c>
      <c r="Z54" s="20">
        <f t="shared" si="45"/>
        <v>10</v>
      </c>
      <c r="AA54" s="20">
        <f t="shared" si="45"/>
        <v>0</v>
      </c>
      <c r="AC54" s="3">
        <f t="shared" si="27"/>
        <v>93</v>
      </c>
      <c r="AD54" s="3">
        <f t="shared" si="28"/>
        <v>87</v>
      </c>
      <c r="AE54" s="22">
        <f t="shared" si="29"/>
        <v>0</v>
      </c>
      <c r="AF54" s="3">
        <f t="shared" si="30"/>
        <v>79</v>
      </c>
      <c r="AG54" s="3">
        <f t="shared" si="31"/>
        <v>75</v>
      </c>
      <c r="AH54" s="3">
        <f t="shared" si="32"/>
        <v>73</v>
      </c>
      <c r="AI54" s="3">
        <f t="shared" si="33"/>
        <v>66</v>
      </c>
      <c r="AJ54" s="3">
        <f t="shared" si="34"/>
        <v>62</v>
      </c>
      <c r="AK54" s="3">
        <f t="shared" si="35"/>
        <v>57</v>
      </c>
      <c r="AL54" s="3">
        <f t="shared" si="36"/>
        <v>54</v>
      </c>
      <c r="AM54" s="3">
        <f t="shared" si="37"/>
        <v>41</v>
      </c>
      <c r="AN54" s="3">
        <f t="shared" si="38"/>
        <v>35</v>
      </c>
      <c r="AO54" s="3">
        <f t="shared" si="39"/>
        <v>35</v>
      </c>
      <c r="AP54" s="3">
        <f t="shared" si="40"/>
        <v>0</v>
      </c>
      <c r="AQ54" s="21">
        <f t="shared" si="41"/>
        <v>0</v>
      </c>
      <c r="AR54" s="3">
        <f t="shared" si="42"/>
        <v>0</v>
      </c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J54" s="31">
        <f>B54+2</f>
        <v>43453</v>
      </c>
      <c r="BK54" t="s">
        <v>8</v>
      </c>
      <c r="BM54" s="35" t="s">
        <v>12</v>
      </c>
      <c r="BO54" s="35"/>
      <c r="BR54" s="9" t="str">
        <f t="shared" si="17"/>
        <v/>
      </c>
      <c r="BS54" s="37" t="str">
        <f t="shared" si="18"/>
        <v/>
      </c>
      <c r="BT54" s="38" t="str">
        <f t="shared" si="44"/>
        <v/>
      </c>
      <c r="BU54" s="36" t="str">
        <f t="shared" si="20"/>
        <v/>
      </c>
    </row>
    <row r="55" spans="2:73" ht="15">
      <c r="B55" s="16">
        <f t="shared" si="21"/>
        <v>43458</v>
      </c>
      <c r="C55" s="15" t="s">
        <v>1</v>
      </c>
      <c r="D55" s="17">
        <f t="shared" si="22"/>
        <v>43464</v>
      </c>
      <c r="E55" s="18">
        <f t="shared" si="23"/>
        <v>12</v>
      </c>
      <c r="F55" s="19">
        <f t="shared" si="24"/>
        <v>2018</v>
      </c>
      <c r="G55" s="9">
        <f t="shared" si="47"/>
        <v>17</v>
      </c>
      <c r="H55" s="8">
        <f t="shared" si="47"/>
        <v>96</v>
      </c>
      <c r="I55" s="9"/>
      <c r="J55" s="9"/>
      <c r="K55" s="9"/>
      <c r="L55" s="9"/>
      <c r="M55" s="9"/>
      <c r="N55" s="9"/>
      <c r="O55" s="12"/>
      <c r="P55" s="12"/>
      <c r="Q55" s="12"/>
      <c r="R55" s="12"/>
      <c r="S55" s="12"/>
      <c r="T55" s="12"/>
      <c r="V55" s="20">
        <f t="shared" si="46"/>
        <v>4</v>
      </c>
      <c r="W55" s="20">
        <f t="shared" si="46"/>
        <v>8</v>
      </c>
      <c r="X55" s="20">
        <f t="shared" si="46"/>
        <v>14</v>
      </c>
      <c r="Y55" s="20">
        <f t="shared" si="45"/>
        <v>17</v>
      </c>
      <c r="Z55" s="20">
        <f t="shared" si="45"/>
        <v>11</v>
      </c>
      <c r="AA55" s="20">
        <f t="shared" si="45"/>
        <v>0</v>
      </c>
      <c r="AC55" s="3">
        <f t="shared" si="27"/>
        <v>94</v>
      </c>
      <c r="AD55" s="3">
        <f t="shared" si="28"/>
        <v>88</v>
      </c>
      <c r="AE55" s="22">
        <f t="shared" si="29"/>
        <v>0</v>
      </c>
      <c r="AF55" s="3">
        <f t="shared" si="30"/>
        <v>80</v>
      </c>
      <c r="AG55" s="3">
        <f t="shared" si="31"/>
        <v>76</v>
      </c>
      <c r="AH55" s="3">
        <f t="shared" si="32"/>
        <v>74</v>
      </c>
      <c r="AI55" s="3">
        <f t="shared" si="33"/>
        <v>67</v>
      </c>
      <c r="AJ55" s="3">
        <f t="shared" si="34"/>
        <v>63</v>
      </c>
      <c r="AK55" s="3">
        <f t="shared" si="35"/>
        <v>58</v>
      </c>
      <c r="AL55" s="3">
        <f t="shared" si="36"/>
        <v>55</v>
      </c>
      <c r="AM55" s="3">
        <f t="shared" si="37"/>
        <v>42</v>
      </c>
      <c r="AN55" s="3">
        <f t="shared" si="38"/>
        <v>36</v>
      </c>
      <c r="AO55" s="3">
        <f t="shared" si="39"/>
        <v>36</v>
      </c>
      <c r="AP55" s="3">
        <f t="shared" si="40"/>
        <v>17</v>
      </c>
      <c r="AQ55" s="21">
        <f t="shared" si="41"/>
        <v>0</v>
      </c>
      <c r="AR55" s="3">
        <f t="shared" si="42"/>
        <v>0</v>
      </c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>
        <v>4</v>
      </c>
      <c r="BG55" s="8"/>
      <c r="BH55" s="8"/>
      <c r="BM55" s="35" t="s">
        <v>12</v>
      </c>
      <c r="BO55" s="35"/>
      <c r="BR55" s="9" t="str">
        <f t="shared" si="17"/>
        <v/>
      </c>
      <c r="BS55" s="37" t="str">
        <f t="shared" si="18"/>
        <v/>
      </c>
      <c r="BT55" s="38" t="str">
        <f t="shared" si="44"/>
        <v/>
      </c>
      <c r="BU55" s="36" t="str">
        <f t="shared" si="20"/>
        <v/>
      </c>
    </row>
    <row r="56" spans="2:73" ht="15">
      <c r="B56" s="16">
        <f t="shared" si="21"/>
        <v>43465</v>
      </c>
      <c r="C56" s="15" t="s">
        <v>1</v>
      </c>
      <c r="D56" s="17">
        <f t="shared" si="22"/>
        <v>43471</v>
      </c>
      <c r="E56" s="18">
        <f t="shared" si="23"/>
        <v>12</v>
      </c>
      <c r="F56" s="19">
        <f t="shared" si="24"/>
        <v>2019</v>
      </c>
      <c r="G56" s="9">
        <f t="shared" si="47"/>
        <v>17</v>
      </c>
      <c r="H56" s="8">
        <f t="shared" si="47"/>
        <v>96</v>
      </c>
      <c r="I56" s="9"/>
      <c r="J56" s="9"/>
      <c r="K56" s="9"/>
      <c r="L56" s="9"/>
      <c r="M56" s="9"/>
      <c r="N56" s="9"/>
      <c r="O56" s="12"/>
      <c r="P56" s="12"/>
      <c r="Q56" s="12"/>
      <c r="R56" s="12"/>
      <c r="S56" s="12"/>
      <c r="T56" s="12">
        <v>1</v>
      </c>
      <c r="V56" s="20">
        <f t="shared" si="46"/>
        <v>5</v>
      </c>
      <c r="W56" s="20">
        <f t="shared" si="46"/>
        <v>9</v>
      </c>
      <c r="X56" s="20">
        <f t="shared" si="46"/>
        <v>15</v>
      </c>
      <c r="Y56" s="20">
        <f t="shared" si="45"/>
        <v>0</v>
      </c>
      <c r="Z56" s="20">
        <f t="shared" si="45"/>
        <v>12</v>
      </c>
      <c r="AA56" s="20">
        <f t="shared" si="45"/>
        <v>43467</v>
      </c>
      <c r="AC56" s="3">
        <f t="shared" si="27"/>
        <v>95</v>
      </c>
      <c r="AD56" s="3">
        <f t="shared" si="28"/>
        <v>89</v>
      </c>
      <c r="AE56" s="22">
        <f t="shared" si="29"/>
        <v>0</v>
      </c>
      <c r="AF56" s="3">
        <f t="shared" si="30"/>
        <v>81</v>
      </c>
      <c r="AG56" s="3">
        <f t="shared" si="31"/>
        <v>77</v>
      </c>
      <c r="AH56" s="3">
        <f t="shared" si="32"/>
        <v>75</v>
      </c>
      <c r="AI56" s="3">
        <f t="shared" si="33"/>
        <v>68</v>
      </c>
      <c r="AJ56" s="3">
        <f t="shared" si="34"/>
        <v>64</v>
      </c>
      <c r="AK56" s="3">
        <f t="shared" si="35"/>
        <v>59</v>
      </c>
      <c r="AL56" s="3">
        <f t="shared" si="36"/>
        <v>56</v>
      </c>
      <c r="AM56" s="3">
        <f t="shared" si="37"/>
        <v>43</v>
      </c>
      <c r="AN56" s="3">
        <f t="shared" si="38"/>
        <v>37</v>
      </c>
      <c r="AO56" s="3">
        <f t="shared" si="39"/>
        <v>37</v>
      </c>
      <c r="AP56" s="3">
        <f t="shared" si="40"/>
        <v>18</v>
      </c>
      <c r="AQ56" s="21">
        <f t="shared" si="41"/>
        <v>0</v>
      </c>
      <c r="AR56" s="3">
        <f t="shared" si="42"/>
        <v>0</v>
      </c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M56" s="35" t="s">
        <v>12</v>
      </c>
      <c r="BO56" s="35"/>
      <c r="BQ56" s="42" t="s">
        <v>8</v>
      </c>
      <c r="BR56" s="9">
        <f t="shared" si="17"/>
        <v>6</v>
      </c>
      <c r="BS56" s="37">
        <f t="shared" si="18"/>
        <v>43467</v>
      </c>
      <c r="BT56" s="38">
        <f t="shared" si="44"/>
        <v>43586</v>
      </c>
      <c r="BU56" s="36">
        <f t="shared" si="20"/>
        <v>10</v>
      </c>
    </row>
    <row r="57" spans="2:73" ht="15">
      <c r="B57" s="16">
        <f t="shared" si="21"/>
        <v>43472</v>
      </c>
      <c r="C57" s="15" t="s">
        <v>1</v>
      </c>
      <c r="D57" s="17">
        <f t="shared" si="22"/>
        <v>43478</v>
      </c>
      <c r="E57" s="18">
        <f t="shared" si="23"/>
        <v>1</v>
      </c>
      <c r="F57" s="19">
        <f t="shared" si="24"/>
        <v>2019</v>
      </c>
      <c r="G57" s="9">
        <f t="shared" si="47"/>
        <v>17</v>
      </c>
      <c r="H57" s="8">
        <f t="shared" si="47"/>
        <v>96</v>
      </c>
      <c r="I57" s="9"/>
      <c r="J57" s="9"/>
      <c r="K57" s="9"/>
      <c r="L57" s="9"/>
      <c r="M57" s="9"/>
      <c r="N57" s="9"/>
      <c r="O57" s="12"/>
      <c r="P57" s="12"/>
      <c r="Q57" s="12"/>
      <c r="R57" s="12"/>
      <c r="S57" s="12"/>
      <c r="T57" s="12"/>
      <c r="V57" s="20">
        <f t="shared" si="46"/>
        <v>6</v>
      </c>
      <c r="W57" s="20">
        <f t="shared" si="46"/>
        <v>10</v>
      </c>
      <c r="X57" s="20">
        <f t="shared" si="46"/>
        <v>16</v>
      </c>
      <c r="Y57" s="20">
        <f t="shared" si="45"/>
        <v>0</v>
      </c>
      <c r="Z57" s="20">
        <f t="shared" si="45"/>
        <v>13</v>
      </c>
      <c r="AA57" s="20">
        <f t="shared" si="45"/>
        <v>1</v>
      </c>
      <c r="AC57" s="3">
        <f t="shared" si="27"/>
        <v>96</v>
      </c>
      <c r="AD57" s="3">
        <f t="shared" si="28"/>
        <v>90</v>
      </c>
      <c r="AE57" s="22">
        <f t="shared" si="29"/>
        <v>0</v>
      </c>
      <c r="AF57" s="3">
        <f t="shared" si="30"/>
        <v>82</v>
      </c>
      <c r="AG57" s="3">
        <f t="shared" si="31"/>
        <v>78</v>
      </c>
      <c r="AH57" s="3">
        <f t="shared" si="32"/>
        <v>76</v>
      </c>
      <c r="AI57" s="3">
        <f t="shared" si="33"/>
        <v>69</v>
      </c>
      <c r="AJ57" s="3">
        <f t="shared" si="34"/>
        <v>65</v>
      </c>
      <c r="AK57" s="3">
        <f t="shared" si="35"/>
        <v>60</v>
      </c>
      <c r="AL57" s="3">
        <f t="shared" si="36"/>
        <v>57</v>
      </c>
      <c r="AM57" s="3">
        <f t="shared" si="37"/>
        <v>44</v>
      </c>
      <c r="AN57" s="3">
        <f t="shared" si="38"/>
        <v>38</v>
      </c>
      <c r="AO57" s="3">
        <f t="shared" si="39"/>
        <v>38</v>
      </c>
      <c r="AP57" s="3">
        <f t="shared" si="40"/>
        <v>19</v>
      </c>
      <c r="AQ57" s="21">
        <f t="shared" si="41"/>
        <v>0</v>
      </c>
      <c r="AR57" s="3">
        <f t="shared" si="42"/>
        <v>0</v>
      </c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M57" s="35" t="s">
        <v>12</v>
      </c>
      <c r="BO57" s="35"/>
      <c r="BR57" s="9" t="str">
        <f t="shared" si="17"/>
        <v/>
      </c>
      <c r="BS57" s="37" t="str">
        <f t="shared" si="18"/>
        <v/>
      </c>
      <c r="BT57" s="38" t="str">
        <f t="shared" si="44"/>
        <v/>
      </c>
      <c r="BU57" s="36" t="str">
        <f t="shared" si="20"/>
        <v/>
      </c>
    </row>
    <row r="58" spans="2:73" ht="15">
      <c r="B58" s="16">
        <f t="shared" si="21"/>
        <v>43479</v>
      </c>
      <c r="C58" s="15" t="s">
        <v>1</v>
      </c>
      <c r="D58" s="17">
        <f t="shared" si="22"/>
        <v>43485</v>
      </c>
      <c r="E58" s="18">
        <f t="shared" si="23"/>
        <v>1</v>
      </c>
      <c r="F58" s="19">
        <f t="shared" si="24"/>
        <v>2019</v>
      </c>
      <c r="G58" s="9">
        <f t="shared" si="47"/>
        <v>17</v>
      </c>
      <c r="H58" s="8">
        <f t="shared" si="47"/>
        <v>96</v>
      </c>
      <c r="I58" s="9"/>
      <c r="J58" s="9"/>
      <c r="K58" s="9"/>
      <c r="L58" s="9"/>
      <c r="M58" s="9"/>
      <c r="N58" s="9"/>
      <c r="O58" s="12"/>
      <c r="P58" s="12"/>
      <c r="Q58" s="12"/>
      <c r="R58" s="12"/>
      <c r="S58" s="12"/>
      <c r="T58" s="12"/>
      <c r="V58" s="20">
        <f t="shared" si="46"/>
        <v>7</v>
      </c>
      <c r="W58" s="20">
        <f t="shared" si="46"/>
        <v>11</v>
      </c>
      <c r="X58" s="20">
        <f t="shared" si="46"/>
        <v>17</v>
      </c>
      <c r="Y58" s="20">
        <f t="shared" si="45"/>
        <v>0</v>
      </c>
      <c r="Z58" s="20">
        <f t="shared" si="45"/>
        <v>14</v>
      </c>
      <c r="AA58" s="20">
        <f t="shared" si="45"/>
        <v>2</v>
      </c>
      <c r="AC58" s="3">
        <f t="shared" si="27"/>
        <v>0</v>
      </c>
      <c r="AD58" s="3">
        <f t="shared" si="28"/>
        <v>91</v>
      </c>
      <c r="AE58" s="22">
        <f t="shared" si="29"/>
        <v>0</v>
      </c>
      <c r="AF58" s="3">
        <f t="shared" si="30"/>
        <v>83</v>
      </c>
      <c r="AG58" s="3">
        <f t="shared" si="31"/>
        <v>79</v>
      </c>
      <c r="AH58" s="3">
        <f t="shared" si="32"/>
        <v>77</v>
      </c>
      <c r="AI58" s="3">
        <f t="shared" si="33"/>
        <v>70</v>
      </c>
      <c r="AJ58" s="3">
        <f t="shared" si="34"/>
        <v>66</v>
      </c>
      <c r="AK58" s="3">
        <f t="shared" si="35"/>
        <v>61</v>
      </c>
      <c r="AL58" s="3">
        <f t="shared" si="36"/>
        <v>58</v>
      </c>
      <c r="AM58" s="3">
        <f t="shared" si="37"/>
        <v>45</v>
      </c>
      <c r="AN58" s="3">
        <f t="shared" si="38"/>
        <v>39</v>
      </c>
      <c r="AO58" s="3">
        <f t="shared" si="39"/>
        <v>39</v>
      </c>
      <c r="AP58" s="3">
        <f t="shared" si="40"/>
        <v>20</v>
      </c>
      <c r="AQ58" s="21">
        <f t="shared" si="41"/>
        <v>17</v>
      </c>
      <c r="AR58" s="3">
        <f t="shared" si="42"/>
        <v>0</v>
      </c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>
        <v>3</v>
      </c>
      <c r="BH58" s="8"/>
      <c r="BM58" s="35" t="s">
        <v>12</v>
      </c>
      <c r="BO58" s="35"/>
      <c r="BR58" s="9" t="str">
        <f t="shared" si="17"/>
        <v/>
      </c>
      <c r="BS58" s="37" t="str">
        <f t="shared" si="18"/>
        <v/>
      </c>
      <c r="BT58" s="38" t="str">
        <f t="shared" si="44"/>
        <v/>
      </c>
      <c r="BU58" s="36" t="str">
        <f t="shared" si="20"/>
        <v/>
      </c>
    </row>
    <row r="59" spans="2:73" ht="15">
      <c r="B59" s="16">
        <f t="shared" si="21"/>
        <v>43486</v>
      </c>
      <c r="C59" s="15" t="s">
        <v>1</v>
      </c>
      <c r="D59" s="17">
        <f t="shared" si="22"/>
        <v>43492</v>
      </c>
      <c r="E59" s="18">
        <f t="shared" si="23"/>
        <v>1</v>
      </c>
      <c r="F59" s="19">
        <f t="shared" si="24"/>
        <v>2019</v>
      </c>
      <c r="G59" s="9">
        <f t="shared" si="47"/>
        <v>17</v>
      </c>
      <c r="H59" s="8">
        <f t="shared" si="47"/>
        <v>96</v>
      </c>
      <c r="I59" s="9"/>
      <c r="J59" s="9"/>
      <c r="K59" s="9"/>
      <c r="L59" s="9"/>
      <c r="M59" s="9"/>
      <c r="N59" s="9"/>
      <c r="O59" s="12"/>
      <c r="P59" s="12"/>
      <c r="Q59" s="12"/>
      <c r="R59" s="12"/>
      <c r="S59" s="12"/>
      <c r="T59" s="12"/>
      <c r="V59" s="20">
        <f t="shared" si="46"/>
        <v>8</v>
      </c>
      <c r="W59" s="20">
        <f t="shared" si="46"/>
        <v>12</v>
      </c>
      <c r="X59" s="20">
        <f t="shared" si="46"/>
        <v>0</v>
      </c>
      <c r="Y59" s="20">
        <f t="shared" si="45"/>
        <v>0</v>
      </c>
      <c r="Z59" s="20">
        <f t="shared" si="45"/>
        <v>15</v>
      </c>
      <c r="AA59" s="20">
        <f t="shared" si="45"/>
        <v>3</v>
      </c>
      <c r="AC59" s="3">
        <f t="shared" si="27"/>
        <v>0</v>
      </c>
      <c r="AD59" s="3">
        <f t="shared" si="28"/>
        <v>92</v>
      </c>
      <c r="AE59" s="22">
        <f t="shared" si="29"/>
        <v>0</v>
      </c>
      <c r="AF59" s="3">
        <f t="shared" si="30"/>
        <v>84</v>
      </c>
      <c r="AG59" s="3">
        <f t="shared" si="31"/>
        <v>80</v>
      </c>
      <c r="AH59" s="3">
        <f t="shared" si="32"/>
        <v>78</v>
      </c>
      <c r="AI59" s="3">
        <f t="shared" si="33"/>
        <v>71</v>
      </c>
      <c r="AJ59" s="3">
        <f t="shared" si="34"/>
        <v>67</v>
      </c>
      <c r="AK59" s="3">
        <f t="shared" si="35"/>
        <v>62</v>
      </c>
      <c r="AL59" s="3">
        <f t="shared" si="36"/>
        <v>59</v>
      </c>
      <c r="AM59" s="3">
        <f t="shared" si="37"/>
        <v>46</v>
      </c>
      <c r="AN59" s="3">
        <f t="shared" si="38"/>
        <v>40</v>
      </c>
      <c r="AO59" s="3">
        <f t="shared" si="39"/>
        <v>40</v>
      </c>
      <c r="AP59" s="3">
        <f t="shared" si="40"/>
        <v>21</v>
      </c>
      <c r="AQ59" s="21">
        <f t="shared" si="41"/>
        <v>18</v>
      </c>
      <c r="AR59" s="3">
        <f t="shared" si="42"/>
        <v>0</v>
      </c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J59" s="31">
        <f>B59+2</f>
        <v>43488</v>
      </c>
      <c r="BK59" t="s">
        <v>7</v>
      </c>
      <c r="BL59">
        <v>11</v>
      </c>
      <c r="BM59" s="35">
        <v>43488</v>
      </c>
      <c r="BO59" s="35">
        <f>B76</f>
        <v>43605</v>
      </c>
      <c r="BP59">
        <v>97</v>
      </c>
      <c r="BR59" s="9" t="str">
        <f t="shared" si="17"/>
        <v/>
      </c>
      <c r="BS59" s="37" t="str">
        <f t="shared" si="18"/>
        <v/>
      </c>
      <c r="BT59" s="38" t="str">
        <f t="shared" si="44"/>
        <v/>
      </c>
      <c r="BU59" s="36" t="str">
        <f t="shared" si="20"/>
        <v/>
      </c>
    </row>
    <row r="60" spans="2:73" ht="15">
      <c r="B60" s="16">
        <f t="shared" si="21"/>
        <v>43493</v>
      </c>
      <c r="C60" s="15" t="s">
        <v>1</v>
      </c>
      <c r="D60" s="17">
        <f t="shared" si="22"/>
        <v>43499</v>
      </c>
      <c r="E60" s="18">
        <f t="shared" si="23"/>
        <v>1</v>
      </c>
      <c r="F60" s="19">
        <f t="shared" si="24"/>
        <v>2019</v>
      </c>
      <c r="G60" s="9">
        <f t="shared" si="47"/>
        <v>17</v>
      </c>
      <c r="H60" s="8">
        <f t="shared" si="47"/>
        <v>96</v>
      </c>
      <c r="I60" s="9"/>
      <c r="J60" s="9"/>
      <c r="K60" s="9"/>
      <c r="L60" s="9"/>
      <c r="M60" s="9"/>
      <c r="N60" s="9"/>
      <c r="O60" s="12"/>
      <c r="P60" s="12"/>
      <c r="Q60" s="12"/>
      <c r="R60" s="12">
        <v>1</v>
      </c>
      <c r="S60" s="12"/>
      <c r="T60" s="12"/>
      <c r="V60" s="20">
        <f t="shared" si="46"/>
        <v>9</v>
      </c>
      <c r="W60" s="20">
        <f t="shared" si="46"/>
        <v>13</v>
      </c>
      <c r="X60" s="20">
        <f t="shared" si="46"/>
        <v>0</v>
      </c>
      <c r="Y60" s="20">
        <f t="shared" si="45"/>
        <v>43495</v>
      </c>
      <c r="Z60" s="20">
        <f t="shared" si="45"/>
        <v>16</v>
      </c>
      <c r="AA60" s="20">
        <f t="shared" si="45"/>
        <v>4</v>
      </c>
      <c r="AC60" s="3">
        <f t="shared" si="27"/>
        <v>0</v>
      </c>
      <c r="AD60" s="3">
        <f t="shared" si="28"/>
        <v>93</v>
      </c>
      <c r="AE60" s="22">
        <f t="shared" si="29"/>
        <v>0</v>
      </c>
      <c r="AF60" s="3">
        <f t="shared" si="30"/>
        <v>85</v>
      </c>
      <c r="AG60" s="3">
        <f t="shared" si="31"/>
        <v>81</v>
      </c>
      <c r="AH60" s="3">
        <f t="shared" si="32"/>
        <v>79</v>
      </c>
      <c r="AI60" s="3">
        <f t="shared" si="33"/>
        <v>72</v>
      </c>
      <c r="AJ60" s="3">
        <f t="shared" si="34"/>
        <v>68</v>
      </c>
      <c r="AK60" s="3">
        <f t="shared" si="35"/>
        <v>63</v>
      </c>
      <c r="AL60" s="3">
        <f t="shared" si="36"/>
        <v>60</v>
      </c>
      <c r="AM60" s="3">
        <f t="shared" si="37"/>
        <v>47</v>
      </c>
      <c r="AN60" s="3">
        <f t="shared" si="38"/>
        <v>41</v>
      </c>
      <c r="AO60" s="3">
        <f t="shared" si="39"/>
        <v>41</v>
      </c>
      <c r="AP60" s="3">
        <f t="shared" si="40"/>
        <v>22</v>
      </c>
      <c r="AQ60" s="21">
        <f t="shared" si="41"/>
        <v>19</v>
      </c>
      <c r="AR60" s="3">
        <f t="shared" si="42"/>
        <v>0</v>
      </c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M60" s="35" t="s">
        <v>12</v>
      </c>
      <c r="BO60" s="35"/>
      <c r="BQ60" s="42" t="s">
        <v>7</v>
      </c>
      <c r="BR60" s="9">
        <f t="shared" si="17"/>
        <v>4</v>
      </c>
      <c r="BS60" s="37">
        <f t="shared" si="18"/>
        <v>43495</v>
      </c>
      <c r="BT60" s="38">
        <f t="shared" si="44"/>
        <v>43614</v>
      </c>
      <c r="BU60" s="36">
        <f t="shared" si="20"/>
        <v>12</v>
      </c>
    </row>
    <row r="61" spans="2:73" ht="15">
      <c r="B61" s="16">
        <f t="shared" si="21"/>
        <v>43500</v>
      </c>
      <c r="C61" s="15" t="s">
        <v>1</v>
      </c>
      <c r="D61" s="17">
        <f t="shared" si="22"/>
        <v>43506</v>
      </c>
      <c r="E61" s="18">
        <f t="shared" si="23"/>
        <v>2</v>
      </c>
      <c r="F61" s="19">
        <f t="shared" si="24"/>
        <v>2019</v>
      </c>
      <c r="G61" s="9">
        <f t="shared" si="47"/>
        <v>17</v>
      </c>
      <c r="H61" s="8">
        <f t="shared" si="47"/>
        <v>96</v>
      </c>
      <c r="I61" s="9"/>
      <c r="J61" s="9"/>
      <c r="K61" s="9"/>
      <c r="L61" s="9"/>
      <c r="M61" s="9"/>
      <c r="N61" s="9"/>
      <c r="O61" s="12"/>
      <c r="P61" s="12"/>
      <c r="Q61" s="12"/>
      <c r="R61" s="12"/>
      <c r="S61" s="12"/>
      <c r="T61" s="12"/>
      <c r="V61" s="20">
        <f t="shared" si="46"/>
        <v>10</v>
      </c>
      <c r="W61" s="20">
        <f t="shared" si="46"/>
        <v>14</v>
      </c>
      <c r="X61" s="20">
        <f t="shared" si="46"/>
        <v>0</v>
      </c>
      <c r="Y61" s="20">
        <f t="shared" si="45"/>
        <v>1</v>
      </c>
      <c r="Z61" s="20">
        <f t="shared" si="45"/>
        <v>17</v>
      </c>
      <c r="AA61" s="20">
        <f t="shared" si="45"/>
        <v>5</v>
      </c>
      <c r="AC61" s="3">
        <f t="shared" si="27"/>
        <v>0</v>
      </c>
      <c r="AD61" s="3">
        <f t="shared" si="28"/>
        <v>94</v>
      </c>
      <c r="AE61" s="22">
        <f t="shared" si="29"/>
        <v>0</v>
      </c>
      <c r="AF61" s="3">
        <f t="shared" si="30"/>
        <v>86</v>
      </c>
      <c r="AG61" s="3">
        <f t="shared" si="31"/>
        <v>82</v>
      </c>
      <c r="AH61" s="3">
        <f t="shared" si="32"/>
        <v>80</v>
      </c>
      <c r="AI61" s="3">
        <f t="shared" si="33"/>
        <v>73</v>
      </c>
      <c r="AJ61" s="3">
        <f t="shared" si="34"/>
        <v>69</v>
      </c>
      <c r="AK61" s="3">
        <f t="shared" si="35"/>
        <v>64</v>
      </c>
      <c r="AL61" s="3">
        <f t="shared" si="36"/>
        <v>61</v>
      </c>
      <c r="AM61" s="3">
        <f t="shared" si="37"/>
        <v>48</v>
      </c>
      <c r="AN61" s="3">
        <f t="shared" si="38"/>
        <v>42</v>
      </c>
      <c r="AO61" s="3">
        <f t="shared" si="39"/>
        <v>42</v>
      </c>
      <c r="AP61" s="3">
        <f t="shared" si="40"/>
        <v>23</v>
      </c>
      <c r="AQ61" s="21">
        <f t="shared" si="41"/>
        <v>20</v>
      </c>
      <c r="AR61" s="3">
        <f t="shared" si="42"/>
        <v>17</v>
      </c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>
        <v>5</v>
      </c>
      <c r="BM61" s="35" t="s">
        <v>12</v>
      </c>
      <c r="BO61" s="35"/>
      <c r="BR61" s="9" t="str">
        <f t="shared" si="17"/>
        <v/>
      </c>
      <c r="BS61" s="37" t="str">
        <f t="shared" si="18"/>
        <v/>
      </c>
      <c r="BT61" s="38" t="str">
        <f t="shared" si="44"/>
        <v/>
      </c>
      <c r="BU61" s="36" t="str">
        <f t="shared" si="20"/>
        <v/>
      </c>
    </row>
    <row r="62" spans="2:73" ht="15">
      <c r="B62" s="16">
        <f t="shared" si="21"/>
        <v>43507</v>
      </c>
      <c r="C62" s="15" t="s">
        <v>1</v>
      </c>
      <c r="D62" s="17">
        <f t="shared" si="22"/>
        <v>43513</v>
      </c>
      <c r="E62" s="18">
        <f t="shared" si="23"/>
        <v>2</v>
      </c>
      <c r="F62" s="19">
        <f t="shared" si="24"/>
        <v>2019</v>
      </c>
      <c r="G62" s="9">
        <f t="shared" si="47"/>
        <v>17</v>
      </c>
      <c r="H62" s="8">
        <f t="shared" si="47"/>
        <v>96</v>
      </c>
      <c r="I62" s="9"/>
      <c r="J62" s="9"/>
      <c r="K62" s="9"/>
      <c r="L62" s="9"/>
      <c r="M62" s="9"/>
      <c r="N62" s="9"/>
      <c r="O62" s="12"/>
      <c r="P62" s="12"/>
      <c r="Q62" s="12"/>
      <c r="R62" s="12"/>
      <c r="S62" s="12"/>
      <c r="T62" s="12"/>
      <c r="V62" s="20">
        <f t="shared" si="46"/>
        <v>11</v>
      </c>
      <c r="W62" s="20">
        <f t="shared" si="46"/>
        <v>15</v>
      </c>
      <c r="X62" s="20">
        <f t="shared" si="46"/>
        <v>0</v>
      </c>
      <c r="Y62" s="20">
        <f t="shared" si="45"/>
        <v>2</v>
      </c>
      <c r="Z62" s="20">
        <f t="shared" si="45"/>
        <v>0</v>
      </c>
      <c r="AA62" s="20">
        <f t="shared" si="45"/>
        <v>6</v>
      </c>
      <c r="AC62" s="3">
        <f t="shared" si="27"/>
        <v>0</v>
      </c>
      <c r="AD62" s="3">
        <f t="shared" si="28"/>
        <v>95</v>
      </c>
      <c r="AE62" s="22">
        <f t="shared" si="29"/>
        <v>0</v>
      </c>
      <c r="AF62" s="3">
        <f t="shared" si="30"/>
        <v>87</v>
      </c>
      <c r="AG62" s="3">
        <f t="shared" si="31"/>
        <v>83</v>
      </c>
      <c r="AH62" s="3">
        <f t="shared" si="32"/>
        <v>81</v>
      </c>
      <c r="AI62" s="3">
        <f t="shared" si="33"/>
        <v>74</v>
      </c>
      <c r="AJ62" s="3">
        <f t="shared" si="34"/>
        <v>70</v>
      </c>
      <c r="AK62" s="3">
        <f t="shared" si="35"/>
        <v>65</v>
      </c>
      <c r="AL62" s="3">
        <f t="shared" si="36"/>
        <v>62</v>
      </c>
      <c r="AM62" s="3">
        <f t="shared" si="37"/>
        <v>49</v>
      </c>
      <c r="AN62" s="3">
        <f t="shared" si="38"/>
        <v>43</v>
      </c>
      <c r="AO62" s="3">
        <f t="shared" si="39"/>
        <v>43</v>
      </c>
      <c r="AP62" s="3">
        <f t="shared" si="40"/>
        <v>24</v>
      </c>
      <c r="AQ62" s="21">
        <f t="shared" si="41"/>
        <v>21</v>
      </c>
      <c r="AR62" s="3">
        <f t="shared" si="42"/>
        <v>18</v>
      </c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M62" s="35" t="s">
        <v>12</v>
      </c>
      <c r="BO62" s="35"/>
      <c r="BR62" s="9" t="str">
        <f t="shared" si="17"/>
        <v/>
      </c>
      <c r="BS62" s="37" t="str">
        <f t="shared" si="18"/>
        <v/>
      </c>
      <c r="BT62" s="38" t="str">
        <f t="shared" si="44"/>
        <v/>
      </c>
      <c r="BU62" s="36" t="str">
        <f t="shared" si="20"/>
        <v/>
      </c>
    </row>
    <row r="63" spans="2:73" ht="15">
      <c r="B63" s="16">
        <f t="shared" si="21"/>
        <v>43514</v>
      </c>
      <c r="C63" s="15" t="s">
        <v>1</v>
      </c>
      <c r="D63" s="17">
        <f t="shared" si="22"/>
        <v>43520</v>
      </c>
      <c r="E63" s="18">
        <f t="shared" si="23"/>
        <v>2</v>
      </c>
      <c r="F63" s="19">
        <f t="shared" si="24"/>
        <v>2019</v>
      </c>
      <c r="G63" s="9">
        <f t="shared" si="47"/>
        <v>17</v>
      </c>
      <c r="H63" s="8">
        <f t="shared" si="47"/>
        <v>96</v>
      </c>
      <c r="I63" s="9"/>
      <c r="J63" s="9"/>
      <c r="K63" s="9"/>
      <c r="L63" s="9"/>
      <c r="M63" s="9"/>
      <c r="N63" s="9"/>
      <c r="O63" s="12"/>
      <c r="P63" s="12"/>
      <c r="Q63" s="12"/>
      <c r="R63" s="12"/>
      <c r="S63" s="12"/>
      <c r="T63" s="12"/>
      <c r="V63" s="20">
        <f t="shared" si="46"/>
        <v>12</v>
      </c>
      <c r="W63" s="20">
        <f t="shared" si="46"/>
        <v>16</v>
      </c>
      <c r="X63" s="20">
        <f t="shared" si="46"/>
        <v>0</v>
      </c>
      <c r="Y63" s="20">
        <f t="shared" si="45"/>
        <v>3</v>
      </c>
      <c r="Z63" s="20">
        <f t="shared" si="45"/>
        <v>0</v>
      </c>
      <c r="AA63" s="20">
        <f t="shared" si="45"/>
        <v>7</v>
      </c>
      <c r="AC63" s="3">
        <f t="shared" si="27"/>
        <v>0</v>
      </c>
      <c r="AD63" s="3">
        <f t="shared" si="28"/>
        <v>96</v>
      </c>
      <c r="AE63" s="22">
        <f t="shared" si="29"/>
        <v>0</v>
      </c>
      <c r="AF63" s="3">
        <f t="shared" si="30"/>
        <v>88</v>
      </c>
      <c r="AG63" s="3">
        <f t="shared" si="31"/>
        <v>84</v>
      </c>
      <c r="AH63" s="3">
        <f t="shared" si="32"/>
        <v>82</v>
      </c>
      <c r="AI63" s="3">
        <f t="shared" si="33"/>
        <v>75</v>
      </c>
      <c r="AJ63" s="3">
        <f t="shared" si="34"/>
        <v>71</v>
      </c>
      <c r="AK63" s="3">
        <f t="shared" si="35"/>
        <v>66</v>
      </c>
      <c r="AL63" s="3">
        <f t="shared" si="36"/>
        <v>63</v>
      </c>
      <c r="AM63" s="3">
        <f t="shared" si="37"/>
        <v>50</v>
      </c>
      <c r="AN63" s="3">
        <f t="shared" si="38"/>
        <v>44</v>
      </c>
      <c r="AO63" s="3">
        <f t="shared" si="39"/>
        <v>44</v>
      </c>
      <c r="AP63" s="3">
        <f t="shared" si="40"/>
        <v>25</v>
      </c>
      <c r="AQ63" s="21">
        <f t="shared" si="41"/>
        <v>22</v>
      </c>
      <c r="AR63" s="3">
        <f t="shared" si="42"/>
        <v>19</v>
      </c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L63">
        <v>12</v>
      </c>
      <c r="BM63" s="35">
        <v>43514</v>
      </c>
      <c r="BO63" s="35">
        <f>B80</f>
        <v>43633</v>
      </c>
      <c r="BP63">
        <v>97</v>
      </c>
      <c r="BR63" s="9" t="str">
        <f t="shared" si="17"/>
        <v/>
      </c>
      <c r="BS63" s="37" t="str">
        <f t="shared" si="18"/>
        <v/>
      </c>
      <c r="BT63" s="38" t="str">
        <f t="shared" si="44"/>
        <v/>
      </c>
      <c r="BU63" s="36" t="str">
        <f t="shared" si="20"/>
        <v/>
      </c>
    </row>
    <row r="64" spans="2:73" ht="15">
      <c r="B64" s="16">
        <f t="shared" si="21"/>
        <v>43521</v>
      </c>
      <c r="C64" s="15" t="s">
        <v>1</v>
      </c>
      <c r="D64" s="17">
        <f t="shared" si="22"/>
        <v>43527</v>
      </c>
      <c r="E64" s="18">
        <f t="shared" si="23"/>
        <v>2</v>
      </c>
      <c r="F64" s="19">
        <f t="shared" si="24"/>
        <v>2019</v>
      </c>
      <c r="G64" s="9">
        <f t="shared" si="47"/>
        <v>17</v>
      </c>
      <c r="H64" s="8">
        <f t="shared" si="47"/>
        <v>96</v>
      </c>
      <c r="I64" s="9"/>
      <c r="J64" s="9"/>
      <c r="K64" s="9"/>
      <c r="L64" s="9"/>
      <c r="M64" s="9"/>
      <c r="N64" s="9"/>
      <c r="O64" s="12"/>
      <c r="P64" s="12"/>
      <c r="Q64" s="12">
        <v>1</v>
      </c>
      <c r="R64" s="12"/>
      <c r="S64" s="12"/>
      <c r="T64" s="12"/>
      <c r="V64" s="20">
        <f t="shared" si="46"/>
        <v>13</v>
      </c>
      <c r="W64" s="20">
        <f t="shared" si="46"/>
        <v>17</v>
      </c>
      <c r="X64" s="20">
        <f t="shared" si="46"/>
        <v>43523</v>
      </c>
      <c r="Y64" s="20">
        <f t="shared" si="45"/>
        <v>4</v>
      </c>
      <c r="Z64" s="20">
        <f t="shared" si="45"/>
        <v>0</v>
      </c>
      <c r="AA64" s="20">
        <f t="shared" si="45"/>
        <v>8</v>
      </c>
      <c r="AC64" s="3">
        <f t="shared" si="27"/>
        <v>17</v>
      </c>
      <c r="AD64" s="3">
        <f t="shared" si="28"/>
        <v>0</v>
      </c>
      <c r="AE64" s="22">
        <f t="shared" si="29"/>
        <v>0</v>
      </c>
      <c r="AF64" s="3">
        <f t="shared" si="30"/>
        <v>89</v>
      </c>
      <c r="AG64" s="3">
        <f t="shared" si="31"/>
        <v>85</v>
      </c>
      <c r="AH64" s="3">
        <f t="shared" si="32"/>
        <v>83</v>
      </c>
      <c r="AI64" s="3">
        <f t="shared" si="33"/>
        <v>76</v>
      </c>
      <c r="AJ64" s="3">
        <f t="shared" si="34"/>
        <v>72</v>
      </c>
      <c r="AK64" s="3">
        <f t="shared" si="35"/>
        <v>67</v>
      </c>
      <c r="AL64" s="3">
        <f t="shared" si="36"/>
        <v>64</v>
      </c>
      <c r="AM64" s="3">
        <f t="shared" si="37"/>
        <v>51</v>
      </c>
      <c r="AN64" s="3">
        <f t="shared" si="38"/>
        <v>45</v>
      </c>
      <c r="AO64" s="3">
        <f t="shared" si="39"/>
        <v>45</v>
      </c>
      <c r="AP64" s="3">
        <f t="shared" si="40"/>
        <v>26</v>
      </c>
      <c r="AQ64" s="21">
        <f t="shared" si="41"/>
        <v>23</v>
      </c>
      <c r="AR64" s="3">
        <f t="shared" si="42"/>
        <v>20</v>
      </c>
      <c r="AS64" s="8">
        <v>2</v>
      </c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M64" s="35" t="s">
        <v>12</v>
      </c>
      <c r="BO64" s="35"/>
      <c r="BR64" s="9">
        <f t="shared" si="17"/>
        <v>3</v>
      </c>
      <c r="BS64" s="37">
        <f t="shared" si="18"/>
        <v>43523</v>
      </c>
      <c r="BT64" s="38">
        <f t="shared" si="44"/>
        <v>43642</v>
      </c>
      <c r="BU64" s="36">
        <f t="shared" si="20"/>
        <v>1</v>
      </c>
    </row>
    <row r="65" spans="2:73" ht="15">
      <c r="B65" s="16">
        <f t="shared" si="21"/>
        <v>43528</v>
      </c>
      <c r="C65" s="15" t="s">
        <v>1</v>
      </c>
      <c r="D65" s="17">
        <f t="shared" si="22"/>
        <v>43534</v>
      </c>
      <c r="E65" s="18">
        <f t="shared" si="23"/>
        <v>3</v>
      </c>
      <c r="F65" s="19">
        <f t="shared" si="24"/>
        <v>2019</v>
      </c>
      <c r="G65" s="9">
        <f t="shared" si="47"/>
        <v>17</v>
      </c>
      <c r="H65" s="8">
        <f t="shared" si="47"/>
        <v>96</v>
      </c>
      <c r="I65" s="9"/>
      <c r="J65" s="9"/>
      <c r="K65" s="9"/>
      <c r="L65" s="9"/>
      <c r="M65" s="9"/>
      <c r="N65" s="9"/>
      <c r="O65" s="12"/>
      <c r="P65" s="12"/>
      <c r="Q65" s="12"/>
      <c r="R65" s="12"/>
      <c r="S65" s="12"/>
      <c r="T65" s="12"/>
      <c r="V65" s="20">
        <f t="shared" si="46"/>
        <v>14</v>
      </c>
      <c r="W65" s="20">
        <f t="shared" si="46"/>
        <v>0</v>
      </c>
      <c r="X65" s="20">
        <f t="shared" si="46"/>
        <v>1</v>
      </c>
      <c r="Y65" s="20">
        <f t="shared" si="45"/>
        <v>5</v>
      </c>
      <c r="Z65" s="20">
        <f t="shared" si="45"/>
        <v>0</v>
      </c>
      <c r="AA65" s="20">
        <f t="shared" si="45"/>
        <v>9</v>
      </c>
      <c r="AC65" s="3">
        <f t="shared" si="27"/>
        <v>18</v>
      </c>
      <c r="AD65" s="3">
        <f t="shared" si="28"/>
        <v>0</v>
      </c>
      <c r="AE65" s="22">
        <f t="shared" si="29"/>
        <v>0</v>
      </c>
      <c r="AF65" s="3">
        <f t="shared" si="30"/>
        <v>90</v>
      </c>
      <c r="AG65" s="3">
        <f t="shared" si="31"/>
        <v>86</v>
      </c>
      <c r="AH65" s="3">
        <f t="shared" si="32"/>
        <v>84</v>
      </c>
      <c r="AI65" s="3">
        <f t="shared" si="33"/>
        <v>77</v>
      </c>
      <c r="AJ65" s="3">
        <f t="shared" si="34"/>
        <v>73</v>
      </c>
      <c r="AK65" s="3">
        <f t="shared" si="35"/>
        <v>68</v>
      </c>
      <c r="AL65" s="3">
        <f t="shared" si="36"/>
        <v>65</v>
      </c>
      <c r="AM65" s="3">
        <f t="shared" si="37"/>
        <v>52</v>
      </c>
      <c r="AN65" s="3">
        <f t="shared" si="38"/>
        <v>46</v>
      </c>
      <c r="AO65" s="3">
        <f t="shared" si="39"/>
        <v>46</v>
      </c>
      <c r="AP65" s="3">
        <f t="shared" si="40"/>
        <v>27</v>
      </c>
      <c r="AQ65" s="21">
        <f t="shared" si="41"/>
        <v>24</v>
      </c>
      <c r="AR65" s="3">
        <f t="shared" si="42"/>
        <v>21</v>
      </c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M65" s="35" t="s">
        <v>12</v>
      </c>
      <c r="BO65" s="35"/>
      <c r="BR65" s="9" t="str">
        <f t="shared" si="17"/>
        <v/>
      </c>
      <c r="BS65" s="37" t="str">
        <f t="shared" si="18"/>
        <v/>
      </c>
      <c r="BT65" s="38" t="str">
        <f t="shared" si="44"/>
        <v/>
      </c>
      <c r="BU65" s="36" t="str">
        <f t="shared" si="20"/>
        <v/>
      </c>
    </row>
    <row r="66" spans="2:73" ht="15">
      <c r="B66" s="16">
        <f t="shared" si="21"/>
        <v>43535</v>
      </c>
      <c r="C66" s="15" t="s">
        <v>1</v>
      </c>
      <c r="D66" s="17">
        <f t="shared" si="22"/>
        <v>43541</v>
      </c>
      <c r="E66" s="18">
        <f t="shared" si="23"/>
        <v>3</v>
      </c>
      <c r="F66" s="19">
        <f t="shared" si="24"/>
        <v>2019</v>
      </c>
      <c r="G66" s="9">
        <f t="shared" si="47"/>
        <v>17</v>
      </c>
      <c r="H66" s="8">
        <f t="shared" si="47"/>
        <v>96</v>
      </c>
      <c r="I66" s="9"/>
      <c r="J66" s="9"/>
      <c r="K66" s="9"/>
      <c r="L66" s="9"/>
      <c r="M66" s="9"/>
      <c r="N66" s="9"/>
      <c r="O66" s="12"/>
      <c r="P66" s="12"/>
      <c r="Q66" s="12"/>
      <c r="R66" s="12"/>
      <c r="S66" s="12"/>
      <c r="T66" s="12"/>
      <c r="V66" s="20">
        <f t="shared" si="46"/>
        <v>15</v>
      </c>
      <c r="W66" s="20">
        <f t="shared" si="46"/>
        <v>0</v>
      </c>
      <c r="X66" s="20">
        <f t="shared" si="46"/>
        <v>2</v>
      </c>
      <c r="Y66" s="20">
        <f t="shared" si="45"/>
        <v>6</v>
      </c>
      <c r="Z66" s="20">
        <f t="shared" si="45"/>
        <v>0</v>
      </c>
      <c r="AA66" s="20">
        <f t="shared" si="45"/>
        <v>10</v>
      </c>
      <c r="AC66" s="3">
        <f t="shared" si="27"/>
        <v>19</v>
      </c>
      <c r="AD66" s="3">
        <f t="shared" si="28"/>
        <v>0</v>
      </c>
      <c r="AE66" s="22">
        <f t="shared" si="29"/>
        <v>0</v>
      </c>
      <c r="AF66" s="3">
        <f t="shared" si="30"/>
        <v>91</v>
      </c>
      <c r="AG66" s="3">
        <f t="shared" si="31"/>
        <v>87</v>
      </c>
      <c r="AH66" s="3">
        <f t="shared" si="32"/>
        <v>85</v>
      </c>
      <c r="AI66" s="3">
        <f t="shared" si="33"/>
        <v>78</v>
      </c>
      <c r="AJ66" s="3">
        <f t="shared" si="34"/>
        <v>74</v>
      </c>
      <c r="AK66" s="3">
        <f t="shared" si="35"/>
        <v>69</v>
      </c>
      <c r="AL66" s="3">
        <f t="shared" si="36"/>
        <v>66</v>
      </c>
      <c r="AM66" s="3">
        <f t="shared" si="37"/>
        <v>53</v>
      </c>
      <c r="AN66" s="3">
        <f t="shared" si="38"/>
        <v>47</v>
      </c>
      <c r="AO66" s="3">
        <f t="shared" si="39"/>
        <v>47</v>
      </c>
      <c r="AP66" s="3">
        <f t="shared" si="40"/>
        <v>28</v>
      </c>
      <c r="AQ66" s="21">
        <f t="shared" si="41"/>
        <v>25</v>
      </c>
      <c r="AR66" s="3">
        <f t="shared" si="42"/>
        <v>22</v>
      </c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M66" s="35" t="s">
        <v>12</v>
      </c>
      <c r="BO66" s="35"/>
      <c r="BR66" s="9" t="str">
        <f t="shared" si="17"/>
        <v/>
      </c>
      <c r="BS66" s="37" t="str">
        <f t="shared" si="18"/>
        <v/>
      </c>
      <c r="BT66" s="38" t="str">
        <f t="shared" si="44"/>
        <v/>
      </c>
      <c r="BU66" s="36" t="str">
        <f t="shared" si="20"/>
        <v/>
      </c>
    </row>
    <row r="67" spans="2:73" ht="15">
      <c r="B67" s="16">
        <f t="shared" si="21"/>
        <v>43542</v>
      </c>
      <c r="C67" s="15" t="s">
        <v>1</v>
      </c>
      <c r="D67" s="17">
        <f t="shared" si="22"/>
        <v>43548</v>
      </c>
      <c r="E67" s="18">
        <f t="shared" si="23"/>
        <v>3</v>
      </c>
      <c r="F67" s="19">
        <f t="shared" si="24"/>
        <v>2019</v>
      </c>
      <c r="G67" s="9">
        <f t="shared" si="47"/>
        <v>17</v>
      </c>
      <c r="H67" s="8">
        <f t="shared" si="47"/>
        <v>96</v>
      </c>
      <c r="I67" s="9"/>
      <c r="J67" s="9"/>
      <c r="K67" s="9"/>
      <c r="L67" s="9"/>
      <c r="M67" s="9"/>
      <c r="N67" s="9"/>
      <c r="O67" s="12"/>
      <c r="P67" s="12"/>
      <c r="Q67" s="12"/>
      <c r="R67" s="12"/>
      <c r="S67" s="12"/>
      <c r="T67" s="12"/>
      <c r="V67" s="20">
        <f t="shared" si="46"/>
        <v>16</v>
      </c>
      <c r="W67" s="20">
        <f t="shared" si="46"/>
        <v>0</v>
      </c>
      <c r="X67" s="20">
        <f t="shared" si="46"/>
        <v>3</v>
      </c>
      <c r="Y67" s="20">
        <f t="shared" si="45"/>
        <v>7</v>
      </c>
      <c r="Z67" s="20">
        <f t="shared" si="45"/>
        <v>0</v>
      </c>
      <c r="AA67" s="20">
        <f t="shared" si="45"/>
        <v>11</v>
      </c>
      <c r="AC67" s="3">
        <f t="shared" si="27"/>
        <v>20</v>
      </c>
      <c r="AD67" s="3">
        <f t="shared" si="28"/>
        <v>0</v>
      </c>
      <c r="AE67" s="22">
        <f t="shared" si="29"/>
        <v>0</v>
      </c>
      <c r="AF67" s="3">
        <f t="shared" si="30"/>
        <v>92</v>
      </c>
      <c r="AG67" s="3">
        <f t="shared" si="31"/>
        <v>88</v>
      </c>
      <c r="AH67" s="3">
        <f t="shared" si="32"/>
        <v>86</v>
      </c>
      <c r="AI67" s="3">
        <f t="shared" si="33"/>
        <v>79</v>
      </c>
      <c r="AJ67" s="3">
        <f t="shared" si="34"/>
        <v>75</v>
      </c>
      <c r="AK67" s="3">
        <f t="shared" si="35"/>
        <v>70</v>
      </c>
      <c r="AL67" s="3">
        <f t="shared" si="36"/>
        <v>67</v>
      </c>
      <c r="AM67" s="3">
        <f t="shared" si="37"/>
        <v>54</v>
      </c>
      <c r="AN67" s="3">
        <f t="shared" si="38"/>
        <v>48</v>
      </c>
      <c r="AO67" s="3">
        <f t="shared" si="39"/>
        <v>48</v>
      </c>
      <c r="AP67" s="3">
        <f t="shared" si="40"/>
        <v>29</v>
      </c>
      <c r="AQ67" s="21">
        <f t="shared" si="41"/>
        <v>26</v>
      </c>
      <c r="AR67" s="3">
        <f t="shared" si="42"/>
        <v>23</v>
      </c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M67" s="35" t="s">
        <v>12</v>
      </c>
      <c r="BO67" s="35"/>
      <c r="BR67" s="9" t="str">
        <f t="shared" si="17"/>
        <v/>
      </c>
      <c r="BS67" s="37" t="str">
        <f t="shared" si="18"/>
        <v/>
      </c>
      <c r="BT67" s="38" t="str">
        <f t="shared" si="44"/>
        <v/>
      </c>
      <c r="BU67" s="36" t="str">
        <f t="shared" si="20"/>
        <v/>
      </c>
    </row>
    <row r="68" spans="2:73" ht="15">
      <c r="B68" s="16">
        <f t="shared" si="21"/>
        <v>43549</v>
      </c>
      <c r="C68" s="15" t="s">
        <v>1</v>
      </c>
      <c r="D68" s="17">
        <f t="shared" si="22"/>
        <v>43555</v>
      </c>
      <c r="E68" s="18">
        <f t="shared" si="23"/>
        <v>3</v>
      </c>
      <c r="F68" s="19">
        <f t="shared" si="24"/>
        <v>2019</v>
      </c>
      <c r="G68" s="9">
        <f t="shared" si="47"/>
        <v>17</v>
      </c>
      <c r="H68" s="8">
        <f t="shared" si="47"/>
        <v>96</v>
      </c>
      <c r="I68" s="9"/>
      <c r="J68" s="9"/>
      <c r="K68" s="9"/>
      <c r="L68" s="9"/>
      <c r="M68" s="9"/>
      <c r="N68" s="9"/>
      <c r="O68" s="12"/>
      <c r="P68" s="12">
        <v>1</v>
      </c>
      <c r="Q68" s="12"/>
      <c r="R68" s="12"/>
      <c r="S68" s="12"/>
      <c r="T68" s="12"/>
      <c r="V68" s="20">
        <f t="shared" si="46"/>
        <v>17</v>
      </c>
      <c r="W68" s="20">
        <f t="shared" si="46"/>
        <v>43551</v>
      </c>
      <c r="X68" s="20">
        <f t="shared" si="46"/>
        <v>4</v>
      </c>
      <c r="Y68" s="20">
        <f t="shared" si="45"/>
        <v>8</v>
      </c>
      <c r="Z68" s="20">
        <f t="shared" si="45"/>
        <v>0</v>
      </c>
      <c r="AA68" s="20">
        <f t="shared" si="45"/>
        <v>12</v>
      </c>
      <c r="AC68" s="3">
        <f t="shared" si="27"/>
        <v>21</v>
      </c>
      <c r="AD68" s="3">
        <f t="shared" si="28"/>
        <v>17</v>
      </c>
      <c r="AE68" s="22">
        <f t="shared" si="29"/>
        <v>0</v>
      </c>
      <c r="AF68" s="3">
        <f t="shared" si="30"/>
        <v>93</v>
      </c>
      <c r="AG68" s="3">
        <f t="shared" si="31"/>
        <v>89</v>
      </c>
      <c r="AH68" s="3">
        <f t="shared" si="32"/>
        <v>87</v>
      </c>
      <c r="AI68" s="3">
        <f t="shared" si="33"/>
        <v>80</v>
      </c>
      <c r="AJ68" s="3">
        <f t="shared" si="34"/>
        <v>76</v>
      </c>
      <c r="AK68" s="3">
        <f t="shared" si="35"/>
        <v>71</v>
      </c>
      <c r="AL68" s="3">
        <f t="shared" si="36"/>
        <v>68</v>
      </c>
      <c r="AM68" s="3">
        <f t="shared" si="37"/>
        <v>55</v>
      </c>
      <c r="AN68" s="3">
        <f t="shared" si="38"/>
        <v>49</v>
      </c>
      <c r="AO68" s="3">
        <f t="shared" si="39"/>
        <v>49</v>
      </c>
      <c r="AP68" s="3">
        <f t="shared" si="40"/>
        <v>30</v>
      </c>
      <c r="AQ68" s="21">
        <f t="shared" si="41"/>
        <v>27</v>
      </c>
      <c r="AR68" s="3">
        <f t="shared" si="42"/>
        <v>24</v>
      </c>
      <c r="AS68" s="8"/>
      <c r="AT68" s="8">
        <v>1</v>
      </c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M68" s="35" t="s">
        <v>12</v>
      </c>
      <c r="BO68" s="35"/>
      <c r="BR68" s="9">
        <f t="shared" ref="BR68:BR131" si="48">IF(AND(V68&gt;0,V67=0),$V$2,IF(AND(W68&gt;0,W67=0),$W$2,IF(AND(X68&gt;0,X67=0),$X$2,IF(AND(Y68&gt;0,Y67=0),$Y$2,IF(AND(Z68&gt;0,Z67=0),$Z$2,IF(AND(AA68&gt;0,AA67=0),$AA$2,""))))))</f>
        <v>2</v>
      </c>
      <c r="BS68" s="37">
        <f t="shared" ref="BS68:BS131" si="49">IF(OR(AND($V69=1,$V70=2),OR(AND($W69=1,$W70=2),OR(AND($X69=1,$X70=2),OR(AND($Y69=1,$Y70=2),OR(AND($Z69=1,$Z70),OR(AND($AA69=1,$AA70=2))))))),$B68+2,"")</f>
        <v>43551</v>
      </c>
      <c r="BT68" s="38">
        <f t="shared" si="44"/>
        <v>43670</v>
      </c>
      <c r="BU68" s="36">
        <f t="shared" ref="BU68:BU131" si="50">IF(AND(AC85&gt;0,AC84=0),$AC$2,IF(AND(AD85&gt;0,AD84=0),$AD$2,IF(AND(AE85&gt;0,AE84=0),$AE$2,IF(AND(AF85&gt;0,AF84=0),$AF$2,IF(AND(AG85&gt;0,AG84=0),$AG$2,IF(AND(AH85&gt;0,AH84=0),$AH$2,IF(AND(AI85&gt;0,AI84=0),$AI$2,IF(AND(AJ85&gt;0,AJ84=0),$AJ$2,IF(AND(AK85&gt;0,AK84=0),$AK$2,IF(AND(AL85&gt;0,AL84=0),$AL$2,IF(AND(AM85&gt;0,AM84=0),$AM$2,IF(AND(AN85&gt;0,AN84=0),$AN$2,IF(AND(AO85&gt;0,AO84=0),$AO$2,IF(AND(AP85&gt;0,AP84=0),$AP$2,IF(AND(AQ85&gt;0,AQ84=0),$AQ$2,IF(AND(AR85&gt;0,AR84=0),$AR$2,""))))))))))))))))</f>
        <v>6</v>
      </c>
    </row>
    <row r="69" spans="2:73" ht="15">
      <c r="B69" s="16">
        <f t="shared" ref="B69:B132" si="51">D68+1</f>
        <v>43556</v>
      </c>
      <c r="C69" s="15" t="s">
        <v>1</v>
      </c>
      <c r="D69" s="17">
        <f t="shared" ref="D69:D132" si="52">B69+6</f>
        <v>43562</v>
      </c>
      <c r="E69" s="18">
        <f t="shared" ref="E69:E132" si="53">MONTH(B69)</f>
        <v>4</v>
      </c>
      <c r="F69" s="19">
        <f t="shared" ref="F69:F132" si="54">YEAR(D69)</f>
        <v>2019</v>
      </c>
      <c r="G69" s="9">
        <f t="shared" si="47"/>
        <v>17</v>
      </c>
      <c r="H69" s="8">
        <f t="shared" si="47"/>
        <v>96</v>
      </c>
      <c r="I69" s="9"/>
      <c r="J69" s="9"/>
      <c r="K69" s="9"/>
      <c r="L69" s="9"/>
      <c r="M69" s="9"/>
      <c r="N69" s="9"/>
      <c r="O69" s="12"/>
      <c r="P69" s="12"/>
      <c r="Q69" s="12"/>
      <c r="R69" s="12"/>
      <c r="S69" s="12"/>
      <c r="T69" s="12"/>
      <c r="V69" s="20">
        <f t="shared" si="46"/>
        <v>0</v>
      </c>
      <c r="W69" s="20">
        <f t="shared" si="46"/>
        <v>1</v>
      </c>
      <c r="X69" s="20">
        <f t="shared" si="46"/>
        <v>5</v>
      </c>
      <c r="Y69" s="20">
        <f t="shared" si="45"/>
        <v>9</v>
      </c>
      <c r="Z69" s="20">
        <f t="shared" si="45"/>
        <v>0</v>
      </c>
      <c r="AA69" s="20">
        <f t="shared" si="45"/>
        <v>13</v>
      </c>
      <c r="AC69" s="3">
        <f t="shared" si="27"/>
        <v>22</v>
      </c>
      <c r="AD69" s="3">
        <f t="shared" si="28"/>
        <v>18</v>
      </c>
      <c r="AE69" s="22">
        <f t="shared" si="29"/>
        <v>0</v>
      </c>
      <c r="AF69" s="3">
        <f t="shared" si="30"/>
        <v>94</v>
      </c>
      <c r="AG69" s="3">
        <f t="shared" si="31"/>
        <v>90</v>
      </c>
      <c r="AH69" s="3">
        <f t="shared" si="32"/>
        <v>88</v>
      </c>
      <c r="AI69" s="3">
        <f t="shared" si="33"/>
        <v>81</v>
      </c>
      <c r="AJ69" s="3">
        <f t="shared" si="34"/>
        <v>77</v>
      </c>
      <c r="AK69" s="3">
        <f t="shared" si="35"/>
        <v>72</v>
      </c>
      <c r="AL69" s="3">
        <f t="shared" si="36"/>
        <v>69</v>
      </c>
      <c r="AM69" s="3">
        <f t="shared" si="37"/>
        <v>56</v>
      </c>
      <c r="AN69" s="3">
        <f t="shared" si="38"/>
        <v>50</v>
      </c>
      <c r="AO69" s="3">
        <f t="shared" si="39"/>
        <v>50</v>
      </c>
      <c r="AP69" s="3">
        <f t="shared" si="40"/>
        <v>31</v>
      </c>
      <c r="AQ69" s="21">
        <f t="shared" si="41"/>
        <v>28</v>
      </c>
      <c r="AR69" s="3">
        <f t="shared" si="42"/>
        <v>25</v>
      </c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L69">
        <v>1</v>
      </c>
      <c r="BM69" s="35">
        <v>43556</v>
      </c>
      <c r="BO69" s="35">
        <f>B86</f>
        <v>43675</v>
      </c>
      <c r="BP69">
        <v>95</v>
      </c>
      <c r="BR69" s="9" t="str">
        <f t="shared" si="48"/>
        <v/>
      </c>
      <c r="BS69" s="37" t="str">
        <f t="shared" si="49"/>
        <v/>
      </c>
      <c r="BT69" s="38" t="str">
        <f t="shared" si="44"/>
        <v/>
      </c>
      <c r="BU69" s="36" t="str">
        <f t="shared" si="50"/>
        <v/>
      </c>
    </row>
    <row r="70" spans="2:73" ht="15">
      <c r="B70" s="16">
        <f t="shared" si="51"/>
        <v>43563</v>
      </c>
      <c r="C70" s="15" t="s">
        <v>1</v>
      </c>
      <c r="D70" s="17">
        <f t="shared" si="52"/>
        <v>43569</v>
      </c>
      <c r="E70" s="18">
        <f t="shared" si="53"/>
        <v>4</v>
      </c>
      <c r="F70" s="19">
        <f t="shared" si="54"/>
        <v>2019</v>
      </c>
      <c r="G70" s="9">
        <f t="shared" ref="G70:H85" si="55">G69</f>
        <v>17</v>
      </c>
      <c r="H70" s="8">
        <f t="shared" si="55"/>
        <v>96</v>
      </c>
      <c r="I70" s="9"/>
      <c r="J70" s="9"/>
      <c r="K70" s="9"/>
      <c r="L70" s="9"/>
      <c r="M70" s="9"/>
      <c r="N70" s="9"/>
      <c r="O70" s="12"/>
      <c r="P70" s="12"/>
      <c r="Q70" s="12"/>
      <c r="R70" s="12"/>
      <c r="S70" s="12"/>
      <c r="T70" s="12"/>
      <c r="V70" s="20">
        <f t="shared" si="46"/>
        <v>0</v>
      </c>
      <c r="W70" s="20">
        <f t="shared" si="46"/>
        <v>2</v>
      </c>
      <c r="X70" s="20">
        <f t="shared" si="46"/>
        <v>6</v>
      </c>
      <c r="Y70" s="20">
        <f t="shared" si="45"/>
        <v>10</v>
      </c>
      <c r="Z70" s="20">
        <f t="shared" si="45"/>
        <v>0</v>
      </c>
      <c r="AA70" s="20">
        <f t="shared" si="45"/>
        <v>14</v>
      </c>
      <c r="AC70" s="3">
        <f t="shared" si="27"/>
        <v>23</v>
      </c>
      <c r="AD70" s="3">
        <f t="shared" si="28"/>
        <v>19</v>
      </c>
      <c r="AE70" s="3">
        <f t="shared" si="29"/>
        <v>0</v>
      </c>
      <c r="AF70" s="3">
        <f t="shared" si="30"/>
        <v>95</v>
      </c>
      <c r="AG70" s="3">
        <f t="shared" si="31"/>
        <v>91</v>
      </c>
      <c r="AH70" s="3">
        <f t="shared" si="32"/>
        <v>89</v>
      </c>
      <c r="AI70" s="3">
        <f t="shared" si="33"/>
        <v>82</v>
      </c>
      <c r="AJ70" s="3">
        <f t="shared" si="34"/>
        <v>78</v>
      </c>
      <c r="AK70" s="3">
        <f t="shared" si="35"/>
        <v>73</v>
      </c>
      <c r="AL70" s="3">
        <f t="shared" si="36"/>
        <v>70</v>
      </c>
      <c r="AM70" s="3">
        <f t="shared" si="37"/>
        <v>57</v>
      </c>
      <c r="AN70" s="3">
        <f t="shared" si="38"/>
        <v>51</v>
      </c>
      <c r="AO70" s="3">
        <f t="shared" si="39"/>
        <v>51</v>
      </c>
      <c r="AP70" s="3">
        <f t="shared" si="40"/>
        <v>32</v>
      </c>
      <c r="AQ70" s="3">
        <f t="shared" si="41"/>
        <v>29</v>
      </c>
      <c r="AR70" s="3">
        <f t="shared" si="42"/>
        <v>26</v>
      </c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M70" s="35" t="s">
        <v>12</v>
      </c>
      <c r="BO70" s="35"/>
      <c r="BR70" s="9" t="str">
        <f t="shared" si="48"/>
        <v/>
      </c>
      <c r="BS70" s="37" t="str">
        <f t="shared" si="49"/>
        <v/>
      </c>
      <c r="BT70" s="38" t="str">
        <f t="shared" si="44"/>
        <v/>
      </c>
      <c r="BU70" s="36" t="str">
        <f t="shared" si="50"/>
        <v/>
      </c>
    </row>
    <row r="71" spans="2:73" ht="15">
      <c r="B71" s="16">
        <f t="shared" si="51"/>
        <v>43570</v>
      </c>
      <c r="C71" s="15" t="s">
        <v>1</v>
      </c>
      <c r="D71" s="17">
        <f t="shared" si="52"/>
        <v>43576</v>
      </c>
      <c r="E71" s="18">
        <f t="shared" si="53"/>
        <v>4</v>
      </c>
      <c r="F71" s="19">
        <f t="shared" si="54"/>
        <v>2019</v>
      </c>
      <c r="G71" s="9">
        <f t="shared" si="55"/>
        <v>17</v>
      </c>
      <c r="H71" s="8">
        <f t="shared" si="55"/>
        <v>96</v>
      </c>
      <c r="I71" s="9"/>
      <c r="J71" s="9"/>
      <c r="K71" s="9"/>
      <c r="L71" s="9"/>
      <c r="M71" s="9"/>
      <c r="N71" s="9"/>
      <c r="O71" s="12"/>
      <c r="P71" s="12"/>
      <c r="Q71" s="12"/>
      <c r="R71" s="12"/>
      <c r="S71" s="12"/>
      <c r="T71" s="12"/>
      <c r="V71" s="20">
        <f t="shared" si="46"/>
        <v>0</v>
      </c>
      <c r="W71" s="20">
        <f t="shared" si="46"/>
        <v>3</v>
      </c>
      <c r="X71" s="20">
        <f t="shared" si="46"/>
        <v>7</v>
      </c>
      <c r="Y71" s="20">
        <f t="shared" si="45"/>
        <v>11</v>
      </c>
      <c r="Z71" s="20">
        <f t="shared" si="45"/>
        <v>0</v>
      </c>
      <c r="AA71" s="20">
        <f t="shared" si="45"/>
        <v>15</v>
      </c>
      <c r="AC71" s="3">
        <f t="shared" si="27"/>
        <v>24</v>
      </c>
      <c r="AD71" s="3">
        <f t="shared" si="28"/>
        <v>20</v>
      </c>
      <c r="AE71" s="3">
        <f t="shared" si="29"/>
        <v>0</v>
      </c>
      <c r="AF71" s="3">
        <f t="shared" si="30"/>
        <v>96</v>
      </c>
      <c r="AG71" s="3">
        <f t="shared" si="31"/>
        <v>92</v>
      </c>
      <c r="AH71" s="3">
        <f t="shared" si="32"/>
        <v>90</v>
      </c>
      <c r="AI71" s="3">
        <f t="shared" si="33"/>
        <v>83</v>
      </c>
      <c r="AJ71" s="3">
        <f t="shared" si="34"/>
        <v>79</v>
      </c>
      <c r="AK71" s="3">
        <f t="shared" si="35"/>
        <v>74</v>
      </c>
      <c r="AL71" s="3">
        <f t="shared" si="36"/>
        <v>71</v>
      </c>
      <c r="AM71" s="3">
        <f t="shared" si="37"/>
        <v>58</v>
      </c>
      <c r="AN71" s="3">
        <f t="shared" si="38"/>
        <v>52</v>
      </c>
      <c r="AO71" s="3">
        <f t="shared" si="39"/>
        <v>52</v>
      </c>
      <c r="AP71" s="3">
        <f t="shared" si="40"/>
        <v>33</v>
      </c>
      <c r="AQ71" s="3">
        <f t="shared" si="41"/>
        <v>30</v>
      </c>
      <c r="AR71" s="3">
        <f t="shared" si="42"/>
        <v>27</v>
      </c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M71" s="35" t="s">
        <v>12</v>
      </c>
      <c r="BO71" s="35"/>
      <c r="BR71" s="9" t="str">
        <f t="shared" si="48"/>
        <v/>
      </c>
      <c r="BS71" s="37" t="str">
        <f t="shared" si="49"/>
        <v/>
      </c>
      <c r="BT71" s="38" t="str">
        <f t="shared" si="44"/>
        <v/>
      </c>
      <c r="BU71" s="36" t="str">
        <f t="shared" si="50"/>
        <v/>
      </c>
    </row>
    <row r="72" spans="2:73" ht="15">
      <c r="B72" s="16">
        <f t="shared" si="51"/>
        <v>43577</v>
      </c>
      <c r="C72" s="15" t="s">
        <v>1</v>
      </c>
      <c r="D72" s="17">
        <f t="shared" si="52"/>
        <v>43583</v>
      </c>
      <c r="E72" s="18">
        <f t="shared" si="53"/>
        <v>4</v>
      </c>
      <c r="F72" s="19">
        <f t="shared" si="54"/>
        <v>2019</v>
      </c>
      <c r="G72" s="9">
        <f t="shared" si="55"/>
        <v>17</v>
      </c>
      <c r="H72" s="8">
        <f t="shared" si="55"/>
        <v>96</v>
      </c>
      <c r="I72" s="9"/>
      <c r="J72" s="9"/>
      <c r="K72" s="9"/>
      <c r="L72" s="9"/>
      <c r="M72" s="9"/>
      <c r="N72" s="9"/>
      <c r="O72" s="12">
        <v>1</v>
      </c>
      <c r="P72" s="12"/>
      <c r="Q72" s="12"/>
      <c r="R72" s="12"/>
      <c r="S72" s="12"/>
      <c r="T72" s="12"/>
      <c r="V72" s="20">
        <f t="shared" si="46"/>
        <v>43579</v>
      </c>
      <c r="W72" s="20">
        <f t="shared" si="46"/>
        <v>4</v>
      </c>
      <c r="X72" s="20">
        <f t="shared" si="46"/>
        <v>8</v>
      </c>
      <c r="Y72" s="20">
        <f t="shared" si="45"/>
        <v>12</v>
      </c>
      <c r="Z72" s="20">
        <f t="shared" si="45"/>
        <v>0</v>
      </c>
      <c r="AA72" s="20">
        <f t="shared" si="45"/>
        <v>16</v>
      </c>
      <c r="AC72" s="3">
        <f t="shared" si="27"/>
        <v>25</v>
      </c>
      <c r="AD72" s="3">
        <f t="shared" si="28"/>
        <v>21</v>
      </c>
      <c r="AE72" s="3">
        <f t="shared" si="29"/>
        <v>0</v>
      </c>
      <c r="AF72" s="3">
        <f t="shared" si="30"/>
        <v>0</v>
      </c>
      <c r="AG72" s="3">
        <f t="shared" si="31"/>
        <v>93</v>
      </c>
      <c r="AH72" s="3">
        <f t="shared" si="32"/>
        <v>91</v>
      </c>
      <c r="AI72" s="3">
        <f t="shared" si="33"/>
        <v>84</v>
      </c>
      <c r="AJ72" s="3">
        <f t="shared" si="34"/>
        <v>80</v>
      </c>
      <c r="AK72" s="3">
        <f t="shared" si="35"/>
        <v>75</v>
      </c>
      <c r="AL72" s="3">
        <f t="shared" si="36"/>
        <v>72</v>
      </c>
      <c r="AM72" s="3">
        <f t="shared" si="37"/>
        <v>59</v>
      </c>
      <c r="AN72" s="3">
        <f t="shared" si="38"/>
        <v>53</v>
      </c>
      <c r="AO72" s="3">
        <f t="shared" si="39"/>
        <v>53</v>
      </c>
      <c r="AP72" s="3">
        <f t="shared" si="40"/>
        <v>34</v>
      </c>
      <c r="AQ72" s="3">
        <f t="shared" si="41"/>
        <v>31</v>
      </c>
      <c r="AR72" s="3">
        <f t="shared" si="42"/>
        <v>28</v>
      </c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M72" s="35" t="s">
        <v>12</v>
      </c>
      <c r="BO72" s="35"/>
      <c r="BR72" s="9">
        <f t="shared" si="48"/>
        <v>1</v>
      </c>
      <c r="BS72" s="37">
        <f t="shared" si="49"/>
        <v>43579</v>
      </c>
      <c r="BT72" s="38">
        <f t="shared" si="44"/>
        <v>43698</v>
      </c>
      <c r="BU72" s="36">
        <f t="shared" si="50"/>
        <v>2</v>
      </c>
    </row>
    <row r="73" spans="2:73" ht="15">
      <c r="B73" s="16">
        <f t="shared" si="51"/>
        <v>43584</v>
      </c>
      <c r="C73" s="15" t="s">
        <v>1</v>
      </c>
      <c r="D73" s="17">
        <f t="shared" si="52"/>
        <v>43590</v>
      </c>
      <c r="E73" s="18">
        <f t="shared" si="53"/>
        <v>4</v>
      </c>
      <c r="F73" s="19">
        <f t="shared" si="54"/>
        <v>2019</v>
      </c>
      <c r="G73" s="9">
        <f t="shared" si="55"/>
        <v>17</v>
      </c>
      <c r="H73" s="8">
        <f t="shared" si="55"/>
        <v>96</v>
      </c>
      <c r="I73" s="9"/>
      <c r="J73" s="9"/>
      <c r="K73" s="9"/>
      <c r="L73" s="9"/>
      <c r="M73" s="9"/>
      <c r="N73" s="9"/>
      <c r="O73" s="12"/>
      <c r="P73" s="12"/>
      <c r="Q73" s="12"/>
      <c r="R73" s="12"/>
      <c r="S73" s="12"/>
      <c r="T73" s="12"/>
      <c r="V73" s="20">
        <f t="shared" si="46"/>
        <v>1</v>
      </c>
      <c r="W73" s="20">
        <f t="shared" si="46"/>
        <v>5</v>
      </c>
      <c r="X73" s="20">
        <f t="shared" si="46"/>
        <v>9</v>
      </c>
      <c r="Y73" s="20">
        <f t="shared" si="45"/>
        <v>13</v>
      </c>
      <c r="Z73" s="20">
        <f t="shared" si="45"/>
        <v>0</v>
      </c>
      <c r="AA73" s="20">
        <f t="shared" si="45"/>
        <v>17</v>
      </c>
      <c r="AC73" s="3">
        <f t="shared" si="27"/>
        <v>26</v>
      </c>
      <c r="AD73" s="3">
        <f t="shared" si="28"/>
        <v>22</v>
      </c>
      <c r="AE73" s="3">
        <f t="shared" si="29"/>
        <v>17</v>
      </c>
      <c r="AF73" s="3">
        <f t="shared" si="30"/>
        <v>0</v>
      </c>
      <c r="AG73" s="3">
        <f t="shared" si="31"/>
        <v>94</v>
      </c>
      <c r="AH73" s="3">
        <f t="shared" si="32"/>
        <v>92</v>
      </c>
      <c r="AI73" s="3">
        <f t="shared" si="33"/>
        <v>85</v>
      </c>
      <c r="AJ73" s="3">
        <f t="shared" si="34"/>
        <v>81</v>
      </c>
      <c r="AK73" s="3">
        <f t="shared" si="35"/>
        <v>76</v>
      </c>
      <c r="AL73" s="3">
        <f t="shared" si="36"/>
        <v>73</v>
      </c>
      <c r="AM73" s="3">
        <f t="shared" si="37"/>
        <v>60</v>
      </c>
      <c r="AN73" s="3">
        <f t="shared" si="38"/>
        <v>54</v>
      </c>
      <c r="AO73" s="3">
        <f t="shared" si="39"/>
        <v>54</v>
      </c>
      <c r="AP73" s="3">
        <f t="shared" si="40"/>
        <v>35</v>
      </c>
      <c r="AQ73" s="3">
        <f t="shared" si="41"/>
        <v>32</v>
      </c>
      <c r="AR73" s="3">
        <f t="shared" si="42"/>
        <v>29</v>
      </c>
      <c r="AS73" s="8"/>
      <c r="AT73" s="8"/>
      <c r="AU73" s="8">
        <v>6</v>
      </c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M73" s="35" t="s">
        <v>12</v>
      </c>
      <c r="BO73" s="35"/>
      <c r="BR73" s="9" t="str">
        <f t="shared" si="48"/>
        <v/>
      </c>
      <c r="BS73" s="37" t="str">
        <f t="shared" si="49"/>
        <v/>
      </c>
      <c r="BT73" s="38" t="str">
        <f t="shared" si="44"/>
        <v/>
      </c>
      <c r="BU73" s="36" t="str">
        <f t="shared" si="50"/>
        <v/>
      </c>
    </row>
    <row r="74" spans="2:73" ht="15">
      <c r="B74" s="16">
        <f t="shared" si="51"/>
        <v>43591</v>
      </c>
      <c r="C74" s="15" t="s">
        <v>1</v>
      </c>
      <c r="D74" s="17">
        <f t="shared" si="52"/>
        <v>43597</v>
      </c>
      <c r="E74" s="18">
        <f t="shared" si="53"/>
        <v>5</v>
      </c>
      <c r="F74" s="19">
        <f t="shared" si="54"/>
        <v>2019</v>
      </c>
      <c r="G74" s="9">
        <f t="shared" si="55"/>
        <v>17</v>
      </c>
      <c r="H74" s="8">
        <f t="shared" si="55"/>
        <v>96</v>
      </c>
      <c r="I74" s="9"/>
      <c r="J74" s="9"/>
      <c r="K74" s="9"/>
      <c r="L74" s="9"/>
      <c r="M74" s="9"/>
      <c r="N74" s="9"/>
      <c r="O74" s="12"/>
      <c r="P74" s="12"/>
      <c r="Q74" s="12"/>
      <c r="R74" s="12"/>
      <c r="S74" s="12"/>
      <c r="T74" s="12"/>
      <c r="V74" s="20">
        <f t="shared" si="46"/>
        <v>2</v>
      </c>
      <c r="W74" s="20">
        <f t="shared" si="46"/>
        <v>6</v>
      </c>
      <c r="X74" s="20">
        <f t="shared" si="46"/>
        <v>10</v>
      </c>
      <c r="Y74" s="20">
        <f t="shared" si="45"/>
        <v>14</v>
      </c>
      <c r="Z74" s="20">
        <f t="shared" si="45"/>
        <v>0</v>
      </c>
      <c r="AA74" s="20">
        <f t="shared" si="45"/>
        <v>0</v>
      </c>
      <c r="AC74" s="3">
        <f t="shared" si="27"/>
        <v>27</v>
      </c>
      <c r="AD74" s="3">
        <f t="shared" si="28"/>
        <v>23</v>
      </c>
      <c r="AE74" s="3">
        <f t="shared" si="29"/>
        <v>18</v>
      </c>
      <c r="AF74" s="3">
        <f t="shared" si="30"/>
        <v>0</v>
      </c>
      <c r="AG74" s="3">
        <f t="shared" si="31"/>
        <v>95</v>
      </c>
      <c r="AH74" s="3">
        <f t="shared" si="32"/>
        <v>93</v>
      </c>
      <c r="AI74" s="3">
        <f t="shared" si="33"/>
        <v>86</v>
      </c>
      <c r="AJ74" s="3">
        <f t="shared" si="34"/>
        <v>82</v>
      </c>
      <c r="AK74" s="3">
        <f t="shared" si="35"/>
        <v>77</v>
      </c>
      <c r="AL74" s="3">
        <f t="shared" si="36"/>
        <v>74</v>
      </c>
      <c r="AM74" s="3">
        <f t="shared" si="37"/>
        <v>61</v>
      </c>
      <c r="AN74" s="3">
        <f t="shared" si="38"/>
        <v>55</v>
      </c>
      <c r="AO74" s="3">
        <f t="shared" si="39"/>
        <v>55</v>
      </c>
      <c r="AP74" s="3">
        <f t="shared" si="40"/>
        <v>36</v>
      </c>
      <c r="AQ74" s="3">
        <f t="shared" si="41"/>
        <v>33</v>
      </c>
      <c r="AR74" s="3">
        <f t="shared" si="42"/>
        <v>30</v>
      </c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J74" s="33"/>
      <c r="BK74" s="34"/>
      <c r="BL74">
        <v>6</v>
      </c>
      <c r="BM74" s="35">
        <v>43591</v>
      </c>
      <c r="BO74" s="35">
        <f>B91</f>
        <v>43710</v>
      </c>
      <c r="BP74">
        <v>95</v>
      </c>
      <c r="BR74" s="9" t="str">
        <f t="shared" si="48"/>
        <v/>
      </c>
      <c r="BS74" s="37" t="str">
        <f t="shared" si="49"/>
        <v/>
      </c>
      <c r="BT74" s="38" t="str">
        <f t="shared" si="44"/>
        <v/>
      </c>
      <c r="BU74" s="36" t="str">
        <f t="shared" si="50"/>
        <v/>
      </c>
    </row>
    <row r="75" spans="2:73" ht="15">
      <c r="B75" s="16">
        <f t="shared" si="51"/>
        <v>43598</v>
      </c>
      <c r="C75" s="15" t="s">
        <v>1</v>
      </c>
      <c r="D75" s="17">
        <f t="shared" si="52"/>
        <v>43604</v>
      </c>
      <c r="E75" s="18">
        <f t="shared" si="53"/>
        <v>5</v>
      </c>
      <c r="F75" s="19">
        <f t="shared" si="54"/>
        <v>2019</v>
      </c>
      <c r="G75" s="9">
        <f t="shared" si="55"/>
        <v>17</v>
      </c>
      <c r="H75" s="8">
        <f t="shared" si="55"/>
        <v>96</v>
      </c>
      <c r="I75" s="9"/>
      <c r="J75" s="9"/>
      <c r="K75" s="9"/>
      <c r="L75" s="9"/>
      <c r="M75" s="9"/>
      <c r="N75" s="9"/>
      <c r="O75" s="12"/>
      <c r="P75" s="12"/>
      <c r="Q75" s="12"/>
      <c r="R75" s="12"/>
      <c r="S75" s="12"/>
      <c r="T75" s="12"/>
      <c r="V75" s="20">
        <f t="shared" si="46"/>
        <v>3</v>
      </c>
      <c r="W75" s="20">
        <f t="shared" si="46"/>
        <v>7</v>
      </c>
      <c r="X75" s="20">
        <f t="shared" si="46"/>
        <v>11</v>
      </c>
      <c r="Y75" s="20">
        <f t="shared" si="45"/>
        <v>15</v>
      </c>
      <c r="Z75" s="20">
        <f t="shared" si="45"/>
        <v>0</v>
      </c>
      <c r="AA75" s="20">
        <f t="shared" si="45"/>
        <v>0</v>
      </c>
      <c r="AC75" s="3">
        <f t="shared" si="27"/>
        <v>28</v>
      </c>
      <c r="AD75" s="3">
        <f t="shared" si="28"/>
        <v>24</v>
      </c>
      <c r="AE75" s="3">
        <f t="shared" si="29"/>
        <v>19</v>
      </c>
      <c r="AF75" s="3">
        <f t="shared" si="30"/>
        <v>0</v>
      </c>
      <c r="AG75" s="3">
        <f t="shared" si="31"/>
        <v>96</v>
      </c>
      <c r="AH75" s="3">
        <f t="shared" si="32"/>
        <v>94</v>
      </c>
      <c r="AI75" s="3">
        <f t="shared" si="33"/>
        <v>87</v>
      </c>
      <c r="AJ75" s="3">
        <f t="shared" si="34"/>
        <v>83</v>
      </c>
      <c r="AK75" s="3">
        <f t="shared" si="35"/>
        <v>78</v>
      </c>
      <c r="AL75" s="3">
        <f t="shared" si="36"/>
        <v>75</v>
      </c>
      <c r="AM75" s="3">
        <f t="shared" si="37"/>
        <v>62</v>
      </c>
      <c r="AN75" s="3">
        <f t="shared" si="38"/>
        <v>56</v>
      </c>
      <c r="AO75" s="3">
        <f t="shared" si="39"/>
        <v>56</v>
      </c>
      <c r="AP75" s="3">
        <f t="shared" si="40"/>
        <v>37</v>
      </c>
      <c r="AQ75" s="3">
        <f t="shared" si="41"/>
        <v>34</v>
      </c>
      <c r="AR75" s="3">
        <f t="shared" si="42"/>
        <v>31</v>
      </c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M75" s="35" t="s">
        <v>12</v>
      </c>
      <c r="BO75" s="35"/>
      <c r="BR75" s="9" t="str">
        <f t="shared" si="48"/>
        <v/>
      </c>
      <c r="BS75" s="37" t="str">
        <f t="shared" si="49"/>
        <v/>
      </c>
      <c r="BT75" s="38" t="str">
        <f t="shared" si="44"/>
        <v/>
      </c>
      <c r="BU75" s="36" t="str">
        <f t="shared" si="50"/>
        <v/>
      </c>
    </row>
    <row r="76" spans="2:73" ht="15">
      <c r="B76" s="16">
        <f t="shared" si="51"/>
        <v>43605</v>
      </c>
      <c r="C76" s="15" t="s">
        <v>1</v>
      </c>
      <c r="D76" s="17">
        <f t="shared" si="52"/>
        <v>43611</v>
      </c>
      <c r="E76" s="18">
        <f t="shared" si="53"/>
        <v>5</v>
      </c>
      <c r="F76" s="19">
        <f t="shared" si="54"/>
        <v>2019</v>
      </c>
      <c r="G76" s="9">
        <f t="shared" si="55"/>
        <v>17</v>
      </c>
      <c r="H76" s="8">
        <f t="shared" si="55"/>
        <v>96</v>
      </c>
      <c r="I76" s="9"/>
      <c r="J76" s="9"/>
      <c r="K76" s="9"/>
      <c r="L76" s="9"/>
      <c r="M76" s="9"/>
      <c r="N76" s="9"/>
      <c r="O76" s="12"/>
      <c r="P76" s="12"/>
      <c r="Q76" s="12"/>
      <c r="R76" s="12"/>
      <c r="S76" s="12"/>
      <c r="T76" s="12"/>
      <c r="V76" s="20">
        <f t="shared" si="46"/>
        <v>4</v>
      </c>
      <c r="W76" s="20">
        <f t="shared" si="46"/>
        <v>8</v>
      </c>
      <c r="X76" s="20">
        <f t="shared" si="46"/>
        <v>12</v>
      </c>
      <c r="Y76" s="20">
        <f t="shared" si="45"/>
        <v>16</v>
      </c>
      <c r="Z76" s="20">
        <f t="shared" si="45"/>
        <v>0</v>
      </c>
      <c r="AA76" s="20">
        <f t="shared" si="45"/>
        <v>0</v>
      </c>
      <c r="AC76" s="3">
        <f t="shared" si="27"/>
        <v>29</v>
      </c>
      <c r="AD76" s="3">
        <f t="shared" si="28"/>
        <v>25</v>
      </c>
      <c r="AE76" s="3">
        <f t="shared" si="29"/>
        <v>20</v>
      </c>
      <c r="AF76" s="3">
        <f t="shared" si="30"/>
        <v>0</v>
      </c>
      <c r="AG76" s="3">
        <f t="shared" si="31"/>
        <v>0</v>
      </c>
      <c r="AH76" s="3">
        <f t="shared" si="32"/>
        <v>95</v>
      </c>
      <c r="AI76" s="3">
        <f t="shared" si="33"/>
        <v>88</v>
      </c>
      <c r="AJ76" s="3">
        <f t="shared" si="34"/>
        <v>84</v>
      </c>
      <c r="AK76" s="3">
        <f t="shared" si="35"/>
        <v>79</v>
      </c>
      <c r="AL76" s="3">
        <f t="shared" si="36"/>
        <v>76</v>
      </c>
      <c r="AM76" s="3">
        <f t="shared" si="37"/>
        <v>63</v>
      </c>
      <c r="AN76" s="3">
        <f t="shared" si="38"/>
        <v>57</v>
      </c>
      <c r="AO76" s="3">
        <f t="shared" si="39"/>
        <v>57</v>
      </c>
      <c r="AP76" s="3">
        <f t="shared" si="40"/>
        <v>38</v>
      </c>
      <c r="AQ76" s="3">
        <f t="shared" si="41"/>
        <v>35</v>
      </c>
      <c r="AR76" s="3">
        <f t="shared" si="42"/>
        <v>32</v>
      </c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M76" s="35" t="s">
        <v>12</v>
      </c>
      <c r="BO76" s="35"/>
      <c r="BR76" s="9" t="str">
        <f t="shared" si="48"/>
        <v/>
      </c>
      <c r="BS76" s="37" t="str">
        <f t="shared" si="49"/>
        <v/>
      </c>
      <c r="BT76" s="38" t="str">
        <f t="shared" si="44"/>
        <v/>
      </c>
      <c r="BU76" s="36" t="str">
        <f t="shared" si="50"/>
        <v/>
      </c>
    </row>
    <row r="77" spans="2:73" ht="15">
      <c r="B77" s="16">
        <f t="shared" si="51"/>
        <v>43612</v>
      </c>
      <c r="C77" s="15" t="s">
        <v>1</v>
      </c>
      <c r="D77" s="17">
        <f t="shared" si="52"/>
        <v>43618</v>
      </c>
      <c r="E77" s="18">
        <f t="shared" si="53"/>
        <v>5</v>
      </c>
      <c r="F77" s="19">
        <f t="shared" si="54"/>
        <v>2019</v>
      </c>
      <c r="G77" s="9">
        <f t="shared" si="55"/>
        <v>17</v>
      </c>
      <c r="H77" s="8">
        <f t="shared" si="55"/>
        <v>96</v>
      </c>
      <c r="I77" s="9"/>
      <c r="J77" s="9"/>
      <c r="K77" s="9"/>
      <c r="L77" s="9"/>
      <c r="M77" s="9"/>
      <c r="N77" s="9"/>
      <c r="O77" s="12"/>
      <c r="P77" s="12"/>
      <c r="Q77" s="12"/>
      <c r="R77" s="12"/>
      <c r="S77" s="12"/>
      <c r="T77" s="12"/>
      <c r="V77" s="20">
        <f t="shared" si="46"/>
        <v>5</v>
      </c>
      <c r="W77" s="20">
        <f t="shared" si="46"/>
        <v>9</v>
      </c>
      <c r="X77" s="20">
        <f t="shared" si="46"/>
        <v>13</v>
      </c>
      <c r="Y77" s="20">
        <f t="shared" si="45"/>
        <v>17</v>
      </c>
      <c r="Z77" s="20">
        <f t="shared" si="45"/>
        <v>0</v>
      </c>
      <c r="AA77" s="20">
        <f t="shared" si="45"/>
        <v>0</v>
      </c>
      <c r="AC77" s="3">
        <f t="shared" si="27"/>
        <v>30</v>
      </c>
      <c r="AD77" s="3">
        <f t="shared" si="28"/>
        <v>26</v>
      </c>
      <c r="AE77" s="3">
        <f t="shared" si="29"/>
        <v>21</v>
      </c>
      <c r="AF77" s="3">
        <f t="shared" si="30"/>
        <v>17</v>
      </c>
      <c r="AG77" s="3">
        <f t="shared" si="31"/>
        <v>0</v>
      </c>
      <c r="AH77" s="3">
        <f t="shared" si="32"/>
        <v>96</v>
      </c>
      <c r="AI77" s="3">
        <f t="shared" si="33"/>
        <v>89</v>
      </c>
      <c r="AJ77" s="3">
        <f t="shared" si="34"/>
        <v>85</v>
      </c>
      <c r="AK77" s="3">
        <f t="shared" si="35"/>
        <v>80</v>
      </c>
      <c r="AL77" s="3">
        <f t="shared" si="36"/>
        <v>77</v>
      </c>
      <c r="AM77" s="3">
        <f t="shared" si="37"/>
        <v>64</v>
      </c>
      <c r="AN77" s="3">
        <f t="shared" si="38"/>
        <v>58</v>
      </c>
      <c r="AO77" s="3">
        <f t="shared" si="39"/>
        <v>58</v>
      </c>
      <c r="AP77" s="3">
        <f t="shared" si="40"/>
        <v>39</v>
      </c>
      <c r="AQ77" s="3">
        <f t="shared" si="41"/>
        <v>36</v>
      </c>
      <c r="AR77" s="3">
        <f t="shared" si="42"/>
        <v>33</v>
      </c>
      <c r="AS77" s="8"/>
      <c r="AT77" s="8"/>
      <c r="AU77" s="8"/>
      <c r="AV77" s="8">
        <v>4</v>
      </c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M77" s="35" t="s">
        <v>12</v>
      </c>
      <c r="BO77" s="35"/>
      <c r="BR77" s="9" t="str">
        <f t="shared" si="48"/>
        <v/>
      </c>
      <c r="BS77" s="37" t="str">
        <f t="shared" si="49"/>
        <v/>
      </c>
      <c r="BT77" s="38" t="str">
        <f t="shared" si="44"/>
        <v/>
      </c>
      <c r="BU77" s="36" t="str">
        <f t="shared" si="50"/>
        <v/>
      </c>
    </row>
    <row r="78" spans="2:73" ht="15">
      <c r="B78" s="16">
        <f t="shared" si="51"/>
        <v>43619</v>
      </c>
      <c r="C78" s="15" t="s">
        <v>1</v>
      </c>
      <c r="D78" s="17">
        <f t="shared" si="52"/>
        <v>43625</v>
      </c>
      <c r="E78" s="18">
        <f t="shared" si="53"/>
        <v>6</v>
      </c>
      <c r="F78" s="19">
        <f t="shared" si="54"/>
        <v>2019</v>
      </c>
      <c r="G78" s="9">
        <f t="shared" si="55"/>
        <v>17</v>
      </c>
      <c r="H78" s="8">
        <f t="shared" si="55"/>
        <v>96</v>
      </c>
      <c r="I78" s="9"/>
      <c r="J78" s="9"/>
      <c r="K78" s="9"/>
      <c r="L78" s="9"/>
      <c r="M78" s="9"/>
      <c r="N78" s="9"/>
      <c r="O78" s="12"/>
      <c r="P78" s="12"/>
      <c r="Q78" s="12"/>
      <c r="R78" s="12"/>
      <c r="S78" s="12"/>
      <c r="T78" s="12"/>
      <c r="V78" s="20">
        <f t="shared" si="46"/>
        <v>6</v>
      </c>
      <c r="W78" s="20">
        <f t="shared" si="46"/>
        <v>10</v>
      </c>
      <c r="X78" s="20">
        <f t="shared" si="46"/>
        <v>14</v>
      </c>
      <c r="Y78" s="20">
        <f t="shared" si="45"/>
        <v>0</v>
      </c>
      <c r="Z78" s="20">
        <f t="shared" si="45"/>
        <v>0</v>
      </c>
      <c r="AA78" s="20">
        <f t="shared" si="45"/>
        <v>0</v>
      </c>
      <c r="AC78" s="3">
        <f t="shared" si="27"/>
        <v>31</v>
      </c>
      <c r="AD78" s="3">
        <f t="shared" si="28"/>
        <v>27</v>
      </c>
      <c r="AE78" s="3">
        <f t="shared" si="29"/>
        <v>22</v>
      </c>
      <c r="AF78" s="3">
        <f t="shared" si="30"/>
        <v>18</v>
      </c>
      <c r="AG78" s="3">
        <f t="shared" si="31"/>
        <v>0</v>
      </c>
      <c r="AH78" s="3">
        <f t="shared" si="32"/>
        <v>0</v>
      </c>
      <c r="AI78" s="3">
        <f t="shared" si="33"/>
        <v>90</v>
      </c>
      <c r="AJ78" s="3">
        <f t="shared" si="34"/>
        <v>86</v>
      </c>
      <c r="AK78" s="3">
        <f t="shared" si="35"/>
        <v>81</v>
      </c>
      <c r="AL78" s="3">
        <f t="shared" si="36"/>
        <v>78</v>
      </c>
      <c r="AM78" s="3">
        <f t="shared" si="37"/>
        <v>65</v>
      </c>
      <c r="AN78" s="3">
        <f t="shared" si="38"/>
        <v>59</v>
      </c>
      <c r="AO78" s="3">
        <f t="shared" si="39"/>
        <v>59</v>
      </c>
      <c r="AP78" s="3">
        <f t="shared" si="40"/>
        <v>40</v>
      </c>
      <c r="AQ78" s="3">
        <f t="shared" si="41"/>
        <v>37</v>
      </c>
      <c r="AR78" s="3">
        <f t="shared" si="42"/>
        <v>34</v>
      </c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M78" s="35" t="s">
        <v>12</v>
      </c>
      <c r="BO78" s="35"/>
      <c r="BR78" s="9" t="str">
        <f t="shared" si="48"/>
        <v/>
      </c>
      <c r="BS78" s="37" t="str">
        <f t="shared" si="49"/>
        <v/>
      </c>
      <c r="BT78" s="38" t="str">
        <f t="shared" si="44"/>
        <v/>
      </c>
      <c r="BU78" s="36" t="str">
        <f t="shared" si="50"/>
        <v/>
      </c>
    </row>
    <row r="79" spans="2:73" ht="15">
      <c r="B79" s="16">
        <f t="shared" si="51"/>
        <v>43626</v>
      </c>
      <c r="C79" s="15" t="s">
        <v>1</v>
      </c>
      <c r="D79" s="17">
        <f t="shared" si="52"/>
        <v>43632</v>
      </c>
      <c r="E79" s="18">
        <f t="shared" si="53"/>
        <v>6</v>
      </c>
      <c r="F79" s="19">
        <f t="shared" si="54"/>
        <v>2019</v>
      </c>
      <c r="G79" s="9">
        <f t="shared" si="55"/>
        <v>17</v>
      </c>
      <c r="H79" s="8">
        <f t="shared" si="55"/>
        <v>96</v>
      </c>
      <c r="I79" s="9"/>
      <c r="J79" s="9"/>
      <c r="K79" s="9"/>
      <c r="L79" s="9"/>
      <c r="M79" s="9"/>
      <c r="N79" s="9"/>
      <c r="O79" s="12"/>
      <c r="P79" s="12"/>
      <c r="Q79" s="12"/>
      <c r="R79" s="12"/>
      <c r="S79" s="12"/>
      <c r="T79" s="12"/>
      <c r="V79" s="20">
        <f t="shared" si="46"/>
        <v>7</v>
      </c>
      <c r="W79" s="20">
        <f t="shared" si="46"/>
        <v>11</v>
      </c>
      <c r="X79" s="20">
        <f t="shared" si="46"/>
        <v>15</v>
      </c>
      <c r="Y79" s="20">
        <f t="shared" si="45"/>
        <v>0</v>
      </c>
      <c r="Z79" s="20">
        <f t="shared" si="45"/>
        <v>0</v>
      </c>
      <c r="AA79" s="20">
        <f t="shared" si="45"/>
        <v>0</v>
      </c>
      <c r="AC79" s="3">
        <f t="shared" si="27"/>
        <v>32</v>
      </c>
      <c r="AD79" s="3">
        <f t="shared" si="28"/>
        <v>28</v>
      </c>
      <c r="AE79" s="3">
        <f t="shared" si="29"/>
        <v>23</v>
      </c>
      <c r="AF79" s="3">
        <f t="shared" si="30"/>
        <v>19</v>
      </c>
      <c r="AG79" s="3">
        <f t="shared" si="31"/>
        <v>0</v>
      </c>
      <c r="AH79" s="3">
        <f t="shared" si="32"/>
        <v>0</v>
      </c>
      <c r="AI79" s="3">
        <f t="shared" si="33"/>
        <v>91</v>
      </c>
      <c r="AJ79" s="3">
        <f t="shared" si="34"/>
        <v>87</v>
      </c>
      <c r="AK79" s="3">
        <f t="shared" si="35"/>
        <v>82</v>
      </c>
      <c r="AL79" s="3">
        <f t="shared" si="36"/>
        <v>79</v>
      </c>
      <c r="AM79" s="3">
        <f t="shared" si="37"/>
        <v>66</v>
      </c>
      <c r="AN79" s="3">
        <f t="shared" si="38"/>
        <v>60</v>
      </c>
      <c r="AO79" s="3">
        <f t="shared" si="39"/>
        <v>60</v>
      </c>
      <c r="AP79" s="3">
        <f t="shared" si="40"/>
        <v>41</v>
      </c>
      <c r="AQ79" s="3">
        <f t="shared" si="41"/>
        <v>38</v>
      </c>
      <c r="AR79" s="3">
        <f t="shared" si="42"/>
        <v>35</v>
      </c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M79" s="35" t="s">
        <v>12</v>
      </c>
      <c r="BO79" s="35"/>
      <c r="BR79" s="9" t="str">
        <f t="shared" si="48"/>
        <v/>
      </c>
      <c r="BS79" s="37" t="str">
        <f t="shared" si="49"/>
        <v/>
      </c>
      <c r="BT79" s="38" t="str">
        <f t="shared" si="44"/>
        <v/>
      </c>
      <c r="BU79" s="36" t="str">
        <f t="shared" si="50"/>
        <v/>
      </c>
    </row>
    <row r="80" spans="2:73" ht="15">
      <c r="B80" s="16">
        <f t="shared" si="51"/>
        <v>43633</v>
      </c>
      <c r="C80" s="15" t="s">
        <v>1</v>
      </c>
      <c r="D80" s="17">
        <f t="shared" si="52"/>
        <v>43639</v>
      </c>
      <c r="E80" s="18">
        <f t="shared" si="53"/>
        <v>6</v>
      </c>
      <c r="F80" s="19">
        <f t="shared" si="54"/>
        <v>2019</v>
      </c>
      <c r="G80" s="9">
        <f t="shared" si="55"/>
        <v>17</v>
      </c>
      <c r="H80" s="8">
        <f t="shared" si="55"/>
        <v>96</v>
      </c>
      <c r="I80" s="9"/>
      <c r="J80" s="9"/>
      <c r="K80" s="9"/>
      <c r="L80" s="9"/>
      <c r="M80" s="9"/>
      <c r="N80" s="9"/>
      <c r="O80" s="12"/>
      <c r="P80" s="12"/>
      <c r="Q80" s="12"/>
      <c r="R80" s="12"/>
      <c r="S80" s="12"/>
      <c r="T80" s="12"/>
      <c r="V80" s="20">
        <f t="shared" si="46"/>
        <v>8</v>
      </c>
      <c r="W80" s="20">
        <f t="shared" si="46"/>
        <v>12</v>
      </c>
      <c r="X80" s="20">
        <f t="shared" si="46"/>
        <v>16</v>
      </c>
      <c r="Y80" s="20">
        <f t="shared" si="45"/>
        <v>0</v>
      </c>
      <c r="Z80" s="20">
        <f t="shared" si="45"/>
        <v>0</v>
      </c>
      <c r="AA80" s="20">
        <f t="shared" si="45"/>
        <v>0</v>
      </c>
      <c r="AC80" s="3">
        <f t="shared" si="27"/>
        <v>33</v>
      </c>
      <c r="AD80" s="3">
        <f t="shared" si="28"/>
        <v>29</v>
      </c>
      <c r="AE80" s="3">
        <f t="shared" si="29"/>
        <v>24</v>
      </c>
      <c r="AF80" s="3">
        <f t="shared" si="30"/>
        <v>20</v>
      </c>
      <c r="AG80" s="3">
        <f t="shared" si="31"/>
        <v>0</v>
      </c>
      <c r="AH80" s="3">
        <f t="shared" si="32"/>
        <v>0</v>
      </c>
      <c r="AI80" s="3">
        <f t="shared" si="33"/>
        <v>92</v>
      </c>
      <c r="AJ80" s="3">
        <f t="shared" si="34"/>
        <v>88</v>
      </c>
      <c r="AK80" s="3">
        <f t="shared" si="35"/>
        <v>83</v>
      </c>
      <c r="AL80" s="3">
        <f t="shared" si="36"/>
        <v>80</v>
      </c>
      <c r="AM80" s="3">
        <f t="shared" si="37"/>
        <v>67</v>
      </c>
      <c r="AN80" s="3">
        <f t="shared" si="38"/>
        <v>61</v>
      </c>
      <c r="AO80" s="3">
        <f t="shared" si="39"/>
        <v>61</v>
      </c>
      <c r="AP80" s="3">
        <f t="shared" si="40"/>
        <v>42</v>
      </c>
      <c r="AQ80" s="3">
        <f t="shared" si="41"/>
        <v>39</v>
      </c>
      <c r="AR80" s="3">
        <f t="shared" si="42"/>
        <v>36</v>
      </c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M80" s="35" t="s">
        <v>12</v>
      </c>
      <c r="BO80" s="35"/>
      <c r="BR80" s="9" t="str">
        <f t="shared" si="48"/>
        <v/>
      </c>
      <c r="BS80" s="37" t="str">
        <f t="shared" si="49"/>
        <v/>
      </c>
      <c r="BT80" s="38" t="str">
        <f t="shared" si="44"/>
        <v/>
      </c>
      <c r="BU80" s="36" t="str">
        <f t="shared" si="50"/>
        <v/>
      </c>
    </row>
    <row r="81" spans="2:73" ht="15">
      <c r="B81" s="16">
        <f t="shared" si="51"/>
        <v>43640</v>
      </c>
      <c r="C81" s="15" t="s">
        <v>1</v>
      </c>
      <c r="D81" s="17">
        <f t="shared" si="52"/>
        <v>43646</v>
      </c>
      <c r="E81" s="18">
        <f t="shared" si="53"/>
        <v>6</v>
      </c>
      <c r="F81" s="19">
        <f t="shared" si="54"/>
        <v>2019</v>
      </c>
      <c r="G81" s="9">
        <f t="shared" si="55"/>
        <v>17</v>
      </c>
      <c r="H81" s="8">
        <f t="shared" si="55"/>
        <v>96</v>
      </c>
      <c r="I81" s="9"/>
      <c r="J81" s="9"/>
      <c r="K81" s="9"/>
      <c r="L81" s="9"/>
      <c r="M81" s="9"/>
      <c r="N81" s="9"/>
      <c r="O81" s="12"/>
      <c r="P81" s="12"/>
      <c r="Q81" s="12"/>
      <c r="R81" s="12"/>
      <c r="S81" s="12"/>
      <c r="T81" s="12"/>
      <c r="V81" s="20">
        <f t="shared" si="46"/>
        <v>9</v>
      </c>
      <c r="W81" s="20">
        <f t="shared" si="46"/>
        <v>13</v>
      </c>
      <c r="X81" s="20">
        <f t="shared" si="46"/>
        <v>17</v>
      </c>
      <c r="Y81" s="20">
        <f t="shared" si="45"/>
        <v>0</v>
      </c>
      <c r="Z81" s="20">
        <f t="shared" si="45"/>
        <v>0</v>
      </c>
      <c r="AA81" s="20">
        <f t="shared" si="45"/>
        <v>0</v>
      </c>
      <c r="AC81" s="3">
        <f t="shared" si="27"/>
        <v>34</v>
      </c>
      <c r="AD81" s="3">
        <f t="shared" si="28"/>
        <v>30</v>
      </c>
      <c r="AE81" s="3">
        <f t="shared" si="29"/>
        <v>25</v>
      </c>
      <c r="AF81" s="3">
        <f t="shared" si="30"/>
        <v>21</v>
      </c>
      <c r="AG81" s="3">
        <f t="shared" si="31"/>
        <v>17</v>
      </c>
      <c r="AH81" s="3">
        <f t="shared" si="32"/>
        <v>0</v>
      </c>
      <c r="AI81" s="3">
        <f t="shared" si="33"/>
        <v>93</v>
      </c>
      <c r="AJ81" s="3">
        <f t="shared" si="34"/>
        <v>89</v>
      </c>
      <c r="AK81" s="3">
        <f t="shared" si="35"/>
        <v>84</v>
      </c>
      <c r="AL81" s="3">
        <f t="shared" si="36"/>
        <v>81</v>
      </c>
      <c r="AM81" s="3">
        <f t="shared" si="37"/>
        <v>68</v>
      </c>
      <c r="AN81" s="3">
        <f t="shared" si="38"/>
        <v>62</v>
      </c>
      <c r="AO81" s="3">
        <f t="shared" si="39"/>
        <v>62</v>
      </c>
      <c r="AP81" s="3">
        <f t="shared" si="40"/>
        <v>43</v>
      </c>
      <c r="AQ81" s="3">
        <f t="shared" si="41"/>
        <v>40</v>
      </c>
      <c r="AR81" s="3">
        <f t="shared" si="42"/>
        <v>37</v>
      </c>
      <c r="AS81" s="8"/>
      <c r="AT81" s="8"/>
      <c r="AU81" s="8"/>
      <c r="AV81" s="8"/>
      <c r="AW81" s="8">
        <v>3</v>
      </c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L81">
        <v>13</v>
      </c>
      <c r="BM81" s="35">
        <v>43640</v>
      </c>
      <c r="BO81" s="35">
        <f>B98</f>
        <v>43759</v>
      </c>
      <c r="BP81">
        <v>98</v>
      </c>
      <c r="BR81" s="9" t="str">
        <f t="shared" si="48"/>
        <v/>
      </c>
      <c r="BS81" s="37" t="str">
        <f t="shared" si="49"/>
        <v/>
      </c>
      <c r="BT81" s="38" t="str">
        <f t="shared" si="44"/>
        <v/>
      </c>
      <c r="BU81" s="36" t="str">
        <f t="shared" si="50"/>
        <v/>
      </c>
    </row>
    <row r="82" spans="2:73" ht="15">
      <c r="B82" s="16">
        <f t="shared" si="51"/>
        <v>43647</v>
      </c>
      <c r="C82" s="15" t="s">
        <v>1</v>
      </c>
      <c r="D82" s="17">
        <f t="shared" si="52"/>
        <v>43653</v>
      </c>
      <c r="E82" s="18">
        <f t="shared" si="53"/>
        <v>7</v>
      </c>
      <c r="F82" s="19">
        <f t="shared" si="54"/>
        <v>2019</v>
      </c>
      <c r="G82" s="9">
        <f t="shared" si="55"/>
        <v>17</v>
      </c>
      <c r="H82" s="8">
        <f t="shared" si="55"/>
        <v>96</v>
      </c>
      <c r="I82" s="9"/>
      <c r="J82" s="9"/>
      <c r="K82" s="9"/>
      <c r="L82" s="9"/>
      <c r="M82" s="9"/>
      <c r="N82" s="9"/>
      <c r="O82" s="12"/>
      <c r="P82" s="12"/>
      <c r="Q82" s="12"/>
      <c r="R82" s="12">
        <v>1</v>
      </c>
      <c r="S82" s="12"/>
      <c r="T82" s="12"/>
      <c r="V82" s="20">
        <f t="shared" si="46"/>
        <v>10</v>
      </c>
      <c r="W82" s="20">
        <f t="shared" si="46"/>
        <v>14</v>
      </c>
      <c r="X82" s="20">
        <f t="shared" si="46"/>
        <v>0</v>
      </c>
      <c r="Y82" s="20">
        <f t="shared" si="45"/>
        <v>43649</v>
      </c>
      <c r="Z82" s="20">
        <f t="shared" si="45"/>
        <v>0</v>
      </c>
      <c r="AA82" s="20">
        <f t="shared" si="45"/>
        <v>0</v>
      </c>
      <c r="AC82" s="3">
        <f t="shared" si="27"/>
        <v>35</v>
      </c>
      <c r="AD82" s="3">
        <f t="shared" si="28"/>
        <v>31</v>
      </c>
      <c r="AE82" s="3">
        <f t="shared" si="29"/>
        <v>26</v>
      </c>
      <c r="AF82" s="3">
        <f t="shared" si="30"/>
        <v>22</v>
      </c>
      <c r="AG82" s="3">
        <f t="shared" si="31"/>
        <v>18</v>
      </c>
      <c r="AH82" s="3">
        <f t="shared" si="32"/>
        <v>0</v>
      </c>
      <c r="AI82" s="3">
        <f t="shared" si="33"/>
        <v>94</v>
      </c>
      <c r="AJ82" s="3">
        <f t="shared" si="34"/>
        <v>90</v>
      </c>
      <c r="AK82" s="3">
        <f t="shared" si="35"/>
        <v>85</v>
      </c>
      <c r="AL82" s="3">
        <f t="shared" si="36"/>
        <v>82</v>
      </c>
      <c r="AM82" s="3">
        <f t="shared" si="37"/>
        <v>69</v>
      </c>
      <c r="AN82" s="3">
        <f t="shared" si="38"/>
        <v>63</v>
      </c>
      <c r="AO82" s="3">
        <f t="shared" si="39"/>
        <v>63</v>
      </c>
      <c r="AP82" s="3">
        <f t="shared" si="40"/>
        <v>44</v>
      </c>
      <c r="AQ82" s="3">
        <f t="shared" si="41"/>
        <v>41</v>
      </c>
      <c r="AR82" s="3">
        <f t="shared" si="42"/>
        <v>38</v>
      </c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M82" s="35" t="s">
        <v>12</v>
      </c>
      <c r="BO82" s="35"/>
      <c r="BR82" s="9">
        <f t="shared" si="48"/>
        <v>4</v>
      </c>
      <c r="BS82" s="37">
        <f t="shared" si="49"/>
        <v>43649</v>
      </c>
      <c r="BT82" s="38">
        <f t="shared" si="44"/>
        <v>43768</v>
      </c>
      <c r="BU82" s="36">
        <f t="shared" si="50"/>
        <v>13</v>
      </c>
    </row>
    <row r="83" spans="2:73" ht="15">
      <c r="B83" s="16">
        <f t="shared" si="51"/>
        <v>43654</v>
      </c>
      <c r="C83" s="15" t="s">
        <v>1</v>
      </c>
      <c r="D83" s="17">
        <f t="shared" si="52"/>
        <v>43660</v>
      </c>
      <c r="E83" s="18">
        <f t="shared" si="53"/>
        <v>7</v>
      </c>
      <c r="F83" s="19">
        <f t="shared" si="54"/>
        <v>2019</v>
      </c>
      <c r="G83" s="9">
        <f t="shared" si="55"/>
        <v>17</v>
      </c>
      <c r="H83" s="8">
        <f t="shared" si="55"/>
        <v>96</v>
      </c>
      <c r="I83" s="9"/>
      <c r="J83" s="9"/>
      <c r="K83" s="9"/>
      <c r="L83" s="9"/>
      <c r="M83" s="9"/>
      <c r="N83" s="9"/>
      <c r="O83" s="12"/>
      <c r="P83" s="12"/>
      <c r="Q83" s="12"/>
      <c r="R83" s="12"/>
      <c r="S83" s="12"/>
      <c r="T83" s="12"/>
      <c r="V83" s="20">
        <f t="shared" si="46"/>
        <v>11</v>
      </c>
      <c r="W83" s="20">
        <f t="shared" si="46"/>
        <v>15</v>
      </c>
      <c r="X83" s="20">
        <f t="shared" si="46"/>
        <v>0</v>
      </c>
      <c r="Y83" s="20">
        <f t="shared" si="45"/>
        <v>1</v>
      </c>
      <c r="Z83" s="20">
        <f t="shared" si="45"/>
        <v>0</v>
      </c>
      <c r="AA83" s="20">
        <f t="shared" si="45"/>
        <v>0</v>
      </c>
      <c r="AC83" s="3">
        <f t="shared" si="27"/>
        <v>36</v>
      </c>
      <c r="AD83" s="3">
        <f t="shared" si="28"/>
        <v>32</v>
      </c>
      <c r="AE83" s="3">
        <f t="shared" si="29"/>
        <v>27</v>
      </c>
      <c r="AF83" s="3">
        <f t="shared" si="30"/>
        <v>23</v>
      </c>
      <c r="AG83" s="3">
        <f t="shared" si="31"/>
        <v>19</v>
      </c>
      <c r="AH83" s="3">
        <f t="shared" si="32"/>
        <v>0</v>
      </c>
      <c r="AI83" s="3">
        <f t="shared" si="33"/>
        <v>95</v>
      </c>
      <c r="AJ83" s="3">
        <f t="shared" si="34"/>
        <v>91</v>
      </c>
      <c r="AK83" s="3">
        <f t="shared" si="35"/>
        <v>86</v>
      </c>
      <c r="AL83" s="3">
        <f t="shared" si="36"/>
        <v>83</v>
      </c>
      <c r="AM83" s="3">
        <f t="shared" si="37"/>
        <v>70</v>
      </c>
      <c r="AN83" s="3">
        <f t="shared" si="38"/>
        <v>64</v>
      </c>
      <c r="AO83" s="3">
        <f t="shared" si="39"/>
        <v>64</v>
      </c>
      <c r="AP83" s="3">
        <f t="shared" si="40"/>
        <v>45</v>
      </c>
      <c r="AQ83" s="3">
        <f t="shared" si="41"/>
        <v>42</v>
      </c>
      <c r="AR83" s="3">
        <f t="shared" si="42"/>
        <v>39</v>
      </c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M83" s="35" t="s">
        <v>12</v>
      </c>
      <c r="BO83" s="35"/>
      <c r="BR83" s="9" t="str">
        <f t="shared" si="48"/>
        <v/>
      </c>
      <c r="BS83" s="37" t="str">
        <f t="shared" si="49"/>
        <v/>
      </c>
      <c r="BT83" s="38" t="str">
        <f t="shared" si="44"/>
        <v/>
      </c>
      <c r="BU83" s="36" t="str">
        <f t="shared" si="50"/>
        <v/>
      </c>
    </row>
    <row r="84" spans="2:73" ht="15">
      <c r="B84" s="16">
        <f t="shared" si="51"/>
        <v>43661</v>
      </c>
      <c r="C84" s="15" t="s">
        <v>1</v>
      </c>
      <c r="D84" s="17">
        <f t="shared" si="52"/>
        <v>43667</v>
      </c>
      <c r="E84" s="18">
        <f t="shared" si="53"/>
        <v>7</v>
      </c>
      <c r="F84" s="19">
        <f t="shared" si="54"/>
        <v>2019</v>
      </c>
      <c r="G84" s="9">
        <f t="shared" si="55"/>
        <v>17</v>
      </c>
      <c r="H84" s="8">
        <f t="shared" si="55"/>
        <v>96</v>
      </c>
      <c r="I84" s="9"/>
      <c r="J84" s="9"/>
      <c r="K84" s="9"/>
      <c r="L84" s="9"/>
      <c r="M84" s="9"/>
      <c r="N84" s="9"/>
      <c r="O84" s="12"/>
      <c r="P84" s="12"/>
      <c r="Q84" s="12"/>
      <c r="R84" s="12"/>
      <c r="S84" s="12"/>
      <c r="T84" s="12"/>
      <c r="V84" s="20">
        <f t="shared" si="46"/>
        <v>12</v>
      </c>
      <c r="W84" s="20">
        <f t="shared" si="46"/>
        <v>16</v>
      </c>
      <c r="X84" s="20">
        <f t="shared" si="46"/>
        <v>0</v>
      </c>
      <c r="Y84" s="20">
        <f t="shared" si="45"/>
        <v>2</v>
      </c>
      <c r="Z84" s="20">
        <f t="shared" si="45"/>
        <v>0</v>
      </c>
      <c r="AA84" s="20">
        <f t="shared" si="45"/>
        <v>0</v>
      </c>
      <c r="AC84" s="3">
        <f t="shared" si="27"/>
        <v>37</v>
      </c>
      <c r="AD84" s="3">
        <f t="shared" si="28"/>
        <v>33</v>
      </c>
      <c r="AE84" s="3">
        <f t="shared" si="29"/>
        <v>28</v>
      </c>
      <c r="AF84" s="3">
        <f t="shared" si="30"/>
        <v>24</v>
      </c>
      <c r="AG84" s="3">
        <f t="shared" si="31"/>
        <v>20</v>
      </c>
      <c r="AH84" s="3">
        <f t="shared" si="32"/>
        <v>0</v>
      </c>
      <c r="AI84" s="3">
        <f t="shared" si="33"/>
        <v>96</v>
      </c>
      <c r="AJ84" s="3">
        <f t="shared" si="34"/>
        <v>92</v>
      </c>
      <c r="AK84" s="3">
        <f t="shared" si="35"/>
        <v>87</v>
      </c>
      <c r="AL84" s="3">
        <f t="shared" si="36"/>
        <v>84</v>
      </c>
      <c r="AM84" s="3">
        <f t="shared" si="37"/>
        <v>71</v>
      </c>
      <c r="AN84" s="3">
        <f t="shared" si="38"/>
        <v>65</v>
      </c>
      <c r="AO84" s="3">
        <f t="shared" si="39"/>
        <v>65</v>
      </c>
      <c r="AP84" s="3">
        <f t="shared" si="40"/>
        <v>46</v>
      </c>
      <c r="AQ84" s="3">
        <f t="shared" si="41"/>
        <v>43</v>
      </c>
      <c r="AR84" s="3">
        <f t="shared" si="42"/>
        <v>40</v>
      </c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M84" s="35" t="s">
        <v>12</v>
      </c>
      <c r="BO84" s="35"/>
      <c r="BR84" s="9" t="str">
        <f t="shared" si="48"/>
        <v/>
      </c>
      <c r="BS84" s="37" t="str">
        <f t="shared" si="49"/>
        <v/>
      </c>
      <c r="BT84" s="38" t="str">
        <f t="shared" si="44"/>
        <v/>
      </c>
      <c r="BU84" s="36" t="str">
        <f t="shared" si="50"/>
        <v/>
      </c>
    </row>
    <row r="85" spans="2:73" ht="15">
      <c r="B85" s="16">
        <f t="shared" si="51"/>
        <v>43668</v>
      </c>
      <c r="C85" s="15" t="s">
        <v>1</v>
      </c>
      <c r="D85" s="17">
        <f t="shared" si="52"/>
        <v>43674</v>
      </c>
      <c r="E85" s="18">
        <f t="shared" si="53"/>
        <v>7</v>
      </c>
      <c r="F85" s="19">
        <f t="shared" si="54"/>
        <v>2019</v>
      </c>
      <c r="G85" s="9">
        <f t="shared" si="55"/>
        <v>17</v>
      </c>
      <c r="H85" s="8">
        <f t="shared" si="55"/>
        <v>96</v>
      </c>
      <c r="I85" s="9"/>
      <c r="J85" s="9"/>
      <c r="K85" s="9"/>
      <c r="L85" s="9"/>
      <c r="M85" s="9"/>
      <c r="N85" s="9"/>
      <c r="O85" s="12"/>
      <c r="P85" s="12"/>
      <c r="Q85" s="12"/>
      <c r="R85" s="12"/>
      <c r="S85" s="12"/>
      <c r="T85" s="12"/>
      <c r="V85" s="20">
        <f t="shared" si="46"/>
        <v>13</v>
      </c>
      <c r="W85" s="20">
        <f t="shared" si="46"/>
        <v>17</v>
      </c>
      <c r="X85" s="20">
        <f t="shared" si="46"/>
        <v>0</v>
      </c>
      <c r="Y85" s="20">
        <f t="shared" si="45"/>
        <v>3</v>
      </c>
      <c r="Z85" s="20">
        <f t="shared" si="45"/>
        <v>0</v>
      </c>
      <c r="AA85" s="20">
        <f t="shared" si="45"/>
        <v>0</v>
      </c>
      <c r="AC85" s="3">
        <f t="shared" si="27"/>
        <v>38</v>
      </c>
      <c r="AD85" s="3">
        <f t="shared" si="28"/>
        <v>34</v>
      </c>
      <c r="AE85" s="3">
        <f t="shared" si="29"/>
        <v>29</v>
      </c>
      <c r="AF85" s="3">
        <f t="shared" si="30"/>
        <v>25</v>
      </c>
      <c r="AG85" s="3">
        <f t="shared" si="31"/>
        <v>21</v>
      </c>
      <c r="AH85" s="3">
        <f t="shared" si="32"/>
        <v>17</v>
      </c>
      <c r="AI85" s="3">
        <f t="shared" si="33"/>
        <v>0</v>
      </c>
      <c r="AJ85" s="3">
        <f t="shared" si="34"/>
        <v>93</v>
      </c>
      <c r="AK85" s="3">
        <f t="shared" si="35"/>
        <v>88</v>
      </c>
      <c r="AL85" s="3">
        <f t="shared" si="36"/>
        <v>85</v>
      </c>
      <c r="AM85" s="3">
        <f t="shared" si="37"/>
        <v>72</v>
      </c>
      <c r="AN85" s="3">
        <f t="shared" si="38"/>
        <v>66</v>
      </c>
      <c r="AO85" s="3">
        <f t="shared" si="39"/>
        <v>66</v>
      </c>
      <c r="AP85" s="3">
        <f t="shared" si="40"/>
        <v>47</v>
      </c>
      <c r="AQ85" s="3">
        <f t="shared" si="41"/>
        <v>44</v>
      </c>
      <c r="AR85" s="3">
        <f t="shared" si="42"/>
        <v>41</v>
      </c>
      <c r="AS85" s="8"/>
      <c r="AT85" s="8"/>
      <c r="AU85" s="8"/>
      <c r="AV85" s="8"/>
      <c r="AW85" s="8"/>
      <c r="AX85" s="8">
        <v>2</v>
      </c>
      <c r="AY85" s="8"/>
      <c r="AZ85" s="8"/>
      <c r="BA85" s="8"/>
      <c r="BB85" s="8"/>
      <c r="BC85" s="8"/>
      <c r="BD85" s="8"/>
      <c r="BE85" s="8"/>
      <c r="BF85" s="8"/>
      <c r="BG85" s="8"/>
      <c r="BH85" s="8"/>
      <c r="BM85" s="35" t="s">
        <v>12</v>
      </c>
      <c r="BO85" s="35"/>
      <c r="BR85" s="9" t="str">
        <f t="shared" si="48"/>
        <v/>
      </c>
      <c r="BS85" s="37" t="str">
        <f t="shared" si="49"/>
        <v/>
      </c>
      <c r="BT85" s="38" t="str">
        <f t="shared" si="44"/>
        <v/>
      </c>
      <c r="BU85" s="36" t="str">
        <f t="shared" si="50"/>
        <v/>
      </c>
    </row>
    <row r="86" spans="2:73" ht="15">
      <c r="B86" s="16">
        <f t="shared" si="51"/>
        <v>43675</v>
      </c>
      <c r="C86" s="15" t="s">
        <v>1</v>
      </c>
      <c r="D86" s="17">
        <f t="shared" si="52"/>
        <v>43681</v>
      </c>
      <c r="E86" s="18">
        <f t="shared" si="53"/>
        <v>7</v>
      </c>
      <c r="F86" s="19">
        <f t="shared" si="54"/>
        <v>2019</v>
      </c>
      <c r="G86" s="9">
        <f t="shared" ref="G86:H101" si="56">G85</f>
        <v>17</v>
      </c>
      <c r="H86" s="8">
        <f t="shared" si="56"/>
        <v>96</v>
      </c>
      <c r="I86" s="9"/>
      <c r="J86" s="9"/>
      <c r="K86" s="9"/>
      <c r="L86" s="9"/>
      <c r="M86" s="9"/>
      <c r="N86" s="9"/>
      <c r="O86" s="12"/>
      <c r="P86" s="12"/>
      <c r="Q86" s="12"/>
      <c r="R86" s="12"/>
      <c r="S86" s="12"/>
      <c r="T86" s="12"/>
      <c r="V86" s="20">
        <f t="shared" si="46"/>
        <v>14</v>
      </c>
      <c r="W86" s="20">
        <f t="shared" si="46"/>
        <v>0</v>
      </c>
      <c r="X86" s="20">
        <f t="shared" si="46"/>
        <v>0</v>
      </c>
      <c r="Y86" s="20">
        <f t="shared" si="45"/>
        <v>4</v>
      </c>
      <c r="Z86" s="20">
        <f t="shared" si="45"/>
        <v>0</v>
      </c>
      <c r="AA86" s="20">
        <f t="shared" si="45"/>
        <v>0</v>
      </c>
      <c r="AC86" s="3">
        <f t="shared" si="27"/>
        <v>39</v>
      </c>
      <c r="AD86" s="3">
        <f t="shared" si="28"/>
        <v>35</v>
      </c>
      <c r="AE86" s="3">
        <f t="shared" si="29"/>
        <v>30</v>
      </c>
      <c r="AF86" s="3">
        <f t="shared" si="30"/>
        <v>26</v>
      </c>
      <c r="AG86" s="3">
        <f t="shared" si="31"/>
        <v>22</v>
      </c>
      <c r="AH86" s="3">
        <f t="shared" si="32"/>
        <v>18</v>
      </c>
      <c r="AI86" s="3">
        <f t="shared" si="33"/>
        <v>0</v>
      </c>
      <c r="AJ86" s="3">
        <f t="shared" si="34"/>
        <v>94</v>
      </c>
      <c r="AK86" s="3">
        <f t="shared" si="35"/>
        <v>89</v>
      </c>
      <c r="AL86" s="3">
        <f t="shared" si="36"/>
        <v>86</v>
      </c>
      <c r="AM86" s="3">
        <f t="shared" si="37"/>
        <v>73</v>
      </c>
      <c r="AN86" s="3">
        <f t="shared" si="38"/>
        <v>67</v>
      </c>
      <c r="AO86" s="3">
        <f t="shared" si="39"/>
        <v>67</v>
      </c>
      <c r="AP86" s="3">
        <f t="shared" si="40"/>
        <v>48</v>
      </c>
      <c r="AQ86" s="3">
        <f t="shared" si="41"/>
        <v>45</v>
      </c>
      <c r="AR86" s="3">
        <f t="shared" si="42"/>
        <v>42</v>
      </c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L86">
        <v>14</v>
      </c>
      <c r="BM86" s="35">
        <v>43675</v>
      </c>
      <c r="BO86" s="35">
        <f>B103</f>
        <v>43794</v>
      </c>
      <c r="BP86">
        <v>98</v>
      </c>
      <c r="BR86" s="9" t="str">
        <f t="shared" si="48"/>
        <v/>
      </c>
      <c r="BS86" s="37" t="str">
        <f t="shared" si="49"/>
        <v/>
      </c>
      <c r="BT86" s="38" t="str">
        <f t="shared" si="44"/>
        <v/>
      </c>
      <c r="BU86" s="36" t="str">
        <f t="shared" si="50"/>
        <v/>
      </c>
    </row>
    <row r="87" spans="2:73" ht="15">
      <c r="B87" s="16">
        <f t="shared" si="51"/>
        <v>43682</v>
      </c>
      <c r="C87" s="15" t="s">
        <v>1</v>
      </c>
      <c r="D87" s="17">
        <f t="shared" si="52"/>
        <v>43688</v>
      </c>
      <c r="E87" s="18">
        <f t="shared" si="53"/>
        <v>8</v>
      </c>
      <c r="F87" s="19">
        <f t="shared" si="54"/>
        <v>2019</v>
      </c>
      <c r="G87" s="9">
        <f t="shared" si="56"/>
        <v>17</v>
      </c>
      <c r="H87" s="8">
        <f t="shared" si="56"/>
        <v>96</v>
      </c>
      <c r="I87" s="9"/>
      <c r="J87" s="9"/>
      <c r="K87" s="9"/>
      <c r="L87" s="9"/>
      <c r="M87" s="9"/>
      <c r="N87" s="9"/>
      <c r="O87" s="12"/>
      <c r="P87" s="12"/>
      <c r="Q87" s="12">
        <v>1</v>
      </c>
      <c r="R87" s="12"/>
      <c r="S87" s="12"/>
      <c r="T87" s="12"/>
      <c r="V87" s="20">
        <f t="shared" si="46"/>
        <v>15</v>
      </c>
      <c r="W87" s="20">
        <f t="shared" si="46"/>
        <v>0</v>
      </c>
      <c r="X87" s="20">
        <f t="shared" si="46"/>
        <v>43684</v>
      </c>
      <c r="Y87" s="20">
        <f t="shared" si="45"/>
        <v>5</v>
      </c>
      <c r="Z87" s="20">
        <f t="shared" si="45"/>
        <v>0</v>
      </c>
      <c r="AA87" s="20">
        <f t="shared" si="45"/>
        <v>0</v>
      </c>
      <c r="AC87" s="3">
        <f t="shared" si="27"/>
        <v>40</v>
      </c>
      <c r="AD87" s="3">
        <f t="shared" si="28"/>
        <v>36</v>
      </c>
      <c r="AE87" s="3">
        <f t="shared" si="29"/>
        <v>31</v>
      </c>
      <c r="AF87" s="3">
        <f t="shared" si="30"/>
        <v>27</v>
      </c>
      <c r="AG87" s="3">
        <f t="shared" si="31"/>
        <v>23</v>
      </c>
      <c r="AH87" s="3">
        <f t="shared" si="32"/>
        <v>19</v>
      </c>
      <c r="AI87" s="3">
        <f t="shared" si="33"/>
        <v>0</v>
      </c>
      <c r="AJ87" s="3">
        <f t="shared" si="34"/>
        <v>95</v>
      </c>
      <c r="AK87" s="3">
        <f t="shared" si="35"/>
        <v>90</v>
      </c>
      <c r="AL87" s="3">
        <f t="shared" si="36"/>
        <v>87</v>
      </c>
      <c r="AM87" s="3">
        <f t="shared" si="37"/>
        <v>74</v>
      </c>
      <c r="AN87" s="3">
        <f t="shared" si="38"/>
        <v>68</v>
      </c>
      <c r="AO87" s="3">
        <f t="shared" si="39"/>
        <v>68</v>
      </c>
      <c r="AP87" s="3">
        <f t="shared" si="40"/>
        <v>49</v>
      </c>
      <c r="AQ87" s="3">
        <f t="shared" si="41"/>
        <v>46</v>
      </c>
      <c r="AR87" s="3">
        <f t="shared" si="42"/>
        <v>43</v>
      </c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M87" s="35" t="s">
        <v>12</v>
      </c>
      <c r="BO87" s="35"/>
      <c r="BR87" s="9">
        <f t="shared" si="48"/>
        <v>3</v>
      </c>
      <c r="BS87" s="37">
        <f t="shared" si="49"/>
        <v>43684</v>
      </c>
      <c r="BT87" s="38">
        <f t="shared" si="44"/>
        <v>43803</v>
      </c>
      <c r="BU87" s="36">
        <f t="shared" si="50"/>
        <v>14</v>
      </c>
    </row>
    <row r="88" spans="2:73" ht="15">
      <c r="B88" s="16">
        <f t="shared" si="51"/>
        <v>43689</v>
      </c>
      <c r="C88" s="15" t="s">
        <v>1</v>
      </c>
      <c r="D88" s="17">
        <f t="shared" si="52"/>
        <v>43695</v>
      </c>
      <c r="E88" s="18">
        <f t="shared" si="53"/>
        <v>8</v>
      </c>
      <c r="F88" s="19">
        <f t="shared" si="54"/>
        <v>2019</v>
      </c>
      <c r="G88" s="9">
        <f t="shared" si="56"/>
        <v>17</v>
      </c>
      <c r="H88" s="8">
        <f t="shared" si="56"/>
        <v>96</v>
      </c>
      <c r="I88" s="9"/>
      <c r="J88" s="9"/>
      <c r="K88" s="9"/>
      <c r="L88" s="9"/>
      <c r="M88" s="9"/>
      <c r="N88" s="9"/>
      <c r="O88" s="12"/>
      <c r="P88" s="12"/>
      <c r="Q88" s="12"/>
      <c r="R88" s="12"/>
      <c r="S88" s="12"/>
      <c r="T88" s="12"/>
      <c r="V88" s="20">
        <f t="shared" si="46"/>
        <v>16</v>
      </c>
      <c r="W88" s="20">
        <f t="shared" si="46"/>
        <v>0</v>
      </c>
      <c r="X88" s="20">
        <f t="shared" si="46"/>
        <v>1</v>
      </c>
      <c r="Y88" s="20">
        <f t="shared" si="45"/>
        <v>6</v>
      </c>
      <c r="Z88" s="20">
        <f t="shared" si="45"/>
        <v>0</v>
      </c>
      <c r="AA88" s="20">
        <f t="shared" si="45"/>
        <v>0</v>
      </c>
      <c r="AC88" s="3">
        <f t="shared" si="27"/>
        <v>41</v>
      </c>
      <c r="AD88" s="3">
        <f t="shared" si="28"/>
        <v>37</v>
      </c>
      <c r="AE88" s="3">
        <f t="shared" si="29"/>
        <v>32</v>
      </c>
      <c r="AF88" s="3">
        <f t="shared" si="30"/>
        <v>28</v>
      </c>
      <c r="AG88" s="3">
        <f t="shared" si="31"/>
        <v>24</v>
      </c>
      <c r="AH88" s="3">
        <f t="shared" si="32"/>
        <v>20</v>
      </c>
      <c r="AI88" s="3">
        <f t="shared" si="33"/>
        <v>0</v>
      </c>
      <c r="AJ88" s="3">
        <f t="shared" si="34"/>
        <v>96</v>
      </c>
      <c r="AK88" s="3">
        <f t="shared" si="35"/>
        <v>91</v>
      </c>
      <c r="AL88" s="3">
        <f t="shared" si="36"/>
        <v>88</v>
      </c>
      <c r="AM88" s="3">
        <f t="shared" si="37"/>
        <v>75</v>
      </c>
      <c r="AN88" s="3">
        <f t="shared" si="38"/>
        <v>69</v>
      </c>
      <c r="AO88" s="3">
        <f t="shared" si="39"/>
        <v>69</v>
      </c>
      <c r="AP88" s="3">
        <f t="shared" si="40"/>
        <v>50</v>
      </c>
      <c r="AQ88" s="3">
        <f t="shared" si="41"/>
        <v>47</v>
      </c>
      <c r="AR88" s="3">
        <f t="shared" si="42"/>
        <v>44</v>
      </c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M88" s="35" t="s">
        <v>12</v>
      </c>
      <c r="BO88" s="35"/>
      <c r="BR88" s="9" t="str">
        <f t="shared" si="48"/>
        <v/>
      </c>
      <c r="BS88" s="37" t="str">
        <f t="shared" si="49"/>
        <v/>
      </c>
      <c r="BT88" s="38" t="str">
        <f t="shared" si="44"/>
        <v/>
      </c>
      <c r="BU88" s="36" t="str">
        <f t="shared" si="50"/>
        <v/>
      </c>
    </row>
    <row r="89" spans="2:73" ht="15">
      <c r="B89" s="16">
        <f t="shared" si="51"/>
        <v>43696</v>
      </c>
      <c r="C89" s="15" t="s">
        <v>1</v>
      </c>
      <c r="D89" s="17">
        <f t="shared" si="52"/>
        <v>43702</v>
      </c>
      <c r="E89" s="18">
        <f t="shared" si="53"/>
        <v>8</v>
      </c>
      <c r="F89" s="19">
        <f t="shared" si="54"/>
        <v>2019</v>
      </c>
      <c r="G89" s="9">
        <f t="shared" si="56"/>
        <v>17</v>
      </c>
      <c r="H89" s="8">
        <f t="shared" si="56"/>
        <v>96</v>
      </c>
      <c r="I89" s="9"/>
      <c r="J89" s="9"/>
      <c r="K89" s="9"/>
      <c r="L89" s="9"/>
      <c r="M89" s="9"/>
      <c r="N89" s="9"/>
      <c r="O89" s="12"/>
      <c r="P89" s="12"/>
      <c r="Q89" s="12"/>
      <c r="R89" s="12"/>
      <c r="S89" s="12"/>
      <c r="T89" s="12"/>
      <c r="V89" s="20">
        <f t="shared" si="46"/>
        <v>17</v>
      </c>
      <c r="W89" s="20">
        <f t="shared" si="46"/>
        <v>0</v>
      </c>
      <c r="X89" s="20">
        <f t="shared" si="46"/>
        <v>2</v>
      </c>
      <c r="Y89" s="20">
        <f t="shared" si="45"/>
        <v>7</v>
      </c>
      <c r="Z89" s="20">
        <f t="shared" si="45"/>
        <v>0</v>
      </c>
      <c r="AA89" s="20">
        <f t="shared" si="45"/>
        <v>0</v>
      </c>
      <c r="AC89" s="3">
        <f t="shared" si="27"/>
        <v>42</v>
      </c>
      <c r="AD89" s="3">
        <f t="shared" si="28"/>
        <v>38</v>
      </c>
      <c r="AE89" s="3">
        <f t="shared" si="29"/>
        <v>33</v>
      </c>
      <c r="AF89" s="3">
        <f t="shared" si="30"/>
        <v>29</v>
      </c>
      <c r="AG89" s="3">
        <f t="shared" si="31"/>
        <v>25</v>
      </c>
      <c r="AH89" s="3">
        <f t="shared" si="32"/>
        <v>21</v>
      </c>
      <c r="AI89" s="3">
        <f t="shared" si="33"/>
        <v>17</v>
      </c>
      <c r="AJ89" s="3">
        <f t="shared" si="34"/>
        <v>0</v>
      </c>
      <c r="AK89" s="3">
        <f t="shared" si="35"/>
        <v>92</v>
      </c>
      <c r="AL89" s="3">
        <f t="shared" si="36"/>
        <v>89</v>
      </c>
      <c r="AM89" s="3">
        <f t="shared" si="37"/>
        <v>76</v>
      </c>
      <c r="AN89" s="3">
        <f t="shared" si="38"/>
        <v>70</v>
      </c>
      <c r="AO89" s="3">
        <f t="shared" si="39"/>
        <v>70</v>
      </c>
      <c r="AP89" s="3">
        <f t="shared" si="40"/>
        <v>51</v>
      </c>
      <c r="AQ89" s="3">
        <f t="shared" si="41"/>
        <v>48</v>
      </c>
      <c r="AR89" s="3">
        <f t="shared" si="42"/>
        <v>45</v>
      </c>
      <c r="AS89" s="8"/>
      <c r="AT89" s="8"/>
      <c r="AU89" s="8"/>
      <c r="AV89" s="8"/>
      <c r="AW89" s="8"/>
      <c r="AX89" s="8"/>
      <c r="AY89" s="8">
        <v>1</v>
      </c>
      <c r="AZ89" s="8"/>
      <c r="BA89" s="8"/>
      <c r="BB89" s="8"/>
      <c r="BC89" s="8"/>
      <c r="BD89" s="8"/>
      <c r="BE89" s="8"/>
      <c r="BF89" s="8"/>
      <c r="BG89" s="8"/>
      <c r="BH89" s="8"/>
      <c r="BM89" s="35" t="s">
        <v>12</v>
      </c>
      <c r="BO89" s="35"/>
      <c r="BR89" s="9" t="str">
        <f t="shared" si="48"/>
        <v/>
      </c>
      <c r="BS89" s="37" t="str">
        <f t="shared" si="49"/>
        <v/>
      </c>
      <c r="BT89" s="38" t="str">
        <f t="shared" si="44"/>
        <v/>
      </c>
      <c r="BU89" s="36" t="str">
        <f t="shared" si="50"/>
        <v/>
      </c>
    </row>
    <row r="90" spans="2:73" ht="15">
      <c r="B90" s="16">
        <f t="shared" si="51"/>
        <v>43703</v>
      </c>
      <c r="C90" s="15" t="s">
        <v>1</v>
      </c>
      <c r="D90" s="17">
        <f t="shared" si="52"/>
        <v>43709</v>
      </c>
      <c r="E90" s="18">
        <f t="shared" si="53"/>
        <v>8</v>
      </c>
      <c r="F90" s="19">
        <f t="shared" si="54"/>
        <v>2019</v>
      </c>
      <c r="G90" s="9">
        <f t="shared" si="56"/>
        <v>17</v>
      </c>
      <c r="H90" s="8">
        <f t="shared" si="56"/>
        <v>96</v>
      </c>
      <c r="I90" s="9"/>
      <c r="J90" s="9"/>
      <c r="K90" s="9"/>
      <c r="L90" s="9"/>
      <c r="M90" s="9"/>
      <c r="N90" s="9"/>
      <c r="O90" s="12"/>
      <c r="P90" s="12"/>
      <c r="Q90" s="12"/>
      <c r="R90" s="12"/>
      <c r="S90" s="12"/>
      <c r="T90" s="12"/>
      <c r="V90" s="20">
        <f t="shared" si="46"/>
        <v>0</v>
      </c>
      <c r="W90" s="20">
        <f t="shared" si="46"/>
        <v>0</v>
      </c>
      <c r="X90" s="20">
        <f t="shared" si="46"/>
        <v>3</v>
      </c>
      <c r="Y90" s="20">
        <f t="shared" si="45"/>
        <v>8</v>
      </c>
      <c r="Z90" s="20">
        <f t="shared" si="45"/>
        <v>0</v>
      </c>
      <c r="AA90" s="20">
        <f t="shared" si="45"/>
        <v>0</v>
      </c>
      <c r="AC90" s="3">
        <f t="shared" si="27"/>
        <v>43</v>
      </c>
      <c r="AD90" s="3">
        <f t="shared" si="28"/>
        <v>39</v>
      </c>
      <c r="AE90" s="3">
        <f t="shared" si="29"/>
        <v>34</v>
      </c>
      <c r="AF90" s="3">
        <f t="shared" si="30"/>
        <v>30</v>
      </c>
      <c r="AG90" s="3">
        <f t="shared" si="31"/>
        <v>26</v>
      </c>
      <c r="AH90" s="3">
        <f t="shared" si="32"/>
        <v>22</v>
      </c>
      <c r="AI90" s="3">
        <f t="shared" si="33"/>
        <v>18</v>
      </c>
      <c r="AJ90" s="3">
        <f t="shared" si="34"/>
        <v>0</v>
      </c>
      <c r="AK90" s="3">
        <f t="shared" si="35"/>
        <v>93</v>
      </c>
      <c r="AL90" s="3">
        <f t="shared" si="36"/>
        <v>90</v>
      </c>
      <c r="AM90" s="3">
        <f t="shared" si="37"/>
        <v>77</v>
      </c>
      <c r="AN90" s="3">
        <f t="shared" si="38"/>
        <v>71</v>
      </c>
      <c r="AO90" s="3">
        <f t="shared" si="39"/>
        <v>71</v>
      </c>
      <c r="AP90" s="3">
        <f t="shared" si="40"/>
        <v>52</v>
      </c>
      <c r="AQ90" s="3">
        <f t="shared" si="41"/>
        <v>49</v>
      </c>
      <c r="AR90" s="3">
        <f t="shared" si="42"/>
        <v>46</v>
      </c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M90" s="35" t="s">
        <v>12</v>
      </c>
      <c r="BO90" s="35"/>
      <c r="BR90" s="9" t="str">
        <f t="shared" si="48"/>
        <v/>
      </c>
      <c r="BS90" s="37" t="str">
        <f t="shared" si="49"/>
        <v/>
      </c>
      <c r="BT90" s="38" t="str">
        <f t="shared" si="44"/>
        <v/>
      </c>
      <c r="BU90" s="36" t="str">
        <f t="shared" si="50"/>
        <v/>
      </c>
    </row>
    <row r="91" spans="2:73" ht="15">
      <c r="B91" s="16">
        <f t="shared" si="51"/>
        <v>43710</v>
      </c>
      <c r="C91" s="15" t="s">
        <v>1</v>
      </c>
      <c r="D91" s="17">
        <f t="shared" si="52"/>
        <v>43716</v>
      </c>
      <c r="E91" s="18">
        <f t="shared" si="53"/>
        <v>9</v>
      </c>
      <c r="F91" s="19">
        <f t="shared" si="54"/>
        <v>2019</v>
      </c>
      <c r="G91" s="9">
        <f t="shared" si="56"/>
        <v>17</v>
      </c>
      <c r="H91" s="8">
        <f t="shared" si="56"/>
        <v>96</v>
      </c>
      <c r="I91" s="9"/>
      <c r="J91" s="9"/>
      <c r="K91" s="9"/>
      <c r="L91" s="9"/>
      <c r="M91" s="9"/>
      <c r="N91" s="9"/>
      <c r="O91" s="12"/>
      <c r="P91" s="12"/>
      <c r="Q91" s="12"/>
      <c r="R91" s="12"/>
      <c r="S91" s="12"/>
      <c r="T91" s="12"/>
      <c r="V91" s="20">
        <f t="shared" si="46"/>
        <v>0</v>
      </c>
      <c r="W91" s="20">
        <f t="shared" si="46"/>
        <v>0</v>
      </c>
      <c r="X91" s="20">
        <f t="shared" si="46"/>
        <v>4</v>
      </c>
      <c r="Y91" s="20">
        <f t="shared" si="45"/>
        <v>9</v>
      </c>
      <c r="Z91" s="20">
        <f t="shared" si="45"/>
        <v>0</v>
      </c>
      <c r="AA91" s="20">
        <f t="shared" si="45"/>
        <v>0</v>
      </c>
      <c r="AC91" s="3">
        <f t="shared" si="27"/>
        <v>44</v>
      </c>
      <c r="AD91" s="3">
        <f t="shared" si="28"/>
        <v>40</v>
      </c>
      <c r="AE91" s="3">
        <f t="shared" si="29"/>
        <v>35</v>
      </c>
      <c r="AF91" s="3">
        <f t="shared" si="30"/>
        <v>31</v>
      </c>
      <c r="AG91" s="3">
        <f t="shared" si="31"/>
        <v>27</v>
      </c>
      <c r="AH91" s="3">
        <f t="shared" si="32"/>
        <v>23</v>
      </c>
      <c r="AI91" s="3">
        <f t="shared" si="33"/>
        <v>19</v>
      </c>
      <c r="AJ91" s="3">
        <f t="shared" si="34"/>
        <v>0</v>
      </c>
      <c r="AK91" s="3">
        <f t="shared" si="35"/>
        <v>94</v>
      </c>
      <c r="AL91" s="3">
        <f t="shared" si="36"/>
        <v>91</v>
      </c>
      <c r="AM91" s="3">
        <f t="shared" si="37"/>
        <v>78</v>
      </c>
      <c r="AN91" s="3">
        <f t="shared" si="38"/>
        <v>72</v>
      </c>
      <c r="AO91" s="3">
        <f t="shared" si="39"/>
        <v>72</v>
      </c>
      <c r="AP91" s="3">
        <f t="shared" si="40"/>
        <v>53</v>
      </c>
      <c r="AQ91" s="3">
        <f t="shared" si="41"/>
        <v>50</v>
      </c>
      <c r="AR91" s="3">
        <f t="shared" si="42"/>
        <v>47</v>
      </c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M91" s="35" t="s">
        <v>12</v>
      </c>
      <c r="BO91" s="35"/>
      <c r="BR91" s="9" t="str">
        <f t="shared" si="48"/>
        <v/>
      </c>
      <c r="BS91" s="37" t="str">
        <f t="shared" si="49"/>
        <v/>
      </c>
      <c r="BT91" s="38" t="str">
        <f t="shared" si="44"/>
        <v/>
      </c>
      <c r="BU91" s="36">
        <f t="shared" si="50"/>
        <v>3</v>
      </c>
    </row>
    <row r="92" spans="2:73" ht="15">
      <c r="B92" s="16">
        <f t="shared" si="51"/>
        <v>43717</v>
      </c>
      <c r="C92" s="15" t="s">
        <v>1</v>
      </c>
      <c r="D92" s="17">
        <f t="shared" si="52"/>
        <v>43723</v>
      </c>
      <c r="E92" s="18">
        <f t="shared" si="53"/>
        <v>9</v>
      </c>
      <c r="F92" s="19">
        <f t="shared" si="54"/>
        <v>2019</v>
      </c>
      <c r="G92" s="9">
        <f t="shared" si="56"/>
        <v>17</v>
      </c>
      <c r="H92" s="8">
        <f t="shared" si="56"/>
        <v>96</v>
      </c>
      <c r="I92" s="9"/>
      <c r="J92" s="9"/>
      <c r="K92" s="9"/>
      <c r="L92" s="9"/>
      <c r="M92" s="9"/>
      <c r="N92" s="9"/>
      <c r="O92" s="12"/>
      <c r="P92" s="12">
        <v>1</v>
      </c>
      <c r="Q92" s="12"/>
      <c r="R92" s="12"/>
      <c r="S92" s="12"/>
      <c r="T92" s="12"/>
      <c r="V92" s="20">
        <f t="shared" si="46"/>
        <v>0</v>
      </c>
      <c r="W92" s="20">
        <f t="shared" si="46"/>
        <v>43719</v>
      </c>
      <c r="X92" s="20">
        <f t="shared" si="46"/>
        <v>5</v>
      </c>
      <c r="Y92" s="20">
        <f t="shared" si="45"/>
        <v>10</v>
      </c>
      <c r="Z92" s="20">
        <f t="shared" si="45"/>
        <v>0</v>
      </c>
      <c r="AA92" s="20">
        <f t="shared" si="45"/>
        <v>0</v>
      </c>
      <c r="AC92" s="3">
        <f t="shared" si="27"/>
        <v>45</v>
      </c>
      <c r="AD92" s="3">
        <f t="shared" si="28"/>
        <v>41</v>
      </c>
      <c r="AE92" s="3">
        <f t="shared" si="29"/>
        <v>36</v>
      </c>
      <c r="AF92" s="3">
        <f t="shared" si="30"/>
        <v>32</v>
      </c>
      <c r="AG92" s="3">
        <f t="shared" si="31"/>
        <v>28</v>
      </c>
      <c r="AH92" s="3">
        <f t="shared" si="32"/>
        <v>24</v>
      </c>
      <c r="AI92" s="3">
        <f t="shared" si="33"/>
        <v>20</v>
      </c>
      <c r="AJ92" s="3">
        <f t="shared" si="34"/>
        <v>0</v>
      </c>
      <c r="AK92" s="3">
        <f t="shared" si="35"/>
        <v>95</v>
      </c>
      <c r="AL92" s="3">
        <f t="shared" si="36"/>
        <v>92</v>
      </c>
      <c r="AM92" s="3">
        <f t="shared" si="37"/>
        <v>79</v>
      </c>
      <c r="AN92" s="3">
        <f t="shared" si="38"/>
        <v>73</v>
      </c>
      <c r="AO92" s="3">
        <f t="shared" si="39"/>
        <v>73</v>
      </c>
      <c r="AP92" s="3">
        <f t="shared" si="40"/>
        <v>54</v>
      </c>
      <c r="AQ92" s="3">
        <f t="shared" si="41"/>
        <v>51</v>
      </c>
      <c r="AR92" s="3">
        <f t="shared" si="42"/>
        <v>48</v>
      </c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L92">
        <v>3</v>
      </c>
      <c r="BM92" s="35">
        <v>43717</v>
      </c>
      <c r="BO92" s="35">
        <f>B109</f>
        <v>43836</v>
      </c>
      <c r="BP92">
        <v>98</v>
      </c>
      <c r="BR92" s="9">
        <f t="shared" si="48"/>
        <v>2</v>
      </c>
      <c r="BS92" s="37">
        <f t="shared" si="49"/>
        <v>43719</v>
      </c>
      <c r="BT92" s="38">
        <f t="shared" si="44"/>
        <v>43838</v>
      </c>
      <c r="BU92" s="36" t="str">
        <f t="shared" si="50"/>
        <v/>
      </c>
    </row>
    <row r="93" spans="2:73" ht="15">
      <c r="B93" s="16">
        <f t="shared" si="51"/>
        <v>43724</v>
      </c>
      <c r="C93" s="15" t="s">
        <v>1</v>
      </c>
      <c r="D93" s="17">
        <f t="shared" si="52"/>
        <v>43730</v>
      </c>
      <c r="E93" s="18">
        <f t="shared" si="53"/>
        <v>9</v>
      </c>
      <c r="F93" s="19">
        <f t="shared" si="54"/>
        <v>2019</v>
      </c>
      <c r="G93" s="9">
        <f t="shared" si="56"/>
        <v>17</v>
      </c>
      <c r="H93" s="8">
        <f t="shared" si="56"/>
        <v>96</v>
      </c>
      <c r="I93" s="9"/>
      <c r="J93" s="9"/>
      <c r="K93" s="9"/>
      <c r="L93" s="9"/>
      <c r="M93" s="9"/>
      <c r="N93" s="9"/>
      <c r="O93" s="12"/>
      <c r="P93" s="12"/>
      <c r="Q93" s="12"/>
      <c r="R93" s="12"/>
      <c r="S93" s="12"/>
      <c r="T93" s="12"/>
      <c r="V93" s="20">
        <f t="shared" si="46"/>
        <v>0</v>
      </c>
      <c r="W93" s="20">
        <f t="shared" si="46"/>
        <v>1</v>
      </c>
      <c r="X93" s="20">
        <f t="shared" si="46"/>
        <v>6</v>
      </c>
      <c r="Y93" s="20">
        <f t="shared" si="45"/>
        <v>11</v>
      </c>
      <c r="Z93" s="20">
        <f t="shared" si="45"/>
        <v>0</v>
      </c>
      <c r="AA93" s="20">
        <f t="shared" si="45"/>
        <v>0</v>
      </c>
      <c r="AC93" s="3">
        <f t="shared" si="27"/>
        <v>46</v>
      </c>
      <c r="AD93" s="3">
        <f t="shared" si="28"/>
        <v>42</v>
      </c>
      <c r="AE93" s="3">
        <f t="shared" si="29"/>
        <v>37</v>
      </c>
      <c r="AF93" s="3">
        <f t="shared" si="30"/>
        <v>33</v>
      </c>
      <c r="AG93" s="3">
        <f t="shared" si="31"/>
        <v>29</v>
      </c>
      <c r="AH93" s="3">
        <f t="shared" si="32"/>
        <v>25</v>
      </c>
      <c r="AI93" s="3">
        <f t="shared" si="33"/>
        <v>21</v>
      </c>
      <c r="AJ93" s="3">
        <f t="shared" si="34"/>
        <v>0</v>
      </c>
      <c r="AK93" s="3">
        <f t="shared" si="35"/>
        <v>96</v>
      </c>
      <c r="AL93" s="3">
        <f t="shared" si="36"/>
        <v>93</v>
      </c>
      <c r="AM93" s="3">
        <f t="shared" si="37"/>
        <v>80</v>
      </c>
      <c r="AN93" s="3">
        <f t="shared" si="38"/>
        <v>74</v>
      </c>
      <c r="AO93" s="3">
        <f t="shared" si="39"/>
        <v>74</v>
      </c>
      <c r="AP93" s="3">
        <f t="shared" si="40"/>
        <v>55</v>
      </c>
      <c r="AQ93" s="3">
        <f t="shared" si="41"/>
        <v>52</v>
      </c>
      <c r="AR93" s="3">
        <f t="shared" si="42"/>
        <v>49</v>
      </c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M93" s="35" t="s">
        <v>12</v>
      </c>
      <c r="BO93" s="35"/>
      <c r="BR93" s="9" t="str">
        <f t="shared" si="48"/>
        <v/>
      </c>
      <c r="BS93" s="37" t="str">
        <f t="shared" si="49"/>
        <v/>
      </c>
      <c r="BT93" s="38" t="str">
        <f t="shared" si="44"/>
        <v/>
      </c>
      <c r="BU93" s="36" t="str">
        <f t="shared" si="50"/>
        <v/>
      </c>
    </row>
    <row r="94" spans="2:73" ht="15">
      <c r="B94" s="16">
        <f t="shared" si="51"/>
        <v>43731</v>
      </c>
      <c r="C94" s="15" t="s">
        <v>1</v>
      </c>
      <c r="D94" s="17">
        <f t="shared" si="52"/>
        <v>43737</v>
      </c>
      <c r="E94" s="18">
        <f t="shared" si="53"/>
        <v>9</v>
      </c>
      <c r="F94" s="19">
        <f t="shared" si="54"/>
        <v>2019</v>
      </c>
      <c r="G94" s="9">
        <f t="shared" si="56"/>
        <v>17</v>
      </c>
      <c r="H94" s="8">
        <f t="shared" si="56"/>
        <v>96</v>
      </c>
      <c r="I94" s="9"/>
      <c r="J94" s="9"/>
      <c r="K94" s="9"/>
      <c r="L94" s="9"/>
      <c r="M94" s="9"/>
      <c r="N94" s="9"/>
      <c r="O94" s="12"/>
      <c r="P94" s="12"/>
      <c r="Q94" s="12"/>
      <c r="R94" s="12"/>
      <c r="S94" s="12"/>
      <c r="T94" s="12"/>
      <c r="V94" s="20">
        <f t="shared" si="46"/>
        <v>0</v>
      </c>
      <c r="W94" s="20">
        <f t="shared" si="46"/>
        <v>2</v>
      </c>
      <c r="X94" s="20">
        <f t="shared" si="46"/>
        <v>7</v>
      </c>
      <c r="Y94" s="20">
        <f t="shared" si="45"/>
        <v>12</v>
      </c>
      <c r="Z94" s="20">
        <f t="shared" si="45"/>
        <v>0</v>
      </c>
      <c r="AA94" s="20">
        <f t="shared" si="45"/>
        <v>0</v>
      </c>
      <c r="AC94" s="3">
        <f t="shared" si="27"/>
        <v>47</v>
      </c>
      <c r="AD94" s="3">
        <f t="shared" si="28"/>
        <v>43</v>
      </c>
      <c r="AE94" s="3">
        <f t="shared" si="29"/>
        <v>38</v>
      </c>
      <c r="AF94" s="3">
        <f t="shared" si="30"/>
        <v>34</v>
      </c>
      <c r="AG94" s="3">
        <f t="shared" si="31"/>
        <v>30</v>
      </c>
      <c r="AH94" s="3">
        <f t="shared" si="32"/>
        <v>26</v>
      </c>
      <c r="AI94" s="3">
        <f t="shared" si="33"/>
        <v>22</v>
      </c>
      <c r="AJ94" s="3">
        <f t="shared" si="34"/>
        <v>0</v>
      </c>
      <c r="AK94" s="3">
        <f t="shared" si="35"/>
        <v>0</v>
      </c>
      <c r="AL94" s="3">
        <f t="shared" si="36"/>
        <v>94</v>
      </c>
      <c r="AM94" s="3">
        <f t="shared" si="37"/>
        <v>81</v>
      </c>
      <c r="AN94" s="3">
        <f t="shared" si="38"/>
        <v>75</v>
      </c>
      <c r="AO94" s="3">
        <f t="shared" si="39"/>
        <v>75</v>
      </c>
      <c r="AP94" s="3">
        <f t="shared" si="40"/>
        <v>56</v>
      </c>
      <c r="AQ94" s="3">
        <f t="shared" si="41"/>
        <v>53</v>
      </c>
      <c r="AR94" s="3">
        <f t="shared" si="42"/>
        <v>50</v>
      </c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M94" s="35" t="s">
        <v>12</v>
      </c>
      <c r="BO94" s="35"/>
      <c r="BR94" s="9" t="str">
        <f t="shared" si="48"/>
        <v/>
      </c>
      <c r="BS94" s="37" t="str">
        <f t="shared" si="49"/>
        <v/>
      </c>
      <c r="BT94" s="38" t="str">
        <f t="shared" si="44"/>
        <v/>
      </c>
      <c r="BU94" s="36" t="str">
        <f t="shared" si="50"/>
        <v/>
      </c>
    </row>
    <row r="95" spans="2:73" ht="15">
      <c r="B95" s="16">
        <f t="shared" si="51"/>
        <v>43738</v>
      </c>
      <c r="C95" s="15" t="s">
        <v>1</v>
      </c>
      <c r="D95" s="17">
        <f t="shared" si="52"/>
        <v>43744</v>
      </c>
      <c r="E95" s="18">
        <f t="shared" si="53"/>
        <v>9</v>
      </c>
      <c r="F95" s="19">
        <f t="shared" si="54"/>
        <v>2019</v>
      </c>
      <c r="G95" s="9">
        <f t="shared" si="56"/>
        <v>17</v>
      </c>
      <c r="H95" s="8">
        <f t="shared" si="56"/>
        <v>96</v>
      </c>
      <c r="I95" s="9"/>
      <c r="J95" s="9"/>
      <c r="K95" s="9"/>
      <c r="L95" s="9"/>
      <c r="M95" s="9"/>
      <c r="N95" s="9"/>
      <c r="O95" s="12"/>
      <c r="P95" s="12"/>
      <c r="Q95" s="12"/>
      <c r="R95" s="12"/>
      <c r="S95" s="12"/>
      <c r="T95" s="12"/>
      <c r="V95" s="20">
        <f t="shared" si="46"/>
        <v>0</v>
      </c>
      <c r="W95" s="20">
        <f t="shared" si="46"/>
        <v>3</v>
      </c>
      <c r="X95" s="20">
        <f t="shared" si="46"/>
        <v>8</v>
      </c>
      <c r="Y95" s="20">
        <f t="shared" si="45"/>
        <v>13</v>
      </c>
      <c r="Z95" s="20">
        <f t="shared" si="45"/>
        <v>0</v>
      </c>
      <c r="AA95" s="20">
        <f t="shared" si="45"/>
        <v>0</v>
      </c>
      <c r="AC95" s="3">
        <f t="shared" si="27"/>
        <v>48</v>
      </c>
      <c r="AD95" s="3">
        <f t="shared" si="28"/>
        <v>44</v>
      </c>
      <c r="AE95" s="3">
        <f t="shared" si="29"/>
        <v>39</v>
      </c>
      <c r="AF95" s="3">
        <f t="shared" si="30"/>
        <v>35</v>
      </c>
      <c r="AG95" s="3">
        <f t="shared" si="31"/>
        <v>31</v>
      </c>
      <c r="AH95" s="3">
        <f t="shared" si="32"/>
        <v>27</v>
      </c>
      <c r="AI95" s="3">
        <f t="shared" si="33"/>
        <v>23</v>
      </c>
      <c r="AJ95" s="3">
        <f t="shared" si="34"/>
        <v>0</v>
      </c>
      <c r="AK95" s="3">
        <f t="shared" si="35"/>
        <v>0</v>
      </c>
      <c r="AL95" s="3">
        <f t="shared" si="36"/>
        <v>95</v>
      </c>
      <c r="AM95" s="3">
        <f t="shared" si="37"/>
        <v>82</v>
      </c>
      <c r="AN95" s="3">
        <f t="shared" si="38"/>
        <v>76</v>
      </c>
      <c r="AO95" s="3">
        <f t="shared" si="39"/>
        <v>76</v>
      </c>
      <c r="AP95" s="3">
        <f t="shared" si="40"/>
        <v>57</v>
      </c>
      <c r="AQ95" s="3">
        <f t="shared" si="41"/>
        <v>54</v>
      </c>
      <c r="AR95" s="3">
        <f t="shared" si="42"/>
        <v>51</v>
      </c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M95" s="35" t="s">
        <v>12</v>
      </c>
      <c r="BO95" s="35"/>
      <c r="BR95" s="9" t="str">
        <f t="shared" si="48"/>
        <v/>
      </c>
      <c r="BS95" s="37" t="str">
        <f t="shared" si="49"/>
        <v/>
      </c>
      <c r="BT95" s="38" t="str">
        <f t="shared" si="44"/>
        <v/>
      </c>
      <c r="BU95" s="36" t="str">
        <f t="shared" si="50"/>
        <v/>
      </c>
    </row>
    <row r="96" spans="2:73" ht="15">
      <c r="B96" s="16">
        <f t="shared" si="51"/>
        <v>43745</v>
      </c>
      <c r="C96" s="15" t="s">
        <v>1</v>
      </c>
      <c r="D96" s="17">
        <f t="shared" si="52"/>
        <v>43751</v>
      </c>
      <c r="E96" s="18">
        <f t="shared" si="53"/>
        <v>10</v>
      </c>
      <c r="F96" s="19">
        <f t="shared" si="54"/>
        <v>2019</v>
      </c>
      <c r="G96" s="9">
        <f t="shared" si="56"/>
        <v>17</v>
      </c>
      <c r="H96" s="8">
        <f t="shared" si="56"/>
        <v>96</v>
      </c>
      <c r="I96" s="9"/>
      <c r="J96" s="9"/>
      <c r="K96" s="9"/>
      <c r="L96" s="9"/>
      <c r="M96" s="9"/>
      <c r="N96" s="9"/>
      <c r="O96" s="12"/>
      <c r="P96" s="12"/>
      <c r="Q96" s="12"/>
      <c r="R96" s="12"/>
      <c r="S96" s="12"/>
      <c r="T96" s="12"/>
      <c r="V96" s="20">
        <f t="shared" si="46"/>
        <v>0</v>
      </c>
      <c r="W96" s="20">
        <f t="shared" si="46"/>
        <v>4</v>
      </c>
      <c r="X96" s="20">
        <f t="shared" si="46"/>
        <v>9</v>
      </c>
      <c r="Y96" s="20">
        <f t="shared" si="45"/>
        <v>14</v>
      </c>
      <c r="Z96" s="20">
        <f t="shared" si="45"/>
        <v>0</v>
      </c>
      <c r="AA96" s="20">
        <f t="shared" si="45"/>
        <v>0</v>
      </c>
      <c r="AC96" s="3">
        <f t="shared" si="27"/>
        <v>49</v>
      </c>
      <c r="AD96" s="3">
        <f t="shared" si="28"/>
        <v>45</v>
      </c>
      <c r="AE96" s="3">
        <f t="shared" si="29"/>
        <v>40</v>
      </c>
      <c r="AF96" s="3">
        <f t="shared" si="30"/>
        <v>36</v>
      </c>
      <c r="AG96" s="3">
        <f t="shared" si="31"/>
        <v>32</v>
      </c>
      <c r="AH96" s="3">
        <f t="shared" si="32"/>
        <v>28</v>
      </c>
      <c r="AI96" s="3">
        <f t="shared" si="33"/>
        <v>24</v>
      </c>
      <c r="AJ96" s="3">
        <f t="shared" si="34"/>
        <v>0</v>
      </c>
      <c r="AK96" s="3">
        <f t="shared" si="35"/>
        <v>0</v>
      </c>
      <c r="AL96" s="3">
        <f t="shared" si="36"/>
        <v>96</v>
      </c>
      <c r="AM96" s="3">
        <f t="shared" si="37"/>
        <v>83</v>
      </c>
      <c r="AN96" s="3">
        <f t="shared" si="38"/>
        <v>77</v>
      </c>
      <c r="AO96" s="3">
        <f t="shared" si="39"/>
        <v>77</v>
      </c>
      <c r="AP96" s="3">
        <f t="shared" si="40"/>
        <v>58</v>
      </c>
      <c r="AQ96" s="3">
        <f t="shared" si="41"/>
        <v>55</v>
      </c>
      <c r="AR96" s="3">
        <f t="shared" si="42"/>
        <v>52</v>
      </c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M96" s="35" t="s">
        <v>12</v>
      </c>
      <c r="BO96" s="35"/>
      <c r="BR96" s="9" t="str">
        <f t="shared" si="48"/>
        <v/>
      </c>
      <c r="BS96" s="37" t="str">
        <f t="shared" si="49"/>
        <v/>
      </c>
      <c r="BT96" s="38" t="str">
        <f t="shared" si="44"/>
        <v/>
      </c>
      <c r="BU96" s="36">
        <f t="shared" si="50"/>
        <v>4</v>
      </c>
    </row>
    <row r="97" spans="2:73" ht="15">
      <c r="B97" s="16">
        <f t="shared" si="51"/>
        <v>43752</v>
      </c>
      <c r="C97" s="15" t="s">
        <v>1</v>
      </c>
      <c r="D97" s="17">
        <f t="shared" si="52"/>
        <v>43758</v>
      </c>
      <c r="E97" s="18">
        <f t="shared" si="53"/>
        <v>10</v>
      </c>
      <c r="F97" s="19">
        <f t="shared" si="54"/>
        <v>2019</v>
      </c>
      <c r="G97" s="9">
        <f t="shared" si="56"/>
        <v>17</v>
      </c>
      <c r="H97" s="8">
        <f t="shared" si="56"/>
        <v>96</v>
      </c>
      <c r="I97" s="9"/>
      <c r="J97" s="9"/>
      <c r="K97" s="9"/>
      <c r="L97" s="9"/>
      <c r="M97" s="9"/>
      <c r="N97" s="9"/>
      <c r="O97" s="12">
        <v>1</v>
      </c>
      <c r="P97" s="12"/>
      <c r="Q97" s="12"/>
      <c r="R97" s="12"/>
      <c r="S97" s="12"/>
      <c r="T97" s="12"/>
      <c r="V97" s="20">
        <f t="shared" si="46"/>
        <v>43754</v>
      </c>
      <c r="W97" s="20">
        <f t="shared" si="46"/>
        <v>5</v>
      </c>
      <c r="X97" s="20">
        <f t="shared" si="46"/>
        <v>10</v>
      </c>
      <c r="Y97" s="20">
        <f t="shared" si="45"/>
        <v>15</v>
      </c>
      <c r="Z97" s="20">
        <f t="shared" si="45"/>
        <v>0</v>
      </c>
      <c r="AA97" s="20">
        <f t="shared" si="45"/>
        <v>0</v>
      </c>
      <c r="AC97" s="3">
        <f t="shared" si="27"/>
        <v>50</v>
      </c>
      <c r="AD97" s="3">
        <f t="shared" si="28"/>
        <v>46</v>
      </c>
      <c r="AE97" s="3">
        <f t="shared" si="29"/>
        <v>41</v>
      </c>
      <c r="AF97" s="3">
        <f t="shared" si="30"/>
        <v>37</v>
      </c>
      <c r="AG97" s="3">
        <f t="shared" si="31"/>
        <v>33</v>
      </c>
      <c r="AH97" s="3">
        <f t="shared" si="32"/>
        <v>29</v>
      </c>
      <c r="AI97" s="3">
        <f t="shared" si="33"/>
        <v>25</v>
      </c>
      <c r="AJ97" s="3">
        <f t="shared" si="34"/>
        <v>0</v>
      </c>
      <c r="AK97" s="3">
        <f t="shared" si="35"/>
        <v>0</v>
      </c>
      <c r="AL97" s="3">
        <f t="shared" si="36"/>
        <v>0</v>
      </c>
      <c r="AM97" s="3">
        <f t="shared" si="37"/>
        <v>84</v>
      </c>
      <c r="AN97" s="3">
        <f t="shared" si="38"/>
        <v>78</v>
      </c>
      <c r="AO97" s="3">
        <f t="shared" si="39"/>
        <v>78</v>
      </c>
      <c r="AP97" s="3">
        <f t="shared" si="40"/>
        <v>59</v>
      </c>
      <c r="AQ97" s="3">
        <f t="shared" si="41"/>
        <v>56</v>
      </c>
      <c r="AR97" s="3">
        <f t="shared" si="42"/>
        <v>53</v>
      </c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L97">
        <v>4</v>
      </c>
      <c r="BM97" s="35">
        <v>43752</v>
      </c>
      <c r="BO97" s="35">
        <f>B114</f>
        <v>43871</v>
      </c>
      <c r="BP97">
        <v>98</v>
      </c>
      <c r="BR97" s="9">
        <f t="shared" si="48"/>
        <v>1</v>
      </c>
      <c r="BS97" s="37">
        <f t="shared" si="49"/>
        <v>43754</v>
      </c>
      <c r="BT97" s="38">
        <f t="shared" si="44"/>
        <v>43873</v>
      </c>
      <c r="BU97" s="36" t="str">
        <f t="shared" si="50"/>
        <v/>
      </c>
    </row>
    <row r="98" spans="2:73" ht="15">
      <c r="B98" s="16">
        <f t="shared" si="51"/>
        <v>43759</v>
      </c>
      <c r="C98" s="15" t="s">
        <v>1</v>
      </c>
      <c r="D98" s="17">
        <f t="shared" si="52"/>
        <v>43765</v>
      </c>
      <c r="E98" s="18">
        <f t="shared" si="53"/>
        <v>10</v>
      </c>
      <c r="F98" s="19">
        <f t="shared" si="54"/>
        <v>2019</v>
      </c>
      <c r="G98" s="9">
        <f t="shared" si="56"/>
        <v>17</v>
      </c>
      <c r="H98" s="8">
        <f t="shared" si="56"/>
        <v>96</v>
      </c>
      <c r="I98" s="9"/>
      <c r="J98" s="9"/>
      <c r="K98" s="9"/>
      <c r="L98" s="9"/>
      <c r="M98" s="9"/>
      <c r="N98" s="9"/>
      <c r="O98" s="12"/>
      <c r="P98" s="12"/>
      <c r="Q98" s="12"/>
      <c r="R98" s="12"/>
      <c r="S98" s="12"/>
      <c r="T98" s="12"/>
      <c r="V98" s="20">
        <f t="shared" si="46"/>
        <v>1</v>
      </c>
      <c r="W98" s="20">
        <f t="shared" si="46"/>
        <v>6</v>
      </c>
      <c r="X98" s="20">
        <f t="shared" si="46"/>
        <v>11</v>
      </c>
      <c r="Y98" s="20">
        <f t="shared" si="45"/>
        <v>16</v>
      </c>
      <c r="Z98" s="20">
        <f t="shared" si="45"/>
        <v>0</v>
      </c>
      <c r="AA98" s="20">
        <f t="shared" si="45"/>
        <v>0</v>
      </c>
      <c r="AC98" s="3">
        <f t="shared" si="27"/>
        <v>51</v>
      </c>
      <c r="AD98" s="3">
        <f t="shared" si="28"/>
        <v>47</v>
      </c>
      <c r="AE98" s="3">
        <f t="shared" si="29"/>
        <v>42</v>
      </c>
      <c r="AF98" s="3">
        <f t="shared" si="30"/>
        <v>38</v>
      </c>
      <c r="AG98" s="3">
        <f t="shared" si="31"/>
        <v>34</v>
      </c>
      <c r="AH98" s="3">
        <f t="shared" si="32"/>
        <v>30</v>
      </c>
      <c r="AI98" s="3">
        <f t="shared" si="33"/>
        <v>26</v>
      </c>
      <c r="AJ98" s="3">
        <f t="shared" si="34"/>
        <v>0</v>
      </c>
      <c r="AK98" s="3">
        <f t="shared" si="35"/>
        <v>0</v>
      </c>
      <c r="AL98" s="3">
        <f t="shared" si="36"/>
        <v>0</v>
      </c>
      <c r="AM98" s="3">
        <f t="shared" si="37"/>
        <v>85</v>
      </c>
      <c r="AN98" s="3">
        <f t="shared" si="38"/>
        <v>79</v>
      </c>
      <c r="AO98" s="3">
        <f t="shared" si="39"/>
        <v>79</v>
      </c>
      <c r="AP98" s="3">
        <f t="shared" si="40"/>
        <v>60</v>
      </c>
      <c r="AQ98" s="3">
        <f t="shared" si="41"/>
        <v>57</v>
      </c>
      <c r="AR98" s="3">
        <f t="shared" si="42"/>
        <v>54</v>
      </c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M98" s="35" t="s">
        <v>12</v>
      </c>
      <c r="BO98" s="35"/>
      <c r="BR98" s="9" t="str">
        <f t="shared" si="48"/>
        <v/>
      </c>
      <c r="BS98" s="37" t="str">
        <f t="shared" si="49"/>
        <v/>
      </c>
      <c r="BT98" s="38" t="str">
        <f t="shared" si="44"/>
        <v/>
      </c>
      <c r="BU98" s="36" t="str">
        <f t="shared" si="50"/>
        <v/>
      </c>
    </row>
    <row r="99" spans="2:73" ht="15">
      <c r="B99" s="16">
        <f t="shared" si="51"/>
        <v>43766</v>
      </c>
      <c r="C99" s="15" t="s">
        <v>1</v>
      </c>
      <c r="D99" s="17">
        <f t="shared" si="52"/>
        <v>43772</v>
      </c>
      <c r="E99" s="18">
        <f t="shared" si="53"/>
        <v>10</v>
      </c>
      <c r="F99" s="19">
        <f t="shared" si="54"/>
        <v>2019</v>
      </c>
      <c r="G99" s="9">
        <f t="shared" si="56"/>
        <v>17</v>
      </c>
      <c r="H99" s="8">
        <f t="shared" si="56"/>
        <v>96</v>
      </c>
      <c r="I99" s="9"/>
      <c r="J99" s="9"/>
      <c r="K99" s="9"/>
      <c r="L99" s="9"/>
      <c r="M99" s="9"/>
      <c r="N99" s="9"/>
      <c r="O99" s="12"/>
      <c r="P99" s="12"/>
      <c r="Q99" s="12"/>
      <c r="R99" s="12"/>
      <c r="S99" s="12"/>
      <c r="T99" s="12"/>
      <c r="V99" s="20">
        <f t="shared" si="46"/>
        <v>2</v>
      </c>
      <c r="W99" s="20">
        <f t="shared" si="46"/>
        <v>7</v>
      </c>
      <c r="X99" s="20">
        <f t="shared" si="46"/>
        <v>12</v>
      </c>
      <c r="Y99" s="20">
        <f t="shared" si="45"/>
        <v>17</v>
      </c>
      <c r="Z99" s="20">
        <f t="shared" si="45"/>
        <v>0</v>
      </c>
      <c r="AA99" s="20">
        <f t="shared" si="45"/>
        <v>0</v>
      </c>
      <c r="AC99" s="3">
        <f t="shared" ref="AC99:AC162" si="57">IF(AND(AS99&gt;=$V$2,AS99&lt;=$AA$2),LOOKUP(AS99,$V$2:$AA$2,$V99:$AA99),IF(AS98="A",0,IF(AC98=$H99,0,IF(AC98=0,0,AC98+1))))</f>
        <v>52</v>
      </c>
      <c r="AD99" s="3">
        <f t="shared" ref="AD99:AD162" si="58">IF(AND(AT99&gt;=$V$2,AT99&lt;=$AA$2),LOOKUP(AT99,$V$2:$AA$2,$V99:$AA99),IF(AT98="A",0,IF(AD98=$H99,0,IF(AD98=0,0,AD98+1))))</f>
        <v>48</v>
      </c>
      <c r="AE99" s="3">
        <f t="shared" ref="AE99:AE162" si="59">IF(AND(AU99&gt;=$V$2,AU99&lt;=$AA$2),LOOKUP(AU99,$V$2:$AA$2,$V99:$AA99),IF(AU98="A",0,IF(AE98=$H99,0,IF(AE98=0,0,AE98+1))))</f>
        <v>43</v>
      </c>
      <c r="AF99" s="3">
        <f t="shared" ref="AF99:AF162" si="60">IF(AND(AV99&gt;=$V$2,AV99&lt;=$AA$2),LOOKUP(AV99,$V$2:$AA$2,$V99:$AA99),IF(AV98="A",0,IF(AF98=$H99,0,IF(AF98=0,0,AF98+1))))</f>
        <v>39</v>
      </c>
      <c r="AG99" s="3">
        <f t="shared" ref="AG99:AG162" si="61">IF(AND(AW99&gt;=$V$2,AW99&lt;=$AA$2),LOOKUP(AW99,$V$2:$AA$2,$V99:$AA99),IF(AW98="A",0,IF(AG98=$H99,0,IF(AG98=0,0,AG98+1))))</f>
        <v>35</v>
      </c>
      <c r="AH99" s="3">
        <f t="shared" ref="AH99:AH162" si="62">IF(AND(AX99&gt;=$V$2,AX99&lt;=$AA$2),LOOKUP(AX99,$V$2:$AA$2,$V99:$AA99),IF(AX98="A",0,IF(AH98=$H99,0,IF(AH98=0,0,AH98+1))))</f>
        <v>31</v>
      </c>
      <c r="AI99" s="3">
        <f t="shared" ref="AI99:AI162" si="63">IF(AND(AY99&gt;=$V$2,AY99&lt;=$AA$2),LOOKUP(AY99,$V$2:$AA$2,$V99:$AA99),IF(AY98="A",0,IF(AI98=$H99,0,IF(AI98=0,0,AI98+1))))</f>
        <v>27</v>
      </c>
      <c r="AJ99" s="3">
        <f t="shared" ref="AJ99:AJ162" si="64">IF(AND(AZ99&gt;=$V$2,AZ99&lt;=$AA$2),LOOKUP(AZ99,$V$2:$AA$2,$V99:$AA99),IF(AZ98="A",0,IF(AJ98=$H99,0,IF(AJ98=0,0,AJ98+1))))</f>
        <v>17</v>
      </c>
      <c r="AK99" s="3">
        <f t="shared" ref="AK99:AK162" si="65">IF(AND(BA99&gt;=$V$2,BA99&lt;=$AA$2),LOOKUP(BA99,$V$2:$AA$2,$V99:$AA99),IF(BA98="A",0,IF(AK98=$H99,0,IF(AK98=0,0,AK98+1))))</f>
        <v>0</v>
      </c>
      <c r="AL99" s="3">
        <f t="shared" ref="AL99:AL162" si="66">IF(AND(BB99&gt;=$V$2,BB99&lt;=$AA$2),LOOKUP(BB99,$V$2:$AA$2,$V99:$AA99),IF(BB98="A",0,IF(AL98=$H99,0,IF(AL98=0,0,AL98+1))))</f>
        <v>0</v>
      </c>
      <c r="AM99" s="3">
        <f t="shared" ref="AM99:AM162" si="67">IF(AND(BC99&gt;=$V$2,BC99&lt;=$AA$2),LOOKUP(BC99,$V$2:$AA$2,$V99:$AA99),IF(BC98="A",0,IF(AM98=$H99,0,IF(AM98=0,0,AM98+1))))</f>
        <v>86</v>
      </c>
      <c r="AN99" s="3">
        <f t="shared" ref="AN99:AN162" si="68">IF(AND(BD99&gt;=$V$2,BD99&lt;=$AA$2),LOOKUP(BD99,$V$2:$AA$2,$V99:$AA99),IF(BD98="A",0,IF(AN98=$H99,0,IF(AN98=0,0,AN98+1))))</f>
        <v>80</v>
      </c>
      <c r="AO99" s="3">
        <f t="shared" ref="AO99:AO162" si="69">IF(AND(BE99&gt;=$V$2,BE99&lt;=$AA$2),LOOKUP(BE99,$V$2:$AA$2,$V99:$AA99),IF(BE98="A",0,IF(AO98=$H99,0,IF(AO98=0,0,AO98+1))))</f>
        <v>80</v>
      </c>
      <c r="AP99" s="3">
        <f t="shared" ref="AP99:AP162" si="70">IF(AND(BF99&gt;=$V$2,BF99&lt;=$AA$2),LOOKUP(BF99,$V$2:$AA$2,$V99:$AA99),IF(BF98="A",0,IF(AP98=$H99,0,IF(AP98=0,0,AP98+1))))</f>
        <v>61</v>
      </c>
      <c r="AQ99" s="3">
        <f t="shared" ref="AQ99:AQ162" si="71">IF(AND(BG99&gt;=$V$2,BG99&lt;=$AA$2),LOOKUP(BG99,$V$2:$AA$2,$V99:$AA99),IF(BG98="A",0,IF(AQ98=$H99,0,IF(AQ98=0,0,AQ98+1))))</f>
        <v>58</v>
      </c>
      <c r="AR99" s="3">
        <f t="shared" ref="AR99:AR162" si="72">IF(AND(BH99&gt;=$V$2,BH99&lt;=$AA$2),LOOKUP(BH99,$V$2:$AA$2,$V99:$AA99),IF(BH98="A",0,IF(AR98=$H99,0,IF(AR98=0,0,AR98+1))))</f>
        <v>55</v>
      </c>
      <c r="AS99" s="8"/>
      <c r="AT99" s="8"/>
      <c r="AU99" s="8"/>
      <c r="AV99" s="8"/>
      <c r="AW99" s="8"/>
      <c r="AX99" s="8"/>
      <c r="AY99" s="8"/>
      <c r="AZ99" s="8">
        <v>4</v>
      </c>
      <c r="BA99" s="8"/>
      <c r="BB99" s="8"/>
      <c r="BC99" s="8"/>
      <c r="BD99" s="8"/>
      <c r="BE99" s="8"/>
      <c r="BF99" s="8"/>
      <c r="BG99" s="8"/>
      <c r="BH99" s="8"/>
      <c r="BM99" s="35" t="s">
        <v>12</v>
      </c>
      <c r="BO99" s="35"/>
      <c r="BR99" s="9" t="str">
        <f t="shared" si="48"/>
        <v/>
      </c>
      <c r="BS99" s="37" t="str">
        <f t="shared" si="49"/>
        <v/>
      </c>
      <c r="BT99" s="38" t="str">
        <f t="shared" si="44"/>
        <v/>
      </c>
      <c r="BU99" s="36" t="str">
        <f t="shared" si="50"/>
        <v/>
      </c>
    </row>
    <row r="100" spans="2:73" ht="15">
      <c r="B100" s="16">
        <f t="shared" si="51"/>
        <v>43773</v>
      </c>
      <c r="C100" s="15" t="s">
        <v>1</v>
      </c>
      <c r="D100" s="17">
        <f t="shared" si="52"/>
        <v>43779</v>
      </c>
      <c r="E100" s="18">
        <f t="shared" si="53"/>
        <v>11</v>
      </c>
      <c r="F100" s="19">
        <f t="shared" si="54"/>
        <v>2019</v>
      </c>
      <c r="G100" s="9">
        <f t="shared" si="56"/>
        <v>17</v>
      </c>
      <c r="H100" s="8">
        <f t="shared" si="56"/>
        <v>96</v>
      </c>
      <c r="I100" s="9"/>
      <c r="J100" s="9"/>
      <c r="K100" s="9"/>
      <c r="L100" s="9"/>
      <c r="M100" s="9"/>
      <c r="N100" s="9"/>
      <c r="O100" s="12"/>
      <c r="P100" s="12"/>
      <c r="Q100" s="12"/>
      <c r="R100" s="12"/>
      <c r="S100" s="12"/>
      <c r="T100" s="12"/>
      <c r="V100" s="20">
        <f t="shared" si="46"/>
        <v>3</v>
      </c>
      <c r="W100" s="20">
        <f t="shared" si="46"/>
        <v>8</v>
      </c>
      <c r="X100" s="20">
        <f t="shared" si="46"/>
        <v>13</v>
      </c>
      <c r="Y100" s="20">
        <f t="shared" si="45"/>
        <v>0</v>
      </c>
      <c r="Z100" s="20">
        <f t="shared" si="45"/>
        <v>0</v>
      </c>
      <c r="AA100" s="20">
        <f t="shared" si="45"/>
        <v>0</v>
      </c>
      <c r="AC100" s="3">
        <f t="shared" si="57"/>
        <v>53</v>
      </c>
      <c r="AD100" s="3">
        <f t="shared" si="58"/>
        <v>49</v>
      </c>
      <c r="AE100" s="3">
        <f t="shared" si="59"/>
        <v>44</v>
      </c>
      <c r="AF100" s="3">
        <f t="shared" si="60"/>
        <v>40</v>
      </c>
      <c r="AG100" s="3">
        <f t="shared" si="61"/>
        <v>36</v>
      </c>
      <c r="AH100" s="3">
        <f t="shared" si="62"/>
        <v>32</v>
      </c>
      <c r="AI100" s="3">
        <f t="shared" si="63"/>
        <v>28</v>
      </c>
      <c r="AJ100" s="3">
        <f t="shared" si="64"/>
        <v>18</v>
      </c>
      <c r="AK100" s="3">
        <f t="shared" si="65"/>
        <v>0</v>
      </c>
      <c r="AL100" s="3">
        <f t="shared" si="66"/>
        <v>0</v>
      </c>
      <c r="AM100" s="3">
        <f t="shared" si="67"/>
        <v>87</v>
      </c>
      <c r="AN100" s="3">
        <f t="shared" si="68"/>
        <v>81</v>
      </c>
      <c r="AO100" s="3">
        <f t="shared" si="69"/>
        <v>81</v>
      </c>
      <c r="AP100" s="3">
        <f t="shared" si="70"/>
        <v>62</v>
      </c>
      <c r="AQ100" s="3">
        <f t="shared" si="71"/>
        <v>59</v>
      </c>
      <c r="AR100" s="3">
        <f t="shared" si="72"/>
        <v>56</v>
      </c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M100" s="35" t="s">
        <v>12</v>
      </c>
      <c r="BO100" s="35"/>
      <c r="BR100" s="9" t="str">
        <f t="shared" si="48"/>
        <v/>
      </c>
      <c r="BS100" s="37" t="str">
        <f t="shared" si="49"/>
        <v/>
      </c>
      <c r="BT100" s="38" t="str">
        <f t="shared" si="44"/>
        <v/>
      </c>
      <c r="BU100" s="36" t="str">
        <f t="shared" si="50"/>
        <v/>
      </c>
    </row>
    <row r="101" spans="2:73" ht="15">
      <c r="B101" s="16">
        <f t="shared" si="51"/>
        <v>43780</v>
      </c>
      <c r="C101" s="15" t="s">
        <v>1</v>
      </c>
      <c r="D101" s="17">
        <f t="shared" si="52"/>
        <v>43786</v>
      </c>
      <c r="E101" s="18">
        <f t="shared" si="53"/>
        <v>11</v>
      </c>
      <c r="F101" s="19">
        <f t="shared" si="54"/>
        <v>2019</v>
      </c>
      <c r="G101" s="9">
        <f t="shared" si="56"/>
        <v>17</v>
      </c>
      <c r="H101" s="8">
        <f t="shared" si="56"/>
        <v>96</v>
      </c>
      <c r="I101" s="9"/>
      <c r="J101" s="9"/>
      <c r="K101" s="9"/>
      <c r="L101" s="9"/>
      <c r="M101" s="9"/>
      <c r="N101" s="9"/>
      <c r="O101" s="12"/>
      <c r="P101" s="12"/>
      <c r="Q101" s="12"/>
      <c r="R101" s="12"/>
      <c r="S101" s="12"/>
      <c r="T101" s="12"/>
      <c r="V101" s="20">
        <f t="shared" si="46"/>
        <v>4</v>
      </c>
      <c r="W101" s="20">
        <f t="shared" si="46"/>
        <v>9</v>
      </c>
      <c r="X101" s="20">
        <f t="shared" si="46"/>
        <v>14</v>
      </c>
      <c r="Y101" s="20">
        <f t="shared" si="45"/>
        <v>0</v>
      </c>
      <c r="Z101" s="20">
        <f t="shared" si="45"/>
        <v>0</v>
      </c>
      <c r="AA101" s="20">
        <f t="shared" si="45"/>
        <v>0</v>
      </c>
      <c r="AC101" s="3">
        <f t="shared" si="57"/>
        <v>54</v>
      </c>
      <c r="AD101" s="3">
        <f t="shared" si="58"/>
        <v>50</v>
      </c>
      <c r="AE101" s="3">
        <f t="shared" si="59"/>
        <v>45</v>
      </c>
      <c r="AF101" s="3">
        <f t="shared" si="60"/>
        <v>41</v>
      </c>
      <c r="AG101" s="3">
        <f t="shared" si="61"/>
        <v>37</v>
      </c>
      <c r="AH101" s="3">
        <f t="shared" si="62"/>
        <v>33</v>
      </c>
      <c r="AI101" s="3">
        <f t="shared" si="63"/>
        <v>29</v>
      </c>
      <c r="AJ101" s="3">
        <f t="shared" si="64"/>
        <v>19</v>
      </c>
      <c r="AK101" s="3">
        <f t="shared" si="65"/>
        <v>0</v>
      </c>
      <c r="AL101" s="3">
        <f t="shared" si="66"/>
        <v>0</v>
      </c>
      <c r="AM101" s="3">
        <f t="shared" si="67"/>
        <v>88</v>
      </c>
      <c r="AN101" s="3">
        <f t="shared" si="68"/>
        <v>82</v>
      </c>
      <c r="AO101" s="3">
        <f t="shared" si="69"/>
        <v>82</v>
      </c>
      <c r="AP101" s="3">
        <f t="shared" si="70"/>
        <v>63</v>
      </c>
      <c r="AQ101" s="3">
        <f t="shared" si="71"/>
        <v>60</v>
      </c>
      <c r="AR101" s="3">
        <f t="shared" si="72"/>
        <v>57</v>
      </c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M101" s="35" t="s">
        <v>12</v>
      </c>
      <c r="BO101" s="35"/>
      <c r="BR101" s="9" t="str">
        <f t="shared" si="48"/>
        <v/>
      </c>
      <c r="BS101" s="37" t="str">
        <f t="shared" si="49"/>
        <v/>
      </c>
      <c r="BT101" s="38" t="str">
        <f t="shared" si="44"/>
        <v/>
      </c>
      <c r="BU101" s="36" t="str">
        <f t="shared" si="50"/>
        <v/>
      </c>
    </row>
    <row r="102" spans="2:73" ht="15">
      <c r="B102" s="16">
        <f t="shared" si="51"/>
        <v>43787</v>
      </c>
      <c r="C102" s="15" t="s">
        <v>1</v>
      </c>
      <c r="D102" s="17">
        <f t="shared" si="52"/>
        <v>43793</v>
      </c>
      <c r="E102" s="18">
        <f t="shared" si="53"/>
        <v>11</v>
      </c>
      <c r="F102" s="19">
        <f t="shared" si="54"/>
        <v>2019</v>
      </c>
      <c r="G102" s="9">
        <f t="shared" ref="G102:H117" si="73">G101</f>
        <v>17</v>
      </c>
      <c r="H102" s="8">
        <f t="shared" si="73"/>
        <v>96</v>
      </c>
      <c r="I102" s="9"/>
      <c r="J102" s="9"/>
      <c r="K102" s="9"/>
      <c r="L102" s="9"/>
      <c r="M102" s="9"/>
      <c r="N102" s="9"/>
      <c r="O102" s="12"/>
      <c r="P102" s="12"/>
      <c r="Q102" s="12"/>
      <c r="R102" s="12"/>
      <c r="S102" s="12"/>
      <c r="T102" s="12"/>
      <c r="V102" s="20">
        <f t="shared" si="46"/>
        <v>5</v>
      </c>
      <c r="W102" s="20">
        <f t="shared" si="46"/>
        <v>10</v>
      </c>
      <c r="X102" s="20">
        <f t="shared" si="46"/>
        <v>15</v>
      </c>
      <c r="Y102" s="20">
        <f t="shared" si="45"/>
        <v>0</v>
      </c>
      <c r="Z102" s="20">
        <f t="shared" si="45"/>
        <v>0</v>
      </c>
      <c r="AA102" s="20">
        <f t="shared" si="45"/>
        <v>0</v>
      </c>
      <c r="AC102" s="3">
        <f t="shared" si="57"/>
        <v>55</v>
      </c>
      <c r="AD102" s="3">
        <f t="shared" si="58"/>
        <v>51</v>
      </c>
      <c r="AE102" s="3">
        <f t="shared" si="59"/>
        <v>46</v>
      </c>
      <c r="AF102" s="3">
        <f t="shared" si="60"/>
        <v>42</v>
      </c>
      <c r="AG102" s="3">
        <f t="shared" si="61"/>
        <v>38</v>
      </c>
      <c r="AH102" s="3">
        <f t="shared" si="62"/>
        <v>34</v>
      </c>
      <c r="AI102" s="3">
        <f t="shared" si="63"/>
        <v>30</v>
      </c>
      <c r="AJ102" s="3">
        <f t="shared" si="64"/>
        <v>20</v>
      </c>
      <c r="AK102" s="3">
        <f t="shared" si="65"/>
        <v>0</v>
      </c>
      <c r="AL102" s="3">
        <f t="shared" si="66"/>
        <v>0</v>
      </c>
      <c r="AM102" s="3">
        <f t="shared" si="67"/>
        <v>89</v>
      </c>
      <c r="AN102" s="3">
        <f t="shared" si="68"/>
        <v>83</v>
      </c>
      <c r="AO102" s="3">
        <f t="shared" si="69"/>
        <v>83</v>
      </c>
      <c r="AP102" s="3">
        <f t="shared" si="70"/>
        <v>64</v>
      </c>
      <c r="AQ102" s="3">
        <f t="shared" si="71"/>
        <v>61</v>
      </c>
      <c r="AR102" s="3">
        <f t="shared" si="72"/>
        <v>58</v>
      </c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M102" s="35" t="s">
        <v>12</v>
      </c>
      <c r="BO102" s="35"/>
      <c r="BR102" s="9" t="str">
        <f t="shared" si="48"/>
        <v/>
      </c>
      <c r="BS102" s="37" t="str">
        <f t="shared" si="49"/>
        <v/>
      </c>
      <c r="BT102" s="38" t="str">
        <f t="shared" si="44"/>
        <v/>
      </c>
      <c r="BU102" s="36" t="str">
        <f t="shared" si="50"/>
        <v/>
      </c>
    </row>
    <row r="103" spans="2:73" ht="15">
      <c r="B103" s="16">
        <f t="shared" si="51"/>
        <v>43794</v>
      </c>
      <c r="C103" s="15" t="s">
        <v>1</v>
      </c>
      <c r="D103" s="17">
        <f t="shared" si="52"/>
        <v>43800</v>
      </c>
      <c r="E103" s="18">
        <f t="shared" si="53"/>
        <v>11</v>
      </c>
      <c r="F103" s="19">
        <f t="shared" si="54"/>
        <v>2019</v>
      </c>
      <c r="G103" s="9">
        <f t="shared" si="73"/>
        <v>17</v>
      </c>
      <c r="H103" s="8">
        <f t="shared" si="73"/>
        <v>96</v>
      </c>
      <c r="I103" s="9"/>
      <c r="J103" s="9"/>
      <c r="K103" s="9"/>
      <c r="L103" s="9"/>
      <c r="M103" s="9"/>
      <c r="N103" s="9"/>
      <c r="O103" s="12"/>
      <c r="P103" s="12"/>
      <c r="Q103" s="12"/>
      <c r="R103" s="12"/>
      <c r="S103" s="12"/>
      <c r="T103" s="12"/>
      <c r="V103" s="20">
        <f t="shared" si="46"/>
        <v>6</v>
      </c>
      <c r="W103" s="20">
        <f t="shared" si="46"/>
        <v>11</v>
      </c>
      <c r="X103" s="20">
        <f t="shared" si="46"/>
        <v>16</v>
      </c>
      <c r="Y103" s="20">
        <f t="shared" si="45"/>
        <v>0</v>
      </c>
      <c r="Z103" s="20">
        <f t="shared" si="45"/>
        <v>0</v>
      </c>
      <c r="AA103" s="20">
        <f t="shared" si="45"/>
        <v>0</v>
      </c>
      <c r="AC103" s="3">
        <f t="shared" si="57"/>
        <v>56</v>
      </c>
      <c r="AD103" s="3">
        <f t="shared" si="58"/>
        <v>52</v>
      </c>
      <c r="AE103" s="3">
        <f t="shared" si="59"/>
        <v>47</v>
      </c>
      <c r="AF103" s="3">
        <f t="shared" si="60"/>
        <v>43</v>
      </c>
      <c r="AG103" s="3">
        <f t="shared" si="61"/>
        <v>39</v>
      </c>
      <c r="AH103" s="3">
        <f t="shared" si="62"/>
        <v>35</v>
      </c>
      <c r="AI103" s="3">
        <f t="shared" si="63"/>
        <v>31</v>
      </c>
      <c r="AJ103" s="3">
        <f t="shared" si="64"/>
        <v>21</v>
      </c>
      <c r="AK103" s="3">
        <f t="shared" si="65"/>
        <v>0</v>
      </c>
      <c r="AL103" s="3">
        <f t="shared" si="66"/>
        <v>0</v>
      </c>
      <c r="AM103" s="3">
        <f t="shared" si="67"/>
        <v>90</v>
      </c>
      <c r="AN103" s="3">
        <f t="shared" si="68"/>
        <v>84</v>
      </c>
      <c r="AO103" s="3">
        <f t="shared" si="69"/>
        <v>84</v>
      </c>
      <c r="AP103" s="3">
        <f t="shared" si="70"/>
        <v>65</v>
      </c>
      <c r="AQ103" s="3">
        <f t="shared" si="71"/>
        <v>62</v>
      </c>
      <c r="AR103" s="3">
        <f t="shared" si="72"/>
        <v>59</v>
      </c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M103" s="35" t="s">
        <v>12</v>
      </c>
      <c r="BO103" s="35"/>
      <c r="BR103" s="9" t="str">
        <f t="shared" si="48"/>
        <v/>
      </c>
      <c r="BS103" s="37" t="str">
        <f t="shared" si="49"/>
        <v/>
      </c>
      <c r="BT103" s="38" t="str">
        <f t="shared" si="44"/>
        <v/>
      </c>
      <c r="BU103" s="36" t="str">
        <f t="shared" si="50"/>
        <v/>
      </c>
    </row>
    <row r="104" spans="2:73" ht="15">
      <c r="B104" s="16">
        <f t="shared" si="51"/>
        <v>43801</v>
      </c>
      <c r="C104" s="15" t="s">
        <v>1</v>
      </c>
      <c r="D104" s="17">
        <f t="shared" si="52"/>
        <v>43807</v>
      </c>
      <c r="E104" s="18">
        <f t="shared" si="53"/>
        <v>12</v>
      </c>
      <c r="F104" s="19">
        <f t="shared" si="54"/>
        <v>2019</v>
      </c>
      <c r="G104" s="9">
        <f t="shared" si="73"/>
        <v>17</v>
      </c>
      <c r="H104" s="8">
        <f t="shared" si="73"/>
        <v>96</v>
      </c>
      <c r="I104" s="9"/>
      <c r="J104" s="9"/>
      <c r="K104" s="9"/>
      <c r="L104" s="9"/>
      <c r="M104" s="9"/>
      <c r="N104" s="9"/>
      <c r="O104" s="12"/>
      <c r="P104" s="12"/>
      <c r="Q104" s="12"/>
      <c r="R104" s="12">
        <v>1</v>
      </c>
      <c r="S104" s="12"/>
      <c r="T104" s="12"/>
      <c r="V104" s="20">
        <f t="shared" si="46"/>
        <v>7</v>
      </c>
      <c r="W104" s="20">
        <f t="shared" si="46"/>
        <v>12</v>
      </c>
      <c r="X104" s="20">
        <f t="shared" si="46"/>
        <v>17</v>
      </c>
      <c r="Y104" s="20">
        <f t="shared" si="45"/>
        <v>43803</v>
      </c>
      <c r="Z104" s="20">
        <f t="shared" si="45"/>
        <v>0</v>
      </c>
      <c r="AA104" s="20">
        <f t="shared" si="45"/>
        <v>0</v>
      </c>
      <c r="AC104" s="3">
        <f t="shared" si="57"/>
        <v>57</v>
      </c>
      <c r="AD104" s="3">
        <f t="shared" si="58"/>
        <v>53</v>
      </c>
      <c r="AE104" s="3">
        <f t="shared" si="59"/>
        <v>48</v>
      </c>
      <c r="AF104" s="3">
        <f t="shared" si="60"/>
        <v>44</v>
      </c>
      <c r="AG104" s="3">
        <f t="shared" si="61"/>
        <v>40</v>
      </c>
      <c r="AH104" s="3">
        <f t="shared" si="62"/>
        <v>36</v>
      </c>
      <c r="AI104" s="3">
        <f t="shared" si="63"/>
        <v>32</v>
      </c>
      <c r="AJ104" s="3">
        <f t="shared" si="64"/>
        <v>22</v>
      </c>
      <c r="AK104" s="3">
        <f t="shared" si="65"/>
        <v>17</v>
      </c>
      <c r="AL104" s="3">
        <f t="shared" si="66"/>
        <v>0</v>
      </c>
      <c r="AM104" s="3">
        <f t="shared" si="67"/>
        <v>91</v>
      </c>
      <c r="AN104" s="3">
        <f t="shared" si="68"/>
        <v>85</v>
      </c>
      <c r="AO104" s="3">
        <f t="shared" si="69"/>
        <v>85</v>
      </c>
      <c r="AP104" s="3">
        <f t="shared" si="70"/>
        <v>66</v>
      </c>
      <c r="AQ104" s="3">
        <f t="shared" si="71"/>
        <v>63</v>
      </c>
      <c r="AR104" s="3">
        <f t="shared" si="72"/>
        <v>60</v>
      </c>
      <c r="AS104" s="8"/>
      <c r="AT104" s="8"/>
      <c r="AU104" s="8"/>
      <c r="AV104" s="8"/>
      <c r="AW104" s="8"/>
      <c r="AX104" s="8"/>
      <c r="AY104" s="8"/>
      <c r="AZ104" s="8"/>
      <c r="BA104" s="8">
        <v>3</v>
      </c>
      <c r="BB104" s="8"/>
      <c r="BC104" s="8"/>
      <c r="BD104" s="8"/>
      <c r="BE104" s="8"/>
      <c r="BF104" s="8"/>
      <c r="BG104" s="8"/>
      <c r="BH104" s="8"/>
      <c r="BL104">
        <v>5</v>
      </c>
      <c r="BM104" s="35">
        <v>43801</v>
      </c>
      <c r="BO104" s="35">
        <f>B121</f>
        <v>43920</v>
      </c>
      <c r="BP104">
        <v>98</v>
      </c>
      <c r="BR104" s="9">
        <f t="shared" si="48"/>
        <v>4</v>
      </c>
      <c r="BS104" s="37">
        <f t="shared" si="49"/>
        <v>43803</v>
      </c>
      <c r="BT104" s="38">
        <f t="shared" si="44"/>
        <v>43922</v>
      </c>
      <c r="BU104" s="36">
        <f t="shared" si="50"/>
        <v>5</v>
      </c>
    </row>
    <row r="105" spans="2:73" ht="15">
      <c r="B105" s="16">
        <f t="shared" si="51"/>
        <v>43808</v>
      </c>
      <c r="C105" s="15" t="s">
        <v>1</v>
      </c>
      <c r="D105" s="17">
        <f t="shared" si="52"/>
        <v>43814</v>
      </c>
      <c r="E105" s="18">
        <f t="shared" si="53"/>
        <v>12</v>
      </c>
      <c r="F105" s="19">
        <f t="shared" si="54"/>
        <v>2019</v>
      </c>
      <c r="G105" s="9">
        <f t="shared" si="73"/>
        <v>17</v>
      </c>
      <c r="H105" s="8">
        <f t="shared" si="73"/>
        <v>96</v>
      </c>
      <c r="I105" s="9"/>
      <c r="J105" s="9"/>
      <c r="K105" s="9"/>
      <c r="L105" s="9"/>
      <c r="M105" s="9"/>
      <c r="N105" s="9"/>
      <c r="O105" s="12"/>
      <c r="P105" s="12"/>
      <c r="Q105" s="12"/>
      <c r="R105" s="12"/>
      <c r="S105" s="12"/>
      <c r="T105" s="12"/>
      <c r="V105" s="20">
        <f t="shared" si="46"/>
        <v>8</v>
      </c>
      <c r="W105" s="20">
        <f t="shared" si="46"/>
        <v>13</v>
      </c>
      <c r="X105" s="20">
        <f t="shared" si="46"/>
        <v>0</v>
      </c>
      <c r="Y105" s="20">
        <f t="shared" si="45"/>
        <v>1</v>
      </c>
      <c r="Z105" s="20">
        <f t="shared" si="45"/>
        <v>0</v>
      </c>
      <c r="AA105" s="20">
        <f t="shared" si="45"/>
        <v>0</v>
      </c>
      <c r="AC105" s="3">
        <f t="shared" si="57"/>
        <v>58</v>
      </c>
      <c r="AD105" s="3">
        <f t="shared" si="58"/>
        <v>54</v>
      </c>
      <c r="AE105" s="3">
        <f t="shared" si="59"/>
        <v>49</v>
      </c>
      <c r="AF105" s="3">
        <f t="shared" si="60"/>
        <v>45</v>
      </c>
      <c r="AG105" s="3">
        <f t="shared" si="61"/>
        <v>41</v>
      </c>
      <c r="AH105" s="3">
        <f t="shared" si="62"/>
        <v>37</v>
      </c>
      <c r="AI105" s="3">
        <f t="shared" si="63"/>
        <v>33</v>
      </c>
      <c r="AJ105" s="3">
        <f t="shared" si="64"/>
        <v>23</v>
      </c>
      <c r="AK105" s="3">
        <f t="shared" si="65"/>
        <v>18</v>
      </c>
      <c r="AL105" s="3">
        <f t="shared" si="66"/>
        <v>0</v>
      </c>
      <c r="AM105" s="3">
        <f t="shared" si="67"/>
        <v>92</v>
      </c>
      <c r="AN105" s="3">
        <f t="shared" si="68"/>
        <v>86</v>
      </c>
      <c r="AO105" s="3">
        <f t="shared" si="69"/>
        <v>86</v>
      </c>
      <c r="AP105" s="3">
        <f t="shared" si="70"/>
        <v>67</v>
      </c>
      <c r="AQ105" s="3">
        <f t="shared" si="71"/>
        <v>64</v>
      </c>
      <c r="AR105" s="3">
        <f t="shared" si="72"/>
        <v>61</v>
      </c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M105" s="35" t="s">
        <v>12</v>
      </c>
      <c r="BO105" s="35"/>
      <c r="BR105" s="9" t="str">
        <f t="shared" si="48"/>
        <v/>
      </c>
      <c r="BS105" s="37" t="str">
        <f t="shared" si="49"/>
        <v/>
      </c>
      <c r="BT105" s="38" t="str">
        <f t="shared" si="44"/>
        <v/>
      </c>
      <c r="BU105" s="36" t="str">
        <f t="shared" si="50"/>
        <v/>
      </c>
    </row>
    <row r="106" spans="2:73" ht="15">
      <c r="B106" s="16">
        <f t="shared" si="51"/>
        <v>43815</v>
      </c>
      <c r="C106" s="15" t="s">
        <v>1</v>
      </c>
      <c r="D106" s="17">
        <f t="shared" si="52"/>
        <v>43821</v>
      </c>
      <c r="E106" s="18">
        <f t="shared" si="53"/>
        <v>12</v>
      </c>
      <c r="F106" s="19">
        <f t="shared" si="54"/>
        <v>2019</v>
      </c>
      <c r="G106" s="9">
        <f t="shared" si="73"/>
        <v>17</v>
      </c>
      <c r="H106" s="8">
        <f t="shared" si="73"/>
        <v>96</v>
      </c>
      <c r="I106" s="9"/>
      <c r="J106" s="9"/>
      <c r="K106" s="9"/>
      <c r="L106" s="9"/>
      <c r="M106" s="9"/>
      <c r="N106" s="9"/>
      <c r="O106" s="12"/>
      <c r="P106" s="12"/>
      <c r="Q106" s="12"/>
      <c r="R106" s="12"/>
      <c r="S106" s="12"/>
      <c r="T106" s="12"/>
      <c r="V106" s="20">
        <f t="shared" si="46"/>
        <v>9</v>
      </c>
      <c r="W106" s="20">
        <f t="shared" si="46"/>
        <v>14</v>
      </c>
      <c r="X106" s="20">
        <f t="shared" si="46"/>
        <v>0</v>
      </c>
      <c r="Y106" s="20">
        <f t="shared" si="45"/>
        <v>2</v>
      </c>
      <c r="Z106" s="20">
        <f t="shared" si="45"/>
        <v>0</v>
      </c>
      <c r="AA106" s="20">
        <f t="shared" si="45"/>
        <v>0</v>
      </c>
      <c r="AC106" s="3">
        <f t="shared" si="57"/>
        <v>59</v>
      </c>
      <c r="AD106" s="3">
        <f t="shared" si="58"/>
        <v>55</v>
      </c>
      <c r="AE106" s="3">
        <f t="shared" si="59"/>
        <v>50</v>
      </c>
      <c r="AF106" s="3">
        <f t="shared" si="60"/>
        <v>46</v>
      </c>
      <c r="AG106" s="3">
        <f t="shared" si="61"/>
        <v>42</v>
      </c>
      <c r="AH106" s="3">
        <f t="shared" si="62"/>
        <v>38</v>
      </c>
      <c r="AI106" s="3">
        <f t="shared" si="63"/>
        <v>34</v>
      </c>
      <c r="AJ106" s="3">
        <f t="shared" si="64"/>
        <v>24</v>
      </c>
      <c r="AK106" s="3">
        <f t="shared" si="65"/>
        <v>19</v>
      </c>
      <c r="AL106" s="3">
        <f t="shared" si="66"/>
        <v>0</v>
      </c>
      <c r="AM106" s="3">
        <f t="shared" si="67"/>
        <v>93</v>
      </c>
      <c r="AN106" s="3">
        <f t="shared" si="68"/>
        <v>87</v>
      </c>
      <c r="AO106" s="3">
        <f t="shared" si="69"/>
        <v>87</v>
      </c>
      <c r="AP106" s="3">
        <f t="shared" si="70"/>
        <v>68</v>
      </c>
      <c r="AQ106" s="3">
        <f t="shared" si="71"/>
        <v>65</v>
      </c>
      <c r="AR106" s="3">
        <f t="shared" si="72"/>
        <v>62</v>
      </c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M106" s="35" t="s">
        <v>12</v>
      </c>
      <c r="BO106" s="35"/>
      <c r="BR106" s="9" t="str">
        <f t="shared" si="48"/>
        <v/>
      </c>
      <c r="BS106" s="37" t="str">
        <f t="shared" si="49"/>
        <v/>
      </c>
      <c r="BT106" s="38" t="str">
        <f t="shared" ref="BT106:BT169" si="74">IF(BS106="","",BS106+(17*7))</f>
        <v/>
      </c>
      <c r="BU106" s="36" t="str">
        <f t="shared" si="50"/>
        <v/>
      </c>
    </row>
    <row r="107" spans="2:73" ht="15">
      <c r="B107" s="16">
        <f t="shared" si="51"/>
        <v>43822</v>
      </c>
      <c r="C107" s="15" t="s">
        <v>1</v>
      </c>
      <c r="D107" s="17">
        <f t="shared" si="52"/>
        <v>43828</v>
      </c>
      <c r="E107" s="18">
        <f t="shared" si="53"/>
        <v>12</v>
      </c>
      <c r="F107" s="19">
        <f t="shared" si="54"/>
        <v>2019</v>
      </c>
      <c r="G107" s="9">
        <f t="shared" si="73"/>
        <v>17</v>
      </c>
      <c r="H107" s="8">
        <f t="shared" si="73"/>
        <v>96</v>
      </c>
      <c r="I107" s="9"/>
      <c r="J107" s="9"/>
      <c r="K107" s="9"/>
      <c r="L107" s="9"/>
      <c r="M107" s="9"/>
      <c r="N107" s="9"/>
      <c r="O107" s="12"/>
      <c r="P107" s="12"/>
      <c r="Q107" s="12"/>
      <c r="R107" s="12"/>
      <c r="S107" s="12"/>
      <c r="T107" s="12"/>
      <c r="V107" s="20">
        <f t="shared" si="46"/>
        <v>10</v>
      </c>
      <c r="W107" s="20">
        <f t="shared" si="46"/>
        <v>15</v>
      </c>
      <c r="X107" s="20">
        <f t="shared" si="46"/>
        <v>0</v>
      </c>
      <c r="Y107" s="20">
        <f t="shared" si="45"/>
        <v>3</v>
      </c>
      <c r="Z107" s="20">
        <f t="shared" si="45"/>
        <v>0</v>
      </c>
      <c r="AA107" s="20">
        <f t="shared" si="45"/>
        <v>0</v>
      </c>
      <c r="AC107" s="3">
        <f t="shared" si="57"/>
        <v>60</v>
      </c>
      <c r="AD107" s="3">
        <f t="shared" si="58"/>
        <v>56</v>
      </c>
      <c r="AE107" s="3">
        <f t="shared" si="59"/>
        <v>51</v>
      </c>
      <c r="AF107" s="3">
        <f t="shared" si="60"/>
        <v>47</v>
      </c>
      <c r="AG107" s="3">
        <f t="shared" si="61"/>
        <v>43</v>
      </c>
      <c r="AH107" s="3">
        <f t="shared" si="62"/>
        <v>39</v>
      </c>
      <c r="AI107" s="3">
        <f t="shared" si="63"/>
        <v>35</v>
      </c>
      <c r="AJ107" s="3">
        <f t="shared" si="64"/>
        <v>25</v>
      </c>
      <c r="AK107" s="3">
        <f t="shared" si="65"/>
        <v>20</v>
      </c>
      <c r="AL107" s="3">
        <f t="shared" si="66"/>
        <v>0</v>
      </c>
      <c r="AM107" s="3">
        <f t="shared" si="67"/>
        <v>94</v>
      </c>
      <c r="AN107" s="3">
        <f t="shared" si="68"/>
        <v>88</v>
      </c>
      <c r="AO107" s="3">
        <f t="shared" si="69"/>
        <v>88</v>
      </c>
      <c r="AP107" s="3">
        <f t="shared" si="70"/>
        <v>69</v>
      </c>
      <c r="AQ107" s="3">
        <f t="shared" si="71"/>
        <v>66</v>
      </c>
      <c r="AR107" s="3">
        <f t="shared" si="72"/>
        <v>63</v>
      </c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M107" s="35" t="s">
        <v>12</v>
      </c>
      <c r="BO107" s="35"/>
      <c r="BR107" s="9" t="str">
        <f t="shared" si="48"/>
        <v/>
      </c>
      <c r="BS107" s="37" t="str">
        <f t="shared" si="49"/>
        <v/>
      </c>
      <c r="BT107" s="38" t="str">
        <f t="shared" si="74"/>
        <v/>
      </c>
      <c r="BU107" s="36" t="str">
        <f t="shared" si="50"/>
        <v/>
      </c>
    </row>
    <row r="108" spans="2:73" ht="15">
      <c r="B108" s="16">
        <f t="shared" si="51"/>
        <v>43829</v>
      </c>
      <c r="C108" s="15" t="s">
        <v>1</v>
      </c>
      <c r="D108" s="17">
        <f t="shared" si="52"/>
        <v>43835</v>
      </c>
      <c r="E108" s="18">
        <f t="shared" si="53"/>
        <v>12</v>
      </c>
      <c r="F108" s="19">
        <f t="shared" si="54"/>
        <v>2020</v>
      </c>
      <c r="G108" s="9">
        <f t="shared" si="73"/>
        <v>17</v>
      </c>
      <c r="H108" s="8">
        <f t="shared" si="73"/>
        <v>96</v>
      </c>
      <c r="I108" s="9"/>
      <c r="J108" s="9"/>
      <c r="K108" s="9"/>
      <c r="L108" s="9"/>
      <c r="M108" s="9"/>
      <c r="N108" s="9"/>
      <c r="O108" s="12"/>
      <c r="P108" s="12"/>
      <c r="Q108" s="12"/>
      <c r="R108" s="12"/>
      <c r="S108" s="12"/>
      <c r="T108" s="12"/>
      <c r="V108" s="20">
        <f t="shared" si="46"/>
        <v>11</v>
      </c>
      <c r="W108" s="20">
        <f t="shared" si="46"/>
        <v>16</v>
      </c>
      <c r="X108" s="20">
        <f t="shared" si="46"/>
        <v>0</v>
      </c>
      <c r="Y108" s="20">
        <f t="shared" si="45"/>
        <v>4</v>
      </c>
      <c r="Z108" s="20">
        <f t="shared" si="45"/>
        <v>0</v>
      </c>
      <c r="AA108" s="20">
        <f t="shared" si="45"/>
        <v>0</v>
      </c>
      <c r="AC108" s="3">
        <f t="shared" si="57"/>
        <v>61</v>
      </c>
      <c r="AD108" s="3">
        <f t="shared" si="58"/>
        <v>57</v>
      </c>
      <c r="AE108" s="3">
        <f t="shared" si="59"/>
        <v>52</v>
      </c>
      <c r="AF108" s="3">
        <f t="shared" si="60"/>
        <v>48</v>
      </c>
      <c r="AG108" s="3">
        <f t="shared" si="61"/>
        <v>44</v>
      </c>
      <c r="AH108" s="3">
        <f t="shared" si="62"/>
        <v>40</v>
      </c>
      <c r="AI108" s="3">
        <f t="shared" si="63"/>
        <v>36</v>
      </c>
      <c r="AJ108" s="3">
        <f t="shared" si="64"/>
        <v>26</v>
      </c>
      <c r="AK108" s="3">
        <f t="shared" si="65"/>
        <v>21</v>
      </c>
      <c r="AL108" s="3">
        <f t="shared" si="66"/>
        <v>16</v>
      </c>
      <c r="AM108" s="3">
        <f t="shared" si="67"/>
        <v>95</v>
      </c>
      <c r="AN108" s="3">
        <f t="shared" si="68"/>
        <v>89</v>
      </c>
      <c r="AO108" s="3">
        <f t="shared" si="69"/>
        <v>89</v>
      </c>
      <c r="AP108" s="3">
        <f t="shared" si="70"/>
        <v>70</v>
      </c>
      <c r="AQ108" s="3">
        <f t="shared" si="71"/>
        <v>67</v>
      </c>
      <c r="AR108" s="3">
        <f t="shared" si="72"/>
        <v>64</v>
      </c>
      <c r="AS108" s="8"/>
      <c r="AT108" s="8"/>
      <c r="AU108" s="8"/>
      <c r="AV108" s="8"/>
      <c r="AW108" s="8"/>
      <c r="AX108" s="8"/>
      <c r="AY108" s="8"/>
      <c r="AZ108" s="8"/>
      <c r="BA108" s="8"/>
      <c r="BB108" s="8">
        <v>2</v>
      </c>
      <c r="BC108" s="8"/>
      <c r="BD108" s="8"/>
      <c r="BE108" s="8"/>
      <c r="BF108" s="8"/>
      <c r="BG108" s="8"/>
      <c r="BH108" s="8"/>
      <c r="BM108" s="35" t="s">
        <v>12</v>
      </c>
      <c r="BO108" s="35"/>
      <c r="BR108" s="9" t="str">
        <f t="shared" si="48"/>
        <v/>
      </c>
      <c r="BS108" s="37" t="str">
        <f t="shared" si="49"/>
        <v/>
      </c>
      <c r="BT108" s="38" t="str">
        <f t="shared" si="74"/>
        <v/>
      </c>
      <c r="BU108" s="36" t="str">
        <f t="shared" si="50"/>
        <v/>
      </c>
    </row>
    <row r="109" spans="2:73" ht="15">
      <c r="B109" s="16">
        <f t="shared" si="51"/>
        <v>43836</v>
      </c>
      <c r="C109" s="15" t="s">
        <v>1</v>
      </c>
      <c r="D109" s="17">
        <f t="shared" si="52"/>
        <v>43842</v>
      </c>
      <c r="E109" s="18">
        <f t="shared" si="53"/>
        <v>1</v>
      </c>
      <c r="F109" s="19">
        <f t="shared" si="54"/>
        <v>2020</v>
      </c>
      <c r="G109" s="9">
        <f t="shared" si="73"/>
        <v>17</v>
      </c>
      <c r="H109" s="8">
        <f t="shared" si="73"/>
        <v>96</v>
      </c>
      <c r="I109" s="9"/>
      <c r="J109" s="9"/>
      <c r="K109" s="9"/>
      <c r="L109" s="9"/>
      <c r="M109" s="9"/>
      <c r="N109" s="9"/>
      <c r="O109" s="12"/>
      <c r="P109" s="12"/>
      <c r="Q109" s="12">
        <v>1</v>
      </c>
      <c r="R109" s="12"/>
      <c r="S109" s="12"/>
      <c r="T109" s="12"/>
      <c r="V109" s="20">
        <f t="shared" si="46"/>
        <v>12</v>
      </c>
      <c r="W109" s="20">
        <f t="shared" si="46"/>
        <v>17</v>
      </c>
      <c r="X109" s="20">
        <f t="shared" si="46"/>
        <v>43838</v>
      </c>
      <c r="Y109" s="20">
        <f t="shared" si="45"/>
        <v>5</v>
      </c>
      <c r="Z109" s="20">
        <f t="shared" si="45"/>
        <v>0</v>
      </c>
      <c r="AA109" s="20">
        <f t="shared" si="45"/>
        <v>0</v>
      </c>
      <c r="AC109" s="3">
        <f t="shared" si="57"/>
        <v>62</v>
      </c>
      <c r="AD109" s="3">
        <f t="shared" si="58"/>
        <v>58</v>
      </c>
      <c r="AE109" s="3">
        <f t="shared" si="59"/>
        <v>53</v>
      </c>
      <c r="AF109" s="3">
        <f t="shared" si="60"/>
        <v>49</v>
      </c>
      <c r="AG109" s="3">
        <f t="shared" si="61"/>
        <v>45</v>
      </c>
      <c r="AH109" s="3">
        <f t="shared" si="62"/>
        <v>41</v>
      </c>
      <c r="AI109" s="3">
        <f t="shared" si="63"/>
        <v>37</v>
      </c>
      <c r="AJ109" s="3">
        <f t="shared" si="64"/>
        <v>27</v>
      </c>
      <c r="AK109" s="3">
        <f t="shared" si="65"/>
        <v>22</v>
      </c>
      <c r="AL109" s="3">
        <f t="shared" si="66"/>
        <v>17</v>
      </c>
      <c r="AM109" s="3">
        <f t="shared" si="67"/>
        <v>96</v>
      </c>
      <c r="AN109" s="3">
        <f t="shared" si="68"/>
        <v>90</v>
      </c>
      <c r="AO109" s="3">
        <f t="shared" si="69"/>
        <v>90</v>
      </c>
      <c r="AP109" s="3">
        <f t="shared" si="70"/>
        <v>71</v>
      </c>
      <c r="AQ109" s="3">
        <f t="shared" si="71"/>
        <v>68</v>
      </c>
      <c r="AR109" s="3">
        <f t="shared" si="72"/>
        <v>65</v>
      </c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L109">
        <v>15</v>
      </c>
      <c r="BM109" s="35">
        <v>43836</v>
      </c>
      <c r="BO109" s="35">
        <f>B126</f>
        <v>43955</v>
      </c>
      <c r="BP109">
        <v>98</v>
      </c>
      <c r="BR109" s="9">
        <f t="shared" si="48"/>
        <v>3</v>
      </c>
      <c r="BS109" s="37">
        <f t="shared" si="49"/>
        <v>43838</v>
      </c>
      <c r="BT109" s="38">
        <f t="shared" si="74"/>
        <v>43957</v>
      </c>
      <c r="BU109" s="36">
        <f t="shared" si="50"/>
        <v>15</v>
      </c>
    </row>
    <row r="110" spans="2:73" ht="15">
      <c r="B110" s="16">
        <f t="shared" si="51"/>
        <v>43843</v>
      </c>
      <c r="C110" s="15" t="s">
        <v>1</v>
      </c>
      <c r="D110" s="17">
        <f t="shared" si="52"/>
        <v>43849</v>
      </c>
      <c r="E110" s="18">
        <f t="shared" si="53"/>
        <v>1</v>
      </c>
      <c r="F110" s="19">
        <f t="shared" si="54"/>
        <v>2020</v>
      </c>
      <c r="G110" s="9">
        <f t="shared" si="73"/>
        <v>17</v>
      </c>
      <c r="H110" s="8">
        <f t="shared" si="73"/>
        <v>96</v>
      </c>
      <c r="I110" s="9"/>
      <c r="J110" s="9"/>
      <c r="K110" s="9"/>
      <c r="L110" s="9"/>
      <c r="M110" s="9"/>
      <c r="N110" s="9"/>
      <c r="O110" s="12"/>
      <c r="P110" s="12"/>
      <c r="Q110" s="12"/>
      <c r="R110" s="12"/>
      <c r="S110" s="12"/>
      <c r="T110" s="12"/>
      <c r="V110" s="20">
        <f t="shared" si="46"/>
        <v>13</v>
      </c>
      <c r="W110" s="20">
        <f t="shared" si="46"/>
        <v>0</v>
      </c>
      <c r="X110" s="20">
        <f t="shared" si="46"/>
        <v>1</v>
      </c>
      <c r="Y110" s="20">
        <f t="shared" si="46"/>
        <v>6</v>
      </c>
      <c r="Z110" s="20">
        <f t="shared" si="46"/>
        <v>0</v>
      </c>
      <c r="AA110" s="20">
        <f t="shared" si="46"/>
        <v>0</v>
      </c>
      <c r="AC110" s="3">
        <f t="shared" si="57"/>
        <v>63</v>
      </c>
      <c r="AD110" s="3">
        <f t="shared" si="58"/>
        <v>59</v>
      </c>
      <c r="AE110" s="3">
        <f t="shared" si="59"/>
        <v>54</v>
      </c>
      <c r="AF110" s="3">
        <f t="shared" si="60"/>
        <v>50</v>
      </c>
      <c r="AG110" s="3">
        <f t="shared" si="61"/>
        <v>46</v>
      </c>
      <c r="AH110" s="3">
        <f t="shared" si="62"/>
        <v>42</v>
      </c>
      <c r="AI110" s="3">
        <f t="shared" si="63"/>
        <v>38</v>
      </c>
      <c r="AJ110" s="3">
        <f t="shared" si="64"/>
        <v>28</v>
      </c>
      <c r="AK110" s="3">
        <f t="shared" si="65"/>
        <v>23</v>
      </c>
      <c r="AL110" s="3">
        <f t="shared" si="66"/>
        <v>18</v>
      </c>
      <c r="AM110" s="3">
        <f t="shared" si="67"/>
        <v>0</v>
      </c>
      <c r="AN110" s="3">
        <f t="shared" si="68"/>
        <v>91</v>
      </c>
      <c r="AO110" s="3">
        <f t="shared" si="69"/>
        <v>91</v>
      </c>
      <c r="AP110" s="3">
        <f t="shared" si="70"/>
        <v>72</v>
      </c>
      <c r="AQ110" s="3">
        <f t="shared" si="71"/>
        <v>69</v>
      </c>
      <c r="AR110" s="3">
        <f t="shared" si="72"/>
        <v>66</v>
      </c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M110" s="35" t="s">
        <v>12</v>
      </c>
      <c r="BO110" s="35"/>
      <c r="BR110" s="9" t="str">
        <f t="shared" si="48"/>
        <v/>
      </c>
      <c r="BS110" s="37" t="str">
        <f t="shared" si="49"/>
        <v/>
      </c>
      <c r="BT110" s="38" t="str">
        <f t="shared" si="74"/>
        <v/>
      </c>
      <c r="BU110" s="36" t="str">
        <f t="shared" si="50"/>
        <v/>
      </c>
    </row>
    <row r="111" spans="2:73" ht="15">
      <c r="B111" s="16">
        <f t="shared" si="51"/>
        <v>43850</v>
      </c>
      <c r="C111" s="15" t="s">
        <v>1</v>
      </c>
      <c r="D111" s="17">
        <f t="shared" si="52"/>
        <v>43856</v>
      </c>
      <c r="E111" s="18">
        <f t="shared" si="53"/>
        <v>1</v>
      </c>
      <c r="F111" s="19">
        <f t="shared" si="54"/>
        <v>2020</v>
      </c>
      <c r="G111" s="9">
        <f t="shared" si="73"/>
        <v>17</v>
      </c>
      <c r="H111" s="8">
        <f t="shared" si="73"/>
        <v>96</v>
      </c>
      <c r="I111" s="9"/>
      <c r="J111" s="9"/>
      <c r="K111" s="9"/>
      <c r="L111" s="9"/>
      <c r="M111" s="9"/>
      <c r="N111" s="9"/>
      <c r="O111" s="12"/>
      <c r="P111" s="12"/>
      <c r="Q111" s="12"/>
      <c r="R111" s="12"/>
      <c r="S111" s="12"/>
      <c r="T111" s="12"/>
      <c r="V111" s="20">
        <f t="shared" ref="V111:AA153" si="75">IF(I111&gt;0,I111,IF(O111=1,$B111+2,IF(O110=1,1,IF(O110=2,0,IF(V110=$G110,0,(IF(V110&gt;=1,V110+1,0)))))))</f>
        <v>14</v>
      </c>
      <c r="W111" s="20">
        <f t="shared" si="75"/>
        <v>0</v>
      </c>
      <c r="X111" s="20">
        <f t="shared" si="75"/>
        <v>2</v>
      </c>
      <c r="Y111" s="20">
        <f t="shared" si="75"/>
        <v>7</v>
      </c>
      <c r="Z111" s="20">
        <f t="shared" si="75"/>
        <v>0</v>
      </c>
      <c r="AA111" s="20">
        <f t="shared" si="75"/>
        <v>0</v>
      </c>
      <c r="AC111" s="3">
        <f t="shared" si="57"/>
        <v>64</v>
      </c>
      <c r="AD111" s="3">
        <f t="shared" si="58"/>
        <v>60</v>
      </c>
      <c r="AE111" s="3">
        <f t="shared" si="59"/>
        <v>55</v>
      </c>
      <c r="AF111" s="3">
        <f t="shared" si="60"/>
        <v>51</v>
      </c>
      <c r="AG111" s="3">
        <f t="shared" si="61"/>
        <v>47</v>
      </c>
      <c r="AH111" s="3">
        <f t="shared" si="62"/>
        <v>43</v>
      </c>
      <c r="AI111" s="3">
        <f t="shared" si="63"/>
        <v>39</v>
      </c>
      <c r="AJ111" s="3">
        <f t="shared" si="64"/>
        <v>29</v>
      </c>
      <c r="AK111" s="3">
        <f t="shared" si="65"/>
        <v>24</v>
      </c>
      <c r="AL111" s="3">
        <f t="shared" si="66"/>
        <v>19</v>
      </c>
      <c r="AM111" s="3">
        <f t="shared" si="67"/>
        <v>0</v>
      </c>
      <c r="AN111" s="3">
        <f t="shared" si="68"/>
        <v>92</v>
      </c>
      <c r="AO111" s="3">
        <f t="shared" si="69"/>
        <v>92</v>
      </c>
      <c r="AP111" s="3">
        <f t="shared" si="70"/>
        <v>73</v>
      </c>
      <c r="AQ111" s="3">
        <f t="shared" si="71"/>
        <v>70</v>
      </c>
      <c r="AR111" s="3">
        <f t="shared" si="72"/>
        <v>67</v>
      </c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M111" s="35" t="s">
        <v>12</v>
      </c>
      <c r="BO111" s="35"/>
      <c r="BR111" s="9" t="str">
        <f t="shared" si="48"/>
        <v/>
      </c>
      <c r="BS111" s="37" t="str">
        <f t="shared" si="49"/>
        <v/>
      </c>
      <c r="BT111" s="38" t="str">
        <f t="shared" si="74"/>
        <v/>
      </c>
      <c r="BU111" s="36" t="str">
        <f t="shared" si="50"/>
        <v/>
      </c>
    </row>
    <row r="112" spans="2:73" ht="15">
      <c r="B112" s="16">
        <f t="shared" si="51"/>
        <v>43857</v>
      </c>
      <c r="C112" s="15" t="s">
        <v>1</v>
      </c>
      <c r="D112" s="17">
        <f t="shared" si="52"/>
        <v>43863</v>
      </c>
      <c r="E112" s="18">
        <f t="shared" si="53"/>
        <v>1</v>
      </c>
      <c r="F112" s="19">
        <f t="shared" si="54"/>
        <v>2020</v>
      </c>
      <c r="G112" s="9">
        <f t="shared" si="73"/>
        <v>17</v>
      </c>
      <c r="H112" s="8">
        <f t="shared" si="73"/>
        <v>96</v>
      </c>
      <c r="I112" s="9"/>
      <c r="J112" s="9"/>
      <c r="K112" s="9"/>
      <c r="L112" s="9"/>
      <c r="M112" s="9"/>
      <c r="N112" s="9"/>
      <c r="O112" s="12"/>
      <c r="P112" s="12"/>
      <c r="Q112" s="12"/>
      <c r="R112" s="12"/>
      <c r="S112" s="12"/>
      <c r="T112" s="12"/>
      <c r="V112" s="20">
        <f t="shared" si="75"/>
        <v>15</v>
      </c>
      <c r="W112" s="20">
        <f t="shared" si="75"/>
        <v>0</v>
      </c>
      <c r="X112" s="20">
        <f t="shared" si="75"/>
        <v>3</v>
      </c>
      <c r="Y112" s="20">
        <f t="shared" si="75"/>
        <v>8</v>
      </c>
      <c r="Z112" s="20">
        <f t="shared" si="75"/>
        <v>0</v>
      </c>
      <c r="AA112" s="20">
        <f t="shared" si="75"/>
        <v>0</v>
      </c>
      <c r="AC112" s="3">
        <f t="shared" si="57"/>
        <v>65</v>
      </c>
      <c r="AD112" s="3">
        <f t="shared" si="58"/>
        <v>61</v>
      </c>
      <c r="AE112" s="3">
        <f t="shared" si="59"/>
        <v>56</v>
      </c>
      <c r="AF112" s="3">
        <f t="shared" si="60"/>
        <v>52</v>
      </c>
      <c r="AG112" s="3">
        <f t="shared" si="61"/>
        <v>48</v>
      </c>
      <c r="AH112" s="3">
        <f t="shared" si="62"/>
        <v>44</v>
      </c>
      <c r="AI112" s="3">
        <f t="shared" si="63"/>
        <v>40</v>
      </c>
      <c r="AJ112" s="3">
        <f t="shared" si="64"/>
        <v>30</v>
      </c>
      <c r="AK112" s="3">
        <f t="shared" si="65"/>
        <v>25</v>
      </c>
      <c r="AL112" s="3">
        <f t="shared" si="66"/>
        <v>20</v>
      </c>
      <c r="AM112" s="3">
        <f t="shared" si="67"/>
        <v>0</v>
      </c>
      <c r="AN112" s="3">
        <f t="shared" si="68"/>
        <v>93</v>
      </c>
      <c r="AO112" s="3">
        <f t="shared" si="69"/>
        <v>93</v>
      </c>
      <c r="AP112" s="3">
        <f t="shared" si="70"/>
        <v>74</v>
      </c>
      <c r="AQ112" s="3">
        <f t="shared" si="71"/>
        <v>71</v>
      </c>
      <c r="AR112" s="3">
        <f t="shared" si="72"/>
        <v>68</v>
      </c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M112" s="35" t="s">
        <v>12</v>
      </c>
      <c r="BO112" s="35"/>
      <c r="BR112" s="9" t="str">
        <f t="shared" si="48"/>
        <v/>
      </c>
      <c r="BS112" s="37" t="str">
        <f t="shared" si="49"/>
        <v/>
      </c>
      <c r="BT112" s="38" t="str">
        <f t="shared" si="74"/>
        <v/>
      </c>
      <c r="BU112" s="36" t="str">
        <f t="shared" si="50"/>
        <v/>
      </c>
    </row>
    <row r="113" spans="2:73" ht="15">
      <c r="B113" s="16">
        <f t="shared" si="51"/>
        <v>43864</v>
      </c>
      <c r="C113" s="15" t="s">
        <v>1</v>
      </c>
      <c r="D113" s="17">
        <f t="shared" si="52"/>
        <v>43870</v>
      </c>
      <c r="E113" s="18">
        <f t="shared" si="53"/>
        <v>2</v>
      </c>
      <c r="F113" s="19">
        <f t="shared" si="54"/>
        <v>2020</v>
      </c>
      <c r="G113" s="9">
        <f t="shared" si="73"/>
        <v>17</v>
      </c>
      <c r="H113" s="8">
        <f t="shared" si="73"/>
        <v>96</v>
      </c>
      <c r="I113" s="9"/>
      <c r="J113" s="9"/>
      <c r="K113" s="9"/>
      <c r="L113" s="9"/>
      <c r="M113" s="9"/>
      <c r="N113" s="9"/>
      <c r="O113" s="12"/>
      <c r="P113" s="12"/>
      <c r="Q113" s="12"/>
      <c r="R113" s="12"/>
      <c r="S113" s="12"/>
      <c r="T113" s="12"/>
      <c r="V113" s="20">
        <f t="shared" si="75"/>
        <v>16</v>
      </c>
      <c r="W113" s="20">
        <f t="shared" si="75"/>
        <v>0</v>
      </c>
      <c r="X113" s="20">
        <f t="shared" si="75"/>
        <v>4</v>
      </c>
      <c r="Y113" s="20">
        <f t="shared" si="75"/>
        <v>9</v>
      </c>
      <c r="Z113" s="20">
        <f t="shared" si="75"/>
        <v>0</v>
      </c>
      <c r="AA113" s="20">
        <f t="shared" si="75"/>
        <v>0</v>
      </c>
      <c r="AC113" s="3">
        <f t="shared" si="57"/>
        <v>66</v>
      </c>
      <c r="AD113" s="3">
        <f t="shared" si="58"/>
        <v>62</v>
      </c>
      <c r="AE113" s="3">
        <f t="shared" si="59"/>
        <v>57</v>
      </c>
      <c r="AF113" s="3">
        <f t="shared" si="60"/>
        <v>53</v>
      </c>
      <c r="AG113" s="3">
        <f t="shared" si="61"/>
        <v>49</v>
      </c>
      <c r="AH113" s="3">
        <f t="shared" si="62"/>
        <v>45</v>
      </c>
      <c r="AI113" s="3">
        <f t="shared" si="63"/>
        <v>41</v>
      </c>
      <c r="AJ113" s="3">
        <f t="shared" si="64"/>
        <v>31</v>
      </c>
      <c r="AK113" s="3">
        <f t="shared" si="65"/>
        <v>26</v>
      </c>
      <c r="AL113" s="3">
        <f t="shared" si="66"/>
        <v>21</v>
      </c>
      <c r="AM113" s="3">
        <f t="shared" si="67"/>
        <v>16</v>
      </c>
      <c r="AN113" s="3">
        <f t="shared" si="68"/>
        <v>94</v>
      </c>
      <c r="AO113" s="3">
        <f t="shared" si="69"/>
        <v>94</v>
      </c>
      <c r="AP113" s="3">
        <f t="shared" si="70"/>
        <v>75</v>
      </c>
      <c r="AQ113" s="3">
        <f t="shared" si="71"/>
        <v>72</v>
      </c>
      <c r="AR113" s="3">
        <f t="shared" si="72"/>
        <v>69</v>
      </c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>
        <v>1</v>
      </c>
      <c r="BD113" s="8"/>
      <c r="BE113" s="8"/>
      <c r="BF113" s="8"/>
      <c r="BG113" s="8"/>
      <c r="BH113" s="8"/>
      <c r="BM113" s="35" t="s">
        <v>12</v>
      </c>
      <c r="BO113" s="35"/>
      <c r="BR113" s="9" t="str">
        <f t="shared" si="48"/>
        <v/>
      </c>
      <c r="BS113" s="37" t="str">
        <f t="shared" si="49"/>
        <v/>
      </c>
      <c r="BT113" s="38" t="str">
        <f t="shared" si="74"/>
        <v/>
      </c>
      <c r="BU113" s="36" t="str">
        <f t="shared" si="50"/>
        <v/>
      </c>
    </row>
    <row r="114" spans="2:73" ht="15">
      <c r="B114" s="16">
        <f t="shared" si="51"/>
        <v>43871</v>
      </c>
      <c r="C114" s="15" t="s">
        <v>1</v>
      </c>
      <c r="D114" s="17">
        <f t="shared" si="52"/>
        <v>43877</v>
      </c>
      <c r="E114" s="18">
        <f t="shared" si="53"/>
        <v>2</v>
      </c>
      <c r="F114" s="19">
        <f t="shared" si="54"/>
        <v>2020</v>
      </c>
      <c r="G114" s="9">
        <f t="shared" si="73"/>
        <v>17</v>
      </c>
      <c r="H114" s="8">
        <f t="shared" si="73"/>
        <v>96</v>
      </c>
      <c r="I114" s="9"/>
      <c r="J114" s="9"/>
      <c r="K114" s="9"/>
      <c r="L114" s="9"/>
      <c r="M114" s="9"/>
      <c r="N114" s="9"/>
      <c r="O114" s="12"/>
      <c r="P114" s="12">
        <v>1</v>
      </c>
      <c r="Q114" s="12"/>
      <c r="R114" s="12"/>
      <c r="S114" s="12"/>
      <c r="T114" s="12"/>
      <c r="V114" s="20">
        <f t="shared" si="75"/>
        <v>17</v>
      </c>
      <c r="W114" s="20">
        <f t="shared" si="75"/>
        <v>43873</v>
      </c>
      <c r="X114" s="20">
        <f t="shared" si="75"/>
        <v>5</v>
      </c>
      <c r="Y114" s="20">
        <f t="shared" si="75"/>
        <v>10</v>
      </c>
      <c r="Z114" s="20">
        <f t="shared" si="75"/>
        <v>0</v>
      </c>
      <c r="AA114" s="20">
        <f t="shared" si="75"/>
        <v>0</v>
      </c>
      <c r="AC114" s="3">
        <f t="shared" si="57"/>
        <v>67</v>
      </c>
      <c r="AD114" s="3">
        <f t="shared" si="58"/>
        <v>63</v>
      </c>
      <c r="AE114" s="3">
        <f t="shared" si="59"/>
        <v>58</v>
      </c>
      <c r="AF114" s="3">
        <f t="shared" si="60"/>
        <v>54</v>
      </c>
      <c r="AG114" s="3">
        <f t="shared" si="61"/>
        <v>50</v>
      </c>
      <c r="AH114" s="3">
        <f t="shared" si="62"/>
        <v>46</v>
      </c>
      <c r="AI114" s="3">
        <f t="shared" si="63"/>
        <v>42</v>
      </c>
      <c r="AJ114" s="3">
        <f t="shared" si="64"/>
        <v>32</v>
      </c>
      <c r="AK114" s="3">
        <f t="shared" si="65"/>
        <v>27</v>
      </c>
      <c r="AL114" s="3">
        <f t="shared" si="66"/>
        <v>22</v>
      </c>
      <c r="AM114" s="3">
        <f t="shared" si="67"/>
        <v>17</v>
      </c>
      <c r="AN114" s="3">
        <f t="shared" si="68"/>
        <v>95</v>
      </c>
      <c r="AO114" s="3">
        <f t="shared" si="69"/>
        <v>95</v>
      </c>
      <c r="AP114" s="3">
        <f t="shared" si="70"/>
        <v>76</v>
      </c>
      <c r="AQ114" s="3">
        <f t="shared" si="71"/>
        <v>73</v>
      </c>
      <c r="AR114" s="3">
        <f t="shared" si="72"/>
        <v>70</v>
      </c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M114" s="35" t="s">
        <v>12</v>
      </c>
      <c r="BO114" s="35"/>
      <c r="BR114" s="9">
        <f t="shared" si="48"/>
        <v>2</v>
      </c>
      <c r="BS114" s="37">
        <f t="shared" si="49"/>
        <v>43873</v>
      </c>
      <c r="BT114" s="38">
        <f t="shared" si="74"/>
        <v>43992</v>
      </c>
      <c r="BU114" s="36">
        <f t="shared" si="50"/>
        <v>7</v>
      </c>
    </row>
    <row r="115" spans="2:73" ht="15">
      <c r="B115" s="16">
        <f t="shared" si="51"/>
        <v>43878</v>
      </c>
      <c r="C115" s="15" t="s">
        <v>1</v>
      </c>
      <c r="D115" s="17">
        <f t="shared" si="52"/>
        <v>43884</v>
      </c>
      <c r="E115" s="18">
        <f t="shared" si="53"/>
        <v>2</v>
      </c>
      <c r="F115" s="19">
        <f t="shared" si="54"/>
        <v>2020</v>
      </c>
      <c r="G115" s="9">
        <f t="shared" si="73"/>
        <v>17</v>
      </c>
      <c r="H115" s="8">
        <f t="shared" si="73"/>
        <v>96</v>
      </c>
      <c r="I115" s="9"/>
      <c r="J115" s="9"/>
      <c r="K115" s="9"/>
      <c r="L115" s="9"/>
      <c r="M115" s="9"/>
      <c r="N115" s="9"/>
      <c r="O115" s="12"/>
      <c r="P115" s="12"/>
      <c r="Q115" s="12"/>
      <c r="R115" s="12"/>
      <c r="S115" s="12"/>
      <c r="T115" s="12"/>
      <c r="V115" s="20">
        <f t="shared" si="75"/>
        <v>0</v>
      </c>
      <c r="W115" s="20">
        <f t="shared" si="75"/>
        <v>1</v>
      </c>
      <c r="X115" s="20">
        <f t="shared" si="75"/>
        <v>6</v>
      </c>
      <c r="Y115" s="20">
        <f t="shared" si="75"/>
        <v>11</v>
      </c>
      <c r="Z115" s="20">
        <f t="shared" si="75"/>
        <v>0</v>
      </c>
      <c r="AA115" s="20">
        <f t="shared" si="75"/>
        <v>0</v>
      </c>
      <c r="AC115" s="3">
        <f t="shared" si="57"/>
        <v>68</v>
      </c>
      <c r="AD115" s="3">
        <f t="shared" si="58"/>
        <v>64</v>
      </c>
      <c r="AE115" s="3">
        <f t="shared" si="59"/>
        <v>59</v>
      </c>
      <c r="AF115" s="3">
        <f t="shared" si="60"/>
        <v>55</v>
      </c>
      <c r="AG115" s="3">
        <f t="shared" si="61"/>
        <v>51</v>
      </c>
      <c r="AH115" s="3">
        <f t="shared" si="62"/>
        <v>47</v>
      </c>
      <c r="AI115" s="3">
        <f t="shared" si="63"/>
        <v>43</v>
      </c>
      <c r="AJ115" s="3">
        <f t="shared" si="64"/>
        <v>33</v>
      </c>
      <c r="AK115" s="3">
        <f t="shared" si="65"/>
        <v>28</v>
      </c>
      <c r="AL115" s="3">
        <f t="shared" si="66"/>
        <v>23</v>
      </c>
      <c r="AM115" s="3">
        <f t="shared" si="67"/>
        <v>18</v>
      </c>
      <c r="AN115" s="3">
        <f t="shared" si="68"/>
        <v>96</v>
      </c>
      <c r="AO115" s="3">
        <f t="shared" si="69"/>
        <v>96</v>
      </c>
      <c r="AP115" s="3">
        <f t="shared" si="70"/>
        <v>77</v>
      </c>
      <c r="AQ115" s="3">
        <f t="shared" si="71"/>
        <v>74</v>
      </c>
      <c r="AR115" s="3">
        <f t="shared" si="72"/>
        <v>71</v>
      </c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M115" s="35" t="s">
        <v>12</v>
      </c>
      <c r="BO115" s="35"/>
      <c r="BR115" s="9" t="str">
        <f t="shared" si="48"/>
        <v/>
      </c>
      <c r="BS115" s="37" t="str">
        <f t="shared" si="49"/>
        <v/>
      </c>
      <c r="BT115" s="38" t="str">
        <f t="shared" si="74"/>
        <v/>
      </c>
      <c r="BU115" s="36" t="str">
        <f t="shared" si="50"/>
        <v/>
      </c>
    </row>
    <row r="116" spans="2:73" ht="15">
      <c r="B116" s="16">
        <f t="shared" si="51"/>
        <v>43885</v>
      </c>
      <c r="C116" s="15" t="s">
        <v>1</v>
      </c>
      <c r="D116" s="17">
        <f t="shared" si="52"/>
        <v>43891</v>
      </c>
      <c r="E116" s="18">
        <f t="shared" si="53"/>
        <v>2</v>
      </c>
      <c r="F116" s="19">
        <f t="shared" si="54"/>
        <v>2020</v>
      </c>
      <c r="G116" s="9">
        <f t="shared" si="73"/>
        <v>17</v>
      </c>
      <c r="H116" s="8">
        <f t="shared" si="73"/>
        <v>96</v>
      </c>
      <c r="I116" s="9"/>
      <c r="J116" s="9"/>
      <c r="K116" s="9"/>
      <c r="L116" s="9"/>
      <c r="M116" s="9"/>
      <c r="N116" s="9"/>
      <c r="O116" s="12"/>
      <c r="P116" s="12"/>
      <c r="Q116" s="12"/>
      <c r="R116" s="12"/>
      <c r="S116" s="12"/>
      <c r="T116" s="12"/>
      <c r="V116" s="20">
        <f t="shared" si="75"/>
        <v>0</v>
      </c>
      <c r="W116" s="20">
        <f t="shared" si="75"/>
        <v>2</v>
      </c>
      <c r="X116" s="20">
        <f t="shared" si="75"/>
        <v>7</v>
      </c>
      <c r="Y116" s="20">
        <f t="shared" si="75"/>
        <v>12</v>
      </c>
      <c r="Z116" s="20">
        <f t="shared" si="75"/>
        <v>0</v>
      </c>
      <c r="AA116" s="20">
        <f t="shared" si="75"/>
        <v>0</v>
      </c>
      <c r="AC116" s="3">
        <f t="shared" si="57"/>
        <v>69</v>
      </c>
      <c r="AD116" s="3">
        <f t="shared" si="58"/>
        <v>65</v>
      </c>
      <c r="AE116" s="3">
        <f t="shared" si="59"/>
        <v>60</v>
      </c>
      <c r="AF116" s="3">
        <f t="shared" si="60"/>
        <v>56</v>
      </c>
      <c r="AG116" s="3">
        <f t="shared" si="61"/>
        <v>52</v>
      </c>
      <c r="AH116" s="3">
        <f t="shared" si="62"/>
        <v>48</v>
      </c>
      <c r="AI116" s="3">
        <f t="shared" si="63"/>
        <v>44</v>
      </c>
      <c r="AJ116" s="3">
        <f t="shared" si="64"/>
        <v>34</v>
      </c>
      <c r="AK116" s="3">
        <f t="shared" si="65"/>
        <v>29</v>
      </c>
      <c r="AL116" s="3">
        <f t="shared" si="66"/>
        <v>24</v>
      </c>
      <c r="AM116" s="3">
        <f t="shared" si="67"/>
        <v>19</v>
      </c>
      <c r="AN116" s="3">
        <f t="shared" si="68"/>
        <v>0</v>
      </c>
      <c r="AO116" s="3">
        <f t="shared" si="69"/>
        <v>0</v>
      </c>
      <c r="AP116" s="3">
        <f t="shared" si="70"/>
        <v>78</v>
      </c>
      <c r="AQ116" s="3">
        <f t="shared" si="71"/>
        <v>75</v>
      </c>
      <c r="AR116" s="3">
        <f t="shared" si="72"/>
        <v>72</v>
      </c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M116" s="35" t="s">
        <v>12</v>
      </c>
      <c r="BO116" s="35"/>
      <c r="BR116" s="9" t="str">
        <f t="shared" si="48"/>
        <v/>
      </c>
      <c r="BS116" s="37" t="str">
        <f t="shared" si="49"/>
        <v/>
      </c>
      <c r="BT116" s="38" t="str">
        <f t="shared" si="74"/>
        <v/>
      </c>
      <c r="BU116" s="36" t="str">
        <f t="shared" si="50"/>
        <v/>
      </c>
    </row>
    <row r="117" spans="2:73" ht="15">
      <c r="B117" s="16">
        <f t="shared" si="51"/>
        <v>43892</v>
      </c>
      <c r="C117" s="15" t="s">
        <v>1</v>
      </c>
      <c r="D117" s="17">
        <f t="shared" si="52"/>
        <v>43898</v>
      </c>
      <c r="E117" s="18">
        <f t="shared" si="53"/>
        <v>3</v>
      </c>
      <c r="F117" s="19">
        <f t="shared" si="54"/>
        <v>2020</v>
      </c>
      <c r="G117" s="9">
        <f t="shared" si="73"/>
        <v>17</v>
      </c>
      <c r="H117" s="8">
        <f t="shared" si="73"/>
        <v>96</v>
      </c>
      <c r="I117" s="9"/>
      <c r="J117" s="9"/>
      <c r="K117" s="9"/>
      <c r="L117" s="9"/>
      <c r="M117" s="9"/>
      <c r="N117" s="9"/>
      <c r="O117" s="12"/>
      <c r="P117" s="12"/>
      <c r="Q117" s="12"/>
      <c r="R117" s="12"/>
      <c r="S117" s="12"/>
      <c r="T117" s="12"/>
      <c r="V117" s="20">
        <f t="shared" si="75"/>
        <v>0</v>
      </c>
      <c r="W117" s="20">
        <f t="shared" si="75"/>
        <v>3</v>
      </c>
      <c r="X117" s="20">
        <f t="shared" si="75"/>
        <v>8</v>
      </c>
      <c r="Y117" s="20">
        <f t="shared" si="75"/>
        <v>13</v>
      </c>
      <c r="Z117" s="20">
        <f t="shared" si="75"/>
        <v>0</v>
      </c>
      <c r="AA117" s="20">
        <f t="shared" si="75"/>
        <v>0</v>
      </c>
      <c r="AC117" s="3">
        <f t="shared" si="57"/>
        <v>70</v>
      </c>
      <c r="AD117" s="3">
        <f t="shared" si="58"/>
        <v>66</v>
      </c>
      <c r="AE117" s="3">
        <f t="shared" si="59"/>
        <v>61</v>
      </c>
      <c r="AF117" s="3">
        <f t="shared" si="60"/>
        <v>57</v>
      </c>
      <c r="AG117" s="3">
        <f t="shared" si="61"/>
        <v>53</v>
      </c>
      <c r="AH117" s="3">
        <f t="shared" si="62"/>
        <v>49</v>
      </c>
      <c r="AI117" s="3">
        <f t="shared" si="63"/>
        <v>45</v>
      </c>
      <c r="AJ117" s="3">
        <f t="shared" si="64"/>
        <v>35</v>
      </c>
      <c r="AK117" s="3">
        <f t="shared" si="65"/>
        <v>30</v>
      </c>
      <c r="AL117" s="3">
        <f t="shared" si="66"/>
        <v>25</v>
      </c>
      <c r="AM117" s="3">
        <f t="shared" si="67"/>
        <v>20</v>
      </c>
      <c r="AN117" s="3">
        <f t="shared" si="68"/>
        <v>0</v>
      </c>
      <c r="AO117" s="3">
        <f t="shared" si="69"/>
        <v>0</v>
      </c>
      <c r="AP117" s="3">
        <f t="shared" si="70"/>
        <v>79</v>
      </c>
      <c r="AQ117" s="3">
        <f t="shared" si="71"/>
        <v>76</v>
      </c>
      <c r="AR117" s="3">
        <f t="shared" si="72"/>
        <v>73</v>
      </c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L117">
        <v>7</v>
      </c>
      <c r="BM117" s="35">
        <v>43892</v>
      </c>
      <c r="BO117" s="35">
        <f>B134</f>
        <v>44011</v>
      </c>
      <c r="BP117">
        <v>95</v>
      </c>
      <c r="BR117" s="9" t="str">
        <f t="shared" si="48"/>
        <v/>
      </c>
      <c r="BS117" s="37" t="str">
        <f t="shared" si="49"/>
        <v/>
      </c>
      <c r="BT117" s="38" t="str">
        <f t="shared" si="74"/>
        <v/>
      </c>
      <c r="BU117" s="36" t="str">
        <f t="shared" si="50"/>
        <v/>
      </c>
    </row>
    <row r="118" spans="2:73" ht="15">
      <c r="B118" s="16">
        <f t="shared" si="51"/>
        <v>43899</v>
      </c>
      <c r="C118" s="15" t="s">
        <v>1</v>
      </c>
      <c r="D118" s="17">
        <f t="shared" si="52"/>
        <v>43905</v>
      </c>
      <c r="E118" s="18">
        <f t="shared" si="53"/>
        <v>3</v>
      </c>
      <c r="F118" s="19">
        <f t="shared" si="54"/>
        <v>2020</v>
      </c>
      <c r="G118" s="9">
        <f t="shared" ref="G118:H133" si="76">G117</f>
        <v>17</v>
      </c>
      <c r="H118" s="8">
        <f t="shared" si="76"/>
        <v>96</v>
      </c>
      <c r="I118" s="9"/>
      <c r="J118" s="9"/>
      <c r="K118" s="9"/>
      <c r="L118" s="9"/>
      <c r="M118" s="9"/>
      <c r="N118" s="9"/>
      <c r="O118" s="12"/>
      <c r="P118" s="12"/>
      <c r="Q118" s="12"/>
      <c r="R118" s="12"/>
      <c r="S118" s="12"/>
      <c r="T118" s="12"/>
      <c r="V118" s="20">
        <f t="shared" si="75"/>
        <v>0</v>
      </c>
      <c r="W118" s="20">
        <f t="shared" si="75"/>
        <v>4</v>
      </c>
      <c r="X118" s="20">
        <f t="shared" si="75"/>
        <v>9</v>
      </c>
      <c r="Y118" s="20">
        <f t="shared" si="75"/>
        <v>14</v>
      </c>
      <c r="Z118" s="20">
        <f t="shared" si="75"/>
        <v>0</v>
      </c>
      <c r="AA118" s="20">
        <f t="shared" si="75"/>
        <v>0</v>
      </c>
      <c r="AC118" s="3">
        <f t="shared" si="57"/>
        <v>71</v>
      </c>
      <c r="AD118" s="3">
        <f t="shared" si="58"/>
        <v>67</v>
      </c>
      <c r="AE118" s="3">
        <f t="shared" si="59"/>
        <v>62</v>
      </c>
      <c r="AF118" s="3">
        <f t="shared" si="60"/>
        <v>58</v>
      </c>
      <c r="AG118" s="3">
        <f t="shared" si="61"/>
        <v>54</v>
      </c>
      <c r="AH118" s="3">
        <f t="shared" si="62"/>
        <v>50</v>
      </c>
      <c r="AI118" s="3">
        <f t="shared" si="63"/>
        <v>46</v>
      </c>
      <c r="AJ118" s="3">
        <f t="shared" si="64"/>
        <v>36</v>
      </c>
      <c r="AK118" s="3">
        <f t="shared" si="65"/>
        <v>31</v>
      </c>
      <c r="AL118" s="3">
        <f t="shared" si="66"/>
        <v>26</v>
      </c>
      <c r="AM118" s="3">
        <f t="shared" si="67"/>
        <v>21</v>
      </c>
      <c r="AN118" s="3">
        <f t="shared" si="68"/>
        <v>0</v>
      </c>
      <c r="AO118" s="3">
        <f t="shared" si="69"/>
        <v>0</v>
      </c>
      <c r="AP118" s="3">
        <f t="shared" si="70"/>
        <v>80</v>
      </c>
      <c r="AQ118" s="3">
        <f t="shared" si="71"/>
        <v>77</v>
      </c>
      <c r="AR118" s="3">
        <f t="shared" si="72"/>
        <v>74</v>
      </c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M118" s="35" t="s">
        <v>12</v>
      </c>
      <c r="BO118" s="35"/>
      <c r="BR118" s="9" t="str">
        <f t="shared" si="48"/>
        <v/>
      </c>
      <c r="BS118" s="37" t="str">
        <f t="shared" si="49"/>
        <v/>
      </c>
      <c r="BT118" s="38" t="str">
        <f t="shared" si="74"/>
        <v/>
      </c>
      <c r="BU118" s="36">
        <f t="shared" si="50"/>
        <v>8</v>
      </c>
    </row>
    <row r="119" spans="2:73" ht="15">
      <c r="B119" s="16">
        <f t="shared" si="51"/>
        <v>43906</v>
      </c>
      <c r="C119" s="15" t="s">
        <v>1</v>
      </c>
      <c r="D119" s="17">
        <f t="shared" si="52"/>
        <v>43912</v>
      </c>
      <c r="E119" s="18">
        <f t="shared" si="53"/>
        <v>3</v>
      </c>
      <c r="F119" s="19">
        <f t="shared" si="54"/>
        <v>2020</v>
      </c>
      <c r="G119" s="9">
        <f t="shared" si="76"/>
        <v>17</v>
      </c>
      <c r="H119" s="8">
        <f t="shared" si="76"/>
        <v>96</v>
      </c>
      <c r="I119" s="9"/>
      <c r="J119" s="9"/>
      <c r="K119" s="9"/>
      <c r="L119" s="9"/>
      <c r="M119" s="9"/>
      <c r="N119" s="9"/>
      <c r="O119" s="12">
        <v>1</v>
      </c>
      <c r="P119" s="12"/>
      <c r="Q119" s="12"/>
      <c r="R119" s="12"/>
      <c r="S119" s="12"/>
      <c r="T119" s="12"/>
      <c r="V119" s="20">
        <f t="shared" si="75"/>
        <v>43908</v>
      </c>
      <c r="W119" s="20">
        <f t="shared" si="75"/>
        <v>5</v>
      </c>
      <c r="X119" s="20">
        <f t="shared" si="75"/>
        <v>10</v>
      </c>
      <c r="Y119" s="20">
        <f t="shared" si="75"/>
        <v>15</v>
      </c>
      <c r="Z119" s="20">
        <f t="shared" si="75"/>
        <v>0</v>
      </c>
      <c r="AA119" s="20">
        <f t="shared" si="75"/>
        <v>0</v>
      </c>
      <c r="AC119" s="3">
        <f t="shared" si="57"/>
        <v>72</v>
      </c>
      <c r="AD119" s="3">
        <f t="shared" si="58"/>
        <v>68</v>
      </c>
      <c r="AE119" s="3">
        <f t="shared" si="59"/>
        <v>63</v>
      </c>
      <c r="AF119" s="3">
        <f t="shared" si="60"/>
        <v>59</v>
      </c>
      <c r="AG119" s="3">
        <f t="shared" si="61"/>
        <v>55</v>
      </c>
      <c r="AH119" s="3">
        <f t="shared" si="62"/>
        <v>51</v>
      </c>
      <c r="AI119" s="3">
        <f t="shared" si="63"/>
        <v>47</v>
      </c>
      <c r="AJ119" s="3">
        <f t="shared" si="64"/>
        <v>37</v>
      </c>
      <c r="AK119" s="3">
        <f t="shared" si="65"/>
        <v>32</v>
      </c>
      <c r="AL119" s="3">
        <f t="shared" si="66"/>
        <v>27</v>
      </c>
      <c r="AM119" s="3">
        <f t="shared" si="67"/>
        <v>22</v>
      </c>
      <c r="AN119" s="3">
        <f t="shared" si="68"/>
        <v>0</v>
      </c>
      <c r="AO119" s="3">
        <f t="shared" si="69"/>
        <v>0</v>
      </c>
      <c r="AP119" s="3">
        <f t="shared" si="70"/>
        <v>81</v>
      </c>
      <c r="AQ119" s="3">
        <f t="shared" si="71"/>
        <v>78</v>
      </c>
      <c r="AR119" s="3">
        <f t="shared" si="72"/>
        <v>75</v>
      </c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M119" s="35" t="s">
        <v>12</v>
      </c>
      <c r="BO119" s="35"/>
      <c r="BR119" s="9">
        <f t="shared" si="48"/>
        <v>1</v>
      </c>
      <c r="BS119" s="37">
        <f t="shared" si="49"/>
        <v>43908</v>
      </c>
      <c r="BT119" s="38">
        <f t="shared" si="74"/>
        <v>44027</v>
      </c>
      <c r="BU119" s="36" t="str">
        <f t="shared" si="50"/>
        <v/>
      </c>
    </row>
    <row r="120" spans="2:73" ht="15">
      <c r="B120" s="16">
        <f t="shared" si="51"/>
        <v>43913</v>
      </c>
      <c r="C120" s="15" t="s">
        <v>1</v>
      </c>
      <c r="D120" s="17">
        <f t="shared" si="52"/>
        <v>43919</v>
      </c>
      <c r="E120" s="18">
        <f t="shared" si="53"/>
        <v>3</v>
      </c>
      <c r="F120" s="19">
        <f t="shared" si="54"/>
        <v>2020</v>
      </c>
      <c r="G120" s="9">
        <f t="shared" si="76"/>
        <v>17</v>
      </c>
      <c r="H120" s="8">
        <f t="shared" si="76"/>
        <v>96</v>
      </c>
      <c r="I120" s="9"/>
      <c r="J120" s="9"/>
      <c r="K120" s="9"/>
      <c r="L120" s="9"/>
      <c r="M120" s="9"/>
      <c r="N120" s="9"/>
      <c r="O120" s="12"/>
      <c r="P120" s="12"/>
      <c r="Q120" s="12"/>
      <c r="R120" s="12"/>
      <c r="S120" s="12"/>
      <c r="T120" s="12"/>
      <c r="V120" s="20">
        <f t="shared" si="75"/>
        <v>1</v>
      </c>
      <c r="W120" s="20">
        <f t="shared" si="75"/>
        <v>6</v>
      </c>
      <c r="X120" s="20">
        <f t="shared" si="75"/>
        <v>11</v>
      </c>
      <c r="Y120" s="20">
        <f t="shared" si="75"/>
        <v>16</v>
      </c>
      <c r="Z120" s="20">
        <f t="shared" si="75"/>
        <v>0</v>
      </c>
      <c r="AA120" s="20">
        <f t="shared" si="75"/>
        <v>0</v>
      </c>
      <c r="AC120" s="3">
        <f t="shared" si="57"/>
        <v>73</v>
      </c>
      <c r="AD120" s="3">
        <f t="shared" si="58"/>
        <v>69</v>
      </c>
      <c r="AE120" s="3">
        <f t="shared" si="59"/>
        <v>64</v>
      </c>
      <c r="AF120" s="3">
        <f t="shared" si="60"/>
        <v>60</v>
      </c>
      <c r="AG120" s="3">
        <f t="shared" si="61"/>
        <v>56</v>
      </c>
      <c r="AH120" s="3">
        <f t="shared" si="62"/>
        <v>52</v>
      </c>
      <c r="AI120" s="3">
        <f t="shared" si="63"/>
        <v>48</v>
      </c>
      <c r="AJ120" s="3">
        <f t="shared" si="64"/>
        <v>38</v>
      </c>
      <c r="AK120" s="3">
        <f t="shared" si="65"/>
        <v>33</v>
      </c>
      <c r="AL120" s="3">
        <f t="shared" si="66"/>
        <v>28</v>
      </c>
      <c r="AM120" s="3">
        <f t="shared" si="67"/>
        <v>23</v>
      </c>
      <c r="AN120" s="3">
        <f t="shared" si="68"/>
        <v>0</v>
      </c>
      <c r="AO120" s="3">
        <f t="shared" si="69"/>
        <v>0</v>
      </c>
      <c r="AP120" s="3">
        <f t="shared" si="70"/>
        <v>82</v>
      </c>
      <c r="AQ120" s="3">
        <f t="shared" si="71"/>
        <v>79</v>
      </c>
      <c r="AR120" s="3">
        <f t="shared" si="72"/>
        <v>76</v>
      </c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M120" s="35" t="s">
        <v>12</v>
      </c>
      <c r="BO120" s="35"/>
      <c r="BR120" s="9" t="str">
        <f t="shared" si="48"/>
        <v/>
      </c>
      <c r="BS120" s="37" t="str">
        <f t="shared" si="49"/>
        <v/>
      </c>
      <c r="BT120" s="38" t="str">
        <f t="shared" si="74"/>
        <v/>
      </c>
      <c r="BU120" s="36" t="str">
        <f t="shared" si="50"/>
        <v/>
      </c>
    </row>
    <row r="121" spans="2:73" ht="15">
      <c r="B121" s="16">
        <f t="shared" si="51"/>
        <v>43920</v>
      </c>
      <c r="C121" s="15" t="s">
        <v>1</v>
      </c>
      <c r="D121" s="17">
        <f t="shared" si="52"/>
        <v>43926</v>
      </c>
      <c r="E121" s="18">
        <f t="shared" si="53"/>
        <v>3</v>
      </c>
      <c r="F121" s="19">
        <f t="shared" si="54"/>
        <v>2020</v>
      </c>
      <c r="G121" s="9">
        <f t="shared" si="76"/>
        <v>17</v>
      </c>
      <c r="H121" s="8">
        <f t="shared" si="76"/>
        <v>96</v>
      </c>
      <c r="I121" s="9"/>
      <c r="J121" s="9"/>
      <c r="K121" s="9"/>
      <c r="L121" s="9"/>
      <c r="M121" s="9"/>
      <c r="N121" s="9"/>
      <c r="O121" s="12"/>
      <c r="P121" s="12"/>
      <c r="Q121" s="12"/>
      <c r="R121" s="12"/>
      <c r="S121" s="12"/>
      <c r="T121" s="12"/>
      <c r="V121" s="20">
        <f t="shared" si="75"/>
        <v>2</v>
      </c>
      <c r="W121" s="20">
        <f t="shared" si="75"/>
        <v>7</v>
      </c>
      <c r="X121" s="20">
        <f t="shared" si="75"/>
        <v>12</v>
      </c>
      <c r="Y121" s="20">
        <f t="shared" si="75"/>
        <v>17</v>
      </c>
      <c r="Z121" s="20">
        <f t="shared" si="75"/>
        <v>0</v>
      </c>
      <c r="AA121" s="20">
        <f t="shared" si="75"/>
        <v>0</v>
      </c>
      <c r="AC121" s="3">
        <f t="shared" si="57"/>
        <v>74</v>
      </c>
      <c r="AD121" s="3">
        <f t="shared" si="58"/>
        <v>70</v>
      </c>
      <c r="AE121" s="3">
        <f t="shared" si="59"/>
        <v>65</v>
      </c>
      <c r="AF121" s="3">
        <f t="shared" si="60"/>
        <v>61</v>
      </c>
      <c r="AG121" s="3">
        <f t="shared" si="61"/>
        <v>57</v>
      </c>
      <c r="AH121" s="3">
        <f t="shared" si="62"/>
        <v>53</v>
      </c>
      <c r="AI121" s="3">
        <f t="shared" si="63"/>
        <v>49</v>
      </c>
      <c r="AJ121" s="3">
        <f t="shared" si="64"/>
        <v>39</v>
      </c>
      <c r="AK121" s="3">
        <f t="shared" si="65"/>
        <v>34</v>
      </c>
      <c r="AL121" s="3">
        <f t="shared" si="66"/>
        <v>29</v>
      </c>
      <c r="AM121" s="3">
        <f t="shared" si="67"/>
        <v>24</v>
      </c>
      <c r="AN121" s="3">
        <f t="shared" si="68"/>
        <v>17</v>
      </c>
      <c r="AO121" s="3">
        <f t="shared" si="69"/>
        <v>0</v>
      </c>
      <c r="AP121" s="3">
        <f t="shared" si="70"/>
        <v>83</v>
      </c>
      <c r="AQ121" s="3">
        <f t="shared" si="71"/>
        <v>80</v>
      </c>
      <c r="AR121" s="3">
        <f t="shared" si="72"/>
        <v>77</v>
      </c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>
        <v>4</v>
      </c>
      <c r="BE121" s="8"/>
      <c r="BF121" s="8"/>
      <c r="BG121" s="8"/>
      <c r="BH121" s="8"/>
      <c r="BM121" s="35" t="s">
        <v>12</v>
      </c>
      <c r="BO121" s="35"/>
      <c r="BR121" s="9" t="str">
        <f t="shared" si="48"/>
        <v/>
      </c>
      <c r="BS121" s="37" t="str">
        <f t="shared" si="49"/>
        <v/>
      </c>
      <c r="BT121" s="38" t="str">
        <f t="shared" si="74"/>
        <v/>
      </c>
      <c r="BU121" s="36" t="str">
        <f t="shared" si="50"/>
        <v/>
      </c>
    </row>
    <row r="122" spans="2:73" ht="15">
      <c r="B122" s="16">
        <f t="shared" si="51"/>
        <v>43927</v>
      </c>
      <c r="C122" s="15" t="s">
        <v>1</v>
      </c>
      <c r="D122" s="17">
        <f t="shared" si="52"/>
        <v>43933</v>
      </c>
      <c r="E122" s="18">
        <f t="shared" si="53"/>
        <v>4</v>
      </c>
      <c r="F122" s="19">
        <f t="shared" si="54"/>
        <v>2020</v>
      </c>
      <c r="G122" s="9">
        <f t="shared" si="76"/>
        <v>17</v>
      </c>
      <c r="H122" s="8">
        <f t="shared" si="76"/>
        <v>96</v>
      </c>
      <c r="I122" s="9"/>
      <c r="J122" s="9"/>
      <c r="K122" s="9"/>
      <c r="L122" s="9"/>
      <c r="M122" s="9"/>
      <c r="N122" s="9"/>
      <c r="O122" s="12"/>
      <c r="P122" s="12"/>
      <c r="Q122" s="12"/>
      <c r="R122" s="12"/>
      <c r="S122" s="12"/>
      <c r="T122" s="12"/>
      <c r="V122" s="20">
        <f t="shared" si="75"/>
        <v>3</v>
      </c>
      <c r="W122" s="20">
        <f t="shared" si="75"/>
        <v>8</v>
      </c>
      <c r="X122" s="20">
        <f t="shared" si="75"/>
        <v>13</v>
      </c>
      <c r="Y122" s="20">
        <f t="shared" si="75"/>
        <v>0</v>
      </c>
      <c r="Z122" s="20">
        <f t="shared" si="75"/>
        <v>0</v>
      </c>
      <c r="AA122" s="20">
        <f t="shared" si="75"/>
        <v>0</v>
      </c>
      <c r="AC122" s="3">
        <f t="shared" si="57"/>
        <v>75</v>
      </c>
      <c r="AD122" s="3">
        <f t="shared" si="58"/>
        <v>71</v>
      </c>
      <c r="AE122" s="3">
        <f t="shared" si="59"/>
        <v>66</v>
      </c>
      <c r="AF122" s="3">
        <f t="shared" si="60"/>
        <v>62</v>
      </c>
      <c r="AG122" s="3">
        <f t="shared" si="61"/>
        <v>58</v>
      </c>
      <c r="AH122" s="3">
        <f t="shared" si="62"/>
        <v>54</v>
      </c>
      <c r="AI122" s="3">
        <f t="shared" si="63"/>
        <v>50</v>
      </c>
      <c r="AJ122" s="3">
        <f t="shared" si="64"/>
        <v>40</v>
      </c>
      <c r="AK122" s="3">
        <f t="shared" si="65"/>
        <v>35</v>
      </c>
      <c r="AL122" s="3">
        <f t="shared" si="66"/>
        <v>30</v>
      </c>
      <c r="AM122" s="3">
        <f t="shared" si="67"/>
        <v>25</v>
      </c>
      <c r="AN122" s="3">
        <f t="shared" si="68"/>
        <v>18</v>
      </c>
      <c r="AO122" s="3">
        <f t="shared" si="69"/>
        <v>0</v>
      </c>
      <c r="AP122" s="3">
        <f t="shared" si="70"/>
        <v>84</v>
      </c>
      <c r="AQ122" s="3">
        <f t="shared" si="71"/>
        <v>81</v>
      </c>
      <c r="AR122" s="3">
        <f t="shared" si="72"/>
        <v>78</v>
      </c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L122">
        <v>8</v>
      </c>
      <c r="BM122" s="35">
        <v>43927</v>
      </c>
      <c r="BO122" s="35">
        <f>B139</f>
        <v>44046</v>
      </c>
      <c r="BP122">
        <v>95</v>
      </c>
      <c r="BR122" s="9" t="str">
        <f t="shared" si="48"/>
        <v/>
      </c>
      <c r="BS122" s="37" t="str">
        <f t="shared" si="49"/>
        <v/>
      </c>
      <c r="BT122" s="38" t="str">
        <f t="shared" si="74"/>
        <v/>
      </c>
      <c r="BU122" s="36" t="str">
        <f t="shared" si="50"/>
        <v/>
      </c>
    </row>
    <row r="123" spans="2:73" ht="15">
      <c r="B123" s="16">
        <f t="shared" si="51"/>
        <v>43934</v>
      </c>
      <c r="C123" s="15" t="s">
        <v>1</v>
      </c>
      <c r="D123" s="17">
        <f t="shared" si="52"/>
        <v>43940</v>
      </c>
      <c r="E123" s="18">
        <f t="shared" si="53"/>
        <v>4</v>
      </c>
      <c r="F123" s="19">
        <f t="shared" si="54"/>
        <v>2020</v>
      </c>
      <c r="G123" s="9">
        <f t="shared" si="76"/>
        <v>17</v>
      </c>
      <c r="H123" s="8">
        <f t="shared" si="76"/>
        <v>96</v>
      </c>
      <c r="I123" s="9"/>
      <c r="J123" s="9"/>
      <c r="K123" s="9"/>
      <c r="L123" s="9"/>
      <c r="M123" s="9"/>
      <c r="N123" s="9"/>
      <c r="O123" s="12"/>
      <c r="P123" s="12"/>
      <c r="Q123" s="12"/>
      <c r="R123" s="12"/>
      <c r="S123" s="12"/>
      <c r="T123" s="12"/>
      <c r="V123" s="20">
        <f t="shared" si="75"/>
        <v>4</v>
      </c>
      <c r="W123" s="20">
        <f t="shared" si="75"/>
        <v>9</v>
      </c>
      <c r="X123" s="20">
        <f t="shared" si="75"/>
        <v>14</v>
      </c>
      <c r="Y123" s="20">
        <f t="shared" si="75"/>
        <v>0</v>
      </c>
      <c r="Z123" s="20">
        <f t="shared" si="75"/>
        <v>0</v>
      </c>
      <c r="AA123" s="20">
        <f t="shared" si="75"/>
        <v>0</v>
      </c>
      <c r="AC123" s="3">
        <f t="shared" si="57"/>
        <v>76</v>
      </c>
      <c r="AD123" s="3">
        <f t="shared" si="58"/>
        <v>72</v>
      </c>
      <c r="AE123" s="3">
        <f t="shared" si="59"/>
        <v>67</v>
      </c>
      <c r="AF123" s="3">
        <f t="shared" si="60"/>
        <v>63</v>
      </c>
      <c r="AG123" s="3">
        <f t="shared" si="61"/>
        <v>59</v>
      </c>
      <c r="AH123" s="3">
        <f t="shared" si="62"/>
        <v>55</v>
      </c>
      <c r="AI123" s="3">
        <f t="shared" si="63"/>
        <v>51</v>
      </c>
      <c r="AJ123" s="3">
        <f t="shared" si="64"/>
        <v>41</v>
      </c>
      <c r="AK123" s="3">
        <f t="shared" si="65"/>
        <v>36</v>
      </c>
      <c r="AL123" s="3">
        <f t="shared" si="66"/>
        <v>31</v>
      </c>
      <c r="AM123" s="3">
        <f t="shared" si="67"/>
        <v>26</v>
      </c>
      <c r="AN123" s="3">
        <f t="shared" si="68"/>
        <v>19</v>
      </c>
      <c r="AO123" s="3">
        <f t="shared" si="69"/>
        <v>0</v>
      </c>
      <c r="AP123" s="3">
        <f t="shared" si="70"/>
        <v>85</v>
      </c>
      <c r="AQ123" s="3">
        <f t="shared" si="71"/>
        <v>82</v>
      </c>
      <c r="AR123" s="3">
        <f t="shared" si="72"/>
        <v>79</v>
      </c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M123" s="35" t="s">
        <v>12</v>
      </c>
      <c r="BO123" s="35"/>
      <c r="BR123" s="9" t="str">
        <f t="shared" si="48"/>
        <v/>
      </c>
      <c r="BS123" s="37" t="str">
        <f t="shared" si="49"/>
        <v/>
      </c>
      <c r="BT123" s="38" t="str">
        <f t="shared" si="74"/>
        <v/>
      </c>
      <c r="BU123" s="36" t="str">
        <f t="shared" si="50"/>
        <v/>
      </c>
    </row>
    <row r="124" spans="2:73" ht="15">
      <c r="B124" s="16">
        <f t="shared" si="51"/>
        <v>43941</v>
      </c>
      <c r="C124" s="15" t="s">
        <v>1</v>
      </c>
      <c r="D124" s="17">
        <f t="shared" si="52"/>
        <v>43947</v>
      </c>
      <c r="E124" s="18">
        <f t="shared" si="53"/>
        <v>4</v>
      </c>
      <c r="F124" s="19">
        <f t="shared" si="54"/>
        <v>2020</v>
      </c>
      <c r="G124" s="9">
        <f t="shared" si="76"/>
        <v>17</v>
      </c>
      <c r="H124" s="8">
        <f t="shared" si="76"/>
        <v>96</v>
      </c>
      <c r="I124" s="9"/>
      <c r="J124" s="9"/>
      <c r="K124" s="9"/>
      <c r="L124" s="9"/>
      <c r="M124" s="9"/>
      <c r="N124" s="9"/>
      <c r="O124" s="12"/>
      <c r="P124" s="12"/>
      <c r="Q124" s="12"/>
      <c r="R124" s="12"/>
      <c r="S124" s="12"/>
      <c r="T124" s="12"/>
      <c r="V124" s="20">
        <f t="shared" si="75"/>
        <v>5</v>
      </c>
      <c r="W124" s="20">
        <f t="shared" si="75"/>
        <v>10</v>
      </c>
      <c r="X124" s="20">
        <f t="shared" si="75"/>
        <v>15</v>
      </c>
      <c r="Y124" s="20">
        <f t="shared" si="75"/>
        <v>0</v>
      </c>
      <c r="Z124" s="20">
        <f t="shared" si="75"/>
        <v>0</v>
      </c>
      <c r="AA124" s="20">
        <f t="shared" si="75"/>
        <v>0</v>
      </c>
      <c r="AC124" s="3">
        <f t="shared" si="57"/>
        <v>77</v>
      </c>
      <c r="AD124" s="3">
        <f t="shared" si="58"/>
        <v>73</v>
      </c>
      <c r="AE124" s="3">
        <f t="shared" si="59"/>
        <v>68</v>
      </c>
      <c r="AF124" s="3">
        <f t="shared" si="60"/>
        <v>64</v>
      </c>
      <c r="AG124" s="3">
        <f t="shared" si="61"/>
        <v>60</v>
      </c>
      <c r="AH124" s="3">
        <f t="shared" si="62"/>
        <v>56</v>
      </c>
      <c r="AI124" s="3">
        <f t="shared" si="63"/>
        <v>52</v>
      </c>
      <c r="AJ124" s="3">
        <f t="shared" si="64"/>
        <v>42</v>
      </c>
      <c r="AK124" s="3">
        <f t="shared" si="65"/>
        <v>37</v>
      </c>
      <c r="AL124" s="3">
        <f t="shared" si="66"/>
        <v>32</v>
      </c>
      <c r="AM124" s="3">
        <f t="shared" si="67"/>
        <v>27</v>
      </c>
      <c r="AN124" s="3">
        <f t="shared" si="68"/>
        <v>20</v>
      </c>
      <c r="AO124" s="3">
        <f t="shared" si="69"/>
        <v>0</v>
      </c>
      <c r="AP124" s="3">
        <f t="shared" si="70"/>
        <v>86</v>
      </c>
      <c r="AQ124" s="3">
        <f t="shared" si="71"/>
        <v>83</v>
      </c>
      <c r="AR124" s="3">
        <f t="shared" si="72"/>
        <v>80</v>
      </c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M124" s="35" t="s">
        <v>12</v>
      </c>
      <c r="BO124" s="35"/>
      <c r="BR124" s="9" t="str">
        <f t="shared" si="48"/>
        <v/>
      </c>
      <c r="BS124" s="37" t="str">
        <f t="shared" si="49"/>
        <v/>
      </c>
      <c r="BT124" s="38" t="str">
        <f t="shared" si="74"/>
        <v/>
      </c>
      <c r="BU124" s="36" t="str">
        <f t="shared" si="50"/>
        <v/>
      </c>
    </row>
    <row r="125" spans="2:73" ht="15">
      <c r="B125" s="16">
        <f t="shared" si="51"/>
        <v>43948</v>
      </c>
      <c r="C125" s="15" t="s">
        <v>1</v>
      </c>
      <c r="D125" s="17">
        <f t="shared" si="52"/>
        <v>43954</v>
      </c>
      <c r="E125" s="18">
        <f t="shared" si="53"/>
        <v>4</v>
      </c>
      <c r="F125" s="19">
        <f t="shared" si="54"/>
        <v>2020</v>
      </c>
      <c r="G125" s="9">
        <f t="shared" si="76"/>
        <v>17</v>
      </c>
      <c r="H125" s="8">
        <f t="shared" si="76"/>
        <v>96</v>
      </c>
      <c r="I125" s="9"/>
      <c r="J125" s="9"/>
      <c r="K125" s="9"/>
      <c r="L125" s="9"/>
      <c r="M125" s="9"/>
      <c r="N125" s="9"/>
      <c r="O125" s="12"/>
      <c r="P125" s="12"/>
      <c r="Q125" s="12"/>
      <c r="R125" s="12">
        <v>1</v>
      </c>
      <c r="S125" s="12"/>
      <c r="T125" s="12"/>
      <c r="V125" s="20">
        <f t="shared" si="75"/>
        <v>6</v>
      </c>
      <c r="W125" s="20">
        <f t="shared" si="75"/>
        <v>11</v>
      </c>
      <c r="X125" s="20">
        <f t="shared" si="75"/>
        <v>16</v>
      </c>
      <c r="Y125" s="20">
        <f t="shared" si="75"/>
        <v>43950</v>
      </c>
      <c r="Z125" s="20">
        <f t="shared" si="75"/>
        <v>0</v>
      </c>
      <c r="AA125" s="20">
        <f t="shared" si="75"/>
        <v>0</v>
      </c>
      <c r="AC125" s="3">
        <f t="shared" si="57"/>
        <v>78</v>
      </c>
      <c r="AD125" s="3">
        <f t="shared" si="58"/>
        <v>74</v>
      </c>
      <c r="AE125" s="3">
        <f t="shared" si="59"/>
        <v>69</v>
      </c>
      <c r="AF125" s="3">
        <f t="shared" si="60"/>
        <v>65</v>
      </c>
      <c r="AG125" s="3">
        <f t="shared" si="61"/>
        <v>61</v>
      </c>
      <c r="AH125" s="3">
        <f t="shared" si="62"/>
        <v>57</v>
      </c>
      <c r="AI125" s="3">
        <f t="shared" si="63"/>
        <v>53</v>
      </c>
      <c r="AJ125" s="3">
        <f t="shared" si="64"/>
        <v>43</v>
      </c>
      <c r="AK125" s="3">
        <f t="shared" si="65"/>
        <v>38</v>
      </c>
      <c r="AL125" s="3">
        <f t="shared" si="66"/>
        <v>33</v>
      </c>
      <c r="AM125" s="3">
        <f t="shared" si="67"/>
        <v>28</v>
      </c>
      <c r="AN125" s="3">
        <f t="shared" si="68"/>
        <v>21</v>
      </c>
      <c r="AO125" s="3">
        <f t="shared" si="69"/>
        <v>0</v>
      </c>
      <c r="AP125" s="3">
        <f t="shared" si="70"/>
        <v>87</v>
      </c>
      <c r="AQ125" s="3">
        <f t="shared" si="71"/>
        <v>84</v>
      </c>
      <c r="AR125" s="3">
        <f t="shared" si="72"/>
        <v>81</v>
      </c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M125" s="35" t="s">
        <v>12</v>
      </c>
      <c r="BO125" s="35"/>
      <c r="BR125" s="9">
        <f t="shared" si="48"/>
        <v>4</v>
      </c>
      <c r="BS125" s="37">
        <f t="shared" si="49"/>
        <v>43950</v>
      </c>
      <c r="BT125" s="38">
        <f t="shared" si="74"/>
        <v>44069</v>
      </c>
      <c r="BU125" s="36">
        <f t="shared" si="50"/>
        <v>16</v>
      </c>
    </row>
    <row r="126" spans="2:73" ht="15">
      <c r="B126" s="16">
        <f t="shared" si="51"/>
        <v>43955</v>
      </c>
      <c r="C126" s="15" t="s">
        <v>1</v>
      </c>
      <c r="D126" s="17">
        <f t="shared" si="52"/>
        <v>43961</v>
      </c>
      <c r="E126" s="18">
        <f t="shared" si="53"/>
        <v>5</v>
      </c>
      <c r="F126" s="19">
        <f t="shared" si="54"/>
        <v>2020</v>
      </c>
      <c r="G126" s="9">
        <f t="shared" si="76"/>
        <v>17</v>
      </c>
      <c r="H126" s="8">
        <f t="shared" si="76"/>
        <v>96</v>
      </c>
      <c r="I126" s="9"/>
      <c r="J126" s="9"/>
      <c r="K126" s="9"/>
      <c r="L126" s="9"/>
      <c r="M126" s="9"/>
      <c r="N126" s="9"/>
      <c r="O126" s="12"/>
      <c r="P126" s="12"/>
      <c r="Q126" s="12"/>
      <c r="R126" s="12"/>
      <c r="S126" s="12"/>
      <c r="T126" s="12"/>
      <c r="V126" s="20">
        <f t="shared" si="75"/>
        <v>7</v>
      </c>
      <c r="W126" s="20">
        <f t="shared" si="75"/>
        <v>12</v>
      </c>
      <c r="X126" s="20">
        <f t="shared" si="75"/>
        <v>17</v>
      </c>
      <c r="Y126" s="20">
        <f t="shared" si="75"/>
        <v>1</v>
      </c>
      <c r="Z126" s="20">
        <f t="shared" si="75"/>
        <v>0</v>
      </c>
      <c r="AA126" s="20">
        <f t="shared" si="75"/>
        <v>0</v>
      </c>
      <c r="AC126" s="3">
        <f t="shared" si="57"/>
        <v>79</v>
      </c>
      <c r="AD126" s="3">
        <f t="shared" si="58"/>
        <v>75</v>
      </c>
      <c r="AE126" s="3">
        <f t="shared" si="59"/>
        <v>70</v>
      </c>
      <c r="AF126" s="3">
        <f t="shared" si="60"/>
        <v>66</v>
      </c>
      <c r="AG126" s="3">
        <f t="shared" si="61"/>
        <v>62</v>
      </c>
      <c r="AH126" s="3">
        <f t="shared" si="62"/>
        <v>58</v>
      </c>
      <c r="AI126" s="3">
        <f t="shared" si="63"/>
        <v>54</v>
      </c>
      <c r="AJ126" s="3">
        <f t="shared" si="64"/>
        <v>44</v>
      </c>
      <c r="AK126" s="3">
        <f t="shared" si="65"/>
        <v>39</v>
      </c>
      <c r="AL126" s="3">
        <f t="shared" si="66"/>
        <v>34</v>
      </c>
      <c r="AM126" s="3">
        <f t="shared" si="67"/>
        <v>29</v>
      </c>
      <c r="AN126" s="3">
        <f t="shared" si="68"/>
        <v>22</v>
      </c>
      <c r="AO126" s="3">
        <f t="shared" si="69"/>
        <v>17</v>
      </c>
      <c r="AP126" s="3">
        <f t="shared" si="70"/>
        <v>88</v>
      </c>
      <c r="AQ126" s="3">
        <f t="shared" si="71"/>
        <v>85</v>
      </c>
      <c r="AR126" s="3">
        <f t="shared" si="72"/>
        <v>82</v>
      </c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>
        <v>3</v>
      </c>
      <c r="BF126" s="8"/>
      <c r="BG126" s="8"/>
      <c r="BH126" s="8"/>
      <c r="BL126">
        <v>16</v>
      </c>
      <c r="BM126" s="35">
        <v>43955</v>
      </c>
      <c r="BO126" s="35">
        <f>B143</f>
        <v>44074</v>
      </c>
      <c r="BP126">
        <v>98</v>
      </c>
      <c r="BR126" s="9" t="str">
        <f t="shared" si="48"/>
        <v/>
      </c>
      <c r="BS126" s="37" t="str">
        <f t="shared" si="49"/>
        <v/>
      </c>
      <c r="BT126" s="38" t="str">
        <f t="shared" si="74"/>
        <v/>
      </c>
      <c r="BU126" s="36" t="str">
        <f t="shared" si="50"/>
        <v/>
      </c>
    </row>
    <row r="127" spans="2:73" ht="15">
      <c r="B127" s="16">
        <f t="shared" si="51"/>
        <v>43962</v>
      </c>
      <c r="C127" s="15" t="s">
        <v>1</v>
      </c>
      <c r="D127" s="17">
        <f t="shared" si="52"/>
        <v>43968</v>
      </c>
      <c r="E127" s="18">
        <f t="shared" si="53"/>
        <v>5</v>
      </c>
      <c r="F127" s="19">
        <f t="shared" si="54"/>
        <v>2020</v>
      </c>
      <c r="G127" s="9">
        <f t="shared" si="76"/>
        <v>17</v>
      </c>
      <c r="H127" s="8">
        <f t="shared" si="76"/>
        <v>96</v>
      </c>
      <c r="I127" s="9"/>
      <c r="J127" s="9"/>
      <c r="K127" s="9"/>
      <c r="L127" s="9"/>
      <c r="M127" s="9"/>
      <c r="N127" s="9"/>
      <c r="O127" s="12"/>
      <c r="P127" s="12"/>
      <c r="Q127" s="12"/>
      <c r="R127" s="12"/>
      <c r="S127" s="12"/>
      <c r="T127" s="12"/>
      <c r="V127" s="20">
        <f t="shared" si="75"/>
        <v>8</v>
      </c>
      <c r="W127" s="20">
        <f t="shared" si="75"/>
        <v>13</v>
      </c>
      <c r="X127" s="20">
        <f t="shared" si="75"/>
        <v>0</v>
      </c>
      <c r="Y127" s="20">
        <f t="shared" si="75"/>
        <v>2</v>
      </c>
      <c r="Z127" s="20">
        <f t="shared" si="75"/>
        <v>0</v>
      </c>
      <c r="AA127" s="20">
        <f t="shared" si="75"/>
        <v>0</v>
      </c>
      <c r="AC127" s="3">
        <f t="shared" si="57"/>
        <v>80</v>
      </c>
      <c r="AD127" s="3">
        <f t="shared" si="58"/>
        <v>76</v>
      </c>
      <c r="AE127" s="3">
        <f t="shared" si="59"/>
        <v>71</v>
      </c>
      <c r="AF127" s="3">
        <f t="shared" si="60"/>
        <v>67</v>
      </c>
      <c r="AG127" s="3">
        <f t="shared" si="61"/>
        <v>63</v>
      </c>
      <c r="AH127" s="3">
        <f t="shared" si="62"/>
        <v>59</v>
      </c>
      <c r="AI127" s="3">
        <f t="shared" si="63"/>
        <v>55</v>
      </c>
      <c r="AJ127" s="3">
        <f t="shared" si="64"/>
        <v>45</v>
      </c>
      <c r="AK127" s="3">
        <f t="shared" si="65"/>
        <v>40</v>
      </c>
      <c r="AL127" s="3">
        <f t="shared" si="66"/>
        <v>35</v>
      </c>
      <c r="AM127" s="3">
        <f t="shared" si="67"/>
        <v>30</v>
      </c>
      <c r="AN127" s="3">
        <f t="shared" si="68"/>
        <v>23</v>
      </c>
      <c r="AO127" s="3">
        <f t="shared" si="69"/>
        <v>18</v>
      </c>
      <c r="AP127" s="3">
        <f t="shared" si="70"/>
        <v>89</v>
      </c>
      <c r="AQ127" s="3">
        <f t="shared" si="71"/>
        <v>86</v>
      </c>
      <c r="AR127" s="3">
        <f t="shared" si="72"/>
        <v>83</v>
      </c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 t="s">
        <v>5</v>
      </c>
      <c r="BG127" s="8"/>
      <c r="BH127" s="8"/>
      <c r="BM127" s="35" t="s">
        <v>12</v>
      </c>
      <c r="BO127" s="35"/>
      <c r="BR127" s="9" t="str">
        <f t="shared" si="48"/>
        <v/>
      </c>
      <c r="BS127" s="37" t="str">
        <f t="shared" si="49"/>
        <v/>
      </c>
      <c r="BT127" s="38" t="str">
        <f t="shared" si="74"/>
        <v/>
      </c>
      <c r="BU127" s="36" t="str">
        <f t="shared" si="50"/>
        <v/>
      </c>
    </row>
    <row r="128" spans="2:73" ht="15">
      <c r="B128" s="16">
        <f t="shared" si="51"/>
        <v>43969</v>
      </c>
      <c r="C128" s="15" t="s">
        <v>1</v>
      </c>
      <c r="D128" s="17">
        <f t="shared" si="52"/>
        <v>43975</v>
      </c>
      <c r="E128" s="18">
        <f t="shared" si="53"/>
        <v>5</v>
      </c>
      <c r="F128" s="19">
        <f t="shared" si="54"/>
        <v>2020</v>
      </c>
      <c r="G128" s="9">
        <f t="shared" si="76"/>
        <v>17</v>
      </c>
      <c r="H128" s="8">
        <v>95</v>
      </c>
      <c r="I128" s="9"/>
      <c r="J128" s="9"/>
      <c r="K128" s="9"/>
      <c r="L128" s="9"/>
      <c r="M128" s="9"/>
      <c r="N128" s="9"/>
      <c r="O128" s="12"/>
      <c r="P128" s="12"/>
      <c r="Q128" s="12"/>
      <c r="R128" s="12"/>
      <c r="S128" s="12"/>
      <c r="T128" s="12"/>
      <c r="V128" s="20">
        <f t="shared" si="75"/>
        <v>9</v>
      </c>
      <c r="W128" s="20">
        <f t="shared" si="75"/>
        <v>14</v>
      </c>
      <c r="X128" s="20">
        <f t="shared" si="75"/>
        <v>0</v>
      </c>
      <c r="Y128" s="20">
        <f t="shared" si="75"/>
        <v>3</v>
      </c>
      <c r="Z128" s="20">
        <f t="shared" si="75"/>
        <v>0</v>
      </c>
      <c r="AA128" s="20">
        <f t="shared" si="75"/>
        <v>0</v>
      </c>
      <c r="AC128" s="3">
        <f t="shared" si="57"/>
        <v>81</v>
      </c>
      <c r="AD128" s="3">
        <f t="shared" si="58"/>
        <v>77</v>
      </c>
      <c r="AE128" s="3">
        <f t="shared" si="59"/>
        <v>72</v>
      </c>
      <c r="AF128" s="3">
        <f t="shared" si="60"/>
        <v>68</v>
      </c>
      <c r="AG128" s="3">
        <f t="shared" si="61"/>
        <v>64</v>
      </c>
      <c r="AH128" s="3">
        <f t="shared" si="62"/>
        <v>60</v>
      </c>
      <c r="AI128" s="3">
        <f t="shared" si="63"/>
        <v>56</v>
      </c>
      <c r="AJ128" s="3">
        <f t="shared" si="64"/>
        <v>46</v>
      </c>
      <c r="AK128" s="3">
        <f t="shared" si="65"/>
        <v>41</v>
      </c>
      <c r="AL128" s="3">
        <f t="shared" si="66"/>
        <v>36</v>
      </c>
      <c r="AM128" s="3">
        <f t="shared" si="67"/>
        <v>31</v>
      </c>
      <c r="AN128" s="3">
        <f t="shared" si="68"/>
        <v>24</v>
      </c>
      <c r="AO128" s="3">
        <f t="shared" si="69"/>
        <v>19</v>
      </c>
      <c r="AP128" s="3">
        <f t="shared" si="70"/>
        <v>0</v>
      </c>
      <c r="AQ128" s="3">
        <f t="shared" si="71"/>
        <v>87</v>
      </c>
      <c r="AR128" s="3">
        <f t="shared" si="72"/>
        <v>84</v>
      </c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M128" s="35" t="s">
        <v>12</v>
      </c>
      <c r="BO128" s="35"/>
      <c r="BR128" s="9" t="str">
        <f t="shared" si="48"/>
        <v/>
      </c>
      <c r="BS128" s="37" t="str">
        <f t="shared" si="49"/>
        <v/>
      </c>
      <c r="BT128" s="38" t="str">
        <f t="shared" si="74"/>
        <v/>
      </c>
      <c r="BU128" s="36" t="str">
        <f t="shared" si="50"/>
        <v/>
      </c>
    </row>
    <row r="129" spans="2:73" ht="15">
      <c r="B129" s="16">
        <f t="shared" si="51"/>
        <v>43976</v>
      </c>
      <c r="C129" s="15" t="s">
        <v>1</v>
      </c>
      <c r="D129" s="17">
        <f t="shared" si="52"/>
        <v>43982</v>
      </c>
      <c r="E129" s="18">
        <f t="shared" si="53"/>
        <v>5</v>
      </c>
      <c r="F129" s="19">
        <f t="shared" si="54"/>
        <v>2020</v>
      </c>
      <c r="G129" s="9">
        <f t="shared" si="76"/>
        <v>17</v>
      </c>
      <c r="H129" s="8">
        <f t="shared" si="76"/>
        <v>95</v>
      </c>
      <c r="I129" s="9"/>
      <c r="J129" s="9"/>
      <c r="K129" s="9"/>
      <c r="L129" s="9"/>
      <c r="M129" s="9"/>
      <c r="N129" s="9"/>
      <c r="O129" s="12"/>
      <c r="P129" s="12"/>
      <c r="Q129" s="12"/>
      <c r="R129" s="12"/>
      <c r="S129" s="12"/>
      <c r="T129" s="12"/>
      <c r="V129" s="20">
        <f t="shared" si="75"/>
        <v>10</v>
      </c>
      <c r="W129" s="20">
        <f t="shared" si="75"/>
        <v>15</v>
      </c>
      <c r="X129" s="20">
        <f t="shared" si="75"/>
        <v>0</v>
      </c>
      <c r="Y129" s="20">
        <f t="shared" si="75"/>
        <v>4</v>
      </c>
      <c r="Z129" s="20">
        <f t="shared" si="75"/>
        <v>0</v>
      </c>
      <c r="AA129" s="20">
        <f t="shared" si="75"/>
        <v>0</v>
      </c>
      <c r="AC129" s="3">
        <f t="shared" si="57"/>
        <v>82</v>
      </c>
      <c r="AD129" s="3">
        <f t="shared" si="58"/>
        <v>78</v>
      </c>
      <c r="AE129" s="3">
        <f t="shared" si="59"/>
        <v>73</v>
      </c>
      <c r="AF129" s="3">
        <f t="shared" si="60"/>
        <v>69</v>
      </c>
      <c r="AG129" s="3">
        <f t="shared" si="61"/>
        <v>65</v>
      </c>
      <c r="AH129" s="3">
        <f t="shared" si="62"/>
        <v>61</v>
      </c>
      <c r="AI129" s="3">
        <f t="shared" si="63"/>
        <v>57</v>
      </c>
      <c r="AJ129" s="3">
        <f t="shared" si="64"/>
        <v>47</v>
      </c>
      <c r="AK129" s="3">
        <f t="shared" si="65"/>
        <v>42</v>
      </c>
      <c r="AL129" s="3">
        <f t="shared" si="66"/>
        <v>37</v>
      </c>
      <c r="AM129" s="3">
        <f t="shared" si="67"/>
        <v>32</v>
      </c>
      <c r="AN129" s="3">
        <f t="shared" si="68"/>
        <v>25</v>
      </c>
      <c r="AO129" s="3">
        <f t="shared" si="69"/>
        <v>20</v>
      </c>
      <c r="AP129" s="3">
        <f t="shared" si="70"/>
        <v>0</v>
      </c>
      <c r="AQ129" s="3">
        <f t="shared" si="71"/>
        <v>88</v>
      </c>
      <c r="AR129" s="3">
        <f t="shared" si="72"/>
        <v>85</v>
      </c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M129" s="35" t="s">
        <v>12</v>
      </c>
      <c r="BO129" s="35"/>
      <c r="BR129" s="9" t="str">
        <f t="shared" si="48"/>
        <v/>
      </c>
      <c r="BS129" s="37" t="str">
        <f t="shared" si="49"/>
        <v/>
      </c>
      <c r="BT129" s="38" t="str">
        <f t="shared" si="74"/>
        <v/>
      </c>
      <c r="BU129" s="36" t="str">
        <f t="shared" si="50"/>
        <v/>
      </c>
    </row>
    <row r="130" spans="2:73" ht="15">
      <c r="B130" s="16">
        <f t="shared" si="51"/>
        <v>43983</v>
      </c>
      <c r="C130" s="15" t="s">
        <v>1</v>
      </c>
      <c r="D130" s="17">
        <f t="shared" si="52"/>
        <v>43989</v>
      </c>
      <c r="E130" s="18">
        <f t="shared" si="53"/>
        <v>6</v>
      </c>
      <c r="F130" s="19">
        <f t="shared" si="54"/>
        <v>2020</v>
      </c>
      <c r="G130" s="9">
        <f t="shared" si="76"/>
        <v>17</v>
      </c>
      <c r="H130" s="8">
        <f t="shared" si="76"/>
        <v>95</v>
      </c>
      <c r="I130" s="9"/>
      <c r="J130" s="9"/>
      <c r="K130" s="9"/>
      <c r="L130" s="9"/>
      <c r="M130" s="9"/>
      <c r="N130" s="9"/>
      <c r="O130" s="12"/>
      <c r="P130" s="12"/>
      <c r="Q130" s="12">
        <v>1</v>
      </c>
      <c r="R130" s="12"/>
      <c r="S130" s="12"/>
      <c r="T130" s="12"/>
      <c r="V130" s="20">
        <f t="shared" si="75"/>
        <v>11</v>
      </c>
      <c r="W130" s="20">
        <f t="shared" si="75"/>
        <v>16</v>
      </c>
      <c r="X130" s="20">
        <f t="shared" si="75"/>
        <v>43985</v>
      </c>
      <c r="Y130" s="20">
        <f t="shared" si="75"/>
        <v>5</v>
      </c>
      <c r="Z130" s="20">
        <f t="shared" si="75"/>
        <v>0</v>
      </c>
      <c r="AA130" s="20">
        <f t="shared" si="75"/>
        <v>0</v>
      </c>
      <c r="AC130" s="3">
        <f t="shared" si="57"/>
        <v>83</v>
      </c>
      <c r="AD130" s="3">
        <f t="shared" si="58"/>
        <v>79</v>
      </c>
      <c r="AE130" s="3">
        <f t="shared" si="59"/>
        <v>74</v>
      </c>
      <c r="AF130" s="3">
        <f t="shared" si="60"/>
        <v>70</v>
      </c>
      <c r="AG130" s="3">
        <f t="shared" si="61"/>
        <v>66</v>
      </c>
      <c r="AH130" s="3">
        <f t="shared" si="62"/>
        <v>62</v>
      </c>
      <c r="AI130" s="3">
        <f t="shared" si="63"/>
        <v>58</v>
      </c>
      <c r="AJ130" s="3">
        <f t="shared" si="64"/>
        <v>48</v>
      </c>
      <c r="AK130" s="3">
        <f t="shared" si="65"/>
        <v>43</v>
      </c>
      <c r="AL130" s="3">
        <f t="shared" si="66"/>
        <v>38</v>
      </c>
      <c r="AM130" s="3">
        <f t="shared" si="67"/>
        <v>33</v>
      </c>
      <c r="AN130" s="3">
        <f t="shared" si="68"/>
        <v>26</v>
      </c>
      <c r="AO130" s="3">
        <f t="shared" si="69"/>
        <v>21</v>
      </c>
      <c r="AP130" s="3">
        <f t="shared" si="70"/>
        <v>0</v>
      </c>
      <c r="AQ130" s="3">
        <f t="shared" si="71"/>
        <v>89</v>
      </c>
      <c r="AR130" s="3">
        <f t="shared" si="72"/>
        <v>86</v>
      </c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M130" s="35" t="s">
        <v>12</v>
      </c>
      <c r="BO130" s="35"/>
      <c r="BR130" s="9">
        <f t="shared" si="48"/>
        <v>3</v>
      </c>
      <c r="BS130" s="37">
        <f t="shared" si="49"/>
        <v>43985</v>
      </c>
      <c r="BT130" s="38">
        <f t="shared" si="74"/>
        <v>44104</v>
      </c>
      <c r="BU130" s="36">
        <f t="shared" si="50"/>
        <v>9</v>
      </c>
    </row>
    <row r="131" spans="2:73" ht="15">
      <c r="B131" s="16">
        <f t="shared" si="51"/>
        <v>43990</v>
      </c>
      <c r="C131" s="15" t="s">
        <v>1</v>
      </c>
      <c r="D131" s="17">
        <f t="shared" si="52"/>
        <v>43996</v>
      </c>
      <c r="E131" s="18">
        <f t="shared" si="53"/>
        <v>6</v>
      </c>
      <c r="F131" s="19">
        <f t="shared" si="54"/>
        <v>2020</v>
      </c>
      <c r="G131" s="9">
        <f t="shared" si="76"/>
        <v>17</v>
      </c>
      <c r="H131" s="8">
        <f t="shared" si="76"/>
        <v>95</v>
      </c>
      <c r="I131" s="9"/>
      <c r="J131" s="9"/>
      <c r="K131" s="9"/>
      <c r="L131" s="9"/>
      <c r="M131" s="9"/>
      <c r="N131" s="9"/>
      <c r="O131" s="12"/>
      <c r="P131" s="12"/>
      <c r="Q131" s="12"/>
      <c r="R131" s="12"/>
      <c r="S131" s="12"/>
      <c r="T131" s="12"/>
      <c r="V131" s="20">
        <f t="shared" si="75"/>
        <v>12</v>
      </c>
      <c r="W131" s="20">
        <f t="shared" si="75"/>
        <v>17</v>
      </c>
      <c r="X131" s="20">
        <f t="shared" si="75"/>
        <v>1</v>
      </c>
      <c r="Y131" s="20">
        <f t="shared" si="75"/>
        <v>6</v>
      </c>
      <c r="Z131" s="20">
        <f t="shared" si="75"/>
        <v>0</v>
      </c>
      <c r="AA131" s="20">
        <f t="shared" si="75"/>
        <v>0</v>
      </c>
      <c r="AC131" s="3">
        <f t="shared" si="57"/>
        <v>84</v>
      </c>
      <c r="AD131" s="3">
        <f t="shared" si="58"/>
        <v>80</v>
      </c>
      <c r="AE131" s="3">
        <f t="shared" si="59"/>
        <v>75</v>
      </c>
      <c r="AF131" s="3">
        <f t="shared" si="60"/>
        <v>71</v>
      </c>
      <c r="AG131" s="3">
        <f t="shared" si="61"/>
        <v>67</v>
      </c>
      <c r="AH131" s="3">
        <f t="shared" si="62"/>
        <v>63</v>
      </c>
      <c r="AI131" s="3">
        <f t="shared" si="63"/>
        <v>59</v>
      </c>
      <c r="AJ131" s="3">
        <f t="shared" si="64"/>
        <v>49</v>
      </c>
      <c r="AK131" s="3">
        <f t="shared" si="65"/>
        <v>44</v>
      </c>
      <c r="AL131" s="3">
        <f t="shared" si="66"/>
        <v>39</v>
      </c>
      <c r="AM131" s="3">
        <f t="shared" si="67"/>
        <v>34</v>
      </c>
      <c r="AN131" s="3">
        <f t="shared" si="68"/>
        <v>27</v>
      </c>
      <c r="AO131" s="3">
        <f t="shared" si="69"/>
        <v>22</v>
      </c>
      <c r="AP131" s="3">
        <f t="shared" si="70"/>
        <v>17</v>
      </c>
      <c r="AQ131" s="3">
        <f t="shared" si="71"/>
        <v>90</v>
      </c>
      <c r="AR131" s="3">
        <f t="shared" si="72"/>
        <v>87</v>
      </c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>
        <v>2</v>
      </c>
      <c r="BG131" s="8" t="s">
        <v>5</v>
      </c>
      <c r="BH131" s="8"/>
      <c r="BL131">
        <v>9</v>
      </c>
      <c r="BM131" s="35">
        <v>43990</v>
      </c>
      <c r="BO131" s="35">
        <f>B148</f>
        <v>44109</v>
      </c>
      <c r="BP131">
        <v>98</v>
      </c>
      <c r="BR131" s="9" t="str">
        <f t="shared" si="48"/>
        <v/>
      </c>
      <c r="BS131" s="37" t="str">
        <f t="shared" si="49"/>
        <v/>
      </c>
      <c r="BT131" s="38" t="str">
        <f t="shared" si="74"/>
        <v/>
      </c>
      <c r="BU131" s="36" t="str">
        <f t="shared" si="50"/>
        <v/>
      </c>
    </row>
    <row r="132" spans="2:73" ht="15">
      <c r="B132" s="16">
        <f t="shared" si="51"/>
        <v>43997</v>
      </c>
      <c r="C132" s="15" t="s">
        <v>1</v>
      </c>
      <c r="D132" s="17">
        <f t="shared" si="52"/>
        <v>44003</v>
      </c>
      <c r="E132" s="18">
        <f t="shared" si="53"/>
        <v>6</v>
      </c>
      <c r="F132" s="19">
        <f t="shared" si="54"/>
        <v>2020</v>
      </c>
      <c r="G132" s="9">
        <f t="shared" si="76"/>
        <v>17</v>
      </c>
      <c r="H132" s="8">
        <f t="shared" si="76"/>
        <v>95</v>
      </c>
      <c r="I132" s="9"/>
      <c r="J132" s="9"/>
      <c r="K132" s="9"/>
      <c r="L132" s="9"/>
      <c r="M132" s="9"/>
      <c r="N132" s="9"/>
      <c r="O132" s="12"/>
      <c r="P132" s="12"/>
      <c r="Q132" s="12"/>
      <c r="R132" s="12"/>
      <c r="S132" s="12"/>
      <c r="T132" s="12"/>
      <c r="V132" s="20">
        <f t="shared" si="75"/>
        <v>13</v>
      </c>
      <c r="W132" s="20">
        <f t="shared" si="75"/>
        <v>0</v>
      </c>
      <c r="X132" s="20">
        <f t="shared" si="75"/>
        <v>2</v>
      </c>
      <c r="Y132" s="20">
        <f t="shared" si="75"/>
        <v>7</v>
      </c>
      <c r="Z132" s="20">
        <f t="shared" si="75"/>
        <v>0</v>
      </c>
      <c r="AA132" s="20">
        <f t="shared" si="75"/>
        <v>0</v>
      </c>
      <c r="AC132" s="3">
        <f t="shared" si="57"/>
        <v>85</v>
      </c>
      <c r="AD132" s="3">
        <f t="shared" si="58"/>
        <v>81</v>
      </c>
      <c r="AE132" s="3">
        <f t="shared" si="59"/>
        <v>76</v>
      </c>
      <c r="AF132" s="3">
        <f t="shared" si="60"/>
        <v>72</v>
      </c>
      <c r="AG132" s="3">
        <f t="shared" si="61"/>
        <v>68</v>
      </c>
      <c r="AH132" s="3">
        <f t="shared" si="62"/>
        <v>64</v>
      </c>
      <c r="AI132" s="3">
        <f t="shared" si="63"/>
        <v>60</v>
      </c>
      <c r="AJ132" s="3">
        <f t="shared" si="64"/>
        <v>50</v>
      </c>
      <c r="AK132" s="3">
        <f t="shared" si="65"/>
        <v>45</v>
      </c>
      <c r="AL132" s="3">
        <f t="shared" si="66"/>
        <v>40</v>
      </c>
      <c r="AM132" s="3">
        <f t="shared" si="67"/>
        <v>35</v>
      </c>
      <c r="AN132" s="3">
        <f t="shared" si="68"/>
        <v>28</v>
      </c>
      <c r="AO132" s="3">
        <f t="shared" si="69"/>
        <v>23</v>
      </c>
      <c r="AP132" s="3">
        <f t="shared" si="70"/>
        <v>18</v>
      </c>
      <c r="AQ132" s="3">
        <f t="shared" si="71"/>
        <v>0</v>
      </c>
      <c r="AR132" s="3">
        <f t="shared" si="72"/>
        <v>88</v>
      </c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M132" s="35" t="s">
        <v>12</v>
      </c>
      <c r="BO132" s="35"/>
      <c r="BR132" s="9" t="str">
        <f t="shared" ref="BR132:BR195" si="77">IF(AND(V132&gt;0,V131=0),$V$2,IF(AND(W132&gt;0,W131=0),$W$2,IF(AND(X132&gt;0,X131=0),$X$2,IF(AND(Y132&gt;0,Y131=0),$Y$2,IF(AND(Z132&gt;0,Z131=0),$Z$2,IF(AND(AA132&gt;0,AA131=0),$AA$2,""))))))</f>
        <v/>
      </c>
      <c r="BS132" s="37" t="str">
        <f t="shared" ref="BS132:BS195" si="78">IF(OR(AND($V133=1,$V134=2),OR(AND($W133=1,$W134=2),OR(AND($X133=1,$X134=2),OR(AND($Y133=1,$Y134=2),OR(AND($Z133=1,$Z134),OR(AND($AA133=1,$AA134=2))))))),$B132+2,"")</f>
        <v/>
      </c>
      <c r="BT132" s="38" t="str">
        <f t="shared" si="74"/>
        <v/>
      </c>
      <c r="BU132" s="36" t="str">
        <f t="shared" ref="BU132:BU195" si="79">IF(AND(AC149&gt;0,AC148=0),$AC$2,IF(AND(AD149&gt;0,AD148=0),$AD$2,IF(AND(AE149&gt;0,AE148=0),$AE$2,IF(AND(AF149&gt;0,AF148=0),$AF$2,IF(AND(AG149&gt;0,AG148=0),$AG$2,IF(AND(AH149&gt;0,AH148=0),$AH$2,IF(AND(AI149&gt;0,AI148=0),$AI$2,IF(AND(AJ149&gt;0,AJ148=0),$AJ$2,IF(AND(AK149&gt;0,AK148=0),$AK$2,IF(AND(AL149&gt;0,AL148=0),$AL$2,IF(AND(AM149&gt;0,AM148=0),$AM$2,IF(AND(AN149&gt;0,AN148=0),$AN$2,IF(AND(AO149&gt;0,AO148=0),$AO$2,IF(AND(AP149&gt;0,AP148=0),$AP$2,IF(AND(AQ149&gt;0,AQ148=0),$AQ$2,IF(AND(AR149&gt;0,AR148=0),$AR$2,""))))))))))))))))</f>
        <v/>
      </c>
    </row>
    <row r="133" spans="2:73" ht="15">
      <c r="B133" s="16">
        <f t="shared" ref="B133:B196" si="80">D132+1</f>
        <v>44004</v>
      </c>
      <c r="C133" s="15" t="s">
        <v>1</v>
      </c>
      <c r="D133" s="17">
        <f t="shared" ref="D133:D196" si="81">B133+6</f>
        <v>44010</v>
      </c>
      <c r="E133" s="18">
        <f t="shared" ref="E133:E196" si="82">MONTH(B133)</f>
        <v>6</v>
      </c>
      <c r="F133" s="19">
        <f t="shared" ref="F133:F196" si="83">YEAR(D133)</f>
        <v>2020</v>
      </c>
      <c r="G133" s="9">
        <f t="shared" si="76"/>
        <v>17</v>
      </c>
      <c r="H133" s="8">
        <f t="shared" si="76"/>
        <v>95</v>
      </c>
      <c r="I133" s="9"/>
      <c r="J133" s="9"/>
      <c r="K133" s="9"/>
      <c r="L133" s="9"/>
      <c r="M133" s="9"/>
      <c r="N133" s="9"/>
      <c r="O133" s="12"/>
      <c r="P133" s="12"/>
      <c r="Q133" s="12"/>
      <c r="R133" s="12"/>
      <c r="S133" s="12"/>
      <c r="T133" s="12"/>
      <c r="V133" s="20">
        <f t="shared" si="75"/>
        <v>14</v>
      </c>
      <c r="W133" s="20">
        <f t="shared" si="75"/>
        <v>0</v>
      </c>
      <c r="X133" s="20">
        <f t="shared" si="75"/>
        <v>3</v>
      </c>
      <c r="Y133" s="20">
        <f t="shared" si="75"/>
        <v>8</v>
      </c>
      <c r="Z133" s="20">
        <f t="shared" si="75"/>
        <v>0</v>
      </c>
      <c r="AA133" s="20">
        <f t="shared" si="75"/>
        <v>0</v>
      </c>
      <c r="AC133" s="3">
        <f t="shared" si="57"/>
        <v>86</v>
      </c>
      <c r="AD133" s="3">
        <f t="shared" si="58"/>
        <v>82</v>
      </c>
      <c r="AE133" s="3">
        <f t="shared" si="59"/>
        <v>77</v>
      </c>
      <c r="AF133" s="3">
        <f t="shared" si="60"/>
        <v>73</v>
      </c>
      <c r="AG133" s="3">
        <f t="shared" si="61"/>
        <v>69</v>
      </c>
      <c r="AH133" s="3">
        <f t="shared" si="62"/>
        <v>65</v>
      </c>
      <c r="AI133" s="3">
        <f t="shared" si="63"/>
        <v>61</v>
      </c>
      <c r="AJ133" s="3">
        <f t="shared" si="64"/>
        <v>51</v>
      </c>
      <c r="AK133" s="3">
        <f t="shared" si="65"/>
        <v>46</v>
      </c>
      <c r="AL133" s="3">
        <f t="shared" si="66"/>
        <v>41</v>
      </c>
      <c r="AM133" s="3">
        <f t="shared" si="67"/>
        <v>36</v>
      </c>
      <c r="AN133" s="3">
        <f t="shared" si="68"/>
        <v>29</v>
      </c>
      <c r="AO133" s="3">
        <f t="shared" si="69"/>
        <v>24</v>
      </c>
      <c r="AP133" s="3">
        <f t="shared" si="70"/>
        <v>19</v>
      </c>
      <c r="AQ133" s="3">
        <f t="shared" si="71"/>
        <v>0</v>
      </c>
      <c r="AR133" s="3">
        <f t="shared" si="72"/>
        <v>89</v>
      </c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M133" s="35" t="s">
        <v>12</v>
      </c>
      <c r="BO133" s="35"/>
      <c r="BR133" s="9" t="str">
        <f t="shared" si="77"/>
        <v/>
      </c>
      <c r="BS133" s="37" t="str">
        <f t="shared" si="78"/>
        <v/>
      </c>
      <c r="BT133" s="38" t="str">
        <f t="shared" si="74"/>
        <v/>
      </c>
      <c r="BU133" s="36" t="str">
        <f t="shared" si="79"/>
        <v/>
      </c>
    </row>
    <row r="134" spans="2:73" ht="15">
      <c r="B134" s="16">
        <f t="shared" si="80"/>
        <v>44011</v>
      </c>
      <c r="C134" s="15" t="s">
        <v>1</v>
      </c>
      <c r="D134" s="17">
        <f t="shared" si="81"/>
        <v>44017</v>
      </c>
      <c r="E134" s="18">
        <f t="shared" si="82"/>
        <v>6</v>
      </c>
      <c r="F134" s="19">
        <f t="shared" si="83"/>
        <v>2020</v>
      </c>
      <c r="G134" s="9">
        <f t="shared" ref="G134:H149" si="84">G133</f>
        <v>17</v>
      </c>
      <c r="H134" s="8">
        <f t="shared" si="84"/>
        <v>95</v>
      </c>
      <c r="I134" s="9"/>
      <c r="J134" s="9"/>
      <c r="K134" s="9"/>
      <c r="L134" s="9"/>
      <c r="M134" s="9"/>
      <c r="N134" s="9"/>
      <c r="O134" s="12"/>
      <c r="P134" s="12"/>
      <c r="Q134" s="12"/>
      <c r="R134" s="12"/>
      <c r="S134" s="12"/>
      <c r="T134" s="12"/>
      <c r="V134" s="20">
        <f t="shared" si="75"/>
        <v>15</v>
      </c>
      <c r="W134" s="20">
        <f t="shared" si="75"/>
        <v>0</v>
      </c>
      <c r="X134" s="20">
        <f t="shared" si="75"/>
        <v>4</v>
      </c>
      <c r="Y134" s="20">
        <f t="shared" si="75"/>
        <v>9</v>
      </c>
      <c r="Z134" s="20">
        <f t="shared" si="75"/>
        <v>0</v>
      </c>
      <c r="AA134" s="20">
        <f t="shared" si="75"/>
        <v>0</v>
      </c>
      <c r="AC134" s="3">
        <f t="shared" si="57"/>
        <v>87</v>
      </c>
      <c r="AD134" s="3">
        <f t="shared" si="58"/>
        <v>83</v>
      </c>
      <c r="AE134" s="3">
        <f t="shared" si="59"/>
        <v>78</v>
      </c>
      <c r="AF134" s="3">
        <f t="shared" si="60"/>
        <v>74</v>
      </c>
      <c r="AG134" s="3">
        <f t="shared" si="61"/>
        <v>70</v>
      </c>
      <c r="AH134" s="3">
        <f t="shared" si="62"/>
        <v>66</v>
      </c>
      <c r="AI134" s="3">
        <f t="shared" si="63"/>
        <v>62</v>
      </c>
      <c r="AJ134" s="3">
        <f t="shared" si="64"/>
        <v>52</v>
      </c>
      <c r="AK134" s="3">
        <f t="shared" si="65"/>
        <v>47</v>
      </c>
      <c r="AL134" s="3">
        <f t="shared" si="66"/>
        <v>42</v>
      </c>
      <c r="AM134" s="3">
        <f t="shared" si="67"/>
        <v>37</v>
      </c>
      <c r="AN134" s="3">
        <f t="shared" si="68"/>
        <v>30</v>
      </c>
      <c r="AO134" s="3">
        <f t="shared" si="69"/>
        <v>25</v>
      </c>
      <c r="AP134" s="3">
        <f t="shared" si="70"/>
        <v>20</v>
      </c>
      <c r="AQ134" s="3">
        <f t="shared" si="71"/>
        <v>0</v>
      </c>
      <c r="AR134" s="3">
        <f t="shared" si="72"/>
        <v>90</v>
      </c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M134" s="35" t="s">
        <v>12</v>
      </c>
      <c r="BO134" s="35"/>
      <c r="BR134" s="9" t="str">
        <f t="shared" si="77"/>
        <v/>
      </c>
      <c r="BS134" s="37" t="str">
        <f t="shared" si="78"/>
        <v/>
      </c>
      <c r="BT134" s="38" t="str">
        <f t="shared" si="74"/>
        <v/>
      </c>
      <c r="BU134" s="36" t="str">
        <f t="shared" si="79"/>
        <v/>
      </c>
    </row>
    <row r="135" spans="2:73" ht="15">
      <c r="B135" s="16">
        <f t="shared" si="80"/>
        <v>44018</v>
      </c>
      <c r="C135" s="15" t="s">
        <v>1</v>
      </c>
      <c r="D135" s="17">
        <f t="shared" si="81"/>
        <v>44024</v>
      </c>
      <c r="E135" s="18">
        <f t="shared" si="82"/>
        <v>7</v>
      </c>
      <c r="F135" s="19">
        <f t="shared" si="83"/>
        <v>2020</v>
      </c>
      <c r="G135" s="9">
        <f t="shared" si="84"/>
        <v>17</v>
      </c>
      <c r="H135" s="8">
        <f t="shared" si="84"/>
        <v>95</v>
      </c>
      <c r="I135" s="9"/>
      <c r="J135" s="9"/>
      <c r="K135" s="9"/>
      <c r="L135" s="9"/>
      <c r="M135" s="9"/>
      <c r="N135" s="9"/>
      <c r="O135" s="12"/>
      <c r="P135" s="12">
        <v>1</v>
      </c>
      <c r="Q135" s="12"/>
      <c r="R135" s="12"/>
      <c r="S135" s="12"/>
      <c r="T135" s="12"/>
      <c r="V135" s="20">
        <f t="shared" si="75"/>
        <v>16</v>
      </c>
      <c r="W135" s="20">
        <f t="shared" si="75"/>
        <v>44020</v>
      </c>
      <c r="X135" s="20">
        <f t="shared" si="75"/>
        <v>5</v>
      </c>
      <c r="Y135" s="20">
        <f t="shared" si="75"/>
        <v>10</v>
      </c>
      <c r="Z135" s="20">
        <f t="shared" si="75"/>
        <v>0</v>
      </c>
      <c r="AA135" s="20">
        <f t="shared" si="75"/>
        <v>0</v>
      </c>
      <c r="AC135" s="3">
        <f t="shared" si="57"/>
        <v>88</v>
      </c>
      <c r="AD135" s="3">
        <f t="shared" si="58"/>
        <v>84</v>
      </c>
      <c r="AE135" s="3">
        <f t="shared" si="59"/>
        <v>79</v>
      </c>
      <c r="AF135" s="3">
        <f t="shared" si="60"/>
        <v>75</v>
      </c>
      <c r="AG135" s="3">
        <f t="shared" si="61"/>
        <v>71</v>
      </c>
      <c r="AH135" s="3">
        <f t="shared" si="62"/>
        <v>67</v>
      </c>
      <c r="AI135" s="3">
        <f t="shared" si="63"/>
        <v>63</v>
      </c>
      <c r="AJ135" s="3">
        <f t="shared" si="64"/>
        <v>53</v>
      </c>
      <c r="AK135" s="3">
        <f t="shared" si="65"/>
        <v>48</v>
      </c>
      <c r="AL135" s="3">
        <f t="shared" si="66"/>
        <v>43</v>
      </c>
      <c r="AM135" s="3">
        <f t="shared" si="67"/>
        <v>38</v>
      </c>
      <c r="AN135" s="3">
        <f t="shared" si="68"/>
        <v>31</v>
      </c>
      <c r="AO135" s="3">
        <f t="shared" si="69"/>
        <v>26</v>
      </c>
      <c r="AP135" s="3">
        <f t="shared" si="70"/>
        <v>21</v>
      </c>
      <c r="AQ135" s="3">
        <f t="shared" si="71"/>
        <v>16</v>
      </c>
      <c r="AR135" s="3">
        <f t="shared" si="72"/>
        <v>91</v>
      </c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>
        <v>1</v>
      </c>
      <c r="BH135" s="8"/>
      <c r="BM135" s="35" t="s">
        <v>12</v>
      </c>
      <c r="BO135" s="35"/>
      <c r="BR135" s="9">
        <f t="shared" si="77"/>
        <v>2</v>
      </c>
      <c r="BS135" s="37">
        <f t="shared" si="78"/>
        <v>44020</v>
      </c>
      <c r="BT135" s="38">
        <f t="shared" si="74"/>
        <v>44139</v>
      </c>
      <c r="BU135" s="36">
        <f t="shared" si="79"/>
        <v>11</v>
      </c>
    </row>
    <row r="136" spans="2:73" ht="15">
      <c r="B136" s="16">
        <f t="shared" si="80"/>
        <v>44025</v>
      </c>
      <c r="C136" s="15" t="s">
        <v>1</v>
      </c>
      <c r="D136" s="17">
        <f t="shared" si="81"/>
        <v>44031</v>
      </c>
      <c r="E136" s="18">
        <f t="shared" si="82"/>
        <v>7</v>
      </c>
      <c r="F136" s="19">
        <f t="shared" si="83"/>
        <v>2020</v>
      </c>
      <c r="G136" s="9">
        <f t="shared" si="84"/>
        <v>17</v>
      </c>
      <c r="H136" s="8">
        <f t="shared" si="84"/>
        <v>95</v>
      </c>
      <c r="I136" s="9"/>
      <c r="J136" s="9"/>
      <c r="K136" s="9"/>
      <c r="L136" s="9"/>
      <c r="M136" s="9"/>
      <c r="N136" s="9"/>
      <c r="O136" s="12"/>
      <c r="P136" s="12"/>
      <c r="Q136" s="12"/>
      <c r="R136" s="12"/>
      <c r="S136" s="12"/>
      <c r="T136" s="12"/>
      <c r="V136" s="20">
        <f t="shared" si="75"/>
        <v>17</v>
      </c>
      <c r="W136" s="20">
        <f t="shared" si="75"/>
        <v>1</v>
      </c>
      <c r="X136" s="20">
        <f t="shared" si="75"/>
        <v>6</v>
      </c>
      <c r="Y136" s="20">
        <f t="shared" si="75"/>
        <v>11</v>
      </c>
      <c r="Z136" s="20">
        <f t="shared" si="75"/>
        <v>0</v>
      </c>
      <c r="AA136" s="20">
        <f t="shared" si="75"/>
        <v>0</v>
      </c>
      <c r="AC136" s="3">
        <f t="shared" si="57"/>
        <v>89</v>
      </c>
      <c r="AD136" s="3">
        <f t="shared" si="58"/>
        <v>85</v>
      </c>
      <c r="AE136" s="3">
        <f t="shared" si="59"/>
        <v>80</v>
      </c>
      <c r="AF136" s="3">
        <f t="shared" si="60"/>
        <v>76</v>
      </c>
      <c r="AG136" s="3">
        <f t="shared" si="61"/>
        <v>72</v>
      </c>
      <c r="AH136" s="3">
        <f t="shared" si="62"/>
        <v>68</v>
      </c>
      <c r="AI136" s="3">
        <f t="shared" si="63"/>
        <v>64</v>
      </c>
      <c r="AJ136" s="3">
        <f t="shared" si="64"/>
        <v>54</v>
      </c>
      <c r="AK136" s="3">
        <f t="shared" si="65"/>
        <v>49</v>
      </c>
      <c r="AL136" s="3">
        <f t="shared" si="66"/>
        <v>44</v>
      </c>
      <c r="AM136" s="3">
        <f t="shared" si="67"/>
        <v>39</v>
      </c>
      <c r="AN136" s="3">
        <f t="shared" si="68"/>
        <v>32</v>
      </c>
      <c r="AO136" s="3">
        <f t="shared" si="69"/>
        <v>27</v>
      </c>
      <c r="AP136" s="3">
        <f t="shared" si="70"/>
        <v>22</v>
      </c>
      <c r="AQ136" s="3">
        <f t="shared" si="71"/>
        <v>17</v>
      </c>
      <c r="AR136" s="3">
        <f t="shared" si="72"/>
        <v>92</v>
      </c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M136" s="35" t="s">
        <v>12</v>
      </c>
      <c r="BO136" s="35"/>
      <c r="BR136" s="9" t="str">
        <f t="shared" si="77"/>
        <v/>
      </c>
      <c r="BS136" s="37" t="str">
        <f t="shared" si="78"/>
        <v/>
      </c>
      <c r="BT136" s="38" t="str">
        <f t="shared" si="74"/>
        <v/>
      </c>
      <c r="BU136" s="36" t="str">
        <f t="shared" si="79"/>
        <v/>
      </c>
    </row>
    <row r="137" spans="2:73" ht="15">
      <c r="B137" s="16">
        <f t="shared" si="80"/>
        <v>44032</v>
      </c>
      <c r="C137" s="15" t="s">
        <v>1</v>
      </c>
      <c r="D137" s="17">
        <f t="shared" si="81"/>
        <v>44038</v>
      </c>
      <c r="E137" s="18">
        <f t="shared" si="82"/>
        <v>7</v>
      </c>
      <c r="F137" s="19">
        <f t="shared" si="83"/>
        <v>2020</v>
      </c>
      <c r="G137" s="9">
        <f t="shared" si="84"/>
        <v>17</v>
      </c>
      <c r="H137" s="8">
        <f t="shared" si="84"/>
        <v>95</v>
      </c>
      <c r="I137" s="9"/>
      <c r="J137" s="9"/>
      <c r="K137" s="9"/>
      <c r="L137" s="9"/>
      <c r="M137" s="9"/>
      <c r="N137" s="9"/>
      <c r="O137" s="12"/>
      <c r="P137" s="12"/>
      <c r="Q137" s="12"/>
      <c r="R137" s="12"/>
      <c r="S137" s="12"/>
      <c r="T137" s="12"/>
      <c r="V137" s="20">
        <f t="shared" si="75"/>
        <v>0</v>
      </c>
      <c r="W137" s="20">
        <f t="shared" si="75"/>
        <v>2</v>
      </c>
      <c r="X137" s="20">
        <f t="shared" si="75"/>
        <v>7</v>
      </c>
      <c r="Y137" s="20">
        <f t="shared" si="75"/>
        <v>12</v>
      </c>
      <c r="Z137" s="20">
        <f t="shared" si="75"/>
        <v>0</v>
      </c>
      <c r="AA137" s="20">
        <f t="shared" si="75"/>
        <v>0</v>
      </c>
      <c r="AC137" s="3">
        <f t="shared" si="57"/>
        <v>90</v>
      </c>
      <c r="AD137" s="3">
        <f t="shared" si="58"/>
        <v>86</v>
      </c>
      <c r="AE137" s="3">
        <f t="shared" si="59"/>
        <v>81</v>
      </c>
      <c r="AF137" s="3">
        <f t="shared" si="60"/>
        <v>77</v>
      </c>
      <c r="AG137" s="3">
        <f t="shared" si="61"/>
        <v>73</v>
      </c>
      <c r="AH137" s="3">
        <f t="shared" si="62"/>
        <v>69</v>
      </c>
      <c r="AI137" s="3">
        <f t="shared" si="63"/>
        <v>65</v>
      </c>
      <c r="AJ137" s="3">
        <f t="shared" si="64"/>
        <v>55</v>
      </c>
      <c r="AK137" s="3">
        <f t="shared" si="65"/>
        <v>50</v>
      </c>
      <c r="AL137" s="3">
        <f t="shared" si="66"/>
        <v>45</v>
      </c>
      <c r="AM137" s="3">
        <f t="shared" si="67"/>
        <v>40</v>
      </c>
      <c r="AN137" s="3">
        <f t="shared" si="68"/>
        <v>33</v>
      </c>
      <c r="AO137" s="3">
        <f t="shared" si="69"/>
        <v>28</v>
      </c>
      <c r="AP137" s="3">
        <f t="shared" si="70"/>
        <v>23</v>
      </c>
      <c r="AQ137" s="3">
        <f t="shared" si="71"/>
        <v>18</v>
      </c>
      <c r="AR137" s="3">
        <f t="shared" si="72"/>
        <v>93</v>
      </c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M137" s="35" t="s">
        <v>12</v>
      </c>
      <c r="BO137" s="35"/>
      <c r="BR137" s="9" t="str">
        <f t="shared" si="77"/>
        <v/>
      </c>
      <c r="BS137" s="37" t="str">
        <f t="shared" si="78"/>
        <v/>
      </c>
      <c r="BT137" s="38" t="str">
        <f t="shared" si="74"/>
        <v/>
      </c>
      <c r="BU137" s="36" t="str">
        <f t="shared" si="79"/>
        <v/>
      </c>
    </row>
    <row r="138" spans="2:73" ht="15">
      <c r="B138" s="16">
        <f t="shared" si="80"/>
        <v>44039</v>
      </c>
      <c r="C138" s="15" t="s">
        <v>1</v>
      </c>
      <c r="D138" s="17">
        <f t="shared" si="81"/>
        <v>44045</v>
      </c>
      <c r="E138" s="18">
        <f t="shared" si="82"/>
        <v>7</v>
      </c>
      <c r="F138" s="19">
        <f t="shared" si="83"/>
        <v>2020</v>
      </c>
      <c r="G138" s="9">
        <f t="shared" si="84"/>
        <v>17</v>
      </c>
      <c r="H138" s="8">
        <f t="shared" si="84"/>
        <v>95</v>
      </c>
      <c r="I138" s="9"/>
      <c r="J138" s="9"/>
      <c r="K138" s="9"/>
      <c r="L138" s="9"/>
      <c r="M138" s="9"/>
      <c r="N138" s="9"/>
      <c r="O138" s="12"/>
      <c r="P138" s="12"/>
      <c r="Q138" s="12"/>
      <c r="R138" s="12"/>
      <c r="S138" s="12"/>
      <c r="T138" s="12"/>
      <c r="V138" s="20">
        <f t="shared" si="75"/>
        <v>0</v>
      </c>
      <c r="W138" s="20">
        <f t="shared" si="75"/>
        <v>3</v>
      </c>
      <c r="X138" s="20">
        <f t="shared" si="75"/>
        <v>8</v>
      </c>
      <c r="Y138" s="20">
        <f t="shared" si="75"/>
        <v>13</v>
      </c>
      <c r="Z138" s="20">
        <f t="shared" si="75"/>
        <v>0</v>
      </c>
      <c r="AA138" s="20">
        <f t="shared" si="75"/>
        <v>0</v>
      </c>
      <c r="AC138" s="3">
        <f t="shared" si="57"/>
        <v>91</v>
      </c>
      <c r="AD138" s="3">
        <f t="shared" si="58"/>
        <v>87</v>
      </c>
      <c r="AE138" s="3">
        <f t="shared" si="59"/>
        <v>82</v>
      </c>
      <c r="AF138" s="3">
        <f t="shared" si="60"/>
        <v>78</v>
      </c>
      <c r="AG138" s="3">
        <f t="shared" si="61"/>
        <v>74</v>
      </c>
      <c r="AH138" s="3">
        <f t="shared" si="62"/>
        <v>70</v>
      </c>
      <c r="AI138" s="3">
        <f t="shared" si="63"/>
        <v>66</v>
      </c>
      <c r="AJ138" s="3">
        <f t="shared" si="64"/>
        <v>56</v>
      </c>
      <c r="AK138" s="3">
        <f t="shared" si="65"/>
        <v>51</v>
      </c>
      <c r="AL138" s="3">
        <f t="shared" si="66"/>
        <v>46</v>
      </c>
      <c r="AM138" s="3">
        <f t="shared" si="67"/>
        <v>41</v>
      </c>
      <c r="AN138" s="3">
        <f t="shared" si="68"/>
        <v>34</v>
      </c>
      <c r="AO138" s="3">
        <f t="shared" si="69"/>
        <v>29</v>
      </c>
      <c r="AP138" s="3">
        <f t="shared" si="70"/>
        <v>24</v>
      </c>
      <c r="AQ138" s="3">
        <f t="shared" si="71"/>
        <v>19</v>
      </c>
      <c r="AR138" s="3">
        <f t="shared" si="72"/>
        <v>94</v>
      </c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 t="s">
        <v>5</v>
      </c>
      <c r="BM138" s="35" t="s">
        <v>12</v>
      </c>
      <c r="BO138" s="35"/>
      <c r="BR138" s="9" t="str">
        <f t="shared" si="77"/>
        <v/>
      </c>
      <c r="BS138" s="37" t="str">
        <f t="shared" si="78"/>
        <v/>
      </c>
      <c r="BT138" s="38" t="str">
        <f t="shared" si="74"/>
        <v/>
      </c>
      <c r="BU138" s="36" t="str">
        <f t="shared" si="79"/>
        <v/>
      </c>
    </row>
    <row r="139" spans="2:73" ht="15">
      <c r="B139" s="16">
        <f t="shared" si="80"/>
        <v>44046</v>
      </c>
      <c r="C139" s="15" t="s">
        <v>1</v>
      </c>
      <c r="D139" s="17">
        <f t="shared" si="81"/>
        <v>44052</v>
      </c>
      <c r="E139" s="18">
        <f t="shared" si="82"/>
        <v>8</v>
      </c>
      <c r="F139" s="19">
        <f t="shared" si="83"/>
        <v>2020</v>
      </c>
      <c r="G139" s="9">
        <f t="shared" si="84"/>
        <v>17</v>
      </c>
      <c r="H139" s="8">
        <f t="shared" si="84"/>
        <v>95</v>
      </c>
      <c r="I139" s="9"/>
      <c r="J139" s="9"/>
      <c r="K139" s="9"/>
      <c r="L139" s="9"/>
      <c r="M139" s="9"/>
      <c r="N139" s="9"/>
      <c r="O139" s="12"/>
      <c r="P139" s="12"/>
      <c r="Q139" s="12"/>
      <c r="R139" s="12"/>
      <c r="S139" s="12"/>
      <c r="T139" s="12"/>
      <c r="V139" s="20">
        <f t="shared" si="75"/>
        <v>0</v>
      </c>
      <c r="W139" s="20">
        <f t="shared" si="75"/>
        <v>4</v>
      </c>
      <c r="X139" s="20">
        <f t="shared" si="75"/>
        <v>9</v>
      </c>
      <c r="Y139" s="20">
        <f t="shared" si="75"/>
        <v>14</v>
      </c>
      <c r="Z139" s="20">
        <f t="shared" si="75"/>
        <v>0</v>
      </c>
      <c r="AA139" s="20">
        <f t="shared" si="75"/>
        <v>0</v>
      </c>
      <c r="AC139" s="3">
        <f t="shared" si="57"/>
        <v>92</v>
      </c>
      <c r="AD139" s="3">
        <f t="shared" si="58"/>
        <v>88</v>
      </c>
      <c r="AE139" s="3">
        <f t="shared" si="59"/>
        <v>83</v>
      </c>
      <c r="AF139" s="3">
        <f t="shared" si="60"/>
        <v>79</v>
      </c>
      <c r="AG139" s="3">
        <f t="shared" si="61"/>
        <v>75</v>
      </c>
      <c r="AH139" s="3">
        <f t="shared" si="62"/>
        <v>71</v>
      </c>
      <c r="AI139" s="3">
        <f t="shared" si="63"/>
        <v>67</v>
      </c>
      <c r="AJ139" s="3">
        <f t="shared" si="64"/>
        <v>57</v>
      </c>
      <c r="AK139" s="3">
        <f t="shared" si="65"/>
        <v>52</v>
      </c>
      <c r="AL139" s="3">
        <f t="shared" si="66"/>
        <v>47</v>
      </c>
      <c r="AM139" s="3">
        <f t="shared" si="67"/>
        <v>42</v>
      </c>
      <c r="AN139" s="3">
        <f t="shared" si="68"/>
        <v>35</v>
      </c>
      <c r="AO139" s="3">
        <f t="shared" si="69"/>
        <v>30</v>
      </c>
      <c r="AP139" s="3">
        <f t="shared" si="70"/>
        <v>25</v>
      </c>
      <c r="AQ139" s="3">
        <f t="shared" si="71"/>
        <v>20</v>
      </c>
      <c r="AR139" s="3">
        <f t="shared" si="72"/>
        <v>0</v>
      </c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L139">
        <v>10</v>
      </c>
      <c r="BM139" s="35">
        <v>44046</v>
      </c>
      <c r="BO139" s="35">
        <f>B154</f>
        <v>44151</v>
      </c>
      <c r="BP139">
        <v>95</v>
      </c>
      <c r="BR139" s="9" t="str">
        <f t="shared" si="77"/>
        <v/>
      </c>
      <c r="BS139" s="37" t="str">
        <f t="shared" si="78"/>
        <v/>
      </c>
      <c r="BT139" s="38" t="str">
        <f t="shared" si="74"/>
        <v/>
      </c>
      <c r="BU139" s="36" t="str">
        <f t="shared" si="79"/>
        <v/>
      </c>
    </row>
    <row r="140" spans="2:73" ht="15">
      <c r="B140" s="16">
        <f t="shared" si="80"/>
        <v>44053</v>
      </c>
      <c r="C140" s="15" t="s">
        <v>1</v>
      </c>
      <c r="D140" s="17">
        <f t="shared" si="81"/>
        <v>44059</v>
      </c>
      <c r="E140" s="18">
        <f t="shared" si="82"/>
        <v>8</v>
      </c>
      <c r="F140" s="19">
        <f t="shared" si="83"/>
        <v>2020</v>
      </c>
      <c r="G140" s="9">
        <f t="shared" si="84"/>
        <v>17</v>
      </c>
      <c r="H140" s="8">
        <f t="shared" si="84"/>
        <v>95</v>
      </c>
      <c r="I140" s="9"/>
      <c r="J140" s="9"/>
      <c r="K140" s="9"/>
      <c r="L140" s="9"/>
      <c r="M140" s="9"/>
      <c r="N140" s="9"/>
      <c r="O140" s="12">
        <v>1</v>
      </c>
      <c r="P140" s="12"/>
      <c r="Q140" s="12"/>
      <c r="R140" s="12"/>
      <c r="S140" s="12"/>
      <c r="T140" s="12"/>
      <c r="V140" s="20">
        <f t="shared" si="75"/>
        <v>44055</v>
      </c>
      <c r="W140" s="20">
        <f t="shared" si="75"/>
        <v>5</v>
      </c>
      <c r="X140" s="20">
        <f t="shared" si="75"/>
        <v>10</v>
      </c>
      <c r="Y140" s="20">
        <f t="shared" si="75"/>
        <v>15</v>
      </c>
      <c r="Z140" s="20">
        <f t="shared" si="75"/>
        <v>0</v>
      </c>
      <c r="AA140" s="20">
        <f t="shared" si="75"/>
        <v>0</v>
      </c>
      <c r="AC140" s="3">
        <f t="shared" si="57"/>
        <v>93</v>
      </c>
      <c r="AD140" s="3">
        <f t="shared" si="58"/>
        <v>89</v>
      </c>
      <c r="AE140" s="3">
        <f t="shared" si="59"/>
        <v>84</v>
      </c>
      <c r="AF140" s="3">
        <f t="shared" si="60"/>
        <v>80</v>
      </c>
      <c r="AG140" s="3">
        <f t="shared" si="61"/>
        <v>76</v>
      </c>
      <c r="AH140" s="3">
        <f t="shared" si="62"/>
        <v>72</v>
      </c>
      <c r="AI140" s="3">
        <f t="shared" si="63"/>
        <v>68</v>
      </c>
      <c r="AJ140" s="3">
        <f t="shared" si="64"/>
        <v>58</v>
      </c>
      <c r="AK140" s="3">
        <f t="shared" si="65"/>
        <v>53</v>
      </c>
      <c r="AL140" s="3">
        <f t="shared" si="66"/>
        <v>48</v>
      </c>
      <c r="AM140" s="3">
        <f t="shared" si="67"/>
        <v>43</v>
      </c>
      <c r="AN140" s="3">
        <f t="shared" si="68"/>
        <v>36</v>
      </c>
      <c r="AO140" s="3">
        <f t="shared" si="69"/>
        <v>31</v>
      </c>
      <c r="AP140" s="3">
        <f t="shared" si="70"/>
        <v>26</v>
      </c>
      <c r="AQ140" s="3">
        <f t="shared" si="71"/>
        <v>21</v>
      </c>
      <c r="AR140" s="3">
        <f t="shared" si="72"/>
        <v>0</v>
      </c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M140" s="35" t="s">
        <v>12</v>
      </c>
      <c r="BO140" s="35"/>
      <c r="BR140" s="9">
        <f t="shared" si="77"/>
        <v>1</v>
      </c>
      <c r="BS140" s="37">
        <f t="shared" si="78"/>
        <v>44055</v>
      </c>
      <c r="BT140" s="38">
        <f t="shared" si="74"/>
        <v>44174</v>
      </c>
      <c r="BU140" s="36">
        <f t="shared" si="79"/>
        <v>10</v>
      </c>
    </row>
    <row r="141" spans="2:73" ht="15">
      <c r="B141" s="16">
        <f t="shared" si="80"/>
        <v>44060</v>
      </c>
      <c r="C141" s="15" t="s">
        <v>1</v>
      </c>
      <c r="D141" s="17">
        <f t="shared" si="81"/>
        <v>44066</v>
      </c>
      <c r="E141" s="18">
        <f t="shared" si="82"/>
        <v>8</v>
      </c>
      <c r="F141" s="19">
        <f t="shared" si="83"/>
        <v>2020</v>
      </c>
      <c r="G141" s="9">
        <f t="shared" si="84"/>
        <v>17</v>
      </c>
      <c r="H141" s="8">
        <f t="shared" si="84"/>
        <v>95</v>
      </c>
      <c r="I141" s="9"/>
      <c r="J141" s="9"/>
      <c r="K141" s="9"/>
      <c r="L141" s="9"/>
      <c r="M141" s="9"/>
      <c r="N141" s="9"/>
      <c r="O141" s="12"/>
      <c r="P141" s="12"/>
      <c r="Q141" s="12"/>
      <c r="R141" s="12"/>
      <c r="S141" s="12"/>
      <c r="T141" s="12"/>
      <c r="V141" s="20">
        <f t="shared" si="75"/>
        <v>1</v>
      </c>
      <c r="W141" s="20">
        <f t="shared" si="75"/>
        <v>6</v>
      </c>
      <c r="X141" s="20">
        <f t="shared" si="75"/>
        <v>11</v>
      </c>
      <c r="Y141" s="20">
        <f t="shared" si="75"/>
        <v>16</v>
      </c>
      <c r="Z141" s="20">
        <f t="shared" si="75"/>
        <v>0</v>
      </c>
      <c r="AA141" s="20">
        <f t="shared" si="75"/>
        <v>0</v>
      </c>
      <c r="AC141" s="3">
        <f t="shared" si="57"/>
        <v>94</v>
      </c>
      <c r="AD141" s="3">
        <f t="shared" si="58"/>
        <v>90</v>
      </c>
      <c r="AE141" s="3">
        <f t="shared" si="59"/>
        <v>85</v>
      </c>
      <c r="AF141" s="3">
        <f t="shared" si="60"/>
        <v>81</v>
      </c>
      <c r="AG141" s="3">
        <f t="shared" si="61"/>
        <v>77</v>
      </c>
      <c r="AH141" s="3">
        <f t="shared" si="62"/>
        <v>73</v>
      </c>
      <c r="AI141" s="3">
        <f t="shared" si="63"/>
        <v>69</v>
      </c>
      <c r="AJ141" s="3">
        <f t="shared" si="64"/>
        <v>59</v>
      </c>
      <c r="AK141" s="3">
        <f t="shared" si="65"/>
        <v>54</v>
      </c>
      <c r="AL141" s="3">
        <f t="shared" si="66"/>
        <v>49</v>
      </c>
      <c r="AM141" s="3">
        <f t="shared" si="67"/>
        <v>44</v>
      </c>
      <c r="AN141" s="3">
        <f t="shared" si="68"/>
        <v>37</v>
      </c>
      <c r="AO141" s="3">
        <f t="shared" si="69"/>
        <v>32</v>
      </c>
      <c r="AP141" s="3">
        <f t="shared" si="70"/>
        <v>27</v>
      </c>
      <c r="AQ141" s="3">
        <f t="shared" si="71"/>
        <v>22</v>
      </c>
      <c r="AR141" s="3">
        <f t="shared" si="72"/>
        <v>0</v>
      </c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M141" s="35" t="s">
        <v>12</v>
      </c>
      <c r="BO141" s="35"/>
      <c r="BR141" s="9" t="str">
        <f t="shared" si="77"/>
        <v/>
      </c>
      <c r="BS141" s="37" t="str">
        <f t="shared" si="78"/>
        <v/>
      </c>
      <c r="BT141" s="38" t="str">
        <f t="shared" si="74"/>
        <v/>
      </c>
      <c r="BU141" s="36" t="str">
        <f t="shared" si="79"/>
        <v/>
      </c>
    </row>
    <row r="142" spans="2:73" ht="15">
      <c r="B142" s="16">
        <f t="shared" si="80"/>
        <v>44067</v>
      </c>
      <c r="C142" s="15" t="s">
        <v>1</v>
      </c>
      <c r="D142" s="17">
        <f t="shared" si="81"/>
        <v>44073</v>
      </c>
      <c r="E142" s="18">
        <f t="shared" si="82"/>
        <v>8</v>
      </c>
      <c r="F142" s="19">
        <f t="shared" si="83"/>
        <v>2020</v>
      </c>
      <c r="G142" s="9">
        <f t="shared" si="84"/>
        <v>17</v>
      </c>
      <c r="H142" s="8">
        <f t="shared" si="84"/>
        <v>95</v>
      </c>
      <c r="I142" s="9"/>
      <c r="J142" s="9"/>
      <c r="K142" s="9"/>
      <c r="L142" s="9"/>
      <c r="M142" s="9"/>
      <c r="N142" s="9"/>
      <c r="O142" s="12"/>
      <c r="P142" s="12"/>
      <c r="Q142" s="12"/>
      <c r="R142" s="12"/>
      <c r="S142" s="12"/>
      <c r="T142" s="12"/>
      <c r="V142" s="20">
        <f t="shared" si="75"/>
        <v>2</v>
      </c>
      <c r="W142" s="20">
        <f t="shared" si="75"/>
        <v>7</v>
      </c>
      <c r="X142" s="20">
        <f t="shared" si="75"/>
        <v>12</v>
      </c>
      <c r="Y142" s="20">
        <f t="shared" si="75"/>
        <v>17</v>
      </c>
      <c r="Z142" s="20">
        <f t="shared" si="75"/>
        <v>0</v>
      </c>
      <c r="AA142" s="20">
        <f t="shared" si="75"/>
        <v>0</v>
      </c>
      <c r="AC142" s="3">
        <f t="shared" si="57"/>
        <v>95</v>
      </c>
      <c r="AD142" s="3">
        <f t="shared" si="58"/>
        <v>91</v>
      </c>
      <c r="AE142" s="3">
        <f t="shared" si="59"/>
        <v>86</v>
      </c>
      <c r="AF142" s="3">
        <f t="shared" si="60"/>
        <v>82</v>
      </c>
      <c r="AG142" s="3">
        <f t="shared" si="61"/>
        <v>78</v>
      </c>
      <c r="AH142" s="3">
        <f t="shared" si="62"/>
        <v>74</v>
      </c>
      <c r="AI142" s="3">
        <f t="shared" si="63"/>
        <v>70</v>
      </c>
      <c r="AJ142" s="3">
        <f t="shared" si="64"/>
        <v>60</v>
      </c>
      <c r="AK142" s="3">
        <f t="shared" si="65"/>
        <v>55</v>
      </c>
      <c r="AL142" s="3">
        <f t="shared" si="66"/>
        <v>50</v>
      </c>
      <c r="AM142" s="3">
        <f t="shared" si="67"/>
        <v>45</v>
      </c>
      <c r="AN142" s="3">
        <f t="shared" si="68"/>
        <v>38</v>
      </c>
      <c r="AO142" s="3">
        <f t="shared" si="69"/>
        <v>33</v>
      </c>
      <c r="AP142" s="3">
        <f t="shared" si="70"/>
        <v>28</v>
      </c>
      <c r="AQ142" s="3">
        <f t="shared" si="71"/>
        <v>23</v>
      </c>
      <c r="AR142" s="3">
        <f t="shared" si="72"/>
        <v>17</v>
      </c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>
        <v>4</v>
      </c>
      <c r="BM142" s="35" t="s">
        <v>12</v>
      </c>
      <c r="BO142" s="35"/>
      <c r="BR142" s="9" t="str">
        <f t="shared" si="77"/>
        <v/>
      </c>
      <c r="BS142" s="37" t="str">
        <f t="shared" si="78"/>
        <v/>
      </c>
      <c r="BT142" s="38" t="str">
        <f t="shared" si="74"/>
        <v/>
      </c>
      <c r="BU142" s="36" t="str">
        <f t="shared" si="79"/>
        <v/>
      </c>
    </row>
    <row r="143" spans="2:73" ht="15">
      <c r="B143" s="16">
        <f t="shared" si="80"/>
        <v>44074</v>
      </c>
      <c r="C143" s="15" t="s">
        <v>1</v>
      </c>
      <c r="D143" s="17">
        <f t="shared" si="81"/>
        <v>44080</v>
      </c>
      <c r="E143" s="18">
        <f t="shared" si="82"/>
        <v>8</v>
      </c>
      <c r="F143" s="19">
        <f t="shared" si="83"/>
        <v>2020</v>
      </c>
      <c r="G143" s="9">
        <f t="shared" si="84"/>
        <v>17</v>
      </c>
      <c r="H143" s="8">
        <f t="shared" si="84"/>
        <v>95</v>
      </c>
      <c r="I143" s="9"/>
      <c r="J143" s="9"/>
      <c r="K143" s="9"/>
      <c r="L143" s="9"/>
      <c r="M143" s="9"/>
      <c r="N143" s="9"/>
      <c r="O143" s="12"/>
      <c r="P143" s="12"/>
      <c r="Q143" s="12"/>
      <c r="R143" s="12"/>
      <c r="S143" s="12"/>
      <c r="T143" s="12"/>
      <c r="V143" s="20">
        <f t="shared" si="75"/>
        <v>3</v>
      </c>
      <c r="W143" s="20">
        <f t="shared" si="75"/>
        <v>8</v>
      </c>
      <c r="X143" s="20">
        <f t="shared" si="75"/>
        <v>13</v>
      </c>
      <c r="Y143" s="20">
        <f t="shared" si="75"/>
        <v>0</v>
      </c>
      <c r="Z143" s="20">
        <f t="shared" si="75"/>
        <v>0</v>
      </c>
      <c r="AA143" s="20">
        <f t="shared" si="75"/>
        <v>0</v>
      </c>
      <c r="AC143" s="3">
        <f t="shared" si="57"/>
        <v>0</v>
      </c>
      <c r="AD143" s="3">
        <f t="shared" si="58"/>
        <v>92</v>
      </c>
      <c r="AE143" s="3">
        <f t="shared" si="59"/>
        <v>87</v>
      </c>
      <c r="AF143" s="3">
        <f t="shared" si="60"/>
        <v>83</v>
      </c>
      <c r="AG143" s="3">
        <f t="shared" si="61"/>
        <v>79</v>
      </c>
      <c r="AH143" s="3">
        <f t="shared" si="62"/>
        <v>75</v>
      </c>
      <c r="AI143" s="3">
        <f t="shared" si="63"/>
        <v>71</v>
      </c>
      <c r="AJ143" s="3">
        <f t="shared" si="64"/>
        <v>61</v>
      </c>
      <c r="AK143" s="3">
        <f t="shared" si="65"/>
        <v>56</v>
      </c>
      <c r="AL143" s="3">
        <f t="shared" si="66"/>
        <v>51</v>
      </c>
      <c r="AM143" s="3">
        <f t="shared" si="67"/>
        <v>46</v>
      </c>
      <c r="AN143" s="3">
        <f t="shared" si="68"/>
        <v>39</v>
      </c>
      <c r="AO143" s="3">
        <f t="shared" si="69"/>
        <v>34</v>
      </c>
      <c r="AP143" s="3">
        <f t="shared" si="70"/>
        <v>29</v>
      </c>
      <c r="AQ143" s="3">
        <f t="shared" si="71"/>
        <v>24</v>
      </c>
      <c r="AR143" s="3">
        <f t="shared" si="72"/>
        <v>18</v>
      </c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M143" s="35" t="s">
        <v>12</v>
      </c>
      <c r="BO143" s="35"/>
      <c r="BR143" s="9" t="str">
        <f t="shared" si="77"/>
        <v/>
      </c>
      <c r="BS143" s="37" t="str">
        <f t="shared" si="78"/>
        <v/>
      </c>
      <c r="BT143" s="38" t="str">
        <f t="shared" si="74"/>
        <v/>
      </c>
      <c r="BU143" s="36" t="str">
        <f t="shared" si="79"/>
        <v/>
      </c>
    </row>
    <row r="144" spans="2:73" ht="15">
      <c r="B144" s="16">
        <f t="shared" si="80"/>
        <v>44081</v>
      </c>
      <c r="C144" s="15" t="s">
        <v>1</v>
      </c>
      <c r="D144" s="17">
        <f t="shared" si="81"/>
        <v>44087</v>
      </c>
      <c r="E144" s="18">
        <f t="shared" si="82"/>
        <v>9</v>
      </c>
      <c r="F144" s="19">
        <f t="shared" si="83"/>
        <v>2020</v>
      </c>
      <c r="G144" s="9">
        <f t="shared" si="84"/>
        <v>17</v>
      </c>
      <c r="H144" s="8">
        <f t="shared" si="84"/>
        <v>95</v>
      </c>
      <c r="I144" s="9"/>
      <c r="J144" s="9"/>
      <c r="K144" s="9"/>
      <c r="L144" s="9"/>
      <c r="M144" s="9"/>
      <c r="N144" s="9"/>
      <c r="O144" s="12"/>
      <c r="P144" s="12"/>
      <c r="Q144" s="12"/>
      <c r="R144" s="12"/>
      <c r="S144" s="12"/>
      <c r="T144" s="12"/>
      <c r="V144" s="20">
        <f t="shared" si="75"/>
        <v>4</v>
      </c>
      <c r="W144" s="20">
        <f t="shared" si="75"/>
        <v>9</v>
      </c>
      <c r="X144" s="20">
        <f t="shared" si="75"/>
        <v>14</v>
      </c>
      <c r="Y144" s="20">
        <f t="shared" si="75"/>
        <v>0</v>
      </c>
      <c r="Z144" s="20">
        <f t="shared" si="75"/>
        <v>0</v>
      </c>
      <c r="AA144" s="20">
        <f t="shared" si="75"/>
        <v>0</v>
      </c>
      <c r="AC144" s="3">
        <f t="shared" si="57"/>
        <v>0</v>
      </c>
      <c r="AD144" s="3">
        <f t="shared" si="58"/>
        <v>93</v>
      </c>
      <c r="AE144" s="3">
        <f t="shared" si="59"/>
        <v>88</v>
      </c>
      <c r="AF144" s="3">
        <f t="shared" si="60"/>
        <v>84</v>
      </c>
      <c r="AG144" s="3">
        <f t="shared" si="61"/>
        <v>80</v>
      </c>
      <c r="AH144" s="3">
        <f t="shared" si="62"/>
        <v>76</v>
      </c>
      <c r="AI144" s="3">
        <f t="shared" si="63"/>
        <v>72</v>
      </c>
      <c r="AJ144" s="3">
        <f t="shared" si="64"/>
        <v>62</v>
      </c>
      <c r="AK144" s="3">
        <f t="shared" si="65"/>
        <v>57</v>
      </c>
      <c r="AL144" s="3">
        <f t="shared" si="66"/>
        <v>52</v>
      </c>
      <c r="AM144" s="3">
        <f t="shared" si="67"/>
        <v>47</v>
      </c>
      <c r="AN144" s="3">
        <f t="shared" si="68"/>
        <v>40</v>
      </c>
      <c r="AO144" s="3">
        <f t="shared" si="69"/>
        <v>35</v>
      </c>
      <c r="AP144" s="3">
        <f t="shared" si="70"/>
        <v>30</v>
      </c>
      <c r="AQ144" s="3">
        <f t="shared" si="71"/>
        <v>25</v>
      </c>
      <c r="AR144" s="3">
        <f t="shared" si="72"/>
        <v>19</v>
      </c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L144">
        <v>11</v>
      </c>
      <c r="BM144" s="35">
        <v>44081</v>
      </c>
      <c r="BO144" s="35">
        <f>B161</f>
        <v>44200</v>
      </c>
      <c r="BP144">
        <v>95</v>
      </c>
      <c r="BR144" s="9" t="str">
        <f t="shared" si="77"/>
        <v/>
      </c>
      <c r="BS144" s="37" t="str">
        <f t="shared" si="78"/>
        <v/>
      </c>
      <c r="BT144" s="38" t="str">
        <f t="shared" si="74"/>
        <v/>
      </c>
      <c r="BU144" s="36" t="str">
        <f t="shared" si="79"/>
        <v/>
      </c>
    </row>
    <row r="145" spans="2:73" ht="15">
      <c r="B145" s="16">
        <f t="shared" si="80"/>
        <v>44088</v>
      </c>
      <c r="C145" s="15" t="s">
        <v>1</v>
      </c>
      <c r="D145" s="17">
        <f t="shared" si="81"/>
        <v>44094</v>
      </c>
      <c r="E145" s="18">
        <f t="shared" si="82"/>
        <v>9</v>
      </c>
      <c r="F145" s="19">
        <f t="shared" si="83"/>
        <v>2020</v>
      </c>
      <c r="G145" s="9">
        <f t="shared" si="84"/>
        <v>17</v>
      </c>
      <c r="H145" s="8">
        <f t="shared" si="84"/>
        <v>95</v>
      </c>
      <c r="I145" s="9"/>
      <c r="J145" s="9"/>
      <c r="K145" s="9"/>
      <c r="L145" s="9"/>
      <c r="M145" s="9"/>
      <c r="N145" s="9"/>
      <c r="O145" s="12"/>
      <c r="P145" s="12"/>
      <c r="Q145" s="12"/>
      <c r="R145" s="12"/>
      <c r="S145" s="12"/>
      <c r="T145" s="12"/>
      <c r="V145" s="20">
        <f t="shared" si="75"/>
        <v>5</v>
      </c>
      <c r="W145" s="20">
        <f t="shared" si="75"/>
        <v>10</v>
      </c>
      <c r="X145" s="20">
        <f t="shared" si="75"/>
        <v>15</v>
      </c>
      <c r="Y145" s="20">
        <f t="shared" si="75"/>
        <v>0</v>
      </c>
      <c r="Z145" s="20">
        <f t="shared" si="75"/>
        <v>0</v>
      </c>
      <c r="AA145" s="20">
        <f t="shared" si="75"/>
        <v>0</v>
      </c>
      <c r="AC145" s="3">
        <f t="shared" si="57"/>
        <v>0</v>
      </c>
      <c r="AD145" s="3">
        <f t="shared" si="58"/>
        <v>94</v>
      </c>
      <c r="AE145" s="3">
        <f t="shared" si="59"/>
        <v>89</v>
      </c>
      <c r="AF145" s="3">
        <f t="shared" si="60"/>
        <v>85</v>
      </c>
      <c r="AG145" s="3">
        <f t="shared" si="61"/>
        <v>81</v>
      </c>
      <c r="AH145" s="3">
        <f t="shared" si="62"/>
        <v>77</v>
      </c>
      <c r="AI145" s="3">
        <f t="shared" si="63"/>
        <v>73</v>
      </c>
      <c r="AJ145" s="3">
        <f t="shared" si="64"/>
        <v>63</v>
      </c>
      <c r="AK145" s="3">
        <f t="shared" si="65"/>
        <v>58</v>
      </c>
      <c r="AL145" s="3">
        <f t="shared" si="66"/>
        <v>53</v>
      </c>
      <c r="AM145" s="3">
        <f t="shared" si="67"/>
        <v>48</v>
      </c>
      <c r="AN145" s="3">
        <f t="shared" si="68"/>
        <v>41</v>
      </c>
      <c r="AO145" s="3">
        <f t="shared" si="69"/>
        <v>36</v>
      </c>
      <c r="AP145" s="3">
        <f t="shared" si="70"/>
        <v>31</v>
      </c>
      <c r="AQ145" s="3">
        <f t="shared" si="71"/>
        <v>26</v>
      </c>
      <c r="AR145" s="3">
        <f t="shared" si="72"/>
        <v>20</v>
      </c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M145" s="35" t="s">
        <v>12</v>
      </c>
      <c r="BO145" s="35"/>
      <c r="BR145" s="9" t="str">
        <f t="shared" si="77"/>
        <v/>
      </c>
      <c r="BS145" s="37" t="str">
        <f t="shared" si="78"/>
        <v/>
      </c>
      <c r="BT145" s="38" t="str">
        <f t="shared" si="74"/>
        <v/>
      </c>
      <c r="BU145" s="36" t="str">
        <f t="shared" si="79"/>
        <v/>
      </c>
    </row>
    <row r="146" spans="2:73" ht="15">
      <c r="B146" s="16">
        <f t="shared" si="80"/>
        <v>44095</v>
      </c>
      <c r="C146" s="15" t="s">
        <v>1</v>
      </c>
      <c r="D146" s="17">
        <f t="shared" si="81"/>
        <v>44101</v>
      </c>
      <c r="E146" s="18">
        <f t="shared" si="82"/>
        <v>9</v>
      </c>
      <c r="F146" s="19">
        <f t="shared" si="83"/>
        <v>2020</v>
      </c>
      <c r="G146" s="9">
        <f t="shared" si="84"/>
        <v>17</v>
      </c>
      <c r="H146" s="8">
        <f t="shared" si="84"/>
        <v>95</v>
      </c>
      <c r="I146" s="9"/>
      <c r="J146" s="9"/>
      <c r="K146" s="9"/>
      <c r="L146" s="9"/>
      <c r="M146" s="9"/>
      <c r="N146" s="9"/>
      <c r="O146" s="12"/>
      <c r="P146" s="12"/>
      <c r="Q146" s="12"/>
      <c r="R146" s="12">
        <v>1</v>
      </c>
      <c r="S146" s="12"/>
      <c r="T146" s="12"/>
      <c r="V146" s="20">
        <f t="shared" si="75"/>
        <v>6</v>
      </c>
      <c r="W146" s="20">
        <f t="shared" si="75"/>
        <v>11</v>
      </c>
      <c r="X146" s="20">
        <f t="shared" si="75"/>
        <v>16</v>
      </c>
      <c r="Y146" s="20">
        <f t="shared" si="75"/>
        <v>44097</v>
      </c>
      <c r="Z146" s="20">
        <f t="shared" si="75"/>
        <v>0</v>
      </c>
      <c r="AA146" s="20">
        <f t="shared" si="75"/>
        <v>0</v>
      </c>
      <c r="AC146" s="3">
        <f t="shared" si="57"/>
        <v>0</v>
      </c>
      <c r="AD146" s="3">
        <f t="shared" si="58"/>
        <v>95</v>
      </c>
      <c r="AE146" s="3">
        <f t="shared" si="59"/>
        <v>90</v>
      </c>
      <c r="AF146" s="3">
        <f t="shared" si="60"/>
        <v>86</v>
      </c>
      <c r="AG146" s="3">
        <f t="shared" si="61"/>
        <v>82</v>
      </c>
      <c r="AH146" s="3">
        <f t="shared" si="62"/>
        <v>78</v>
      </c>
      <c r="AI146" s="3">
        <f t="shared" si="63"/>
        <v>74</v>
      </c>
      <c r="AJ146" s="3">
        <f t="shared" si="64"/>
        <v>64</v>
      </c>
      <c r="AK146" s="3">
        <f t="shared" si="65"/>
        <v>59</v>
      </c>
      <c r="AL146" s="3">
        <f t="shared" si="66"/>
        <v>54</v>
      </c>
      <c r="AM146" s="3">
        <f t="shared" si="67"/>
        <v>49</v>
      </c>
      <c r="AN146" s="3">
        <f t="shared" si="68"/>
        <v>42</v>
      </c>
      <c r="AO146" s="3">
        <f t="shared" si="69"/>
        <v>37</v>
      </c>
      <c r="AP146" s="3">
        <f t="shared" si="70"/>
        <v>32</v>
      </c>
      <c r="AQ146" s="3">
        <f t="shared" si="71"/>
        <v>27</v>
      </c>
      <c r="AR146" s="3">
        <f t="shared" si="72"/>
        <v>21</v>
      </c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M146" s="35" t="s">
        <v>12</v>
      </c>
      <c r="BO146" s="35"/>
      <c r="BR146" s="9">
        <f t="shared" si="77"/>
        <v>4</v>
      </c>
      <c r="BS146" s="37">
        <f t="shared" si="78"/>
        <v>44097</v>
      </c>
      <c r="BT146" s="38">
        <f t="shared" si="74"/>
        <v>44216</v>
      </c>
      <c r="BU146" s="36">
        <f t="shared" si="79"/>
        <v>12</v>
      </c>
    </row>
    <row r="147" spans="2:73" ht="15">
      <c r="B147" s="16">
        <f t="shared" si="80"/>
        <v>44102</v>
      </c>
      <c r="C147" s="15" t="s">
        <v>1</v>
      </c>
      <c r="D147" s="17">
        <f t="shared" si="81"/>
        <v>44108</v>
      </c>
      <c r="E147" s="18">
        <f t="shared" si="82"/>
        <v>9</v>
      </c>
      <c r="F147" s="19">
        <f t="shared" si="83"/>
        <v>2020</v>
      </c>
      <c r="G147" s="9">
        <f t="shared" si="84"/>
        <v>17</v>
      </c>
      <c r="H147" s="8">
        <f t="shared" si="84"/>
        <v>95</v>
      </c>
      <c r="I147" s="9"/>
      <c r="J147" s="9"/>
      <c r="K147" s="9"/>
      <c r="L147" s="9"/>
      <c r="M147" s="9"/>
      <c r="N147" s="9"/>
      <c r="O147" s="12"/>
      <c r="P147" s="12"/>
      <c r="Q147" s="12"/>
      <c r="R147" s="12"/>
      <c r="S147" s="12"/>
      <c r="T147" s="12"/>
      <c r="V147" s="20">
        <f t="shared" si="75"/>
        <v>7</v>
      </c>
      <c r="W147" s="20">
        <f t="shared" si="75"/>
        <v>12</v>
      </c>
      <c r="X147" s="20">
        <f t="shared" si="75"/>
        <v>17</v>
      </c>
      <c r="Y147" s="20">
        <f t="shared" si="75"/>
        <v>1</v>
      </c>
      <c r="Z147" s="20">
        <f t="shared" si="75"/>
        <v>0</v>
      </c>
      <c r="AA147" s="20">
        <f t="shared" si="75"/>
        <v>0</v>
      </c>
      <c r="AC147" s="3">
        <f t="shared" si="57"/>
        <v>17</v>
      </c>
      <c r="AD147" s="3">
        <f t="shared" si="58"/>
        <v>0</v>
      </c>
      <c r="AE147" s="3">
        <f t="shared" si="59"/>
        <v>91</v>
      </c>
      <c r="AF147" s="3">
        <f t="shared" si="60"/>
        <v>87</v>
      </c>
      <c r="AG147" s="3">
        <f t="shared" si="61"/>
        <v>83</v>
      </c>
      <c r="AH147" s="3">
        <f t="shared" si="62"/>
        <v>79</v>
      </c>
      <c r="AI147" s="3">
        <f t="shared" si="63"/>
        <v>75</v>
      </c>
      <c r="AJ147" s="3">
        <f t="shared" si="64"/>
        <v>65</v>
      </c>
      <c r="AK147" s="3">
        <f t="shared" si="65"/>
        <v>60</v>
      </c>
      <c r="AL147" s="3">
        <f t="shared" si="66"/>
        <v>55</v>
      </c>
      <c r="AM147" s="3">
        <f t="shared" si="67"/>
        <v>50</v>
      </c>
      <c r="AN147" s="3">
        <f t="shared" si="68"/>
        <v>43</v>
      </c>
      <c r="AO147" s="3">
        <f t="shared" si="69"/>
        <v>38</v>
      </c>
      <c r="AP147" s="3">
        <f t="shared" si="70"/>
        <v>33</v>
      </c>
      <c r="AQ147" s="3">
        <f t="shared" si="71"/>
        <v>28</v>
      </c>
      <c r="AR147" s="3">
        <f t="shared" si="72"/>
        <v>22</v>
      </c>
      <c r="AS147" s="8">
        <v>3</v>
      </c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M147" s="35" t="s">
        <v>12</v>
      </c>
      <c r="BO147" s="35"/>
      <c r="BR147" s="9" t="str">
        <f t="shared" si="77"/>
        <v/>
      </c>
      <c r="BS147" s="37" t="str">
        <f t="shared" si="78"/>
        <v/>
      </c>
      <c r="BT147" s="38" t="str">
        <f t="shared" si="74"/>
        <v/>
      </c>
      <c r="BU147" s="36" t="str">
        <f t="shared" si="79"/>
        <v/>
      </c>
    </row>
    <row r="148" spans="2:73" ht="15">
      <c r="B148" s="16">
        <f t="shared" si="80"/>
        <v>44109</v>
      </c>
      <c r="C148" s="15" t="s">
        <v>1</v>
      </c>
      <c r="D148" s="17">
        <f t="shared" si="81"/>
        <v>44115</v>
      </c>
      <c r="E148" s="18">
        <f t="shared" si="82"/>
        <v>10</v>
      </c>
      <c r="F148" s="19">
        <f t="shared" si="83"/>
        <v>2020</v>
      </c>
      <c r="G148" s="9">
        <f t="shared" si="84"/>
        <v>17</v>
      </c>
      <c r="H148" s="8">
        <f t="shared" si="84"/>
        <v>95</v>
      </c>
      <c r="I148" s="9"/>
      <c r="J148" s="9"/>
      <c r="K148" s="9"/>
      <c r="L148" s="9"/>
      <c r="M148" s="9"/>
      <c r="N148" s="9"/>
      <c r="O148" s="12"/>
      <c r="P148" s="12"/>
      <c r="Q148" s="12"/>
      <c r="R148" s="12"/>
      <c r="S148" s="12"/>
      <c r="T148" s="12"/>
      <c r="V148" s="20">
        <f t="shared" si="75"/>
        <v>8</v>
      </c>
      <c r="W148" s="20">
        <f t="shared" si="75"/>
        <v>13</v>
      </c>
      <c r="X148" s="20">
        <f t="shared" si="75"/>
        <v>0</v>
      </c>
      <c r="Y148" s="20">
        <f t="shared" si="75"/>
        <v>2</v>
      </c>
      <c r="Z148" s="20">
        <f t="shared" si="75"/>
        <v>0</v>
      </c>
      <c r="AA148" s="20">
        <f t="shared" si="75"/>
        <v>0</v>
      </c>
      <c r="AC148" s="3">
        <f t="shared" si="57"/>
        <v>18</v>
      </c>
      <c r="AD148" s="3">
        <f t="shared" si="58"/>
        <v>0</v>
      </c>
      <c r="AE148" s="3">
        <f t="shared" si="59"/>
        <v>92</v>
      </c>
      <c r="AF148" s="3">
        <f t="shared" si="60"/>
        <v>88</v>
      </c>
      <c r="AG148" s="3">
        <f t="shared" si="61"/>
        <v>84</v>
      </c>
      <c r="AH148" s="3">
        <f t="shared" si="62"/>
        <v>80</v>
      </c>
      <c r="AI148" s="3">
        <f t="shared" si="63"/>
        <v>76</v>
      </c>
      <c r="AJ148" s="3">
        <f t="shared" si="64"/>
        <v>66</v>
      </c>
      <c r="AK148" s="3">
        <f t="shared" si="65"/>
        <v>61</v>
      </c>
      <c r="AL148" s="3">
        <f t="shared" si="66"/>
        <v>56</v>
      </c>
      <c r="AM148" s="3">
        <f t="shared" si="67"/>
        <v>51</v>
      </c>
      <c r="AN148" s="3">
        <f t="shared" si="68"/>
        <v>44</v>
      </c>
      <c r="AO148" s="3">
        <f t="shared" si="69"/>
        <v>39</v>
      </c>
      <c r="AP148" s="3">
        <f t="shared" si="70"/>
        <v>34</v>
      </c>
      <c r="AQ148" s="3">
        <f t="shared" si="71"/>
        <v>29</v>
      </c>
      <c r="AR148" s="3">
        <f t="shared" si="72"/>
        <v>23</v>
      </c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L148">
        <v>12</v>
      </c>
      <c r="BM148" s="35">
        <v>44109</v>
      </c>
      <c r="BO148" s="35">
        <f>B165</f>
        <v>44228</v>
      </c>
      <c r="BP148">
        <v>98</v>
      </c>
      <c r="BR148" s="9" t="str">
        <f t="shared" si="77"/>
        <v/>
      </c>
      <c r="BS148" s="37" t="str">
        <f t="shared" si="78"/>
        <v/>
      </c>
      <c r="BT148" s="38" t="str">
        <f t="shared" si="74"/>
        <v/>
      </c>
      <c r="BU148" s="36" t="str">
        <f t="shared" si="79"/>
        <v/>
      </c>
    </row>
    <row r="149" spans="2:73" ht="15">
      <c r="B149" s="16">
        <f t="shared" si="80"/>
        <v>44116</v>
      </c>
      <c r="C149" s="15" t="s">
        <v>1</v>
      </c>
      <c r="D149" s="17">
        <f t="shared" si="81"/>
        <v>44122</v>
      </c>
      <c r="E149" s="18">
        <f t="shared" si="82"/>
        <v>10</v>
      </c>
      <c r="F149" s="19">
        <f t="shared" si="83"/>
        <v>2020</v>
      </c>
      <c r="G149" s="9">
        <f t="shared" si="84"/>
        <v>17</v>
      </c>
      <c r="H149" s="8">
        <f t="shared" si="84"/>
        <v>95</v>
      </c>
      <c r="I149" s="9"/>
      <c r="J149" s="9"/>
      <c r="K149" s="9"/>
      <c r="L149" s="9"/>
      <c r="M149" s="9"/>
      <c r="N149" s="9"/>
      <c r="O149" s="12"/>
      <c r="P149" s="12"/>
      <c r="Q149" s="12"/>
      <c r="R149" s="12"/>
      <c r="S149" s="12"/>
      <c r="T149" s="12"/>
      <c r="V149" s="20">
        <f t="shared" si="75"/>
        <v>9</v>
      </c>
      <c r="W149" s="20">
        <f t="shared" si="75"/>
        <v>14</v>
      </c>
      <c r="X149" s="20">
        <f t="shared" si="75"/>
        <v>0</v>
      </c>
      <c r="Y149" s="20">
        <f t="shared" si="75"/>
        <v>3</v>
      </c>
      <c r="Z149" s="20">
        <f t="shared" si="75"/>
        <v>0</v>
      </c>
      <c r="AA149" s="20">
        <f t="shared" si="75"/>
        <v>0</v>
      </c>
      <c r="AC149" s="3">
        <f t="shared" si="57"/>
        <v>19</v>
      </c>
      <c r="AD149" s="3">
        <f t="shared" si="58"/>
        <v>0</v>
      </c>
      <c r="AE149" s="3">
        <f t="shared" si="59"/>
        <v>93</v>
      </c>
      <c r="AF149" s="3">
        <f t="shared" si="60"/>
        <v>89</v>
      </c>
      <c r="AG149" s="3">
        <f t="shared" si="61"/>
        <v>85</v>
      </c>
      <c r="AH149" s="3">
        <f t="shared" si="62"/>
        <v>81</v>
      </c>
      <c r="AI149" s="3">
        <f t="shared" si="63"/>
        <v>77</v>
      </c>
      <c r="AJ149" s="3">
        <f t="shared" si="64"/>
        <v>67</v>
      </c>
      <c r="AK149" s="3">
        <f t="shared" si="65"/>
        <v>62</v>
      </c>
      <c r="AL149" s="3">
        <f t="shared" si="66"/>
        <v>57</v>
      </c>
      <c r="AM149" s="3">
        <f t="shared" si="67"/>
        <v>52</v>
      </c>
      <c r="AN149" s="3">
        <f t="shared" si="68"/>
        <v>45</v>
      </c>
      <c r="AO149" s="3">
        <f t="shared" si="69"/>
        <v>40</v>
      </c>
      <c r="AP149" s="3">
        <f t="shared" si="70"/>
        <v>35</v>
      </c>
      <c r="AQ149" s="3">
        <f t="shared" si="71"/>
        <v>30</v>
      </c>
      <c r="AR149" s="3">
        <f t="shared" si="72"/>
        <v>24</v>
      </c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M149" s="35" t="s">
        <v>12</v>
      </c>
      <c r="BO149" s="35"/>
      <c r="BR149" s="9" t="str">
        <f t="shared" si="77"/>
        <v/>
      </c>
      <c r="BS149" s="37" t="str">
        <f t="shared" si="78"/>
        <v/>
      </c>
      <c r="BT149" s="38" t="str">
        <f t="shared" si="74"/>
        <v/>
      </c>
      <c r="BU149" s="36" t="str">
        <f t="shared" si="79"/>
        <v/>
      </c>
    </row>
    <row r="150" spans="2:73" ht="15">
      <c r="B150" s="16">
        <f t="shared" si="80"/>
        <v>44123</v>
      </c>
      <c r="C150" s="15" t="s">
        <v>1</v>
      </c>
      <c r="D150" s="17">
        <f t="shared" si="81"/>
        <v>44129</v>
      </c>
      <c r="E150" s="18">
        <f t="shared" si="82"/>
        <v>10</v>
      </c>
      <c r="F150" s="19">
        <f t="shared" si="83"/>
        <v>2020</v>
      </c>
      <c r="G150" s="9">
        <f t="shared" ref="G150:H165" si="85">G149</f>
        <v>17</v>
      </c>
      <c r="H150" s="8">
        <f t="shared" si="85"/>
        <v>95</v>
      </c>
      <c r="I150" s="9"/>
      <c r="J150" s="9"/>
      <c r="K150" s="9"/>
      <c r="L150" s="9"/>
      <c r="M150" s="9"/>
      <c r="N150" s="9"/>
      <c r="O150" s="12"/>
      <c r="P150" s="12"/>
      <c r="Q150" s="12"/>
      <c r="R150" s="12"/>
      <c r="S150" s="12"/>
      <c r="T150" s="12"/>
      <c r="V150" s="20">
        <f t="shared" si="75"/>
        <v>10</v>
      </c>
      <c r="W150" s="20">
        <f t="shared" si="75"/>
        <v>15</v>
      </c>
      <c r="X150" s="20">
        <f t="shared" si="75"/>
        <v>0</v>
      </c>
      <c r="Y150" s="20">
        <f t="shared" si="75"/>
        <v>4</v>
      </c>
      <c r="Z150" s="20">
        <f t="shared" si="75"/>
        <v>0</v>
      </c>
      <c r="AA150" s="20">
        <f t="shared" si="75"/>
        <v>0</v>
      </c>
      <c r="AC150" s="3">
        <f t="shared" si="57"/>
        <v>20</v>
      </c>
      <c r="AD150" s="3">
        <f t="shared" si="58"/>
        <v>0</v>
      </c>
      <c r="AE150" s="3">
        <f t="shared" si="59"/>
        <v>94</v>
      </c>
      <c r="AF150" s="3">
        <f t="shared" si="60"/>
        <v>90</v>
      </c>
      <c r="AG150" s="3">
        <f t="shared" si="61"/>
        <v>86</v>
      </c>
      <c r="AH150" s="3">
        <f t="shared" si="62"/>
        <v>82</v>
      </c>
      <c r="AI150" s="3">
        <f t="shared" si="63"/>
        <v>78</v>
      </c>
      <c r="AJ150" s="3">
        <f t="shared" si="64"/>
        <v>68</v>
      </c>
      <c r="AK150" s="3">
        <f t="shared" si="65"/>
        <v>63</v>
      </c>
      <c r="AL150" s="3">
        <f t="shared" si="66"/>
        <v>58</v>
      </c>
      <c r="AM150" s="3">
        <f t="shared" si="67"/>
        <v>53</v>
      </c>
      <c r="AN150" s="3">
        <f t="shared" si="68"/>
        <v>46</v>
      </c>
      <c r="AO150" s="3">
        <f t="shared" si="69"/>
        <v>41</v>
      </c>
      <c r="AP150" s="3">
        <f t="shared" si="70"/>
        <v>36</v>
      </c>
      <c r="AQ150" s="3">
        <f t="shared" si="71"/>
        <v>31</v>
      </c>
      <c r="AR150" s="3">
        <f t="shared" si="72"/>
        <v>25</v>
      </c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M150" s="35" t="s">
        <v>12</v>
      </c>
      <c r="BO150" s="35"/>
      <c r="BR150" s="9" t="str">
        <f t="shared" si="77"/>
        <v/>
      </c>
      <c r="BS150" s="37" t="str">
        <f t="shared" si="78"/>
        <v/>
      </c>
      <c r="BT150" s="38" t="str">
        <f t="shared" si="74"/>
        <v/>
      </c>
      <c r="BU150" s="36" t="str">
        <f t="shared" si="79"/>
        <v/>
      </c>
    </row>
    <row r="151" spans="2:73" ht="15">
      <c r="B151" s="16">
        <f t="shared" si="80"/>
        <v>44130</v>
      </c>
      <c r="C151" s="15" t="s">
        <v>1</v>
      </c>
      <c r="D151" s="17">
        <f t="shared" si="81"/>
        <v>44136</v>
      </c>
      <c r="E151" s="18">
        <f t="shared" si="82"/>
        <v>10</v>
      </c>
      <c r="F151" s="19">
        <f t="shared" si="83"/>
        <v>2020</v>
      </c>
      <c r="G151" s="9">
        <f t="shared" si="85"/>
        <v>17</v>
      </c>
      <c r="H151" s="8">
        <f t="shared" si="85"/>
        <v>95</v>
      </c>
      <c r="I151" s="9"/>
      <c r="J151" s="9"/>
      <c r="K151" s="9"/>
      <c r="L151" s="9"/>
      <c r="M151" s="9"/>
      <c r="N151" s="9"/>
      <c r="O151" s="12"/>
      <c r="P151" s="12"/>
      <c r="Q151" s="12">
        <v>1</v>
      </c>
      <c r="R151" s="12"/>
      <c r="S151" s="12"/>
      <c r="T151" s="12"/>
      <c r="V151" s="20">
        <f t="shared" si="75"/>
        <v>11</v>
      </c>
      <c r="W151" s="20">
        <f t="shared" si="75"/>
        <v>16</v>
      </c>
      <c r="X151" s="20">
        <f t="shared" si="75"/>
        <v>44132</v>
      </c>
      <c r="Y151" s="20">
        <f t="shared" si="75"/>
        <v>5</v>
      </c>
      <c r="Z151" s="20">
        <f t="shared" si="75"/>
        <v>0</v>
      </c>
      <c r="AA151" s="20">
        <f t="shared" si="75"/>
        <v>0</v>
      </c>
      <c r="AC151" s="3">
        <f t="shared" si="57"/>
        <v>21</v>
      </c>
      <c r="AD151" s="3">
        <f t="shared" si="58"/>
        <v>0</v>
      </c>
      <c r="AE151" s="3">
        <f t="shared" si="59"/>
        <v>95</v>
      </c>
      <c r="AF151" s="3">
        <f t="shared" si="60"/>
        <v>91</v>
      </c>
      <c r="AG151" s="3">
        <f t="shared" si="61"/>
        <v>87</v>
      </c>
      <c r="AH151" s="3">
        <f t="shared" si="62"/>
        <v>83</v>
      </c>
      <c r="AI151" s="3">
        <f t="shared" si="63"/>
        <v>79</v>
      </c>
      <c r="AJ151" s="3">
        <f t="shared" si="64"/>
        <v>69</v>
      </c>
      <c r="AK151" s="3">
        <f t="shared" si="65"/>
        <v>64</v>
      </c>
      <c r="AL151" s="3">
        <f t="shared" si="66"/>
        <v>59</v>
      </c>
      <c r="AM151" s="3">
        <f t="shared" si="67"/>
        <v>54</v>
      </c>
      <c r="AN151" s="3">
        <f t="shared" si="68"/>
        <v>47</v>
      </c>
      <c r="AO151" s="3">
        <f t="shared" si="69"/>
        <v>42</v>
      </c>
      <c r="AP151" s="3">
        <f t="shared" si="70"/>
        <v>37</v>
      </c>
      <c r="AQ151" s="3">
        <f t="shared" si="71"/>
        <v>32</v>
      </c>
      <c r="AR151" s="3">
        <f t="shared" si="72"/>
        <v>26</v>
      </c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M151" s="35" t="s">
        <v>12</v>
      </c>
      <c r="BO151" s="35"/>
      <c r="BR151" s="9">
        <f t="shared" si="77"/>
        <v>3</v>
      </c>
      <c r="BS151" s="37">
        <f t="shared" si="78"/>
        <v>44132</v>
      </c>
      <c r="BT151" s="38">
        <f t="shared" si="74"/>
        <v>44251</v>
      </c>
      <c r="BU151" s="36">
        <f t="shared" si="79"/>
        <v>1</v>
      </c>
    </row>
    <row r="152" spans="2:73" ht="15">
      <c r="B152" s="16">
        <f t="shared" si="80"/>
        <v>44137</v>
      </c>
      <c r="C152" s="15" t="s">
        <v>1</v>
      </c>
      <c r="D152" s="17">
        <f t="shared" si="81"/>
        <v>44143</v>
      </c>
      <c r="E152" s="18">
        <f t="shared" si="82"/>
        <v>11</v>
      </c>
      <c r="F152" s="19">
        <f t="shared" si="83"/>
        <v>2020</v>
      </c>
      <c r="G152" s="9">
        <f t="shared" si="85"/>
        <v>17</v>
      </c>
      <c r="H152" s="8">
        <f t="shared" si="85"/>
        <v>95</v>
      </c>
      <c r="I152" s="9"/>
      <c r="J152" s="9"/>
      <c r="K152" s="9"/>
      <c r="L152" s="9"/>
      <c r="M152" s="9"/>
      <c r="N152" s="9"/>
      <c r="O152" s="12"/>
      <c r="P152" s="12"/>
      <c r="Q152" s="12"/>
      <c r="R152" s="12"/>
      <c r="S152" s="12"/>
      <c r="T152" s="12"/>
      <c r="V152" s="20">
        <f t="shared" si="75"/>
        <v>12</v>
      </c>
      <c r="W152" s="20">
        <f t="shared" si="75"/>
        <v>17</v>
      </c>
      <c r="X152" s="20">
        <f t="shared" si="75"/>
        <v>1</v>
      </c>
      <c r="Y152" s="20">
        <f t="shared" si="75"/>
        <v>6</v>
      </c>
      <c r="Z152" s="20">
        <f t="shared" si="75"/>
        <v>0</v>
      </c>
      <c r="AA152" s="20">
        <f t="shared" si="75"/>
        <v>0</v>
      </c>
      <c r="AC152" s="3">
        <f t="shared" si="57"/>
        <v>22</v>
      </c>
      <c r="AD152" s="3">
        <f t="shared" si="58"/>
        <v>17</v>
      </c>
      <c r="AE152" s="3">
        <f t="shared" si="59"/>
        <v>0</v>
      </c>
      <c r="AF152" s="3">
        <f t="shared" si="60"/>
        <v>92</v>
      </c>
      <c r="AG152" s="3">
        <f t="shared" si="61"/>
        <v>88</v>
      </c>
      <c r="AH152" s="3">
        <f t="shared" si="62"/>
        <v>84</v>
      </c>
      <c r="AI152" s="3">
        <f t="shared" si="63"/>
        <v>80</v>
      </c>
      <c r="AJ152" s="3">
        <f t="shared" si="64"/>
        <v>70</v>
      </c>
      <c r="AK152" s="3">
        <f t="shared" si="65"/>
        <v>65</v>
      </c>
      <c r="AL152" s="3">
        <f t="shared" si="66"/>
        <v>60</v>
      </c>
      <c r="AM152" s="3">
        <f t="shared" si="67"/>
        <v>55</v>
      </c>
      <c r="AN152" s="3">
        <f t="shared" si="68"/>
        <v>48</v>
      </c>
      <c r="AO152" s="3">
        <f t="shared" si="69"/>
        <v>43</v>
      </c>
      <c r="AP152" s="3">
        <f t="shared" si="70"/>
        <v>38</v>
      </c>
      <c r="AQ152" s="3">
        <f t="shared" si="71"/>
        <v>33</v>
      </c>
      <c r="AR152" s="3">
        <f t="shared" si="72"/>
        <v>27</v>
      </c>
      <c r="AS152" s="8"/>
      <c r="AT152" s="8">
        <v>2</v>
      </c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M152" s="35" t="s">
        <v>12</v>
      </c>
      <c r="BO152" s="35"/>
      <c r="BR152" s="9" t="str">
        <f t="shared" si="77"/>
        <v/>
      </c>
      <c r="BS152" s="37" t="str">
        <f t="shared" si="78"/>
        <v/>
      </c>
      <c r="BT152" s="38" t="str">
        <f t="shared" si="74"/>
        <v/>
      </c>
      <c r="BU152" s="36" t="str">
        <f t="shared" si="79"/>
        <v/>
      </c>
    </row>
    <row r="153" spans="2:73" ht="15">
      <c r="B153" s="16">
        <f t="shared" si="80"/>
        <v>44144</v>
      </c>
      <c r="C153" s="15" t="s">
        <v>1</v>
      </c>
      <c r="D153" s="17">
        <f t="shared" si="81"/>
        <v>44150</v>
      </c>
      <c r="E153" s="18">
        <f t="shared" si="82"/>
        <v>11</v>
      </c>
      <c r="F153" s="19">
        <f t="shared" si="83"/>
        <v>2020</v>
      </c>
      <c r="G153" s="9">
        <f t="shared" si="85"/>
        <v>17</v>
      </c>
      <c r="H153" s="8">
        <f t="shared" si="85"/>
        <v>95</v>
      </c>
      <c r="I153" s="9"/>
      <c r="J153" s="9"/>
      <c r="K153" s="9"/>
      <c r="L153" s="9"/>
      <c r="M153" s="9"/>
      <c r="N153" s="9"/>
      <c r="O153" s="12"/>
      <c r="P153" s="12"/>
      <c r="Q153" s="12"/>
      <c r="R153" s="12"/>
      <c r="S153" s="12"/>
      <c r="T153" s="12"/>
      <c r="V153" s="20">
        <f t="shared" si="75"/>
        <v>13</v>
      </c>
      <c r="W153" s="20">
        <f t="shared" si="75"/>
        <v>0</v>
      </c>
      <c r="X153" s="20">
        <f t="shared" si="75"/>
        <v>2</v>
      </c>
      <c r="Y153" s="20">
        <f t="shared" ref="Y153:AA216" si="86">IF(L153&gt;0,L153,IF(R153=1,$B153+2,IF(R152=1,1,IF(R152=2,0,IF(Y152=$G152,0,(IF(Y152&gt;=1,Y152+1,0)))))))</f>
        <v>7</v>
      </c>
      <c r="Z153" s="20">
        <f t="shared" si="86"/>
        <v>0</v>
      </c>
      <c r="AA153" s="20">
        <f t="shared" si="86"/>
        <v>0</v>
      </c>
      <c r="AC153" s="3">
        <f t="shared" si="57"/>
        <v>23</v>
      </c>
      <c r="AD153" s="3">
        <f t="shared" si="58"/>
        <v>18</v>
      </c>
      <c r="AE153" s="3">
        <f t="shared" si="59"/>
        <v>0</v>
      </c>
      <c r="AF153" s="3">
        <f t="shared" si="60"/>
        <v>93</v>
      </c>
      <c r="AG153" s="3">
        <f t="shared" si="61"/>
        <v>89</v>
      </c>
      <c r="AH153" s="3">
        <f t="shared" si="62"/>
        <v>85</v>
      </c>
      <c r="AI153" s="3">
        <f t="shared" si="63"/>
        <v>81</v>
      </c>
      <c r="AJ153" s="3">
        <f t="shared" si="64"/>
        <v>71</v>
      </c>
      <c r="AK153" s="3">
        <f t="shared" si="65"/>
        <v>66</v>
      </c>
      <c r="AL153" s="3">
        <f t="shared" si="66"/>
        <v>61</v>
      </c>
      <c r="AM153" s="3">
        <f t="shared" si="67"/>
        <v>56</v>
      </c>
      <c r="AN153" s="3">
        <f t="shared" si="68"/>
        <v>49</v>
      </c>
      <c r="AO153" s="3">
        <f t="shared" si="69"/>
        <v>44</v>
      </c>
      <c r="AP153" s="3">
        <f t="shared" si="70"/>
        <v>39</v>
      </c>
      <c r="AQ153" s="3">
        <f t="shared" si="71"/>
        <v>34</v>
      </c>
      <c r="AR153" s="3">
        <f t="shared" si="72"/>
        <v>28</v>
      </c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L153">
        <v>1</v>
      </c>
      <c r="BM153" s="35">
        <v>44144</v>
      </c>
      <c r="BO153" s="35">
        <f>B170</f>
        <v>44263</v>
      </c>
      <c r="BP153">
        <v>98</v>
      </c>
      <c r="BR153" s="9" t="str">
        <f t="shared" si="77"/>
        <v/>
      </c>
      <c r="BS153" s="37" t="str">
        <f t="shared" si="78"/>
        <v/>
      </c>
      <c r="BT153" s="38" t="str">
        <f t="shared" si="74"/>
        <v/>
      </c>
      <c r="BU153" s="36" t="str">
        <f t="shared" si="79"/>
        <v/>
      </c>
    </row>
    <row r="154" spans="2:73" ht="15">
      <c r="B154" s="16">
        <f t="shared" si="80"/>
        <v>44151</v>
      </c>
      <c r="C154" s="15" t="s">
        <v>1</v>
      </c>
      <c r="D154" s="17">
        <f t="shared" si="81"/>
        <v>44157</v>
      </c>
      <c r="E154" s="18">
        <f t="shared" si="82"/>
        <v>11</v>
      </c>
      <c r="F154" s="19">
        <f t="shared" si="83"/>
        <v>2020</v>
      </c>
      <c r="G154" s="9">
        <f t="shared" si="85"/>
        <v>17</v>
      </c>
      <c r="H154" s="8">
        <f t="shared" si="85"/>
        <v>95</v>
      </c>
      <c r="I154" s="9"/>
      <c r="J154" s="9"/>
      <c r="K154" s="9"/>
      <c r="L154" s="9"/>
      <c r="M154" s="9"/>
      <c r="N154" s="9"/>
      <c r="O154" s="12"/>
      <c r="P154" s="12"/>
      <c r="Q154" s="12"/>
      <c r="R154" s="12"/>
      <c r="S154" s="12"/>
      <c r="T154" s="12"/>
      <c r="V154" s="20">
        <f t="shared" ref="V154:AA217" si="87">IF(I154&gt;0,I154,IF(O154=1,$B154+2,IF(O153=1,1,IF(O153=2,0,IF(V153=$G153,0,(IF(V153&gt;=1,V153+1,0)))))))</f>
        <v>14</v>
      </c>
      <c r="W154" s="20">
        <f t="shared" si="87"/>
        <v>0</v>
      </c>
      <c r="X154" s="20">
        <f t="shared" si="87"/>
        <v>3</v>
      </c>
      <c r="Y154" s="20">
        <f t="shared" si="86"/>
        <v>8</v>
      </c>
      <c r="Z154" s="20">
        <f t="shared" si="86"/>
        <v>0</v>
      </c>
      <c r="AA154" s="20">
        <f t="shared" si="86"/>
        <v>0</v>
      </c>
      <c r="AC154" s="3">
        <f t="shared" si="57"/>
        <v>24</v>
      </c>
      <c r="AD154" s="3">
        <f t="shared" si="58"/>
        <v>19</v>
      </c>
      <c r="AE154" s="3">
        <f t="shared" si="59"/>
        <v>0</v>
      </c>
      <c r="AF154" s="3">
        <f t="shared" si="60"/>
        <v>94</v>
      </c>
      <c r="AG154" s="3">
        <f t="shared" si="61"/>
        <v>90</v>
      </c>
      <c r="AH154" s="3">
        <f t="shared" si="62"/>
        <v>86</v>
      </c>
      <c r="AI154" s="3">
        <f t="shared" si="63"/>
        <v>82</v>
      </c>
      <c r="AJ154" s="3">
        <f t="shared" si="64"/>
        <v>72</v>
      </c>
      <c r="AK154" s="3">
        <f t="shared" si="65"/>
        <v>67</v>
      </c>
      <c r="AL154" s="3">
        <f t="shared" si="66"/>
        <v>62</v>
      </c>
      <c r="AM154" s="3">
        <f t="shared" si="67"/>
        <v>57</v>
      </c>
      <c r="AN154" s="3">
        <f t="shared" si="68"/>
        <v>50</v>
      </c>
      <c r="AO154" s="3">
        <f t="shared" si="69"/>
        <v>45</v>
      </c>
      <c r="AP154" s="3">
        <f t="shared" si="70"/>
        <v>40</v>
      </c>
      <c r="AQ154" s="3">
        <f t="shared" si="71"/>
        <v>35</v>
      </c>
      <c r="AR154" s="3">
        <f t="shared" si="72"/>
        <v>29</v>
      </c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M154" s="35" t="s">
        <v>12</v>
      </c>
      <c r="BO154" s="35"/>
      <c r="BR154" s="9" t="str">
        <f t="shared" si="77"/>
        <v/>
      </c>
      <c r="BS154" s="37" t="str">
        <f t="shared" si="78"/>
        <v/>
      </c>
      <c r="BT154" s="38" t="str">
        <f t="shared" si="74"/>
        <v/>
      </c>
      <c r="BU154" s="36" t="str">
        <f t="shared" si="79"/>
        <v/>
      </c>
    </row>
    <row r="155" spans="2:73" ht="15">
      <c r="B155" s="16">
        <f t="shared" si="80"/>
        <v>44158</v>
      </c>
      <c r="C155" s="15" t="s">
        <v>1</v>
      </c>
      <c r="D155" s="17">
        <f t="shared" si="81"/>
        <v>44164</v>
      </c>
      <c r="E155" s="18">
        <f t="shared" si="82"/>
        <v>11</v>
      </c>
      <c r="F155" s="19">
        <f t="shared" si="83"/>
        <v>2020</v>
      </c>
      <c r="G155" s="9">
        <f t="shared" si="85"/>
        <v>17</v>
      </c>
      <c r="H155" s="8">
        <f t="shared" si="85"/>
        <v>95</v>
      </c>
      <c r="I155" s="9"/>
      <c r="J155" s="9"/>
      <c r="K155" s="9"/>
      <c r="L155" s="9"/>
      <c r="M155" s="9"/>
      <c r="N155" s="9"/>
      <c r="O155" s="12"/>
      <c r="P155" s="12"/>
      <c r="Q155" s="12"/>
      <c r="R155" s="12"/>
      <c r="S155" s="12"/>
      <c r="T155" s="12"/>
      <c r="V155" s="20">
        <f t="shared" si="87"/>
        <v>15</v>
      </c>
      <c r="W155" s="20">
        <f t="shared" si="87"/>
        <v>0</v>
      </c>
      <c r="X155" s="20">
        <f t="shared" si="87"/>
        <v>4</v>
      </c>
      <c r="Y155" s="20">
        <f t="shared" si="86"/>
        <v>9</v>
      </c>
      <c r="Z155" s="20">
        <f t="shared" si="86"/>
        <v>0</v>
      </c>
      <c r="AA155" s="20">
        <f t="shared" si="86"/>
        <v>0</v>
      </c>
      <c r="AC155" s="3">
        <f t="shared" si="57"/>
        <v>25</v>
      </c>
      <c r="AD155" s="3">
        <f t="shared" si="58"/>
        <v>20</v>
      </c>
      <c r="AE155" s="3">
        <f t="shared" si="59"/>
        <v>0</v>
      </c>
      <c r="AF155" s="3">
        <f t="shared" si="60"/>
        <v>95</v>
      </c>
      <c r="AG155" s="3">
        <f t="shared" si="61"/>
        <v>91</v>
      </c>
      <c r="AH155" s="3">
        <f t="shared" si="62"/>
        <v>87</v>
      </c>
      <c r="AI155" s="3">
        <f t="shared" si="63"/>
        <v>83</v>
      </c>
      <c r="AJ155" s="3">
        <f t="shared" si="64"/>
        <v>73</v>
      </c>
      <c r="AK155" s="3">
        <f t="shared" si="65"/>
        <v>68</v>
      </c>
      <c r="AL155" s="3">
        <f t="shared" si="66"/>
        <v>63</v>
      </c>
      <c r="AM155" s="3">
        <f t="shared" si="67"/>
        <v>58</v>
      </c>
      <c r="AN155" s="3">
        <f t="shared" si="68"/>
        <v>51</v>
      </c>
      <c r="AO155" s="3">
        <f t="shared" si="69"/>
        <v>46</v>
      </c>
      <c r="AP155" s="3">
        <f t="shared" si="70"/>
        <v>41</v>
      </c>
      <c r="AQ155" s="3">
        <f t="shared" si="71"/>
        <v>36</v>
      </c>
      <c r="AR155" s="3">
        <f t="shared" si="72"/>
        <v>30</v>
      </c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M155" s="35" t="s">
        <v>12</v>
      </c>
      <c r="BO155" s="35"/>
      <c r="BR155" s="9" t="str">
        <f t="shared" si="77"/>
        <v/>
      </c>
      <c r="BS155" s="37" t="str">
        <f t="shared" si="78"/>
        <v/>
      </c>
      <c r="BT155" s="38" t="str">
        <f t="shared" si="74"/>
        <v/>
      </c>
      <c r="BU155" s="36" t="str">
        <f t="shared" si="79"/>
        <v/>
      </c>
    </row>
    <row r="156" spans="2:73" ht="15">
      <c r="B156" s="16">
        <f t="shared" si="80"/>
        <v>44165</v>
      </c>
      <c r="C156" s="15" t="s">
        <v>1</v>
      </c>
      <c r="D156" s="17">
        <f t="shared" si="81"/>
        <v>44171</v>
      </c>
      <c r="E156" s="18">
        <f t="shared" si="82"/>
        <v>11</v>
      </c>
      <c r="F156" s="19">
        <f t="shared" si="83"/>
        <v>2020</v>
      </c>
      <c r="G156" s="9">
        <f t="shared" si="85"/>
        <v>17</v>
      </c>
      <c r="H156" s="8">
        <f t="shared" si="85"/>
        <v>95</v>
      </c>
      <c r="I156" s="9"/>
      <c r="J156" s="9"/>
      <c r="K156" s="9"/>
      <c r="L156" s="9"/>
      <c r="M156" s="9"/>
      <c r="N156" s="9"/>
      <c r="O156" s="12"/>
      <c r="P156" s="12">
        <v>1</v>
      </c>
      <c r="Q156" s="12"/>
      <c r="R156" s="12"/>
      <c r="S156" s="12"/>
      <c r="T156" s="12"/>
      <c r="V156" s="20">
        <f t="shared" si="87"/>
        <v>16</v>
      </c>
      <c r="W156" s="20">
        <f t="shared" si="87"/>
        <v>44167</v>
      </c>
      <c r="X156" s="20">
        <f t="shared" si="87"/>
        <v>5</v>
      </c>
      <c r="Y156" s="20">
        <f t="shared" si="86"/>
        <v>10</v>
      </c>
      <c r="Z156" s="20">
        <f t="shared" si="86"/>
        <v>0</v>
      </c>
      <c r="AA156" s="20">
        <f t="shared" si="86"/>
        <v>0</v>
      </c>
      <c r="AC156" s="3">
        <f t="shared" si="57"/>
        <v>26</v>
      </c>
      <c r="AD156" s="3">
        <f t="shared" si="58"/>
        <v>21</v>
      </c>
      <c r="AE156" s="3">
        <f t="shared" si="59"/>
        <v>0</v>
      </c>
      <c r="AF156" s="3">
        <f t="shared" si="60"/>
        <v>0</v>
      </c>
      <c r="AG156" s="3">
        <f t="shared" si="61"/>
        <v>92</v>
      </c>
      <c r="AH156" s="3">
        <f t="shared" si="62"/>
        <v>88</v>
      </c>
      <c r="AI156" s="3">
        <f t="shared" si="63"/>
        <v>84</v>
      </c>
      <c r="AJ156" s="3">
        <f t="shared" si="64"/>
        <v>74</v>
      </c>
      <c r="AK156" s="3">
        <f t="shared" si="65"/>
        <v>69</v>
      </c>
      <c r="AL156" s="3">
        <f t="shared" si="66"/>
        <v>64</v>
      </c>
      <c r="AM156" s="3">
        <f t="shared" si="67"/>
        <v>59</v>
      </c>
      <c r="AN156" s="3">
        <f t="shared" si="68"/>
        <v>52</v>
      </c>
      <c r="AO156" s="3">
        <f t="shared" si="69"/>
        <v>47</v>
      </c>
      <c r="AP156" s="3">
        <f t="shared" si="70"/>
        <v>42</v>
      </c>
      <c r="AQ156" s="3">
        <f t="shared" si="71"/>
        <v>37</v>
      </c>
      <c r="AR156" s="3">
        <f t="shared" si="72"/>
        <v>31</v>
      </c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M156" s="35" t="s">
        <v>12</v>
      </c>
      <c r="BO156" s="35"/>
      <c r="BR156" s="9">
        <f t="shared" si="77"/>
        <v>2</v>
      </c>
      <c r="BS156" s="37">
        <f t="shared" si="78"/>
        <v>44167</v>
      </c>
      <c r="BT156" s="38">
        <f t="shared" si="74"/>
        <v>44286</v>
      </c>
      <c r="BU156" s="36">
        <f t="shared" si="79"/>
        <v>6</v>
      </c>
    </row>
    <row r="157" spans="2:73" ht="15">
      <c r="B157" s="16">
        <f t="shared" si="80"/>
        <v>44172</v>
      </c>
      <c r="C157" s="15" t="s">
        <v>1</v>
      </c>
      <c r="D157" s="17">
        <f t="shared" si="81"/>
        <v>44178</v>
      </c>
      <c r="E157" s="18">
        <f t="shared" si="82"/>
        <v>12</v>
      </c>
      <c r="F157" s="19">
        <f t="shared" si="83"/>
        <v>2020</v>
      </c>
      <c r="G157" s="9">
        <f t="shared" si="85"/>
        <v>17</v>
      </c>
      <c r="H157" s="8">
        <f t="shared" si="85"/>
        <v>95</v>
      </c>
      <c r="I157" s="9"/>
      <c r="J157" s="9"/>
      <c r="K157" s="9"/>
      <c r="L157" s="9"/>
      <c r="M157" s="9"/>
      <c r="N157" s="9"/>
      <c r="O157" s="12"/>
      <c r="P157" s="12"/>
      <c r="Q157" s="12"/>
      <c r="R157" s="12"/>
      <c r="S157" s="12"/>
      <c r="T157" s="12"/>
      <c r="V157" s="20">
        <f t="shared" si="87"/>
        <v>17</v>
      </c>
      <c r="W157" s="20">
        <f t="shared" si="87"/>
        <v>1</v>
      </c>
      <c r="X157" s="20">
        <f t="shared" si="87"/>
        <v>6</v>
      </c>
      <c r="Y157" s="20">
        <f t="shared" si="86"/>
        <v>11</v>
      </c>
      <c r="Z157" s="20">
        <f t="shared" si="86"/>
        <v>0</v>
      </c>
      <c r="AA157" s="20">
        <f t="shared" si="86"/>
        <v>0</v>
      </c>
      <c r="AC157" s="3">
        <f t="shared" si="57"/>
        <v>27</v>
      </c>
      <c r="AD157" s="3">
        <f t="shared" si="58"/>
        <v>22</v>
      </c>
      <c r="AE157" s="3">
        <f t="shared" si="59"/>
        <v>17</v>
      </c>
      <c r="AF157" s="3">
        <f t="shared" si="60"/>
        <v>0</v>
      </c>
      <c r="AG157" s="3">
        <f t="shared" si="61"/>
        <v>93</v>
      </c>
      <c r="AH157" s="3">
        <f t="shared" si="62"/>
        <v>89</v>
      </c>
      <c r="AI157" s="3">
        <f t="shared" si="63"/>
        <v>85</v>
      </c>
      <c r="AJ157" s="3">
        <f t="shared" si="64"/>
        <v>75</v>
      </c>
      <c r="AK157" s="3">
        <f t="shared" si="65"/>
        <v>70</v>
      </c>
      <c r="AL157" s="3">
        <f t="shared" si="66"/>
        <v>65</v>
      </c>
      <c r="AM157" s="3">
        <f t="shared" si="67"/>
        <v>60</v>
      </c>
      <c r="AN157" s="3">
        <f t="shared" si="68"/>
        <v>53</v>
      </c>
      <c r="AO157" s="3">
        <f t="shared" si="69"/>
        <v>48</v>
      </c>
      <c r="AP157" s="3">
        <f t="shared" si="70"/>
        <v>43</v>
      </c>
      <c r="AQ157" s="3">
        <f t="shared" si="71"/>
        <v>38</v>
      </c>
      <c r="AR157" s="3">
        <f t="shared" si="72"/>
        <v>32</v>
      </c>
      <c r="AS157" s="8"/>
      <c r="AT157" s="8"/>
      <c r="AU157" s="8">
        <v>1</v>
      </c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M157" s="35" t="s">
        <v>12</v>
      </c>
      <c r="BO157" s="35"/>
      <c r="BR157" s="9" t="str">
        <f t="shared" si="77"/>
        <v/>
      </c>
      <c r="BS157" s="37" t="str">
        <f t="shared" si="78"/>
        <v/>
      </c>
      <c r="BT157" s="38" t="str">
        <f t="shared" si="74"/>
        <v/>
      </c>
      <c r="BU157" s="36" t="str">
        <f t="shared" si="79"/>
        <v/>
      </c>
    </row>
    <row r="158" spans="2:73" ht="15">
      <c r="B158" s="16">
        <f t="shared" si="80"/>
        <v>44179</v>
      </c>
      <c r="C158" s="15" t="s">
        <v>1</v>
      </c>
      <c r="D158" s="17">
        <f t="shared" si="81"/>
        <v>44185</v>
      </c>
      <c r="E158" s="18">
        <f t="shared" si="82"/>
        <v>12</v>
      </c>
      <c r="F158" s="19">
        <f t="shared" si="83"/>
        <v>2020</v>
      </c>
      <c r="G158" s="9">
        <f t="shared" si="85"/>
        <v>17</v>
      </c>
      <c r="H158" s="8">
        <f t="shared" si="85"/>
        <v>95</v>
      </c>
      <c r="I158" s="9"/>
      <c r="J158" s="9"/>
      <c r="K158" s="9"/>
      <c r="L158" s="9"/>
      <c r="M158" s="9"/>
      <c r="N158" s="9"/>
      <c r="O158" s="12"/>
      <c r="P158" s="12"/>
      <c r="Q158" s="12"/>
      <c r="R158" s="12"/>
      <c r="S158" s="12"/>
      <c r="T158" s="12"/>
      <c r="V158" s="20">
        <f t="shared" si="87"/>
        <v>0</v>
      </c>
      <c r="W158" s="20">
        <f t="shared" si="87"/>
        <v>2</v>
      </c>
      <c r="X158" s="20">
        <f t="shared" si="87"/>
        <v>7</v>
      </c>
      <c r="Y158" s="20">
        <f t="shared" si="86"/>
        <v>12</v>
      </c>
      <c r="Z158" s="20">
        <f t="shared" si="86"/>
        <v>0</v>
      </c>
      <c r="AA158" s="20">
        <f t="shared" si="86"/>
        <v>0</v>
      </c>
      <c r="AC158" s="3">
        <f t="shared" si="57"/>
        <v>28</v>
      </c>
      <c r="AD158" s="3">
        <f t="shared" si="58"/>
        <v>23</v>
      </c>
      <c r="AE158" s="3">
        <f t="shared" si="59"/>
        <v>18</v>
      </c>
      <c r="AF158" s="3">
        <f t="shared" si="60"/>
        <v>0</v>
      </c>
      <c r="AG158" s="3">
        <f t="shared" si="61"/>
        <v>94</v>
      </c>
      <c r="AH158" s="3">
        <f t="shared" si="62"/>
        <v>90</v>
      </c>
      <c r="AI158" s="3">
        <f t="shared" si="63"/>
        <v>86</v>
      </c>
      <c r="AJ158" s="3">
        <f t="shared" si="64"/>
        <v>76</v>
      </c>
      <c r="AK158" s="3">
        <f t="shared" si="65"/>
        <v>71</v>
      </c>
      <c r="AL158" s="3">
        <f t="shared" si="66"/>
        <v>66</v>
      </c>
      <c r="AM158" s="3">
        <f t="shared" si="67"/>
        <v>61</v>
      </c>
      <c r="AN158" s="3">
        <f t="shared" si="68"/>
        <v>54</v>
      </c>
      <c r="AO158" s="3">
        <f t="shared" si="69"/>
        <v>49</v>
      </c>
      <c r="AP158" s="3">
        <f t="shared" si="70"/>
        <v>44</v>
      </c>
      <c r="AQ158" s="3">
        <f t="shared" si="71"/>
        <v>39</v>
      </c>
      <c r="AR158" s="3">
        <f t="shared" si="72"/>
        <v>33</v>
      </c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L158">
        <v>6</v>
      </c>
      <c r="BM158" s="35">
        <v>44179</v>
      </c>
      <c r="BO158" s="35">
        <f>B175</f>
        <v>44298</v>
      </c>
      <c r="BP158">
        <v>98</v>
      </c>
      <c r="BR158" s="9" t="str">
        <f t="shared" si="77"/>
        <v/>
      </c>
      <c r="BS158" s="37" t="str">
        <f t="shared" si="78"/>
        <v/>
      </c>
      <c r="BT158" s="38" t="str">
        <f t="shared" si="74"/>
        <v/>
      </c>
      <c r="BU158" s="36" t="str">
        <f t="shared" si="79"/>
        <v/>
      </c>
    </row>
    <row r="159" spans="2:73" ht="15">
      <c r="B159" s="16">
        <f t="shared" si="80"/>
        <v>44186</v>
      </c>
      <c r="C159" s="15" t="s">
        <v>1</v>
      </c>
      <c r="D159" s="17">
        <f t="shared" si="81"/>
        <v>44192</v>
      </c>
      <c r="E159" s="18">
        <f t="shared" si="82"/>
        <v>12</v>
      </c>
      <c r="F159" s="19">
        <f t="shared" si="83"/>
        <v>2020</v>
      </c>
      <c r="G159" s="9">
        <f t="shared" si="85"/>
        <v>17</v>
      </c>
      <c r="H159" s="8">
        <f t="shared" si="85"/>
        <v>95</v>
      </c>
      <c r="I159" s="9"/>
      <c r="J159" s="9"/>
      <c r="K159" s="9"/>
      <c r="L159" s="9"/>
      <c r="M159" s="9"/>
      <c r="N159" s="9"/>
      <c r="O159" s="12"/>
      <c r="P159" s="12"/>
      <c r="Q159" s="12"/>
      <c r="R159" s="12"/>
      <c r="S159" s="12"/>
      <c r="T159" s="12"/>
      <c r="V159" s="20">
        <f t="shared" si="87"/>
        <v>0</v>
      </c>
      <c r="W159" s="20">
        <f t="shared" si="87"/>
        <v>3</v>
      </c>
      <c r="X159" s="20">
        <f t="shared" si="87"/>
        <v>8</v>
      </c>
      <c r="Y159" s="20">
        <f t="shared" si="86"/>
        <v>13</v>
      </c>
      <c r="Z159" s="20">
        <f t="shared" si="86"/>
        <v>0</v>
      </c>
      <c r="AA159" s="20">
        <f t="shared" si="86"/>
        <v>0</v>
      </c>
      <c r="AC159" s="3">
        <f t="shared" si="57"/>
        <v>29</v>
      </c>
      <c r="AD159" s="3">
        <f t="shared" si="58"/>
        <v>24</v>
      </c>
      <c r="AE159" s="3">
        <f t="shared" si="59"/>
        <v>19</v>
      </c>
      <c r="AF159" s="3">
        <f t="shared" si="60"/>
        <v>0</v>
      </c>
      <c r="AG159" s="3">
        <f t="shared" si="61"/>
        <v>95</v>
      </c>
      <c r="AH159" s="3">
        <f t="shared" si="62"/>
        <v>91</v>
      </c>
      <c r="AI159" s="3">
        <f t="shared" si="63"/>
        <v>87</v>
      </c>
      <c r="AJ159" s="3">
        <f t="shared" si="64"/>
        <v>77</v>
      </c>
      <c r="AK159" s="3">
        <f t="shared" si="65"/>
        <v>72</v>
      </c>
      <c r="AL159" s="3">
        <f t="shared" si="66"/>
        <v>67</v>
      </c>
      <c r="AM159" s="3">
        <f t="shared" si="67"/>
        <v>62</v>
      </c>
      <c r="AN159" s="3">
        <f t="shared" si="68"/>
        <v>55</v>
      </c>
      <c r="AO159" s="3">
        <f t="shared" si="69"/>
        <v>50</v>
      </c>
      <c r="AP159" s="3">
        <f t="shared" si="70"/>
        <v>45</v>
      </c>
      <c r="AQ159" s="3">
        <f t="shared" si="71"/>
        <v>40</v>
      </c>
      <c r="AR159" s="3">
        <f t="shared" si="72"/>
        <v>34</v>
      </c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M159" s="35" t="s">
        <v>12</v>
      </c>
      <c r="BO159" s="35"/>
      <c r="BR159" s="9" t="str">
        <f t="shared" si="77"/>
        <v/>
      </c>
      <c r="BS159" s="37" t="str">
        <f t="shared" si="78"/>
        <v/>
      </c>
      <c r="BT159" s="38" t="str">
        <f t="shared" si="74"/>
        <v/>
      </c>
      <c r="BU159" s="36" t="str">
        <f t="shared" si="79"/>
        <v/>
      </c>
    </row>
    <row r="160" spans="2:73" ht="15">
      <c r="B160" s="16">
        <f t="shared" si="80"/>
        <v>44193</v>
      </c>
      <c r="C160" s="15" t="s">
        <v>1</v>
      </c>
      <c r="D160" s="17">
        <f t="shared" si="81"/>
        <v>44199</v>
      </c>
      <c r="E160" s="18">
        <f t="shared" si="82"/>
        <v>12</v>
      </c>
      <c r="F160" s="19">
        <f t="shared" si="83"/>
        <v>2021</v>
      </c>
      <c r="G160" s="9">
        <f t="shared" si="85"/>
        <v>17</v>
      </c>
      <c r="H160" s="8">
        <f t="shared" si="85"/>
        <v>95</v>
      </c>
      <c r="I160" s="9"/>
      <c r="J160" s="9"/>
      <c r="K160" s="9"/>
      <c r="L160" s="9"/>
      <c r="M160" s="9"/>
      <c r="N160" s="9"/>
      <c r="O160" s="12"/>
      <c r="P160" s="12"/>
      <c r="Q160" s="12"/>
      <c r="R160" s="12"/>
      <c r="S160" s="12"/>
      <c r="T160" s="12"/>
      <c r="V160" s="20">
        <f t="shared" si="87"/>
        <v>0</v>
      </c>
      <c r="W160" s="20">
        <f t="shared" si="87"/>
        <v>4</v>
      </c>
      <c r="X160" s="20">
        <f t="shared" si="87"/>
        <v>9</v>
      </c>
      <c r="Y160" s="20">
        <f t="shared" si="86"/>
        <v>14</v>
      </c>
      <c r="Z160" s="20">
        <f t="shared" si="86"/>
        <v>0</v>
      </c>
      <c r="AA160" s="20">
        <f t="shared" si="86"/>
        <v>0</v>
      </c>
      <c r="AC160" s="3">
        <f t="shared" si="57"/>
        <v>30</v>
      </c>
      <c r="AD160" s="3">
        <f t="shared" si="58"/>
        <v>25</v>
      </c>
      <c r="AE160" s="3">
        <f t="shared" si="59"/>
        <v>20</v>
      </c>
      <c r="AF160" s="3">
        <f t="shared" si="60"/>
        <v>0</v>
      </c>
      <c r="AG160" s="3">
        <f t="shared" si="61"/>
        <v>0</v>
      </c>
      <c r="AH160" s="3">
        <f t="shared" si="62"/>
        <v>92</v>
      </c>
      <c r="AI160" s="3">
        <f t="shared" si="63"/>
        <v>88</v>
      </c>
      <c r="AJ160" s="3">
        <f t="shared" si="64"/>
        <v>78</v>
      </c>
      <c r="AK160" s="3">
        <f t="shared" si="65"/>
        <v>73</v>
      </c>
      <c r="AL160" s="3">
        <f t="shared" si="66"/>
        <v>68</v>
      </c>
      <c r="AM160" s="3">
        <f t="shared" si="67"/>
        <v>63</v>
      </c>
      <c r="AN160" s="3">
        <f t="shared" si="68"/>
        <v>56</v>
      </c>
      <c r="AO160" s="3">
        <f t="shared" si="69"/>
        <v>51</v>
      </c>
      <c r="AP160" s="3">
        <f t="shared" si="70"/>
        <v>46</v>
      </c>
      <c r="AQ160" s="3">
        <f t="shared" si="71"/>
        <v>41</v>
      </c>
      <c r="AR160" s="3">
        <f t="shared" si="72"/>
        <v>35</v>
      </c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M160" s="35" t="s">
        <v>12</v>
      </c>
      <c r="BO160" s="35"/>
      <c r="BR160" s="9" t="str">
        <f t="shared" si="77"/>
        <v/>
      </c>
      <c r="BS160" s="37" t="str">
        <f t="shared" si="78"/>
        <v/>
      </c>
      <c r="BT160" s="38" t="str">
        <f t="shared" si="74"/>
        <v/>
      </c>
      <c r="BU160" s="36" t="str">
        <f t="shared" si="79"/>
        <v/>
      </c>
    </row>
    <row r="161" spans="2:73" ht="15">
      <c r="B161" s="16">
        <f t="shared" si="80"/>
        <v>44200</v>
      </c>
      <c r="C161" s="15" t="s">
        <v>1</v>
      </c>
      <c r="D161" s="17">
        <f t="shared" si="81"/>
        <v>44206</v>
      </c>
      <c r="E161" s="18">
        <f t="shared" si="82"/>
        <v>1</v>
      </c>
      <c r="F161" s="19">
        <f t="shared" si="83"/>
        <v>2021</v>
      </c>
      <c r="G161" s="9">
        <f t="shared" si="85"/>
        <v>17</v>
      </c>
      <c r="H161" s="8">
        <f t="shared" si="85"/>
        <v>95</v>
      </c>
      <c r="I161" s="9"/>
      <c r="J161" s="9"/>
      <c r="K161" s="9"/>
      <c r="L161" s="9"/>
      <c r="M161" s="9"/>
      <c r="N161" s="9"/>
      <c r="O161" s="12">
        <v>1</v>
      </c>
      <c r="P161" s="12"/>
      <c r="Q161" s="12"/>
      <c r="R161" s="12"/>
      <c r="S161" s="12"/>
      <c r="T161" s="12"/>
      <c r="V161" s="20">
        <f t="shared" si="87"/>
        <v>44202</v>
      </c>
      <c r="W161" s="20">
        <f t="shared" si="87"/>
        <v>5</v>
      </c>
      <c r="X161" s="20">
        <f t="shared" si="87"/>
        <v>10</v>
      </c>
      <c r="Y161" s="20">
        <f t="shared" si="86"/>
        <v>15</v>
      </c>
      <c r="Z161" s="20">
        <f t="shared" si="86"/>
        <v>0</v>
      </c>
      <c r="AA161" s="20">
        <f t="shared" si="86"/>
        <v>0</v>
      </c>
      <c r="AC161" s="3">
        <f t="shared" si="57"/>
        <v>31</v>
      </c>
      <c r="AD161" s="3">
        <f t="shared" si="58"/>
        <v>26</v>
      </c>
      <c r="AE161" s="3">
        <f t="shared" si="59"/>
        <v>21</v>
      </c>
      <c r="AF161" s="3">
        <f t="shared" si="60"/>
        <v>0</v>
      </c>
      <c r="AG161" s="3">
        <f t="shared" si="61"/>
        <v>0</v>
      </c>
      <c r="AH161" s="3">
        <f t="shared" si="62"/>
        <v>93</v>
      </c>
      <c r="AI161" s="3">
        <f t="shared" si="63"/>
        <v>89</v>
      </c>
      <c r="AJ161" s="3">
        <f t="shared" si="64"/>
        <v>79</v>
      </c>
      <c r="AK161" s="3">
        <f t="shared" si="65"/>
        <v>74</v>
      </c>
      <c r="AL161" s="3">
        <f t="shared" si="66"/>
        <v>69</v>
      </c>
      <c r="AM161" s="3">
        <f t="shared" si="67"/>
        <v>64</v>
      </c>
      <c r="AN161" s="3">
        <f t="shared" si="68"/>
        <v>57</v>
      </c>
      <c r="AO161" s="3">
        <f t="shared" si="69"/>
        <v>52</v>
      </c>
      <c r="AP161" s="3">
        <f t="shared" si="70"/>
        <v>47</v>
      </c>
      <c r="AQ161" s="3">
        <f t="shared" si="71"/>
        <v>42</v>
      </c>
      <c r="AR161" s="3">
        <f t="shared" si="72"/>
        <v>36</v>
      </c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M161" s="35" t="s">
        <v>12</v>
      </c>
      <c r="BO161" s="35"/>
      <c r="BR161" s="9">
        <f t="shared" si="77"/>
        <v>1</v>
      </c>
      <c r="BS161" s="37">
        <f t="shared" si="78"/>
        <v>44202</v>
      </c>
      <c r="BT161" s="38">
        <f t="shared" si="74"/>
        <v>44321</v>
      </c>
      <c r="BU161" s="36">
        <f t="shared" si="79"/>
        <v>2</v>
      </c>
    </row>
    <row r="162" spans="2:73" ht="15">
      <c r="B162" s="16">
        <f t="shared" si="80"/>
        <v>44207</v>
      </c>
      <c r="C162" s="15" t="s">
        <v>1</v>
      </c>
      <c r="D162" s="17">
        <f t="shared" si="81"/>
        <v>44213</v>
      </c>
      <c r="E162" s="18">
        <f t="shared" si="82"/>
        <v>1</v>
      </c>
      <c r="F162" s="19">
        <f t="shared" si="83"/>
        <v>2021</v>
      </c>
      <c r="G162" s="9">
        <f t="shared" si="85"/>
        <v>17</v>
      </c>
      <c r="H162" s="8">
        <f t="shared" si="85"/>
        <v>95</v>
      </c>
      <c r="I162" s="9"/>
      <c r="J162" s="9"/>
      <c r="K162" s="9"/>
      <c r="L162" s="9"/>
      <c r="M162" s="9"/>
      <c r="N162" s="9"/>
      <c r="O162" s="12"/>
      <c r="P162" s="12"/>
      <c r="Q162" s="12"/>
      <c r="R162" s="12"/>
      <c r="S162" s="12"/>
      <c r="T162" s="12"/>
      <c r="V162" s="20">
        <f t="shared" si="87"/>
        <v>1</v>
      </c>
      <c r="W162" s="20">
        <f t="shared" si="87"/>
        <v>6</v>
      </c>
      <c r="X162" s="20">
        <f t="shared" si="87"/>
        <v>11</v>
      </c>
      <c r="Y162" s="20">
        <f t="shared" si="86"/>
        <v>16</v>
      </c>
      <c r="Z162" s="20">
        <f t="shared" si="86"/>
        <v>0</v>
      </c>
      <c r="AA162" s="20">
        <f t="shared" si="86"/>
        <v>0</v>
      </c>
      <c r="AC162" s="3">
        <f t="shared" si="57"/>
        <v>32</v>
      </c>
      <c r="AD162" s="3">
        <f t="shared" si="58"/>
        <v>27</v>
      </c>
      <c r="AE162" s="3">
        <f t="shared" si="59"/>
        <v>22</v>
      </c>
      <c r="AF162" s="3">
        <f t="shared" si="60"/>
        <v>0</v>
      </c>
      <c r="AG162" s="3">
        <f t="shared" si="61"/>
        <v>0</v>
      </c>
      <c r="AH162" s="3">
        <f t="shared" si="62"/>
        <v>94</v>
      </c>
      <c r="AI162" s="3">
        <f t="shared" si="63"/>
        <v>90</v>
      </c>
      <c r="AJ162" s="3">
        <f t="shared" si="64"/>
        <v>80</v>
      </c>
      <c r="AK162" s="3">
        <f t="shared" si="65"/>
        <v>75</v>
      </c>
      <c r="AL162" s="3">
        <f t="shared" si="66"/>
        <v>70</v>
      </c>
      <c r="AM162" s="3">
        <f t="shared" si="67"/>
        <v>65</v>
      </c>
      <c r="AN162" s="3">
        <f t="shared" si="68"/>
        <v>58</v>
      </c>
      <c r="AO162" s="3">
        <f t="shared" si="69"/>
        <v>53</v>
      </c>
      <c r="AP162" s="3">
        <f t="shared" si="70"/>
        <v>48</v>
      </c>
      <c r="AQ162" s="3">
        <f t="shared" si="71"/>
        <v>43</v>
      </c>
      <c r="AR162" s="3">
        <f t="shared" si="72"/>
        <v>37</v>
      </c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M162" s="35" t="s">
        <v>12</v>
      </c>
      <c r="BO162" s="35"/>
      <c r="BR162" s="9" t="str">
        <f t="shared" si="77"/>
        <v/>
      </c>
      <c r="BS162" s="37" t="str">
        <f t="shared" si="78"/>
        <v/>
      </c>
      <c r="BT162" s="38" t="str">
        <f t="shared" si="74"/>
        <v/>
      </c>
      <c r="BU162" s="36" t="str">
        <f t="shared" si="79"/>
        <v/>
      </c>
    </row>
    <row r="163" spans="2:73" ht="15">
      <c r="B163" s="16">
        <f t="shared" si="80"/>
        <v>44214</v>
      </c>
      <c r="C163" s="15" t="s">
        <v>1</v>
      </c>
      <c r="D163" s="17">
        <f t="shared" si="81"/>
        <v>44220</v>
      </c>
      <c r="E163" s="18">
        <f t="shared" si="82"/>
        <v>1</v>
      </c>
      <c r="F163" s="19">
        <f t="shared" si="83"/>
        <v>2021</v>
      </c>
      <c r="G163" s="9">
        <f t="shared" si="85"/>
        <v>17</v>
      </c>
      <c r="H163" s="8">
        <f t="shared" si="85"/>
        <v>95</v>
      </c>
      <c r="I163" s="9"/>
      <c r="J163" s="9"/>
      <c r="K163" s="9"/>
      <c r="L163" s="9"/>
      <c r="M163" s="9"/>
      <c r="N163" s="9"/>
      <c r="O163" s="12"/>
      <c r="P163" s="12"/>
      <c r="Q163" s="12"/>
      <c r="R163" s="12"/>
      <c r="S163" s="12"/>
      <c r="T163" s="12"/>
      <c r="V163" s="20">
        <f t="shared" si="87"/>
        <v>2</v>
      </c>
      <c r="W163" s="20">
        <f t="shared" si="87"/>
        <v>7</v>
      </c>
      <c r="X163" s="20">
        <f t="shared" si="87"/>
        <v>12</v>
      </c>
      <c r="Y163" s="20">
        <f t="shared" si="86"/>
        <v>17</v>
      </c>
      <c r="Z163" s="20">
        <f t="shared" si="86"/>
        <v>0</v>
      </c>
      <c r="AA163" s="20">
        <f t="shared" si="86"/>
        <v>0</v>
      </c>
      <c r="AC163" s="3">
        <f t="shared" ref="AC163:AC226" si="88">IF(AND(AS163&gt;=$V$2,AS163&lt;=$AA$2),LOOKUP(AS163,$V$2:$AA$2,$V163:$AA163),IF(AS162="A",0,IF(AC162=$H163,0,IF(AC162=0,0,AC162+1))))</f>
        <v>33</v>
      </c>
      <c r="AD163" s="3">
        <f t="shared" ref="AD163:AD226" si="89">IF(AND(AT163&gt;=$V$2,AT163&lt;=$AA$2),LOOKUP(AT163,$V$2:$AA$2,$V163:$AA163),IF(AT162="A",0,IF(AD162=$H163,0,IF(AD162=0,0,AD162+1))))</f>
        <v>28</v>
      </c>
      <c r="AE163" s="3">
        <f t="shared" ref="AE163:AE226" si="90">IF(AND(AU163&gt;=$V$2,AU163&lt;=$AA$2),LOOKUP(AU163,$V$2:$AA$2,$V163:$AA163),IF(AU162="A",0,IF(AE162=$H163,0,IF(AE162=0,0,AE162+1))))</f>
        <v>23</v>
      </c>
      <c r="AF163" s="3">
        <f t="shared" ref="AF163:AF226" si="91">IF(AND(AV163&gt;=$V$2,AV163&lt;=$AA$2),LOOKUP(AV163,$V$2:$AA$2,$V163:$AA163),IF(AV162="A",0,IF(AF162=$H163,0,IF(AF162=0,0,AF162+1))))</f>
        <v>17</v>
      </c>
      <c r="AG163" s="3">
        <f t="shared" ref="AG163:AG226" si="92">IF(AND(AW163&gt;=$V$2,AW163&lt;=$AA$2),LOOKUP(AW163,$V$2:$AA$2,$V163:$AA163),IF(AW162="A",0,IF(AG162=$H163,0,IF(AG162=0,0,AG162+1))))</f>
        <v>0</v>
      </c>
      <c r="AH163" s="3">
        <f t="shared" ref="AH163:AH226" si="93">IF(AND(AX163&gt;=$V$2,AX163&lt;=$AA$2),LOOKUP(AX163,$V$2:$AA$2,$V163:$AA163),IF(AX162="A",0,IF(AH162=$H163,0,IF(AH162=0,0,AH162+1))))</f>
        <v>95</v>
      </c>
      <c r="AI163" s="3">
        <f t="shared" ref="AI163:AI226" si="94">IF(AND(AY163&gt;=$V$2,AY163&lt;=$AA$2),LOOKUP(AY163,$V$2:$AA$2,$V163:$AA163),IF(AY162="A",0,IF(AI162=$H163,0,IF(AI162=0,0,AI162+1))))</f>
        <v>91</v>
      </c>
      <c r="AJ163" s="3">
        <f t="shared" ref="AJ163:AJ226" si="95">IF(AND(AZ163&gt;=$V$2,AZ163&lt;=$AA$2),LOOKUP(AZ163,$V$2:$AA$2,$V163:$AA163),IF(AZ162="A",0,IF(AJ162=$H163,0,IF(AJ162=0,0,AJ162+1))))</f>
        <v>81</v>
      </c>
      <c r="AK163" s="3">
        <f t="shared" ref="AK163:AK226" si="96">IF(AND(BA163&gt;=$V$2,BA163&lt;=$AA$2),LOOKUP(BA163,$V$2:$AA$2,$V163:$AA163),IF(BA162="A",0,IF(AK162=$H163,0,IF(AK162=0,0,AK162+1))))</f>
        <v>76</v>
      </c>
      <c r="AL163" s="3">
        <f t="shared" ref="AL163:AL226" si="97">IF(AND(BB163&gt;=$V$2,BB163&lt;=$AA$2),LOOKUP(BB163,$V$2:$AA$2,$V163:$AA163),IF(BB162="A",0,IF(AL162=$H163,0,IF(AL162=0,0,AL162+1))))</f>
        <v>71</v>
      </c>
      <c r="AM163" s="3">
        <f t="shared" ref="AM163:AM226" si="98">IF(AND(BC163&gt;=$V$2,BC163&lt;=$AA$2),LOOKUP(BC163,$V$2:$AA$2,$V163:$AA163),IF(BC162="A",0,IF(AM162=$H163,0,IF(AM162=0,0,AM162+1))))</f>
        <v>66</v>
      </c>
      <c r="AN163" s="3">
        <f t="shared" ref="AN163:AN226" si="99">IF(AND(BD163&gt;=$V$2,BD163&lt;=$AA$2),LOOKUP(BD163,$V$2:$AA$2,$V163:$AA163),IF(BD162="A",0,IF(AN162=$H163,0,IF(AN162=0,0,AN162+1))))</f>
        <v>59</v>
      </c>
      <c r="AO163" s="3">
        <f t="shared" ref="AO163:AO226" si="100">IF(AND(BE163&gt;=$V$2,BE163&lt;=$AA$2),LOOKUP(BE163,$V$2:$AA$2,$V163:$AA163),IF(BE162="A",0,IF(AO162=$H163,0,IF(AO162=0,0,AO162+1))))</f>
        <v>54</v>
      </c>
      <c r="AP163" s="3">
        <f t="shared" ref="AP163:AP226" si="101">IF(AND(BF163&gt;=$V$2,BF163&lt;=$AA$2),LOOKUP(BF163,$V$2:$AA$2,$V163:$AA163),IF(BF162="A",0,IF(AP162=$H163,0,IF(AP162=0,0,AP162+1))))</f>
        <v>49</v>
      </c>
      <c r="AQ163" s="3">
        <f t="shared" ref="AQ163:AQ226" si="102">IF(AND(BG163&gt;=$V$2,BG163&lt;=$AA$2),LOOKUP(BG163,$V$2:$AA$2,$V163:$AA163),IF(BG162="A",0,IF(AQ162=$H163,0,IF(AQ162=0,0,AQ162+1))))</f>
        <v>44</v>
      </c>
      <c r="AR163" s="3">
        <f t="shared" ref="AR163:AR226" si="103">IF(AND(BH163&gt;=$V$2,BH163&lt;=$AA$2),LOOKUP(BH163,$V$2:$AA$2,$V163:$AA163),IF(BH162="A",0,IF(AR162=$H163,0,IF(AR162=0,0,AR162+1))))</f>
        <v>38</v>
      </c>
      <c r="AS163" s="8"/>
      <c r="AT163" s="8"/>
      <c r="AU163" s="8"/>
      <c r="AV163" s="8">
        <v>4</v>
      </c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M163" s="35" t="s">
        <v>12</v>
      </c>
      <c r="BO163" s="35"/>
      <c r="BR163" s="9" t="str">
        <f t="shared" si="77"/>
        <v/>
      </c>
      <c r="BS163" s="37" t="str">
        <f t="shared" si="78"/>
        <v/>
      </c>
      <c r="BT163" s="38" t="str">
        <f t="shared" si="74"/>
        <v/>
      </c>
      <c r="BU163" s="36" t="str">
        <f t="shared" si="79"/>
        <v/>
      </c>
    </row>
    <row r="164" spans="2:73" ht="15">
      <c r="B164" s="16">
        <f t="shared" si="80"/>
        <v>44221</v>
      </c>
      <c r="C164" s="15" t="s">
        <v>1</v>
      </c>
      <c r="D164" s="17">
        <f t="shared" si="81"/>
        <v>44227</v>
      </c>
      <c r="E164" s="18">
        <f t="shared" si="82"/>
        <v>1</v>
      </c>
      <c r="F164" s="19">
        <f t="shared" si="83"/>
        <v>2021</v>
      </c>
      <c r="G164" s="9">
        <f t="shared" si="85"/>
        <v>17</v>
      </c>
      <c r="H164" s="8">
        <f t="shared" si="85"/>
        <v>95</v>
      </c>
      <c r="I164" s="9"/>
      <c r="J164" s="9"/>
      <c r="K164" s="9"/>
      <c r="L164" s="9"/>
      <c r="M164" s="9"/>
      <c r="N164" s="9"/>
      <c r="O164" s="12"/>
      <c r="P164" s="12"/>
      <c r="Q164" s="12"/>
      <c r="R164" s="12"/>
      <c r="S164" s="12"/>
      <c r="T164" s="12"/>
      <c r="V164" s="20">
        <f t="shared" si="87"/>
        <v>3</v>
      </c>
      <c r="W164" s="20">
        <f t="shared" si="87"/>
        <v>8</v>
      </c>
      <c r="X164" s="20">
        <f t="shared" si="87"/>
        <v>13</v>
      </c>
      <c r="Y164" s="20">
        <f t="shared" si="86"/>
        <v>0</v>
      </c>
      <c r="Z164" s="20">
        <f t="shared" si="86"/>
        <v>0</v>
      </c>
      <c r="AA164" s="20">
        <f t="shared" si="86"/>
        <v>0</v>
      </c>
      <c r="AC164" s="3">
        <f t="shared" si="88"/>
        <v>34</v>
      </c>
      <c r="AD164" s="3">
        <f t="shared" si="89"/>
        <v>29</v>
      </c>
      <c r="AE164" s="3">
        <f t="shared" si="90"/>
        <v>24</v>
      </c>
      <c r="AF164" s="3">
        <f t="shared" si="91"/>
        <v>18</v>
      </c>
      <c r="AG164" s="3">
        <f t="shared" si="92"/>
        <v>0</v>
      </c>
      <c r="AH164" s="3">
        <f t="shared" si="93"/>
        <v>0</v>
      </c>
      <c r="AI164" s="3">
        <f t="shared" si="94"/>
        <v>92</v>
      </c>
      <c r="AJ164" s="3">
        <f t="shared" si="95"/>
        <v>82</v>
      </c>
      <c r="AK164" s="3">
        <f t="shared" si="96"/>
        <v>77</v>
      </c>
      <c r="AL164" s="3">
        <f t="shared" si="97"/>
        <v>72</v>
      </c>
      <c r="AM164" s="3">
        <f t="shared" si="98"/>
        <v>67</v>
      </c>
      <c r="AN164" s="3">
        <f t="shared" si="99"/>
        <v>60</v>
      </c>
      <c r="AO164" s="3">
        <f t="shared" si="100"/>
        <v>55</v>
      </c>
      <c r="AP164" s="3">
        <f t="shared" si="101"/>
        <v>50</v>
      </c>
      <c r="AQ164" s="3">
        <f t="shared" si="102"/>
        <v>45</v>
      </c>
      <c r="AR164" s="3">
        <f t="shared" si="103"/>
        <v>39</v>
      </c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M164" s="35" t="s">
        <v>12</v>
      </c>
      <c r="BO164" s="35"/>
      <c r="BR164" s="9" t="str">
        <f t="shared" si="77"/>
        <v/>
      </c>
      <c r="BS164" s="37" t="str">
        <f t="shared" si="78"/>
        <v/>
      </c>
      <c r="BT164" s="38" t="str">
        <f t="shared" si="74"/>
        <v/>
      </c>
      <c r="BU164" s="36" t="str">
        <f t="shared" si="79"/>
        <v/>
      </c>
    </row>
    <row r="165" spans="2:73" ht="15">
      <c r="B165" s="16">
        <f t="shared" si="80"/>
        <v>44228</v>
      </c>
      <c r="C165" s="15" t="s">
        <v>1</v>
      </c>
      <c r="D165" s="17">
        <f t="shared" si="81"/>
        <v>44234</v>
      </c>
      <c r="E165" s="18">
        <f t="shared" si="82"/>
        <v>2</v>
      </c>
      <c r="F165" s="19">
        <f t="shared" si="83"/>
        <v>2021</v>
      </c>
      <c r="G165" s="9">
        <f t="shared" si="85"/>
        <v>17</v>
      </c>
      <c r="H165" s="8">
        <f t="shared" si="85"/>
        <v>95</v>
      </c>
      <c r="I165" s="9"/>
      <c r="J165" s="9"/>
      <c r="K165" s="9"/>
      <c r="L165" s="9"/>
      <c r="M165" s="9"/>
      <c r="N165" s="9"/>
      <c r="O165" s="12"/>
      <c r="P165" s="12"/>
      <c r="Q165" s="12"/>
      <c r="R165" s="12"/>
      <c r="S165" s="12"/>
      <c r="T165" s="12"/>
      <c r="V165" s="20">
        <f t="shared" si="87"/>
        <v>4</v>
      </c>
      <c r="W165" s="20">
        <f t="shared" si="87"/>
        <v>9</v>
      </c>
      <c r="X165" s="20">
        <f t="shared" si="87"/>
        <v>14</v>
      </c>
      <c r="Y165" s="20">
        <f t="shared" si="86"/>
        <v>0</v>
      </c>
      <c r="Z165" s="20">
        <f t="shared" si="86"/>
        <v>0</v>
      </c>
      <c r="AA165" s="20">
        <f t="shared" si="86"/>
        <v>0</v>
      </c>
      <c r="AC165" s="3">
        <f t="shared" si="88"/>
        <v>35</v>
      </c>
      <c r="AD165" s="3">
        <f t="shared" si="89"/>
        <v>30</v>
      </c>
      <c r="AE165" s="3">
        <f t="shared" si="90"/>
        <v>25</v>
      </c>
      <c r="AF165" s="3">
        <f t="shared" si="91"/>
        <v>19</v>
      </c>
      <c r="AG165" s="3">
        <f t="shared" si="92"/>
        <v>0</v>
      </c>
      <c r="AH165" s="3">
        <f t="shared" si="93"/>
        <v>0</v>
      </c>
      <c r="AI165" s="3">
        <f t="shared" si="94"/>
        <v>93</v>
      </c>
      <c r="AJ165" s="3">
        <f t="shared" si="95"/>
        <v>83</v>
      </c>
      <c r="AK165" s="3">
        <f t="shared" si="96"/>
        <v>78</v>
      </c>
      <c r="AL165" s="3">
        <f t="shared" si="97"/>
        <v>73</v>
      </c>
      <c r="AM165" s="3">
        <f t="shared" si="98"/>
        <v>68</v>
      </c>
      <c r="AN165" s="3">
        <f t="shared" si="99"/>
        <v>61</v>
      </c>
      <c r="AO165" s="3">
        <f t="shared" si="100"/>
        <v>56</v>
      </c>
      <c r="AP165" s="3">
        <f t="shared" si="101"/>
        <v>51</v>
      </c>
      <c r="AQ165" s="3">
        <f t="shared" si="102"/>
        <v>46</v>
      </c>
      <c r="AR165" s="3">
        <f t="shared" si="103"/>
        <v>40</v>
      </c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L165">
        <v>2</v>
      </c>
      <c r="BM165" s="35">
        <v>44228</v>
      </c>
      <c r="BO165" s="35">
        <f>B182</f>
        <v>44347</v>
      </c>
      <c r="BP165">
        <v>95</v>
      </c>
      <c r="BR165" s="9" t="str">
        <f t="shared" si="77"/>
        <v/>
      </c>
      <c r="BS165" s="37" t="str">
        <f t="shared" si="78"/>
        <v/>
      </c>
      <c r="BT165" s="38" t="str">
        <f t="shared" si="74"/>
        <v/>
      </c>
      <c r="BU165" s="36" t="str">
        <f t="shared" si="79"/>
        <v/>
      </c>
    </row>
    <row r="166" spans="2:73" ht="15">
      <c r="B166" s="16">
        <f t="shared" si="80"/>
        <v>44235</v>
      </c>
      <c r="C166" s="15" t="s">
        <v>1</v>
      </c>
      <c r="D166" s="17">
        <f t="shared" si="81"/>
        <v>44241</v>
      </c>
      <c r="E166" s="18">
        <f t="shared" si="82"/>
        <v>2</v>
      </c>
      <c r="F166" s="19">
        <f t="shared" si="83"/>
        <v>2021</v>
      </c>
      <c r="G166" s="9">
        <f t="shared" ref="G166:H181" si="104">G165</f>
        <v>17</v>
      </c>
      <c r="H166" s="8">
        <f t="shared" si="104"/>
        <v>95</v>
      </c>
      <c r="I166" s="9"/>
      <c r="J166" s="9"/>
      <c r="K166" s="9"/>
      <c r="L166" s="9"/>
      <c r="M166" s="9"/>
      <c r="N166" s="9"/>
      <c r="O166" s="12"/>
      <c r="P166" s="12"/>
      <c r="Q166" s="12"/>
      <c r="R166" s="12"/>
      <c r="S166" s="12"/>
      <c r="T166" s="12"/>
      <c r="V166" s="20">
        <f t="shared" si="87"/>
        <v>5</v>
      </c>
      <c r="W166" s="20">
        <f t="shared" si="87"/>
        <v>10</v>
      </c>
      <c r="X166" s="20">
        <f t="shared" si="87"/>
        <v>15</v>
      </c>
      <c r="Y166" s="20">
        <f t="shared" si="86"/>
        <v>0</v>
      </c>
      <c r="Z166" s="20">
        <f t="shared" si="86"/>
        <v>0</v>
      </c>
      <c r="AA166" s="20">
        <f t="shared" si="86"/>
        <v>0</v>
      </c>
      <c r="AC166" s="3">
        <f t="shared" si="88"/>
        <v>36</v>
      </c>
      <c r="AD166" s="3">
        <f t="shared" si="89"/>
        <v>31</v>
      </c>
      <c r="AE166" s="3">
        <f t="shared" si="90"/>
        <v>26</v>
      </c>
      <c r="AF166" s="3">
        <f t="shared" si="91"/>
        <v>20</v>
      </c>
      <c r="AG166" s="3">
        <f t="shared" si="92"/>
        <v>0</v>
      </c>
      <c r="AH166" s="3">
        <f t="shared" si="93"/>
        <v>0</v>
      </c>
      <c r="AI166" s="3">
        <f t="shared" si="94"/>
        <v>94</v>
      </c>
      <c r="AJ166" s="3">
        <f t="shared" si="95"/>
        <v>84</v>
      </c>
      <c r="AK166" s="3">
        <f t="shared" si="96"/>
        <v>79</v>
      </c>
      <c r="AL166" s="3">
        <f t="shared" si="97"/>
        <v>74</v>
      </c>
      <c r="AM166" s="3">
        <f t="shared" si="98"/>
        <v>69</v>
      </c>
      <c r="AN166" s="3">
        <f t="shared" si="99"/>
        <v>62</v>
      </c>
      <c r="AO166" s="3">
        <f t="shared" si="100"/>
        <v>57</v>
      </c>
      <c r="AP166" s="3">
        <f t="shared" si="101"/>
        <v>52</v>
      </c>
      <c r="AQ166" s="3">
        <f t="shared" si="102"/>
        <v>47</v>
      </c>
      <c r="AR166" s="3">
        <f t="shared" si="103"/>
        <v>41</v>
      </c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M166" s="35" t="s">
        <v>12</v>
      </c>
      <c r="BO166" s="35"/>
      <c r="BR166" s="9" t="str">
        <f t="shared" si="77"/>
        <v/>
      </c>
      <c r="BS166" s="37" t="str">
        <f t="shared" si="78"/>
        <v/>
      </c>
      <c r="BT166" s="38" t="str">
        <f t="shared" si="74"/>
        <v/>
      </c>
      <c r="BU166" s="36" t="str">
        <f t="shared" si="79"/>
        <v/>
      </c>
    </row>
    <row r="167" spans="2:73" ht="15">
      <c r="B167" s="16">
        <f t="shared" si="80"/>
        <v>44242</v>
      </c>
      <c r="C167" s="15" t="s">
        <v>1</v>
      </c>
      <c r="D167" s="17">
        <f t="shared" si="81"/>
        <v>44248</v>
      </c>
      <c r="E167" s="18">
        <f t="shared" si="82"/>
        <v>2</v>
      </c>
      <c r="F167" s="19">
        <f t="shared" si="83"/>
        <v>2021</v>
      </c>
      <c r="G167" s="9">
        <f t="shared" si="104"/>
        <v>17</v>
      </c>
      <c r="H167" s="8">
        <f t="shared" si="104"/>
        <v>95</v>
      </c>
      <c r="I167" s="9"/>
      <c r="J167" s="9"/>
      <c r="K167" s="9"/>
      <c r="L167" s="9"/>
      <c r="M167" s="9"/>
      <c r="N167" s="9"/>
      <c r="O167" s="12"/>
      <c r="P167" s="12"/>
      <c r="Q167" s="12"/>
      <c r="R167" s="12"/>
      <c r="S167" s="12"/>
      <c r="T167" s="12"/>
      <c r="V167" s="20">
        <f t="shared" si="87"/>
        <v>6</v>
      </c>
      <c r="W167" s="20">
        <f t="shared" si="87"/>
        <v>11</v>
      </c>
      <c r="X167" s="20">
        <f t="shared" si="87"/>
        <v>16</v>
      </c>
      <c r="Y167" s="20">
        <f t="shared" si="86"/>
        <v>0</v>
      </c>
      <c r="Z167" s="20">
        <f t="shared" si="86"/>
        <v>0</v>
      </c>
      <c r="AA167" s="20">
        <f t="shared" si="86"/>
        <v>0</v>
      </c>
      <c r="AC167" s="3">
        <f t="shared" si="88"/>
        <v>37</v>
      </c>
      <c r="AD167" s="3">
        <f t="shared" si="89"/>
        <v>32</v>
      </c>
      <c r="AE167" s="3">
        <f t="shared" si="90"/>
        <v>27</v>
      </c>
      <c r="AF167" s="3">
        <f t="shared" si="91"/>
        <v>21</v>
      </c>
      <c r="AG167" s="3">
        <f t="shared" si="92"/>
        <v>0</v>
      </c>
      <c r="AH167" s="3">
        <f t="shared" si="93"/>
        <v>0</v>
      </c>
      <c r="AI167" s="3">
        <f t="shared" si="94"/>
        <v>95</v>
      </c>
      <c r="AJ167" s="3">
        <f t="shared" si="95"/>
        <v>85</v>
      </c>
      <c r="AK167" s="3">
        <f t="shared" si="96"/>
        <v>80</v>
      </c>
      <c r="AL167" s="3">
        <f t="shared" si="97"/>
        <v>75</v>
      </c>
      <c r="AM167" s="3">
        <f t="shared" si="98"/>
        <v>70</v>
      </c>
      <c r="AN167" s="3">
        <f t="shared" si="99"/>
        <v>63</v>
      </c>
      <c r="AO167" s="3">
        <f t="shared" si="100"/>
        <v>58</v>
      </c>
      <c r="AP167" s="3">
        <f t="shared" si="101"/>
        <v>53</v>
      </c>
      <c r="AQ167" s="3">
        <f t="shared" si="102"/>
        <v>48</v>
      </c>
      <c r="AR167" s="3">
        <f t="shared" si="103"/>
        <v>42</v>
      </c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M167" s="35" t="s">
        <v>12</v>
      </c>
      <c r="BO167" s="35"/>
      <c r="BR167" s="9" t="str">
        <f t="shared" si="77"/>
        <v/>
      </c>
      <c r="BS167" s="37" t="str">
        <f t="shared" si="78"/>
        <v/>
      </c>
      <c r="BT167" s="38" t="str">
        <f t="shared" si="74"/>
        <v/>
      </c>
      <c r="BU167" s="36" t="str">
        <f t="shared" si="79"/>
        <v/>
      </c>
    </row>
    <row r="168" spans="2:73" ht="15">
      <c r="B168" s="16">
        <f t="shared" si="80"/>
        <v>44249</v>
      </c>
      <c r="C168" s="15" t="s">
        <v>1</v>
      </c>
      <c r="D168" s="17">
        <f t="shared" si="81"/>
        <v>44255</v>
      </c>
      <c r="E168" s="18">
        <f t="shared" si="82"/>
        <v>2</v>
      </c>
      <c r="F168" s="19">
        <f t="shared" si="83"/>
        <v>2021</v>
      </c>
      <c r="G168" s="9">
        <f t="shared" si="104"/>
        <v>17</v>
      </c>
      <c r="H168" s="8">
        <f t="shared" si="104"/>
        <v>95</v>
      </c>
      <c r="I168" s="9"/>
      <c r="J168" s="9"/>
      <c r="K168" s="9"/>
      <c r="L168" s="9"/>
      <c r="M168" s="9"/>
      <c r="N168" s="9"/>
      <c r="O168" s="12"/>
      <c r="P168" s="12"/>
      <c r="Q168" s="12"/>
      <c r="R168" s="12">
        <v>1</v>
      </c>
      <c r="S168" s="12"/>
      <c r="T168" s="12"/>
      <c r="V168" s="20">
        <f t="shared" si="87"/>
        <v>7</v>
      </c>
      <c r="W168" s="20">
        <f t="shared" si="87"/>
        <v>12</v>
      </c>
      <c r="X168" s="20">
        <f t="shared" si="87"/>
        <v>17</v>
      </c>
      <c r="Y168" s="20">
        <f t="shared" si="86"/>
        <v>44251</v>
      </c>
      <c r="Z168" s="20">
        <f t="shared" si="86"/>
        <v>0</v>
      </c>
      <c r="AA168" s="20">
        <f t="shared" si="86"/>
        <v>0</v>
      </c>
      <c r="AC168" s="3">
        <f t="shared" si="88"/>
        <v>38</v>
      </c>
      <c r="AD168" s="3">
        <f t="shared" si="89"/>
        <v>33</v>
      </c>
      <c r="AE168" s="3">
        <f t="shared" si="90"/>
        <v>28</v>
      </c>
      <c r="AF168" s="3">
        <f t="shared" si="91"/>
        <v>22</v>
      </c>
      <c r="AG168" s="3">
        <f t="shared" si="92"/>
        <v>17</v>
      </c>
      <c r="AH168" s="3">
        <f t="shared" si="93"/>
        <v>0</v>
      </c>
      <c r="AI168" s="3">
        <f t="shared" si="94"/>
        <v>0</v>
      </c>
      <c r="AJ168" s="3">
        <f t="shared" si="95"/>
        <v>86</v>
      </c>
      <c r="AK168" s="3">
        <f t="shared" si="96"/>
        <v>81</v>
      </c>
      <c r="AL168" s="3">
        <f t="shared" si="97"/>
        <v>76</v>
      </c>
      <c r="AM168" s="3">
        <f t="shared" si="98"/>
        <v>71</v>
      </c>
      <c r="AN168" s="3">
        <f t="shared" si="99"/>
        <v>64</v>
      </c>
      <c r="AO168" s="3">
        <f t="shared" si="100"/>
        <v>59</v>
      </c>
      <c r="AP168" s="3">
        <f t="shared" si="101"/>
        <v>54</v>
      </c>
      <c r="AQ168" s="3">
        <f t="shared" si="102"/>
        <v>49</v>
      </c>
      <c r="AR168" s="3">
        <f t="shared" si="103"/>
        <v>43</v>
      </c>
      <c r="AS168" s="8"/>
      <c r="AT168" s="8"/>
      <c r="AU168" s="8"/>
      <c r="AV168" s="8"/>
      <c r="AW168" s="8">
        <v>3</v>
      </c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M168" s="35" t="s">
        <v>12</v>
      </c>
      <c r="BO168" s="35"/>
      <c r="BR168" s="9">
        <f t="shared" si="77"/>
        <v>4</v>
      </c>
      <c r="BS168" s="37">
        <f t="shared" si="78"/>
        <v>44251</v>
      </c>
      <c r="BT168" s="38">
        <f t="shared" si="74"/>
        <v>44370</v>
      </c>
      <c r="BU168" s="36">
        <f t="shared" si="79"/>
        <v>13</v>
      </c>
    </row>
    <row r="169" spans="2:73" ht="15">
      <c r="B169" s="16">
        <f t="shared" si="80"/>
        <v>44256</v>
      </c>
      <c r="C169" s="15" t="s">
        <v>1</v>
      </c>
      <c r="D169" s="17">
        <f t="shared" si="81"/>
        <v>44262</v>
      </c>
      <c r="E169" s="18">
        <f t="shared" si="82"/>
        <v>3</v>
      </c>
      <c r="F169" s="19">
        <f t="shared" si="83"/>
        <v>2021</v>
      </c>
      <c r="G169" s="9">
        <f t="shared" si="104"/>
        <v>17</v>
      </c>
      <c r="H169" s="8">
        <f t="shared" si="104"/>
        <v>95</v>
      </c>
      <c r="I169" s="9"/>
      <c r="J169" s="9"/>
      <c r="K169" s="9"/>
      <c r="L169" s="9"/>
      <c r="M169" s="9"/>
      <c r="N169" s="9"/>
      <c r="O169" s="12"/>
      <c r="P169" s="12"/>
      <c r="Q169" s="12"/>
      <c r="R169" s="12"/>
      <c r="S169" s="12"/>
      <c r="T169" s="12"/>
      <c r="V169" s="20">
        <f t="shared" si="87"/>
        <v>8</v>
      </c>
      <c r="W169" s="20">
        <f t="shared" si="87"/>
        <v>13</v>
      </c>
      <c r="X169" s="20">
        <f t="shared" si="87"/>
        <v>0</v>
      </c>
      <c r="Y169" s="20">
        <f t="shared" si="86"/>
        <v>1</v>
      </c>
      <c r="Z169" s="20">
        <f t="shared" si="86"/>
        <v>0</v>
      </c>
      <c r="AA169" s="20">
        <f t="shared" si="86"/>
        <v>0</v>
      </c>
      <c r="AC169" s="3">
        <f t="shared" si="88"/>
        <v>39</v>
      </c>
      <c r="AD169" s="3">
        <f t="shared" si="89"/>
        <v>34</v>
      </c>
      <c r="AE169" s="3">
        <f t="shared" si="90"/>
        <v>29</v>
      </c>
      <c r="AF169" s="3">
        <f t="shared" si="91"/>
        <v>23</v>
      </c>
      <c r="AG169" s="3">
        <f t="shared" si="92"/>
        <v>18</v>
      </c>
      <c r="AH169" s="3">
        <f t="shared" si="93"/>
        <v>0</v>
      </c>
      <c r="AI169" s="3">
        <f t="shared" si="94"/>
        <v>0</v>
      </c>
      <c r="AJ169" s="3">
        <f t="shared" si="95"/>
        <v>87</v>
      </c>
      <c r="AK169" s="3">
        <f t="shared" si="96"/>
        <v>82</v>
      </c>
      <c r="AL169" s="3">
        <f t="shared" si="97"/>
        <v>77</v>
      </c>
      <c r="AM169" s="3">
        <f t="shared" si="98"/>
        <v>72</v>
      </c>
      <c r="AN169" s="3">
        <f t="shared" si="99"/>
        <v>65</v>
      </c>
      <c r="AO169" s="3">
        <f t="shared" si="100"/>
        <v>60</v>
      </c>
      <c r="AP169" s="3">
        <f t="shared" si="101"/>
        <v>55</v>
      </c>
      <c r="AQ169" s="3">
        <f t="shared" si="102"/>
        <v>50</v>
      </c>
      <c r="AR169" s="3">
        <f t="shared" si="103"/>
        <v>44</v>
      </c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L169">
        <v>13</v>
      </c>
      <c r="BM169" s="35">
        <v>44256</v>
      </c>
      <c r="BO169" s="35">
        <f>B186</f>
        <v>44375</v>
      </c>
      <c r="BP169">
        <v>98</v>
      </c>
      <c r="BR169" s="9" t="str">
        <f t="shared" si="77"/>
        <v/>
      </c>
      <c r="BS169" s="37" t="str">
        <f t="shared" si="78"/>
        <v/>
      </c>
      <c r="BT169" s="38" t="str">
        <f t="shared" si="74"/>
        <v/>
      </c>
      <c r="BU169" s="36" t="str">
        <f t="shared" si="79"/>
        <v/>
      </c>
    </row>
    <row r="170" spans="2:73" ht="15">
      <c r="B170" s="16">
        <f t="shared" si="80"/>
        <v>44263</v>
      </c>
      <c r="C170" s="15" t="s">
        <v>1</v>
      </c>
      <c r="D170" s="17">
        <f t="shared" si="81"/>
        <v>44269</v>
      </c>
      <c r="E170" s="18">
        <f t="shared" si="82"/>
        <v>3</v>
      </c>
      <c r="F170" s="19">
        <f t="shared" si="83"/>
        <v>2021</v>
      </c>
      <c r="G170" s="9">
        <f t="shared" si="104"/>
        <v>17</v>
      </c>
      <c r="H170" s="8">
        <f t="shared" si="104"/>
        <v>95</v>
      </c>
      <c r="I170" s="9"/>
      <c r="J170" s="9"/>
      <c r="K170" s="9"/>
      <c r="L170" s="9"/>
      <c r="M170" s="9"/>
      <c r="N170" s="9"/>
      <c r="O170" s="12"/>
      <c r="P170" s="12"/>
      <c r="Q170" s="12"/>
      <c r="R170" s="12"/>
      <c r="S170" s="12"/>
      <c r="T170" s="12"/>
      <c r="V170" s="20">
        <f t="shared" si="87"/>
        <v>9</v>
      </c>
      <c r="W170" s="20">
        <f t="shared" si="87"/>
        <v>14</v>
      </c>
      <c r="X170" s="20">
        <f t="shared" si="87"/>
        <v>0</v>
      </c>
      <c r="Y170" s="20">
        <f t="shared" si="86"/>
        <v>2</v>
      </c>
      <c r="Z170" s="20">
        <f t="shared" si="86"/>
        <v>0</v>
      </c>
      <c r="AA170" s="20">
        <f t="shared" si="86"/>
        <v>0</v>
      </c>
      <c r="AC170" s="3">
        <f t="shared" si="88"/>
        <v>40</v>
      </c>
      <c r="AD170" s="3">
        <f t="shared" si="89"/>
        <v>35</v>
      </c>
      <c r="AE170" s="3">
        <f t="shared" si="90"/>
        <v>30</v>
      </c>
      <c r="AF170" s="3">
        <f t="shared" si="91"/>
        <v>24</v>
      </c>
      <c r="AG170" s="3">
        <f t="shared" si="92"/>
        <v>19</v>
      </c>
      <c r="AH170" s="3">
        <f t="shared" si="93"/>
        <v>0</v>
      </c>
      <c r="AI170" s="3">
        <f t="shared" si="94"/>
        <v>0</v>
      </c>
      <c r="AJ170" s="3">
        <f t="shared" si="95"/>
        <v>88</v>
      </c>
      <c r="AK170" s="3">
        <f t="shared" si="96"/>
        <v>83</v>
      </c>
      <c r="AL170" s="3">
        <f t="shared" si="97"/>
        <v>78</v>
      </c>
      <c r="AM170" s="3">
        <f t="shared" si="98"/>
        <v>73</v>
      </c>
      <c r="AN170" s="3">
        <f t="shared" si="99"/>
        <v>66</v>
      </c>
      <c r="AO170" s="3">
        <f t="shared" si="100"/>
        <v>61</v>
      </c>
      <c r="AP170" s="3">
        <f t="shared" si="101"/>
        <v>56</v>
      </c>
      <c r="AQ170" s="3">
        <f t="shared" si="102"/>
        <v>51</v>
      </c>
      <c r="AR170" s="3">
        <f t="shared" si="103"/>
        <v>45</v>
      </c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M170" s="35" t="s">
        <v>12</v>
      </c>
      <c r="BO170" s="35"/>
      <c r="BR170" s="9" t="str">
        <f t="shared" si="77"/>
        <v/>
      </c>
      <c r="BS170" s="37" t="str">
        <f t="shared" si="78"/>
        <v/>
      </c>
      <c r="BT170" s="38" t="str">
        <f t="shared" ref="BT170:BT233" si="105">IF(BS170="","",BS170+(17*7))</f>
        <v/>
      </c>
      <c r="BU170" s="36" t="str">
        <f t="shared" si="79"/>
        <v/>
      </c>
    </row>
    <row r="171" spans="2:73" ht="15">
      <c r="B171" s="16">
        <f t="shared" si="80"/>
        <v>44270</v>
      </c>
      <c r="C171" s="15" t="s">
        <v>1</v>
      </c>
      <c r="D171" s="17">
        <f t="shared" si="81"/>
        <v>44276</v>
      </c>
      <c r="E171" s="18">
        <f t="shared" si="82"/>
        <v>3</v>
      </c>
      <c r="F171" s="19">
        <f t="shared" si="83"/>
        <v>2021</v>
      </c>
      <c r="G171" s="9">
        <f t="shared" si="104"/>
        <v>17</v>
      </c>
      <c r="H171" s="8">
        <f t="shared" si="104"/>
        <v>95</v>
      </c>
      <c r="I171" s="9"/>
      <c r="J171" s="9"/>
      <c r="K171" s="9"/>
      <c r="L171" s="9"/>
      <c r="M171" s="9"/>
      <c r="N171" s="9"/>
      <c r="O171" s="12"/>
      <c r="P171" s="12"/>
      <c r="Q171" s="12"/>
      <c r="R171" s="12"/>
      <c r="S171" s="12"/>
      <c r="T171" s="12"/>
      <c r="V171" s="20">
        <f t="shared" si="87"/>
        <v>10</v>
      </c>
      <c r="W171" s="20">
        <f t="shared" si="87"/>
        <v>15</v>
      </c>
      <c r="X171" s="20">
        <f t="shared" si="87"/>
        <v>0</v>
      </c>
      <c r="Y171" s="20">
        <f t="shared" si="86"/>
        <v>3</v>
      </c>
      <c r="Z171" s="20">
        <f t="shared" si="86"/>
        <v>0</v>
      </c>
      <c r="AA171" s="20">
        <f t="shared" si="86"/>
        <v>0</v>
      </c>
      <c r="AC171" s="3">
        <f t="shared" si="88"/>
        <v>41</v>
      </c>
      <c r="AD171" s="3">
        <f t="shared" si="89"/>
        <v>36</v>
      </c>
      <c r="AE171" s="3">
        <f t="shared" si="90"/>
        <v>31</v>
      </c>
      <c r="AF171" s="3">
        <f t="shared" si="91"/>
        <v>25</v>
      </c>
      <c r="AG171" s="3">
        <f t="shared" si="92"/>
        <v>20</v>
      </c>
      <c r="AH171" s="3">
        <f t="shared" si="93"/>
        <v>0</v>
      </c>
      <c r="AI171" s="3">
        <f t="shared" si="94"/>
        <v>0</v>
      </c>
      <c r="AJ171" s="3">
        <f t="shared" si="95"/>
        <v>89</v>
      </c>
      <c r="AK171" s="3">
        <f t="shared" si="96"/>
        <v>84</v>
      </c>
      <c r="AL171" s="3">
        <f t="shared" si="97"/>
        <v>79</v>
      </c>
      <c r="AM171" s="3">
        <f t="shared" si="98"/>
        <v>74</v>
      </c>
      <c r="AN171" s="3">
        <f t="shared" si="99"/>
        <v>67</v>
      </c>
      <c r="AO171" s="3">
        <f t="shared" si="100"/>
        <v>62</v>
      </c>
      <c r="AP171" s="3">
        <f t="shared" si="101"/>
        <v>57</v>
      </c>
      <c r="AQ171" s="3">
        <f t="shared" si="102"/>
        <v>52</v>
      </c>
      <c r="AR171" s="3">
        <f t="shared" si="103"/>
        <v>46</v>
      </c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M171" s="35" t="s">
        <v>12</v>
      </c>
      <c r="BO171" s="35"/>
      <c r="BR171" s="9" t="str">
        <f t="shared" si="77"/>
        <v/>
      </c>
      <c r="BS171" s="37" t="str">
        <f t="shared" si="78"/>
        <v/>
      </c>
      <c r="BT171" s="38" t="str">
        <f t="shared" si="105"/>
        <v/>
      </c>
      <c r="BU171" s="36" t="str">
        <f t="shared" si="79"/>
        <v/>
      </c>
    </row>
    <row r="172" spans="2:73" ht="15">
      <c r="B172" s="16">
        <f t="shared" si="80"/>
        <v>44277</v>
      </c>
      <c r="C172" s="15" t="s">
        <v>1</v>
      </c>
      <c r="D172" s="17">
        <f t="shared" si="81"/>
        <v>44283</v>
      </c>
      <c r="E172" s="18">
        <f t="shared" si="82"/>
        <v>3</v>
      </c>
      <c r="F172" s="19">
        <f t="shared" si="83"/>
        <v>2021</v>
      </c>
      <c r="G172" s="9">
        <f t="shared" si="104"/>
        <v>17</v>
      </c>
      <c r="H172" s="8">
        <f t="shared" si="104"/>
        <v>95</v>
      </c>
      <c r="I172" s="9"/>
      <c r="J172" s="9"/>
      <c r="K172" s="9"/>
      <c r="L172" s="9"/>
      <c r="M172" s="9"/>
      <c r="N172" s="9"/>
      <c r="O172" s="12"/>
      <c r="P172" s="12"/>
      <c r="Q172" s="12"/>
      <c r="R172" s="12"/>
      <c r="S172" s="12"/>
      <c r="T172" s="12"/>
      <c r="V172" s="20">
        <f t="shared" si="87"/>
        <v>11</v>
      </c>
      <c r="W172" s="20">
        <f t="shared" si="87"/>
        <v>16</v>
      </c>
      <c r="X172" s="20">
        <f t="shared" si="87"/>
        <v>0</v>
      </c>
      <c r="Y172" s="20">
        <f t="shared" si="86"/>
        <v>4</v>
      </c>
      <c r="Z172" s="20">
        <f t="shared" si="86"/>
        <v>0</v>
      </c>
      <c r="AA172" s="20">
        <f t="shared" si="86"/>
        <v>0</v>
      </c>
      <c r="AC172" s="3">
        <f t="shared" si="88"/>
        <v>42</v>
      </c>
      <c r="AD172" s="3">
        <f t="shared" si="89"/>
        <v>37</v>
      </c>
      <c r="AE172" s="3">
        <f t="shared" si="90"/>
        <v>32</v>
      </c>
      <c r="AF172" s="3">
        <f t="shared" si="91"/>
        <v>26</v>
      </c>
      <c r="AG172" s="3">
        <f t="shared" si="92"/>
        <v>21</v>
      </c>
      <c r="AH172" s="3">
        <f t="shared" si="93"/>
        <v>0</v>
      </c>
      <c r="AI172" s="3">
        <f t="shared" si="94"/>
        <v>0</v>
      </c>
      <c r="AJ172" s="3">
        <f t="shared" si="95"/>
        <v>90</v>
      </c>
      <c r="AK172" s="3">
        <f t="shared" si="96"/>
        <v>85</v>
      </c>
      <c r="AL172" s="3">
        <f t="shared" si="97"/>
        <v>80</v>
      </c>
      <c r="AM172" s="3">
        <f t="shared" si="98"/>
        <v>75</v>
      </c>
      <c r="AN172" s="3">
        <f t="shared" si="99"/>
        <v>68</v>
      </c>
      <c r="AO172" s="3">
        <f t="shared" si="100"/>
        <v>63</v>
      </c>
      <c r="AP172" s="3">
        <f t="shared" si="101"/>
        <v>58</v>
      </c>
      <c r="AQ172" s="3">
        <f t="shared" si="102"/>
        <v>53</v>
      </c>
      <c r="AR172" s="3">
        <f t="shared" si="103"/>
        <v>47</v>
      </c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M172" s="35" t="s">
        <v>12</v>
      </c>
      <c r="BO172" s="35"/>
      <c r="BR172" s="9" t="str">
        <f t="shared" si="77"/>
        <v/>
      </c>
      <c r="BS172" s="37" t="str">
        <f t="shared" si="78"/>
        <v/>
      </c>
      <c r="BT172" s="38" t="str">
        <f t="shared" si="105"/>
        <v/>
      </c>
      <c r="BU172" s="36" t="str">
        <f t="shared" si="79"/>
        <v/>
      </c>
    </row>
    <row r="173" spans="2:73" ht="15">
      <c r="B173" s="16">
        <f t="shared" si="80"/>
        <v>44284</v>
      </c>
      <c r="C173" s="15" t="s">
        <v>1</v>
      </c>
      <c r="D173" s="17">
        <f t="shared" si="81"/>
        <v>44290</v>
      </c>
      <c r="E173" s="18">
        <f t="shared" si="82"/>
        <v>3</v>
      </c>
      <c r="F173" s="19">
        <f t="shared" si="83"/>
        <v>2021</v>
      </c>
      <c r="G173" s="9">
        <f t="shared" si="104"/>
        <v>17</v>
      </c>
      <c r="H173" s="8">
        <f t="shared" si="104"/>
        <v>95</v>
      </c>
      <c r="I173" s="9"/>
      <c r="J173" s="9"/>
      <c r="K173" s="9"/>
      <c r="L173" s="9"/>
      <c r="M173" s="9"/>
      <c r="N173" s="9"/>
      <c r="O173" s="12"/>
      <c r="P173" s="12"/>
      <c r="Q173" s="12">
        <v>1</v>
      </c>
      <c r="R173" s="12"/>
      <c r="S173" s="12"/>
      <c r="T173" s="12"/>
      <c r="V173" s="20">
        <f t="shared" si="87"/>
        <v>12</v>
      </c>
      <c r="W173" s="20">
        <f t="shared" si="87"/>
        <v>17</v>
      </c>
      <c r="X173" s="20">
        <f t="shared" si="87"/>
        <v>44286</v>
      </c>
      <c r="Y173" s="20">
        <f t="shared" si="86"/>
        <v>5</v>
      </c>
      <c r="Z173" s="20">
        <f t="shared" si="86"/>
        <v>0</v>
      </c>
      <c r="AA173" s="20">
        <f t="shared" si="86"/>
        <v>0</v>
      </c>
      <c r="AC173" s="3">
        <f t="shared" si="88"/>
        <v>43</v>
      </c>
      <c r="AD173" s="3">
        <f t="shared" si="89"/>
        <v>38</v>
      </c>
      <c r="AE173" s="3">
        <f t="shared" si="90"/>
        <v>33</v>
      </c>
      <c r="AF173" s="3">
        <f t="shared" si="91"/>
        <v>27</v>
      </c>
      <c r="AG173" s="3">
        <f t="shared" si="92"/>
        <v>22</v>
      </c>
      <c r="AH173" s="3">
        <f t="shared" si="93"/>
        <v>17</v>
      </c>
      <c r="AI173" s="3">
        <f t="shared" si="94"/>
        <v>0</v>
      </c>
      <c r="AJ173" s="3">
        <f t="shared" si="95"/>
        <v>91</v>
      </c>
      <c r="AK173" s="3">
        <f t="shared" si="96"/>
        <v>86</v>
      </c>
      <c r="AL173" s="3">
        <f t="shared" si="97"/>
        <v>81</v>
      </c>
      <c r="AM173" s="3">
        <f t="shared" si="98"/>
        <v>76</v>
      </c>
      <c r="AN173" s="3">
        <f t="shared" si="99"/>
        <v>69</v>
      </c>
      <c r="AO173" s="3">
        <f t="shared" si="100"/>
        <v>64</v>
      </c>
      <c r="AP173" s="3">
        <f t="shared" si="101"/>
        <v>59</v>
      </c>
      <c r="AQ173" s="3">
        <f t="shared" si="102"/>
        <v>54</v>
      </c>
      <c r="AR173" s="3">
        <f t="shared" si="103"/>
        <v>48</v>
      </c>
      <c r="AS173" s="8"/>
      <c r="AT173" s="8"/>
      <c r="AU173" s="8"/>
      <c r="AV173" s="8"/>
      <c r="AW173" s="8"/>
      <c r="AX173" s="8">
        <v>2</v>
      </c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M173" s="35" t="s">
        <v>12</v>
      </c>
      <c r="BO173" s="35"/>
      <c r="BR173" s="9">
        <f t="shared" si="77"/>
        <v>3</v>
      </c>
      <c r="BS173" s="37">
        <f t="shared" si="78"/>
        <v>44286</v>
      </c>
      <c r="BT173" s="38">
        <f t="shared" si="105"/>
        <v>44405</v>
      </c>
      <c r="BU173" s="36">
        <f t="shared" si="79"/>
        <v>14</v>
      </c>
    </row>
    <row r="174" spans="2:73" ht="15">
      <c r="B174" s="16">
        <f t="shared" si="80"/>
        <v>44291</v>
      </c>
      <c r="C174" s="15" t="s">
        <v>1</v>
      </c>
      <c r="D174" s="17">
        <f t="shared" si="81"/>
        <v>44297</v>
      </c>
      <c r="E174" s="18">
        <f t="shared" si="82"/>
        <v>4</v>
      </c>
      <c r="F174" s="19">
        <f t="shared" si="83"/>
        <v>2021</v>
      </c>
      <c r="G174" s="9">
        <f t="shared" si="104"/>
        <v>17</v>
      </c>
      <c r="H174" s="8">
        <f t="shared" si="104"/>
        <v>95</v>
      </c>
      <c r="I174" s="9"/>
      <c r="J174" s="9"/>
      <c r="K174" s="9"/>
      <c r="L174" s="9"/>
      <c r="M174" s="9"/>
      <c r="N174" s="9"/>
      <c r="O174" s="12"/>
      <c r="P174" s="12"/>
      <c r="Q174" s="12"/>
      <c r="R174" s="12"/>
      <c r="S174" s="12"/>
      <c r="T174" s="12"/>
      <c r="V174" s="20">
        <f t="shared" si="87"/>
        <v>13</v>
      </c>
      <c r="W174" s="20">
        <f t="shared" si="87"/>
        <v>0</v>
      </c>
      <c r="X174" s="20">
        <f t="shared" si="87"/>
        <v>1</v>
      </c>
      <c r="Y174" s="20">
        <f t="shared" si="86"/>
        <v>6</v>
      </c>
      <c r="Z174" s="20">
        <f t="shared" si="86"/>
        <v>0</v>
      </c>
      <c r="AA174" s="20">
        <f t="shared" si="86"/>
        <v>0</v>
      </c>
      <c r="AC174" s="3">
        <f t="shared" si="88"/>
        <v>44</v>
      </c>
      <c r="AD174" s="3">
        <f t="shared" si="89"/>
        <v>39</v>
      </c>
      <c r="AE174" s="3">
        <f t="shared" si="90"/>
        <v>34</v>
      </c>
      <c r="AF174" s="3">
        <f t="shared" si="91"/>
        <v>28</v>
      </c>
      <c r="AG174" s="3">
        <f t="shared" si="92"/>
        <v>23</v>
      </c>
      <c r="AH174" s="3">
        <f t="shared" si="93"/>
        <v>18</v>
      </c>
      <c r="AI174" s="3">
        <f t="shared" si="94"/>
        <v>0</v>
      </c>
      <c r="AJ174" s="3">
        <f t="shared" si="95"/>
        <v>92</v>
      </c>
      <c r="AK174" s="3">
        <f t="shared" si="96"/>
        <v>87</v>
      </c>
      <c r="AL174" s="3">
        <f t="shared" si="97"/>
        <v>82</v>
      </c>
      <c r="AM174" s="3">
        <f t="shared" si="98"/>
        <v>77</v>
      </c>
      <c r="AN174" s="3">
        <f t="shared" si="99"/>
        <v>70</v>
      </c>
      <c r="AO174" s="3">
        <f t="shared" si="100"/>
        <v>65</v>
      </c>
      <c r="AP174" s="3">
        <f t="shared" si="101"/>
        <v>60</v>
      </c>
      <c r="AQ174" s="3">
        <f t="shared" si="102"/>
        <v>55</v>
      </c>
      <c r="AR174" s="3">
        <f t="shared" si="103"/>
        <v>49</v>
      </c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L174">
        <v>14</v>
      </c>
      <c r="BM174" s="35">
        <v>44291</v>
      </c>
      <c r="BO174" s="35">
        <f>B191</f>
        <v>44410</v>
      </c>
      <c r="BP174">
        <v>98</v>
      </c>
      <c r="BR174" s="9" t="str">
        <f t="shared" si="77"/>
        <v/>
      </c>
      <c r="BS174" s="37" t="str">
        <f t="shared" si="78"/>
        <v/>
      </c>
      <c r="BT174" s="38" t="str">
        <f t="shared" si="105"/>
        <v/>
      </c>
      <c r="BU174" s="36" t="str">
        <f t="shared" si="79"/>
        <v/>
      </c>
    </row>
    <row r="175" spans="2:73" ht="15">
      <c r="B175" s="16">
        <f t="shared" si="80"/>
        <v>44298</v>
      </c>
      <c r="C175" s="15" t="s">
        <v>1</v>
      </c>
      <c r="D175" s="17">
        <f t="shared" si="81"/>
        <v>44304</v>
      </c>
      <c r="E175" s="18">
        <f t="shared" si="82"/>
        <v>4</v>
      </c>
      <c r="F175" s="19">
        <f t="shared" si="83"/>
        <v>2021</v>
      </c>
      <c r="G175" s="9">
        <f t="shared" si="104"/>
        <v>17</v>
      </c>
      <c r="H175" s="8">
        <f t="shared" si="104"/>
        <v>95</v>
      </c>
      <c r="I175" s="9"/>
      <c r="J175" s="9"/>
      <c r="K175" s="9"/>
      <c r="L175" s="9"/>
      <c r="M175" s="9"/>
      <c r="N175" s="9"/>
      <c r="O175" s="12"/>
      <c r="P175" s="12"/>
      <c r="Q175" s="12"/>
      <c r="R175" s="12"/>
      <c r="S175" s="12"/>
      <c r="T175" s="12"/>
      <c r="V175" s="20">
        <f t="shared" si="87"/>
        <v>14</v>
      </c>
      <c r="W175" s="20">
        <f t="shared" si="87"/>
        <v>0</v>
      </c>
      <c r="X175" s="20">
        <f t="shared" si="87"/>
        <v>2</v>
      </c>
      <c r="Y175" s="20">
        <f t="shared" si="86"/>
        <v>7</v>
      </c>
      <c r="Z175" s="20">
        <f t="shared" si="86"/>
        <v>0</v>
      </c>
      <c r="AA175" s="20">
        <f t="shared" si="86"/>
        <v>0</v>
      </c>
      <c r="AC175" s="3">
        <f t="shared" si="88"/>
        <v>45</v>
      </c>
      <c r="AD175" s="3">
        <f t="shared" si="89"/>
        <v>40</v>
      </c>
      <c r="AE175" s="3">
        <f t="shared" si="90"/>
        <v>35</v>
      </c>
      <c r="AF175" s="3">
        <f t="shared" si="91"/>
        <v>29</v>
      </c>
      <c r="AG175" s="3">
        <f t="shared" si="92"/>
        <v>24</v>
      </c>
      <c r="AH175" s="3">
        <f t="shared" si="93"/>
        <v>19</v>
      </c>
      <c r="AI175" s="3">
        <f t="shared" si="94"/>
        <v>0</v>
      </c>
      <c r="AJ175" s="3">
        <f t="shared" si="95"/>
        <v>93</v>
      </c>
      <c r="AK175" s="3">
        <f t="shared" si="96"/>
        <v>88</v>
      </c>
      <c r="AL175" s="3">
        <f t="shared" si="97"/>
        <v>83</v>
      </c>
      <c r="AM175" s="3">
        <f t="shared" si="98"/>
        <v>78</v>
      </c>
      <c r="AN175" s="3">
        <f t="shared" si="99"/>
        <v>71</v>
      </c>
      <c r="AO175" s="3">
        <f t="shared" si="100"/>
        <v>66</v>
      </c>
      <c r="AP175" s="3">
        <f t="shared" si="101"/>
        <v>61</v>
      </c>
      <c r="AQ175" s="3">
        <f t="shared" si="102"/>
        <v>56</v>
      </c>
      <c r="AR175" s="3">
        <f t="shared" si="103"/>
        <v>50</v>
      </c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M175" s="35" t="s">
        <v>12</v>
      </c>
      <c r="BO175" s="35"/>
      <c r="BR175" s="9" t="str">
        <f t="shared" si="77"/>
        <v/>
      </c>
      <c r="BS175" s="37" t="str">
        <f t="shared" si="78"/>
        <v/>
      </c>
      <c r="BT175" s="38" t="str">
        <f t="shared" si="105"/>
        <v/>
      </c>
      <c r="BU175" s="36" t="str">
        <f t="shared" si="79"/>
        <v/>
      </c>
    </row>
    <row r="176" spans="2:73" ht="15">
      <c r="B176" s="16">
        <f t="shared" si="80"/>
        <v>44305</v>
      </c>
      <c r="C176" s="15" t="s">
        <v>1</v>
      </c>
      <c r="D176" s="17">
        <f t="shared" si="81"/>
        <v>44311</v>
      </c>
      <c r="E176" s="18">
        <f t="shared" si="82"/>
        <v>4</v>
      </c>
      <c r="F176" s="19">
        <f t="shared" si="83"/>
        <v>2021</v>
      </c>
      <c r="G176" s="9">
        <f t="shared" si="104"/>
        <v>17</v>
      </c>
      <c r="H176" s="8">
        <f t="shared" si="104"/>
        <v>95</v>
      </c>
      <c r="I176" s="9"/>
      <c r="J176" s="9"/>
      <c r="K176" s="9"/>
      <c r="L176" s="9"/>
      <c r="M176" s="9"/>
      <c r="N176" s="9"/>
      <c r="O176" s="12"/>
      <c r="P176" s="12"/>
      <c r="Q176" s="12"/>
      <c r="R176" s="12"/>
      <c r="S176" s="12"/>
      <c r="T176" s="12"/>
      <c r="V176" s="20">
        <f t="shared" si="87"/>
        <v>15</v>
      </c>
      <c r="W176" s="20">
        <f t="shared" si="87"/>
        <v>0</v>
      </c>
      <c r="X176" s="20">
        <f t="shared" si="87"/>
        <v>3</v>
      </c>
      <c r="Y176" s="20">
        <f t="shared" si="86"/>
        <v>8</v>
      </c>
      <c r="Z176" s="20">
        <f t="shared" si="86"/>
        <v>0</v>
      </c>
      <c r="AA176" s="20">
        <f t="shared" si="86"/>
        <v>0</v>
      </c>
      <c r="AC176" s="3">
        <f t="shared" si="88"/>
        <v>46</v>
      </c>
      <c r="AD176" s="3">
        <f t="shared" si="89"/>
        <v>41</v>
      </c>
      <c r="AE176" s="3">
        <f t="shared" si="90"/>
        <v>36</v>
      </c>
      <c r="AF176" s="3">
        <f t="shared" si="91"/>
        <v>30</v>
      </c>
      <c r="AG176" s="3">
        <f t="shared" si="92"/>
        <v>25</v>
      </c>
      <c r="AH176" s="3">
        <f t="shared" si="93"/>
        <v>20</v>
      </c>
      <c r="AI176" s="3">
        <f t="shared" si="94"/>
        <v>0</v>
      </c>
      <c r="AJ176" s="3">
        <f t="shared" si="95"/>
        <v>94</v>
      </c>
      <c r="AK176" s="3">
        <f t="shared" si="96"/>
        <v>89</v>
      </c>
      <c r="AL176" s="3">
        <f t="shared" si="97"/>
        <v>84</v>
      </c>
      <c r="AM176" s="3">
        <f t="shared" si="98"/>
        <v>79</v>
      </c>
      <c r="AN176" s="3">
        <f t="shared" si="99"/>
        <v>72</v>
      </c>
      <c r="AO176" s="3">
        <f t="shared" si="100"/>
        <v>67</v>
      </c>
      <c r="AP176" s="3">
        <f t="shared" si="101"/>
        <v>62</v>
      </c>
      <c r="AQ176" s="3">
        <f t="shared" si="102"/>
        <v>57</v>
      </c>
      <c r="AR176" s="3">
        <f t="shared" si="103"/>
        <v>51</v>
      </c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M176" s="35" t="s">
        <v>12</v>
      </c>
      <c r="BO176" s="35"/>
      <c r="BR176" s="9" t="str">
        <f t="shared" si="77"/>
        <v/>
      </c>
      <c r="BS176" s="37" t="str">
        <f t="shared" si="78"/>
        <v/>
      </c>
      <c r="BT176" s="38" t="str">
        <f t="shared" si="105"/>
        <v/>
      </c>
      <c r="BU176" s="36" t="str">
        <f t="shared" si="79"/>
        <v/>
      </c>
    </row>
    <row r="177" spans="2:73" ht="15">
      <c r="B177" s="16">
        <f t="shared" si="80"/>
        <v>44312</v>
      </c>
      <c r="C177" s="15" t="s">
        <v>1</v>
      </c>
      <c r="D177" s="17">
        <f t="shared" si="81"/>
        <v>44318</v>
      </c>
      <c r="E177" s="18">
        <f t="shared" si="82"/>
        <v>4</v>
      </c>
      <c r="F177" s="19">
        <f t="shared" si="83"/>
        <v>2021</v>
      </c>
      <c r="G177" s="9">
        <f t="shared" si="104"/>
        <v>17</v>
      </c>
      <c r="H177" s="8">
        <f t="shared" si="104"/>
        <v>95</v>
      </c>
      <c r="I177" s="9"/>
      <c r="J177" s="9"/>
      <c r="K177" s="9"/>
      <c r="L177" s="9"/>
      <c r="M177" s="9"/>
      <c r="N177" s="9"/>
      <c r="O177" s="12"/>
      <c r="P177" s="12"/>
      <c r="Q177" s="12"/>
      <c r="R177" s="12"/>
      <c r="S177" s="12"/>
      <c r="T177" s="12"/>
      <c r="V177" s="20">
        <f t="shared" si="87"/>
        <v>16</v>
      </c>
      <c r="W177" s="20">
        <f t="shared" si="87"/>
        <v>0</v>
      </c>
      <c r="X177" s="20">
        <f t="shared" si="87"/>
        <v>4</v>
      </c>
      <c r="Y177" s="20">
        <f t="shared" si="86"/>
        <v>9</v>
      </c>
      <c r="Z177" s="20">
        <f t="shared" si="86"/>
        <v>0</v>
      </c>
      <c r="AA177" s="20">
        <f t="shared" si="86"/>
        <v>0</v>
      </c>
      <c r="AC177" s="3">
        <f t="shared" si="88"/>
        <v>47</v>
      </c>
      <c r="AD177" s="3">
        <f t="shared" si="89"/>
        <v>42</v>
      </c>
      <c r="AE177" s="3">
        <f t="shared" si="90"/>
        <v>37</v>
      </c>
      <c r="AF177" s="3">
        <f t="shared" si="91"/>
        <v>31</v>
      </c>
      <c r="AG177" s="3">
        <f t="shared" si="92"/>
        <v>26</v>
      </c>
      <c r="AH177" s="3">
        <f t="shared" si="93"/>
        <v>21</v>
      </c>
      <c r="AI177" s="3">
        <f t="shared" si="94"/>
        <v>0</v>
      </c>
      <c r="AJ177" s="3">
        <f t="shared" si="95"/>
        <v>95</v>
      </c>
      <c r="AK177" s="3">
        <f t="shared" si="96"/>
        <v>90</v>
      </c>
      <c r="AL177" s="3">
        <f t="shared" si="97"/>
        <v>85</v>
      </c>
      <c r="AM177" s="3">
        <f t="shared" si="98"/>
        <v>80</v>
      </c>
      <c r="AN177" s="3">
        <f t="shared" si="99"/>
        <v>73</v>
      </c>
      <c r="AO177" s="3">
        <f t="shared" si="100"/>
        <v>68</v>
      </c>
      <c r="AP177" s="3">
        <f t="shared" si="101"/>
        <v>63</v>
      </c>
      <c r="AQ177" s="3">
        <f t="shared" si="102"/>
        <v>58</v>
      </c>
      <c r="AR177" s="3">
        <f t="shared" si="103"/>
        <v>52</v>
      </c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M177" s="35" t="s">
        <v>12</v>
      </c>
      <c r="BO177" s="35"/>
      <c r="BR177" s="9" t="str">
        <f t="shared" si="77"/>
        <v/>
      </c>
      <c r="BS177" s="37" t="str">
        <f t="shared" si="78"/>
        <v/>
      </c>
      <c r="BT177" s="38" t="str">
        <f t="shared" si="105"/>
        <v/>
      </c>
      <c r="BU177" s="36" t="str">
        <f t="shared" si="79"/>
        <v/>
      </c>
    </row>
    <row r="178" spans="2:73" ht="15">
      <c r="B178" s="16">
        <f t="shared" si="80"/>
        <v>44319</v>
      </c>
      <c r="C178" s="15" t="s">
        <v>1</v>
      </c>
      <c r="D178" s="17">
        <f t="shared" si="81"/>
        <v>44325</v>
      </c>
      <c r="E178" s="18">
        <f t="shared" si="82"/>
        <v>5</v>
      </c>
      <c r="F178" s="19">
        <f t="shared" si="83"/>
        <v>2021</v>
      </c>
      <c r="G178" s="9">
        <f t="shared" si="104"/>
        <v>17</v>
      </c>
      <c r="H178" s="8">
        <f t="shared" si="104"/>
        <v>95</v>
      </c>
      <c r="I178" s="9"/>
      <c r="J178" s="9"/>
      <c r="K178" s="9"/>
      <c r="L178" s="9"/>
      <c r="M178" s="9"/>
      <c r="N178" s="9"/>
      <c r="O178" s="12"/>
      <c r="P178" s="12">
        <v>1</v>
      </c>
      <c r="Q178" s="12"/>
      <c r="R178" s="12"/>
      <c r="S178" s="12"/>
      <c r="T178" s="12"/>
      <c r="V178" s="20">
        <f t="shared" si="87"/>
        <v>17</v>
      </c>
      <c r="W178" s="20">
        <f t="shared" si="87"/>
        <v>44321</v>
      </c>
      <c r="X178" s="20">
        <f t="shared" si="87"/>
        <v>5</v>
      </c>
      <c r="Y178" s="20">
        <f t="shared" si="86"/>
        <v>10</v>
      </c>
      <c r="Z178" s="20">
        <f t="shared" si="86"/>
        <v>0</v>
      </c>
      <c r="AA178" s="20">
        <f t="shared" si="86"/>
        <v>0</v>
      </c>
      <c r="AC178" s="3">
        <f t="shared" si="88"/>
        <v>48</v>
      </c>
      <c r="AD178" s="3">
        <f t="shared" si="89"/>
        <v>43</v>
      </c>
      <c r="AE178" s="3">
        <f t="shared" si="90"/>
        <v>38</v>
      </c>
      <c r="AF178" s="3">
        <f t="shared" si="91"/>
        <v>32</v>
      </c>
      <c r="AG178" s="3">
        <f t="shared" si="92"/>
        <v>27</v>
      </c>
      <c r="AH178" s="3">
        <f t="shared" si="93"/>
        <v>22</v>
      </c>
      <c r="AI178" s="3">
        <f t="shared" si="94"/>
        <v>17</v>
      </c>
      <c r="AJ178" s="3">
        <f t="shared" si="95"/>
        <v>0</v>
      </c>
      <c r="AK178" s="3">
        <f t="shared" si="96"/>
        <v>91</v>
      </c>
      <c r="AL178" s="3">
        <f t="shared" si="97"/>
        <v>86</v>
      </c>
      <c r="AM178" s="3">
        <f t="shared" si="98"/>
        <v>81</v>
      </c>
      <c r="AN178" s="3">
        <f t="shared" si="99"/>
        <v>74</v>
      </c>
      <c r="AO178" s="3">
        <f t="shared" si="100"/>
        <v>69</v>
      </c>
      <c r="AP178" s="3">
        <f t="shared" si="101"/>
        <v>64</v>
      </c>
      <c r="AQ178" s="3">
        <f t="shared" si="102"/>
        <v>59</v>
      </c>
      <c r="AR178" s="3">
        <f t="shared" si="103"/>
        <v>53</v>
      </c>
      <c r="AS178" s="8"/>
      <c r="AT178" s="8"/>
      <c r="AU178" s="8"/>
      <c r="AV178" s="8"/>
      <c r="AW178" s="8"/>
      <c r="AX178" s="8"/>
      <c r="AY178" s="8">
        <v>1</v>
      </c>
      <c r="AZ178" s="8"/>
      <c r="BA178" s="8"/>
      <c r="BB178" s="8"/>
      <c r="BC178" s="8"/>
      <c r="BD178" s="8"/>
      <c r="BE178" s="8"/>
      <c r="BF178" s="8"/>
      <c r="BG178" s="8"/>
      <c r="BH178" s="8"/>
      <c r="BM178" s="35" t="s">
        <v>12</v>
      </c>
      <c r="BO178" s="35"/>
      <c r="BR178" s="9">
        <f t="shared" si="77"/>
        <v>2</v>
      </c>
      <c r="BS178" s="37">
        <f t="shared" si="78"/>
        <v>44321</v>
      </c>
      <c r="BT178" s="38">
        <f t="shared" si="105"/>
        <v>44440</v>
      </c>
      <c r="BU178" s="36">
        <f t="shared" si="79"/>
        <v>3</v>
      </c>
    </row>
    <row r="179" spans="2:73" ht="15">
      <c r="B179" s="16">
        <f t="shared" si="80"/>
        <v>44326</v>
      </c>
      <c r="C179" s="15" t="s">
        <v>1</v>
      </c>
      <c r="D179" s="17">
        <f t="shared" si="81"/>
        <v>44332</v>
      </c>
      <c r="E179" s="18">
        <f t="shared" si="82"/>
        <v>5</v>
      </c>
      <c r="F179" s="19">
        <f t="shared" si="83"/>
        <v>2021</v>
      </c>
      <c r="G179" s="9">
        <f t="shared" si="104"/>
        <v>17</v>
      </c>
      <c r="H179" s="8">
        <f t="shared" si="104"/>
        <v>95</v>
      </c>
      <c r="I179" s="9"/>
      <c r="J179" s="9"/>
      <c r="K179" s="9"/>
      <c r="L179" s="9"/>
      <c r="M179" s="9"/>
      <c r="N179" s="9"/>
      <c r="O179" s="12"/>
      <c r="P179" s="12"/>
      <c r="Q179" s="12"/>
      <c r="R179" s="12"/>
      <c r="S179" s="12"/>
      <c r="T179" s="12"/>
      <c r="V179" s="20">
        <f t="shared" si="87"/>
        <v>0</v>
      </c>
      <c r="W179" s="20">
        <f t="shared" si="87"/>
        <v>1</v>
      </c>
      <c r="X179" s="20">
        <f t="shared" si="87"/>
        <v>6</v>
      </c>
      <c r="Y179" s="20">
        <f t="shared" si="86"/>
        <v>11</v>
      </c>
      <c r="Z179" s="20">
        <f t="shared" si="86"/>
        <v>0</v>
      </c>
      <c r="AA179" s="20">
        <f t="shared" si="86"/>
        <v>0</v>
      </c>
      <c r="AC179" s="3">
        <f t="shared" si="88"/>
        <v>49</v>
      </c>
      <c r="AD179" s="3">
        <f t="shared" si="89"/>
        <v>44</v>
      </c>
      <c r="AE179" s="3">
        <f t="shared" si="90"/>
        <v>39</v>
      </c>
      <c r="AF179" s="3">
        <f t="shared" si="91"/>
        <v>33</v>
      </c>
      <c r="AG179" s="3">
        <f t="shared" si="92"/>
        <v>28</v>
      </c>
      <c r="AH179" s="3">
        <f t="shared" si="93"/>
        <v>23</v>
      </c>
      <c r="AI179" s="3">
        <f t="shared" si="94"/>
        <v>18</v>
      </c>
      <c r="AJ179" s="3">
        <f t="shared" si="95"/>
        <v>0</v>
      </c>
      <c r="AK179" s="3">
        <f t="shared" si="96"/>
        <v>92</v>
      </c>
      <c r="AL179" s="3">
        <f t="shared" si="97"/>
        <v>87</v>
      </c>
      <c r="AM179" s="3">
        <f t="shared" si="98"/>
        <v>82</v>
      </c>
      <c r="AN179" s="3">
        <f t="shared" si="99"/>
        <v>75</v>
      </c>
      <c r="AO179" s="3">
        <f t="shared" si="100"/>
        <v>70</v>
      </c>
      <c r="AP179" s="3">
        <f t="shared" si="101"/>
        <v>65</v>
      </c>
      <c r="AQ179" s="3">
        <f t="shared" si="102"/>
        <v>60</v>
      </c>
      <c r="AR179" s="3">
        <f t="shared" si="103"/>
        <v>54</v>
      </c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L179">
        <v>3</v>
      </c>
      <c r="BM179" s="35">
        <v>44326</v>
      </c>
      <c r="BO179" s="35">
        <f>B196</f>
        <v>44445</v>
      </c>
      <c r="BP179">
        <v>98</v>
      </c>
      <c r="BR179" s="9" t="str">
        <f t="shared" si="77"/>
        <v/>
      </c>
      <c r="BS179" s="37" t="str">
        <f t="shared" si="78"/>
        <v/>
      </c>
      <c r="BT179" s="38" t="str">
        <f t="shared" si="105"/>
        <v/>
      </c>
      <c r="BU179" s="36" t="str">
        <f t="shared" si="79"/>
        <v/>
      </c>
    </row>
    <row r="180" spans="2:73" ht="15">
      <c r="B180" s="16">
        <f t="shared" si="80"/>
        <v>44333</v>
      </c>
      <c r="C180" s="15" t="s">
        <v>1</v>
      </c>
      <c r="D180" s="17">
        <f t="shared" si="81"/>
        <v>44339</v>
      </c>
      <c r="E180" s="18">
        <f t="shared" si="82"/>
        <v>5</v>
      </c>
      <c r="F180" s="19">
        <f t="shared" si="83"/>
        <v>2021</v>
      </c>
      <c r="G180" s="9">
        <f t="shared" si="104"/>
        <v>17</v>
      </c>
      <c r="H180" s="8">
        <f t="shared" si="104"/>
        <v>95</v>
      </c>
      <c r="I180" s="9"/>
      <c r="J180" s="9"/>
      <c r="K180" s="9"/>
      <c r="L180" s="9"/>
      <c r="M180" s="9"/>
      <c r="N180" s="9"/>
      <c r="O180" s="12"/>
      <c r="P180" s="12"/>
      <c r="Q180" s="12"/>
      <c r="R180" s="12"/>
      <c r="S180" s="12"/>
      <c r="T180" s="12"/>
      <c r="V180" s="20">
        <f t="shared" si="87"/>
        <v>0</v>
      </c>
      <c r="W180" s="20">
        <f t="shared" si="87"/>
        <v>2</v>
      </c>
      <c r="X180" s="20">
        <f t="shared" si="87"/>
        <v>7</v>
      </c>
      <c r="Y180" s="20">
        <f t="shared" si="86"/>
        <v>12</v>
      </c>
      <c r="Z180" s="20">
        <f t="shared" si="86"/>
        <v>0</v>
      </c>
      <c r="AA180" s="20">
        <f t="shared" si="86"/>
        <v>0</v>
      </c>
      <c r="AC180" s="3">
        <f t="shared" si="88"/>
        <v>50</v>
      </c>
      <c r="AD180" s="3">
        <f t="shared" si="89"/>
        <v>45</v>
      </c>
      <c r="AE180" s="3">
        <f t="shared" si="90"/>
        <v>40</v>
      </c>
      <c r="AF180" s="3">
        <f t="shared" si="91"/>
        <v>34</v>
      </c>
      <c r="AG180" s="3">
        <f t="shared" si="92"/>
        <v>29</v>
      </c>
      <c r="AH180" s="3">
        <f t="shared" si="93"/>
        <v>24</v>
      </c>
      <c r="AI180" s="3">
        <f t="shared" si="94"/>
        <v>19</v>
      </c>
      <c r="AJ180" s="3">
        <f t="shared" si="95"/>
        <v>0</v>
      </c>
      <c r="AK180" s="3">
        <f t="shared" si="96"/>
        <v>93</v>
      </c>
      <c r="AL180" s="3">
        <f t="shared" si="97"/>
        <v>88</v>
      </c>
      <c r="AM180" s="3">
        <f t="shared" si="98"/>
        <v>83</v>
      </c>
      <c r="AN180" s="3">
        <f t="shared" si="99"/>
        <v>76</v>
      </c>
      <c r="AO180" s="3">
        <f t="shared" si="100"/>
        <v>71</v>
      </c>
      <c r="AP180" s="3">
        <f t="shared" si="101"/>
        <v>66</v>
      </c>
      <c r="AQ180" s="3">
        <f t="shared" si="102"/>
        <v>61</v>
      </c>
      <c r="AR180" s="3">
        <f t="shared" si="103"/>
        <v>55</v>
      </c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M180" s="35" t="s">
        <v>12</v>
      </c>
      <c r="BO180" s="35"/>
      <c r="BR180" s="9" t="str">
        <f t="shared" si="77"/>
        <v/>
      </c>
      <c r="BS180" s="37" t="str">
        <f t="shared" si="78"/>
        <v/>
      </c>
      <c r="BT180" s="38" t="str">
        <f t="shared" si="105"/>
        <v/>
      </c>
      <c r="BU180" s="36" t="str">
        <f t="shared" si="79"/>
        <v/>
      </c>
    </row>
    <row r="181" spans="2:73" ht="15">
      <c r="B181" s="16">
        <f t="shared" si="80"/>
        <v>44340</v>
      </c>
      <c r="C181" s="15" t="s">
        <v>1</v>
      </c>
      <c r="D181" s="17">
        <f t="shared" si="81"/>
        <v>44346</v>
      </c>
      <c r="E181" s="18">
        <f t="shared" si="82"/>
        <v>5</v>
      </c>
      <c r="F181" s="19">
        <f t="shared" si="83"/>
        <v>2021</v>
      </c>
      <c r="G181" s="9">
        <f t="shared" si="104"/>
        <v>17</v>
      </c>
      <c r="H181" s="8">
        <f t="shared" si="104"/>
        <v>95</v>
      </c>
      <c r="I181" s="9"/>
      <c r="J181" s="9"/>
      <c r="K181" s="9"/>
      <c r="L181" s="9"/>
      <c r="M181" s="9"/>
      <c r="N181" s="9"/>
      <c r="O181" s="12"/>
      <c r="P181" s="12"/>
      <c r="Q181" s="12"/>
      <c r="R181" s="12"/>
      <c r="S181" s="12"/>
      <c r="T181" s="12"/>
      <c r="V181" s="20">
        <f t="shared" si="87"/>
        <v>0</v>
      </c>
      <c r="W181" s="20">
        <f t="shared" si="87"/>
        <v>3</v>
      </c>
      <c r="X181" s="20">
        <f t="shared" si="87"/>
        <v>8</v>
      </c>
      <c r="Y181" s="20">
        <f t="shared" si="86"/>
        <v>13</v>
      </c>
      <c r="Z181" s="20">
        <f t="shared" si="86"/>
        <v>0</v>
      </c>
      <c r="AA181" s="20">
        <f t="shared" si="86"/>
        <v>0</v>
      </c>
      <c r="AC181" s="3">
        <f t="shared" si="88"/>
        <v>51</v>
      </c>
      <c r="AD181" s="3">
        <f t="shared" si="89"/>
        <v>46</v>
      </c>
      <c r="AE181" s="3">
        <f t="shared" si="90"/>
        <v>41</v>
      </c>
      <c r="AF181" s="3">
        <f t="shared" si="91"/>
        <v>35</v>
      </c>
      <c r="AG181" s="3">
        <f t="shared" si="92"/>
        <v>30</v>
      </c>
      <c r="AH181" s="3">
        <f t="shared" si="93"/>
        <v>25</v>
      </c>
      <c r="AI181" s="3">
        <f t="shared" si="94"/>
        <v>20</v>
      </c>
      <c r="AJ181" s="3">
        <f t="shared" si="95"/>
        <v>0</v>
      </c>
      <c r="AK181" s="3">
        <f t="shared" si="96"/>
        <v>94</v>
      </c>
      <c r="AL181" s="3">
        <f t="shared" si="97"/>
        <v>89</v>
      </c>
      <c r="AM181" s="3">
        <f t="shared" si="98"/>
        <v>84</v>
      </c>
      <c r="AN181" s="3">
        <f t="shared" si="99"/>
        <v>77</v>
      </c>
      <c r="AO181" s="3">
        <f t="shared" si="100"/>
        <v>72</v>
      </c>
      <c r="AP181" s="3">
        <f t="shared" si="101"/>
        <v>67</v>
      </c>
      <c r="AQ181" s="3">
        <f t="shared" si="102"/>
        <v>62</v>
      </c>
      <c r="AR181" s="3">
        <f t="shared" si="103"/>
        <v>56</v>
      </c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M181" s="35" t="s">
        <v>12</v>
      </c>
      <c r="BO181" s="35"/>
      <c r="BR181" s="9" t="str">
        <f t="shared" si="77"/>
        <v/>
      </c>
      <c r="BS181" s="37" t="str">
        <f t="shared" si="78"/>
        <v/>
      </c>
      <c r="BT181" s="38" t="str">
        <f t="shared" si="105"/>
        <v/>
      </c>
      <c r="BU181" s="36" t="str">
        <f t="shared" si="79"/>
        <v/>
      </c>
    </row>
    <row r="182" spans="2:73" ht="15">
      <c r="B182" s="16">
        <f t="shared" si="80"/>
        <v>44347</v>
      </c>
      <c r="C182" s="15" t="s">
        <v>1</v>
      </c>
      <c r="D182" s="17">
        <f t="shared" si="81"/>
        <v>44353</v>
      </c>
      <c r="E182" s="18">
        <f t="shared" si="82"/>
        <v>5</v>
      </c>
      <c r="F182" s="19">
        <f t="shared" si="83"/>
        <v>2021</v>
      </c>
      <c r="G182" s="9">
        <f t="shared" ref="G182:H197" si="106">G181</f>
        <v>17</v>
      </c>
      <c r="H182" s="8">
        <f t="shared" si="106"/>
        <v>95</v>
      </c>
      <c r="I182" s="9"/>
      <c r="J182" s="9"/>
      <c r="K182" s="9"/>
      <c r="L182" s="9"/>
      <c r="M182" s="9"/>
      <c r="N182" s="9"/>
      <c r="O182" s="12"/>
      <c r="P182" s="12"/>
      <c r="Q182" s="12"/>
      <c r="R182" s="12"/>
      <c r="S182" s="12"/>
      <c r="T182" s="12"/>
      <c r="V182" s="20">
        <f t="shared" si="87"/>
        <v>0</v>
      </c>
      <c r="W182" s="20">
        <f t="shared" si="87"/>
        <v>4</v>
      </c>
      <c r="X182" s="20">
        <f t="shared" si="87"/>
        <v>9</v>
      </c>
      <c r="Y182" s="20">
        <f t="shared" si="86"/>
        <v>14</v>
      </c>
      <c r="Z182" s="20">
        <f t="shared" si="86"/>
        <v>0</v>
      </c>
      <c r="AA182" s="20">
        <f t="shared" si="86"/>
        <v>0</v>
      </c>
      <c r="AC182" s="3">
        <f t="shared" si="88"/>
        <v>52</v>
      </c>
      <c r="AD182" s="3">
        <f t="shared" si="89"/>
        <v>47</v>
      </c>
      <c r="AE182" s="3">
        <f t="shared" si="90"/>
        <v>42</v>
      </c>
      <c r="AF182" s="3">
        <f t="shared" si="91"/>
        <v>36</v>
      </c>
      <c r="AG182" s="3">
        <f t="shared" si="92"/>
        <v>31</v>
      </c>
      <c r="AH182" s="3">
        <f t="shared" si="93"/>
        <v>26</v>
      </c>
      <c r="AI182" s="3">
        <f t="shared" si="94"/>
        <v>21</v>
      </c>
      <c r="AJ182" s="3">
        <f t="shared" si="95"/>
        <v>0</v>
      </c>
      <c r="AK182" s="3">
        <f t="shared" si="96"/>
        <v>95</v>
      </c>
      <c r="AL182" s="3">
        <f t="shared" si="97"/>
        <v>90</v>
      </c>
      <c r="AM182" s="3">
        <f t="shared" si="98"/>
        <v>85</v>
      </c>
      <c r="AN182" s="3">
        <f t="shared" si="99"/>
        <v>78</v>
      </c>
      <c r="AO182" s="3">
        <f t="shared" si="100"/>
        <v>73</v>
      </c>
      <c r="AP182" s="3">
        <f t="shared" si="101"/>
        <v>68</v>
      </c>
      <c r="AQ182" s="3">
        <f t="shared" si="102"/>
        <v>63</v>
      </c>
      <c r="AR182" s="3">
        <f t="shared" si="103"/>
        <v>57</v>
      </c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M182" s="35" t="s">
        <v>12</v>
      </c>
      <c r="BO182" s="35"/>
      <c r="BR182" s="9" t="str">
        <f t="shared" si="77"/>
        <v/>
      </c>
      <c r="BS182" s="37" t="str">
        <f t="shared" si="78"/>
        <v/>
      </c>
      <c r="BT182" s="38" t="str">
        <f t="shared" si="105"/>
        <v/>
      </c>
      <c r="BU182" s="36" t="str">
        <f t="shared" si="79"/>
        <v/>
      </c>
    </row>
    <row r="183" spans="2:73" ht="15">
      <c r="B183" s="16">
        <f t="shared" si="80"/>
        <v>44354</v>
      </c>
      <c r="C183" s="15" t="s">
        <v>1</v>
      </c>
      <c r="D183" s="17">
        <f t="shared" si="81"/>
        <v>44360</v>
      </c>
      <c r="E183" s="18">
        <f t="shared" si="82"/>
        <v>6</v>
      </c>
      <c r="F183" s="19">
        <f t="shared" si="83"/>
        <v>2021</v>
      </c>
      <c r="G183" s="9">
        <f t="shared" si="106"/>
        <v>17</v>
      </c>
      <c r="H183" s="8">
        <f t="shared" si="106"/>
        <v>95</v>
      </c>
      <c r="I183" s="9"/>
      <c r="J183" s="9"/>
      <c r="K183" s="9"/>
      <c r="L183" s="9"/>
      <c r="M183" s="9"/>
      <c r="N183" s="9"/>
      <c r="O183" s="12">
        <v>1</v>
      </c>
      <c r="P183" s="12"/>
      <c r="Q183" s="12"/>
      <c r="R183" s="12"/>
      <c r="S183" s="12"/>
      <c r="T183" s="12"/>
      <c r="V183" s="20">
        <f t="shared" si="87"/>
        <v>44356</v>
      </c>
      <c r="W183" s="20">
        <f t="shared" si="87"/>
        <v>5</v>
      </c>
      <c r="X183" s="20">
        <f t="shared" si="87"/>
        <v>10</v>
      </c>
      <c r="Y183" s="20">
        <f t="shared" si="86"/>
        <v>15</v>
      </c>
      <c r="Z183" s="20">
        <f t="shared" si="86"/>
        <v>0</v>
      </c>
      <c r="AA183" s="20">
        <f t="shared" si="86"/>
        <v>0</v>
      </c>
      <c r="AC183" s="3">
        <f t="shared" si="88"/>
        <v>53</v>
      </c>
      <c r="AD183" s="3">
        <f t="shared" si="89"/>
        <v>48</v>
      </c>
      <c r="AE183" s="3">
        <f t="shared" si="90"/>
        <v>43</v>
      </c>
      <c r="AF183" s="3">
        <f t="shared" si="91"/>
        <v>37</v>
      </c>
      <c r="AG183" s="3">
        <f t="shared" si="92"/>
        <v>32</v>
      </c>
      <c r="AH183" s="3">
        <f t="shared" si="93"/>
        <v>27</v>
      </c>
      <c r="AI183" s="3">
        <f t="shared" si="94"/>
        <v>22</v>
      </c>
      <c r="AJ183" s="3">
        <f t="shared" si="95"/>
        <v>0</v>
      </c>
      <c r="AK183" s="3">
        <f t="shared" si="96"/>
        <v>0</v>
      </c>
      <c r="AL183" s="3">
        <f t="shared" si="97"/>
        <v>91</v>
      </c>
      <c r="AM183" s="3">
        <f t="shared" si="98"/>
        <v>86</v>
      </c>
      <c r="AN183" s="3">
        <f t="shared" si="99"/>
        <v>79</v>
      </c>
      <c r="AO183" s="3">
        <f t="shared" si="100"/>
        <v>74</v>
      </c>
      <c r="AP183" s="3">
        <f t="shared" si="101"/>
        <v>69</v>
      </c>
      <c r="AQ183" s="3">
        <f t="shared" si="102"/>
        <v>64</v>
      </c>
      <c r="AR183" s="3">
        <f t="shared" si="103"/>
        <v>58</v>
      </c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M183" s="35" t="s">
        <v>12</v>
      </c>
      <c r="BO183" s="35"/>
      <c r="BR183" s="9">
        <f t="shared" si="77"/>
        <v>1</v>
      </c>
      <c r="BS183" s="37">
        <f t="shared" si="78"/>
        <v>44356</v>
      </c>
      <c r="BT183" s="38">
        <f t="shared" si="105"/>
        <v>44475</v>
      </c>
      <c r="BU183" s="36">
        <f t="shared" si="79"/>
        <v>4</v>
      </c>
    </row>
    <row r="184" spans="2:73" ht="15">
      <c r="B184" s="16">
        <f t="shared" si="80"/>
        <v>44361</v>
      </c>
      <c r="C184" s="15" t="s">
        <v>1</v>
      </c>
      <c r="D184" s="17">
        <f t="shared" si="81"/>
        <v>44367</v>
      </c>
      <c r="E184" s="18">
        <f t="shared" si="82"/>
        <v>6</v>
      </c>
      <c r="F184" s="19">
        <f t="shared" si="83"/>
        <v>2021</v>
      </c>
      <c r="G184" s="9">
        <f t="shared" si="106"/>
        <v>17</v>
      </c>
      <c r="H184" s="8">
        <f t="shared" si="106"/>
        <v>95</v>
      </c>
      <c r="I184" s="9"/>
      <c r="J184" s="9"/>
      <c r="K184" s="9"/>
      <c r="L184" s="9"/>
      <c r="M184" s="9"/>
      <c r="N184" s="9"/>
      <c r="O184" s="12"/>
      <c r="P184" s="12"/>
      <c r="Q184" s="12"/>
      <c r="R184" s="12"/>
      <c r="S184" s="12"/>
      <c r="T184" s="12"/>
      <c r="V184" s="20">
        <f t="shared" si="87"/>
        <v>1</v>
      </c>
      <c r="W184" s="20">
        <f t="shared" si="87"/>
        <v>6</v>
      </c>
      <c r="X184" s="20">
        <f t="shared" si="87"/>
        <v>11</v>
      </c>
      <c r="Y184" s="20">
        <f t="shared" si="86"/>
        <v>16</v>
      </c>
      <c r="Z184" s="20">
        <f t="shared" si="86"/>
        <v>0</v>
      </c>
      <c r="AA184" s="20">
        <f t="shared" si="86"/>
        <v>0</v>
      </c>
      <c r="AC184" s="3">
        <f t="shared" si="88"/>
        <v>54</v>
      </c>
      <c r="AD184" s="3">
        <f t="shared" si="89"/>
        <v>49</v>
      </c>
      <c r="AE184" s="3">
        <f t="shared" si="90"/>
        <v>44</v>
      </c>
      <c r="AF184" s="3">
        <f t="shared" si="91"/>
        <v>38</v>
      </c>
      <c r="AG184" s="3">
        <f t="shared" si="92"/>
        <v>33</v>
      </c>
      <c r="AH184" s="3">
        <f t="shared" si="93"/>
        <v>28</v>
      </c>
      <c r="AI184" s="3">
        <f t="shared" si="94"/>
        <v>23</v>
      </c>
      <c r="AJ184" s="3">
        <f t="shared" si="95"/>
        <v>0</v>
      </c>
      <c r="AK184" s="3">
        <f t="shared" si="96"/>
        <v>0</v>
      </c>
      <c r="AL184" s="3">
        <f t="shared" si="97"/>
        <v>92</v>
      </c>
      <c r="AM184" s="3">
        <f t="shared" si="98"/>
        <v>87</v>
      </c>
      <c r="AN184" s="3">
        <f t="shared" si="99"/>
        <v>80</v>
      </c>
      <c r="AO184" s="3">
        <f t="shared" si="100"/>
        <v>75</v>
      </c>
      <c r="AP184" s="3">
        <f t="shared" si="101"/>
        <v>70</v>
      </c>
      <c r="AQ184" s="3">
        <f t="shared" si="102"/>
        <v>65</v>
      </c>
      <c r="AR184" s="3">
        <f t="shared" si="103"/>
        <v>59</v>
      </c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M184" s="35" t="s">
        <v>12</v>
      </c>
      <c r="BO184" s="35"/>
      <c r="BR184" s="9" t="str">
        <f t="shared" si="77"/>
        <v/>
      </c>
      <c r="BS184" s="37" t="str">
        <f t="shared" si="78"/>
        <v/>
      </c>
      <c r="BT184" s="38" t="str">
        <f t="shared" si="105"/>
        <v/>
      </c>
      <c r="BU184" s="36" t="str">
        <f t="shared" si="79"/>
        <v/>
      </c>
    </row>
    <row r="185" spans="2:73" ht="15">
      <c r="B185" s="16">
        <f t="shared" si="80"/>
        <v>44368</v>
      </c>
      <c r="C185" s="15" t="s">
        <v>1</v>
      </c>
      <c r="D185" s="17">
        <f t="shared" si="81"/>
        <v>44374</v>
      </c>
      <c r="E185" s="18">
        <f t="shared" si="82"/>
        <v>6</v>
      </c>
      <c r="F185" s="19">
        <f t="shared" si="83"/>
        <v>2021</v>
      </c>
      <c r="G185" s="9">
        <f t="shared" si="106"/>
        <v>17</v>
      </c>
      <c r="H185" s="8">
        <f t="shared" si="106"/>
        <v>95</v>
      </c>
      <c r="I185" s="9"/>
      <c r="J185" s="9"/>
      <c r="K185" s="9"/>
      <c r="L185" s="9"/>
      <c r="M185" s="9"/>
      <c r="N185" s="9"/>
      <c r="O185" s="12"/>
      <c r="P185" s="12"/>
      <c r="Q185" s="12"/>
      <c r="R185" s="12"/>
      <c r="S185" s="12"/>
      <c r="T185" s="12"/>
      <c r="V185" s="20">
        <f t="shared" si="87"/>
        <v>2</v>
      </c>
      <c r="W185" s="20">
        <f t="shared" si="87"/>
        <v>7</v>
      </c>
      <c r="X185" s="20">
        <f t="shared" si="87"/>
        <v>12</v>
      </c>
      <c r="Y185" s="20">
        <f t="shared" si="86"/>
        <v>17</v>
      </c>
      <c r="Z185" s="20">
        <f t="shared" si="86"/>
        <v>0</v>
      </c>
      <c r="AA185" s="20">
        <f t="shared" si="86"/>
        <v>0</v>
      </c>
      <c r="AC185" s="3">
        <f t="shared" si="88"/>
        <v>55</v>
      </c>
      <c r="AD185" s="3">
        <f t="shared" si="89"/>
        <v>50</v>
      </c>
      <c r="AE185" s="3">
        <f t="shared" si="90"/>
        <v>45</v>
      </c>
      <c r="AF185" s="3">
        <f t="shared" si="91"/>
        <v>39</v>
      </c>
      <c r="AG185" s="3">
        <f t="shared" si="92"/>
        <v>34</v>
      </c>
      <c r="AH185" s="3">
        <f t="shared" si="93"/>
        <v>29</v>
      </c>
      <c r="AI185" s="3">
        <f t="shared" si="94"/>
        <v>24</v>
      </c>
      <c r="AJ185" s="3">
        <f t="shared" si="95"/>
        <v>17</v>
      </c>
      <c r="AK185" s="3">
        <f t="shared" si="96"/>
        <v>0</v>
      </c>
      <c r="AL185" s="3">
        <f t="shared" si="97"/>
        <v>93</v>
      </c>
      <c r="AM185" s="3">
        <f t="shared" si="98"/>
        <v>88</v>
      </c>
      <c r="AN185" s="3">
        <f t="shared" si="99"/>
        <v>81</v>
      </c>
      <c r="AO185" s="3">
        <f t="shared" si="100"/>
        <v>76</v>
      </c>
      <c r="AP185" s="3">
        <f t="shared" si="101"/>
        <v>71</v>
      </c>
      <c r="AQ185" s="3">
        <f t="shared" si="102"/>
        <v>66</v>
      </c>
      <c r="AR185" s="3">
        <f t="shared" si="103"/>
        <v>60</v>
      </c>
      <c r="AS185" s="8"/>
      <c r="AT185" s="8"/>
      <c r="AU185" s="8"/>
      <c r="AV185" s="8"/>
      <c r="AW185" s="8"/>
      <c r="AX185" s="8"/>
      <c r="AY185" s="8"/>
      <c r="AZ185" s="8">
        <v>4</v>
      </c>
      <c r="BA185" s="8"/>
      <c r="BB185" s="8"/>
      <c r="BC185" s="8"/>
      <c r="BD185" s="8"/>
      <c r="BE185" s="8"/>
      <c r="BF185" s="8"/>
      <c r="BG185" s="8"/>
      <c r="BH185" s="8"/>
      <c r="BM185" s="35" t="s">
        <v>12</v>
      </c>
      <c r="BO185" s="35"/>
      <c r="BR185" s="9" t="str">
        <f t="shared" si="77"/>
        <v/>
      </c>
      <c r="BS185" s="37" t="str">
        <f t="shared" si="78"/>
        <v/>
      </c>
      <c r="BT185" s="38" t="str">
        <f t="shared" si="105"/>
        <v/>
      </c>
      <c r="BU185" s="36" t="str">
        <f t="shared" si="79"/>
        <v/>
      </c>
    </row>
    <row r="186" spans="2:73" ht="15">
      <c r="B186" s="16">
        <f t="shared" si="80"/>
        <v>44375</v>
      </c>
      <c r="C186" s="15" t="s">
        <v>1</v>
      </c>
      <c r="D186" s="17">
        <f t="shared" si="81"/>
        <v>44381</v>
      </c>
      <c r="E186" s="18">
        <f t="shared" si="82"/>
        <v>6</v>
      </c>
      <c r="F186" s="19">
        <f t="shared" si="83"/>
        <v>2021</v>
      </c>
      <c r="G186" s="9">
        <f t="shared" si="106"/>
        <v>17</v>
      </c>
      <c r="H186" s="8">
        <f t="shared" si="106"/>
        <v>95</v>
      </c>
      <c r="I186" s="9"/>
      <c r="J186" s="9"/>
      <c r="K186" s="9"/>
      <c r="L186" s="9"/>
      <c r="M186" s="9"/>
      <c r="N186" s="9"/>
      <c r="O186" s="12"/>
      <c r="P186" s="12"/>
      <c r="Q186" s="12"/>
      <c r="R186" s="12"/>
      <c r="S186" s="12"/>
      <c r="T186" s="12"/>
      <c r="V186" s="20">
        <f t="shared" si="87"/>
        <v>3</v>
      </c>
      <c r="W186" s="20">
        <f t="shared" si="87"/>
        <v>8</v>
      </c>
      <c r="X186" s="20">
        <f t="shared" si="87"/>
        <v>13</v>
      </c>
      <c r="Y186" s="20">
        <f t="shared" si="86"/>
        <v>0</v>
      </c>
      <c r="Z186" s="20">
        <f t="shared" si="86"/>
        <v>0</v>
      </c>
      <c r="AA186" s="20">
        <f t="shared" si="86"/>
        <v>0</v>
      </c>
      <c r="AC186" s="3">
        <f t="shared" si="88"/>
        <v>56</v>
      </c>
      <c r="AD186" s="3">
        <f t="shared" si="89"/>
        <v>51</v>
      </c>
      <c r="AE186" s="3">
        <f t="shared" si="90"/>
        <v>46</v>
      </c>
      <c r="AF186" s="3">
        <f t="shared" si="91"/>
        <v>40</v>
      </c>
      <c r="AG186" s="3">
        <f t="shared" si="92"/>
        <v>35</v>
      </c>
      <c r="AH186" s="3">
        <f t="shared" si="93"/>
        <v>30</v>
      </c>
      <c r="AI186" s="3">
        <f t="shared" si="94"/>
        <v>25</v>
      </c>
      <c r="AJ186" s="3">
        <f t="shared" si="95"/>
        <v>18</v>
      </c>
      <c r="AK186" s="3">
        <f t="shared" si="96"/>
        <v>0</v>
      </c>
      <c r="AL186" s="3">
        <f t="shared" si="97"/>
        <v>94</v>
      </c>
      <c r="AM186" s="3">
        <f t="shared" si="98"/>
        <v>89</v>
      </c>
      <c r="AN186" s="3">
        <f t="shared" si="99"/>
        <v>82</v>
      </c>
      <c r="AO186" s="3">
        <f t="shared" si="100"/>
        <v>77</v>
      </c>
      <c r="AP186" s="3">
        <f t="shared" si="101"/>
        <v>72</v>
      </c>
      <c r="AQ186" s="3">
        <f t="shared" si="102"/>
        <v>67</v>
      </c>
      <c r="AR186" s="3">
        <f t="shared" si="103"/>
        <v>61</v>
      </c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L186">
        <v>4</v>
      </c>
      <c r="BM186" s="35">
        <v>44375</v>
      </c>
      <c r="BO186" s="35">
        <f>B201</f>
        <v>44480</v>
      </c>
      <c r="BP186">
        <v>98</v>
      </c>
      <c r="BR186" s="9" t="str">
        <f t="shared" si="77"/>
        <v/>
      </c>
      <c r="BS186" s="37" t="str">
        <f t="shared" si="78"/>
        <v/>
      </c>
      <c r="BT186" s="38" t="str">
        <f t="shared" si="105"/>
        <v/>
      </c>
      <c r="BU186" s="36" t="str">
        <f t="shared" si="79"/>
        <v/>
      </c>
    </row>
    <row r="187" spans="2:73" ht="15">
      <c r="B187" s="16">
        <f t="shared" si="80"/>
        <v>44382</v>
      </c>
      <c r="C187" s="15" t="s">
        <v>1</v>
      </c>
      <c r="D187" s="17">
        <f t="shared" si="81"/>
        <v>44388</v>
      </c>
      <c r="E187" s="18">
        <f t="shared" si="82"/>
        <v>7</v>
      </c>
      <c r="F187" s="19">
        <f t="shared" si="83"/>
        <v>2021</v>
      </c>
      <c r="G187" s="9">
        <f t="shared" si="106"/>
        <v>17</v>
      </c>
      <c r="H187" s="8">
        <f t="shared" si="106"/>
        <v>95</v>
      </c>
      <c r="I187" s="9"/>
      <c r="J187" s="9"/>
      <c r="K187" s="9"/>
      <c r="L187" s="9"/>
      <c r="M187" s="9"/>
      <c r="N187" s="9"/>
      <c r="O187" s="12"/>
      <c r="P187" s="12"/>
      <c r="Q187" s="12"/>
      <c r="R187" s="12"/>
      <c r="S187" s="12"/>
      <c r="T187" s="12"/>
      <c r="V187" s="20">
        <f t="shared" si="87"/>
        <v>4</v>
      </c>
      <c r="W187" s="20">
        <f t="shared" si="87"/>
        <v>9</v>
      </c>
      <c r="X187" s="20">
        <f t="shared" si="87"/>
        <v>14</v>
      </c>
      <c r="Y187" s="20">
        <f t="shared" si="86"/>
        <v>0</v>
      </c>
      <c r="Z187" s="20">
        <f t="shared" si="86"/>
        <v>0</v>
      </c>
      <c r="AA187" s="20">
        <f t="shared" si="86"/>
        <v>0</v>
      </c>
      <c r="AC187" s="3">
        <f t="shared" si="88"/>
        <v>57</v>
      </c>
      <c r="AD187" s="3">
        <f t="shared" si="89"/>
        <v>52</v>
      </c>
      <c r="AE187" s="3">
        <f t="shared" si="90"/>
        <v>47</v>
      </c>
      <c r="AF187" s="3">
        <f t="shared" si="91"/>
        <v>41</v>
      </c>
      <c r="AG187" s="3">
        <f t="shared" si="92"/>
        <v>36</v>
      </c>
      <c r="AH187" s="3">
        <f t="shared" si="93"/>
        <v>31</v>
      </c>
      <c r="AI187" s="3">
        <f t="shared" si="94"/>
        <v>26</v>
      </c>
      <c r="AJ187" s="3">
        <f t="shared" si="95"/>
        <v>19</v>
      </c>
      <c r="AK187" s="3">
        <f t="shared" si="96"/>
        <v>0</v>
      </c>
      <c r="AL187" s="3">
        <f t="shared" si="97"/>
        <v>95</v>
      </c>
      <c r="AM187" s="3">
        <f t="shared" si="98"/>
        <v>90</v>
      </c>
      <c r="AN187" s="3">
        <f t="shared" si="99"/>
        <v>83</v>
      </c>
      <c r="AO187" s="3">
        <f t="shared" si="100"/>
        <v>78</v>
      </c>
      <c r="AP187" s="3">
        <f t="shared" si="101"/>
        <v>73</v>
      </c>
      <c r="AQ187" s="3">
        <f t="shared" si="102"/>
        <v>68</v>
      </c>
      <c r="AR187" s="3">
        <f t="shared" si="103"/>
        <v>62</v>
      </c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M187" s="35" t="s">
        <v>12</v>
      </c>
      <c r="BO187" s="35"/>
      <c r="BR187" s="9" t="str">
        <f t="shared" si="77"/>
        <v/>
      </c>
      <c r="BS187" s="37" t="str">
        <f t="shared" si="78"/>
        <v/>
      </c>
      <c r="BT187" s="38" t="str">
        <f t="shared" si="105"/>
        <v/>
      </c>
      <c r="BU187" s="36" t="str">
        <f t="shared" si="79"/>
        <v/>
      </c>
    </row>
    <row r="188" spans="2:73" ht="15">
      <c r="B188" s="16">
        <f t="shared" si="80"/>
        <v>44389</v>
      </c>
      <c r="C188" s="15" t="s">
        <v>1</v>
      </c>
      <c r="D188" s="17">
        <f t="shared" si="81"/>
        <v>44395</v>
      </c>
      <c r="E188" s="18">
        <f t="shared" si="82"/>
        <v>7</v>
      </c>
      <c r="F188" s="19">
        <f t="shared" si="83"/>
        <v>2021</v>
      </c>
      <c r="G188" s="9">
        <f t="shared" si="106"/>
        <v>17</v>
      </c>
      <c r="H188" s="8">
        <f t="shared" si="106"/>
        <v>95</v>
      </c>
      <c r="I188" s="9"/>
      <c r="J188" s="9"/>
      <c r="K188" s="9"/>
      <c r="L188" s="9"/>
      <c r="M188" s="9"/>
      <c r="N188" s="9"/>
      <c r="O188" s="12"/>
      <c r="P188" s="12"/>
      <c r="Q188" s="12"/>
      <c r="R188" s="12"/>
      <c r="S188" s="12"/>
      <c r="T188" s="12"/>
      <c r="V188" s="20">
        <f t="shared" si="87"/>
        <v>5</v>
      </c>
      <c r="W188" s="20">
        <f t="shared" si="87"/>
        <v>10</v>
      </c>
      <c r="X188" s="20">
        <f t="shared" si="87"/>
        <v>15</v>
      </c>
      <c r="Y188" s="20">
        <f t="shared" si="86"/>
        <v>0</v>
      </c>
      <c r="Z188" s="20">
        <f t="shared" si="86"/>
        <v>0</v>
      </c>
      <c r="AA188" s="20">
        <f t="shared" si="86"/>
        <v>0</v>
      </c>
      <c r="AC188" s="3">
        <f t="shared" si="88"/>
        <v>58</v>
      </c>
      <c r="AD188" s="3">
        <f t="shared" si="89"/>
        <v>53</v>
      </c>
      <c r="AE188" s="3">
        <f t="shared" si="90"/>
        <v>48</v>
      </c>
      <c r="AF188" s="3">
        <f t="shared" si="91"/>
        <v>42</v>
      </c>
      <c r="AG188" s="3">
        <f t="shared" si="92"/>
        <v>37</v>
      </c>
      <c r="AH188" s="3">
        <f t="shared" si="93"/>
        <v>32</v>
      </c>
      <c r="AI188" s="3">
        <f t="shared" si="94"/>
        <v>27</v>
      </c>
      <c r="AJ188" s="3">
        <f t="shared" si="95"/>
        <v>20</v>
      </c>
      <c r="AK188" s="3">
        <f t="shared" si="96"/>
        <v>0</v>
      </c>
      <c r="AL188" s="3">
        <f t="shared" si="97"/>
        <v>0</v>
      </c>
      <c r="AM188" s="3">
        <f t="shared" si="98"/>
        <v>91</v>
      </c>
      <c r="AN188" s="3">
        <f t="shared" si="99"/>
        <v>84</v>
      </c>
      <c r="AO188" s="3">
        <f t="shared" si="100"/>
        <v>79</v>
      </c>
      <c r="AP188" s="3">
        <f t="shared" si="101"/>
        <v>74</v>
      </c>
      <c r="AQ188" s="3">
        <f t="shared" si="102"/>
        <v>69</v>
      </c>
      <c r="AR188" s="3">
        <f t="shared" si="103"/>
        <v>63</v>
      </c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M188" s="35" t="s">
        <v>12</v>
      </c>
      <c r="BO188" s="35"/>
      <c r="BR188" s="9" t="str">
        <f t="shared" si="77"/>
        <v/>
      </c>
      <c r="BS188" s="37" t="str">
        <f t="shared" si="78"/>
        <v/>
      </c>
      <c r="BT188" s="38" t="str">
        <f t="shared" si="105"/>
        <v/>
      </c>
      <c r="BU188" s="36" t="str">
        <f t="shared" si="79"/>
        <v/>
      </c>
    </row>
    <row r="189" spans="2:73" ht="15">
      <c r="B189" s="16">
        <f t="shared" si="80"/>
        <v>44396</v>
      </c>
      <c r="C189" s="15" t="s">
        <v>1</v>
      </c>
      <c r="D189" s="17">
        <f t="shared" si="81"/>
        <v>44402</v>
      </c>
      <c r="E189" s="18">
        <f t="shared" si="82"/>
        <v>7</v>
      </c>
      <c r="F189" s="19">
        <f t="shared" si="83"/>
        <v>2021</v>
      </c>
      <c r="G189" s="9">
        <f t="shared" si="106"/>
        <v>17</v>
      </c>
      <c r="H189" s="8">
        <f t="shared" si="106"/>
        <v>95</v>
      </c>
      <c r="I189" s="9"/>
      <c r="J189" s="9"/>
      <c r="K189" s="9"/>
      <c r="L189" s="9"/>
      <c r="M189" s="9"/>
      <c r="N189" s="9"/>
      <c r="O189" s="12"/>
      <c r="P189" s="12"/>
      <c r="Q189" s="12"/>
      <c r="R189" s="12"/>
      <c r="S189" s="12"/>
      <c r="T189" s="12"/>
      <c r="V189" s="20">
        <f t="shared" si="87"/>
        <v>6</v>
      </c>
      <c r="W189" s="20">
        <f t="shared" si="87"/>
        <v>11</v>
      </c>
      <c r="X189" s="20">
        <f t="shared" si="87"/>
        <v>16</v>
      </c>
      <c r="Y189" s="20">
        <f t="shared" si="86"/>
        <v>0</v>
      </c>
      <c r="Z189" s="20">
        <f t="shared" si="86"/>
        <v>0</v>
      </c>
      <c r="AA189" s="20">
        <f t="shared" si="86"/>
        <v>0</v>
      </c>
      <c r="AC189" s="3">
        <f t="shared" si="88"/>
        <v>59</v>
      </c>
      <c r="AD189" s="3">
        <f t="shared" si="89"/>
        <v>54</v>
      </c>
      <c r="AE189" s="3">
        <f t="shared" si="90"/>
        <v>49</v>
      </c>
      <c r="AF189" s="3">
        <f t="shared" si="91"/>
        <v>43</v>
      </c>
      <c r="AG189" s="3">
        <f t="shared" si="92"/>
        <v>38</v>
      </c>
      <c r="AH189" s="3">
        <f t="shared" si="93"/>
        <v>33</v>
      </c>
      <c r="AI189" s="3">
        <f t="shared" si="94"/>
        <v>28</v>
      </c>
      <c r="AJ189" s="3">
        <f t="shared" si="95"/>
        <v>21</v>
      </c>
      <c r="AK189" s="3">
        <f t="shared" si="96"/>
        <v>0</v>
      </c>
      <c r="AL189" s="3">
        <f t="shared" si="97"/>
        <v>0</v>
      </c>
      <c r="AM189" s="3">
        <f t="shared" si="98"/>
        <v>92</v>
      </c>
      <c r="AN189" s="3">
        <f t="shared" si="99"/>
        <v>85</v>
      </c>
      <c r="AO189" s="3">
        <f t="shared" si="100"/>
        <v>80</v>
      </c>
      <c r="AP189" s="3">
        <f t="shared" si="101"/>
        <v>75</v>
      </c>
      <c r="AQ189" s="3">
        <f t="shared" si="102"/>
        <v>70</v>
      </c>
      <c r="AR189" s="3">
        <f t="shared" si="103"/>
        <v>64</v>
      </c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M189" s="35" t="s">
        <v>12</v>
      </c>
      <c r="BO189" s="35"/>
      <c r="BR189" s="9" t="str">
        <f t="shared" si="77"/>
        <v/>
      </c>
      <c r="BS189" s="37" t="str">
        <f t="shared" si="78"/>
        <v/>
      </c>
      <c r="BT189" s="38" t="str">
        <f t="shared" si="105"/>
        <v/>
      </c>
      <c r="BU189" s="36" t="str">
        <f t="shared" si="79"/>
        <v/>
      </c>
    </row>
    <row r="190" spans="2:73" ht="15">
      <c r="B190" s="16">
        <f t="shared" si="80"/>
        <v>44403</v>
      </c>
      <c r="C190" s="15" t="s">
        <v>1</v>
      </c>
      <c r="D190" s="17">
        <f t="shared" si="81"/>
        <v>44409</v>
      </c>
      <c r="E190" s="18">
        <f t="shared" si="82"/>
        <v>7</v>
      </c>
      <c r="F190" s="19">
        <f t="shared" si="83"/>
        <v>2021</v>
      </c>
      <c r="G190" s="9">
        <f t="shared" si="106"/>
        <v>17</v>
      </c>
      <c r="H190" s="8">
        <f t="shared" si="106"/>
        <v>95</v>
      </c>
      <c r="I190" s="9"/>
      <c r="J190" s="9"/>
      <c r="K190" s="9"/>
      <c r="L190" s="9"/>
      <c r="M190" s="9"/>
      <c r="N190" s="9"/>
      <c r="O190" s="12"/>
      <c r="P190" s="12"/>
      <c r="Q190" s="12"/>
      <c r="R190" s="12">
        <v>1</v>
      </c>
      <c r="S190" s="12"/>
      <c r="T190" s="12"/>
      <c r="V190" s="20">
        <f t="shared" si="87"/>
        <v>7</v>
      </c>
      <c r="W190" s="20">
        <f t="shared" si="87"/>
        <v>12</v>
      </c>
      <c r="X190" s="20">
        <f t="shared" si="87"/>
        <v>17</v>
      </c>
      <c r="Y190" s="20">
        <f t="shared" si="86"/>
        <v>44405</v>
      </c>
      <c r="Z190" s="20">
        <f t="shared" si="86"/>
        <v>0</v>
      </c>
      <c r="AA190" s="20">
        <f t="shared" si="86"/>
        <v>0</v>
      </c>
      <c r="AC190" s="3">
        <f t="shared" si="88"/>
        <v>60</v>
      </c>
      <c r="AD190" s="3">
        <f t="shared" si="89"/>
        <v>55</v>
      </c>
      <c r="AE190" s="3">
        <f t="shared" si="90"/>
        <v>50</v>
      </c>
      <c r="AF190" s="3">
        <f t="shared" si="91"/>
        <v>44</v>
      </c>
      <c r="AG190" s="3">
        <f t="shared" si="92"/>
        <v>39</v>
      </c>
      <c r="AH190" s="3">
        <f t="shared" si="93"/>
        <v>34</v>
      </c>
      <c r="AI190" s="3">
        <f t="shared" si="94"/>
        <v>29</v>
      </c>
      <c r="AJ190" s="3">
        <f t="shared" si="95"/>
        <v>22</v>
      </c>
      <c r="AK190" s="3">
        <f t="shared" si="96"/>
        <v>17</v>
      </c>
      <c r="AL190" s="3">
        <f t="shared" si="97"/>
        <v>0</v>
      </c>
      <c r="AM190" s="3">
        <f t="shared" si="98"/>
        <v>93</v>
      </c>
      <c r="AN190" s="3">
        <f t="shared" si="99"/>
        <v>86</v>
      </c>
      <c r="AO190" s="3">
        <f t="shared" si="100"/>
        <v>81</v>
      </c>
      <c r="AP190" s="3">
        <f t="shared" si="101"/>
        <v>76</v>
      </c>
      <c r="AQ190" s="3">
        <f t="shared" si="102"/>
        <v>71</v>
      </c>
      <c r="AR190" s="3">
        <f t="shared" si="103"/>
        <v>65</v>
      </c>
      <c r="AS190" s="8"/>
      <c r="AT190" s="8"/>
      <c r="AU190" s="8"/>
      <c r="AV190" s="8"/>
      <c r="AW190" s="8"/>
      <c r="AX190" s="8"/>
      <c r="AY190" s="8"/>
      <c r="AZ190" s="8"/>
      <c r="BA190" s="8">
        <v>3</v>
      </c>
      <c r="BB190" s="8"/>
      <c r="BC190" s="8"/>
      <c r="BD190" s="8"/>
      <c r="BE190" s="8"/>
      <c r="BF190" s="8"/>
      <c r="BG190" s="8"/>
      <c r="BH190" s="8"/>
      <c r="BM190" s="35" t="s">
        <v>12</v>
      </c>
      <c r="BO190" s="35"/>
      <c r="BR190" s="9">
        <f t="shared" si="77"/>
        <v>4</v>
      </c>
      <c r="BS190" s="37">
        <f t="shared" si="78"/>
        <v>44405</v>
      </c>
      <c r="BT190" s="38">
        <f t="shared" si="105"/>
        <v>44524</v>
      </c>
      <c r="BU190" s="36">
        <f t="shared" si="79"/>
        <v>5</v>
      </c>
    </row>
    <row r="191" spans="2:73" ht="15">
      <c r="B191" s="16">
        <f t="shared" si="80"/>
        <v>44410</v>
      </c>
      <c r="C191" s="15" t="s">
        <v>1</v>
      </c>
      <c r="D191" s="17">
        <f t="shared" si="81"/>
        <v>44416</v>
      </c>
      <c r="E191" s="18">
        <f t="shared" si="82"/>
        <v>8</v>
      </c>
      <c r="F191" s="19">
        <f t="shared" si="83"/>
        <v>2021</v>
      </c>
      <c r="G191" s="9">
        <f t="shared" si="106"/>
        <v>17</v>
      </c>
      <c r="H191" s="8">
        <f t="shared" si="106"/>
        <v>95</v>
      </c>
      <c r="I191" s="9"/>
      <c r="J191" s="9"/>
      <c r="K191" s="9"/>
      <c r="L191" s="9"/>
      <c r="M191" s="9"/>
      <c r="N191" s="9"/>
      <c r="O191" s="12"/>
      <c r="P191" s="12"/>
      <c r="Q191" s="12"/>
      <c r="R191" s="12"/>
      <c r="S191" s="12"/>
      <c r="T191" s="12"/>
      <c r="V191" s="20">
        <f t="shared" si="87"/>
        <v>8</v>
      </c>
      <c r="W191" s="20">
        <f t="shared" si="87"/>
        <v>13</v>
      </c>
      <c r="X191" s="20">
        <f t="shared" si="87"/>
        <v>0</v>
      </c>
      <c r="Y191" s="20">
        <f t="shared" si="86"/>
        <v>1</v>
      </c>
      <c r="Z191" s="20">
        <f t="shared" si="86"/>
        <v>0</v>
      </c>
      <c r="AA191" s="20">
        <f t="shared" si="86"/>
        <v>0</v>
      </c>
      <c r="AC191" s="3">
        <f t="shared" si="88"/>
        <v>61</v>
      </c>
      <c r="AD191" s="3">
        <f t="shared" si="89"/>
        <v>56</v>
      </c>
      <c r="AE191" s="3">
        <f t="shared" si="90"/>
        <v>51</v>
      </c>
      <c r="AF191" s="3">
        <f t="shared" si="91"/>
        <v>45</v>
      </c>
      <c r="AG191" s="3">
        <f t="shared" si="92"/>
        <v>40</v>
      </c>
      <c r="AH191" s="3">
        <f t="shared" si="93"/>
        <v>35</v>
      </c>
      <c r="AI191" s="3">
        <f t="shared" si="94"/>
        <v>30</v>
      </c>
      <c r="AJ191" s="3">
        <f t="shared" si="95"/>
        <v>23</v>
      </c>
      <c r="AK191" s="3">
        <f t="shared" si="96"/>
        <v>18</v>
      </c>
      <c r="AL191" s="3">
        <f t="shared" si="97"/>
        <v>0</v>
      </c>
      <c r="AM191" s="3">
        <f t="shared" si="98"/>
        <v>94</v>
      </c>
      <c r="AN191" s="3">
        <f t="shared" si="99"/>
        <v>87</v>
      </c>
      <c r="AO191" s="3">
        <f t="shared" si="100"/>
        <v>82</v>
      </c>
      <c r="AP191" s="3">
        <f t="shared" si="101"/>
        <v>77</v>
      </c>
      <c r="AQ191" s="3">
        <f t="shared" si="102"/>
        <v>72</v>
      </c>
      <c r="AR191" s="3">
        <f t="shared" si="103"/>
        <v>66</v>
      </c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L191">
        <v>5</v>
      </c>
      <c r="BM191" s="35">
        <v>44410</v>
      </c>
      <c r="BO191" s="35">
        <f>B208</f>
        <v>44529</v>
      </c>
      <c r="BP191">
        <v>98</v>
      </c>
      <c r="BR191" s="9" t="str">
        <f t="shared" si="77"/>
        <v/>
      </c>
      <c r="BS191" s="37" t="str">
        <f t="shared" si="78"/>
        <v/>
      </c>
      <c r="BT191" s="38" t="str">
        <f t="shared" si="105"/>
        <v/>
      </c>
      <c r="BU191" s="36" t="str">
        <f t="shared" si="79"/>
        <v/>
      </c>
    </row>
    <row r="192" spans="2:73" ht="15">
      <c r="B192" s="16">
        <f t="shared" si="80"/>
        <v>44417</v>
      </c>
      <c r="C192" s="15" t="s">
        <v>1</v>
      </c>
      <c r="D192" s="17">
        <f t="shared" si="81"/>
        <v>44423</v>
      </c>
      <c r="E192" s="18">
        <f t="shared" si="82"/>
        <v>8</v>
      </c>
      <c r="F192" s="19">
        <f t="shared" si="83"/>
        <v>2021</v>
      </c>
      <c r="G192" s="9">
        <f t="shared" si="106"/>
        <v>17</v>
      </c>
      <c r="H192" s="8">
        <f t="shared" si="106"/>
        <v>95</v>
      </c>
      <c r="I192" s="9"/>
      <c r="J192" s="9"/>
      <c r="K192" s="9"/>
      <c r="L192" s="9"/>
      <c r="M192" s="9"/>
      <c r="N192" s="9"/>
      <c r="O192" s="12"/>
      <c r="P192" s="12"/>
      <c r="Q192" s="12"/>
      <c r="R192" s="12"/>
      <c r="S192" s="12"/>
      <c r="T192" s="12"/>
      <c r="V192" s="20">
        <f t="shared" si="87"/>
        <v>9</v>
      </c>
      <c r="W192" s="20">
        <f t="shared" si="87"/>
        <v>14</v>
      </c>
      <c r="X192" s="20">
        <f t="shared" si="87"/>
        <v>0</v>
      </c>
      <c r="Y192" s="20">
        <f t="shared" si="86"/>
        <v>2</v>
      </c>
      <c r="Z192" s="20">
        <f t="shared" si="86"/>
        <v>0</v>
      </c>
      <c r="AA192" s="20">
        <f t="shared" si="86"/>
        <v>0</v>
      </c>
      <c r="AC192" s="3">
        <f t="shared" si="88"/>
        <v>62</v>
      </c>
      <c r="AD192" s="3">
        <f t="shared" si="89"/>
        <v>57</v>
      </c>
      <c r="AE192" s="3">
        <f t="shared" si="90"/>
        <v>52</v>
      </c>
      <c r="AF192" s="3">
        <f t="shared" si="91"/>
        <v>46</v>
      </c>
      <c r="AG192" s="3">
        <f t="shared" si="92"/>
        <v>41</v>
      </c>
      <c r="AH192" s="3">
        <f t="shared" si="93"/>
        <v>36</v>
      </c>
      <c r="AI192" s="3">
        <f t="shared" si="94"/>
        <v>31</v>
      </c>
      <c r="AJ192" s="3">
        <f t="shared" si="95"/>
        <v>24</v>
      </c>
      <c r="AK192" s="3">
        <f t="shared" si="96"/>
        <v>19</v>
      </c>
      <c r="AL192" s="3">
        <f t="shared" si="97"/>
        <v>0</v>
      </c>
      <c r="AM192" s="3">
        <f t="shared" si="98"/>
        <v>95</v>
      </c>
      <c r="AN192" s="3">
        <f t="shared" si="99"/>
        <v>88</v>
      </c>
      <c r="AO192" s="3">
        <f t="shared" si="100"/>
        <v>83</v>
      </c>
      <c r="AP192" s="3">
        <f t="shared" si="101"/>
        <v>78</v>
      </c>
      <c r="AQ192" s="3">
        <f t="shared" si="102"/>
        <v>73</v>
      </c>
      <c r="AR192" s="3">
        <f t="shared" si="103"/>
        <v>67</v>
      </c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M192" s="35" t="s">
        <v>12</v>
      </c>
      <c r="BO192" s="35"/>
      <c r="BR192" s="9" t="str">
        <f t="shared" si="77"/>
        <v/>
      </c>
      <c r="BS192" s="37" t="str">
        <f t="shared" si="78"/>
        <v/>
      </c>
      <c r="BT192" s="38" t="str">
        <f t="shared" si="105"/>
        <v/>
      </c>
      <c r="BU192" s="36" t="str">
        <f t="shared" si="79"/>
        <v/>
      </c>
    </row>
    <row r="193" spans="2:73" ht="15">
      <c r="B193" s="16">
        <f t="shared" si="80"/>
        <v>44424</v>
      </c>
      <c r="C193" s="15" t="s">
        <v>1</v>
      </c>
      <c r="D193" s="17">
        <f t="shared" si="81"/>
        <v>44430</v>
      </c>
      <c r="E193" s="18">
        <f t="shared" si="82"/>
        <v>8</v>
      </c>
      <c r="F193" s="19">
        <f t="shared" si="83"/>
        <v>2021</v>
      </c>
      <c r="G193" s="9">
        <f t="shared" si="106"/>
        <v>17</v>
      </c>
      <c r="H193" s="8">
        <f t="shared" si="106"/>
        <v>95</v>
      </c>
      <c r="I193" s="9"/>
      <c r="J193" s="9"/>
      <c r="K193" s="9"/>
      <c r="L193" s="9"/>
      <c r="M193" s="9"/>
      <c r="N193" s="9"/>
      <c r="O193" s="12"/>
      <c r="P193" s="12"/>
      <c r="Q193" s="12"/>
      <c r="R193" s="12"/>
      <c r="S193" s="12"/>
      <c r="T193" s="12"/>
      <c r="V193" s="20">
        <f t="shared" si="87"/>
        <v>10</v>
      </c>
      <c r="W193" s="20">
        <f t="shared" si="87"/>
        <v>15</v>
      </c>
      <c r="X193" s="20">
        <f t="shared" si="87"/>
        <v>0</v>
      </c>
      <c r="Y193" s="20">
        <f t="shared" si="86"/>
        <v>3</v>
      </c>
      <c r="Z193" s="20">
        <f t="shared" si="86"/>
        <v>0</v>
      </c>
      <c r="AA193" s="20">
        <f t="shared" si="86"/>
        <v>0</v>
      </c>
      <c r="AC193" s="3">
        <f t="shared" si="88"/>
        <v>63</v>
      </c>
      <c r="AD193" s="3">
        <f t="shared" si="89"/>
        <v>58</v>
      </c>
      <c r="AE193" s="3">
        <f t="shared" si="90"/>
        <v>53</v>
      </c>
      <c r="AF193" s="3">
        <f t="shared" si="91"/>
        <v>47</v>
      </c>
      <c r="AG193" s="3">
        <f t="shared" si="92"/>
        <v>42</v>
      </c>
      <c r="AH193" s="3">
        <f t="shared" si="93"/>
        <v>37</v>
      </c>
      <c r="AI193" s="3">
        <f t="shared" si="94"/>
        <v>32</v>
      </c>
      <c r="AJ193" s="3">
        <f t="shared" si="95"/>
        <v>25</v>
      </c>
      <c r="AK193" s="3">
        <f t="shared" si="96"/>
        <v>20</v>
      </c>
      <c r="AL193" s="3">
        <f t="shared" si="97"/>
        <v>0</v>
      </c>
      <c r="AM193" s="3">
        <f t="shared" si="98"/>
        <v>0</v>
      </c>
      <c r="AN193" s="3">
        <f t="shared" si="99"/>
        <v>89</v>
      </c>
      <c r="AO193" s="3">
        <f t="shared" si="100"/>
        <v>84</v>
      </c>
      <c r="AP193" s="3">
        <f t="shared" si="101"/>
        <v>79</v>
      </c>
      <c r="AQ193" s="3">
        <f t="shared" si="102"/>
        <v>74</v>
      </c>
      <c r="AR193" s="3">
        <f t="shared" si="103"/>
        <v>68</v>
      </c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M193" s="35" t="s">
        <v>12</v>
      </c>
      <c r="BO193" s="35"/>
      <c r="BR193" s="9" t="str">
        <f t="shared" si="77"/>
        <v/>
      </c>
      <c r="BS193" s="37" t="str">
        <f t="shared" si="78"/>
        <v/>
      </c>
      <c r="BT193" s="38" t="str">
        <f t="shared" si="105"/>
        <v/>
      </c>
      <c r="BU193" s="36" t="str">
        <f t="shared" si="79"/>
        <v/>
      </c>
    </row>
    <row r="194" spans="2:73" ht="15">
      <c r="B194" s="16">
        <f t="shared" si="80"/>
        <v>44431</v>
      </c>
      <c r="C194" s="15" t="s">
        <v>1</v>
      </c>
      <c r="D194" s="17">
        <f t="shared" si="81"/>
        <v>44437</v>
      </c>
      <c r="E194" s="18">
        <f t="shared" si="82"/>
        <v>8</v>
      </c>
      <c r="F194" s="19">
        <f t="shared" si="83"/>
        <v>2021</v>
      </c>
      <c r="G194" s="9">
        <f t="shared" si="106"/>
        <v>17</v>
      </c>
      <c r="H194" s="8">
        <f t="shared" si="106"/>
        <v>95</v>
      </c>
      <c r="I194" s="9"/>
      <c r="J194" s="9"/>
      <c r="K194" s="9"/>
      <c r="L194" s="9"/>
      <c r="M194" s="9"/>
      <c r="N194" s="9"/>
      <c r="O194" s="12"/>
      <c r="P194" s="12"/>
      <c r="Q194" s="12"/>
      <c r="R194" s="12"/>
      <c r="S194" s="12"/>
      <c r="T194" s="12"/>
      <c r="V194" s="20">
        <f t="shared" si="87"/>
        <v>11</v>
      </c>
      <c r="W194" s="20">
        <f t="shared" si="87"/>
        <v>16</v>
      </c>
      <c r="X194" s="20">
        <f t="shared" si="87"/>
        <v>0</v>
      </c>
      <c r="Y194" s="20">
        <f t="shared" si="86"/>
        <v>4</v>
      </c>
      <c r="Z194" s="20">
        <f t="shared" si="86"/>
        <v>0</v>
      </c>
      <c r="AA194" s="20">
        <f t="shared" si="86"/>
        <v>0</v>
      </c>
      <c r="AC194" s="3">
        <f t="shared" si="88"/>
        <v>64</v>
      </c>
      <c r="AD194" s="3">
        <f t="shared" si="89"/>
        <v>59</v>
      </c>
      <c r="AE194" s="3">
        <f t="shared" si="90"/>
        <v>54</v>
      </c>
      <c r="AF194" s="3">
        <f t="shared" si="91"/>
        <v>48</v>
      </c>
      <c r="AG194" s="3">
        <f t="shared" si="92"/>
        <v>43</v>
      </c>
      <c r="AH194" s="3">
        <f t="shared" si="93"/>
        <v>38</v>
      </c>
      <c r="AI194" s="3">
        <f t="shared" si="94"/>
        <v>33</v>
      </c>
      <c r="AJ194" s="3">
        <f t="shared" si="95"/>
        <v>26</v>
      </c>
      <c r="AK194" s="3">
        <f t="shared" si="96"/>
        <v>21</v>
      </c>
      <c r="AL194" s="3">
        <f t="shared" si="97"/>
        <v>0</v>
      </c>
      <c r="AM194" s="3">
        <f t="shared" si="98"/>
        <v>0</v>
      </c>
      <c r="AN194" s="3">
        <f t="shared" si="99"/>
        <v>90</v>
      </c>
      <c r="AO194" s="3">
        <f t="shared" si="100"/>
        <v>85</v>
      </c>
      <c r="AP194" s="3">
        <f t="shared" si="101"/>
        <v>80</v>
      </c>
      <c r="AQ194" s="3">
        <f t="shared" si="102"/>
        <v>75</v>
      </c>
      <c r="AR194" s="3">
        <f t="shared" si="103"/>
        <v>69</v>
      </c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M194" s="35" t="s">
        <v>12</v>
      </c>
      <c r="BO194" s="35"/>
      <c r="BR194" s="9" t="str">
        <f t="shared" si="77"/>
        <v/>
      </c>
      <c r="BS194" s="37" t="str">
        <f t="shared" si="78"/>
        <v/>
      </c>
      <c r="BT194" s="38" t="str">
        <f t="shared" si="105"/>
        <v/>
      </c>
      <c r="BU194" s="36" t="str">
        <f t="shared" si="79"/>
        <v/>
      </c>
    </row>
    <row r="195" spans="2:73" ht="15">
      <c r="B195" s="16">
        <f t="shared" si="80"/>
        <v>44438</v>
      </c>
      <c r="C195" s="15" t="s">
        <v>1</v>
      </c>
      <c r="D195" s="17">
        <f t="shared" si="81"/>
        <v>44444</v>
      </c>
      <c r="E195" s="18">
        <f t="shared" si="82"/>
        <v>8</v>
      </c>
      <c r="F195" s="19">
        <f t="shared" si="83"/>
        <v>2021</v>
      </c>
      <c r="G195" s="9">
        <f t="shared" si="106"/>
        <v>17</v>
      </c>
      <c r="H195" s="8">
        <f t="shared" si="106"/>
        <v>95</v>
      </c>
      <c r="I195" s="9"/>
      <c r="J195" s="9"/>
      <c r="K195" s="9"/>
      <c r="L195" s="9"/>
      <c r="M195" s="9"/>
      <c r="N195" s="9"/>
      <c r="O195" s="12"/>
      <c r="P195" s="12"/>
      <c r="Q195" s="12">
        <v>1</v>
      </c>
      <c r="R195" s="12"/>
      <c r="S195" s="12"/>
      <c r="T195" s="12"/>
      <c r="V195" s="20">
        <f t="shared" si="87"/>
        <v>12</v>
      </c>
      <c r="W195" s="20">
        <f t="shared" si="87"/>
        <v>17</v>
      </c>
      <c r="X195" s="20">
        <f t="shared" si="87"/>
        <v>44440</v>
      </c>
      <c r="Y195" s="20">
        <f t="shared" si="86"/>
        <v>5</v>
      </c>
      <c r="Z195" s="20">
        <f t="shared" si="86"/>
        <v>0</v>
      </c>
      <c r="AA195" s="20">
        <f t="shared" si="86"/>
        <v>0</v>
      </c>
      <c r="AC195" s="3">
        <f t="shared" si="88"/>
        <v>65</v>
      </c>
      <c r="AD195" s="3">
        <f t="shared" si="89"/>
        <v>60</v>
      </c>
      <c r="AE195" s="3">
        <f t="shared" si="90"/>
        <v>55</v>
      </c>
      <c r="AF195" s="3">
        <f t="shared" si="91"/>
        <v>49</v>
      </c>
      <c r="AG195" s="3">
        <f t="shared" si="92"/>
        <v>44</v>
      </c>
      <c r="AH195" s="3">
        <f t="shared" si="93"/>
        <v>39</v>
      </c>
      <c r="AI195" s="3">
        <f t="shared" si="94"/>
        <v>34</v>
      </c>
      <c r="AJ195" s="3">
        <f t="shared" si="95"/>
        <v>27</v>
      </c>
      <c r="AK195" s="3">
        <f t="shared" si="96"/>
        <v>22</v>
      </c>
      <c r="AL195" s="3">
        <f t="shared" si="97"/>
        <v>17</v>
      </c>
      <c r="AM195" s="3">
        <f t="shared" si="98"/>
        <v>0</v>
      </c>
      <c r="AN195" s="3">
        <f t="shared" si="99"/>
        <v>91</v>
      </c>
      <c r="AO195" s="3">
        <f t="shared" si="100"/>
        <v>86</v>
      </c>
      <c r="AP195" s="3">
        <f t="shared" si="101"/>
        <v>81</v>
      </c>
      <c r="AQ195" s="3">
        <f t="shared" si="102"/>
        <v>76</v>
      </c>
      <c r="AR195" s="3">
        <f t="shared" si="103"/>
        <v>70</v>
      </c>
      <c r="AS195" s="8"/>
      <c r="AT195" s="8"/>
      <c r="AU195" s="8"/>
      <c r="AV195" s="8"/>
      <c r="AW195" s="8"/>
      <c r="AX195" s="8"/>
      <c r="AY195" s="8"/>
      <c r="AZ195" s="8"/>
      <c r="BA195" s="8"/>
      <c r="BB195" s="8">
        <v>2</v>
      </c>
      <c r="BC195" s="8"/>
      <c r="BD195" s="8"/>
      <c r="BE195" s="8"/>
      <c r="BF195" s="8"/>
      <c r="BG195" s="8"/>
      <c r="BH195" s="8"/>
      <c r="BM195" s="35" t="s">
        <v>12</v>
      </c>
      <c r="BO195" s="35"/>
      <c r="BR195" s="9">
        <f t="shared" si="77"/>
        <v>3</v>
      </c>
      <c r="BS195" s="37">
        <f t="shared" si="78"/>
        <v>44440</v>
      </c>
      <c r="BT195" s="38">
        <f t="shared" si="105"/>
        <v>44559</v>
      </c>
      <c r="BU195" s="36">
        <f t="shared" si="79"/>
        <v>15</v>
      </c>
    </row>
    <row r="196" spans="2:73" ht="15">
      <c r="B196" s="16">
        <f t="shared" si="80"/>
        <v>44445</v>
      </c>
      <c r="C196" s="15" t="s">
        <v>1</v>
      </c>
      <c r="D196" s="17">
        <f t="shared" si="81"/>
        <v>44451</v>
      </c>
      <c r="E196" s="18">
        <f t="shared" si="82"/>
        <v>9</v>
      </c>
      <c r="F196" s="19">
        <f t="shared" si="83"/>
        <v>2021</v>
      </c>
      <c r="G196" s="9">
        <f t="shared" si="106"/>
        <v>17</v>
      </c>
      <c r="H196" s="8">
        <f t="shared" si="106"/>
        <v>95</v>
      </c>
      <c r="I196" s="9"/>
      <c r="J196" s="9"/>
      <c r="K196" s="9"/>
      <c r="L196" s="9"/>
      <c r="M196" s="9"/>
      <c r="N196" s="9"/>
      <c r="O196" s="12"/>
      <c r="P196" s="12"/>
      <c r="Q196" s="12"/>
      <c r="R196" s="12"/>
      <c r="S196" s="12"/>
      <c r="T196" s="12"/>
      <c r="V196" s="20">
        <f t="shared" si="87"/>
        <v>13</v>
      </c>
      <c r="W196" s="20">
        <f t="shared" si="87"/>
        <v>0</v>
      </c>
      <c r="X196" s="20">
        <f t="shared" si="87"/>
        <v>1</v>
      </c>
      <c r="Y196" s="20">
        <f t="shared" si="86"/>
        <v>6</v>
      </c>
      <c r="Z196" s="20">
        <f t="shared" si="86"/>
        <v>0</v>
      </c>
      <c r="AA196" s="20">
        <f t="shared" si="86"/>
        <v>0</v>
      </c>
      <c r="AC196" s="3">
        <f t="shared" si="88"/>
        <v>66</v>
      </c>
      <c r="AD196" s="3">
        <f t="shared" si="89"/>
        <v>61</v>
      </c>
      <c r="AE196" s="3">
        <f t="shared" si="90"/>
        <v>56</v>
      </c>
      <c r="AF196" s="3">
        <f t="shared" si="91"/>
        <v>50</v>
      </c>
      <c r="AG196" s="3">
        <f t="shared" si="92"/>
        <v>45</v>
      </c>
      <c r="AH196" s="3">
        <f t="shared" si="93"/>
        <v>40</v>
      </c>
      <c r="AI196" s="3">
        <f t="shared" si="94"/>
        <v>35</v>
      </c>
      <c r="AJ196" s="3">
        <f t="shared" si="95"/>
        <v>28</v>
      </c>
      <c r="AK196" s="3">
        <f t="shared" si="96"/>
        <v>23</v>
      </c>
      <c r="AL196" s="3">
        <f t="shared" si="97"/>
        <v>18</v>
      </c>
      <c r="AM196" s="3">
        <f t="shared" si="98"/>
        <v>0</v>
      </c>
      <c r="AN196" s="3">
        <f t="shared" si="99"/>
        <v>92</v>
      </c>
      <c r="AO196" s="3">
        <f t="shared" si="100"/>
        <v>87</v>
      </c>
      <c r="AP196" s="3">
        <f t="shared" si="101"/>
        <v>82</v>
      </c>
      <c r="AQ196" s="3">
        <f t="shared" si="102"/>
        <v>77</v>
      </c>
      <c r="AR196" s="3">
        <f t="shared" si="103"/>
        <v>71</v>
      </c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L196">
        <v>15</v>
      </c>
      <c r="BM196" s="35">
        <v>44445</v>
      </c>
      <c r="BO196" s="35">
        <f>B213</f>
        <v>44564</v>
      </c>
      <c r="BP196">
        <v>98</v>
      </c>
      <c r="BR196" s="9" t="str">
        <f t="shared" ref="BR196:BR259" si="107">IF(AND(V196&gt;0,V195=0),$V$2,IF(AND(W196&gt;0,W195=0),$W$2,IF(AND(X196&gt;0,X195=0),$X$2,IF(AND(Y196&gt;0,Y195=0),$Y$2,IF(AND(Z196&gt;0,Z195=0),$Z$2,IF(AND(AA196&gt;0,AA195=0),$AA$2,""))))))</f>
        <v/>
      </c>
      <c r="BS196" s="37" t="str">
        <f t="shared" ref="BS196:BS259" si="108">IF(OR(AND($V197=1,$V198=2),OR(AND($W197=1,$W198=2),OR(AND($X197=1,$X198=2),OR(AND($Y197=1,$Y198=2),OR(AND($Z197=1,$Z198),OR(AND($AA197=1,$AA198=2))))))),$B196+2,"")</f>
        <v/>
      </c>
      <c r="BT196" s="38" t="str">
        <f t="shared" si="105"/>
        <v/>
      </c>
      <c r="BU196" s="36" t="str">
        <f t="shared" ref="BU196:BU259" si="109">IF(AND(AC213&gt;0,AC212=0),$AC$2,IF(AND(AD213&gt;0,AD212=0),$AD$2,IF(AND(AE213&gt;0,AE212=0),$AE$2,IF(AND(AF213&gt;0,AF212=0),$AF$2,IF(AND(AG213&gt;0,AG212=0),$AG$2,IF(AND(AH213&gt;0,AH212=0),$AH$2,IF(AND(AI213&gt;0,AI212=0),$AI$2,IF(AND(AJ213&gt;0,AJ212=0),$AJ$2,IF(AND(AK213&gt;0,AK212=0),$AK$2,IF(AND(AL213&gt;0,AL212=0),$AL$2,IF(AND(AM213&gt;0,AM212=0),$AM$2,IF(AND(AN213&gt;0,AN212=0),$AN$2,IF(AND(AO213&gt;0,AO212=0),$AO$2,IF(AND(AP213&gt;0,AP212=0),$AP$2,IF(AND(AQ213&gt;0,AQ212=0),$AQ$2,IF(AND(AR213&gt;0,AR212=0),$AR$2,""))))))))))))))))</f>
        <v/>
      </c>
    </row>
    <row r="197" spans="2:73" ht="15">
      <c r="B197" s="16">
        <f t="shared" ref="B197:B260" si="110">D196+1</f>
        <v>44452</v>
      </c>
      <c r="C197" s="15" t="s">
        <v>1</v>
      </c>
      <c r="D197" s="17">
        <f t="shared" ref="D197:D260" si="111">B197+6</f>
        <v>44458</v>
      </c>
      <c r="E197" s="18">
        <f t="shared" ref="E197:E260" si="112">MONTH(B197)</f>
        <v>9</v>
      </c>
      <c r="F197" s="19">
        <f t="shared" ref="F197:F260" si="113">YEAR(D197)</f>
        <v>2021</v>
      </c>
      <c r="G197" s="9">
        <f t="shared" si="106"/>
        <v>17</v>
      </c>
      <c r="H197" s="8">
        <f t="shared" si="106"/>
        <v>95</v>
      </c>
      <c r="I197" s="9"/>
      <c r="J197" s="9"/>
      <c r="K197" s="9"/>
      <c r="L197" s="9"/>
      <c r="M197" s="9"/>
      <c r="N197" s="9"/>
      <c r="O197" s="12"/>
      <c r="P197" s="12"/>
      <c r="Q197" s="12"/>
      <c r="R197" s="12"/>
      <c r="S197" s="12"/>
      <c r="T197" s="12"/>
      <c r="V197" s="20">
        <f t="shared" si="87"/>
        <v>14</v>
      </c>
      <c r="W197" s="20">
        <f t="shared" si="87"/>
        <v>0</v>
      </c>
      <c r="X197" s="20">
        <f t="shared" si="87"/>
        <v>2</v>
      </c>
      <c r="Y197" s="20">
        <f t="shared" si="86"/>
        <v>7</v>
      </c>
      <c r="Z197" s="20">
        <f t="shared" si="86"/>
        <v>0</v>
      </c>
      <c r="AA197" s="20">
        <f t="shared" si="86"/>
        <v>0</v>
      </c>
      <c r="AC197" s="3">
        <f t="shared" si="88"/>
        <v>67</v>
      </c>
      <c r="AD197" s="3">
        <f t="shared" si="89"/>
        <v>62</v>
      </c>
      <c r="AE197" s="3">
        <f t="shared" si="90"/>
        <v>57</v>
      </c>
      <c r="AF197" s="3">
        <f t="shared" si="91"/>
        <v>51</v>
      </c>
      <c r="AG197" s="3">
        <f t="shared" si="92"/>
        <v>46</v>
      </c>
      <c r="AH197" s="3">
        <f t="shared" si="93"/>
        <v>41</v>
      </c>
      <c r="AI197" s="3">
        <f t="shared" si="94"/>
        <v>36</v>
      </c>
      <c r="AJ197" s="3">
        <f t="shared" si="95"/>
        <v>29</v>
      </c>
      <c r="AK197" s="3">
        <f t="shared" si="96"/>
        <v>24</v>
      </c>
      <c r="AL197" s="3">
        <f t="shared" si="97"/>
        <v>19</v>
      </c>
      <c r="AM197" s="3">
        <f t="shared" si="98"/>
        <v>0</v>
      </c>
      <c r="AN197" s="3">
        <f t="shared" si="99"/>
        <v>93</v>
      </c>
      <c r="AO197" s="3">
        <f t="shared" si="100"/>
        <v>88</v>
      </c>
      <c r="AP197" s="3">
        <f t="shared" si="101"/>
        <v>83</v>
      </c>
      <c r="AQ197" s="3">
        <f t="shared" si="102"/>
        <v>78</v>
      </c>
      <c r="AR197" s="3">
        <f t="shared" si="103"/>
        <v>72</v>
      </c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M197" s="35" t="s">
        <v>12</v>
      </c>
      <c r="BO197" s="35"/>
      <c r="BR197" s="9" t="str">
        <f t="shared" si="107"/>
        <v/>
      </c>
      <c r="BS197" s="37" t="str">
        <f t="shared" si="108"/>
        <v/>
      </c>
      <c r="BT197" s="38" t="str">
        <f t="shared" si="105"/>
        <v/>
      </c>
      <c r="BU197" s="36" t="str">
        <f t="shared" si="109"/>
        <v/>
      </c>
    </row>
    <row r="198" spans="2:73" ht="15">
      <c r="B198" s="16">
        <f t="shared" si="110"/>
        <v>44459</v>
      </c>
      <c r="C198" s="15" t="s">
        <v>1</v>
      </c>
      <c r="D198" s="17">
        <f t="shared" si="111"/>
        <v>44465</v>
      </c>
      <c r="E198" s="18">
        <f t="shared" si="112"/>
        <v>9</v>
      </c>
      <c r="F198" s="19">
        <f t="shared" si="113"/>
        <v>2021</v>
      </c>
      <c r="G198" s="9">
        <f t="shared" ref="G198:H213" si="114">G197</f>
        <v>17</v>
      </c>
      <c r="H198" s="8">
        <f t="shared" si="114"/>
        <v>95</v>
      </c>
      <c r="I198" s="9"/>
      <c r="J198" s="9"/>
      <c r="K198" s="9"/>
      <c r="L198" s="9"/>
      <c r="M198" s="9"/>
      <c r="N198" s="9"/>
      <c r="O198" s="12"/>
      <c r="P198" s="12"/>
      <c r="Q198" s="12"/>
      <c r="R198" s="12"/>
      <c r="S198" s="12"/>
      <c r="T198" s="12"/>
      <c r="V198" s="20">
        <f t="shared" si="87"/>
        <v>15</v>
      </c>
      <c r="W198" s="20">
        <f t="shared" si="87"/>
        <v>0</v>
      </c>
      <c r="X198" s="20">
        <f t="shared" si="87"/>
        <v>3</v>
      </c>
      <c r="Y198" s="20">
        <f t="shared" si="86"/>
        <v>8</v>
      </c>
      <c r="Z198" s="20">
        <f t="shared" si="86"/>
        <v>0</v>
      </c>
      <c r="AA198" s="20">
        <f t="shared" si="86"/>
        <v>0</v>
      </c>
      <c r="AC198" s="3">
        <f t="shared" si="88"/>
        <v>68</v>
      </c>
      <c r="AD198" s="3">
        <f t="shared" si="89"/>
        <v>63</v>
      </c>
      <c r="AE198" s="3">
        <f t="shared" si="90"/>
        <v>58</v>
      </c>
      <c r="AF198" s="3">
        <f t="shared" si="91"/>
        <v>52</v>
      </c>
      <c r="AG198" s="3">
        <f t="shared" si="92"/>
        <v>47</v>
      </c>
      <c r="AH198" s="3">
        <f t="shared" si="93"/>
        <v>42</v>
      </c>
      <c r="AI198" s="3">
        <f t="shared" si="94"/>
        <v>37</v>
      </c>
      <c r="AJ198" s="3">
        <f t="shared" si="95"/>
        <v>30</v>
      </c>
      <c r="AK198" s="3">
        <f t="shared" si="96"/>
        <v>25</v>
      </c>
      <c r="AL198" s="3">
        <f t="shared" si="97"/>
        <v>20</v>
      </c>
      <c r="AM198" s="3">
        <f t="shared" si="98"/>
        <v>0</v>
      </c>
      <c r="AN198" s="3">
        <f t="shared" si="99"/>
        <v>94</v>
      </c>
      <c r="AO198" s="3">
        <f t="shared" si="100"/>
        <v>89</v>
      </c>
      <c r="AP198" s="3">
        <f t="shared" si="101"/>
        <v>84</v>
      </c>
      <c r="AQ198" s="3">
        <f t="shared" si="102"/>
        <v>79</v>
      </c>
      <c r="AR198" s="3">
        <f t="shared" si="103"/>
        <v>73</v>
      </c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M198" s="35" t="s">
        <v>12</v>
      </c>
      <c r="BO198" s="35"/>
      <c r="BR198" s="9" t="str">
        <f t="shared" si="107"/>
        <v/>
      </c>
      <c r="BS198" s="37" t="str">
        <f t="shared" si="108"/>
        <v/>
      </c>
      <c r="BT198" s="38" t="str">
        <f t="shared" si="105"/>
        <v/>
      </c>
      <c r="BU198" s="36" t="str">
        <f t="shared" si="109"/>
        <v/>
      </c>
    </row>
    <row r="199" spans="2:73" ht="15">
      <c r="B199" s="16">
        <f t="shared" si="110"/>
        <v>44466</v>
      </c>
      <c r="C199" s="15" t="s">
        <v>1</v>
      </c>
      <c r="D199" s="17">
        <f t="shared" si="111"/>
        <v>44472</v>
      </c>
      <c r="E199" s="18">
        <f t="shared" si="112"/>
        <v>9</v>
      </c>
      <c r="F199" s="19">
        <f t="shared" si="113"/>
        <v>2021</v>
      </c>
      <c r="G199" s="9">
        <f t="shared" si="114"/>
        <v>17</v>
      </c>
      <c r="H199" s="8">
        <f t="shared" si="114"/>
        <v>95</v>
      </c>
      <c r="I199" s="9"/>
      <c r="J199" s="9"/>
      <c r="K199" s="9"/>
      <c r="L199" s="9"/>
      <c r="M199" s="9"/>
      <c r="N199" s="9"/>
      <c r="O199" s="12"/>
      <c r="P199" s="12"/>
      <c r="Q199" s="12"/>
      <c r="R199" s="12"/>
      <c r="S199" s="12"/>
      <c r="T199" s="12"/>
      <c r="V199" s="20">
        <f t="shared" si="87"/>
        <v>16</v>
      </c>
      <c r="W199" s="20">
        <f t="shared" si="87"/>
        <v>0</v>
      </c>
      <c r="X199" s="20">
        <f t="shared" si="87"/>
        <v>4</v>
      </c>
      <c r="Y199" s="20">
        <f t="shared" si="86"/>
        <v>9</v>
      </c>
      <c r="Z199" s="20">
        <f t="shared" si="86"/>
        <v>0</v>
      </c>
      <c r="AA199" s="20">
        <f t="shared" si="86"/>
        <v>0</v>
      </c>
      <c r="AC199" s="3">
        <f t="shared" si="88"/>
        <v>69</v>
      </c>
      <c r="AD199" s="3">
        <f t="shared" si="89"/>
        <v>64</v>
      </c>
      <c r="AE199" s="3">
        <f t="shared" si="90"/>
        <v>59</v>
      </c>
      <c r="AF199" s="3">
        <f t="shared" si="91"/>
        <v>53</v>
      </c>
      <c r="AG199" s="3">
        <f t="shared" si="92"/>
        <v>48</v>
      </c>
      <c r="AH199" s="3">
        <f t="shared" si="93"/>
        <v>43</v>
      </c>
      <c r="AI199" s="3">
        <f t="shared" si="94"/>
        <v>38</v>
      </c>
      <c r="AJ199" s="3">
        <f t="shared" si="95"/>
        <v>31</v>
      </c>
      <c r="AK199" s="3">
        <f t="shared" si="96"/>
        <v>26</v>
      </c>
      <c r="AL199" s="3">
        <f t="shared" si="97"/>
        <v>21</v>
      </c>
      <c r="AM199" s="3">
        <f t="shared" si="98"/>
        <v>0</v>
      </c>
      <c r="AN199" s="3">
        <f t="shared" si="99"/>
        <v>95</v>
      </c>
      <c r="AO199" s="3">
        <f t="shared" si="100"/>
        <v>90</v>
      </c>
      <c r="AP199" s="3">
        <f t="shared" si="101"/>
        <v>85</v>
      </c>
      <c r="AQ199" s="3">
        <f t="shared" si="102"/>
        <v>80</v>
      </c>
      <c r="AR199" s="3">
        <f t="shared" si="103"/>
        <v>74</v>
      </c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M199" s="35" t="s">
        <v>12</v>
      </c>
      <c r="BO199" s="35"/>
      <c r="BR199" s="9" t="str">
        <f t="shared" si="107"/>
        <v/>
      </c>
      <c r="BS199" s="37" t="str">
        <f t="shared" si="108"/>
        <v/>
      </c>
      <c r="BT199" s="38" t="str">
        <f t="shared" si="105"/>
        <v/>
      </c>
      <c r="BU199" s="36" t="str">
        <f t="shared" si="109"/>
        <v/>
      </c>
    </row>
    <row r="200" spans="2:73" ht="15">
      <c r="B200" s="16">
        <f t="shared" si="110"/>
        <v>44473</v>
      </c>
      <c r="C200" s="15" t="s">
        <v>1</v>
      </c>
      <c r="D200" s="17">
        <f t="shared" si="111"/>
        <v>44479</v>
      </c>
      <c r="E200" s="18">
        <f t="shared" si="112"/>
        <v>10</v>
      </c>
      <c r="F200" s="19">
        <f t="shared" si="113"/>
        <v>2021</v>
      </c>
      <c r="G200" s="9">
        <f t="shared" si="114"/>
        <v>17</v>
      </c>
      <c r="H200" s="8">
        <f t="shared" si="114"/>
        <v>95</v>
      </c>
      <c r="I200" s="9"/>
      <c r="J200" s="9"/>
      <c r="K200" s="9"/>
      <c r="L200" s="9"/>
      <c r="M200" s="9"/>
      <c r="N200" s="9"/>
      <c r="O200" s="12"/>
      <c r="P200" s="12">
        <v>1</v>
      </c>
      <c r="Q200" s="12"/>
      <c r="R200" s="12"/>
      <c r="S200" s="12"/>
      <c r="T200" s="12"/>
      <c r="V200" s="20">
        <f t="shared" si="87"/>
        <v>17</v>
      </c>
      <c r="W200" s="20">
        <f t="shared" si="87"/>
        <v>44475</v>
      </c>
      <c r="X200" s="20">
        <f t="shared" si="87"/>
        <v>5</v>
      </c>
      <c r="Y200" s="20">
        <f t="shared" si="86"/>
        <v>10</v>
      </c>
      <c r="Z200" s="20">
        <f t="shared" si="86"/>
        <v>0</v>
      </c>
      <c r="AA200" s="20">
        <f t="shared" si="86"/>
        <v>0</v>
      </c>
      <c r="AC200" s="3">
        <f t="shared" si="88"/>
        <v>70</v>
      </c>
      <c r="AD200" s="3">
        <f t="shared" si="89"/>
        <v>65</v>
      </c>
      <c r="AE200" s="3">
        <f t="shared" si="90"/>
        <v>60</v>
      </c>
      <c r="AF200" s="3">
        <f t="shared" si="91"/>
        <v>54</v>
      </c>
      <c r="AG200" s="3">
        <f t="shared" si="92"/>
        <v>49</v>
      </c>
      <c r="AH200" s="3">
        <f t="shared" si="93"/>
        <v>44</v>
      </c>
      <c r="AI200" s="3">
        <f t="shared" si="94"/>
        <v>39</v>
      </c>
      <c r="AJ200" s="3">
        <f t="shared" si="95"/>
        <v>32</v>
      </c>
      <c r="AK200" s="3">
        <f t="shared" si="96"/>
        <v>27</v>
      </c>
      <c r="AL200" s="3">
        <f t="shared" si="97"/>
        <v>22</v>
      </c>
      <c r="AM200" s="3">
        <f t="shared" si="98"/>
        <v>17</v>
      </c>
      <c r="AN200" s="3">
        <f t="shared" si="99"/>
        <v>0</v>
      </c>
      <c r="AO200" s="3">
        <f t="shared" si="100"/>
        <v>91</v>
      </c>
      <c r="AP200" s="3">
        <f t="shared" si="101"/>
        <v>86</v>
      </c>
      <c r="AQ200" s="3">
        <f t="shared" si="102"/>
        <v>81</v>
      </c>
      <c r="AR200" s="3">
        <f t="shared" si="103"/>
        <v>75</v>
      </c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>
        <v>1</v>
      </c>
      <c r="BD200" s="8"/>
      <c r="BE200" s="8"/>
      <c r="BF200" s="8"/>
      <c r="BG200" s="8"/>
      <c r="BH200" s="8"/>
      <c r="BM200" s="35" t="s">
        <v>12</v>
      </c>
      <c r="BO200" s="35"/>
      <c r="BR200" s="9">
        <f t="shared" si="107"/>
        <v>2</v>
      </c>
      <c r="BS200" s="37">
        <f t="shared" si="108"/>
        <v>44475</v>
      </c>
      <c r="BT200" s="38">
        <f t="shared" si="105"/>
        <v>44594</v>
      </c>
      <c r="BU200" s="36">
        <f t="shared" si="109"/>
        <v>7</v>
      </c>
    </row>
    <row r="201" spans="2:73" ht="15">
      <c r="B201" s="16">
        <f t="shared" si="110"/>
        <v>44480</v>
      </c>
      <c r="C201" s="15" t="s">
        <v>1</v>
      </c>
      <c r="D201" s="17">
        <f t="shared" si="111"/>
        <v>44486</v>
      </c>
      <c r="E201" s="18">
        <f t="shared" si="112"/>
        <v>10</v>
      </c>
      <c r="F201" s="19">
        <f t="shared" si="113"/>
        <v>2021</v>
      </c>
      <c r="G201" s="9">
        <f t="shared" si="114"/>
        <v>17</v>
      </c>
      <c r="H201" s="8">
        <f t="shared" si="114"/>
        <v>95</v>
      </c>
      <c r="I201" s="9"/>
      <c r="J201" s="9"/>
      <c r="K201" s="9"/>
      <c r="L201" s="9"/>
      <c r="M201" s="9"/>
      <c r="N201" s="9"/>
      <c r="O201" s="12"/>
      <c r="P201" s="12"/>
      <c r="Q201" s="12"/>
      <c r="R201" s="12"/>
      <c r="S201" s="12"/>
      <c r="T201" s="12"/>
      <c r="V201" s="20">
        <f t="shared" si="87"/>
        <v>0</v>
      </c>
      <c r="W201" s="20">
        <f t="shared" si="87"/>
        <v>1</v>
      </c>
      <c r="X201" s="20">
        <f t="shared" si="87"/>
        <v>6</v>
      </c>
      <c r="Y201" s="20">
        <f t="shared" si="86"/>
        <v>11</v>
      </c>
      <c r="Z201" s="20">
        <f t="shared" si="86"/>
        <v>0</v>
      </c>
      <c r="AA201" s="20">
        <f t="shared" si="86"/>
        <v>0</v>
      </c>
      <c r="AC201" s="3">
        <f t="shared" si="88"/>
        <v>71</v>
      </c>
      <c r="AD201" s="3">
        <f t="shared" si="89"/>
        <v>66</v>
      </c>
      <c r="AE201" s="3">
        <f t="shared" si="90"/>
        <v>61</v>
      </c>
      <c r="AF201" s="3">
        <f t="shared" si="91"/>
        <v>55</v>
      </c>
      <c r="AG201" s="3">
        <f t="shared" si="92"/>
        <v>50</v>
      </c>
      <c r="AH201" s="3">
        <f t="shared" si="93"/>
        <v>45</v>
      </c>
      <c r="AI201" s="3">
        <f t="shared" si="94"/>
        <v>40</v>
      </c>
      <c r="AJ201" s="3">
        <f t="shared" si="95"/>
        <v>33</v>
      </c>
      <c r="AK201" s="3">
        <f t="shared" si="96"/>
        <v>28</v>
      </c>
      <c r="AL201" s="3">
        <f t="shared" si="97"/>
        <v>23</v>
      </c>
      <c r="AM201" s="3">
        <f t="shared" si="98"/>
        <v>18</v>
      </c>
      <c r="AN201" s="3">
        <f t="shared" si="99"/>
        <v>0</v>
      </c>
      <c r="AO201" s="3">
        <f t="shared" si="100"/>
        <v>92</v>
      </c>
      <c r="AP201" s="3">
        <f t="shared" si="101"/>
        <v>87</v>
      </c>
      <c r="AQ201" s="3">
        <f t="shared" si="102"/>
        <v>82</v>
      </c>
      <c r="AR201" s="3">
        <f t="shared" si="103"/>
        <v>76</v>
      </c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L201">
        <v>7</v>
      </c>
      <c r="BM201" s="35">
        <v>44480</v>
      </c>
      <c r="BO201" s="35">
        <f>B218</f>
        <v>44599</v>
      </c>
      <c r="BP201">
        <v>98</v>
      </c>
      <c r="BR201" s="9" t="str">
        <f t="shared" si="107"/>
        <v/>
      </c>
      <c r="BS201" s="37" t="str">
        <f t="shared" si="108"/>
        <v/>
      </c>
      <c r="BT201" s="38" t="str">
        <f t="shared" si="105"/>
        <v/>
      </c>
      <c r="BU201" s="36" t="str">
        <f t="shared" si="109"/>
        <v/>
      </c>
    </row>
    <row r="202" spans="2:73" ht="15">
      <c r="B202" s="16">
        <f t="shared" si="110"/>
        <v>44487</v>
      </c>
      <c r="C202" s="15" t="s">
        <v>1</v>
      </c>
      <c r="D202" s="17">
        <f t="shared" si="111"/>
        <v>44493</v>
      </c>
      <c r="E202" s="18">
        <f t="shared" si="112"/>
        <v>10</v>
      </c>
      <c r="F202" s="19">
        <f t="shared" si="113"/>
        <v>2021</v>
      </c>
      <c r="G202" s="9">
        <f t="shared" si="114"/>
        <v>17</v>
      </c>
      <c r="H202" s="8">
        <f t="shared" si="114"/>
        <v>95</v>
      </c>
      <c r="I202" s="9"/>
      <c r="J202" s="9"/>
      <c r="K202" s="9"/>
      <c r="L202" s="9"/>
      <c r="M202" s="9"/>
      <c r="N202" s="9"/>
      <c r="O202" s="12"/>
      <c r="P202" s="12"/>
      <c r="Q202" s="12"/>
      <c r="R202" s="12"/>
      <c r="S202" s="12"/>
      <c r="T202" s="12"/>
      <c r="V202" s="20">
        <f t="shared" si="87"/>
        <v>0</v>
      </c>
      <c r="W202" s="20">
        <f t="shared" si="87"/>
        <v>2</v>
      </c>
      <c r="X202" s="20">
        <f t="shared" si="87"/>
        <v>7</v>
      </c>
      <c r="Y202" s="20">
        <f t="shared" si="86"/>
        <v>12</v>
      </c>
      <c r="Z202" s="20">
        <f t="shared" si="86"/>
        <v>0</v>
      </c>
      <c r="AA202" s="20">
        <f t="shared" si="86"/>
        <v>0</v>
      </c>
      <c r="AC202" s="3">
        <f t="shared" si="88"/>
        <v>72</v>
      </c>
      <c r="AD202" s="3">
        <f t="shared" si="89"/>
        <v>67</v>
      </c>
      <c r="AE202" s="3">
        <f t="shared" si="90"/>
        <v>62</v>
      </c>
      <c r="AF202" s="3">
        <f t="shared" si="91"/>
        <v>56</v>
      </c>
      <c r="AG202" s="3">
        <f t="shared" si="92"/>
        <v>51</v>
      </c>
      <c r="AH202" s="3">
        <f t="shared" si="93"/>
        <v>46</v>
      </c>
      <c r="AI202" s="3">
        <f t="shared" si="94"/>
        <v>41</v>
      </c>
      <c r="AJ202" s="3">
        <f t="shared" si="95"/>
        <v>34</v>
      </c>
      <c r="AK202" s="3">
        <f t="shared" si="96"/>
        <v>29</v>
      </c>
      <c r="AL202" s="3">
        <f t="shared" si="97"/>
        <v>24</v>
      </c>
      <c r="AM202" s="3">
        <f t="shared" si="98"/>
        <v>19</v>
      </c>
      <c r="AN202" s="3">
        <f t="shared" si="99"/>
        <v>0</v>
      </c>
      <c r="AO202" s="3">
        <f t="shared" si="100"/>
        <v>93</v>
      </c>
      <c r="AP202" s="3">
        <f t="shared" si="101"/>
        <v>88</v>
      </c>
      <c r="AQ202" s="3">
        <f t="shared" si="102"/>
        <v>83</v>
      </c>
      <c r="AR202" s="3">
        <f t="shared" si="103"/>
        <v>77</v>
      </c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M202" s="35" t="s">
        <v>12</v>
      </c>
      <c r="BO202" s="35"/>
      <c r="BR202" s="9" t="str">
        <f t="shared" si="107"/>
        <v/>
      </c>
      <c r="BS202" s="37" t="str">
        <f t="shared" si="108"/>
        <v/>
      </c>
      <c r="BT202" s="38" t="str">
        <f t="shared" si="105"/>
        <v/>
      </c>
      <c r="BU202" s="36" t="str">
        <f t="shared" si="109"/>
        <v/>
      </c>
    </row>
    <row r="203" spans="2:73" ht="15">
      <c r="B203" s="16">
        <f t="shared" si="110"/>
        <v>44494</v>
      </c>
      <c r="C203" s="15" t="s">
        <v>1</v>
      </c>
      <c r="D203" s="17">
        <f t="shared" si="111"/>
        <v>44500</v>
      </c>
      <c r="E203" s="18">
        <f t="shared" si="112"/>
        <v>10</v>
      </c>
      <c r="F203" s="19">
        <f t="shared" si="113"/>
        <v>2021</v>
      </c>
      <c r="G203" s="9">
        <f t="shared" si="114"/>
        <v>17</v>
      </c>
      <c r="H203" s="8">
        <f t="shared" si="114"/>
        <v>95</v>
      </c>
      <c r="I203" s="9"/>
      <c r="J203" s="9"/>
      <c r="K203" s="9"/>
      <c r="L203" s="9"/>
      <c r="M203" s="9"/>
      <c r="N203" s="9"/>
      <c r="O203" s="12"/>
      <c r="P203" s="12"/>
      <c r="Q203" s="12"/>
      <c r="R203" s="12"/>
      <c r="S203" s="12"/>
      <c r="T203" s="12"/>
      <c r="V203" s="20">
        <f t="shared" si="87"/>
        <v>0</v>
      </c>
      <c r="W203" s="20">
        <f t="shared" si="87"/>
        <v>3</v>
      </c>
      <c r="X203" s="20">
        <f t="shared" si="87"/>
        <v>8</v>
      </c>
      <c r="Y203" s="20">
        <f t="shared" si="86"/>
        <v>13</v>
      </c>
      <c r="Z203" s="20">
        <f t="shared" si="86"/>
        <v>0</v>
      </c>
      <c r="AA203" s="20">
        <f t="shared" si="86"/>
        <v>0</v>
      </c>
      <c r="AC203" s="3">
        <f t="shared" si="88"/>
        <v>73</v>
      </c>
      <c r="AD203" s="3">
        <f t="shared" si="89"/>
        <v>68</v>
      </c>
      <c r="AE203" s="3">
        <f t="shared" si="90"/>
        <v>63</v>
      </c>
      <c r="AF203" s="3">
        <f t="shared" si="91"/>
        <v>57</v>
      </c>
      <c r="AG203" s="3">
        <f t="shared" si="92"/>
        <v>52</v>
      </c>
      <c r="AH203" s="3">
        <f t="shared" si="93"/>
        <v>47</v>
      </c>
      <c r="AI203" s="3">
        <f t="shared" si="94"/>
        <v>42</v>
      </c>
      <c r="AJ203" s="3">
        <f t="shared" si="95"/>
        <v>35</v>
      </c>
      <c r="AK203" s="3">
        <f t="shared" si="96"/>
        <v>30</v>
      </c>
      <c r="AL203" s="3">
        <f t="shared" si="97"/>
        <v>25</v>
      </c>
      <c r="AM203" s="3">
        <f t="shared" si="98"/>
        <v>20</v>
      </c>
      <c r="AN203" s="3">
        <f t="shared" si="99"/>
        <v>0</v>
      </c>
      <c r="AO203" s="3">
        <f t="shared" si="100"/>
        <v>94</v>
      </c>
      <c r="AP203" s="3">
        <f t="shared" si="101"/>
        <v>89</v>
      </c>
      <c r="AQ203" s="3">
        <f t="shared" si="102"/>
        <v>84</v>
      </c>
      <c r="AR203" s="3">
        <f t="shared" si="103"/>
        <v>78</v>
      </c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M203" s="35" t="s">
        <v>12</v>
      </c>
      <c r="BO203" s="35"/>
      <c r="BR203" s="9" t="str">
        <f t="shared" si="107"/>
        <v/>
      </c>
      <c r="BS203" s="37" t="str">
        <f t="shared" si="108"/>
        <v/>
      </c>
      <c r="BT203" s="38" t="str">
        <f t="shared" si="105"/>
        <v/>
      </c>
      <c r="BU203" s="36" t="str">
        <f t="shared" si="109"/>
        <v/>
      </c>
    </row>
    <row r="204" spans="2:73" ht="15">
      <c r="B204" s="16">
        <f t="shared" si="110"/>
        <v>44501</v>
      </c>
      <c r="C204" s="15" t="s">
        <v>1</v>
      </c>
      <c r="D204" s="17">
        <f t="shared" si="111"/>
        <v>44507</v>
      </c>
      <c r="E204" s="18">
        <f t="shared" si="112"/>
        <v>11</v>
      </c>
      <c r="F204" s="19">
        <f t="shared" si="113"/>
        <v>2021</v>
      </c>
      <c r="G204" s="9">
        <f t="shared" si="114"/>
        <v>17</v>
      </c>
      <c r="H204" s="8">
        <f t="shared" si="114"/>
        <v>95</v>
      </c>
      <c r="I204" s="9"/>
      <c r="J204" s="9"/>
      <c r="K204" s="9"/>
      <c r="L204" s="9"/>
      <c r="M204" s="9"/>
      <c r="N204" s="9"/>
      <c r="O204" s="12"/>
      <c r="P204" s="12"/>
      <c r="Q204" s="12"/>
      <c r="R204" s="12"/>
      <c r="S204" s="12"/>
      <c r="T204" s="12"/>
      <c r="V204" s="20">
        <f t="shared" si="87"/>
        <v>0</v>
      </c>
      <c r="W204" s="20">
        <f t="shared" si="87"/>
        <v>4</v>
      </c>
      <c r="X204" s="20">
        <f t="shared" si="87"/>
        <v>9</v>
      </c>
      <c r="Y204" s="20">
        <f t="shared" si="86"/>
        <v>14</v>
      </c>
      <c r="Z204" s="20">
        <f t="shared" si="86"/>
        <v>0</v>
      </c>
      <c r="AA204" s="20">
        <f t="shared" si="86"/>
        <v>0</v>
      </c>
      <c r="AC204" s="3">
        <f t="shared" si="88"/>
        <v>74</v>
      </c>
      <c r="AD204" s="3">
        <f t="shared" si="89"/>
        <v>69</v>
      </c>
      <c r="AE204" s="3">
        <f t="shared" si="90"/>
        <v>64</v>
      </c>
      <c r="AF204" s="3">
        <f t="shared" si="91"/>
        <v>58</v>
      </c>
      <c r="AG204" s="3">
        <f t="shared" si="92"/>
        <v>53</v>
      </c>
      <c r="AH204" s="3">
        <f t="shared" si="93"/>
        <v>48</v>
      </c>
      <c r="AI204" s="3">
        <f t="shared" si="94"/>
        <v>43</v>
      </c>
      <c r="AJ204" s="3">
        <f t="shared" si="95"/>
        <v>36</v>
      </c>
      <c r="AK204" s="3">
        <f t="shared" si="96"/>
        <v>31</v>
      </c>
      <c r="AL204" s="3">
        <f t="shared" si="97"/>
        <v>26</v>
      </c>
      <c r="AM204" s="3">
        <f t="shared" si="98"/>
        <v>21</v>
      </c>
      <c r="AN204" s="3">
        <f t="shared" si="99"/>
        <v>0</v>
      </c>
      <c r="AO204" s="3">
        <f t="shared" si="100"/>
        <v>95</v>
      </c>
      <c r="AP204" s="3">
        <f t="shared" si="101"/>
        <v>90</v>
      </c>
      <c r="AQ204" s="3">
        <f t="shared" si="102"/>
        <v>85</v>
      </c>
      <c r="AR204" s="3">
        <f t="shared" si="103"/>
        <v>79</v>
      </c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M204" s="35" t="s">
        <v>12</v>
      </c>
      <c r="BO204" s="35"/>
      <c r="BR204" s="9" t="str">
        <f t="shared" si="107"/>
        <v/>
      </c>
      <c r="BS204" s="37" t="str">
        <f t="shared" si="108"/>
        <v/>
      </c>
      <c r="BT204" s="38" t="str">
        <f t="shared" si="105"/>
        <v/>
      </c>
      <c r="BU204" s="36" t="str">
        <f t="shared" si="109"/>
        <v/>
      </c>
    </row>
    <row r="205" spans="2:73" ht="15">
      <c r="B205" s="16">
        <f t="shared" si="110"/>
        <v>44508</v>
      </c>
      <c r="C205" s="15" t="s">
        <v>1</v>
      </c>
      <c r="D205" s="17">
        <f t="shared" si="111"/>
        <v>44514</v>
      </c>
      <c r="E205" s="18">
        <f t="shared" si="112"/>
        <v>11</v>
      </c>
      <c r="F205" s="19">
        <f t="shared" si="113"/>
        <v>2021</v>
      </c>
      <c r="G205" s="9">
        <f t="shared" si="114"/>
        <v>17</v>
      </c>
      <c r="H205" s="8">
        <f t="shared" si="114"/>
        <v>95</v>
      </c>
      <c r="I205" s="9"/>
      <c r="J205" s="9"/>
      <c r="K205" s="9"/>
      <c r="L205" s="9"/>
      <c r="M205" s="9"/>
      <c r="N205" s="9"/>
      <c r="O205" s="12">
        <v>1</v>
      </c>
      <c r="P205" s="12"/>
      <c r="Q205" s="12"/>
      <c r="R205" s="12"/>
      <c r="S205" s="12"/>
      <c r="T205" s="12"/>
      <c r="V205" s="20">
        <f t="shared" si="87"/>
        <v>44510</v>
      </c>
      <c r="W205" s="20">
        <f t="shared" si="87"/>
        <v>5</v>
      </c>
      <c r="X205" s="20">
        <f t="shared" si="87"/>
        <v>10</v>
      </c>
      <c r="Y205" s="20">
        <f t="shared" si="86"/>
        <v>15</v>
      </c>
      <c r="Z205" s="20">
        <f t="shared" si="86"/>
        <v>0</v>
      </c>
      <c r="AA205" s="20">
        <f t="shared" si="86"/>
        <v>0</v>
      </c>
      <c r="AC205" s="3">
        <f t="shared" si="88"/>
        <v>75</v>
      </c>
      <c r="AD205" s="3">
        <f t="shared" si="89"/>
        <v>70</v>
      </c>
      <c r="AE205" s="3">
        <f t="shared" si="90"/>
        <v>65</v>
      </c>
      <c r="AF205" s="3">
        <f t="shared" si="91"/>
        <v>59</v>
      </c>
      <c r="AG205" s="3">
        <f t="shared" si="92"/>
        <v>54</v>
      </c>
      <c r="AH205" s="3">
        <f t="shared" si="93"/>
        <v>49</v>
      </c>
      <c r="AI205" s="3">
        <f t="shared" si="94"/>
        <v>44</v>
      </c>
      <c r="AJ205" s="3">
        <f t="shared" si="95"/>
        <v>37</v>
      </c>
      <c r="AK205" s="3">
        <f t="shared" si="96"/>
        <v>32</v>
      </c>
      <c r="AL205" s="3">
        <f t="shared" si="97"/>
        <v>27</v>
      </c>
      <c r="AM205" s="3">
        <f t="shared" si="98"/>
        <v>22</v>
      </c>
      <c r="AN205" s="3">
        <f t="shared" si="99"/>
        <v>0</v>
      </c>
      <c r="AO205" s="3">
        <f t="shared" si="100"/>
        <v>0</v>
      </c>
      <c r="AP205" s="3">
        <f t="shared" si="101"/>
        <v>91</v>
      </c>
      <c r="AQ205" s="3">
        <f t="shared" si="102"/>
        <v>86</v>
      </c>
      <c r="AR205" s="3">
        <f t="shared" si="103"/>
        <v>80</v>
      </c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M205" s="35" t="s">
        <v>12</v>
      </c>
      <c r="BO205" s="35"/>
      <c r="BR205" s="9">
        <f t="shared" si="107"/>
        <v>1</v>
      </c>
      <c r="BS205" s="37">
        <f t="shared" si="108"/>
        <v>44510</v>
      </c>
      <c r="BT205" s="38">
        <f t="shared" si="105"/>
        <v>44629</v>
      </c>
      <c r="BU205" s="36">
        <f t="shared" si="109"/>
        <v>8</v>
      </c>
    </row>
    <row r="206" spans="2:73" ht="15">
      <c r="B206" s="16">
        <f t="shared" si="110"/>
        <v>44515</v>
      </c>
      <c r="C206" s="15" t="s">
        <v>1</v>
      </c>
      <c r="D206" s="17">
        <f t="shared" si="111"/>
        <v>44521</v>
      </c>
      <c r="E206" s="18">
        <f t="shared" si="112"/>
        <v>11</v>
      </c>
      <c r="F206" s="19">
        <f t="shared" si="113"/>
        <v>2021</v>
      </c>
      <c r="G206" s="9">
        <f t="shared" si="114"/>
        <v>17</v>
      </c>
      <c r="H206" s="8">
        <f t="shared" si="114"/>
        <v>95</v>
      </c>
      <c r="I206" s="9"/>
      <c r="J206" s="9"/>
      <c r="K206" s="9"/>
      <c r="L206" s="9"/>
      <c r="M206" s="9"/>
      <c r="N206" s="9"/>
      <c r="O206" s="12"/>
      <c r="P206" s="12"/>
      <c r="Q206" s="12"/>
      <c r="R206" s="12"/>
      <c r="S206" s="12"/>
      <c r="T206" s="12"/>
      <c r="V206" s="20">
        <f t="shared" si="87"/>
        <v>1</v>
      </c>
      <c r="W206" s="20">
        <f t="shared" si="87"/>
        <v>6</v>
      </c>
      <c r="X206" s="20">
        <f t="shared" si="87"/>
        <v>11</v>
      </c>
      <c r="Y206" s="20">
        <f t="shared" si="86"/>
        <v>16</v>
      </c>
      <c r="Z206" s="20">
        <f t="shared" si="86"/>
        <v>0</v>
      </c>
      <c r="AA206" s="20">
        <f t="shared" si="86"/>
        <v>0</v>
      </c>
      <c r="AC206" s="3">
        <f t="shared" si="88"/>
        <v>76</v>
      </c>
      <c r="AD206" s="3">
        <f t="shared" si="89"/>
        <v>71</v>
      </c>
      <c r="AE206" s="3">
        <f t="shared" si="90"/>
        <v>66</v>
      </c>
      <c r="AF206" s="3">
        <f t="shared" si="91"/>
        <v>60</v>
      </c>
      <c r="AG206" s="3">
        <f t="shared" si="92"/>
        <v>55</v>
      </c>
      <c r="AH206" s="3">
        <f t="shared" si="93"/>
        <v>50</v>
      </c>
      <c r="AI206" s="3">
        <f t="shared" si="94"/>
        <v>45</v>
      </c>
      <c r="AJ206" s="3">
        <f t="shared" si="95"/>
        <v>38</v>
      </c>
      <c r="AK206" s="3">
        <f t="shared" si="96"/>
        <v>33</v>
      </c>
      <c r="AL206" s="3">
        <f t="shared" si="97"/>
        <v>28</v>
      </c>
      <c r="AM206" s="3">
        <f t="shared" si="98"/>
        <v>23</v>
      </c>
      <c r="AN206" s="3">
        <f t="shared" si="99"/>
        <v>0</v>
      </c>
      <c r="AO206" s="3">
        <f t="shared" si="100"/>
        <v>0</v>
      </c>
      <c r="AP206" s="3">
        <f t="shared" si="101"/>
        <v>92</v>
      </c>
      <c r="AQ206" s="3">
        <f t="shared" si="102"/>
        <v>87</v>
      </c>
      <c r="AR206" s="3">
        <f t="shared" si="103"/>
        <v>81</v>
      </c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L206">
        <v>8</v>
      </c>
      <c r="BM206" s="35">
        <v>44515</v>
      </c>
      <c r="BO206" s="35">
        <f>B223</f>
        <v>44634</v>
      </c>
      <c r="BP206">
        <v>98</v>
      </c>
      <c r="BR206" s="9" t="str">
        <f t="shared" si="107"/>
        <v/>
      </c>
      <c r="BS206" s="37" t="str">
        <f t="shared" si="108"/>
        <v/>
      </c>
      <c r="BT206" s="38" t="str">
        <f t="shared" si="105"/>
        <v/>
      </c>
      <c r="BU206" s="36" t="str">
        <f t="shared" si="109"/>
        <v/>
      </c>
    </row>
    <row r="207" spans="2:73" ht="15">
      <c r="B207" s="16">
        <f t="shared" si="110"/>
        <v>44522</v>
      </c>
      <c r="C207" s="15" t="s">
        <v>1</v>
      </c>
      <c r="D207" s="17">
        <f t="shared" si="111"/>
        <v>44528</v>
      </c>
      <c r="E207" s="18">
        <f t="shared" si="112"/>
        <v>11</v>
      </c>
      <c r="F207" s="19">
        <f t="shared" si="113"/>
        <v>2021</v>
      </c>
      <c r="G207" s="9">
        <f t="shared" si="114"/>
        <v>17</v>
      </c>
      <c r="H207" s="8">
        <f t="shared" si="114"/>
        <v>95</v>
      </c>
      <c r="I207" s="9"/>
      <c r="J207" s="9"/>
      <c r="K207" s="9"/>
      <c r="L207" s="9"/>
      <c r="M207" s="9"/>
      <c r="N207" s="9"/>
      <c r="O207" s="12"/>
      <c r="P207" s="12"/>
      <c r="Q207" s="12"/>
      <c r="R207" s="12"/>
      <c r="S207" s="12"/>
      <c r="T207" s="12"/>
      <c r="V207" s="20">
        <f t="shared" si="87"/>
        <v>2</v>
      </c>
      <c r="W207" s="20">
        <f t="shared" si="87"/>
        <v>7</v>
      </c>
      <c r="X207" s="20">
        <f t="shared" si="87"/>
        <v>12</v>
      </c>
      <c r="Y207" s="20">
        <f t="shared" si="86"/>
        <v>17</v>
      </c>
      <c r="Z207" s="20">
        <f t="shared" si="86"/>
        <v>0</v>
      </c>
      <c r="AA207" s="20">
        <f t="shared" si="86"/>
        <v>0</v>
      </c>
      <c r="AC207" s="3">
        <f t="shared" si="88"/>
        <v>77</v>
      </c>
      <c r="AD207" s="3">
        <f t="shared" si="89"/>
        <v>72</v>
      </c>
      <c r="AE207" s="3">
        <f t="shared" si="90"/>
        <v>67</v>
      </c>
      <c r="AF207" s="3">
        <f t="shared" si="91"/>
        <v>61</v>
      </c>
      <c r="AG207" s="3">
        <f t="shared" si="92"/>
        <v>56</v>
      </c>
      <c r="AH207" s="3">
        <f t="shared" si="93"/>
        <v>51</v>
      </c>
      <c r="AI207" s="3">
        <f t="shared" si="94"/>
        <v>46</v>
      </c>
      <c r="AJ207" s="3">
        <f t="shared" si="95"/>
        <v>39</v>
      </c>
      <c r="AK207" s="3">
        <f t="shared" si="96"/>
        <v>34</v>
      </c>
      <c r="AL207" s="3">
        <f t="shared" si="97"/>
        <v>29</v>
      </c>
      <c r="AM207" s="3">
        <f t="shared" si="98"/>
        <v>24</v>
      </c>
      <c r="AN207" s="3">
        <f t="shared" si="99"/>
        <v>17</v>
      </c>
      <c r="AO207" s="3">
        <f t="shared" si="100"/>
        <v>0</v>
      </c>
      <c r="AP207" s="3">
        <f t="shared" si="101"/>
        <v>93</v>
      </c>
      <c r="AQ207" s="3">
        <f t="shared" si="102"/>
        <v>88</v>
      </c>
      <c r="AR207" s="3">
        <f t="shared" si="103"/>
        <v>82</v>
      </c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>
        <v>4</v>
      </c>
      <c r="BE207" s="8"/>
      <c r="BF207" s="8"/>
      <c r="BG207" s="8"/>
      <c r="BH207" s="8"/>
      <c r="BM207" s="35" t="s">
        <v>12</v>
      </c>
      <c r="BO207" s="35"/>
      <c r="BR207" s="9" t="str">
        <f t="shared" si="107"/>
        <v/>
      </c>
      <c r="BS207" s="37" t="str">
        <f t="shared" si="108"/>
        <v/>
      </c>
      <c r="BT207" s="38" t="str">
        <f t="shared" si="105"/>
        <v/>
      </c>
      <c r="BU207" s="36" t="str">
        <f t="shared" si="109"/>
        <v/>
      </c>
    </row>
    <row r="208" spans="2:73" ht="15">
      <c r="B208" s="16">
        <f t="shared" si="110"/>
        <v>44529</v>
      </c>
      <c r="C208" s="15" t="s">
        <v>1</v>
      </c>
      <c r="D208" s="17">
        <f t="shared" si="111"/>
        <v>44535</v>
      </c>
      <c r="E208" s="18">
        <f t="shared" si="112"/>
        <v>11</v>
      </c>
      <c r="F208" s="19">
        <f t="shared" si="113"/>
        <v>2021</v>
      </c>
      <c r="G208" s="9">
        <f t="shared" si="114"/>
        <v>17</v>
      </c>
      <c r="H208" s="8">
        <f t="shared" si="114"/>
        <v>95</v>
      </c>
      <c r="I208" s="9"/>
      <c r="J208" s="9"/>
      <c r="K208" s="9"/>
      <c r="L208" s="9"/>
      <c r="M208" s="9"/>
      <c r="N208" s="9"/>
      <c r="O208" s="12"/>
      <c r="P208" s="12"/>
      <c r="Q208" s="12"/>
      <c r="R208" s="12"/>
      <c r="S208" s="12"/>
      <c r="T208" s="12"/>
      <c r="V208" s="20">
        <f t="shared" si="87"/>
        <v>3</v>
      </c>
      <c r="W208" s="20">
        <f t="shared" si="87"/>
        <v>8</v>
      </c>
      <c r="X208" s="20">
        <f t="shared" si="87"/>
        <v>13</v>
      </c>
      <c r="Y208" s="20">
        <f t="shared" si="86"/>
        <v>0</v>
      </c>
      <c r="Z208" s="20">
        <f t="shared" si="86"/>
        <v>0</v>
      </c>
      <c r="AA208" s="20">
        <f t="shared" si="86"/>
        <v>0</v>
      </c>
      <c r="AC208" s="3">
        <f t="shared" si="88"/>
        <v>78</v>
      </c>
      <c r="AD208" s="3">
        <f t="shared" si="89"/>
        <v>73</v>
      </c>
      <c r="AE208" s="3">
        <f t="shared" si="90"/>
        <v>68</v>
      </c>
      <c r="AF208" s="3">
        <f t="shared" si="91"/>
        <v>62</v>
      </c>
      <c r="AG208" s="3">
        <f t="shared" si="92"/>
        <v>57</v>
      </c>
      <c r="AH208" s="3">
        <f t="shared" si="93"/>
        <v>52</v>
      </c>
      <c r="AI208" s="3">
        <f t="shared" si="94"/>
        <v>47</v>
      </c>
      <c r="AJ208" s="3">
        <f t="shared" si="95"/>
        <v>40</v>
      </c>
      <c r="AK208" s="3">
        <f t="shared" si="96"/>
        <v>35</v>
      </c>
      <c r="AL208" s="3">
        <f t="shared" si="97"/>
        <v>30</v>
      </c>
      <c r="AM208" s="3">
        <f t="shared" si="98"/>
        <v>25</v>
      </c>
      <c r="AN208" s="3">
        <f t="shared" si="99"/>
        <v>18</v>
      </c>
      <c r="AO208" s="3">
        <f t="shared" si="100"/>
        <v>0</v>
      </c>
      <c r="AP208" s="3">
        <f t="shared" si="101"/>
        <v>94</v>
      </c>
      <c r="AQ208" s="3">
        <f t="shared" si="102"/>
        <v>89</v>
      </c>
      <c r="AR208" s="3">
        <f t="shared" si="103"/>
        <v>83</v>
      </c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M208" s="35" t="s">
        <v>12</v>
      </c>
      <c r="BO208" s="35"/>
      <c r="BR208" s="9" t="str">
        <f t="shared" si="107"/>
        <v/>
      </c>
      <c r="BS208" s="37" t="str">
        <f t="shared" si="108"/>
        <v/>
      </c>
      <c r="BT208" s="38" t="str">
        <f t="shared" si="105"/>
        <v/>
      </c>
      <c r="BU208" s="36" t="str">
        <f t="shared" si="109"/>
        <v/>
      </c>
    </row>
    <row r="209" spans="2:73" ht="15">
      <c r="B209" s="16">
        <f t="shared" si="110"/>
        <v>44536</v>
      </c>
      <c r="C209" s="15" t="s">
        <v>1</v>
      </c>
      <c r="D209" s="17">
        <f t="shared" si="111"/>
        <v>44542</v>
      </c>
      <c r="E209" s="18">
        <f t="shared" si="112"/>
        <v>12</v>
      </c>
      <c r="F209" s="19">
        <f t="shared" si="113"/>
        <v>2021</v>
      </c>
      <c r="G209" s="9">
        <f t="shared" si="114"/>
        <v>17</v>
      </c>
      <c r="H209" s="8">
        <f t="shared" si="114"/>
        <v>95</v>
      </c>
      <c r="I209" s="9"/>
      <c r="J209" s="9"/>
      <c r="K209" s="9"/>
      <c r="L209" s="9"/>
      <c r="M209" s="9"/>
      <c r="N209" s="9"/>
      <c r="O209" s="12"/>
      <c r="P209" s="12"/>
      <c r="Q209" s="12"/>
      <c r="R209" s="12"/>
      <c r="S209" s="12"/>
      <c r="T209" s="12"/>
      <c r="V209" s="20">
        <f t="shared" si="87"/>
        <v>4</v>
      </c>
      <c r="W209" s="20">
        <f t="shared" si="87"/>
        <v>9</v>
      </c>
      <c r="X209" s="20">
        <f t="shared" si="87"/>
        <v>14</v>
      </c>
      <c r="Y209" s="20">
        <f t="shared" si="86"/>
        <v>0</v>
      </c>
      <c r="Z209" s="20">
        <f t="shared" si="86"/>
        <v>0</v>
      </c>
      <c r="AA209" s="20">
        <f t="shared" si="86"/>
        <v>0</v>
      </c>
      <c r="AC209" s="3">
        <f t="shared" si="88"/>
        <v>79</v>
      </c>
      <c r="AD209" s="3">
        <f t="shared" si="89"/>
        <v>74</v>
      </c>
      <c r="AE209" s="3">
        <f t="shared" si="90"/>
        <v>69</v>
      </c>
      <c r="AF209" s="3">
        <f t="shared" si="91"/>
        <v>63</v>
      </c>
      <c r="AG209" s="3">
        <f t="shared" si="92"/>
        <v>58</v>
      </c>
      <c r="AH209" s="3">
        <f t="shared" si="93"/>
        <v>53</v>
      </c>
      <c r="AI209" s="3">
        <f t="shared" si="94"/>
        <v>48</v>
      </c>
      <c r="AJ209" s="3">
        <f t="shared" si="95"/>
        <v>41</v>
      </c>
      <c r="AK209" s="3">
        <f t="shared" si="96"/>
        <v>36</v>
      </c>
      <c r="AL209" s="3">
        <f t="shared" si="97"/>
        <v>31</v>
      </c>
      <c r="AM209" s="3">
        <f t="shared" si="98"/>
        <v>26</v>
      </c>
      <c r="AN209" s="3">
        <f t="shared" si="99"/>
        <v>19</v>
      </c>
      <c r="AO209" s="3">
        <f t="shared" si="100"/>
        <v>0</v>
      </c>
      <c r="AP209" s="3">
        <f t="shared" si="101"/>
        <v>95</v>
      </c>
      <c r="AQ209" s="3">
        <f t="shared" si="102"/>
        <v>90</v>
      </c>
      <c r="AR209" s="3">
        <f t="shared" si="103"/>
        <v>84</v>
      </c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M209" s="35" t="s">
        <v>12</v>
      </c>
      <c r="BO209" s="35"/>
      <c r="BR209" s="9" t="str">
        <f t="shared" si="107"/>
        <v/>
      </c>
      <c r="BS209" s="37" t="str">
        <f t="shared" si="108"/>
        <v/>
      </c>
      <c r="BT209" s="38" t="str">
        <f t="shared" si="105"/>
        <v/>
      </c>
      <c r="BU209" s="36" t="str">
        <f t="shared" si="109"/>
        <v/>
      </c>
    </row>
    <row r="210" spans="2:73" ht="15">
      <c r="B210" s="16">
        <f t="shared" si="110"/>
        <v>44543</v>
      </c>
      <c r="C210" s="15" t="s">
        <v>1</v>
      </c>
      <c r="D210" s="17">
        <f t="shared" si="111"/>
        <v>44549</v>
      </c>
      <c r="E210" s="18">
        <f t="shared" si="112"/>
        <v>12</v>
      </c>
      <c r="F210" s="19">
        <f t="shared" si="113"/>
        <v>2021</v>
      </c>
      <c r="G210" s="9">
        <f t="shared" si="114"/>
        <v>17</v>
      </c>
      <c r="H210" s="8">
        <f t="shared" si="114"/>
        <v>95</v>
      </c>
      <c r="I210" s="9"/>
      <c r="J210" s="9"/>
      <c r="K210" s="9"/>
      <c r="L210" s="9"/>
      <c r="M210" s="9"/>
      <c r="N210" s="9"/>
      <c r="O210" s="12"/>
      <c r="P210" s="12"/>
      <c r="Q210" s="12"/>
      <c r="R210" s="12"/>
      <c r="S210" s="12"/>
      <c r="T210" s="12"/>
      <c r="V210" s="20">
        <f t="shared" si="87"/>
        <v>5</v>
      </c>
      <c r="W210" s="20">
        <f t="shared" si="87"/>
        <v>10</v>
      </c>
      <c r="X210" s="20">
        <f t="shared" si="87"/>
        <v>15</v>
      </c>
      <c r="Y210" s="20">
        <f t="shared" si="86"/>
        <v>0</v>
      </c>
      <c r="Z210" s="20">
        <f t="shared" si="86"/>
        <v>0</v>
      </c>
      <c r="AA210" s="20">
        <f t="shared" si="86"/>
        <v>0</v>
      </c>
      <c r="AC210" s="3">
        <f t="shared" si="88"/>
        <v>80</v>
      </c>
      <c r="AD210" s="3">
        <f t="shared" si="89"/>
        <v>75</v>
      </c>
      <c r="AE210" s="3">
        <f t="shared" si="90"/>
        <v>70</v>
      </c>
      <c r="AF210" s="3">
        <f t="shared" si="91"/>
        <v>64</v>
      </c>
      <c r="AG210" s="3">
        <f t="shared" si="92"/>
        <v>59</v>
      </c>
      <c r="AH210" s="3">
        <f t="shared" si="93"/>
        <v>54</v>
      </c>
      <c r="AI210" s="3">
        <f t="shared" si="94"/>
        <v>49</v>
      </c>
      <c r="AJ210" s="3">
        <f t="shared" si="95"/>
        <v>42</v>
      </c>
      <c r="AK210" s="3">
        <f t="shared" si="96"/>
        <v>37</v>
      </c>
      <c r="AL210" s="3">
        <f t="shared" si="97"/>
        <v>32</v>
      </c>
      <c r="AM210" s="3">
        <f t="shared" si="98"/>
        <v>27</v>
      </c>
      <c r="AN210" s="3">
        <f t="shared" si="99"/>
        <v>20</v>
      </c>
      <c r="AO210" s="3">
        <f t="shared" si="100"/>
        <v>0</v>
      </c>
      <c r="AP210" s="3">
        <f t="shared" si="101"/>
        <v>0</v>
      </c>
      <c r="AQ210" s="3">
        <f t="shared" si="102"/>
        <v>91</v>
      </c>
      <c r="AR210" s="3">
        <f t="shared" si="103"/>
        <v>85</v>
      </c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M210" s="35" t="s">
        <v>12</v>
      </c>
      <c r="BO210" s="35"/>
      <c r="BR210" s="9" t="str">
        <f t="shared" si="107"/>
        <v/>
      </c>
      <c r="BS210" s="37" t="str">
        <f t="shared" si="108"/>
        <v/>
      </c>
      <c r="BT210" s="38" t="str">
        <f t="shared" si="105"/>
        <v/>
      </c>
      <c r="BU210" s="36" t="str">
        <f t="shared" si="109"/>
        <v/>
      </c>
    </row>
    <row r="211" spans="2:73" ht="15">
      <c r="B211" s="16">
        <f t="shared" si="110"/>
        <v>44550</v>
      </c>
      <c r="C211" s="15" t="s">
        <v>1</v>
      </c>
      <c r="D211" s="17">
        <f t="shared" si="111"/>
        <v>44556</v>
      </c>
      <c r="E211" s="18">
        <f t="shared" si="112"/>
        <v>12</v>
      </c>
      <c r="F211" s="19">
        <f t="shared" si="113"/>
        <v>2021</v>
      </c>
      <c r="G211" s="9">
        <f t="shared" si="114"/>
        <v>17</v>
      </c>
      <c r="H211" s="8">
        <f t="shared" si="114"/>
        <v>95</v>
      </c>
      <c r="I211" s="9"/>
      <c r="J211" s="9"/>
      <c r="K211" s="9"/>
      <c r="L211" s="9"/>
      <c r="M211" s="9"/>
      <c r="N211" s="9"/>
      <c r="O211" s="12"/>
      <c r="P211" s="12"/>
      <c r="Q211" s="12"/>
      <c r="R211" s="12"/>
      <c r="S211" s="12"/>
      <c r="T211" s="12"/>
      <c r="V211" s="20">
        <f t="shared" si="87"/>
        <v>6</v>
      </c>
      <c r="W211" s="20">
        <f t="shared" si="87"/>
        <v>11</v>
      </c>
      <c r="X211" s="20">
        <f t="shared" si="87"/>
        <v>16</v>
      </c>
      <c r="Y211" s="20">
        <f t="shared" si="86"/>
        <v>0</v>
      </c>
      <c r="Z211" s="20">
        <f t="shared" si="86"/>
        <v>0</v>
      </c>
      <c r="AA211" s="20">
        <f t="shared" si="86"/>
        <v>0</v>
      </c>
      <c r="AC211" s="3">
        <f t="shared" si="88"/>
        <v>81</v>
      </c>
      <c r="AD211" s="3">
        <f t="shared" si="89"/>
        <v>76</v>
      </c>
      <c r="AE211" s="3">
        <f t="shared" si="90"/>
        <v>71</v>
      </c>
      <c r="AF211" s="3">
        <f t="shared" si="91"/>
        <v>65</v>
      </c>
      <c r="AG211" s="3">
        <f t="shared" si="92"/>
        <v>60</v>
      </c>
      <c r="AH211" s="3">
        <f t="shared" si="93"/>
        <v>55</v>
      </c>
      <c r="AI211" s="3">
        <f t="shared" si="94"/>
        <v>50</v>
      </c>
      <c r="AJ211" s="3">
        <f t="shared" si="95"/>
        <v>43</v>
      </c>
      <c r="AK211" s="3">
        <f t="shared" si="96"/>
        <v>38</v>
      </c>
      <c r="AL211" s="3">
        <f t="shared" si="97"/>
        <v>33</v>
      </c>
      <c r="AM211" s="3">
        <f t="shared" si="98"/>
        <v>28</v>
      </c>
      <c r="AN211" s="3">
        <f t="shared" si="99"/>
        <v>21</v>
      </c>
      <c r="AO211" s="3">
        <f t="shared" si="100"/>
        <v>0</v>
      </c>
      <c r="AP211" s="3">
        <f t="shared" si="101"/>
        <v>0</v>
      </c>
      <c r="AQ211" s="3">
        <f t="shared" si="102"/>
        <v>92</v>
      </c>
      <c r="AR211" s="3">
        <f t="shared" si="103"/>
        <v>86</v>
      </c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M211" s="35" t="s">
        <v>12</v>
      </c>
      <c r="BO211" s="35"/>
      <c r="BR211" s="9" t="str">
        <f t="shared" si="107"/>
        <v/>
      </c>
      <c r="BS211" s="37" t="str">
        <f t="shared" si="108"/>
        <v/>
      </c>
      <c r="BT211" s="38" t="str">
        <f t="shared" si="105"/>
        <v/>
      </c>
      <c r="BU211" s="36" t="str">
        <f t="shared" si="109"/>
        <v/>
      </c>
    </row>
    <row r="212" spans="2:73" ht="15">
      <c r="B212" s="16">
        <f t="shared" si="110"/>
        <v>44557</v>
      </c>
      <c r="C212" s="15" t="s">
        <v>1</v>
      </c>
      <c r="D212" s="17">
        <f t="shared" si="111"/>
        <v>44563</v>
      </c>
      <c r="E212" s="18">
        <f t="shared" si="112"/>
        <v>12</v>
      </c>
      <c r="F212" s="19">
        <f t="shared" si="113"/>
        <v>2022</v>
      </c>
      <c r="G212" s="9">
        <f t="shared" si="114"/>
        <v>17</v>
      </c>
      <c r="H212" s="8">
        <f t="shared" si="114"/>
        <v>95</v>
      </c>
      <c r="I212" s="9"/>
      <c r="J212" s="9"/>
      <c r="K212" s="9"/>
      <c r="L212" s="9"/>
      <c r="M212" s="9"/>
      <c r="N212" s="9"/>
      <c r="O212" s="12"/>
      <c r="P212" s="12"/>
      <c r="Q212" s="12"/>
      <c r="R212" s="12">
        <v>1</v>
      </c>
      <c r="S212" s="12"/>
      <c r="T212" s="12"/>
      <c r="V212" s="20">
        <f t="shared" si="87"/>
        <v>7</v>
      </c>
      <c r="W212" s="20">
        <f t="shared" si="87"/>
        <v>12</v>
      </c>
      <c r="X212" s="20">
        <f t="shared" si="87"/>
        <v>17</v>
      </c>
      <c r="Y212" s="20">
        <f t="shared" si="86"/>
        <v>44559</v>
      </c>
      <c r="Z212" s="20">
        <f t="shared" si="86"/>
        <v>0</v>
      </c>
      <c r="AA212" s="20">
        <f t="shared" si="86"/>
        <v>0</v>
      </c>
      <c r="AC212" s="3">
        <f t="shared" si="88"/>
        <v>82</v>
      </c>
      <c r="AD212" s="3">
        <f t="shared" si="89"/>
        <v>77</v>
      </c>
      <c r="AE212" s="3">
        <f t="shared" si="90"/>
        <v>72</v>
      </c>
      <c r="AF212" s="3">
        <f t="shared" si="91"/>
        <v>66</v>
      </c>
      <c r="AG212" s="3">
        <f t="shared" si="92"/>
        <v>61</v>
      </c>
      <c r="AH212" s="3">
        <f t="shared" si="93"/>
        <v>56</v>
      </c>
      <c r="AI212" s="3">
        <f t="shared" si="94"/>
        <v>51</v>
      </c>
      <c r="AJ212" s="3">
        <f t="shared" si="95"/>
        <v>44</v>
      </c>
      <c r="AK212" s="3">
        <f t="shared" si="96"/>
        <v>39</v>
      </c>
      <c r="AL212" s="3">
        <f t="shared" si="97"/>
        <v>34</v>
      </c>
      <c r="AM212" s="3">
        <f t="shared" si="98"/>
        <v>29</v>
      </c>
      <c r="AN212" s="3">
        <f t="shared" si="99"/>
        <v>22</v>
      </c>
      <c r="AO212" s="3">
        <f t="shared" si="100"/>
        <v>17</v>
      </c>
      <c r="AP212" s="3">
        <f t="shared" si="101"/>
        <v>0</v>
      </c>
      <c r="AQ212" s="3">
        <f t="shared" si="102"/>
        <v>93</v>
      </c>
      <c r="AR212" s="3">
        <f t="shared" si="103"/>
        <v>87</v>
      </c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>
        <v>3</v>
      </c>
      <c r="BF212" s="8"/>
      <c r="BG212" s="8"/>
      <c r="BH212" s="8"/>
      <c r="BM212" s="35" t="s">
        <v>12</v>
      </c>
      <c r="BO212" s="35"/>
      <c r="BR212" s="9">
        <f t="shared" si="107"/>
        <v>4</v>
      </c>
      <c r="BS212" s="37">
        <f t="shared" si="108"/>
        <v>44559</v>
      </c>
      <c r="BT212" s="38">
        <f t="shared" si="105"/>
        <v>44678</v>
      </c>
      <c r="BU212" s="36">
        <f t="shared" si="109"/>
        <v>16</v>
      </c>
    </row>
    <row r="213" spans="2:73" ht="15">
      <c r="B213" s="16">
        <f t="shared" si="110"/>
        <v>44564</v>
      </c>
      <c r="C213" s="15" t="s">
        <v>1</v>
      </c>
      <c r="D213" s="17">
        <f t="shared" si="111"/>
        <v>44570</v>
      </c>
      <c r="E213" s="18">
        <f t="shared" si="112"/>
        <v>1</v>
      </c>
      <c r="F213" s="19">
        <f t="shared" si="113"/>
        <v>2022</v>
      </c>
      <c r="G213" s="9">
        <f t="shared" si="114"/>
        <v>17</v>
      </c>
      <c r="H213" s="8">
        <f t="shared" si="114"/>
        <v>95</v>
      </c>
      <c r="I213" s="9"/>
      <c r="J213" s="9"/>
      <c r="K213" s="9"/>
      <c r="L213" s="9"/>
      <c r="M213" s="9"/>
      <c r="N213" s="9"/>
      <c r="O213" s="12"/>
      <c r="P213" s="12"/>
      <c r="Q213" s="12"/>
      <c r="R213" s="12"/>
      <c r="S213" s="12"/>
      <c r="T213" s="12"/>
      <c r="V213" s="20">
        <f t="shared" si="87"/>
        <v>8</v>
      </c>
      <c r="W213" s="20">
        <f t="shared" si="87"/>
        <v>13</v>
      </c>
      <c r="X213" s="20">
        <f t="shared" si="87"/>
        <v>0</v>
      </c>
      <c r="Y213" s="20">
        <f t="shared" si="86"/>
        <v>1</v>
      </c>
      <c r="Z213" s="20">
        <f t="shared" si="86"/>
        <v>0</v>
      </c>
      <c r="AA213" s="20">
        <f t="shared" si="86"/>
        <v>0</v>
      </c>
      <c r="AC213" s="3">
        <f t="shared" si="88"/>
        <v>83</v>
      </c>
      <c r="AD213" s="3">
        <f t="shared" si="89"/>
        <v>78</v>
      </c>
      <c r="AE213" s="3">
        <f t="shared" si="90"/>
        <v>73</v>
      </c>
      <c r="AF213" s="3">
        <f t="shared" si="91"/>
        <v>67</v>
      </c>
      <c r="AG213" s="3">
        <f t="shared" si="92"/>
        <v>62</v>
      </c>
      <c r="AH213" s="3">
        <f t="shared" si="93"/>
        <v>57</v>
      </c>
      <c r="AI213" s="3">
        <f t="shared" si="94"/>
        <v>52</v>
      </c>
      <c r="AJ213" s="3">
        <f t="shared" si="95"/>
        <v>45</v>
      </c>
      <c r="AK213" s="3">
        <f t="shared" si="96"/>
        <v>40</v>
      </c>
      <c r="AL213" s="3">
        <f t="shared" si="97"/>
        <v>35</v>
      </c>
      <c r="AM213" s="3">
        <f t="shared" si="98"/>
        <v>30</v>
      </c>
      <c r="AN213" s="3">
        <f t="shared" si="99"/>
        <v>23</v>
      </c>
      <c r="AO213" s="3">
        <f t="shared" si="100"/>
        <v>18</v>
      </c>
      <c r="AP213" s="3">
        <f t="shared" si="101"/>
        <v>0</v>
      </c>
      <c r="AQ213" s="3">
        <f t="shared" si="102"/>
        <v>94</v>
      </c>
      <c r="AR213" s="3">
        <f t="shared" si="103"/>
        <v>88</v>
      </c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L213">
        <v>16</v>
      </c>
      <c r="BM213" s="35">
        <v>44564</v>
      </c>
      <c r="BO213" s="35">
        <f>B230</f>
        <v>44683</v>
      </c>
      <c r="BP213">
        <v>98</v>
      </c>
      <c r="BR213" s="9" t="str">
        <f t="shared" si="107"/>
        <v/>
      </c>
      <c r="BS213" s="37" t="str">
        <f t="shared" si="108"/>
        <v/>
      </c>
      <c r="BT213" s="38" t="str">
        <f t="shared" si="105"/>
        <v/>
      </c>
      <c r="BU213" s="36" t="str">
        <f t="shared" si="109"/>
        <v/>
      </c>
    </row>
    <row r="214" spans="2:73" ht="15">
      <c r="B214" s="16">
        <f t="shared" si="110"/>
        <v>44571</v>
      </c>
      <c r="C214" s="15" t="s">
        <v>1</v>
      </c>
      <c r="D214" s="17">
        <f t="shared" si="111"/>
        <v>44577</v>
      </c>
      <c r="E214" s="18">
        <f t="shared" si="112"/>
        <v>1</v>
      </c>
      <c r="F214" s="19">
        <f t="shared" si="113"/>
        <v>2022</v>
      </c>
      <c r="G214" s="9">
        <f t="shared" ref="G214:H229" si="115">G213</f>
        <v>17</v>
      </c>
      <c r="H214" s="8">
        <f t="shared" si="115"/>
        <v>95</v>
      </c>
      <c r="I214" s="9"/>
      <c r="J214" s="9"/>
      <c r="K214" s="9"/>
      <c r="L214" s="9"/>
      <c r="M214" s="9"/>
      <c r="N214" s="9"/>
      <c r="O214" s="12"/>
      <c r="P214" s="12"/>
      <c r="Q214" s="12"/>
      <c r="R214" s="12"/>
      <c r="S214" s="12"/>
      <c r="T214" s="12"/>
      <c r="V214" s="20">
        <f t="shared" si="87"/>
        <v>9</v>
      </c>
      <c r="W214" s="20">
        <f t="shared" si="87"/>
        <v>14</v>
      </c>
      <c r="X214" s="20">
        <f t="shared" si="87"/>
        <v>0</v>
      </c>
      <c r="Y214" s="20">
        <f t="shared" si="86"/>
        <v>2</v>
      </c>
      <c r="Z214" s="20">
        <f t="shared" si="86"/>
        <v>0</v>
      </c>
      <c r="AA214" s="20">
        <f t="shared" si="86"/>
        <v>0</v>
      </c>
      <c r="AC214" s="3">
        <f t="shared" si="88"/>
        <v>84</v>
      </c>
      <c r="AD214" s="3">
        <f t="shared" si="89"/>
        <v>79</v>
      </c>
      <c r="AE214" s="3">
        <f t="shared" si="90"/>
        <v>74</v>
      </c>
      <c r="AF214" s="3">
        <f t="shared" si="91"/>
        <v>68</v>
      </c>
      <c r="AG214" s="3">
        <f t="shared" si="92"/>
        <v>63</v>
      </c>
      <c r="AH214" s="3">
        <f t="shared" si="93"/>
        <v>58</v>
      </c>
      <c r="AI214" s="3">
        <f t="shared" si="94"/>
        <v>53</v>
      </c>
      <c r="AJ214" s="3">
        <f t="shared" si="95"/>
        <v>46</v>
      </c>
      <c r="AK214" s="3">
        <f t="shared" si="96"/>
        <v>41</v>
      </c>
      <c r="AL214" s="3">
        <f t="shared" si="97"/>
        <v>36</v>
      </c>
      <c r="AM214" s="3">
        <f t="shared" si="98"/>
        <v>31</v>
      </c>
      <c r="AN214" s="3">
        <f t="shared" si="99"/>
        <v>24</v>
      </c>
      <c r="AO214" s="3">
        <f t="shared" si="100"/>
        <v>19</v>
      </c>
      <c r="AP214" s="3">
        <f t="shared" si="101"/>
        <v>0</v>
      </c>
      <c r="AQ214" s="3">
        <f t="shared" si="102"/>
        <v>95</v>
      </c>
      <c r="AR214" s="3">
        <f t="shared" si="103"/>
        <v>89</v>
      </c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M214" s="35" t="s">
        <v>12</v>
      </c>
      <c r="BO214" s="35"/>
      <c r="BR214" s="9" t="str">
        <f t="shared" si="107"/>
        <v/>
      </c>
      <c r="BS214" s="37" t="str">
        <f t="shared" si="108"/>
        <v/>
      </c>
      <c r="BT214" s="38" t="str">
        <f t="shared" si="105"/>
        <v/>
      </c>
      <c r="BU214" s="36" t="str">
        <f t="shared" si="109"/>
        <v/>
      </c>
    </row>
    <row r="215" spans="2:73" ht="15">
      <c r="B215" s="16">
        <f t="shared" si="110"/>
        <v>44578</v>
      </c>
      <c r="C215" s="15" t="s">
        <v>1</v>
      </c>
      <c r="D215" s="17">
        <f t="shared" si="111"/>
        <v>44584</v>
      </c>
      <c r="E215" s="18">
        <f t="shared" si="112"/>
        <v>1</v>
      </c>
      <c r="F215" s="19">
        <f t="shared" si="113"/>
        <v>2022</v>
      </c>
      <c r="G215" s="9">
        <f t="shared" si="115"/>
        <v>17</v>
      </c>
      <c r="H215" s="8">
        <f t="shared" si="115"/>
        <v>95</v>
      </c>
      <c r="I215" s="9"/>
      <c r="J215" s="9"/>
      <c r="K215" s="9"/>
      <c r="L215" s="9"/>
      <c r="M215" s="9"/>
      <c r="N215" s="9"/>
      <c r="O215" s="12"/>
      <c r="P215" s="12"/>
      <c r="Q215" s="12"/>
      <c r="R215" s="12"/>
      <c r="S215" s="12"/>
      <c r="T215" s="12"/>
      <c r="V215" s="20">
        <f t="shared" si="87"/>
        <v>10</v>
      </c>
      <c r="W215" s="20">
        <f t="shared" si="87"/>
        <v>15</v>
      </c>
      <c r="X215" s="20">
        <f t="shared" si="87"/>
        <v>0</v>
      </c>
      <c r="Y215" s="20">
        <f t="shared" si="86"/>
        <v>3</v>
      </c>
      <c r="Z215" s="20">
        <f t="shared" si="86"/>
        <v>0</v>
      </c>
      <c r="AA215" s="20">
        <f t="shared" si="86"/>
        <v>0</v>
      </c>
      <c r="AC215" s="3">
        <f t="shared" si="88"/>
        <v>85</v>
      </c>
      <c r="AD215" s="3">
        <f t="shared" si="89"/>
        <v>80</v>
      </c>
      <c r="AE215" s="3">
        <f t="shared" si="90"/>
        <v>75</v>
      </c>
      <c r="AF215" s="3">
        <f t="shared" si="91"/>
        <v>69</v>
      </c>
      <c r="AG215" s="3">
        <f t="shared" si="92"/>
        <v>64</v>
      </c>
      <c r="AH215" s="3">
        <f t="shared" si="93"/>
        <v>59</v>
      </c>
      <c r="AI215" s="3">
        <f t="shared" si="94"/>
        <v>54</v>
      </c>
      <c r="AJ215" s="3">
        <f t="shared" si="95"/>
        <v>47</v>
      </c>
      <c r="AK215" s="3">
        <f t="shared" si="96"/>
        <v>42</v>
      </c>
      <c r="AL215" s="3">
        <f t="shared" si="97"/>
        <v>37</v>
      </c>
      <c r="AM215" s="3">
        <f t="shared" si="98"/>
        <v>32</v>
      </c>
      <c r="AN215" s="3">
        <f t="shared" si="99"/>
        <v>25</v>
      </c>
      <c r="AO215" s="3">
        <f t="shared" si="100"/>
        <v>20</v>
      </c>
      <c r="AP215" s="3">
        <f t="shared" si="101"/>
        <v>0</v>
      </c>
      <c r="AQ215" s="3">
        <f t="shared" si="102"/>
        <v>0</v>
      </c>
      <c r="AR215" s="3">
        <f t="shared" si="103"/>
        <v>90</v>
      </c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M215" s="35" t="s">
        <v>12</v>
      </c>
      <c r="BO215" s="35"/>
      <c r="BR215" s="9" t="str">
        <f t="shared" si="107"/>
        <v/>
      </c>
      <c r="BS215" s="37" t="str">
        <f t="shared" si="108"/>
        <v/>
      </c>
      <c r="BT215" s="38" t="str">
        <f t="shared" si="105"/>
        <v/>
      </c>
      <c r="BU215" s="36" t="str">
        <f t="shared" si="109"/>
        <v/>
      </c>
    </row>
    <row r="216" spans="2:73" ht="15">
      <c r="B216" s="16">
        <f t="shared" si="110"/>
        <v>44585</v>
      </c>
      <c r="C216" s="15" t="s">
        <v>1</v>
      </c>
      <c r="D216" s="17">
        <f t="shared" si="111"/>
        <v>44591</v>
      </c>
      <c r="E216" s="18">
        <f t="shared" si="112"/>
        <v>1</v>
      </c>
      <c r="F216" s="19">
        <f t="shared" si="113"/>
        <v>2022</v>
      </c>
      <c r="G216" s="9">
        <f t="shared" si="115"/>
        <v>17</v>
      </c>
      <c r="H216" s="8">
        <f t="shared" si="115"/>
        <v>95</v>
      </c>
      <c r="I216" s="9"/>
      <c r="J216" s="9"/>
      <c r="K216" s="9"/>
      <c r="L216" s="9"/>
      <c r="M216" s="9"/>
      <c r="N216" s="9"/>
      <c r="O216" s="12"/>
      <c r="P216" s="12"/>
      <c r="Q216" s="12"/>
      <c r="R216" s="12"/>
      <c r="S216" s="12"/>
      <c r="T216" s="12"/>
      <c r="V216" s="20">
        <f t="shared" si="87"/>
        <v>11</v>
      </c>
      <c r="W216" s="20">
        <f t="shared" si="87"/>
        <v>16</v>
      </c>
      <c r="X216" s="20">
        <f t="shared" si="87"/>
        <v>0</v>
      </c>
      <c r="Y216" s="20">
        <f t="shared" si="86"/>
        <v>4</v>
      </c>
      <c r="Z216" s="20">
        <f t="shared" si="86"/>
        <v>0</v>
      </c>
      <c r="AA216" s="20">
        <f t="shared" si="86"/>
        <v>0</v>
      </c>
      <c r="AC216" s="3">
        <f t="shared" si="88"/>
        <v>86</v>
      </c>
      <c r="AD216" s="3">
        <f t="shared" si="89"/>
        <v>81</v>
      </c>
      <c r="AE216" s="3">
        <f t="shared" si="90"/>
        <v>76</v>
      </c>
      <c r="AF216" s="3">
        <f t="shared" si="91"/>
        <v>70</v>
      </c>
      <c r="AG216" s="3">
        <f t="shared" si="92"/>
        <v>65</v>
      </c>
      <c r="AH216" s="3">
        <f t="shared" si="93"/>
        <v>60</v>
      </c>
      <c r="AI216" s="3">
        <f t="shared" si="94"/>
        <v>55</v>
      </c>
      <c r="AJ216" s="3">
        <f t="shared" si="95"/>
        <v>48</v>
      </c>
      <c r="AK216" s="3">
        <f t="shared" si="96"/>
        <v>43</v>
      </c>
      <c r="AL216" s="3">
        <f t="shared" si="97"/>
        <v>38</v>
      </c>
      <c r="AM216" s="3">
        <f t="shared" si="98"/>
        <v>33</v>
      </c>
      <c r="AN216" s="3">
        <f t="shared" si="99"/>
        <v>26</v>
      </c>
      <c r="AO216" s="3">
        <f t="shared" si="100"/>
        <v>21</v>
      </c>
      <c r="AP216" s="3">
        <f t="shared" si="101"/>
        <v>0</v>
      </c>
      <c r="AQ216" s="3">
        <f t="shared" si="102"/>
        <v>0</v>
      </c>
      <c r="AR216" s="3">
        <f t="shared" si="103"/>
        <v>91</v>
      </c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M216" s="35" t="s">
        <v>12</v>
      </c>
      <c r="BO216" s="35"/>
      <c r="BR216" s="9" t="str">
        <f t="shared" si="107"/>
        <v/>
      </c>
      <c r="BS216" s="37" t="str">
        <f t="shared" si="108"/>
        <v/>
      </c>
      <c r="BT216" s="38" t="str">
        <f t="shared" si="105"/>
        <v/>
      </c>
      <c r="BU216" s="36" t="str">
        <f t="shared" si="109"/>
        <v/>
      </c>
    </row>
    <row r="217" spans="2:73" ht="15">
      <c r="B217" s="16">
        <f t="shared" si="110"/>
        <v>44592</v>
      </c>
      <c r="C217" s="15" t="s">
        <v>1</v>
      </c>
      <c r="D217" s="17">
        <f t="shared" si="111"/>
        <v>44598</v>
      </c>
      <c r="E217" s="18">
        <f t="shared" si="112"/>
        <v>1</v>
      </c>
      <c r="F217" s="19">
        <f t="shared" si="113"/>
        <v>2022</v>
      </c>
      <c r="G217" s="9">
        <f t="shared" si="115"/>
        <v>17</v>
      </c>
      <c r="H217" s="8">
        <f t="shared" si="115"/>
        <v>95</v>
      </c>
      <c r="I217" s="9"/>
      <c r="J217" s="9"/>
      <c r="K217" s="9"/>
      <c r="L217" s="9"/>
      <c r="M217" s="9"/>
      <c r="N217" s="9"/>
      <c r="O217" s="12"/>
      <c r="P217" s="12"/>
      <c r="Q217" s="12">
        <v>1</v>
      </c>
      <c r="R217" s="12"/>
      <c r="S217" s="12"/>
      <c r="T217" s="12"/>
      <c r="V217" s="20">
        <f t="shared" si="87"/>
        <v>12</v>
      </c>
      <c r="W217" s="20">
        <f t="shared" si="87"/>
        <v>17</v>
      </c>
      <c r="X217" s="20">
        <f t="shared" si="87"/>
        <v>44594</v>
      </c>
      <c r="Y217" s="20">
        <f t="shared" si="87"/>
        <v>5</v>
      </c>
      <c r="Z217" s="20">
        <f t="shared" si="87"/>
        <v>0</v>
      </c>
      <c r="AA217" s="20">
        <f t="shared" si="87"/>
        <v>0</v>
      </c>
      <c r="AC217" s="3">
        <f t="shared" si="88"/>
        <v>87</v>
      </c>
      <c r="AD217" s="3">
        <f t="shared" si="89"/>
        <v>82</v>
      </c>
      <c r="AE217" s="3">
        <f t="shared" si="90"/>
        <v>77</v>
      </c>
      <c r="AF217" s="3">
        <f t="shared" si="91"/>
        <v>71</v>
      </c>
      <c r="AG217" s="3">
        <f t="shared" si="92"/>
        <v>66</v>
      </c>
      <c r="AH217" s="3">
        <f t="shared" si="93"/>
        <v>61</v>
      </c>
      <c r="AI217" s="3">
        <f t="shared" si="94"/>
        <v>56</v>
      </c>
      <c r="AJ217" s="3">
        <f t="shared" si="95"/>
        <v>49</v>
      </c>
      <c r="AK217" s="3">
        <f t="shared" si="96"/>
        <v>44</v>
      </c>
      <c r="AL217" s="3">
        <f t="shared" si="97"/>
        <v>39</v>
      </c>
      <c r="AM217" s="3">
        <f t="shared" si="98"/>
        <v>34</v>
      </c>
      <c r="AN217" s="3">
        <f t="shared" si="99"/>
        <v>27</v>
      </c>
      <c r="AO217" s="3">
        <f t="shared" si="100"/>
        <v>22</v>
      </c>
      <c r="AP217" s="3">
        <f t="shared" si="101"/>
        <v>17</v>
      </c>
      <c r="AQ217" s="3">
        <f t="shared" si="102"/>
        <v>0</v>
      </c>
      <c r="AR217" s="3">
        <f t="shared" si="103"/>
        <v>92</v>
      </c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>
        <v>2</v>
      </c>
      <c r="BG217" s="8"/>
      <c r="BH217" s="8"/>
      <c r="BM217" s="35" t="s">
        <v>12</v>
      </c>
      <c r="BO217" s="35"/>
      <c r="BR217" s="9">
        <f t="shared" si="107"/>
        <v>3</v>
      </c>
      <c r="BS217" s="37">
        <f t="shared" si="108"/>
        <v>44594</v>
      </c>
      <c r="BT217" s="38">
        <f t="shared" si="105"/>
        <v>44713</v>
      </c>
      <c r="BU217" s="36">
        <f t="shared" si="109"/>
        <v>9</v>
      </c>
    </row>
    <row r="218" spans="2:73" ht="15">
      <c r="B218" s="16">
        <f t="shared" si="110"/>
        <v>44599</v>
      </c>
      <c r="C218" s="15" t="s">
        <v>1</v>
      </c>
      <c r="D218" s="17">
        <f t="shared" si="111"/>
        <v>44605</v>
      </c>
      <c r="E218" s="18">
        <f t="shared" si="112"/>
        <v>2</v>
      </c>
      <c r="F218" s="19">
        <f t="shared" si="113"/>
        <v>2022</v>
      </c>
      <c r="G218" s="9">
        <f t="shared" si="115"/>
        <v>17</v>
      </c>
      <c r="H218" s="8">
        <f t="shared" si="115"/>
        <v>95</v>
      </c>
      <c r="I218" s="9"/>
      <c r="J218" s="9"/>
      <c r="K218" s="9"/>
      <c r="L218" s="9"/>
      <c r="M218" s="9"/>
      <c r="N218" s="9"/>
      <c r="O218" s="12"/>
      <c r="P218" s="12"/>
      <c r="Q218" s="12"/>
      <c r="R218" s="12"/>
      <c r="S218" s="12"/>
      <c r="T218" s="12"/>
      <c r="V218" s="20">
        <f t="shared" ref="V218:AA260" si="116">IF(I218&gt;0,I218,IF(O218=1,$B218+2,IF(O217=1,1,IF(O217=2,0,IF(V217=$G217,0,(IF(V217&gt;=1,V217+1,0)))))))</f>
        <v>13</v>
      </c>
      <c r="W218" s="20">
        <f t="shared" si="116"/>
        <v>0</v>
      </c>
      <c r="X218" s="20">
        <f t="shared" si="116"/>
        <v>1</v>
      </c>
      <c r="Y218" s="20">
        <f t="shared" si="116"/>
        <v>6</v>
      </c>
      <c r="Z218" s="20">
        <f t="shared" si="116"/>
        <v>0</v>
      </c>
      <c r="AA218" s="20">
        <f t="shared" si="116"/>
        <v>0</v>
      </c>
      <c r="AC218" s="3">
        <f t="shared" si="88"/>
        <v>88</v>
      </c>
      <c r="AD218" s="3">
        <f t="shared" si="89"/>
        <v>83</v>
      </c>
      <c r="AE218" s="3">
        <f t="shared" si="90"/>
        <v>78</v>
      </c>
      <c r="AF218" s="3">
        <f t="shared" si="91"/>
        <v>72</v>
      </c>
      <c r="AG218" s="3">
        <f t="shared" si="92"/>
        <v>67</v>
      </c>
      <c r="AH218" s="3">
        <f t="shared" si="93"/>
        <v>62</v>
      </c>
      <c r="AI218" s="3">
        <f t="shared" si="94"/>
        <v>57</v>
      </c>
      <c r="AJ218" s="3">
        <f t="shared" si="95"/>
        <v>50</v>
      </c>
      <c r="AK218" s="3">
        <f t="shared" si="96"/>
        <v>45</v>
      </c>
      <c r="AL218" s="3">
        <f t="shared" si="97"/>
        <v>40</v>
      </c>
      <c r="AM218" s="3">
        <f t="shared" si="98"/>
        <v>35</v>
      </c>
      <c r="AN218" s="3">
        <f t="shared" si="99"/>
        <v>28</v>
      </c>
      <c r="AO218" s="3">
        <f t="shared" si="100"/>
        <v>23</v>
      </c>
      <c r="AP218" s="3">
        <f t="shared" si="101"/>
        <v>18</v>
      </c>
      <c r="AQ218" s="3">
        <f t="shared" si="102"/>
        <v>0</v>
      </c>
      <c r="AR218" s="3">
        <f t="shared" si="103"/>
        <v>93</v>
      </c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L218">
        <v>9</v>
      </c>
      <c r="BM218" s="35">
        <v>44599</v>
      </c>
      <c r="BO218" s="35">
        <f>B235</f>
        <v>44718</v>
      </c>
      <c r="BP218">
        <v>98</v>
      </c>
      <c r="BR218" s="9" t="str">
        <f t="shared" si="107"/>
        <v/>
      </c>
      <c r="BS218" s="37" t="str">
        <f t="shared" si="108"/>
        <v/>
      </c>
      <c r="BT218" s="38" t="str">
        <f t="shared" si="105"/>
        <v/>
      </c>
      <c r="BU218" s="36" t="str">
        <f t="shared" si="109"/>
        <v/>
      </c>
    </row>
    <row r="219" spans="2:73" ht="15">
      <c r="B219" s="16">
        <f t="shared" si="110"/>
        <v>44606</v>
      </c>
      <c r="C219" s="15" t="s">
        <v>1</v>
      </c>
      <c r="D219" s="17">
        <f t="shared" si="111"/>
        <v>44612</v>
      </c>
      <c r="E219" s="18">
        <f t="shared" si="112"/>
        <v>2</v>
      </c>
      <c r="F219" s="19">
        <f t="shared" si="113"/>
        <v>2022</v>
      </c>
      <c r="G219" s="9">
        <f t="shared" si="115"/>
        <v>17</v>
      </c>
      <c r="H219" s="8">
        <f t="shared" si="115"/>
        <v>95</v>
      </c>
      <c r="I219" s="9"/>
      <c r="J219" s="9"/>
      <c r="K219" s="9"/>
      <c r="L219" s="9"/>
      <c r="M219" s="9"/>
      <c r="N219" s="9"/>
      <c r="O219" s="12"/>
      <c r="P219" s="12"/>
      <c r="Q219" s="12"/>
      <c r="R219" s="12"/>
      <c r="S219" s="12"/>
      <c r="T219" s="12"/>
      <c r="V219" s="20">
        <f t="shared" si="116"/>
        <v>14</v>
      </c>
      <c r="W219" s="20">
        <f t="shared" si="116"/>
        <v>0</v>
      </c>
      <c r="X219" s="20">
        <f t="shared" si="116"/>
        <v>2</v>
      </c>
      <c r="Y219" s="20">
        <f t="shared" si="116"/>
        <v>7</v>
      </c>
      <c r="Z219" s="20">
        <f t="shared" si="116"/>
        <v>0</v>
      </c>
      <c r="AA219" s="20">
        <f t="shared" si="116"/>
        <v>0</v>
      </c>
      <c r="AC219" s="3">
        <f t="shared" si="88"/>
        <v>89</v>
      </c>
      <c r="AD219" s="3">
        <f t="shared" si="89"/>
        <v>84</v>
      </c>
      <c r="AE219" s="3">
        <f t="shared" si="90"/>
        <v>79</v>
      </c>
      <c r="AF219" s="3">
        <f t="shared" si="91"/>
        <v>73</v>
      </c>
      <c r="AG219" s="3">
        <f t="shared" si="92"/>
        <v>68</v>
      </c>
      <c r="AH219" s="3">
        <f t="shared" si="93"/>
        <v>63</v>
      </c>
      <c r="AI219" s="3">
        <f t="shared" si="94"/>
        <v>58</v>
      </c>
      <c r="AJ219" s="3">
        <f t="shared" si="95"/>
        <v>51</v>
      </c>
      <c r="AK219" s="3">
        <f t="shared" si="96"/>
        <v>46</v>
      </c>
      <c r="AL219" s="3">
        <f t="shared" si="97"/>
        <v>41</v>
      </c>
      <c r="AM219" s="3">
        <f t="shared" si="98"/>
        <v>36</v>
      </c>
      <c r="AN219" s="3">
        <f t="shared" si="99"/>
        <v>29</v>
      </c>
      <c r="AO219" s="3">
        <f t="shared" si="100"/>
        <v>24</v>
      </c>
      <c r="AP219" s="3">
        <f t="shared" si="101"/>
        <v>19</v>
      </c>
      <c r="AQ219" s="3">
        <f t="shared" si="102"/>
        <v>0</v>
      </c>
      <c r="AR219" s="3">
        <f t="shared" si="103"/>
        <v>94</v>
      </c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M219" s="35" t="s">
        <v>12</v>
      </c>
      <c r="BO219" s="35"/>
      <c r="BR219" s="9" t="str">
        <f t="shared" si="107"/>
        <v/>
      </c>
      <c r="BS219" s="37" t="str">
        <f t="shared" si="108"/>
        <v/>
      </c>
      <c r="BT219" s="38" t="str">
        <f t="shared" si="105"/>
        <v/>
      </c>
      <c r="BU219" s="36" t="str">
        <f t="shared" si="109"/>
        <v/>
      </c>
    </row>
    <row r="220" spans="2:73" ht="15">
      <c r="B220" s="16">
        <f t="shared" si="110"/>
        <v>44613</v>
      </c>
      <c r="C220" s="15" t="s">
        <v>1</v>
      </c>
      <c r="D220" s="17">
        <f t="shared" si="111"/>
        <v>44619</v>
      </c>
      <c r="E220" s="18">
        <f t="shared" si="112"/>
        <v>2</v>
      </c>
      <c r="F220" s="19">
        <f t="shared" si="113"/>
        <v>2022</v>
      </c>
      <c r="G220" s="9">
        <f t="shared" si="115"/>
        <v>17</v>
      </c>
      <c r="H220" s="8">
        <f t="shared" si="115"/>
        <v>95</v>
      </c>
      <c r="I220" s="9"/>
      <c r="J220" s="9"/>
      <c r="K220" s="9"/>
      <c r="L220" s="9"/>
      <c r="M220" s="9"/>
      <c r="N220" s="9"/>
      <c r="O220" s="12"/>
      <c r="P220" s="12"/>
      <c r="Q220" s="12"/>
      <c r="R220" s="12"/>
      <c r="S220" s="12"/>
      <c r="T220" s="12"/>
      <c r="V220" s="20">
        <f t="shared" si="116"/>
        <v>15</v>
      </c>
      <c r="W220" s="20">
        <f t="shared" si="116"/>
        <v>0</v>
      </c>
      <c r="X220" s="20">
        <f t="shared" si="116"/>
        <v>3</v>
      </c>
      <c r="Y220" s="20">
        <f t="shared" si="116"/>
        <v>8</v>
      </c>
      <c r="Z220" s="20">
        <f t="shared" si="116"/>
        <v>0</v>
      </c>
      <c r="AA220" s="20">
        <f t="shared" si="116"/>
        <v>0</v>
      </c>
      <c r="AC220" s="3">
        <f t="shared" si="88"/>
        <v>90</v>
      </c>
      <c r="AD220" s="3">
        <f t="shared" si="89"/>
        <v>85</v>
      </c>
      <c r="AE220" s="3">
        <f t="shared" si="90"/>
        <v>80</v>
      </c>
      <c r="AF220" s="3">
        <f t="shared" si="91"/>
        <v>74</v>
      </c>
      <c r="AG220" s="3">
        <f t="shared" si="92"/>
        <v>69</v>
      </c>
      <c r="AH220" s="3">
        <f t="shared" si="93"/>
        <v>64</v>
      </c>
      <c r="AI220" s="3">
        <f t="shared" si="94"/>
        <v>59</v>
      </c>
      <c r="AJ220" s="3">
        <f t="shared" si="95"/>
        <v>52</v>
      </c>
      <c r="AK220" s="3">
        <f t="shared" si="96"/>
        <v>47</v>
      </c>
      <c r="AL220" s="3">
        <f t="shared" si="97"/>
        <v>42</v>
      </c>
      <c r="AM220" s="3">
        <f t="shared" si="98"/>
        <v>37</v>
      </c>
      <c r="AN220" s="3">
        <f t="shared" si="99"/>
        <v>30</v>
      </c>
      <c r="AO220" s="3">
        <f t="shared" si="100"/>
        <v>25</v>
      </c>
      <c r="AP220" s="3">
        <f t="shared" si="101"/>
        <v>20</v>
      </c>
      <c r="AQ220" s="3">
        <f t="shared" si="102"/>
        <v>0</v>
      </c>
      <c r="AR220" s="3">
        <f t="shared" si="103"/>
        <v>95</v>
      </c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M220" s="35" t="s">
        <v>12</v>
      </c>
      <c r="BO220" s="35"/>
      <c r="BR220" s="9" t="str">
        <f t="shared" si="107"/>
        <v/>
      </c>
      <c r="BS220" s="37" t="str">
        <f t="shared" si="108"/>
        <v/>
      </c>
      <c r="BT220" s="38" t="str">
        <f t="shared" si="105"/>
        <v/>
      </c>
      <c r="BU220" s="36" t="str">
        <f t="shared" si="109"/>
        <v/>
      </c>
    </row>
    <row r="221" spans="2:73" ht="15">
      <c r="B221" s="16">
        <f t="shared" si="110"/>
        <v>44620</v>
      </c>
      <c r="C221" s="15" t="s">
        <v>1</v>
      </c>
      <c r="D221" s="17">
        <f t="shared" si="111"/>
        <v>44626</v>
      </c>
      <c r="E221" s="18">
        <f t="shared" si="112"/>
        <v>2</v>
      </c>
      <c r="F221" s="19">
        <f t="shared" si="113"/>
        <v>2022</v>
      </c>
      <c r="G221" s="9">
        <f t="shared" si="115"/>
        <v>17</v>
      </c>
      <c r="H221" s="8">
        <f t="shared" si="115"/>
        <v>95</v>
      </c>
      <c r="I221" s="9"/>
      <c r="J221" s="9"/>
      <c r="K221" s="9"/>
      <c r="L221" s="9"/>
      <c r="M221" s="9"/>
      <c r="N221" s="9"/>
      <c r="O221" s="12"/>
      <c r="P221" s="12"/>
      <c r="Q221" s="12"/>
      <c r="R221" s="12"/>
      <c r="S221" s="12"/>
      <c r="T221" s="12"/>
      <c r="V221" s="20">
        <f t="shared" si="116"/>
        <v>16</v>
      </c>
      <c r="W221" s="20">
        <f t="shared" si="116"/>
        <v>0</v>
      </c>
      <c r="X221" s="20">
        <f t="shared" si="116"/>
        <v>4</v>
      </c>
      <c r="Y221" s="20">
        <f t="shared" si="116"/>
        <v>9</v>
      </c>
      <c r="Z221" s="20">
        <f t="shared" si="116"/>
        <v>0</v>
      </c>
      <c r="AA221" s="20">
        <f t="shared" si="116"/>
        <v>0</v>
      </c>
      <c r="AC221" s="3">
        <f t="shared" si="88"/>
        <v>91</v>
      </c>
      <c r="AD221" s="3">
        <f t="shared" si="89"/>
        <v>86</v>
      </c>
      <c r="AE221" s="3">
        <f t="shared" si="90"/>
        <v>81</v>
      </c>
      <c r="AF221" s="3">
        <f t="shared" si="91"/>
        <v>75</v>
      </c>
      <c r="AG221" s="3">
        <f t="shared" si="92"/>
        <v>70</v>
      </c>
      <c r="AH221" s="3">
        <f t="shared" si="93"/>
        <v>65</v>
      </c>
      <c r="AI221" s="3">
        <f t="shared" si="94"/>
        <v>60</v>
      </c>
      <c r="AJ221" s="3">
        <f t="shared" si="95"/>
        <v>53</v>
      </c>
      <c r="AK221" s="3">
        <f t="shared" si="96"/>
        <v>48</v>
      </c>
      <c r="AL221" s="3">
        <f t="shared" si="97"/>
        <v>43</v>
      </c>
      <c r="AM221" s="3">
        <f t="shared" si="98"/>
        <v>38</v>
      </c>
      <c r="AN221" s="3">
        <f t="shared" si="99"/>
        <v>31</v>
      </c>
      <c r="AO221" s="3">
        <f t="shared" si="100"/>
        <v>26</v>
      </c>
      <c r="AP221" s="3">
        <f t="shared" si="101"/>
        <v>21</v>
      </c>
      <c r="AQ221" s="3">
        <f t="shared" si="102"/>
        <v>0</v>
      </c>
      <c r="AR221" s="3">
        <f t="shared" si="103"/>
        <v>0</v>
      </c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M221" s="35" t="s">
        <v>12</v>
      </c>
      <c r="BO221" s="35"/>
      <c r="BR221" s="9" t="str">
        <f t="shared" si="107"/>
        <v/>
      </c>
      <c r="BS221" s="37" t="str">
        <f t="shared" si="108"/>
        <v/>
      </c>
      <c r="BT221" s="38" t="str">
        <f t="shared" si="105"/>
        <v/>
      </c>
      <c r="BU221" s="36" t="str">
        <f t="shared" si="109"/>
        <v/>
      </c>
    </row>
    <row r="222" spans="2:73" ht="15">
      <c r="B222" s="16">
        <f t="shared" si="110"/>
        <v>44627</v>
      </c>
      <c r="C222" s="15" t="s">
        <v>1</v>
      </c>
      <c r="D222" s="17">
        <f t="shared" si="111"/>
        <v>44633</v>
      </c>
      <c r="E222" s="18">
        <f t="shared" si="112"/>
        <v>3</v>
      </c>
      <c r="F222" s="19">
        <f t="shared" si="113"/>
        <v>2022</v>
      </c>
      <c r="G222" s="9">
        <f t="shared" si="115"/>
        <v>17</v>
      </c>
      <c r="H222" s="8">
        <f t="shared" si="115"/>
        <v>95</v>
      </c>
      <c r="I222" s="9"/>
      <c r="J222" s="9"/>
      <c r="K222" s="9"/>
      <c r="L222" s="9"/>
      <c r="M222" s="9"/>
      <c r="N222" s="9"/>
      <c r="O222" s="12"/>
      <c r="P222" s="12">
        <v>1</v>
      </c>
      <c r="Q222" s="12"/>
      <c r="R222" s="12"/>
      <c r="S222" s="12"/>
      <c r="T222" s="12"/>
      <c r="V222" s="20">
        <f t="shared" si="116"/>
        <v>17</v>
      </c>
      <c r="W222" s="20">
        <f t="shared" si="116"/>
        <v>44629</v>
      </c>
      <c r="X222" s="20">
        <f t="shared" si="116"/>
        <v>5</v>
      </c>
      <c r="Y222" s="20">
        <f t="shared" si="116"/>
        <v>10</v>
      </c>
      <c r="Z222" s="20">
        <f t="shared" si="116"/>
        <v>0</v>
      </c>
      <c r="AA222" s="20">
        <f t="shared" si="116"/>
        <v>0</v>
      </c>
      <c r="AC222" s="3">
        <f t="shared" si="88"/>
        <v>92</v>
      </c>
      <c r="AD222" s="3">
        <f t="shared" si="89"/>
        <v>87</v>
      </c>
      <c r="AE222" s="3">
        <f t="shared" si="90"/>
        <v>82</v>
      </c>
      <c r="AF222" s="3">
        <f t="shared" si="91"/>
        <v>76</v>
      </c>
      <c r="AG222" s="3">
        <f t="shared" si="92"/>
        <v>71</v>
      </c>
      <c r="AH222" s="3">
        <f t="shared" si="93"/>
        <v>66</v>
      </c>
      <c r="AI222" s="3">
        <f t="shared" si="94"/>
        <v>61</v>
      </c>
      <c r="AJ222" s="3">
        <f t="shared" si="95"/>
        <v>54</v>
      </c>
      <c r="AK222" s="3">
        <f t="shared" si="96"/>
        <v>49</v>
      </c>
      <c r="AL222" s="3">
        <f t="shared" si="97"/>
        <v>44</v>
      </c>
      <c r="AM222" s="3">
        <f t="shared" si="98"/>
        <v>39</v>
      </c>
      <c r="AN222" s="3">
        <f t="shared" si="99"/>
        <v>32</v>
      </c>
      <c r="AO222" s="3">
        <f t="shared" si="100"/>
        <v>27</v>
      </c>
      <c r="AP222" s="3">
        <f t="shared" si="101"/>
        <v>22</v>
      </c>
      <c r="AQ222" s="3">
        <f t="shared" si="102"/>
        <v>17</v>
      </c>
      <c r="AR222" s="3">
        <f t="shared" si="103"/>
        <v>0</v>
      </c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>
        <v>1</v>
      </c>
      <c r="BH222" s="8"/>
      <c r="BM222" s="35" t="s">
        <v>12</v>
      </c>
      <c r="BO222" s="35"/>
      <c r="BR222" s="9">
        <f t="shared" si="107"/>
        <v>2</v>
      </c>
      <c r="BS222" s="37">
        <f t="shared" si="108"/>
        <v>44629</v>
      </c>
      <c r="BT222" s="38">
        <f t="shared" si="105"/>
        <v>44748</v>
      </c>
      <c r="BU222" s="36">
        <f t="shared" si="109"/>
        <v>11</v>
      </c>
    </row>
    <row r="223" spans="2:73" ht="15">
      <c r="B223" s="16">
        <f t="shared" si="110"/>
        <v>44634</v>
      </c>
      <c r="C223" s="15" t="s">
        <v>1</v>
      </c>
      <c r="D223" s="17">
        <f t="shared" si="111"/>
        <v>44640</v>
      </c>
      <c r="E223" s="18">
        <f t="shared" si="112"/>
        <v>3</v>
      </c>
      <c r="F223" s="19">
        <f t="shared" si="113"/>
        <v>2022</v>
      </c>
      <c r="G223" s="9">
        <f t="shared" si="115"/>
        <v>17</v>
      </c>
      <c r="H223" s="8">
        <f t="shared" si="115"/>
        <v>95</v>
      </c>
      <c r="I223" s="9"/>
      <c r="J223" s="9"/>
      <c r="K223" s="9"/>
      <c r="L223" s="9"/>
      <c r="M223" s="9"/>
      <c r="N223" s="9"/>
      <c r="O223" s="12"/>
      <c r="P223" s="12"/>
      <c r="Q223" s="12"/>
      <c r="R223" s="12"/>
      <c r="S223" s="12"/>
      <c r="T223" s="12"/>
      <c r="V223" s="20">
        <f t="shared" si="116"/>
        <v>0</v>
      </c>
      <c r="W223" s="20">
        <f t="shared" si="116"/>
        <v>1</v>
      </c>
      <c r="X223" s="20">
        <f t="shared" si="116"/>
        <v>6</v>
      </c>
      <c r="Y223" s="20">
        <f t="shared" si="116"/>
        <v>11</v>
      </c>
      <c r="Z223" s="20">
        <f t="shared" si="116"/>
        <v>0</v>
      </c>
      <c r="AA223" s="20">
        <f t="shared" si="116"/>
        <v>0</v>
      </c>
      <c r="AC223" s="3">
        <f t="shared" si="88"/>
        <v>93</v>
      </c>
      <c r="AD223" s="3">
        <f t="shared" si="89"/>
        <v>88</v>
      </c>
      <c r="AE223" s="3">
        <f t="shared" si="90"/>
        <v>83</v>
      </c>
      <c r="AF223" s="3">
        <f t="shared" si="91"/>
        <v>77</v>
      </c>
      <c r="AG223" s="3">
        <f t="shared" si="92"/>
        <v>72</v>
      </c>
      <c r="AH223" s="3">
        <f t="shared" si="93"/>
        <v>67</v>
      </c>
      <c r="AI223" s="3">
        <f t="shared" si="94"/>
        <v>62</v>
      </c>
      <c r="AJ223" s="3">
        <f t="shared" si="95"/>
        <v>55</v>
      </c>
      <c r="AK223" s="3">
        <f t="shared" si="96"/>
        <v>50</v>
      </c>
      <c r="AL223" s="3">
        <f t="shared" si="97"/>
        <v>45</v>
      </c>
      <c r="AM223" s="3">
        <f t="shared" si="98"/>
        <v>40</v>
      </c>
      <c r="AN223" s="3">
        <f t="shared" si="99"/>
        <v>33</v>
      </c>
      <c r="AO223" s="3">
        <f t="shared" si="100"/>
        <v>28</v>
      </c>
      <c r="AP223" s="3">
        <f t="shared" si="101"/>
        <v>23</v>
      </c>
      <c r="AQ223" s="3">
        <f t="shared" si="102"/>
        <v>18</v>
      </c>
      <c r="AR223" s="3">
        <f t="shared" si="103"/>
        <v>0</v>
      </c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L223">
        <v>10</v>
      </c>
      <c r="BM223" s="35">
        <v>44634</v>
      </c>
      <c r="BO223" s="35">
        <f>B240</f>
        <v>44753</v>
      </c>
      <c r="BP223">
        <v>98</v>
      </c>
      <c r="BR223" s="9" t="str">
        <f t="shared" si="107"/>
        <v/>
      </c>
      <c r="BS223" s="37" t="str">
        <f t="shared" si="108"/>
        <v/>
      </c>
      <c r="BT223" s="38" t="str">
        <f t="shared" si="105"/>
        <v/>
      </c>
      <c r="BU223" s="36" t="str">
        <f t="shared" si="109"/>
        <v/>
      </c>
    </row>
    <row r="224" spans="2:73" ht="15">
      <c r="B224" s="16">
        <f t="shared" si="110"/>
        <v>44641</v>
      </c>
      <c r="C224" s="15" t="s">
        <v>1</v>
      </c>
      <c r="D224" s="17">
        <f t="shared" si="111"/>
        <v>44647</v>
      </c>
      <c r="E224" s="18">
        <f t="shared" si="112"/>
        <v>3</v>
      </c>
      <c r="F224" s="19">
        <f t="shared" si="113"/>
        <v>2022</v>
      </c>
      <c r="G224" s="9">
        <f t="shared" si="115"/>
        <v>17</v>
      </c>
      <c r="H224" s="8">
        <f t="shared" si="115"/>
        <v>95</v>
      </c>
      <c r="I224" s="9"/>
      <c r="J224" s="9"/>
      <c r="K224" s="9"/>
      <c r="L224" s="9"/>
      <c r="M224" s="9"/>
      <c r="N224" s="9"/>
      <c r="O224" s="12"/>
      <c r="P224" s="12"/>
      <c r="Q224" s="12"/>
      <c r="R224" s="12"/>
      <c r="S224" s="12"/>
      <c r="T224" s="12"/>
      <c r="V224" s="20">
        <f t="shared" si="116"/>
        <v>0</v>
      </c>
      <c r="W224" s="20">
        <f t="shared" si="116"/>
        <v>2</v>
      </c>
      <c r="X224" s="20">
        <f t="shared" si="116"/>
        <v>7</v>
      </c>
      <c r="Y224" s="20">
        <f t="shared" si="116"/>
        <v>12</v>
      </c>
      <c r="Z224" s="20">
        <f t="shared" si="116"/>
        <v>0</v>
      </c>
      <c r="AA224" s="20">
        <f t="shared" si="116"/>
        <v>0</v>
      </c>
      <c r="AC224" s="3">
        <f t="shared" si="88"/>
        <v>94</v>
      </c>
      <c r="AD224" s="3">
        <f t="shared" si="89"/>
        <v>89</v>
      </c>
      <c r="AE224" s="3">
        <f t="shared" si="90"/>
        <v>84</v>
      </c>
      <c r="AF224" s="3">
        <f t="shared" si="91"/>
        <v>78</v>
      </c>
      <c r="AG224" s="3">
        <f t="shared" si="92"/>
        <v>73</v>
      </c>
      <c r="AH224" s="3">
        <f t="shared" si="93"/>
        <v>68</v>
      </c>
      <c r="AI224" s="3">
        <f t="shared" si="94"/>
        <v>63</v>
      </c>
      <c r="AJ224" s="3">
        <f t="shared" si="95"/>
        <v>56</v>
      </c>
      <c r="AK224" s="3">
        <f t="shared" si="96"/>
        <v>51</v>
      </c>
      <c r="AL224" s="3">
        <f t="shared" si="97"/>
        <v>46</v>
      </c>
      <c r="AM224" s="3">
        <f t="shared" si="98"/>
        <v>41</v>
      </c>
      <c r="AN224" s="3">
        <f t="shared" si="99"/>
        <v>34</v>
      </c>
      <c r="AO224" s="3">
        <f t="shared" si="100"/>
        <v>29</v>
      </c>
      <c r="AP224" s="3">
        <f t="shared" si="101"/>
        <v>24</v>
      </c>
      <c r="AQ224" s="3">
        <f t="shared" si="102"/>
        <v>19</v>
      </c>
      <c r="AR224" s="3">
        <f t="shared" si="103"/>
        <v>0</v>
      </c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M224" s="35" t="s">
        <v>12</v>
      </c>
      <c r="BO224" s="35"/>
      <c r="BR224" s="9" t="str">
        <f t="shared" si="107"/>
        <v/>
      </c>
      <c r="BS224" s="37" t="str">
        <f t="shared" si="108"/>
        <v/>
      </c>
      <c r="BT224" s="38" t="str">
        <f t="shared" si="105"/>
        <v/>
      </c>
      <c r="BU224" s="36" t="str">
        <f t="shared" si="109"/>
        <v/>
      </c>
    </row>
    <row r="225" spans="2:73" ht="15">
      <c r="B225" s="16">
        <f t="shared" si="110"/>
        <v>44648</v>
      </c>
      <c r="C225" s="15" t="s">
        <v>1</v>
      </c>
      <c r="D225" s="17">
        <f t="shared" si="111"/>
        <v>44654</v>
      </c>
      <c r="E225" s="18">
        <f t="shared" si="112"/>
        <v>3</v>
      </c>
      <c r="F225" s="19">
        <f t="shared" si="113"/>
        <v>2022</v>
      </c>
      <c r="G225" s="9">
        <f t="shared" si="115"/>
        <v>17</v>
      </c>
      <c r="H225" s="8">
        <f t="shared" si="115"/>
        <v>95</v>
      </c>
      <c r="I225" s="9"/>
      <c r="J225" s="9"/>
      <c r="K225" s="9"/>
      <c r="L225" s="9"/>
      <c r="M225" s="9"/>
      <c r="N225" s="9"/>
      <c r="O225" s="12"/>
      <c r="P225" s="12"/>
      <c r="Q225" s="12"/>
      <c r="R225" s="12"/>
      <c r="S225" s="12"/>
      <c r="T225" s="12"/>
      <c r="V225" s="20">
        <f t="shared" si="116"/>
        <v>0</v>
      </c>
      <c r="W225" s="20">
        <f t="shared" si="116"/>
        <v>3</v>
      </c>
      <c r="X225" s="20">
        <f t="shared" si="116"/>
        <v>8</v>
      </c>
      <c r="Y225" s="20">
        <f t="shared" si="116"/>
        <v>13</v>
      </c>
      <c r="Z225" s="20">
        <f t="shared" si="116"/>
        <v>0</v>
      </c>
      <c r="AA225" s="20">
        <f t="shared" si="116"/>
        <v>0</v>
      </c>
      <c r="AC225" s="3">
        <f t="shared" si="88"/>
        <v>95</v>
      </c>
      <c r="AD225" s="3">
        <f t="shared" si="89"/>
        <v>90</v>
      </c>
      <c r="AE225" s="3">
        <f t="shared" si="90"/>
        <v>85</v>
      </c>
      <c r="AF225" s="3">
        <f t="shared" si="91"/>
        <v>79</v>
      </c>
      <c r="AG225" s="3">
        <f t="shared" si="92"/>
        <v>74</v>
      </c>
      <c r="AH225" s="3">
        <f t="shared" si="93"/>
        <v>69</v>
      </c>
      <c r="AI225" s="3">
        <f t="shared" si="94"/>
        <v>64</v>
      </c>
      <c r="AJ225" s="3">
        <f t="shared" si="95"/>
        <v>57</v>
      </c>
      <c r="AK225" s="3">
        <f t="shared" si="96"/>
        <v>52</v>
      </c>
      <c r="AL225" s="3">
        <f t="shared" si="97"/>
        <v>47</v>
      </c>
      <c r="AM225" s="3">
        <f t="shared" si="98"/>
        <v>42</v>
      </c>
      <c r="AN225" s="3">
        <f t="shared" si="99"/>
        <v>35</v>
      </c>
      <c r="AO225" s="3">
        <f t="shared" si="100"/>
        <v>30</v>
      </c>
      <c r="AP225" s="3">
        <f t="shared" si="101"/>
        <v>25</v>
      </c>
      <c r="AQ225" s="3">
        <f t="shared" si="102"/>
        <v>20</v>
      </c>
      <c r="AR225" s="3">
        <f t="shared" si="103"/>
        <v>0</v>
      </c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M225" s="35" t="s">
        <v>12</v>
      </c>
      <c r="BO225" s="35"/>
      <c r="BR225" s="9" t="str">
        <f t="shared" si="107"/>
        <v/>
      </c>
      <c r="BS225" s="37" t="str">
        <f t="shared" si="108"/>
        <v/>
      </c>
      <c r="BT225" s="38" t="str">
        <f t="shared" si="105"/>
        <v/>
      </c>
      <c r="BU225" s="36" t="str">
        <f t="shared" si="109"/>
        <v/>
      </c>
    </row>
    <row r="226" spans="2:73" ht="15">
      <c r="B226" s="16">
        <f t="shared" si="110"/>
        <v>44655</v>
      </c>
      <c r="C226" s="15" t="s">
        <v>1</v>
      </c>
      <c r="D226" s="17">
        <f t="shared" si="111"/>
        <v>44661</v>
      </c>
      <c r="E226" s="18">
        <f t="shared" si="112"/>
        <v>4</v>
      </c>
      <c r="F226" s="19">
        <f t="shared" si="113"/>
        <v>2022</v>
      </c>
      <c r="G226" s="9">
        <f t="shared" si="115"/>
        <v>17</v>
      </c>
      <c r="H226" s="8">
        <f t="shared" si="115"/>
        <v>95</v>
      </c>
      <c r="I226" s="9"/>
      <c r="J226" s="9"/>
      <c r="K226" s="9"/>
      <c r="L226" s="9"/>
      <c r="M226" s="9"/>
      <c r="N226" s="9"/>
      <c r="O226" s="12"/>
      <c r="P226" s="12"/>
      <c r="Q226" s="12"/>
      <c r="R226" s="12"/>
      <c r="S226" s="12"/>
      <c r="T226" s="12"/>
      <c r="V226" s="20">
        <f t="shared" si="116"/>
        <v>0</v>
      </c>
      <c r="W226" s="20">
        <f t="shared" si="116"/>
        <v>4</v>
      </c>
      <c r="X226" s="20">
        <f t="shared" si="116"/>
        <v>9</v>
      </c>
      <c r="Y226" s="20">
        <f t="shared" si="116"/>
        <v>14</v>
      </c>
      <c r="Z226" s="20">
        <f t="shared" si="116"/>
        <v>0</v>
      </c>
      <c r="AA226" s="20">
        <f t="shared" si="116"/>
        <v>0</v>
      </c>
      <c r="AC226" s="3">
        <f t="shared" si="88"/>
        <v>0</v>
      </c>
      <c r="AD226" s="3">
        <f t="shared" si="89"/>
        <v>91</v>
      </c>
      <c r="AE226" s="3">
        <f t="shared" si="90"/>
        <v>86</v>
      </c>
      <c r="AF226" s="3">
        <f t="shared" si="91"/>
        <v>80</v>
      </c>
      <c r="AG226" s="3">
        <f t="shared" si="92"/>
        <v>75</v>
      </c>
      <c r="AH226" s="3">
        <f t="shared" si="93"/>
        <v>70</v>
      </c>
      <c r="AI226" s="3">
        <f t="shared" si="94"/>
        <v>65</v>
      </c>
      <c r="AJ226" s="3">
        <f t="shared" si="95"/>
        <v>58</v>
      </c>
      <c r="AK226" s="3">
        <f t="shared" si="96"/>
        <v>53</v>
      </c>
      <c r="AL226" s="3">
        <f t="shared" si="97"/>
        <v>48</v>
      </c>
      <c r="AM226" s="3">
        <f t="shared" si="98"/>
        <v>43</v>
      </c>
      <c r="AN226" s="3">
        <f t="shared" si="99"/>
        <v>36</v>
      </c>
      <c r="AO226" s="3">
        <f t="shared" si="100"/>
        <v>31</v>
      </c>
      <c r="AP226" s="3">
        <f t="shared" si="101"/>
        <v>26</v>
      </c>
      <c r="AQ226" s="3">
        <f t="shared" si="102"/>
        <v>21</v>
      </c>
      <c r="AR226" s="3">
        <f t="shared" si="103"/>
        <v>0</v>
      </c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M226" s="35" t="s">
        <v>12</v>
      </c>
      <c r="BO226" s="35"/>
      <c r="BR226" s="9" t="str">
        <f t="shared" si="107"/>
        <v/>
      </c>
      <c r="BS226" s="37" t="str">
        <f t="shared" si="108"/>
        <v/>
      </c>
      <c r="BT226" s="38" t="str">
        <f t="shared" si="105"/>
        <v/>
      </c>
      <c r="BU226" s="36" t="str">
        <f t="shared" si="109"/>
        <v/>
      </c>
    </row>
    <row r="227" spans="2:73" ht="15">
      <c r="B227" s="16">
        <f t="shared" si="110"/>
        <v>44662</v>
      </c>
      <c r="C227" s="15" t="s">
        <v>1</v>
      </c>
      <c r="D227" s="17">
        <f t="shared" si="111"/>
        <v>44668</v>
      </c>
      <c r="E227" s="18">
        <f t="shared" si="112"/>
        <v>4</v>
      </c>
      <c r="F227" s="19">
        <f t="shared" si="113"/>
        <v>2022</v>
      </c>
      <c r="G227" s="9">
        <f t="shared" si="115"/>
        <v>17</v>
      </c>
      <c r="H227" s="8">
        <f t="shared" si="115"/>
        <v>95</v>
      </c>
      <c r="I227" s="9"/>
      <c r="J227" s="9"/>
      <c r="K227" s="9"/>
      <c r="L227" s="9"/>
      <c r="M227" s="9"/>
      <c r="N227" s="9"/>
      <c r="O227" s="12">
        <v>1</v>
      </c>
      <c r="P227" s="12"/>
      <c r="Q227" s="12"/>
      <c r="R227" s="12"/>
      <c r="S227" s="12"/>
      <c r="T227" s="12"/>
      <c r="V227" s="20">
        <f t="shared" si="116"/>
        <v>44664</v>
      </c>
      <c r="W227" s="20">
        <f t="shared" si="116"/>
        <v>5</v>
      </c>
      <c r="X227" s="20">
        <f t="shared" si="116"/>
        <v>10</v>
      </c>
      <c r="Y227" s="20">
        <f t="shared" si="116"/>
        <v>15</v>
      </c>
      <c r="Z227" s="20">
        <f t="shared" si="116"/>
        <v>0</v>
      </c>
      <c r="AA227" s="20">
        <f t="shared" si="116"/>
        <v>0</v>
      </c>
      <c r="AC227" s="3">
        <f t="shared" ref="AC227:AC290" si="117">IF(AND(AS227&gt;=$V$2,AS227&lt;=$AA$2),LOOKUP(AS227,$V$2:$AA$2,$V227:$AA227),IF(AS226="A",0,IF(AC226=$H227,0,IF(AC226=0,0,AC226+1))))</f>
        <v>0</v>
      </c>
      <c r="AD227" s="3">
        <f t="shared" ref="AD227:AD290" si="118">IF(AND(AT227&gt;=$V$2,AT227&lt;=$AA$2),LOOKUP(AT227,$V$2:$AA$2,$V227:$AA227),IF(AT226="A",0,IF(AD226=$H227,0,IF(AD226=0,0,AD226+1))))</f>
        <v>92</v>
      </c>
      <c r="AE227" s="3">
        <f t="shared" ref="AE227:AE290" si="119">IF(AND(AU227&gt;=$V$2,AU227&lt;=$AA$2),LOOKUP(AU227,$V$2:$AA$2,$V227:$AA227),IF(AU226="A",0,IF(AE226=$H227,0,IF(AE226=0,0,AE226+1))))</f>
        <v>87</v>
      </c>
      <c r="AF227" s="3">
        <f t="shared" ref="AF227:AF290" si="120">IF(AND(AV227&gt;=$V$2,AV227&lt;=$AA$2),LOOKUP(AV227,$V$2:$AA$2,$V227:$AA227),IF(AV226="A",0,IF(AF226=$H227,0,IF(AF226=0,0,AF226+1))))</f>
        <v>81</v>
      </c>
      <c r="AG227" s="3">
        <f t="shared" ref="AG227:AG290" si="121">IF(AND(AW227&gt;=$V$2,AW227&lt;=$AA$2),LOOKUP(AW227,$V$2:$AA$2,$V227:$AA227),IF(AW226="A",0,IF(AG226=$H227,0,IF(AG226=0,0,AG226+1))))</f>
        <v>76</v>
      </c>
      <c r="AH227" s="3">
        <f t="shared" ref="AH227:AH290" si="122">IF(AND(AX227&gt;=$V$2,AX227&lt;=$AA$2),LOOKUP(AX227,$V$2:$AA$2,$V227:$AA227),IF(AX226="A",0,IF(AH226=$H227,0,IF(AH226=0,0,AH226+1))))</f>
        <v>71</v>
      </c>
      <c r="AI227" s="3">
        <f t="shared" ref="AI227:AI290" si="123">IF(AND(AY227&gt;=$V$2,AY227&lt;=$AA$2),LOOKUP(AY227,$V$2:$AA$2,$V227:$AA227),IF(AY226="A",0,IF(AI226=$H227,0,IF(AI226=0,0,AI226+1))))</f>
        <v>66</v>
      </c>
      <c r="AJ227" s="3">
        <f t="shared" ref="AJ227:AJ290" si="124">IF(AND(AZ227&gt;=$V$2,AZ227&lt;=$AA$2),LOOKUP(AZ227,$V$2:$AA$2,$V227:$AA227),IF(AZ226="A",0,IF(AJ226=$H227,0,IF(AJ226=0,0,AJ226+1))))</f>
        <v>59</v>
      </c>
      <c r="AK227" s="3">
        <f t="shared" ref="AK227:AK290" si="125">IF(AND(BA227&gt;=$V$2,BA227&lt;=$AA$2),LOOKUP(BA227,$V$2:$AA$2,$V227:$AA227),IF(BA226="A",0,IF(AK226=$H227,0,IF(AK226=0,0,AK226+1))))</f>
        <v>54</v>
      </c>
      <c r="AL227" s="3">
        <f t="shared" ref="AL227:AL290" si="126">IF(AND(BB227&gt;=$V$2,BB227&lt;=$AA$2),LOOKUP(BB227,$V$2:$AA$2,$V227:$AA227),IF(BB226="A",0,IF(AL226=$H227,0,IF(AL226=0,0,AL226+1))))</f>
        <v>49</v>
      </c>
      <c r="AM227" s="3">
        <f t="shared" ref="AM227:AM290" si="127">IF(AND(BC227&gt;=$V$2,BC227&lt;=$AA$2),LOOKUP(BC227,$V$2:$AA$2,$V227:$AA227),IF(BC226="A",0,IF(AM226=$H227,0,IF(AM226=0,0,AM226+1))))</f>
        <v>44</v>
      </c>
      <c r="AN227" s="3">
        <f t="shared" ref="AN227:AN290" si="128">IF(AND(BD227&gt;=$V$2,BD227&lt;=$AA$2),LOOKUP(BD227,$V$2:$AA$2,$V227:$AA227),IF(BD226="A",0,IF(AN226=$H227,0,IF(AN226=0,0,AN226+1))))</f>
        <v>37</v>
      </c>
      <c r="AO227" s="3">
        <f t="shared" ref="AO227:AO290" si="129">IF(AND(BE227&gt;=$V$2,BE227&lt;=$AA$2),LOOKUP(BE227,$V$2:$AA$2,$V227:$AA227),IF(BE226="A",0,IF(AO226=$H227,0,IF(AO226=0,0,AO226+1))))</f>
        <v>32</v>
      </c>
      <c r="AP227" s="3">
        <f t="shared" ref="AP227:AP290" si="130">IF(AND(BF227&gt;=$V$2,BF227&lt;=$AA$2),LOOKUP(BF227,$V$2:$AA$2,$V227:$AA227),IF(BF226="A",0,IF(AP226=$H227,0,IF(AP226=0,0,AP226+1))))</f>
        <v>27</v>
      </c>
      <c r="AQ227" s="3">
        <f t="shared" ref="AQ227:AQ290" si="131">IF(AND(BG227&gt;=$V$2,BG227&lt;=$AA$2),LOOKUP(BG227,$V$2:$AA$2,$V227:$AA227),IF(BG226="A",0,IF(AQ226=$H227,0,IF(AQ226=0,0,AQ226+1))))</f>
        <v>22</v>
      </c>
      <c r="AR227" s="3">
        <f t="shared" ref="AR227:AR290" si="132">IF(AND(BH227&gt;=$V$2,BH227&lt;=$AA$2),LOOKUP(BH227,$V$2:$AA$2,$V227:$AA227),IF(BH226="A",0,IF(AR226=$H227,0,IF(AR226=0,0,AR226+1))))</f>
        <v>0</v>
      </c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M227" s="35" t="s">
        <v>12</v>
      </c>
      <c r="BO227" s="35"/>
      <c r="BR227" s="9">
        <f t="shared" si="107"/>
        <v>1</v>
      </c>
      <c r="BS227" s="37">
        <f t="shared" si="108"/>
        <v>44664</v>
      </c>
      <c r="BT227" s="38">
        <f t="shared" si="105"/>
        <v>44783</v>
      </c>
      <c r="BU227" s="36">
        <f t="shared" si="109"/>
        <v>10</v>
      </c>
    </row>
    <row r="228" spans="2:73" ht="15">
      <c r="B228" s="16">
        <f t="shared" si="110"/>
        <v>44669</v>
      </c>
      <c r="C228" s="15" t="s">
        <v>1</v>
      </c>
      <c r="D228" s="17">
        <f t="shared" si="111"/>
        <v>44675</v>
      </c>
      <c r="E228" s="18">
        <f t="shared" si="112"/>
        <v>4</v>
      </c>
      <c r="F228" s="19">
        <f t="shared" si="113"/>
        <v>2022</v>
      </c>
      <c r="G228" s="9">
        <f t="shared" si="115"/>
        <v>17</v>
      </c>
      <c r="H228" s="8">
        <f t="shared" si="115"/>
        <v>95</v>
      </c>
      <c r="I228" s="9"/>
      <c r="J228" s="9"/>
      <c r="K228" s="9"/>
      <c r="L228" s="9"/>
      <c r="M228" s="9"/>
      <c r="N228" s="9"/>
      <c r="O228" s="12"/>
      <c r="P228" s="12"/>
      <c r="Q228" s="12"/>
      <c r="R228" s="12"/>
      <c r="S228" s="12"/>
      <c r="T228" s="12"/>
      <c r="V228" s="20">
        <f t="shared" si="116"/>
        <v>1</v>
      </c>
      <c r="W228" s="20">
        <f t="shared" si="116"/>
        <v>6</v>
      </c>
      <c r="X228" s="20">
        <f t="shared" si="116"/>
        <v>11</v>
      </c>
      <c r="Y228" s="20">
        <f t="shared" si="116"/>
        <v>16</v>
      </c>
      <c r="Z228" s="20">
        <f t="shared" si="116"/>
        <v>0</v>
      </c>
      <c r="AA228" s="20">
        <f t="shared" si="116"/>
        <v>0</v>
      </c>
      <c r="AC228" s="3">
        <f t="shared" si="117"/>
        <v>0</v>
      </c>
      <c r="AD228" s="3">
        <f t="shared" si="118"/>
        <v>93</v>
      </c>
      <c r="AE228" s="3">
        <f t="shared" si="119"/>
        <v>88</v>
      </c>
      <c r="AF228" s="3">
        <f t="shared" si="120"/>
        <v>82</v>
      </c>
      <c r="AG228" s="3">
        <f t="shared" si="121"/>
        <v>77</v>
      </c>
      <c r="AH228" s="3">
        <f t="shared" si="122"/>
        <v>72</v>
      </c>
      <c r="AI228" s="3">
        <f t="shared" si="123"/>
        <v>67</v>
      </c>
      <c r="AJ228" s="3">
        <f t="shared" si="124"/>
        <v>60</v>
      </c>
      <c r="AK228" s="3">
        <f t="shared" si="125"/>
        <v>55</v>
      </c>
      <c r="AL228" s="3">
        <f t="shared" si="126"/>
        <v>50</v>
      </c>
      <c r="AM228" s="3">
        <f t="shared" si="127"/>
        <v>45</v>
      </c>
      <c r="AN228" s="3">
        <f t="shared" si="128"/>
        <v>38</v>
      </c>
      <c r="AO228" s="3">
        <f t="shared" si="129"/>
        <v>33</v>
      </c>
      <c r="AP228" s="3">
        <f t="shared" si="130"/>
        <v>28</v>
      </c>
      <c r="AQ228" s="3">
        <f t="shared" si="131"/>
        <v>23</v>
      </c>
      <c r="AR228" s="3">
        <f t="shared" si="132"/>
        <v>0</v>
      </c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L228">
        <v>11</v>
      </c>
      <c r="BM228" s="35">
        <v>44669</v>
      </c>
      <c r="BO228" s="35">
        <f>B245</f>
        <v>44788</v>
      </c>
      <c r="BP228">
        <v>98</v>
      </c>
      <c r="BR228" s="9" t="str">
        <f t="shared" si="107"/>
        <v/>
      </c>
      <c r="BS228" s="37" t="str">
        <f t="shared" si="108"/>
        <v/>
      </c>
      <c r="BT228" s="38" t="str">
        <f t="shared" si="105"/>
        <v/>
      </c>
      <c r="BU228" s="36" t="str">
        <f t="shared" si="109"/>
        <v/>
      </c>
    </row>
    <row r="229" spans="2:73" ht="15">
      <c r="B229" s="16">
        <f t="shared" si="110"/>
        <v>44676</v>
      </c>
      <c r="C229" s="15" t="s">
        <v>1</v>
      </c>
      <c r="D229" s="17">
        <f t="shared" si="111"/>
        <v>44682</v>
      </c>
      <c r="E229" s="18">
        <f t="shared" si="112"/>
        <v>4</v>
      </c>
      <c r="F229" s="19">
        <f t="shared" si="113"/>
        <v>2022</v>
      </c>
      <c r="G229" s="9">
        <f t="shared" si="115"/>
        <v>17</v>
      </c>
      <c r="H229" s="8">
        <f t="shared" si="115"/>
        <v>95</v>
      </c>
      <c r="I229" s="9"/>
      <c r="J229" s="9"/>
      <c r="K229" s="9"/>
      <c r="L229" s="9"/>
      <c r="M229" s="9"/>
      <c r="N229" s="9"/>
      <c r="O229" s="12"/>
      <c r="P229" s="12"/>
      <c r="Q229" s="12"/>
      <c r="R229" s="12"/>
      <c r="S229" s="12"/>
      <c r="T229" s="12"/>
      <c r="V229" s="20">
        <f t="shared" si="116"/>
        <v>2</v>
      </c>
      <c r="W229" s="20">
        <f t="shared" si="116"/>
        <v>7</v>
      </c>
      <c r="X229" s="20">
        <f t="shared" si="116"/>
        <v>12</v>
      </c>
      <c r="Y229" s="20">
        <f t="shared" si="116"/>
        <v>17</v>
      </c>
      <c r="Z229" s="20">
        <f t="shared" si="116"/>
        <v>0</v>
      </c>
      <c r="AA229" s="20">
        <f t="shared" si="116"/>
        <v>0</v>
      </c>
      <c r="AC229" s="3">
        <f t="shared" si="117"/>
        <v>0</v>
      </c>
      <c r="AD229" s="3">
        <f t="shared" si="118"/>
        <v>94</v>
      </c>
      <c r="AE229" s="3">
        <f t="shared" si="119"/>
        <v>89</v>
      </c>
      <c r="AF229" s="3">
        <f t="shared" si="120"/>
        <v>83</v>
      </c>
      <c r="AG229" s="3">
        <f t="shared" si="121"/>
        <v>78</v>
      </c>
      <c r="AH229" s="3">
        <f t="shared" si="122"/>
        <v>73</v>
      </c>
      <c r="AI229" s="3">
        <f t="shared" si="123"/>
        <v>68</v>
      </c>
      <c r="AJ229" s="3">
        <f t="shared" si="124"/>
        <v>61</v>
      </c>
      <c r="AK229" s="3">
        <f t="shared" si="125"/>
        <v>56</v>
      </c>
      <c r="AL229" s="3">
        <f t="shared" si="126"/>
        <v>51</v>
      </c>
      <c r="AM229" s="3">
        <f t="shared" si="127"/>
        <v>46</v>
      </c>
      <c r="AN229" s="3">
        <f t="shared" si="128"/>
        <v>39</v>
      </c>
      <c r="AO229" s="3">
        <f t="shared" si="129"/>
        <v>34</v>
      </c>
      <c r="AP229" s="3">
        <f t="shared" si="130"/>
        <v>29</v>
      </c>
      <c r="AQ229" s="3">
        <f t="shared" si="131"/>
        <v>24</v>
      </c>
      <c r="AR229" s="3">
        <f t="shared" si="132"/>
        <v>17</v>
      </c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>
        <v>4</v>
      </c>
      <c r="BM229" s="35" t="s">
        <v>12</v>
      </c>
      <c r="BO229" s="35"/>
      <c r="BR229" s="9" t="str">
        <f t="shared" si="107"/>
        <v/>
      </c>
      <c r="BS229" s="37" t="str">
        <f t="shared" si="108"/>
        <v/>
      </c>
      <c r="BT229" s="38" t="str">
        <f t="shared" si="105"/>
        <v/>
      </c>
      <c r="BU229" s="36" t="str">
        <f t="shared" si="109"/>
        <v/>
      </c>
    </row>
    <row r="230" spans="2:73" ht="15">
      <c r="B230" s="16">
        <f t="shared" si="110"/>
        <v>44683</v>
      </c>
      <c r="C230" s="15" t="s">
        <v>1</v>
      </c>
      <c r="D230" s="17">
        <f t="shared" si="111"/>
        <v>44689</v>
      </c>
      <c r="E230" s="18">
        <f t="shared" si="112"/>
        <v>5</v>
      </c>
      <c r="F230" s="19">
        <f t="shared" si="113"/>
        <v>2022</v>
      </c>
      <c r="G230" s="9">
        <f t="shared" ref="G230:H245" si="133">G229</f>
        <v>17</v>
      </c>
      <c r="H230" s="8">
        <f t="shared" si="133"/>
        <v>95</v>
      </c>
      <c r="I230" s="9"/>
      <c r="J230" s="9"/>
      <c r="K230" s="9"/>
      <c r="L230" s="9"/>
      <c r="M230" s="9"/>
      <c r="N230" s="9"/>
      <c r="O230" s="12"/>
      <c r="P230" s="12"/>
      <c r="Q230" s="12"/>
      <c r="R230" s="12"/>
      <c r="S230" s="12"/>
      <c r="T230" s="12"/>
      <c r="V230" s="20">
        <f t="shared" si="116"/>
        <v>3</v>
      </c>
      <c r="W230" s="20">
        <f t="shared" si="116"/>
        <v>8</v>
      </c>
      <c r="X230" s="20">
        <f t="shared" si="116"/>
        <v>13</v>
      </c>
      <c r="Y230" s="20">
        <f t="shared" si="116"/>
        <v>0</v>
      </c>
      <c r="Z230" s="20">
        <f t="shared" si="116"/>
        <v>0</v>
      </c>
      <c r="AA230" s="20">
        <f t="shared" si="116"/>
        <v>0</v>
      </c>
      <c r="AC230" s="3">
        <f t="shared" si="117"/>
        <v>0</v>
      </c>
      <c r="AD230" s="3">
        <f t="shared" si="118"/>
        <v>95</v>
      </c>
      <c r="AE230" s="3">
        <f t="shared" si="119"/>
        <v>90</v>
      </c>
      <c r="AF230" s="3">
        <f t="shared" si="120"/>
        <v>84</v>
      </c>
      <c r="AG230" s="3">
        <f t="shared" si="121"/>
        <v>79</v>
      </c>
      <c r="AH230" s="3">
        <f t="shared" si="122"/>
        <v>74</v>
      </c>
      <c r="AI230" s="3">
        <f t="shared" si="123"/>
        <v>69</v>
      </c>
      <c r="AJ230" s="3">
        <f t="shared" si="124"/>
        <v>62</v>
      </c>
      <c r="AK230" s="3">
        <f t="shared" si="125"/>
        <v>57</v>
      </c>
      <c r="AL230" s="3">
        <f t="shared" si="126"/>
        <v>52</v>
      </c>
      <c r="AM230" s="3">
        <f t="shared" si="127"/>
        <v>47</v>
      </c>
      <c r="AN230" s="3">
        <f t="shared" si="128"/>
        <v>40</v>
      </c>
      <c r="AO230" s="3">
        <f t="shared" si="129"/>
        <v>35</v>
      </c>
      <c r="AP230" s="3">
        <f t="shared" si="130"/>
        <v>30</v>
      </c>
      <c r="AQ230" s="3">
        <f t="shared" si="131"/>
        <v>25</v>
      </c>
      <c r="AR230" s="3">
        <f t="shared" si="132"/>
        <v>18</v>
      </c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M230" s="35" t="s">
        <v>12</v>
      </c>
      <c r="BO230" s="35"/>
      <c r="BR230" s="9" t="str">
        <f t="shared" si="107"/>
        <v/>
      </c>
      <c r="BS230" s="37" t="str">
        <f t="shared" si="108"/>
        <v/>
      </c>
      <c r="BT230" s="38" t="str">
        <f t="shared" si="105"/>
        <v/>
      </c>
      <c r="BU230" s="36" t="str">
        <f t="shared" si="109"/>
        <v/>
      </c>
    </row>
    <row r="231" spans="2:73" ht="15">
      <c r="B231" s="16">
        <f t="shared" si="110"/>
        <v>44690</v>
      </c>
      <c r="C231" s="15" t="s">
        <v>1</v>
      </c>
      <c r="D231" s="17">
        <f t="shared" si="111"/>
        <v>44696</v>
      </c>
      <c r="E231" s="18">
        <f t="shared" si="112"/>
        <v>5</v>
      </c>
      <c r="F231" s="19">
        <f t="shared" si="113"/>
        <v>2022</v>
      </c>
      <c r="G231" s="9">
        <f t="shared" si="133"/>
        <v>17</v>
      </c>
      <c r="H231" s="8">
        <f t="shared" si="133"/>
        <v>95</v>
      </c>
      <c r="I231" s="9"/>
      <c r="J231" s="9"/>
      <c r="K231" s="9"/>
      <c r="L231" s="9"/>
      <c r="M231" s="9"/>
      <c r="N231" s="9"/>
      <c r="O231" s="12"/>
      <c r="P231" s="12"/>
      <c r="Q231" s="12"/>
      <c r="R231" s="12"/>
      <c r="S231" s="12"/>
      <c r="T231" s="12"/>
      <c r="V231" s="20">
        <f t="shared" si="116"/>
        <v>4</v>
      </c>
      <c r="W231" s="20">
        <f t="shared" si="116"/>
        <v>9</v>
      </c>
      <c r="X231" s="20">
        <f t="shared" si="116"/>
        <v>14</v>
      </c>
      <c r="Y231" s="20">
        <f t="shared" si="116"/>
        <v>0</v>
      </c>
      <c r="Z231" s="20">
        <f t="shared" si="116"/>
        <v>0</v>
      </c>
      <c r="AA231" s="20">
        <f t="shared" si="116"/>
        <v>0</v>
      </c>
      <c r="AC231" s="3">
        <f t="shared" si="117"/>
        <v>0</v>
      </c>
      <c r="AD231" s="3">
        <f t="shared" si="118"/>
        <v>0</v>
      </c>
      <c r="AE231" s="3">
        <f t="shared" si="119"/>
        <v>91</v>
      </c>
      <c r="AF231" s="3">
        <f t="shared" si="120"/>
        <v>85</v>
      </c>
      <c r="AG231" s="3">
        <f t="shared" si="121"/>
        <v>80</v>
      </c>
      <c r="AH231" s="3">
        <f t="shared" si="122"/>
        <v>75</v>
      </c>
      <c r="AI231" s="3">
        <f t="shared" si="123"/>
        <v>70</v>
      </c>
      <c r="AJ231" s="3">
        <f t="shared" si="124"/>
        <v>63</v>
      </c>
      <c r="AK231" s="3">
        <f t="shared" si="125"/>
        <v>58</v>
      </c>
      <c r="AL231" s="3">
        <f t="shared" si="126"/>
        <v>53</v>
      </c>
      <c r="AM231" s="3">
        <f t="shared" si="127"/>
        <v>48</v>
      </c>
      <c r="AN231" s="3">
        <f t="shared" si="128"/>
        <v>41</v>
      </c>
      <c r="AO231" s="3">
        <f t="shared" si="129"/>
        <v>36</v>
      </c>
      <c r="AP231" s="3">
        <f t="shared" si="130"/>
        <v>31</v>
      </c>
      <c r="AQ231" s="3">
        <f t="shared" si="131"/>
        <v>26</v>
      </c>
      <c r="AR231" s="3">
        <f t="shared" si="132"/>
        <v>19</v>
      </c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M231" s="35" t="s">
        <v>12</v>
      </c>
      <c r="BO231" s="35"/>
      <c r="BR231" s="9" t="str">
        <f t="shared" si="107"/>
        <v/>
      </c>
      <c r="BS231" s="37" t="str">
        <f t="shared" si="108"/>
        <v/>
      </c>
      <c r="BT231" s="38" t="str">
        <f t="shared" si="105"/>
        <v/>
      </c>
      <c r="BU231" s="36" t="str">
        <f t="shared" si="109"/>
        <v/>
      </c>
    </row>
    <row r="232" spans="2:73" ht="15">
      <c r="B232" s="16">
        <f t="shared" si="110"/>
        <v>44697</v>
      </c>
      <c r="C232" s="15" t="s">
        <v>1</v>
      </c>
      <c r="D232" s="17">
        <f t="shared" si="111"/>
        <v>44703</v>
      </c>
      <c r="E232" s="18">
        <f t="shared" si="112"/>
        <v>5</v>
      </c>
      <c r="F232" s="19">
        <f t="shared" si="113"/>
        <v>2022</v>
      </c>
      <c r="G232" s="9">
        <f t="shared" si="133"/>
        <v>17</v>
      </c>
      <c r="H232" s="8">
        <f t="shared" si="133"/>
        <v>95</v>
      </c>
      <c r="I232" s="9"/>
      <c r="J232" s="9"/>
      <c r="K232" s="9"/>
      <c r="L232" s="9"/>
      <c r="M232" s="9"/>
      <c r="N232" s="9"/>
      <c r="O232" s="12"/>
      <c r="P232" s="12"/>
      <c r="Q232" s="12"/>
      <c r="R232" s="12"/>
      <c r="S232" s="12"/>
      <c r="T232" s="12"/>
      <c r="V232" s="20">
        <f t="shared" si="116"/>
        <v>5</v>
      </c>
      <c r="W232" s="20">
        <f t="shared" si="116"/>
        <v>10</v>
      </c>
      <c r="X232" s="20">
        <f t="shared" si="116"/>
        <v>15</v>
      </c>
      <c r="Y232" s="20">
        <f t="shared" si="116"/>
        <v>0</v>
      </c>
      <c r="Z232" s="20">
        <f t="shared" si="116"/>
        <v>0</v>
      </c>
      <c r="AA232" s="20">
        <f t="shared" si="116"/>
        <v>0</v>
      </c>
      <c r="AC232" s="3">
        <f t="shared" si="117"/>
        <v>0</v>
      </c>
      <c r="AD232" s="3">
        <f t="shared" si="118"/>
        <v>0</v>
      </c>
      <c r="AE232" s="3">
        <f t="shared" si="119"/>
        <v>92</v>
      </c>
      <c r="AF232" s="3">
        <f t="shared" si="120"/>
        <v>86</v>
      </c>
      <c r="AG232" s="3">
        <f t="shared" si="121"/>
        <v>81</v>
      </c>
      <c r="AH232" s="3">
        <f t="shared" si="122"/>
        <v>76</v>
      </c>
      <c r="AI232" s="3">
        <f t="shared" si="123"/>
        <v>71</v>
      </c>
      <c r="AJ232" s="3">
        <f t="shared" si="124"/>
        <v>64</v>
      </c>
      <c r="AK232" s="3">
        <f t="shared" si="125"/>
        <v>59</v>
      </c>
      <c r="AL232" s="3">
        <f t="shared" si="126"/>
        <v>54</v>
      </c>
      <c r="AM232" s="3">
        <f t="shared" si="127"/>
        <v>49</v>
      </c>
      <c r="AN232" s="3">
        <f t="shared" si="128"/>
        <v>42</v>
      </c>
      <c r="AO232" s="3">
        <f t="shared" si="129"/>
        <v>37</v>
      </c>
      <c r="AP232" s="3">
        <f t="shared" si="130"/>
        <v>32</v>
      </c>
      <c r="AQ232" s="3">
        <f t="shared" si="131"/>
        <v>27</v>
      </c>
      <c r="AR232" s="3">
        <f t="shared" si="132"/>
        <v>20</v>
      </c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M232" s="35" t="s">
        <v>12</v>
      </c>
      <c r="BO232" s="35"/>
      <c r="BR232" s="9" t="str">
        <f t="shared" si="107"/>
        <v/>
      </c>
      <c r="BS232" s="37" t="str">
        <f t="shared" si="108"/>
        <v/>
      </c>
      <c r="BT232" s="38" t="str">
        <f t="shared" si="105"/>
        <v/>
      </c>
      <c r="BU232" s="36" t="str">
        <f t="shared" si="109"/>
        <v/>
      </c>
    </row>
    <row r="233" spans="2:73" ht="15">
      <c r="B233" s="16">
        <f t="shared" si="110"/>
        <v>44704</v>
      </c>
      <c r="C233" s="15" t="s">
        <v>1</v>
      </c>
      <c r="D233" s="17">
        <f t="shared" si="111"/>
        <v>44710</v>
      </c>
      <c r="E233" s="18">
        <f t="shared" si="112"/>
        <v>5</v>
      </c>
      <c r="F233" s="19">
        <f t="shared" si="113"/>
        <v>2022</v>
      </c>
      <c r="G233" s="9">
        <f t="shared" si="133"/>
        <v>17</v>
      </c>
      <c r="H233" s="8">
        <f t="shared" si="133"/>
        <v>95</v>
      </c>
      <c r="I233" s="9"/>
      <c r="J233" s="9"/>
      <c r="K233" s="9"/>
      <c r="L233" s="9"/>
      <c r="M233" s="9"/>
      <c r="N233" s="9"/>
      <c r="O233" s="12"/>
      <c r="P233" s="12"/>
      <c r="Q233" s="12"/>
      <c r="R233" s="12">
        <v>1</v>
      </c>
      <c r="S233" s="12"/>
      <c r="T233" s="12"/>
      <c r="V233" s="20">
        <f t="shared" si="116"/>
        <v>6</v>
      </c>
      <c r="W233" s="20">
        <f t="shared" si="116"/>
        <v>11</v>
      </c>
      <c r="X233" s="20">
        <f t="shared" si="116"/>
        <v>16</v>
      </c>
      <c r="Y233" s="20">
        <f t="shared" si="116"/>
        <v>44706</v>
      </c>
      <c r="Z233" s="20">
        <f t="shared" si="116"/>
        <v>0</v>
      </c>
      <c r="AA233" s="20">
        <f t="shared" si="116"/>
        <v>0</v>
      </c>
      <c r="AC233" s="3">
        <f t="shared" si="117"/>
        <v>0</v>
      </c>
      <c r="AD233" s="3">
        <f t="shared" si="118"/>
        <v>0</v>
      </c>
      <c r="AE233" s="3">
        <f t="shared" si="119"/>
        <v>93</v>
      </c>
      <c r="AF233" s="3">
        <f t="shared" si="120"/>
        <v>87</v>
      </c>
      <c r="AG233" s="3">
        <f t="shared" si="121"/>
        <v>82</v>
      </c>
      <c r="AH233" s="3">
        <f t="shared" si="122"/>
        <v>77</v>
      </c>
      <c r="AI233" s="3">
        <f t="shared" si="123"/>
        <v>72</v>
      </c>
      <c r="AJ233" s="3">
        <f t="shared" si="124"/>
        <v>65</v>
      </c>
      <c r="AK233" s="3">
        <f t="shared" si="125"/>
        <v>60</v>
      </c>
      <c r="AL233" s="3">
        <f t="shared" si="126"/>
        <v>55</v>
      </c>
      <c r="AM233" s="3">
        <f t="shared" si="127"/>
        <v>50</v>
      </c>
      <c r="AN233" s="3">
        <f t="shared" si="128"/>
        <v>43</v>
      </c>
      <c r="AO233" s="3">
        <f t="shared" si="129"/>
        <v>38</v>
      </c>
      <c r="AP233" s="3">
        <f t="shared" si="130"/>
        <v>33</v>
      </c>
      <c r="AQ233" s="3">
        <f t="shared" si="131"/>
        <v>28</v>
      </c>
      <c r="AR233" s="3">
        <f t="shared" si="132"/>
        <v>21</v>
      </c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M233" s="35" t="s">
        <v>12</v>
      </c>
      <c r="BO233" s="35"/>
      <c r="BR233" s="9">
        <f t="shared" si="107"/>
        <v>4</v>
      </c>
      <c r="BS233" s="37">
        <f t="shared" si="108"/>
        <v>44706</v>
      </c>
      <c r="BT233" s="38">
        <f t="shared" si="105"/>
        <v>44825</v>
      </c>
      <c r="BU233" s="36">
        <f t="shared" si="109"/>
        <v>12</v>
      </c>
    </row>
    <row r="234" spans="2:73" ht="15">
      <c r="B234" s="16">
        <f t="shared" si="110"/>
        <v>44711</v>
      </c>
      <c r="C234" s="15" t="s">
        <v>1</v>
      </c>
      <c r="D234" s="17">
        <f t="shared" si="111"/>
        <v>44717</v>
      </c>
      <c r="E234" s="18">
        <f t="shared" si="112"/>
        <v>5</v>
      </c>
      <c r="F234" s="19">
        <f t="shared" si="113"/>
        <v>2022</v>
      </c>
      <c r="G234" s="9">
        <f t="shared" si="133"/>
        <v>17</v>
      </c>
      <c r="H234" s="8">
        <f t="shared" si="133"/>
        <v>95</v>
      </c>
      <c r="I234" s="9"/>
      <c r="J234" s="9"/>
      <c r="K234" s="9"/>
      <c r="L234" s="9"/>
      <c r="M234" s="9"/>
      <c r="N234" s="9"/>
      <c r="O234" s="12"/>
      <c r="P234" s="12"/>
      <c r="Q234" s="12"/>
      <c r="R234" s="12"/>
      <c r="S234" s="12"/>
      <c r="T234" s="12"/>
      <c r="V234" s="20">
        <f t="shared" si="116"/>
        <v>7</v>
      </c>
      <c r="W234" s="20">
        <f t="shared" si="116"/>
        <v>12</v>
      </c>
      <c r="X234" s="20">
        <f t="shared" si="116"/>
        <v>17</v>
      </c>
      <c r="Y234" s="20">
        <f t="shared" si="116"/>
        <v>1</v>
      </c>
      <c r="Z234" s="20">
        <f t="shared" si="116"/>
        <v>0</v>
      </c>
      <c r="AA234" s="20">
        <f t="shared" si="116"/>
        <v>0</v>
      </c>
      <c r="AC234" s="3">
        <f t="shared" si="117"/>
        <v>17</v>
      </c>
      <c r="AD234" s="3">
        <f t="shared" si="118"/>
        <v>0</v>
      </c>
      <c r="AE234" s="3">
        <f t="shared" si="119"/>
        <v>94</v>
      </c>
      <c r="AF234" s="3">
        <f t="shared" si="120"/>
        <v>88</v>
      </c>
      <c r="AG234" s="3">
        <f t="shared" si="121"/>
        <v>83</v>
      </c>
      <c r="AH234" s="3">
        <f t="shared" si="122"/>
        <v>78</v>
      </c>
      <c r="AI234" s="3">
        <f t="shared" si="123"/>
        <v>73</v>
      </c>
      <c r="AJ234" s="3">
        <f t="shared" si="124"/>
        <v>66</v>
      </c>
      <c r="AK234" s="3">
        <f t="shared" si="125"/>
        <v>61</v>
      </c>
      <c r="AL234" s="3">
        <f t="shared" si="126"/>
        <v>56</v>
      </c>
      <c r="AM234" s="3">
        <f t="shared" si="127"/>
        <v>51</v>
      </c>
      <c r="AN234" s="3">
        <f t="shared" si="128"/>
        <v>44</v>
      </c>
      <c r="AO234" s="3">
        <f t="shared" si="129"/>
        <v>39</v>
      </c>
      <c r="AP234" s="3">
        <f t="shared" si="130"/>
        <v>34</v>
      </c>
      <c r="AQ234" s="3">
        <f t="shared" si="131"/>
        <v>29</v>
      </c>
      <c r="AR234" s="3">
        <f t="shared" si="132"/>
        <v>22</v>
      </c>
      <c r="AS234" s="8">
        <v>3</v>
      </c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M234" s="35" t="s">
        <v>12</v>
      </c>
      <c r="BO234" s="35"/>
      <c r="BR234" s="9" t="str">
        <f t="shared" si="107"/>
        <v/>
      </c>
      <c r="BS234" s="37" t="str">
        <f t="shared" si="108"/>
        <v/>
      </c>
      <c r="BT234" s="38" t="str">
        <f t="shared" ref="BT234:BT297" si="134">IF(BS234="","",BS234+(17*7))</f>
        <v/>
      </c>
      <c r="BU234" s="36" t="str">
        <f t="shared" si="109"/>
        <v/>
      </c>
    </row>
    <row r="235" spans="2:73" ht="15">
      <c r="B235" s="16">
        <f t="shared" si="110"/>
        <v>44718</v>
      </c>
      <c r="C235" s="15" t="s">
        <v>1</v>
      </c>
      <c r="D235" s="17">
        <f t="shared" si="111"/>
        <v>44724</v>
      </c>
      <c r="E235" s="18">
        <f t="shared" si="112"/>
        <v>6</v>
      </c>
      <c r="F235" s="19">
        <f t="shared" si="113"/>
        <v>2022</v>
      </c>
      <c r="G235" s="9">
        <f t="shared" si="133"/>
        <v>17</v>
      </c>
      <c r="H235" s="8">
        <f t="shared" si="133"/>
        <v>95</v>
      </c>
      <c r="I235" s="9"/>
      <c r="J235" s="9"/>
      <c r="K235" s="9"/>
      <c r="L235" s="9"/>
      <c r="M235" s="9"/>
      <c r="N235" s="9"/>
      <c r="O235" s="12"/>
      <c r="P235" s="12"/>
      <c r="Q235" s="12"/>
      <c r="R235" s="12"/>
      <c r="S235" s="12"/>
      <c r="T235" s="12"/>
      <c r="V235" s="20">
        <f t="shared" si="116"/>
        <v>8</v>
      </c>
      <c r="W235" s="20">
        <f t="shared" si="116"/>
        <v>13</v>
      </c>
      <c r="X235" s="20">
        <f t="shared" si="116"/>
        <v>0</v>
      </c>
      <c r="Y235" s="20">
        <f t="shared" si="116"/>
        <v>2</v>
      </c>
      <c r="Z235" s="20">
        <f t="shared" si="116"/>
        <v>0</v>
      </c>
      <c r="AA235" s="20">
        <f t="shared" si="116"/>
        <v>0</v>
      </c>
      <c r="AC235" s="3">
        <f t="shared" si="117"/>
        <v>18</v>
      </c>
      <c r="AD235" s="3">
        <f t="shared" si="118"/>
        <v>0</v>
      </c>
      <c r="AE235" s="3">
        <f t="shared" si="119"/>
        <v>95</v>
      </c>
      <c r="AF235" s="3">
        <f t="shared" si="120"/>
        <v>89</v>
      </c>
      <c r="AG235" s="3">
        <f t="shared" si="121"/>
        <v>84</v>
      </c>
      <c r="AH235" s="3">
        <f t="shared" si="122"/>
        <v>79</v>
      </c>
      <c r="AI235" s="3">
        <f t="shared" si="123"/>
        <v>74</v>
      </c>
      <c r="AJ235" s="3">
        <f t="shared" si="124"/>
        <v>67</v>
      </c>
      <c r="AK235" s="3">
        <f t="shared" si="125"/>
        <v>62</v>
      </c>
      <c r="AL235" s="3">
        <f t="shared" si="126"/>
        <v>57</v>
      </c>
      <c r="AM235" s="3">
        <f t="shared" si="127"/>
        <v>52</v>
      </c>
      <c r="AN235" s="3">
        <f t="shared" si="128"/>
        <v>45</v>
      </c>
      <c r="AO235" s="3">
        <f t="shared" si="129"/>
        <v>40</v>
      </c>
      <c r="AP235" s="3">
        <f t="shared" si="130"/>
        <v>35</v>
      </c>
      <c r="AQ235" s="3">
        <f t="shared" si="131"/>
        <v>30</v>
      </c>
      <c r="AR235" s="3">
        <f t="shared" si="132"/>
        <v>23</v>
      </c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L235">
        <v>12</v>
      </c>
      <c r="BM235" s="35">
        <v>44718</v>
      </c>
      <c r="BO235" s="35">
        <f>B252</f>
        <v>44837</v>
      </c>
      <c r="BP235">
        <v>98</v>
      </c>
      <c r="BR235" s="9" t="str">
        <f t="shared" si="107"/>
        <v/>
      </c>
      <c r="BS235" s="37" t="str">
        <f t="shared" si="108"/>
        <v/>
      </c>
      <c r="BT235" s="38" t="str">
        <f t="shared" si="134"/>
        <v/>
      </c>
      <c r="BU235" s="36" t="str">
        <f t="shared" si="109"/>
        <v/>
      </c>
    </row>
    <row r="236" spans="2:73" ht="15">
      <c r="B236" s="16">
        <f t="shared" si="110"/>
        <v>44725</v>
      </c>
      <c r="C236" s="15" t="s">
        <v>1</v>
      </c>
      <c r="D236" s="17">
        <f t="shared" si="111"/>
        <v>44731</v>
      </c>
      <c r="E236" s="18">
        <f t="shared" si="112"/>
        <v>6</v>
      </c>
      <c r="F236" s="19">
        <f t="shared" si="113"/>
        <v>2022</v>
      </c>
      <c r="G236" s="9">
        <f t="shared" si="133"/>
        <v>17</v>
      </c>
      <c r="H236" s="8">
        <f t="shared" si="133"/>
        <v>95</v>
      </c>
      <c r="I236" s="9"/>
      <c r="J236" s="9"/>
      <c r="K236" s="9"/>
      <c r="L236" s="9"/>
      <c r="M236" s="9"/>
      <c r="N236" s="9"/>
      <c r="O236" s="12"/>
      <c r="P236" s="12"/>
      <c r="Q236" s="12"/>
      <c r="R236" s="12"/>
      <c r="S236" s="12"/>
      <c r="T236" s="12"/>
      <c r="V236" s="20">
        <f t="shared" si="116"/>
        <v>9</v>
      </c>
      <c r="W236" s="20">
        <f t="shared" si="116"/>
        <v>14</v>
      </c>
      <c r="X236" s="20">
        <f t="shared" si="116"/>
        <v>0</v>
      </c>
      <c r="Y236" s="20">
        <f t="shared" si="116"/>
        <v>3</v>
      </c>
      <c r="Z236" s="20">
        <f t="shared" si="116"/>
        <v>0</v>
      </c>
      <c r="AA236" s="20">
        <f t="shared" si="116"/>
        <v>0</v>
      </c>
      <c r="AC236" s="3">
        <f t="shared" si="117"/>
        <v>19</v>
      </c>
      <c r="AD236" s="3">
        <f t="shared" si="118"/>
        <v>0</v>
      </c>
      <c r="AE236" s="3">
        <f t="shared" si="119"/>
        <v>0</v>
      </c>
      <c r="AF236" s="3">
        <f t="shared" si="120"/>
        <v>90</v>
      </c>
      <c r="AG236" s="3">
        <f t="shared" si="121"/>
        <v>85</v>
      </c>
      <c r="AH236" s="3">
        <f t="shared" si="122"/>
        <v>80</v>
      </c>
      <c r="AI236" s="3">
        <f t="shared" si="123"/>
        <v>75</v>
      </c>
      <c r="AJ236" s="3">
        <f t="shared" si="124"/>
        <v>68</v>
      </c>
      <c r="AK236" s="3">
        <f t="shared" si="125"/>
        <v>63</v>
      </c>
      <c r="AL236" s="3">
        <f t="shared" si="126"/>
        <v>58</v>
      </c>
      <c r="AM236" s="3">
        <f t="shared" si="127"/>
        <v>53</v>
      </c>
      <c r="AN236" s="3">
        <f t="shared" si="128"/>
        <v>46</v>
      </c>
      <c r="AO236" s="3">
        <f t="shared" si="129"/>
        <v>41</v>
      </c>
      <c r="AP236" s="3">
        <f t="shared" si="130"/>
        <v>36</v>
      </c>
      <c r="AQ236" s="3">
        <f t="shared" si="131"/>
        <v>31</v>
      </c>
      <c r="AR236" s="3">
        <f t="shared" si="132"/>
        <v>24</v>
      </c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M236" s="35" t="s">
        <v>12</v>
      </c>
      <c r="BO236" s="35"/>
      <c r="BR236" s="9" t="str">
        <f t="shared" si="107"/>
        <v/>
      </c>
      <c r="BS236" s="37" t="str">
        <f t="shared" si="108"/>
        <v/>
      </c>
      <c r="BT236" s="38" t="str">
        <f t="shared" si="134"/>
        <v/>
      </c>
      <c r="BU236" s="36" t="str">
        <f t="shared" si="109"/>
        <v/>
      </c>
    </row>
    <row r="237" spans="2:73" ht="15">
      <c r="B237" s="16">
        <f t="shared" si="110"/>
        <v>44732</v>
      </c>
      <c r="C237" s="15" t="s">
        <v>1</v>
      </c>
      <c r="D237" s="17">
        <f t="shared" si="111"/>
        <v>44738</v>
      </c>
      <c r="E237" s="18">
        <f t="shared" si="112"/>
        <v>6</v>
      </c>
      <c r="F237" s="19">
        <f t="shared" si="113"/>
        <v>2022</v>
      </c>
      <c r="G237" s="9">
        <f t="shared" si="133"/>
        <v>17</v>
      </c>
      <c r="H237" s="8">
        <f t="shared" si="133"/>
        <v>95</v>
      </c>
      <c r="I237" s="9"/>
      <c r="J237" s="9"/>
      <c r="K237" s="9"/>
      <c r="L237" s="9"/>
      <c r="M237" s="9"/>
      <c r="N237" s="9"/>
      <c r="O237" s="12"/>
      <c r="P237" s="12"/>
      <c r="Q237" s="12"/>
      <c r="R237" s="12"/>
      <c r="S237" s="12"/>
      <c r="T237" s="12"/>
      <c r="V237" s="20">
        <f t="shared" si="116"/>
        <v>10</v>
      </c>
      <c r="W237" s="20">
        <f t="shared" si="116"/>
        <v>15</v>
      </c>
      <c r="X237" s="20">
        <f t="shared" si="116"/>
        <v>0</v>
      </c>
      <c r="Y237" s="20">
        <f t="shared" si="116"/>
        <v>4</v>
      </c>
      <c r="Z237" s="20">
        <f t="shared" si="116"/>
        <v>0</v>
      </c>
      <c r="AA237" s="20">
        <f t="shared" si="116"/>
        <v>0</v>
      </c>
      <c r="AC237" s="3">
        <f t="shared" si="117"/>
        <v>20</v>
      </c>
      <c r="AD237" s="3">
        <f t="shared" si="118"/>
        <v>0</v>
      </c>
      <c r="AE237" s="3">
        <f t="shared" si="119"/>
        <v>0</v>
      </c>
      <c r="AF237" s="3">
        <f t="shared" si="120"/>
        <v>91</v>
      </c>
      <c r="AG237" s="3">
        <f t="shared" si="121"/>
        <v>86</v>
      </c>
      <c r="AH237" s="3">
        <f t="shared" si="122"/>
        <v>81</v>
      </c>
      <c r="AI237" s="3">
        <f t="shared" si="123"/>
        <v>76</v>
      </c>
      <c r="AJ237" s="3">
        <f t="shared" si="124"/>
        <v>69</v>
      </c>
      <c r="AK237" s="3">
        <f t="shared" si="125"/>
        <v>64</v>
      </c>
      <c r="AL237" s="3">
        <f t="shared" si="126"/>
        <v>59</v>
      </c>
      <c r="AM237" s="3">
        <f t="shared" si="127"/>
        <v>54</v>
      </c>
      <c r="AN237" s="3">
        <f t="shared" si="128"/>
        <v>47</v>
      </c>
      <c r="AO237" s="3">
        <f t="shared" si="129"/>
        <v>42</v>
      </c>
      <c r="AP237" s="3">
        <f t="shared" si="130"/>
        <v>37</v>
      </c>
      <c r="AQ237" s="3">
        <f t="shared" si="131"/>
        <v>32</v>
      </c>
      <c r="AR237" s="3">
        <f t="shared" si="132"/>
        <v>25</v>
      </c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M237" s="35" t="s">
        <v>12</v>
      </c>
      <c r="BO237" s="35"/>
      <c r="BR237" s="9" t="str">
        <f t="shared" si="107"/>
        <v/>
      </c>
      <c r="BS237" s="37" t="str">
        <f t="shared" si="108"/>
        <v/>
      </c>
      <c r="BT237" s="38" t="str">
        <f t="shared" si="134"/>
        <v/>
      </c>
      <c r="BU237" s="36" t="str">
        <f t="shared" si="109"/>
        <v/>
      </c>
    </row>
    <row r="238" spans="2:73" ht="15">
      <c r="B238" s="16">
        <f t="shared" si="110"/>
        <v>44739</v>
      </c>
      <c r="C238" s="15" t="s">
        <v>1</v>
      </c>
      <c r="D238" s="17">
        <f t="shared" si="111"/>
        <v>44745</v>
      </c>
      <c r="E238" s="18">
        <f t="shared" si="112"/>
        <v>6</v>
      </c>
      <c r="F238" s="19">
        <f t="shared" si="113"/>
        <v>2022</v>
      </c>
      <c r="G238" s="9">
        <f t="shared" si="133"/>
        <v>17</v>
      </c>
      <c r="H238" s="8">
        <f t="shared" si="133"/>
        <v>95</v>
      </c>
      <c r="I238" s="9"/>
      <c r="J238" s="9"/>
      <c r="K238" s="9"/>
      <c r="L238" s="9"/>
      <c r="M238" s="9"/>
      <c r="N238" s="9"/>
      <c r="O238" s="12"/>
      <c r="P238" s="12"/>
      <c r="Q238" s="12">
        <v>1</v>
      </c>
      <c r="R238" s="12"/>
      <c r="S238" s="12"/>
      <c r="T238" s="12"/>
      <c r="V238" s="20">
        <f t="shared" si="116"/>
        <v>11</v>
      </c>
      <c r="W238" s="20">
        <f t="shared" si="116"/>
        <v>16</v>
      </c>
      <c r="X238" s="20">
        <f t="shared" si="116"/>
        <v>44741</v>
      </c>
      <c r="Y238" s="20">
        <f t="shared" si="116"/>
        <v>5</v>
      </c>
      <c r="Z238" s="20">
        <f t="shared" si="116"/>
        <v>0</v>
      </c>
      <c r="AA238" s="20">
        <f t="shared" si="116"/>
        <v>0</v>
      </c>
      <c r="AC238" s="3">
        <f t="shared" si="117"/>
        <v>21</v>
      </c>
      <c r="AD238" s="3">
        <f t="shared" si="118"/>
        <v>0</v>
      </c>
      <c r="AE238" s="3">
        <f t="shared" si="119"/>
        <v>0</v>
      </c>
      <c r="AF238" s="3">
        <f t="shared" si="120"/>
        <v>92</v>
      </c>
      <c r="AG238" s="3">
        <f t="shared" si="121"/>
        <v>87</v>
      </c>
      <c r="AH238" s="3">
        <f t="shared" si="122"/>
        <v>82</v>
      </c>
      <c r="AI238" s="3">
        <f t="shared" si="123"/>
        <v>77</v>
      </c>
      <c r="AJ238" s="3">
        <f t="shared" si="124"/>
        <v>70</v>
      </c>
      <c r="AK238" s="3">
        <f t="shared" si="125"/>
        <v>65</v>
      </c>
      <c r="AL238" s="3">
        <f t="shared" si="126"/>
        <v>60</v>
      </c>
      <c r="AM238" s="3">
        <f t="shared" si="127"/>
        <v>55</v>
      </c>
      <c r="AN238" s="3">
        <f t="shared" si="128"/>
        <v>48</v>
      </c>
      <c r="AO238" s="3">
        <f t="shared" si="129"/>
        <v>43</v>
      </c>
      <c r="AP238" s="3">
        <f t="shared" si="130"/>
        <v>38</v>
      </c>
      <c r="AQ238" s="3">
        <f t="shared" si="131"/>
        <v>33</v>
      </c>
      <c r="AR238" s="3">
        <f t="shared" si="132"/>
        <v>26</v>
      </c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M238" s="35" t="s">
        <v>12</v>
      </c>
      <c r="BO238" s="35"/>
      <c r="BR238" s="9">
        <f t="shared" si="107"/>
        <v>3</v>
      </c>
      <c r="BS238" s="37">
        <f t="shared" si="108"/>
        <v>44741</v>
      </c>
      <c r="BT238" s="38">
        <f t="shared" si="134"/>
        <v>44860</v>
      </c>
      <c r="BU238" s="36">
        <f t="shared" si="109"/>
        <v>1</v>
      </c>
    </row>
    <row r="239" spans="2:73" ht="15">
      <c r="B239" s="16">
        <f t="shared" si="110"/>
        <v>44746</v>
      </c>
      <c r="C239" s="15" t="s">
        <v>1</v>
      </c>
      <c r="D239" s="17">
        <f t="shared" si="111"/>
        <v>44752</v>
      </c>
      <c r="E239" s="18">
        <f t="shared" si="112"/>
        <v>7</v>
      </c>
      <c r="F239" s="19">
        <f t="shared" si="113"/>
        <v>2022</v>
      </c>
      <c r="G239" s="9">
        <f t="shared" si="133"/>
        <v>17</v>
      </c>
      <c r="H239" s="8">
        <f t="shared" si="133"/>
        <v>95</v>
      </c>
      <c r="I239" s="9"/>
      <c r="J239" s="9"/>
      <c r="K239" s="9"/>
      <c r="L239" s="9"/>
      <c r="M239" s="9"/>
      <c r="N239" s="9"/>
      <c r="O239" s="12"/>
      <c r="P239" s="12"/>
      <c r="Q239" s="12"/>
      <c r="R239" s="12"/>
      <c r="S239" s="12"/>
      <c r="T239" s="12"/>
      <c r="V239" s="20">
        <f t="shared" si="116"/>
        <v>12</v>
      </c>
      <c r="W239" s="20">
        <f t="shared" si="116"/>
        <v>17</v>
      </c>
      <c r="X239" s="20">
        <f t="shared" si="116"/>
        <v>1</v>
      </c>
      <c r="Y239" s="20">
        <f t="shared" si="116"/>
        <v>6</v>
      </c>
      <c r="Z239" s="20">
        <f t="shared" si="116"/>
        <v>0</v>
      </c>
      <c r="AA239" s="20">
        <f t="shared" si="116"/>
        <v>0</v>
      </c>
      <c r="AC239" s="3">
        <f t="shared" si="117"/>
        <v>22</v>
      </c>
      <c r="AD239" s="3">
        <f t="shared" si="118"/>
        <v>17</v>
      </c>
      <c r="AE239" s="3">
        <f t="shared" si="119"/>
        <v>0</v>
      </c>
      <c r="AF239" s="3">
        <f t="shared" si="120"/>
        <v>93</v>
      </c>
      <c r="AG239" s="3">
        <f t="shared" si="121"/>
        <v>88</v>
      </c>
      <c r="AH239" s="3">
        <f t="shared" si="122"/>
        <v>83</v>
      </c>
      <c r="AI239" s="3">
        <f t="shared" si="123"/>
        <v>78</v>
      </c>
      <c r="AJ239" s="3">
        <f t="shared" si="124"/>
        <v>71</v>
      </c>
      <c r="AK239" s="3">
        <f t="shared" si="125"/>
        <v>66</v>
      </c>
      <c r="AL239" s="3">
        <f t="shared" si="126"/>
        <v>61</v>
      </c>
      <c r="AM239" s="3">
        <f t="shared" si="127"/>
        <v>56</v>
      </c>
      <c r="AN239" s="3">
        <f t="shared" si="128"/>
        <v>49</v>
      </c>
      <c r="AO239" s="3">
        <f t="shared" si="129"/>
        <v>44</v>
      </c>
      <c r="AP239" s="3">
        <f t="shared" si="130"/>
        <v>39</v>
      </c>
      <c r="AQ239" s="3">
        <f t="shared" si="131"/>
        <v>34</v>
      </c>
      <c r="AR239" s="3">
        <f t="shared" si="132"/>
        <v>27</v>
      </c>
      <c r="AS239" s="8"/>
      <c r="AT239" s="8">
        <v>2</v>
      </c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M239" s="35" t="s">
        <v>12</v>
      </c>
      <c r="BO239" s="35"/>
      <c r="BR239" s="9" t="str">
        <f t="shared" si="107"/>
        <v/>
      </c>
      <c r="BS239" s="37" t="str">
        <f t="shared" si="108"/>
        <v/>
      </c>
      <c r="BT239" s="38" t="str">
        <f t="shared" si="134"/>
        <v/>
      </c>
      <c r="BU239" s="36" t="str">
        <f t="shared" si="109"/>
        <v/>
      </c>
    </row>
    <row r="240" spans="2:73" ht="15">
      <c r="B240" s="16">
        <f t="shared" si="110"/>
        <v>44753</v>
      </c>
      <c r="C240" s="15" t="s">
        <v>1</v>
      </c>
      <c r="D240" s="17">
        <f t="shared" si="111"/>
        <v>44759</v>
      </c>
      <c r="E240" s="18">
        <f t="shared" si="112"/>
        <v>7</v>
      </c>
      <c r="F240" s="19">
        <f t="shared" si="113"/>
        <v>2022</v>
      </c>
      <c r="G240" s="9">
        <f t="shared" si="133"/>
        <v>17</v>
      </c>
      <c r="H240" s="8">
        <f t="shared" si="133"/>
        <v>95</v>
      </c>
      <c r="I240" s="9"/>
      <c r="J240" s="9"/>
      <c r="K240" s="9"/>
      <c r="L240" s="9"/>
      <c r="M240" s="9"/>
      <c r="N240" s="9"/>
      <c r="O240" s="12"/>
      <c r="P240" s="12"/>
      <c r="Q240" s="12"/>
      <c r="R240" s="12"/>
      <c r="S240" s="12"/>
      <c r="T240" s="12"/>
      <c r="V240" s="20">
        <f t="shared" si="116"/>
        <v>13</v>
      </c>
      <c r="W240" s="20">
        <f t="shared" si="116"/>
        <v>0</v>
      </c>
      <c r="X240" s="20">
        <f t="shared" si="116"/>
        <v>2</v>
      </c>
      <c r="Y240" s="20">
        <f t="shared" si="116"/>
        <v>7</v>
      </c>
      <c r="Z240" s="20">
        <f t="shared" si="116"/>
        <v>0</v>
      </c>
      <c r="AA240" s="20">
        <f t="shared" si="116"/>
        <v>0</v>
      </c>
      <c r="AC240" s="3">
        <f t="shared" si="117"/>
        <v>23</v>
      </c>
      <c r="AD240" s="3">
        <f t="shared" si="118"/>
        <v>18</v>
      </c>
      <c r="AE240" s="3">
        <f t="shared" si="119"/>
        <v>0</v>
      </c>
      <c r="AF240" s="3">
        <f t="shared" si="120"/>
        <v>94</v>
      </c>
      <c r="AG240" s="3">
        <f t="shared" si="121"/>
        <v>89</v>
      </c>
      <c r="AH240" s="3">
        <f t="shared" si="122"/>
        <v>84</v>
      </c>
      <c r="AI240" s="3">
        <f t="shared" si="123"/>
        <v>79</v>
      </c>
      <c r="AJ240" s="3">
        <f t="shared" si="124"/>
        <v>72</v>
      </c>
      <c r="AK240" s="3">
        <f t="shared" si="125"/>
        <v>67</v>
      </c>
      <c r="AL240" s="3">
        <f t="shared" si="126"/>
        <v>62</v>
      </c>
      <c r="AM240" s="3">
        <f t="shared" si="127"/>
        <v>57</v>
      </c>
      <c r="AN240" s="3">
        <f t="shared" si="128"/>
        <v>50</v>
      </c>
      <c r="AO240" s="3">
        <f t="shared" si="129"/>
        <v>45</v>
      </c>
      <c r="AP240" s="3">
        <f t="shared" si="130"/>
        <v>40</v>
      </c>
      <c r="AQ240" s="3">
        <f t="shared" si="131"/>
        <v>35</v>
      </c>
      <c r="AR240" s="3">
        <f t="shared" si="132"/>
        <v>28</v>
      </c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L240">
        <v>1</v>
      </c>
      <c r="BM240" s="35">
        <v>44753</v>
      </c>
      <c r="BO240" s="35">
        <f>B257</f>
        <v>44872</v>
      </c>
      <c r="BP240">
        <v>98</v>
      </c>
      <c r="BR240" s="9" t="str">
        <f t="shared" si="107"/>
        <v/>
      </c>
      <c r="BS240" s="37" t="str">
        <f t="shared" si="108"/>
        <v/>
      </c>
      <c r="BT240" s="38" t="str">
        <f t="shared" si="134"/>
        <v/>
      </c>
      <c r="BU240" s="36" t="str">
        <f t="shared" si="109"/>
        <v/>
      </c>
    </row>
    <row r="241" spans="2:73" ht="15">
      <c r="B241" s="16">
        <f t="shared" si="110"/>
        <v>44760</v>
      </c>
      <c r="C241" s="15" t="s">
        <v>1</v>
      </c>
      <c r="D241" s="17">
        <f t="shared" si="111"/>
        <v>44766</v>
      </c>
      <c r="E241" s="18">
        <f t="shared" si="112"/>
        <v>7</v>
      </c>
      <c r="F241" s="19">
        <f t="shared" si="113"/>
        <v>2022</v>
      </c>
      <c r="G241" s="9">
        <f t="shared" si="133"/>
        <v>17</v>
      </c>
      <c r="H241" s="8">
        <f t="shared" si="133"/>
        <v>95</v>
      </c>
      <c r="I241" s="9"/>
      <c r="J241" s="9"/>
      <c r="K241" s="9"/>
      <c r="L241" s="9"/>
      <c r="M241" s="9"/>
      <c r="N241" s="9"/>
      <c r="O241" s="12"/>
      <c r="P241" s="12"/>
      <c r="Q241" s="12"/>
      <c r="R241" s="12"/>
      <c r="S241" s="12"/>
      <c r="T241" s="12"/>
      <c r="V241" s="20">
        <f t="shared" si="116"/>
        <v>14</v>
      </c>
      <c r="W241" s="20">
        <f t="shared" si="116"/>
        <v>0</v>
      </c>
      <c r="X241" s="20">
        <f t="shared" si="116"/>
        <v>3</v>
      </c>
      <c r="Y241" s="20">
        <f t="shared" si="116"/>
        <v>8</v>
      </c>
      <c r="Z241" s="20">
        <f t="shared" si="116"/>
        <v>0</v>
      </c>
      <c r="AA241" s="20">
        <f t="shared" si="116"/>
        <v>0</v>
      </c>
      <c r="AC241" s="3">
        <f t="shared" si="117"/>
        <v>24</v>
      </c>
      <c r="AD241" s="3">
        <f t="shared" si="118"/>
        <v>19</v>
      </c>
      <c r="AE241" s="3">
        <f t="shared" si="119"/>
        <v>0</v>
      </c>
      <c r="AF241" s="3">
        <f t="shared" si="120"/>
        <v>95</v>
      </c>
      <c r="AG241" s="3">
        <f t="shared" si="121"/>
        <v>90</v>
      </c>
      <c r="AH241" s="3">
        <f t="shared" si="122"/>
        <v>85</v>
      </c>
      <c r="AI241" s="3">
        <f t="shared" si="123"/>
        <v>80</v>
      </c>
      <c r="AJ241" s="3">
        <f t="shared" si="124"/>
        <v>73</v>
      </c>
      <c r="AK241" s="3">
        <f t="shared" si="125"/>
        <v>68</v>
      </c>
      <c r="AL241" s="3">
        <f t="shared" si="126"/>
        <v>63</v>
      </c>
      <c r="AM241" s="3">
        <f t="shared" si="127"/>
        <v>58</v>
      </c>
      <c r="AN241" s="3">
        <f t="shared" si="128"/>
        <v>51</v>
      </c>
      <c r="AO241" s="3">
        <f t="shared" si="129"/>
        <v>46</v>
      </c>
      <c r="AP241" s="3">
        <f t="shared" si="130"/>
        <v>41</v>
      </c>
      <c r="AQ241" s="3">
        <f t="shared" si="131"/>
        <v>36</v>
      </c>
      <c r="AR241" s="3">
        <f t="shared" si="132"/>
        <v>29</v>
      </c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M241" s="35" t="s">
        <v>12</v>
      </c>
      <c r="BO241" s="35"/>
      <c r="BR241" s="9" t="str">
        <f t="shared" si="107"/>
        <v/>
      </c>
      <c r="BS241" s="37" t="str">
        <f t="shared" si="108"/>
        <v/>
      </c>
      <c r="BT241" s="38" t="str">
        <f t="shared" si="134"/>
        <v/>
      </c>
      <c r="BU241" s="36" t="str">
        <f t="shared" si="109"/>
        <v/>
      </c>
    </row>
    <row r="242" spans="2:73" ht="15">
      <c r="B242" s="16">
        <f t="shared" si="110"/>
        <v>44767</v>
      </c>
      <c r="C242" s="15" t="s">
        <v>1</v>
      </c>
      <c r="D242" s="17">
        <f t="shared" si="111"/>
        <v>44773</v>
      </c>
      <c r="E242" s="18">
        <f t="shared" si="112"/>
        <v>7</v>
      </c>
      <c r="F242" s="19">
        <f t="shared" si="113"/>
        <v>2022</v>
      </c>
      <c r="G242" s="9">
        <f t="shared" si="133"/>
        <v>17</v>
      </c>
      <c r="H242" s="8">
        <f t="shared" si="133"/>
        <v>95</v>
      </c>
      <c r="I242" s="9"/>
      <c r="J242" s="9"/>
      <c r="K242" s="9"/>
      <c r="L242" s="9"/>
      <c r="M242" s="9"/>
      <c r="N242" s="9"/>
      <c r="O242" s="12"/>
      <c r="P242" s="12"/>
      <c r="Q242" s="12"/>
      <c r="R242" s="12"/>
      <c r="S242" s="12"/>
      <c r="T242" s="12"/>
      <c r="V242" s="20">
        <f t="shared" si="116"/>
        <v>15</v>
      </c>
      <c r="W242" s="20">
        <f t="shared" si="116"/>
        <v>0</v>
      </c>
      <c r="X242" s="20">
        <f t="shared" si="116"/>
        <v>4</v>
      </c>
      <c r="Y242" s="20">
        <f t="shared" si="116"/>
        <v>9</v>
      </c>
      <c r="Z242" s="20">
        <f t="shared" si="116"/>
        <v>0</v>
      </c>
      <c r="AA242" s="20">
        <f t="shared" si="116"/>
        <v>0</v>
      </c>
      <c r="AC242" s="3">
        <f t="shared" si="117"/>
        <v>25</v>
      </c>
      <c r="AD242" s="3">
        <f t="shared" si="118"/>
        <v>20</v>
      </c>
      <c r="AE242" s="3">
        <f t="shared" si="119"/>
        <v>0</v>
      </c>
      <c r="AF242" s="3">
        <f t="shared" si="120"/>
        <v>0</v>
      </c>
      <c r="AG242" s="3">
        <f t="shared" si="121"/>
        <v>91</v>
      </c>
      <c r="AH242" s="3">
        <f t="shared" si="122"/>
        <v>86</v>
      </c>
      <c r="AI242" s="3">
        <f t="shared" si="123"/>
        <v>81</v>
      </c>
      <c r="AJ242" s="3">
        <f t="shared" si="124"/>
        <v>74</v>
      </c>
      <c r="AK242" s="3">
        <f t="shared" si="125"/>
        <v>69</v>
      </c>
      <c r="AL242" s="3">
        <f t="shared" si="126"/>
        <v>64</v>
      </c>
      <c r="AM242" s="3">
        <f t="shared" si="127"/>
        <v>59</v>
      </c>
      <c r="AN242" s="3">
        <f t="shared" si="128"/>
        <v>52</v>
      </c>
      <c r="AO242" s="3">
        <f t="shared" si="129"/>
        <v>47</v>
      </c>
      <c r="AP242" s="3">
        <f t="shared" si="130"/>
        <v>42</v>
      </c>
      <c r="AQ242" s="3">
        <f t="shared" si="131"/>
        <v>37</v>
      </c>
      <c r="AR242" s="3">
        <f t="shared" si="132"/>
        <v>30</v>
      </c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M242" s="35" t="s">
        <v>12</v>
      </c>
      <c r="BO242" s="35"/>
      <c r="BR242" s="9" t="str">
        <f t="shared" si="107"/>
        <v/>
      </c>
      <c r="BS242" s="37" t="str">
        <f t="shared" si="108"/>
        <v/>
      </c>
      <c r="BT242" s="38" t="str">
        <f t="shared" si="134"/>
        <v/>
      </c>
      <c r="BU242" s="36" t="str">
        <f t="shared" si="109"/>
        <v/>
      </c>
    </row>
    <row r="243" spans="2:73" ht="15">
      <c r="B243" s="16">
        <f t="shared" si="110"/>
        <v>44774</v>
      </c>
      <c r="C243" s="15" t="s">
        <v>1</v>
      </c>
      <c r="D243" s="17">
        <f t="shared" si="111"/>
        <v>44780</v>
      </c>
      <c r="E243" s="18">
        <f t="shared" si="112"/>
        <v>8</v>
      </c>
      <c r="F243" s="19">
        <f t="shared" si="113"/>
        <v>2022</v>
      </c>
      <c r="G243" s="9">
        <f t="shared" si="133"/>
        <v>17</v>
      </c>
      <c r="H243" s="8">
        <f t="shared" si="133"/>
        <v>95</v>
      </c>
      <c r="I243" s="9"/>
      <c r="J243" s="9"/>
      <c r="K243" s="9"/>
      <c r="L243" s="9"/>
      <c r="M243" s="9"/>
      <c r="N243" s="9"/>
      <c r="O243" s="12"/>
      <c r="P243" s="12">
        <v>1</v>
      </c>
      <c r="Q243" s="12"/>
      <c r="R243" s="12"/>
      <c r="S243" s="12"/>
      <c r="T243" s="12"/>
      <c r="V243" s="20">
        <f t="shared" si="116"/>
        <v>16</v>
      </c>
      <c r="W243" s="20">
        <f t="shared" si="116"/>
        <v>44776</v>
      </c>
      <c r="X243" s="20">
        <f t="shared" si="116"/>
        <v>5</v>
      </c>
      <c r="Y243" s="20">
        <f t="shared" si="116"/>
        <v>10</v>
      </c>
      <c r="Z243" s="20">
        <f t="shared" si="116"/>
        <v>0</v>
      </c>
      <c r="AA243" s="20">
        <f t="shared" si="116"/>
        <v>0</v>
      </c>
      <c r="AC243" s="3">
        <f t="shared" si="117"/>
        <v>26</v>
      </c>
      <c r="AD243" s="3">
        <f t="shared" si="118"/>
        <v>21</v>
      </c>
      <c r="AE243" s="3">
        <f t="shared" si="119"/>
        <v>0</v>
      </c>
      <c r="AF243" s="3">
        <f t="shared" si="120"/>
        <v>0</v>
      </c>
      <c r="AG243" s="3">
        <f t="shared" si="121"/>
        <v>92</v>
      </c>
      <c r="AH243" s="3">
        <f t="shared" si="122"/>
        <v>87</v>
      </c>
      <c r="AI243" s="3">
        <f t="shared" si="123"/>
        <v>82</v>
      </c>
      <c r="AJ243" s="3">
        <f t="shared" si="124"/>
        <v>75</v>
      </c>
      <c r="AK243" s="3">
        <f t="shared" si="125"/>
        <v>70</v>
      </c>
      <c r="AL243" s="3">
        <f t="shared" si="126"/>
        <v>65</v>
      </c>
      <c r="AM243" s="3">
        <f t="shared" si="127"/>
        <v>60</v>
      </c>
      <c r="AN243" s="3">
        <f t="shared" si="128"/>
        <v>53</v>
      </c>
      <c r="AO243" s="3">
        <f t="shared" si="129"/>
        <v>48</v>
      </c>
      <c r="AP243" s="3">
        <f t="shared" si="130"/>
        <v>43</v>
      </c>
      <c r="AQ243" s="3">
        <f t="shared" si="131"/>
        <v>38</v>
      </c>
      <c r="AR243" s="3">
        <f t="shared" si="132"/>
        <v>31</v>
      </c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M243" s="35" t="s">
        <v>12</v>
      </c>
      <c r="BO243" s="35"/>
      <c r="BR243" s="9">
        <f t="shared" si="107"/>
        <v>2</v>
      </c>
      <c r="BS243" s="37">
        <f t="shared" si="108"/>
        <v>44776</v>
      </c>
      <c r="BT243" s="38">
        <f t="shared" si="134"/>
        <v>44895</v>
      </c>
      <c r="BU243" s="36">
        <f t="shared" si="109"/>
        <v>6</v>
      </c>
    </row>
    <row r="244" spans="2:73" ht="15">
      <c r="B244" s="16">
        <f t="shared" si="110"/>
        <v>44781</v>
      </c>
      <c r="C244" s="15" t="s">
        <v>1</v>
      </c>
      <c r="D244" s="17">
        <f t="shared" si="111"/>
        <v>44787</v>
      </c>
      <c r="E244" s="18">
        <f t="shared" si="112"/>
        <v>8</v>
      </c>
      <c r="F244" s="19">
        <f t="shared" si="113"/>
        <v>2022</v>
      </c>
      <c r="G244" s="9">
        <f t="shared" si="133"/>
        <v>17</v>
      </c>
      <c r="H244" s="8">
        <f t="shared" si="133"/>
        <v>95</v>
      </c>
      <c r="I244" s="9"/>
      <c r="J244" s="9"/>
      <c r="K244" s="9"/>
      <c r="L244" s="9"/>
      <c r="M244" s="9"/>
      <c r="N244" s="9"/>
      <c r="O244" s="12"/>
      <c r="P244" s="12"/>
      <c r="Q244" s="12"/>
      <c r="R244" s="12"/>
      <c r="S244" s="12"/>
      <c r="T244" s="12"/>
      <c r="V244" s="20">
        <f t="shared" si="116"/>
        <v>17</v>
      </c>
      <c r="W244" s="20">
        <f t="shared" si="116"/>
        <v>1</v>
      </c>
      <c r="X244" s="20">
        <f t="shared" si="116"/>
        <v>6</v>
      </c>
      <c r="Y244" s="20">
        <f t="shared" si="116"/>
        <v>11</v>
      </c>
      <c r="Z244" s="20">
        <f t="shared" si="116"/>
        <v>0</v>
      </c>
      <c r="AA244" s="20">
        <f t="shared" si="116"/>
        <v>0</v>
      </c>
      <c r="AC244" s="3">
        <f t="shared" si="117"/>
        <v>27</v>
      </c>
      <c r="AD244" s="3">
        <f t="shared" si="118"/>
        <v>22</v>
      </c>
      <c r="AE244" s="3">
        <f t="shared" si="119"/>
        <v>17</v>
      </c>
      <c r="AF244" s="3">
        <f t="shared" si="120"/>
        <v>0</v>
      </c>
      <c r="AG244" s="3">
        <f t="shared" si="121"/>
        <v>93</v>
      </c>
      <c r="AH244" s="3">
        <f t="shared" si="122"/>
        <v>88</v>
      </c>
      <c r="AI244" s="3">
        <f t="shared" si="123"/>
        <v>83</v>
      </c>
      <c r="AJ244" s="3">
        <f t="shared" si="124"/>
        <v>76</v>
      </c>
      <c r="AK244" s="3">
        <f t="shared" si="125"/>
        <v>71</v>
      </c>
      <c r="AL244" s="3">
        <f t="shared" si="126"/>
        <v>66</v>
      </c>
      <c r="AM244" s="3">
        <f t="shared" si="127"/>
        <v>61</v>
      </c>
      <c r="AN244" s="3">
        <f t="shared" si="128"/>
        <v>54</v>
      </c>
      <c r="AO244" s="3">
        <f t="shared" si="129"/>
        <v>49</v>
      </c>
      <c r="AP244" s="3">
        <f t="shared" si="130"/>
        <v>44</v>
      </c>
      <c r="AQ244" s="3">
        <f t="shared" si="131"/>
        <v>39</v>
      </c>
      <c r="AR244" s="3">
        <f t="shared" si="132"/>
        <v>32</v>
      </c>
      <c r="AS244" s="8"/>
      <c r="AT244" s="8"/>
      <c r="AU244" s="8">
        <v>1</v>
      </c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M244" s="35" t="s">
        <v>12</v>
      </c>
      <c r="BO244" s="35"/>
      <c r="BR244" s="9" t="str">
        <f t="shared" si="107"/>
        <v/>
      </c>
      <c r="BS244" s="37" t="str">
        <f t="shared" si="108"/>
        <v/>
      </c>
      <c r="BT244" s="38" t="str">
        <f t="shared" si="134"/>
        <v/>
      </c>
      <c r="BU244" s="36" t="str">
        <f t="shared" si="109"/>
        <v/>
      </c>
    </row>
    <row r="245" spans="2:73" ht="15">
      <c r="B245" s="16">
        <f t="shared" si="110"/>
        <v>44788</v>
      </c>
      <c r="C245" s="15" t="s">
        <v>1</v>
      </c>
      <c r="D245" s="17">
        <f t="shared" si="111"/>
        <v>44794</v>
      </c>
      <c r="E245" s="18">
        <f t="shared" si="112"/>
        <v>8</v>
      </c>
      <c r="F245" s="19">
        <f t="shared" si="113"/>
        <v>2022</v>
      </c>
      <c r="G245" s="9">
        <f t="shared" si="133"/>
        <v>17</v>
      </c>
      <c r="H245" s="8">
        <f t="shared" si="133"/>
        <v>95</v>
      </c>
      <c r="I245" s="9"/>
      <c r="J245" s="9"/>
      <c r="K245" s="9"/>
      <c r="L245" s="9"/>
      <c r="M245" s="9"/>
      <c r="N245" s="9"/>
      <c r="O245" s="12"/>
      <c r="P245" s="12"/>
      <c r="Q245" s="12"/>
      <c r="R245" s="12"/>
      <c r="S245" s="12"/>
      <c r="T245" s="12"/>
      <c r="V245" s="20">
        <f t="shared" si="116"/>
        <v>0</v>
      </c>
      <c r="W245" s="20">
        <f t="shared" si="116"/>
        <v>2</v>
      </c>
      <c r="X245" s="20">
        <f t="shared" si="116"/>
        <v>7</v>
      </c>
      <c r="Y245" s="20">
        <f t="shared" si="116"/>
        <v>12</v>
      </c>
      <c r="Z245" s="20">
        <f t="shared" si="116"/>
        <v>0</v>
      </c>
      <c r="AA245" s="20">
        <f t="shared" si="116"/>
        <v>0</v>
      </c>
      <c r="AC245" s="3">
        <f t="shared" si="117"/>
        <v>28</v>
      </c>
      <c r="AD245" s="3">
        <f t="shared" si="118"/>
        <v>23</v>
      </c>
      <c r="AE245" s="3">
        <f t="shared" si="119"/>
        <v>18</v>
      </c>
      <c r="AF245" s="3">
        <f t="shared" si="120"/>
        <v>0</v>
      </c>
      <c r="AG245" s="3">
        <f t="shared" si="121"/>
        <v>94</v>
      </c>
      <c r="AH245" s="3">
        <f t="shared" si="122"/>
        <v>89</v>
      </c>
      <c r="AI245" s="3">
        <f t="shared" si="123"/>
        <v>84</v>
      </c>
      <c r="AJ245" s="3">
        <f t="shared" si="124"/>
        <v>77</v>
      </c>
      <c r="AK245" s="3">
        <f t="shared" si="125"/>
        <v>72</v>
      </c>
      <c r="AL245" s="3">
        <f t="shared" si="126"/>
        <v>67</v>
      </c>
      <c r="AM245" s="3">
        <f t="shared" si="127"/>
        <v>62</v>
      </c>
      <c r="AN245" s="3">
        <f t="shared" si="128"/>
        <v>55</v>
      </c>
      <c r="AO245" s="3">
        <f t="shared" si="129"/>
        <v>50</v>
      </c>
      <c r="AP245" s="3">
        <f t="shared" si="130"/>
        <v>45</v>
      </c>
      <c r="AQ245" s="3">
        <f t="shared" si="131"/>
        <v>40</v>
      </c>
      <c r="AR245" s="3">
        <f t="shared" si="132"/>
        <v>33</v>
      </c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L245">
        <v>6</v>
      </c>
      <c r="BM245" s="35">
        <v>44788</v>
      </c>
      <c r="BO245" s="35">
        <f>B262</f>
        <v>44907</v>
      </c>
      <c r="BP245">
        <v>98</v>
      </c>
      <c r="BR245" s="9" t="str">
        <f t="shared" si="107"/>
        <v/>
      </c>
      <c r="BS245" s="37" t="str">
        <f t="shared" si="108"/>
        <v/>
      </c>
      <c r="BT245" s="38" t="str">
        <f t="shared" si="134"/>
        <v/>
      </c>
      <c r="BU245" s="36" t="str">
        <f t="shared" si="109"/>
        <v/>
      </c>
    </row>
    <row r="246" spans="2:73" ht="15">
      <c r="B246" s="16">
        <f t="shared" si="110"/>
        <v>44795</v>
      </c>
      <c r="C246" s="15" t="s">
        <v>1</v>
      </c>
      <c r="D246" s="17">
        <f t="shared" si="111"/>
        <v>44801</v>
      </c>
      <c r="E246" s="18">
        <f t="shared" si="112"/>
        <v>8</v>
      </c>
      <c r="F246" s="19">
        <f t="shared" si="113"/>
        <v>2022</v>
      </c>
      <c r="G246" s="9">
        <f t="shared" ref="G246:H261" si="135">G245</f>
        <v>17</v>
      </c>
      <c r="H246" s="8">
        <f t="shared" si="135"/>
        <v>95</v>
      </c>
      <c r="I246" s="9"/>
      <c r="J246" s="9"/>
      <c r="K246" s="9"/>
      <c r="L246" s="9"/>
      <c r="M246" s="9"/>
      <c r="N246" s="9"/>
      <c r="O246" s="12"/>
      <c r="P246" s="12"/>
      <c r="Q246" s="12"/>
      <c r="R246" s="12"/>
      <c r="S246" s="12"/>
      <c r="T246" s="12"/>
      <c r="V246" s="20">
        <f t="shared" si="116"/>
        <v>0</v>
      </c>
      <c r="W246" s="20">
        <f t="shared" si="116"/>
        <v>3</v>
      </c>
      <c r="X246" s="20">
        <f t="shared" si="116"/>
        <v>8</v>
      </c>
      <c r="Y246" s="20">
        <f t="shared" si="116"/>
        <v>13</v>
      </c>
      <c r="Z246" s="20">
        <f t="shared" si="116"/>
        <v>0</v>
      </c>
      <c r="AA246" s="20">
        <f t="shared" si="116"/>
        <v>0</v>
      </c>
      <c r="AC246" s="3">
        <f t="shared" si="117"/>
        <v>29</v>
      </c>
      <c r="AD246" s="3">
        <f t="shared" si="118"/>
        <v>24</v>
      </c>
      <c r="AE246" s="3">
        <f t="shared" si="119"/>
        <v>19</v>
      </c>
      <c r="AF246" s="3">
        <f t="shared" si="120"/>
        <v>0</v>
      </c>
      <c r="AG246" s="3">
        <f t="shared" si="121"/>
        <v>95</v>
      </c>
      <c r="AH246" s="3">
        <f t="shared" si="122"/>
        <v>90</v>
      </c>
      <c r="AI246" s="3">
        <f t="shared" si="123"/>
        <v>85</v>
      </c>
      <c r="AJ246" s="3">
        <f t="shared" si="124"/>
        <v>78</v>
      </c>
      <c r="AK246" s="3">
        <f t="shared" si="125"/>
        <v>73</v>
      </c>
      <c r="AL246" s="3">
        <f t="shared" si="126"/>
        <v>68</v>
      </c>
      <c r="AM246" s="3">
        <f t="shared" si="127"/>
        <v>63</v>
      </c>
      <c r="AN246" s="3">
        <f t="shared" si="128"/>
        <v>56</v>
      </c>
      <c r="AO246" s="3">
        <f t="shared" si="129"/>
        <v>51</v>
      </c>
      <c r="AP246" s="3">
        <f t="shared" si="130"/>
        <v>46</v>
      </c>
      <c r="AQ246" s="3">
        <f t="shared" si="131"/>
        <v>41</v>
      </c>
      <c r="AR246" s="3">
        <f t="shared" si="132"/>
        <v>34</v>
      </c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M246" s="35" t="s">
        <v>12</v>
      </c>
      <c r="BO246" s="35"/>
      <c r="BR246" s="9" t="str">
        <f t="shared" si="107"/>
        <v/>
      </c>
      <c r="BS246" s="37" t="str">
        <f t="shared" si="108"/>
        <v/>
      </c>
      <c r="BT246" s="38" t="str">
        <f t="shared" si="134"/>
        <v/>
      </c>
      <c r="BU246" s="36" t="str">
        <f t="shared" si="109"/>
        <v/>
      </c>
    </row>
    <row r="247" spans="2:73" ht="15">
      <c r="B247" s="16">
        <f t="shared" si="110"/>
        <v>44802</v>
      </c>
      <c r="C247" s="15" t="s">
        <v>1</v>
      </c>
      <c r="D247" s="17">
        <f t="shared" si="111"/>
        <v>44808</v>
      </c>
      <c r="E247" s="18">
        <f t="shared" si="112"/>
        <v>8</v>
      </c>
      <c r="F247" s="19">
        <f t="shared" si="113"/>
        <v>2022</v>
      </c>
      <c r="G247" s="9">
        <f t="shared" si="135"/>
        <v>17</v>
      </c>
      <c r="H247" s="8">
        <f t="shared" si="135"/>
        <v>95</v>
      </c>
      <c r="I247" s="9"/>
      <c r="J247" s="9"/>
      <c r="K247" s="9"/>
      <c r="L247" s="9"/>
      <c r="M247" s="9"/>
      <c r="N247" s="9"/>
      <c r="O247" s="12"/>
      <c r="P247" s="12"/>
      <c r="Q247" s="12"/>
      <c r="R247" s="12"/>
      <c r="S247" s="12"/>
      <c r="T247" s="12"/>
      <c r="V247" s="20">
        <f t="shared" si="116"/>
        <v>0</v>
      </c>
      <c r="W247" s="20">
        <f t="shared" si="116"/>
        <v>4</v>
      </c>
      <c r="X247" s="20">
        <f t="shared" si="116"/>
        <v>9</v>
      </c>
      <c r="Y247" s="20">
        <f t="shared" si="116"/>
        <v>14</v>
      </c>
      <c r="Z247" s="20">
        <f t="shared" si="116"/>
        <v>0</v>
      </c>
      <c r="AA247" s="20">
        <f t="shared" si="116"/>
        <v>0</v>
      </c>
      <c r="AC247" s="3">
        <f t="shared" si="117"/>
        <v>30</v>
      </c>
      <c r="AD247" s="3">
        <f t="shared" si="118"/>
        <v>25</v>
      </c>
      <c r="AE247" s="3">
        <f t="shared" si="119"/>
        <v>20</v>
      </c>
      <c r="AF247" s="3">
        <f t="shared" si="120"/>
        <v>0</v>
      </c>
      <c r="AG247" s="3">
        <f t="shared" si="121"/>
        <v>0</v>
      </c>
      <c r="AH247" s="3">
        <f t="shared" si="122"/>
        <v>91</v>
      </c>
      <c r="AI247" s="3">
        <f t="shared" si="123"/>
        <v>86</v>
      </c>
      <c r="AJ247" s="3">
        <f t="shared" si="124"/>
        <v>79</v>
      </c>
      <c r="AK247" s="3">
        <f t="shared" si="125"/>
        <v>74</v>
      </c>
      <c r="AL247" s="3">
        <f t="shared" si="126"/>
        <v>69</v>
      </c>
      <c r="AM247" s="3">
        <f t="shared" si="127"/>
        <v>64</v>
      </c>
      <c r="AN247" s="3">
        <f t="shared" si="128"/>
        <v>57</v>
      </c>
      <c r="AO247" s="3">
        <f t="shared" si="129"/>
        <v>52</v>
      </c>
      <c r="AP247" s="3">
        <f t="shared" si="130"/>
        <v>47</v>
      </c>
      <c r="AQ247" s="3">
        <f t="shared" si="131"/>
        <v>42</v>
      </c>
      <c r="AR247" s="3">
        <f t="shared" si="132"/>
        <v>35</v>
      </c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M247" s="35" t="s">
        <v>12</v>
      </c>
      <c r="BO247" s="35"/>
      <c r="BR247" s="9" t="str">
        <f t="shared" si="107"/>
        <v/>
      </c>
      <c r="BS247" s="37" t="str">
        <f t="shared" si="108"/>
        <v/>
      </c>
      <c r="BT247" s="38" t="str">
        <f t="shared" si="134"/>
        <v/>
      </c>
      <c r="BU247" s="36" t="str">
        <f t="shared" si="109"/>
        <v/>
      </c>
    </row>
    <row r="248" spans="2:73" ht="15">
      <c r="B248" s="16">
        <f t="shared" si="110"/>
        <v>44809</v>
      </c>
      <c r="C248" s="15" t="s">
        <v>1</v>
      </c>
      <c r="D248" s="17">
        <f t="shared" si="111"/>
        <v>44815</v>
      </c>
      <c r="E248" s="18">
        <f t="shared" si="112"/>
        <v>9</v>
      </c>
      <c r="F248" s="19">
        <f t="shared" si="113"/>
        <v>2022</v>
      </c>
      <c r="G248" s="9">
        <f t="shared" si="135"/>
        <v>17</v>
      </c>
      <c r="H248" s="8">
        <f t="shared" si="135"/>
        <v>95</v>
      </c>
      <c r="I248" s="9"/>
      <c r="J248" s="9"/>
      <c r="K248" s="9"/>
      <c r="L248" s="9"/>
      <c r="M248" s="9"/>
      <c r="N248" s="9"/>
      <c r="O248" s="12">
        <v>1</v>
      </c>
      <c r="P248" s="12"/>
      <c r="Q248" s="12"/>
      <c r="R248" s="12"/>
      <c r="S248" s="12"/>
      <c r="T248" s="12"/>
      <c r="V248" s="20">
        <f t="shared" si="116"/>
        <v>44811</v>
      </c>
      <c r="W248" s="20">
        <f t="shared" si="116"/>
        <v>5</v>
      </c>
      <c r="X248" s="20">
        <f t="shared" si="116"/>
        <v>10</v>
      </c>
      <c r="Y248" s="20">
        <f t="shared" si="116"/>
        <v>15</v>
      </c>
      <c r="Z248" s="20">
        <f t="shared" si="116"/>
        <v>0</v>
      </c>
      <c r="AA248" s="20">
        <f t="shared" si="116"/>
        <v>0</v>
      </c>
      <c r="AC248" s="3">
        <f t="shared" si="117"/>
        <v>31</v>
      </c>
      <c r="AD248" s="3">
        <f t="shared" si="118"/>
        <v>26</v>
      </c>
      <c r="AE248" s="3">
        <f t="shared" si="119"/>
        <v>21</v>
      </c>
      <c r="AF248" s="3">
        <f t="shared" si="120"/>
        <v>0</v>
      </c>
      <c r="AG248" s="3">
        <f t="shared" si="121"/>
        <v>0</v>
      </c>
      <c r="AH248" s="3">
        <f t="shared" si="122"/>
        <v>92</v>
      </c>
      <c r="AI248" s="3">
        <f t="shared" si="123"/>
        <v>87</v>
      </c>
      <c r="AJ248" s="3">
        <f t="shared" si="124"/>
        <v>80</v>
      </c>
      <c r="AK248" s="3">
        <f t="shared" si="125"/>
        <v>75</v>
      </c>
      <c r="AL248" s="3">
        <f t="shared" si="126"/>
        <v>70</v>
      </c>
      <c r="AM248" s="3">
        <f t="shared" si="127"/>
        <v>65</v>
      </c>
      <c r="AN248" s="3">
        <f t="shared" si="128"/>
        <v>58</v>
      </c>
      <c r="AO248" s="3">
        <f t="shared" si="129"/>
        <v>53</v>
      </c>
      <c r="AP248" s="3">
        <f t="shared" si="130"/>
        <v>48</v>
      </c>
      <c r="AQ248" s="3">
        <f t="shared" si="131"/>
        <v>43</v>
      </c>
      <c r="AR248" s="3">
        <f t="shared" si="132"/>
        <v>36</v>
      </c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M248" s="35" t="s">
        <v>12</v>
      </c>
      <c r="BO248" s="35"/>
      <c r="BR248" s="9">
        <f t="shared" si="107"/>
        <v>1</v>
      </c>
      <c r="BS248" s="37">
        <f t="shared" si="108"/>
        <v>44811</v>
      </c>
      <c r="BT248" s="38">
        <f t="shared" si="134"/>
        <v>44930</v>
      </c>
      <c r="BU248" s="36">
        <f t="shared" si="109"/>
        <v>2</v>
      </c>
    </row>
    <row r="249" spans="2:73" ht="15">
      <c r="B249" s="16">
        <f t="shared" si="110"/>
        <v>44816</v>
      </c>
      <c r="C249" s="15" t="s">
        <v>1</v>
      </c>
      <c r="D249" s="17">
        <f t="shared" si="111"/>
        <v>44822</v>
      </c>
      <c r="E249" s="18">
        <f t="shared" si="112"/>
        <v>9</v>
      </c>
      <c r="F249" s="19">
        <f t="shared" si="113"/>
        <v>2022</v>
      </c>
      <c r="G249" s="9">
        <f t="shared" si="135"/>
        <v>17</v>
      </c>
      <c r="H249" s="8">
        <f t="shared" si="135"/>
        <v>95</v>
      </c>
      <c r="I249" s="9"/>
      <c r="J249" s="9"/>
      <c r="K249" s="9"/>
      <c r="L249" s="9"/>
      <c r="M249" s="9"/>
      <c r="N249" s="9"/>
      <c r="O249" s="12"/>
      <c r="P249" s="12"/>
      <c r="Q249" s="12"/>
      <c r="R249" s="12"/>
      <c r="S249" s="12"/>
      <c r="T249" s="12"/>
      <c r="V249" s="20">
        <f t="shared" si="116"/>
        <v>1</v>
      </c>
      <c r="W249" s="20">
        <f t="shared" si="116"/>
        <v>6</v>
      </c>
      <c r="X249" s="20">
        <f t="shared" si="116"/>
        <v>11</v>
      </c>
      <c r="Y249" s="20">
        <f t="shared" si="116"/>
        <v>16</v>
      </c>
      <c r="Z249" s="20">
        <f t="shared" si="116"/>
        <v>0</v>
      </c>
      <c r="AA249" s="20">
        <f t="shared" si="116"/>
        <v>0</v>
      </c>
      <c r="AC249" s="3">
        <f t="shared" si="117"/>
        <v>32</v>
      </c>
      <c r="AD249" s="3">
        <f t="shared" si="118"/>
        <v>27</v>
      </c>
      <c r="AE249" s="3">
        <f t="shared" si="119"/>
        <v>22</v>
      </c>
      <c r="AF249" s="3">
        <f t="shared" si="120"/>
        <v>0</v>
      </c>
      <c r="AG249" s="3">
        <f t="shared" si="121"/>
        <v>0</v>
      </c>
      <c r="AH249" s="3">
        <f t="shared" si="122"/>
        <v>93</v>
      </c>
      <c r="AI249" s="3">
        <f t="shared" si="123"/>
        <v>88</v>
      </c>
      <c r="AJ249" s="3">
        <f t="shared" si="124"/>
        <v>81</v>
      </c>
      <c r="AK249" s="3">
        <f t="shared" si="125"/>
        <v>76</v>
      </c>
      <c r="AL249" s="3">
        <f t="shared" si="126"/>
        <v>71</v>
      </c>
      <c r="AM249" s="3">
        <f t="shared" si="127"/>
        <v>66</v>
      </c>
      <c r="AN249" s="3">
        <f t="shared" si="128"/>
        <v>59</v>
      </c>
      <c r="AO249" s="3">
        <f t="shared" si="129"/>
        <v>54</v>
      </c>
      <c r="AP249" s="3">
        <f t="shared" si="130"/>
        <v>49</v>
      </c>
      <c r="AQ249" s="3">
        <f t="shared" si="131"/>
        <v>44</v>
      </c>
      <c r="AR249" s="3">
        <f t="shared" si="132"/>
        <v>37</v>
      </c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M249" s="35" t="s">
        <v>12</v>
      </c>
      <c r="BO249" s="35"/>
      <c r="BR249" s="9" t="str">
        <f t="shared" si="107"/>
        <v/>
      </c>
      <c r="BS249" s="37" t="str">
        <f t="shared" si="108"/>
        <v/>
      </c>
      <c r="BT249" s="38" t="str">
        <f t="shared" si="134"/>
        <v/>
      </c>
      <c r="BU249" s="36" t="str">
        <f t="shared" si="109"/>
        <v/>
      </c>
    </row>
    <row r="250" spans="2:73" ht="15">
      <c r="B250" s="16">
        <f t="shared" si="110"/>
        <v>44823</v>
      </c>
      <c r="C250" s="15" t="s">
        <v>1</v>
      </c>
      <c r="D250" s="17">
        <f t="shared" si="111"/>
        <v>44829</v>
      </c>
      <c r="E250" s="18">
        <f t="shared" si="112"/>
        <v>9</v>
      </c>
      <c r="F250" s="19">
        <f t="shared" si="113"/>
        <v>2022</v>
      </c>
      <c r="G250" s="9">
        <f t="shared" si="135"/>
        <v>17</v>
      </c>
      <c r="H250" s="8">
        <f t="shared" si="135"/>
        <v>95</v>
      </c>
      <c r="I250" s="9"/>
      <c r="J250" s="9"/>
      <c r="K250" s="9"/>
      <c r="L250" s="9"/>
      <c r="M250" s="9"/>
      <c r="N250" s="9"/>
      <c r="O250" s="12"/>
      <c r="P250" s="12"/>
      <c r="Q250" s="12"/>
      <c r="R250" s="12"/>
      <c r="S250" s="12"/>
      <c r="T250" s="12"/>
      <c r="V250" s="20">
        <f t="shared" si="116"/>
        <v>2</v>
      </c>
      <c r="W250" s="20">
        <f t="shared" si="116"/>
        <v>7</v>
      </c>
      <c r="X250" s="20">
        <f t="shared" si="116"/>
        <v>12</v>
      </c>
      <c r="Y250" s="20">
        <f t="shared" si="116"/>
        <v>17</v>
      </c>
      <c r="Z250" s="20">
        <f t="shared" si="116"/>
        <v>0</v>
      </c>
      <c r="AA250" s="20">
        <f t="shared" si="116"/>
        <v>0</v>
      </c>
      <c r="AC250" s="3">
        <f t="shared" si="117"/>
        <v>33</v>
      </c>
      <c r="AD250" s="3">
        <f t="shared" si="118"/>
        <v>28</v>
      </c>
      <c r="AE250" s="3">
        <f t="shared" si="119"/>
        <v>23</v>
      </c>
      <c r="AF250" s="3">
        <f t="shared" si="120"/>
        <v>17</v>
      </c>
      <c r="AG250" s="3">
        <f t="shared" si="121"/>
        <v>0</v>
      </c>
      <c r="AH250" s="3">
        <f t="shared" si="122"/>
        <v>94</v>
      </c>
      <c r="AI250" s="3">
        <f t="shared" si="123"/>
        <v>89</v>
      </c>
      <c r="AJ250" s="3">
        <f t="shared" si="124"/>
        <v>82</v>
      </c>
      <c r="AK250" s="3">
        <f t="shared" si="125"/>
        <v>77</v>
      </c>
      <c r="AL250" s="3">
        <f t="shared" si="126"/>
        <v>72</v>
      </c>
      <c r="AM250" s="3">
        <f t="shared" si="127"/>
        <v>67</v>
      </c>
      <c r="AN250" s="3">
        <f t="shared" si="128"/>
        <v>60</v>
      </c>
      <c r="AO250" s="3">
        <f t="shared" si="129"/>
        <v>55</v>
      </c>
      <c r="AP250" s="3">
        <f t="shared" si="130"/>
        <v>50</v>
      </c>
      <c r="AQ250" s="3">
        <f t="shared" si="131"/>
        <v>45</v>
      </c>
      <c r="AR250" s="3">
        <f t="shared" si="132"/>
        <v>38</v>
      </c>
      <c r="AS250" s="8"/>
      <c r="AT250" s="8"/>
      <c r="AU250" s="8"/>
      <c r="AV250" s="8">
        <v>4</v>
      </c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L250">
        <v>2</v>
      </c>
      <c r="BM250" s="35">
        <v>44823</v>
      </c>
      <c r="BO250" s="35">
        <f>B267</f>
        <v>44942</v>
      </c>
      <c r="BP250">
        <v>98</v>
      </c>
      <c r="BR250" s="9" t="str">
        <f t="shared" si="107"/>
        <v/>
      </c>
      <c r="BS250" s="37" t="str">
        <f t="shared" si="108"/>
        <v/>
      </c>
      <c r="BT250" s="38" t="str">
        <f t="shared" si="134"/>
        <v/>
      </c>
      <c r="BU250" s="36" t="str">
        <f t="shared" si="109"/>
        <v/>
      </c>
    </row>
    <row r="251" spans="2:73" ht="15">
      <c r="B251" s="16">
        <f t="shared" si="110"/>
        <v>44830</v>
      </c>
      <c r="C251" s="15" t="s">
        <v>1</v>
      </c>
      <c r="D251" s="17">
        <f t="shared" si="111"/>
        <v>44836</v>
      </c>
      <c r="E251" s="18">
        <f t="shared" si="112"/>
        <v>9</v>
      </c>
      <c r="F251" s="19">
        <f t="shared" si="113"/>
        <v>2022</v>
      </c>
      <c r="G251" s="9">
        <f t="shared" si="135"/>
        <v>17</v>
      </c>
      <c r="H251" s="8">
        <f t="shared" si="135"/>
        <v>95</v>
      </c>
      <c r="I251" s="9"/>
      <c r="J251" s="9"/>
      <c r="K251" s="9"/>
      <c r="L251" s="9"/>
      <c r="M251" s="9"/>
      <c r="N251" s="9"/>
      <c r="O251" s="12"/>
      <c r="P251" s="12"/>
      <c r="Q251" s="12"/>
      <c r="R251" s="12"/>
      <c r="S251" s="12"/>
      <c r="T251" s="12"/>
      <c r="V251" s="20">
        <f t="shared" si="116"/>
        <v>3</v>
      </c>
      <c r="W251" s="20">
        <f t="shared" si="116"/>
        <v>8</v>
      </c>
      <c r="X251" s="20">
        <f t="shared" si="116"/>
        <v>13</v>
      </c>
      <c r="Y251" s="20">
        <f t="shared" si="116"/>
        <v>0</v>
      </c>
      <c r="Z251" s="20">
        <f t="shared" si="116"/>
        <v>0</v>
      </c>
      <c r="AA251" s="20">
        <f t="shared" si="116"/>
        <v>0</v>
      </c>
      <c r="AC251" s="3">
        <f t="shared" si="117"/>
        <v>34</v>
      </c>
      <c r="AD251" s="3">
        <f t="shared" si="118"/>
        <v>29</v>
      </c>
      <c r="AE251" s="3">
        <f t="shared" si="119"/>
        <v>24</v>
      </c>
      <c r="AF251" s="3">
        <f t="shared" si="120"/>
        <v>18</v>
      </c>
      <c r="AG251" s="3">
        <f t="shared" si="121"/>
        <v>0</v>
      </c>
      <c r="AH251" s="3">
        <f t="shared" si="122"/>
        <v>95</v>
      </c>
      <c r="AI251" s="3">
        <f t="shared" si="123"/>
        <v>90</v>
      </c>
      <c r="AJ251" s="3">
        <f t="shared" si="124"/>
        <v>83</v>
      </c>
      <c r="AK251" s="3">
        <f t="shared" si="125"/>
        <v>78</v>
      </c>
      <c r="AL251" s="3">
        <f t="shared" si="126"/>
        <v>73</v>
      </c>
      <c r="AM251" s="3">
        <f t="shared" si="127"/>
        <v>68</v>
      </c>
      <c r="AN251" s="3">
        <f t="shared" si="128"/>
        <v>61</v>
      </c>
      <c r="AO251" s="3">
        <f t="shared" si="129"/>
        <v>56</v>
      </c>
      <c r="AP251" s="3">
        <f t="shared" si="130"/>
        <v>51</v>
      </c>
      <c r="AQ251" s="3">
        <f t="shared" si="131"/>
        <v>46</v>
      </c>
      <c r="AR251" s="3">
        <f t="shared" si="132"/>
        <v>39</v>
      </c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M251" s="35" t="s">
        <v>12</v>
      </c>
      <c r="BO251" s="35"/>
      <c r="BR251" s="9" t="str">
        <f t="shared" si="107"/>
        <v/>
      </c>
      <c r="BS251" s="37" t="str">
        <f t="shared" si="108"/>
        <v/>
      </c>
      <c r="BT251" s="38" t="str">
        <f t="shared" si="134"/>
        <v/>
      </c>
      <c r="BU251" s="36" t="str">
        <f t="shared" si="109"/>
        <v/>
      </c>
    </row>
    <row r="252" spans="2:73" ht="15">
      <c r="B252" s="16">
        <f t="shared" si="110"/>
        <v>44837</v>
      </c>
      <c r="C252" s="15" t="s">
        <v>1</v>
      </c>
      <c r="D252" s="17">
        <f t="shared" si="111"/>
        <v>44843</v>
      </c>
      <c r="E252" s="18">
        <f t="shared" si="112"/>
        <v>10</v>
      </c>
      <c r="F252" s="19">
        <f t="shared" si="113"/>
        <v>2022</v>
      </c>
      <c r="G252" s="9">
        <f t="shared" si="135"/>
        <v>17</v>
      </c>
      <c r="H252" s="8">
        <f t="shared" si="135"/>
        <v>95</v>
      </c>
      <c r="I252" s="9"/>
      <c r="J252" s="9"/>
      <c r="K252" s="9"/>
      <c r="L252" s="9"/>
      <c r="M252" s="9"/>
      <c r="N252" s="9"/>
      <c r="O252" s="12"/>
      <c r="P252" s="12"/>
      <c r="Q252" s="12"/>
      <c r="R252" s="12"/>
      <c r="S252" s="12"/>
      <c r="T252" s="12"/>
      <c r="V252" s="20">
        <f t="shared" si="116"/>
        <v>4</v>
      </c>
      <c r="W252" s="20">
        <f t="shared" si="116"/>
        <v>9</v>
      </c>
      <c r="X252" s="20">
        <f t="shared" si="116"/>
        <v>14</v>
      </c>
      <c r="Y252" s="20">
        <f t="shared" si="116"/>
        <v>0</v>
      </c>
      <c r="Z252" s="20">
        <f t="shared" si="116"/>
        <v>0</v>
      </c>
      <c r="AA252" s="20">
        <f t="shared" si="116"/>
        <v>0</v>
      </c>
      <c r="AC252" s="3">
        <f t="shared" si="117"/>
        <v>35</v>
      </c>
      <c r="AD252" s="3">
        <f t="shared" si="118"/>
        <v>30</v>
      </c>
      <c r="AE252" s="3">
        <f t="shared" si="119"/>
        <v>25</v>
      </c>
      <c r="AF252" s="3">
        <f t="shared" si="120"/>
        <v>19</v>
      </c>
      <c r="AG252" s="3">
        <f t="shared" si="121"/>
        <v>0</v>
      </c>
      <c r="AH252" s="3">
        <f t="shared" si="122"/>
        <v>0</v>
      </c>
      <c r="AI252" s="3">
        <f t="shared" si="123"/>
        <v>91</v>
      </c>
      <c r="AJ252" s="3">
        <f t="shared" si="124"/>
        <v>84</v>
      </c>
      <c r="AK252" s="3">
        <f t="shared" si="125"/>
        <v>79</v>
      </c>
      <c r="AL252" s="3">
        <f t="shared" si="126"/>
        <v>74</v>
      </c>
      <c r="AM252" s="3">
        <f t="shared" si="127"/>
        <v>69</v>
      </c>
      <c r="AN252" s="3">
        <f t="shared" si="128"/>
        <v>62</v>
      </c>
      <c r="AO252" s="3">
        <f t="shared" si="129"/>
        <v>57</v>
      </c>
      <c r="AP252" s="3">
        <f t="shared" si="130"/>
        <v>52</v>
      </c>
      <c r="AQ252" s="3">
        <f t="shared" si="131"/>
        <v>47</v>
      </c>
      <c r="AR252" s="3">
        <f t="shared" si="132"/>
        <v>40</v>
      </c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M252" s="35" t="s">
        <v>12</v>
      </c>
      <c r="BO252" s="35"/>
      <c r="BR252" s="9" t="str">
        <f t="shared" si="107"/>
        <v/>
      </c>
      <c r="BS252" s="37" t="str">
        <f t="shared" si="108"/>
        <v/>
      </c>
      <c r="BT252" s="38" t="str">
        <f t="shared" si="134"/>
        <v/>
      </c>
      <c r="BU252" s="36" t="str">
        <f t="shared" si="109"/>
        <v/>
      </c>
    </row>
    <row r="253" spans="2:73" ht="15">
      <c r="B253" s="16">
        <f t="shared" si="110"/>
        <v>44844</v>
      </c>
      <c r="C253" s="15" t="s">
        <v>1</v>
      </c>
      <c r="D253" s="17">
        <f t="shared" si="111"/>
        <v>44850</v>
      </c>
      <c r="E253" s="18">
        <f t="shared" si="112"/>
        <v>10</v>
      </c>
      <c r="F253" s="19">
        <f t="shared" si="113"/>
        <v>2022</v>
      </c>
      <c r="G253" s="9">
        <f t="shared" si="135"/>
        <v>17</v>
      </c>
      <c r="H253" s="8">
        <f t="shared" si="135"/>
        <v>95</v>
      </c>
      <c r="I253" s="9"/>
      <c r="J253" s="9"/>
      <c r="K253" s="9"/>
      <c r="L253" s="9"/>
      <c r="M253" s="9"/>
      <c r="N253" s="9"/>
      <c r="O253" s="12"/>
      <c r="P253" s="12"/>
      <c r="Q253" s="12"/>
      <c r="R253" s="12"/>
      <c r="S253" s="12"/>
      <c r="T253" s="12"/>
      <c r="V253" s="20">
        <f t="shared" si="116"/>
        <v>5</v>
      </c>
      <c r="W253" s="20">
        <f t="shared" si="116"/>
        <v>10</v>
      </c>
      <c r="X253" s="20">
        <f t="shared" si="116"/>
        <v>15</v>
      </c>
      <c r="Y253" s="20">
        <f t="shared" si="116"/>
        <v>0</v>
      </c>
      <c r="Z253" s="20">
        <f t="shared" si="116"/>
        <v>0</v>
      </c>
      <c r="AA253" s="20">
        <f t="shared" si="116"/>
        <v>0</v>
      </c>
      <c r="AC253" s="3">
        <f t="shared" si="117"/>
        <v>36</v>
      </c>
      <c r="AD253" s="3">
        <f t="shared" si="118"/>
        <v>31</v>
      </c>
      <c r="AE253" s="3">
        <f t="shared" si="119"/>
        <v>26</v>
      </c>
      <c r="AF253" s="3">
        <f t="shared" si="120"/>
        <v>20</v>
      </c>
      <c r="AG253" s="3">
        <f t="shared" si="121"/>
        <v>0</v>
      </c>
      <c r="AH253" s="3">
        <f t="shared" si="122"/>
        <v>0</v>
      </c>
      <c r="AI253" s="3">
        <f t="shared" si="123"/>
        <v>92</v>
      </c>
      <c r="AJ253" s="3">
        <f t="shared" si="124"/>
        <v>85</v>
      </c>
      <c r="AK253" s="3">
        <f t="shared" si="125"/>
        <v>80</v>
      </c>
      <c r="AL253" s="3">
        <f t="shared" si="126"/>
        <v>75</v>
      </c>
      <c r="AM253" s="3">
        <f t="shared" si="127"/>
        <v>70</v>
      </c>
      <c r="AN253" s="3">
        <f t="shared" si="128"/>
        <v>63</v>
      </c>
      <c r="AO253" s="3">
        <f t="shared" si="129"/>
        <v>58</v>
      </c>
      <c r="AP253" s="3">
        <f t="shared" si="130"/>
        <v>53</v>
      </c>
      <c r="AQ253" s="3">
        <f t="shared" si="131"/>
        <v>48</v>
      </c>
      <c r="AR253" s="3">
        <f t="shared" si="132"/>
        <v>41</v>
      </c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M253" s="35" t="s">
        <v>12</v>
      </c>
      <c r="BO253" s="35"/>
      <c r="BR253" s="9" t="str">
        <f t="shared" si="107"/>
        <v/>
      </c>
      <c r="BS253" s="37" t="str">
        <f t="shared" si="108"/>
        <v/>
      </c>
      <c r="BT253" s="38" t="str">
        <f t="shared" si="134"/>
        <v/>
      </c>
      <c r="BU253" s="36" t="str">
        <f t="shared" si="109"/>
        <v/>
      </c>
    </row>
    <row r="254" spans="2:73" ht="15">
      <c r="B254" s="16">
        <f t="shared" si="110"/>
        <v>44851</v>
      </c>
      <c r="C254" s="15" t="s">
        <v>1</v>
      </c>
      <c r="D254" s="17">
        <f t="shared" si="111"/>
        <v>44857</v>
      </c>
      <c r="E254" s="18">
        <f t="shared" si="112"/>
        <v>10</v>
      </c>
      <c r="F254" s="19">
        <f t="shared" si="113"/>
        <v>2022</v>
      </c>
      <c r="G254" s="9">
        <f t="shared" si="135"/>
        <v>17</v>
      </c>
      <c r="H254" s="8">
        <f t="shared" si="135"/>
        <v>95</v>
      </c>
      <c r="I254" s="9"/>
      <c r="J254" s="9"/>
      <c r="K254" s="9"/>
      <c r="L254" s="9"/>
      <c r="M254" s="9"/>
      <c r="N254" s="9"/>
      <c r="O254" s="12"/>
      <c r="P254" s="12"/>
      <c r="Q254" s="12"/>
      <c r="R254" s="12">
        <v>1</v>
      </c>
      <c r="S254" s="12"/>
      <c r="T254" s="12"/>
      <c r="V254" s="20">
        <f t="shared" si="116"/>
        <v>6</v>
      </c>
      <c r="W254" s="20">
        <f t="shared" si="116"/>
        <v>11</v>
      </c>
      <c r="X254" s="20">
        <f t="shared" si="116"/>
        <v>16</v>
      </c>
      <c r="Y254" s="20">
        <f t="shared" si="116"/>
        <v>44853</v>
      </c>
      <c r="Z254" s="20">
        <f t="shared" si="116"/>
        <v>0</v>
      </c>
      <c r="AA254" s="20">
        <f t="shared" si="116"/>
        <v>0</v>
      </c>
      <c r="AC254" s="3">
        <f t="shared" si="117"/>
        <v>37</v>
      </c>
      <c r="AD254" s="3">
        <f t="shared" si="118"/>
        <v>32</v>
      </c>
      <c r="AE254" s="3">
        <f t="shared" si="119"/>
        <v>27</v>
      </c>
      <c r="AF254" s="3">
        <f t="shared" si="120"/>
        <v>21</v>
      </c>
      <c r="AG254" s="3">
        <f t="shared" si="121"/>
        <v>0</v>
      </c>
      <c r="AH254" s="3">
        <f t="shared" si="122"/>
        <v>0</v>
      </c>
      <c r="AI254" s="3">
        <f t="shared" si="123"/>
        <v>93</v>
      </c>
      <c r="AJ254" s="3">
        <f t="shared" si="124"/>
        <v>86</v>
      </c>
      <c r="AK254" s="3">
        <f t="shared" si="125"/>
        <v>81</v>
      </c>
      <c r="AL254" s="3">
        <f t="shared" si="126"/>
        <v>76</v>
      </c>
      <c r="AM254" s="3">
        <f t="shared" si="127"/>
        <v>71</v>
      </c>
      <c r="AN254" s="3">
        <f t="shared" si="128"/>
        <v>64</v>
      </c>
      <c r="AO254" s="3">
        <f t="shared" si="129"/>
        <v>59</v>
      </c>
      <c r="AP254" s="3">
        <f t="shared" si="130"/>
        <v>54</v>
      </c>
      <c r="AQ254" s="3">
        <f t="shared" si="131"/>
        <v>49</v>
      </c>
      <c r="AR254" s="3">
        <f t="shared" si="132"/>
        <v>42</v>
      </c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M254" s="35" t="s">
        <v>12</v>
      </c>
      <c r="BO254" s="35"/>
      <c r="BR254" s="9">
        <f t="shared" si="107"/>
        <v>4</v>
      </c>
      <c r="BS254" s="37">
        <f t="shared" si="108"/>
        <v>44853</v>
      </c>
      <c r="BT254" s="38">
        <f t="shared" si="134"/>
        <v>44972</v>
      </c>
      <c r="BU254" s="36">
        <f t="shared" si="109"/>
        <v>13</v>
      </c>
    </row>
    <row r="255" spans="2:73" ht="15">
      <c r="B255" s="16">
        <f t="shared" si="110"/>
        <v>44858</v>
      </c>
      <c r="C255" s="15" t="s">
        <v>1</v>
      </c>
      <c r="D255" s="17">
        <f t="shared" si="111"/>
        <v>44864</v>
      </c>
      <c r="E255" s="18">
        <f t="shared" si="112"/>
        <v>10</v>
      </c>
      <c r="F255" s="19">
        <f t="shared" si="113"/>
        <v>2022</v>
      </c>
      <c r="G255" s="9">
        <f t="shared" si="135"/>
        <v>17</v>
      </c>
      <c r="H255" s="8">
        <f t="shared" si="135"/>
        <v>95</v>
      </c>
      <c r="I255" s="9"/>
      <c r="J255" s="9"/>
      <c r="K255" s="9"/>
      <c r="L255" s="9"/>
      <c r="M255" s="9"/>
      <c r="N255" s="9"/>
      <c r="O255" s="12"/>
      <c r="P255" s="12"/>
      <c r="Q255" s="12"/>
      <c r="R255" s="12"/>
      <c r="S255" s="12"/>
      <c r="T255" s="12"/>
      <c r="V255" s="20">
        <f t="shared" si="116"/>
        <v>7</v>
      </c>
      <c r="W255" s="20">
        <f t="shared" si="116"/>
        <v>12</v>
      </c>
      <c r="X255" s="20">
        <f t="shared" si="116"/>
        <v>17</v>
      </c>
      <c r="Y255" s="20">
        <f t="shared" si="116"/>
        <v>1</v>
      </c>
      <c r="Z255" s="20">
        <f t="shared" si="116"/>
        <v>0</v>
      </c>
      <c r="AA255" s="20">
        <f t="shared" si="116"/>
        <v>0</v>
      </c>
      <c r="AC255" s="3">
        <f t="shared" si="117"/>
        <v>38</v>
      </c>
      <c r="AD255" s="3">
        <f t="shared" si="118"/>
        <v>33</v>
      </c>
      <c r="AE255" s="3">
        <f t="shared" si="119"/>
        <v>28</v>
      </c>
      <c r="AF255" s="3">
        <f t="shared" si="120"/>
        <v>22</v>
      </c>
      <c r="AG255" s="3">
        <f t="shared" si="121"/>
        <v>17</v>
      </c>
      <c r="AH255" s="3">
        <f t="shared" si="122"/>
        <v>0</v>
      </c>
      <c r="AI255" s="3">
        <f t="shared" si="123"/>
        <v>94</v>
      </c>
      <c r="AJ255" s="3">
        <f t="shared" si="124"/>
        <v>87</v>
      </c>
      <c r="AK255" s="3">
        <f t="shared" si="125"/>
        <v>82</v>
      </c>
      <c r="AL255" s="3">
        <f t="shared" si="126"/>
        <v>77</v>
      </c>
      <c r="AM255" s="3">
        <f t="shared" si="127"/>
        <v>72</v>
      </c>
      <c r="AN255" s="3">
        <f t="shared" si="128"/>
        <v>65</v>
      </c>
      <c r="AO255" s="3">
        <f t="shared" si="129"/>
        <v>60</v>
      </c>
      <c r="AP255" s="3">
        <f t="shared" si="130"/>
        <v>55</v>
      </c>
      <c r="AQ255" s="3">
        <f t="shared" si="131"/>
        <v>50</v>
      </c>
      <c r="AR255" s="3">
        <f t="shared" si="132"/>
        <v>43</v>
      </c>
      <c r="AS255" s="8"/>
      <c r="AT255" s="8"/>
      <c r="AU255" s="8"/>
      <c r="AV255" s="8"/>
      <c r="AW255" s="8">
        <v>3</v>
      </c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M255" s="35" t="s">
        <v>12</v>
      </c>
      <c r="BO255" s="35"/>
      <c r="BR255" s="9" t="str">
        <f t="shared" si="107"/>
        <v/>
      </c>
      <c r="BS255" s="37" t="str">
        <f t="shared" si="108"/>
        <v/>
      </c>
      <c r="BT255" s="38" t="str">
        <f t="shared" si="134"/>
        <v/>
      </c>
      <c r="BU255" s="36" t="str">
        <f t="shared" si="109"/>
        <v/>
      </c>
    </row>
    <row r="256" spans="2:73" ht="15">
      <c r="B256" s="16">
        <f t="shared" si="110"/>
        <v>44865</v>
      </c>
      <c r="C256" s="15" t="s">
        <v>1</v>
      </c>
      <c r="D256" s="17">
        <f t="shared" si="111"/>
        <v>44871</v>
      </c>
      <c r="E256" s="18">
        <f t="shared" si="112"/>
        <v>10</v>
      </c>
      <c r="F256" s="19">
        <f t="shared" si="113"/>
        <v>2022</v>
      </c>
      <c r="G256" s="9">
        <f t="shared" si="135"/>
        <v>17</v>
      </c>
      <c r="H256" s="8">
        <f t="shared" si="135"/>
        <v>95</v>
      </c>
      <c r="I256" s="9"/>
      <c r="J256" s="9"/>
      <c r="K256" s="9"/>
      <c r="L256" s="9"/>
      <c r="M256" s="9"/>
      <c r="N256" s="9"/>
      <c r="O256" s="12"/>
      <c r="P256" s="12"/>
      <c r="Q256" s="12"/>
      <c r="R256" s="12"/>
      <c r="S256" s="12"/>
      <c r="T256" s="12"/>
      <c r="V256" s="20">
        <f t="shared" si="116"/>
        <v>8</v>
      </c>
      <c r="W256" s="20">
        <f t="shared" si="116"/>
        <v>13</v>
      </c>
      <c r="X256" s="20">
        <f t="shared" si="116"/>
        <v>0</v>
      </c>
      <c r="Y256" s="20">
        <f t="shared" si="116"/>
        <v>2</v>
      </c>
      <c r="Z256" s="20">
        <f t="shared" si="116"/>
        <v>0</v>
      </c>
      <c r="AA256" s="20">
        <f t="shared" si="116"/>
        <v>0</v>
      </c>
      <c r="AC256" s="3">
        <f t="shared" si="117"/>
        <v>39</v>
      </c>
      <c r="AD256" s="3">
        <f t="shared" si="118"/>
        <v>34</v>
      </c>
      <c r="AE256" s="3">
        <f t="shared" si="119"/>
        <v>29</v>
      </c>
      <c r="AF256" s="3">
        <f t="shared" si="120"/>
        <v>23</v>
      </c>
      <c r="AG256" s="3">
        <f t="shared" si="121"/>
        <v>18</v>
      </c>
      <c r="AH256" s="3">
        <f t="shared" si="122"/>
        <v>0</v>
      </c>
      <c r="AI256" s="3">
        <f t="shared" si="123"/>
        <v>95</v>
      </c>
      <c r="AJ256" s="3">
        <f t="shared" si="124"/>
        <v>88</v>
      </c>
      <c r="AK256" s="3">
        <f t="shared" si="125"/>
        <v>83</v>
      </c>
      <c r="AL256" s="3">
        <f t="shared" si="126"/>
        <v>78</v>
      </c>
      <c r="AM256" s="3">
        <f t="shared" si="127"/>
        <v>73</v>
      </c>
      <c r="AN256" s="3">
        <f t="shared" si="128"/>
        <v>66</v>
      </c>
      <c r="AO256" s="3">
        <f t="shared" si="129"/>
        <v>61</v>
      </c>
      <c r="AP256" s="3">
        <f t="shared" si="130"/>
        <v>56</v>
      </c>
      <c r="AQ256" s="3">
        <f t="shared" si="131"/>
        <v>51</v>
      </c>
      <c r="AR256" s="3">
        <f t="shared" si="132"/>
        <v>44</v>
      </c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M256" s="35" t="s">
        <v>12</v>
      </c>
      <c r="BO256" s="35"/>
      <c r="BR256" s="9" t="str">
        <f t="shared" si="107"/>
        <v/>
      </c>
      <c r="BS256" s="37" t="str">
        <f t="shared" si="108"/>
        <v/>
      </c>
      <c r="BT256" s="38" t="str">
        <f t="shared" si="134"/>
        <v/>
      </c>
      <c r="BU256" s="36" t="str">
        <f t="shared" si="109"/>
        <v/>
      </c>
    </row>
    <row r="257" spans="2:73" ht="15">
      <c r="B257" s="16">
        <f t="shared" si="110"/>
        <v>44872</v>
      </c>
      <c r="C257" s="15" t="s">
        <v>1</v>
      </c>
      <c r="D257" s="17">
        <f t="shared" si="111"/>
        <v>44878</v>
      </c>
      <c r="E257" s="18">
        <f t="shared" si="112"/>
        <v>11</v>
      </c>
      <c r="F257" s="19">
        <f t="shared" si="113"/>
        <v>2022</v>
      </c>
      <c r="G257" s="9">
        <f t="shared" si="135"/>
        <v>17</v>
      </c>
      <c r="H257" s="8">
        <f t="shared" si="135"/>
        <v>95</v>
      </c>
      <c r="I257" s="9"/>
      <c r="J257" s="9"/>
      <c r="K257" s="9"/>
      <c r="L257" s="9"/>
      <c r="M257" s="9"/>
      <c r="N257" s="9"/>
      <c r="O257" s="12"/>
      <c r="P257" s="12"/>
      <c r="Q257" s="12"/>
      <c r="R257" s="12"/>
      <c r="S257" s="12"/>
      <c r="T257" s="12"/>
      <c r="V257" s="20">
        <f t="shared" si="116"/>
        <v>9</v>
      </c>
      <c r="W257" s="20">
        <f t="shared" si="116"/>
        <v>14</v>
      </c>
      <c r="X257" s="20">
        <f t="shared" si="116"/>
        <v>0</v>
      </c>
      <c r="Y257" s="20">
        <f t="shared" si="116"/>
        <v>3</v>
      </c>
      <c r="Z257" s="20">
        <f t="shared" si="116"/>
        <v>0</v>
      </c>
      <c r="AA257" s="20">
        <f t="shared" si="116"/>
        <v>0</v>
      </c>
      <c r="AC257" s="3">
        <f t="shared" si="117"/>
        <v>40</v>
      </c>
      <c r="AD257" s="3">
        <f t="shared" si="118"/>
        <v>35</v>
      </c>
      <c r="AE257" s="3">
        <f t="shared" si="119"/>
        <v>30</v>
      </c>
      <c r="AF257" s="3">
        <f t="shared" si="120"/>
        <v>24</v>
      </c>
      <c r="AG257" s="3">
        <f t="shared" si="121"/>
        <v>19</v>
      </c>
      <c r="AH257" s="3">
        <f t="shared" si="122"/>
        <v>0</v>
      </c>
      <c r="AI257" s="3">
        <f t="shared" si="123"/>
        <v>0</v>
      </c>
      <c r="AJ257" s="3">
        <f t="shared" si="124"/>
        <v>89</v>
      </c>
      <c r="AK257" s="3">
        <f t="shared" si="125"/>
        <v>84</v>
      </c>
      <c r="AL257" s="3">
        <f t="shared" si="126"/>
        <v>79</v>
      </c>
      <c r="AM257" s="3">
        <f t="shared" si="127"/>
        <v>74</v>
      </c>
      <c r="AN257" s="3">
        <f t="shared" si="128"/>
        <v>67</v>
      </c>
      <c r="AO257" s="3">
        <f t="shared" si="129"/>
        <v>62</v>
      </c>
      <c r="AP257" s="3">
        <f t="shared" si="130"/>
        <v>57</v>
      </c>
      <c r="AQ257" s="3">
        <f t="shared" si="131"/>
        <v>52</v>
      </c>
      <c r="AR257" s="3">
        <f t="shared" si="132"/>
        <v>45</v>
      </c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L257">
        <v>13</v>
      </c>
      <c r="BM257" s="35">
        <v>44872</v>
      </c>
      <c r="BO257" s="35">
        <f>B274</f>
        <v>44991</v>
      </c>
      <c r="BP257">
        <v>98</v>
      </c>
      <c r="BR257" s="9" t="str">
        <f t="shared" si="107"/>
        <v/>
      </c>
      <c r="BS257" s="37" t="str">
        <f t="shared" si="108"/>
        <v/>
      </c>
      <c r="BT257" s="38" t="str">
        <f t="shared" si="134"/>
        <v/>
      </c>
      <c r="BU257" s="36" t="str">
        <f t="shared" si="109"/>
        <v/>
      </c>
    </row>
    <row r="258" spans="2:73" ht="15">
      <c r="B258" s="16">
        <f t="shared" si="110"/>
        <v>44879</v>
      </c>
      <c r="C258" s="15" t="s">
        <v>1</v>
      </c>
      <c r="D258" s="17">
        <f t="shared" si="111"/>
        <v>44885</v>
      </c>
      <c r="E258" s="18">
        <f t="shared" si="112"/>
        <v>11</v>
      </c>
      <c r="F258" s="19">
        <f t="shared" si="113"/>
        <v>2022</v>
      </c>
      <c r="G258" s="9">
        <f t="shared" si="135"/>
        <v>17</v>
      </c>
      <c r="H258" s="8">
        <f t="shared" si="135"/>
        <v>95</v>
      </c>
      <c r="I258" s="9"/>
      <c r="J258" s="9"/>
      <c r="K258" s="9"/>
      <c r="L258" s="9"/>
      <c r="M258" s="9"/>
      <c r="N258" s="9"/>
      <c r="O258" s="12"/>
      <c r="P258" s="12"/>
      <c r="Q258" s="12"/>
      <c r="R258" s="12"/>
      <c r="S258" s="12"/>
      <c r="T258" s="12"/>
      <c r="V258" s="20">
        <f t="shared" si="116"/>
        <v>10</v>
      </c>
      <c r="W258" s="20">
        <f t="shared" si="116"/>
        <v>15</v>
      </c>
      <c r="X258" s="20">
        <f t="shared" si="116"/>
        <v>0</v>
      </c>
      <c r="Y258" s="20">
        <f t="shared" si="116"/>
        <v>4</v>
      </c>
      <c r="Z258" s="20">
        <f t="shared" si="116"/>
        <v>0</v>
      </c>
      <c r="AA258" s="20">
        <f t="shared" si="116"/>
        <v>0</v>
      </c>
      <c r="AC258" s="3">
        <f t="shared" si="117"/>
        <v>41</v>
      </c>
      <c r="AD258" s="3">
        <f t="shared" si="118"/>
        <v>36</v>
      </c>
      <c r="AE258" s="3">
        <f t="shared" si="119"/>
        <v>31</v>
      </c>
      <c r="AF258" s="3">
        <f t="shared" si="120"/>
        <v>25</v>
      </c>
      <c r="AG258" s="3">
        <f t="shared" si="121"/>
        <v>20</v>
      </c>
      <c r="AH258" s="3">
        <f t="shared" si="122"/>
        <v>0</v>
      </c>
      <c r="AI258" s="3">
        <f t="shared" si="123"/>
        <v>0</v>
      </c>
      <c r="AJ258" s="3">
        <f t="shared" si="124"/>
        <v>90</v>
      </c>
      <c r="AK258" s="3">
        <f t="shared" si="125"/>
        <v>85</v>
      </c>
      <c r="AL258" s="3">
        <f t="shared" si="126"/>
        <v>80</v>
      </c>
      <c r="AM258" s="3">
        <f t="shared" si="127"/>
        <v>75</v>
      </c>
      <c r="AN258" s="3">
        <f t="shared" si="128"/>
        <v>68</v>
      </c>
      <c r="AO258" s="3">
        <f t="shared" si="129"/>
        <v>63</v>
      </c>
      <c r="AP258" s="3">
        <f t="shared" si="130"/>
        <v>58</v>
      </c>
      <c r="AQ258" s="3">
        <f t="shared" si="131"/>
        <v>53</v>
      </c>
      <c r="AR258" s="3">
        <f t="shared" si="132"/>
        <v>46</v>
      </c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M258" s="35" t="s">
        <v>12</v>
      </c>
      <c r="BO258" s="35"/>
      <c r="BR258" s="9" t="str">
        <f t="shared" si="107"/>
        <v/>
      </c>
      <c r="BS258" s="37" t="str">
        <f t="shared" si="108"/>
        <v/>
      </c>
      <c r="BT258" s="38" t="str">
        <f t="shared" si="134"/>
        <v/>
      </c>
      <c r="BU258" s="36" t="str">
        <f t="shared" si="109"/>
        <v/>
      </c>
    </row>
    <row r="259" spans="2:73" ht="15">
      <c r="B259" s="16">
        <f t="shared" si="110"/>
        <v>44886</v>
      </c>
      <c r="C259" s="15" t="s">
        <v>1</v>
      </c>
      <c r="D259" s="17">
        <f t="shared" si="111"/>
        <v>44892</v>
      </c>
      <c r="E259" s="18">
        <f t="shared" si="112"/>
        <v>11</v>
      </c>
      <c r="F259" s="19">
        <f t="shared" si="113"/>
        <v>2022</v>
      </c>
      <c r="G259" s="9">
        <f t="shared" si="135"/>
        <v>17</v>
      </c>
      <c r="H259" s="8">
        <f t="shared" si="135"/>
        <v>95</v>
      </c>
      <c r="I259" s="9"/>
      <c r="J259" s="9"/>
      <c r="K259" s="9"/>
      <c r="L259" s="9"/>
      <c r="M259" s="9"/>
      <c r="N259" s="9"/>
      <c r="O259" s="12"/>
      <c r="P259" s="12"/>
      <c r="Q259" s="12">
        <v>1</v>
      </c>
      <c r="R259" s="12"/>
      <c r="S259" s="12"/>
      <c r="T259" s="12"/>
      <c r="V259" s="20">
        <f t="shared" si="116"/>
        <v>11</v>
      </c>
      <c r="W259" s="20">
        <f t="shared" si="116"/>
        <v>16</v>
      </c>
      <c r="X259" s="20">
        <f t="shared" si="116"/>
        <v>44888</v>
      </c>
      <c r="Y259" s="20">
        <f t="shared" si="116"/>
        <v>5</v>
      </c>
      <c r="Z259" s="20">
        <f t="shared" si="116"/>
        <v>0</v>
      </c>
      <c r="AA259" s="20">
        <f t="shared" si="116"/>
        <v>0</v>
      </c>
      <c r="AC259" s="3">
        <f t="shared" si="117"/>
        <v>42</v>
      </c>
      <c r="AD259" s="3">
        <f t="shared" si="118"/>
        <v>37</v>
      </c>
      <c r="AE259" s="3">
        <f t="shared" si="119"/>
        <v>32</v>
      </c>
      <c r="AF259" s="3">
        <f t="shared" si="120"/>
        <v>26</v>
      </c>
      <c r="AG259" s="3">
        <f t="shared" si="121"/>
        <v>21</v>
      </c>
      <c r="AH259" s="3">
        <f t="shared" si="122"/>
        <v>0</v>
      </c>
      <c r="AI259" s="3">
        <f t="shared" si="123"/>
        <v>0</v>
      </c>
      <c r="AJ259" s="3">
        <f t="shared" si="124"/>
        <v>91</v>
      </c>
      <c r="AK259" s="3">
        <f t="shared" si="125"/>
        <v>86</v>
      </c>
      <c r="AL259" s="3">
        <f t="shared" si="126"/>
        <v>81</v>
      </c>
      <c r="AM259" s="3">
        <f t="shared" si="127"/>
        <v>76</v>
      </c>
      <c r="AN259" s="3">
        <f t="shared" si="128"/>
        <v>69</v>
      </c>
      <c r="AO259" s="3">
        <f t="shared" si="129"/>
        <v>64</v>
      </c>
      <c r="AP259" s="3">
        <f t="shared" si="130"/>
        <v>59</v>
      </c>
      <c r="AQ259" s="3">
        <f t="shared" si="131"/>
        <v>54</v>
      </c>
      <c r="AR259" s="3">
        <f t="shared" si="132"/>
        <v>47</v>
      </c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M259" s="35" t="s">
        <v>12</v>
      </c>
      <c r="BO259" s="35"/>
      <c r="BR259" s="9">
        <f t="shared" si="107"/>
        <v>3</v>
      </c>
      <c r="BS259" s="37">
        <f t="shared" si="108"/>
        <v>44888</v>
      </c>
      <c r="BT259" s="38">
        <f t="shared" si="134"/>
        <v>45007</v>
      </c>
      <c r="BU259" s="36">
        <f t="shared" si="109"/>
        <v>14</v>
      </c>
    </row>
    <row r="260" spans="2:73" ht="15">
      <c r="B260" s="16">
        <f t="shared" si="110"/>
        <v>44893</v>
      </c>
      <c r="C260" s="15" t="s">
        <v>1</v>
      </c>
      <c r="D260" s="17">
        <f t="shared" si="111"/>
        <v>44899</v>
      </c>
      <c r="E260" s="18">
        <f t="shared" si="112"/>
        <v>11</v>
      </c>
      <c r="F260" s="19">
        <f t="shared" si="113"/>
        <v>2022</v>
      </c>
      <c r="G260" s="9">
        <f t="shared" si="135"/>
        <v>17</v>
      </c>
      <c r="H260" s="8">
        <f t="shared" si="135"/>
        <v>95</v>
      </c>
      <c r="I260" s="9"/>
      <c r="J260" s="9"/>
      <c r="K260" s="9"/>
      <c r="L260" s="9"/>
      <c r="M260" s="9"/>
      <c r="N260" s="9"/>
      <c r="O260" s="12"/>
      <c r="P260" s="12"/>
      <c r="Q260" s="12"/>
      <c r="R260" s="12"/>
      <c r="S260" s="12"/>
      <c r="T260" s="12"/>
      <c r="V260" s="20">
        <f t="shared" si="116"/>
        <v>12</v>
      </c>
      <c r="W260" s="20">
        <f t="shared" si="116"/>
        <v>17</v>
      </c>
      <c r="X260" s="20">
        <f t="shared" si="116"/>
        <v>1</v>
      </c>
      <c r="Y260" s="20">
        <f t="shared" ref="Y260:AA323" si="136">IF(L260&gt;0,L260,IF(R260=1,$B260+2,IF(R259=1,1,IF(R259=2,0,IF(Y259=$G259,0,(IF(Y259&gt;=1,Y259+1,0)))))))</f>
        <v>6</v>
      </c>
      <c r="Z260" s="20">
        <f t="shared" si="136"/>
        <v>0</v>
      </c>
      <c r="AA260" s="20">
        <f t="shared" si="136"/>
        <v>0</v>
      </c>
      <c r="AC260" s="3">
        <f t="shared" si="117"/>
        <v>43</v>
      </c>
      <c r="AD260" s="3">
        <f t="shared" si="118"/>
        <v>38</v>
      </c>
      <c r="AE260" s="3">
        <f t="shared" si="119"/>
        <v>33</v>
      </c>
      <c r="AF260" s="3">
        <f t="shared" si="120"/>
        <v>27</v>
      </c>
      <c r="AG260" s="3">
        <f t="shared" si="121"/>
        <v>22</v>
      </c>
      <c r="AH260" s="3">
        <f t="shared" si="122"/>
        <v>17</v>
      </c>
      <c r="AI260" s="3">
        <f t="shared" si="123"/>
        <v>0</v>
      </c>
      <c r="AJ260" s="3">
        <f t="shared" si="124"/>
        <v>92</v>
      </c>
      <c r="AK260" s="3">
        <f t="shared" si="125"/>
        <v>87</v>
      </c>
      <c r="AL260" s="3">
        <f t="shared" si="126"/>
        <v>82</v>
      </c>
      <c r="AM260" s="3">
        <f t="shared" si="127"/>
        <v>77</v>
      </c>
      <c r="AN260" s="3">
        <f t="shared" si="128"/>
        <v>70</v>
      </c>
      <c r="AO260" s="3">
        <f t="shared" si="129"/>
        <v>65</v>
      </c>
      <c r="AP260" s="3">
        <f t="shared" si="130"/>
        <v>60</v>
      </c>
      <c r="AQ260" s="3">
        <f t="shared" si="131"/>
        <v>55</v>
      </c>
      <c r="AR260" s="3">
        <f t="shared" si="132"/>
        <v>48</v>
      </c>
      <c r="AS260" s="8"/>
      <c r="AT260" s="8"/>
      <c r="AU260" s="8"/>
      <c r="AV260" s="8"/>
      <c r="AW260" s="8"/>
      <c r="AX260" s="8">
        <v>2</v>
      </c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M260" s="35" t="s">
        <v>12</v>
      </c>
      <c r="BO260" s="35"/>
      <c r="BR260" s="9" t="str">
        <f t="shared" ref="BR260:BR323" si="137">IF(AND(V260&gt;0,V259=0),$V$2,IF(AND(W260&gt;0,W259=0),$W$2,IF(AND(X260&gt;0,X259=0),$X$2,IF(AND(Y260&gt;0,Y259=0),$Y$2,IF(AND(Z260&gt;0,Z259=0),$Z$2,IF(AND(AA260&gt;0,AA259=0),$AA$2,""))))))</f>
        <v/>
      </c>
      <c r="BS260" s="37" t="str">
        <f t="shared" ref="BS260:BS323" si="138">IF(OR(AND($V261=1,$V262=2),OR(AND($W261=1,$W262=2),OR(AND($X261=1,$X262=2),OR(AND($Y261=1,$Y262=2),OR(AND($Z261=1,$Z262),OR(AND($AA261=1,$AA262=2))))))),$B260+2,"")</f>
        <v/>
      </c>
      <c r="BT260" s="38" t="str">
        <f t="shared" si="134"/>
        <v/>
      </c>
      <c r="BU260" s="36" t="str">
        <f t="shared" ref="BU260:BU323" si="139">IF(AND(AC277&gt;0,AC276=0),$AC$2,IF(AND(AD277&gt;0,AD276=0),$AD$2,IF(AND(AE277&gt;0,AE276=0),$AE$2,IF(AND(AF277&gt;0,AF276=0),$AF$2,IF(AND(AG277&gt;0,AG276=0),$AG$2,IF(AND(AH277&gt;0,AH276=0),$AH$2,IF(AND(AI277&gt;0,AI276=0),$AI$2,IF(AND(AJ277&gt;0,AJ276=0),$AJ$2,IF(AND(AK277&gt;0,AK276=0),$AK$2,IF(AND(AL277&gt;0,AL276=0),$AL$2,IF(AND(AM277&gt;0,AM276=0),$AM$2,IF(AND(AN277&gt;0,AN276=0),$AN$2,IF(AND(AO277&gt;0,AO276=0),$AO$2,IF(AND(AP277&gt;0,AP276=0),$AP$2,IF(AND(AQ277&gt;0,AQ276=0),$AQ$2,IF(AND(AR277&gt;0,AR276=0),$AR$2,""))))))))))))))))</f>
        <v/>
      </c>
    </row>
    <row r="261" spans="2:73" ht="15">
      <c r="B261" s="16">
        <f t="shared" ref="B261:B324" si="140">D260+1</f>
        <v>44900</v>
      </c>
      <c r="C261" s="15" t="s">
        <v>1</v>
      </c>
      <c r="D261" s="17">
        <f t="shared" ref="D261:D324" si="141">B261+6</f>
        <v>44906</v>
      </c>
      <c r="E261" s="18">
        <f t="shared" ref="E261:E324" si="142">MONTH(B261)</f>
        <v>12</v>
      </c>
      <c r="F261" s="19">
        <f t="shared" ref="F261:F324" si="143">YEAR(D261)</f>
        <v>2022</v>
      </c>
      <c r="G261" s="9">
        <f t="shared" si="135"/>
        <v>17</v>
      </c>
      <c r="H261" s="8">
        <f t="shared" si="135"/>
        <v>95</v>
      </c>
      <c r="I261" s="9"/>
      <c r="J261" s="9"/>
      <c r="K261" s="9"/>
      <c r="L261" s="9"/>
      <c r="M261" s="9"/>
      <c r="N261" s="9"/>
      <c r="O261" s="12"/>
      <c r="P261" s="12"/>
      <c r="Q261" s="12"/>
      <c r="R261" s="12"/>
      <c r="S261" s="12"/>
      <c r="T261" s="12"/>
      <c r="V261" s="20">
        <f t="shared" ref="V261:AA324" si="144">IF(I261&gt;0,I261,IF(O261=1,$B261+2,IF(O260=1,1,IF(O260=2,0,IF(V260=$G260,0,(IF(V260&gt;=1,V260+1,0)))))))</f>
        <v>13</v>
      </c>
      <c r="W261" s="20">
        <f t="shared" si="144"/>
        <v>0</v>
      </c>
      <c r="X261" s="20">
        <f t="shared" si="144"/>
        <v>2</v>
      </c>
      <c r="Y261" s="20">
        <f t="shared" si="136"/>
        <v>7</v>
      </c>
      <c r="Z261" s="20">
        <f t="shared" si="136"/>
        <v>0</v>
      </c>
      <c r="AA261" s="20">
        <f t="shared" si="136"/>
        <v>0</v>
      </c>
      <c r="AC261" s="3">
        <f t="shared" si="117"/>
        <v>44</v>
      </c>
      <c r="AD261" s="3">
        <f t="shared" si="118"/>
        <v>39</v>
      </c>
      <c r="AE261" s="3">
        <f t="shared" si="119"/>
        <v>34</v>
      </c>
      <c r="AF261" s="3">
        <f t="shared" si="120"/>
        <v>28</v>
      </c>
      <c r="AG261" s="3">
        <f t="shared" si="121"/>
        <v>23</v>
      </c>
      <c r="AH261" s="3">
        <f t="shared" si="122"/>
        <v>18</v>
      </c>
      <c r="AI261" s="3">
        <f t="shared" si="123"/>
        <v>0</v>
      </c>
      <c r="AJ261" s="3">
        <f t="shared" si="124"/>
        <v>93</v>
      </c>
      <c r="AK261" s="3">
        <f t="shared" si="125"/>
        <v>88</v>
      </c>
      <c r="AL261" s="3">
        <f t="shared" si="126"/>
        <v>83</v>
      </c>
      <c r="AM261" s="3">
        <f t="shared" si="127"/>
        <v>78</v>
      </c>
      <c r="AN261" s="3">
        <f t="shared" si="128"/>
        <v>71</v>
      </c>
      <c r="AO261" s="3">
        <f t="shared" si="129"/>
        <v>66</v>
      </c>
      <c r="AP261" s="3">
        <f t="shared" si="130"/>
        <v>61</v>
      </c>
      <c r="AQ261" s="3">
        <f t="shared" si="131"/>
        <v>56</v>
      </c>
      <c r="AR261" s="3">
        <f t="shared" si="132"/>
        <v>49</v>
      </c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M261" s="35" t="s">
        <v>12</v>
      </c>
      <c r="BO261" s="35"/>
      <c r="BR261" s="9" t="str">
        <f t="shared" si="137"/>
        <v/>
      </c>
      <c r="BS261" s="37" t="str">
        <f t="shared" si="138"/>
        <v/>
      </c>
      <c r="BT261" s="38" t="str">
        <f t="shared" si="134"/>
        <v/>
      </c>
      <c r="BU261" s="36" t="str">
        <f t="shared" si="139"/>
        <v/>
      </c>
    </row>
    <row r="262" spans="2:73" ht="15">
      <c r="B262" s="16">
        <f t="shared" si="140"/>
        <v>44907</v>
      </c>
      <c r="C262" s="15" t="s">
        <v>1</v>
      </c>
      <c r="D262" s="17">
        <f t="shared" si="141"/>
        <v>44913</v>
      </c>
      <c r="E262" s="18">
        <f t="shared" si="142"/>
        <v>12</v>
      </c>
      <c r="F262" s="19">
        <f t="shared" si="143"/>
        <v>2022</v>
      </c>
      <c r="G262" s="9">
        <f t="shared" ref="G262:H277" si="145">G261</f>
        <v>17</v>
      </c>
      <c r="H262" s="8">
        <f t="shared" si="145"/>
        <v>95</v>
      </c>
      <c r="I262" s="9"/>
      <c r="J262" s="9"/>
      <c r="K262" s="9"/>
      <c r="L262" s="9"/>
      <c r="M262" s="9"/>
      <c r="N262" s="9"/>
      <c r="O262" s="12"/>
      <c r="P262" s="12"/>
      <c r="Q262" s="12"/>
      <c r="R262" s="12"/>
      <c r="S262" s="12"/>
      <c r="T262" s="12"/>
      <c r="V262" s="20">
        <f t="shared" si="144"/>
        <v>14</v>
      </c>
      <c r="W262" s="20">
        <f t="shared" si="144"/>
        <v>0</v>
      </c>
      <c r="X262" s="20">
        <f t="shared" si="144"/>
        <v>3</v>
      </c>
      <c r="Y262" s="20">
        <f t="shared" si="136"/>
        <v>8</v>
      </c>
      <c r="Z262" s="20">
        <f t="shared" si="136"/>
        <v>0</v>
      </c>
      <c r="AA262" s="20">
        <f t="shared" si="136"/>
        <v>0</v>
      </c>
      <c r="AC262" s="3">
        <f t="shared" si="117"/>
        <v>45</v>
      </c>
      <c r="AD262" s="3">
        <f t="shared" si="118"/>
        <v>40</v>
      </c>
      <c r="AE262" s="3">
        <f t="shared" si="119"/>
        <v>35</v>
      </c>
      <c r="AF262" s="3">
        <f t="shared" si="120"/>
        <v>29</v>
      </c>
      <c r="AG262" s="3">
        <f t="shared" si="121"/>
        <v>24</v>
      </c>
      <c r="AH262" s="3">
        <f t="shared" si="122"/>
        <v>19</v>
      </c>
      <c r="AI262" s="3">
        <f t="shared" si="123"/>
        <v>0</v>
      </c>
      <c r="AJ262" s="3">
        <f t="shared" si="124"/>
        <v>94</v>
      </c>
      <c r="AK262" s="3">
        <f t="shared" si="125"/>
        <v>89</v>
      </c>
      <c r="AL262" s="3">
        <f t="shared" si="126"/>
        <v>84</v>
      </c>
      <c r="AM262" s="3">
        <f t="shared" si="127"/>
        <v>79</v>
      </c>
      <c r="AN262" s="3">
        <f t="shared" si="128"/>
        <v>72</v>
      </c>
      <c r="AO262" s="3">
        <f t="shared" si="129"/>
        <v>67</v>
      </c>
      <c r="AP262" s="3">
        <f t="shared" si="130"/>
        <v>62</v>
      </c>
      <c r="AQ262" s="3">
        <f t="shared" si="131"/>
        <v>57</v>
      </c>
      <c r="AR262" s="3">
        <f t="shared" si="132"/>
        <v>50</v>
      </c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L262">
        <v>14</v>
      </c>
      <c r="BM262" s="35">
        <v>44907</v>
      </c>
      <c r="BO262" s="35">
        <f>B279</f>
        <v>45026</v>
      </c>
      <c r="BP262">
        <v>98</v>
      </c>
      <c r="BR262" s="9" t="str">
        <f t="shared" si="137"/>
        <v/>
      </c>
      <c r="BS262" s="37" t="str">
        <f t="shared" si="138"/>
        <v/>
      </c>
      <c r="BT262" s="38" t="str">
        <f t="shared" si="134"/>
        <v/>
      </c>
      <c r="BU262" s="36" t="str">
        <f t="shared" si="139"/>
        <v/>
      </c>
    </row>
    <row r="263" spans="2:73" ht="15">
      <c r="B263" s="16">
        <f t="shared" si="140"/>
        <v>44914</v>
      </c>
      <c r="C263" s="15" t="s">
        <v>1</v>
      </c>
      <c r="D263" s="17">
        <f t="shared" si="141"/>
        <v>44920</v>
      </c>
      <c r="E263" s="18">
        <f t="shared" si="142"/>
        <v>12</v>
      </c>
      <c r="F263" s="19">
        <f t="shared" si="143"/>
        <v>2022</v>
      </c>
      <c r="G263" s="9">
        <f t="shared" si="145"/>
        <v>17</v>
      </c>
      <c r="H263" s="8">
        <f t="shared" si="145"/>
        <v>95</v>
      </c>
      <c r="I263" s="9"/>
      <c r="J263" s="9"/>
      <c r="K263" s="9"/>
      <c r="L263" s="9"/>
      <c r="M263" s="9"/>
      <c r="N263" s="9"/>
      <c r="O263" s="12"/>
      <c r="P263" s="12"/>
      <c r="Q263" s="12"/>
      <c r="R263" s="12"/>
      <c r="S263" s="12"/>
      <c r="T263" s="12"/>
      <c r="V263" s="20">
        <f t="shared" si="144"/>
        <v>15</v>
      </c>
      <c r="W263" s="20">
        <f t="shared" si="144"/>
        <v>0</v>
      </c>
      <c r="X263" s="20">
        <f t="shared" si="144"/>
        <v>4</v>
      </c>
      <c r="Y263" s="20">
        <f t="shared" si="136"/>
        <v>9</v>
      </c>
      <c r="Z263" s="20">
        <f t="shared" si="136"/>
        <v>0</v>
      </c>
      <c r="AA263" s="20">
        <f t="shared" si="136"/>
        <v>0</v>
      </c>
      <c r="AC263" s="3">
        <f t="shared" si="117"/>
        <v>46</v>
      </c>
      <c r="AD263" s="3">
        <f t="shared" si="118"/>
        <v>41</v>
      </c>
      <c r="AE263" s="3">
        <f t="shared" si="119"/>
        <v>36</v>
      </c>
      <c r="AF263" s="3">
        <f t="shared" si="120"/>
        <v>30</v>
      </c>
      <c r="AG263" s="3">
        <f t="shared" si="121"/>
        <v>25</v>
      </c>
      <c r="AH263" s="3">
        <f t="shared" si="122"/>
        <v>20</v>
      </c>
      <c r="AI263" s="3">
        <f t="shared" si="123"/>
        <v>0</v>
      </c>
      <c r="AJ263" s="3">
        <f t="shared" si="124"/>
        <v>95</v>
      </c>
      <c r="AK263" s="3">
        <f t="shared" si="125"/>
        <v>90</v>
      </c>
      <c r="AL263" s="3">
        <f t="shared" si="126"/>
        <v>85</v>
      </c>
      <c r="AM263" s="3">
        <f t="shared" si="127"/>
        <v>80</v>
      </c>
      <c r="AN263" s="3">
        <f t="shared" si="128"/>
        <v>73</v>
      </c>
      <c r="AO263" s="3">
        <f t="shared" si="129"/>
        <v>68</v>
      </c>
      <c r="AP263" s="3">
        <f t="shared" si="130"/>
        <v>63</v>
      </c>
      <c r="AQ263" s="3">
        <f t="shared" si="131"/>
        <v>58</v>
      </c>
      <c r="AR263" s="3">
        <f t="shared" si="132"/>
        <v>51</v>
      </c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M263" s="35" t="s">
        <v>12</v>
      </c>
      <c r="BO263" s="35"/>
      <c r="BR263" s="9" t="str">
        <f t="shared" si="137"/>
        <v/>
      </c>
      <c r="BS263" s="37" t="str">
        <f t="shared" si="138"/>
        <v/>
      </c>
      <c r="BT263" s="38" t="str">
        <f t="shared" si="134"/>
        <v/>
      </c>
      <c r="BU263" s="36" t="str">
        <f t="shared" si="139"/>
        <v/>
      </c>
    </row>
    <row r="264" spans="2:73" ht="15">
      <c r="B264" s="16">
        <f t="shared" si="140"/>
        <v>44921</v>
      </c>
      <c r="C264" s="15" t="s">
        <v>1</v>
      </c>
      <c r="D264" s="17">
        <f t="shared" si="141"/>
        <v>44927</v>
      </c>
      <c r="E264" s="18">
        <f t="shared" si="142"/>
        <v>12</v>
      </c>
      <c r="F264" s="19">
        <f t="shared" si="143"/>
        <v>2023</v>
      </c>
      <c r="G264" s="9">
        <f t="shared" si="145"/>
        <v>17</v>
      </c>
      <c r="H264" s="8">
        <f t="shared" si="145"/>
        <v>95</v>
      </c>
      <c r="I264" s="9"/>
      <c r="J264" s="9"/>
      <c r="K264" s="9"/>
      <c r="L264" s="9"/>
      <c r="M264" s="9"/>
      <c r="N264" s="9"/>
      <c r="O264" s="12"/>
      <c r="P264" s="12">
        <v>1</v>
      </c>
      <c r="Q264" s="12"/>
      <c r="R264" s="12"/>
      <c r="S264" s="12"/>
      <c r="T264" s="12"/>
      <c r="V264" s="20">
        <f t="shared" si="144"/>
        <v>16</v>
      </c>
      <c r="W264" s="20">
        <f t="shared" si="144"/>
        <v>44923</v>
      </c>
      <c r="X264" s="20">
        <f t="shared" si="144"/>
        <v>5</v>
      </c>
      <c r="Y264" s="20">
        <f t="shared" si="136"/>
        <v>10</v>
      </c>
      <c r="Z264" s="20">
        <f t="shared" si="136"/>
        <v>0</v>
      </c>
      <c r="AA264" s="20">
        <f t="shared" si="136"/>
        <v>0</v>
      </c>
      <c r="AC264" s="3">
        <f t="shared" si="117"/>
        <v>47</v>
      </c>
      <c r="AD264" s="3">
        <f t="shared" si="118"/>
        <v>42</v>
      </c>
      <c r="AE264" s="3">
        <f t="shared" si="119"/>
        <v>37</v>
      </c>
      <c r="AF264" s="3">
        <f t="shared" si="120"/>
        <v>31</v>
      </c>
      <c r="AG264" s="3">
        <f t="shared" si="121"/>
        <v>26</v>
      </c>
      <c r="AH264" s="3">
        <f t="shared" si="122"/>
        <v>21</v>
      </c>
      <c r="AI264" s="3">
        <f t="shared" si="123"/>
        <v>0</v>
      </c>
      <c r="AJ264" s="3">
        <f t="shared" si="124"/>
        <v>0</v>
      </c>
      <c r="AK264" s="3">
        <f t="shared" si="125"/>
        <v>91</v>
      </c>
      <c r="AL264" s="3">
        <f t="shared" si="126"/>
        <v>86</v>
      </c>
      <c r="AM264" s="3">
        <f t="shared" si="127"/>
        <v>81</v>
      </c>
      <c r="AN264" s="3">
        <f t="shared" si="128"/>
        <v>74</v>
      </c>
      <c r="AO264" s="3">
        <f t="shared" si="129"/>
        <v>69</v>
      </c>
      <c r="AP264" s="3">
        <f t="shared" si="130"/>
        <v>64</v>
      </c>
      <c r="AQ264" s="3">
        <f t="shared" si="131"/>
        <v>59</v>
      </c>
      <c r="AR264" s="3">
        <f t="shared" si="132"/>
        <v>52</v>
      </c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M264" s="35" t="s">
        <v>12</v>
      </c>
      <c r="BO264" s="35"/>
      <c r="BR264" s="9">
        <f t="shared" si="137"/>
        <v>2</v>
      </c>
      <c r="BS264" s="37">
        <f t="shared" si="138"/>
        <v>44923</v>
      </c>
      <c r="BT264" s="38">
        <f t="shared" si="134"/>
        <v>45042</v>
      </c>
      <c r="BU264" s="36">
        <f t="shared" si="139"/>
        <v>3</v>
      </c>
    </row>
    <row r="265" spans="2:73" ht="15">
      <c r="B265" s="16">
        <f t="shared" si="140"/>
        <v>44928</v>
      </c>
      <c r="C265" s="15" t="s">
        <v>1</v>
      </c>
      <c r="D265" s="17">
        <f t="shared" si="141"/>
        <v>44934</v>
      </c>
      <c r="E265" s="18">
        <f t="shared" si="142"/>
        <v>1</v>
      </c>
      <c r="F265" s="19">
        <f t="shared" si="143"/>
        <v>2023</v>
      </c>
      <c r="G265" s="9">
        <f t="shared" si="145"/>
        <v>17</v>
      </c>
      <c r="H265" s="8">
        <f t="shared" si="145"/>
        <v>95</v>
      </c>
      <c r="I265" s="9"/>
      <c r="J265" s="9"/>
      <c r="K265" s="9"/>
      <c r="L265" s="9"/>
      <c r="M265" s="9"/>
      <c r="N265" s="9"/>
      <c r="O265" s="12"/>
      <c r="P265" s="12"/>
      <c r="Q265" s="12"/>
      <c r="R265" s="12"/>
      <c r="S265" s="12"/>
      <c r="T265" s="12"/>
      <c r="V265" s="20">
        <f t="shared" si="144"/>
        <v>17</v>
      </c>
      <c r="W265" s="20">
        <f t="shared" si="144"/>
        <v>1</v>
      </c>
      <c r="X265" s="20">
        <f t="shared" si="144"/>
        <v>6</v>
      </c>
      <c r="Y265" s="20">
        <f t="shared" si="136"/>
        <v>11</v>
      </c>
      <c r="Z265" s="20">
        <f t="shared" si="136"/>
        <v>0</v>
      </c>
      <c r="AA265" s="20">
        <f t="shared" si="136"/>
        <v>0</v>
      </c>
      <c r="AC265" s="3">
        <f t="shared" si="117"/>
        <v>48</v>
      </c>
      <c r="AD265" s="3">
        <f t="shared" si="118"/>
        <v>43</v>
      </c>
      <c r="AE265" s="3">
        <f t="shared" si="119"/>
        <v>38</v>
      </c>
      <c r="AF265" s="3">
        <f t="shared" si="120"/>
        <v>32</v>
      </c>
      <c r="AG265" s="3">
        <f t="shared" si="121"/>
        <v>27</v>
      </c>
      <c r="AH265" s="3">
        <f t="shared" si="122"/>
        <v>22</v>
      </c>
      <c r="AI265" s="3">
        <f t="shared" si="123"/>
        <v>17</v>
      </c>
      <c r="AJ265" s="3">
        <f t="shared" si="124"/>
        <v>0</v>
      </c>
      <c r="AK265" s="3">
        <f t="shared" si="125"/>
        <v>92</v>
      </c>
      <c r="AL265" s="3">
        <f t="shared" si="126"/>
        <v>87</v>
      </c>
      <c r="AM265" s="3">
        <f t="shared" si="127"/>
        <v>82</v>
      </c>
      <c r="AN265" s="3">
        <f t="shared" si="128"/>
        <v>75</v>
      </c>
      <c r="AO265" s="3">
        <f t="shared" si="129"/>
        <v>70</v>
      </c>
      <c r="AP265" s="3">
        <f t="shared" si="130"/>
        <v>65</v>
      </c>
      <c r="AQ265" s="3">
        <f t="shared" si="131"/>
        <v>60</v>
      </c>
      <c r="AR265" s="3">
        <f t="shared" si="132"/>
        <v>53</v>
      </c>
      <c r="AS265" s="8"/>
      <c r="AT265" s="8"/>
      <c r="AU265" s="8"/>
      <c r="AV265" s="8"/>
      <c r="AW265" s="8"/>
      <c r="AX265" s="8"/>
      <c r="AY265" s="8">
        <v>1</v>
      </c>
      <c r="AZ265" s="8"/>
      <c r="BA265" s="8"/>
      <c r="BB265" s="8"/>
      <c r="BC265" s="8"/>
      <c r="BD265" s="8"/>
      <c r="BE265" s="8"/>
      <c r="BF265" s="8"/>
      <c r="BG265" s="8"/>
      <c r="BH265" s="8"/>
      <c r="BM265" s="35" t="s">
        <v>12</v>
      </c>
      <c r="BO265" s="35"/>
      <c r="BR265" s="9" t="str">
        <f t="shared" si="137"/>
        <v/>
      </c>
      <c r="BS265" s="37" t="str">
        <f t="shared" si="138"/>
        <v/>
      </c>
      <c r="BT265" s="38" t="str">
        <f t="shared" si="134"/>
        <v/>
      </c>
      <c r="BU265" s="36" t="str">
        <f t="shared" si="139"/>
        <v/>
      </c>
    </row>
    <row r="266" spans="2:73" ht="15">
      <c r="B266" s="16">
        <f t="shared" si="140"/>
        <v>44935</v>
      </c>
      <c r="C266" s="15" t="s">
        <v>1</v>
      </c>
      <c r="D266" s="17">
        <f t="shared" si="141"/>
        <v>44941</v>
      </c>
      <c r="E266" s="18">
        <f t="shared" si="142"/>
        <v>1</v>
      </c>
      <c r="F266" s="19">
        <f t="shared" si="143"/>
        <v>2023</v>
      </c>
      <c r="G266" s="9">
        <f t="shared" si="145"/>
        <v>17</v>
      </c>
      <c r="H266" s="8">
        <f t="shared" si="145"/>
        <v>95</v>
      </c>
      <c r="I266" s="9"/>
      <c r="J266" s="9"/>
      <c r="K266" s="9"/>
      <c r="L266" s="9"/>
      <c r="M266" s="9"/>
      <c r="N266" s="9"/>
      <c r="O266" s="12"/>
      <c r="P266" s="12"/>
      <c r="Q266" s="12"/>
      <c r="R266" s="12"/>
      <c r="S266" s="12"/>
      <c r="T266" s="12"/>
      <c r="V266" s="20">
        <f t="shared" si="144"/>
        <v>0</v>
      </c>
      <c r="W266" s="20">
        <f t="shared" si="144"/>
        <v>2</v>
      </c>
      <c r="X266" s="20">
        <f t="shared" si="144"/>
        <v>7</v>
      </c>
      <c r="Y266" s="20">
        <f t="shared" si="136"/>
        <v>12</v>
      </c>
      <c r="Z266" s="20">
        <f t="shared" si="136"/>
        <v>0</v>
      </c>
      <c r="AA266" s="20">
        <f t="shared" si="136"/>
        <v>0</v>
      </c>
      <c r="AC266" s="3">
        <f t="shared" si="117"/>
        <v>49</v>
      </c>
      <c r="AD266" s="3">
        <f t="shared" si="118"/>
        <v>44</v>
      </c>
      <c r="AE266" s="3">
        <f t="shared" si="119"/>
        <v>39</v>
      </c>
      <c r="AF266" s="3">
        <f t="shared" si="120"/>
        <v>33</v>
      </c>
      <c r="AG266" s="3">
        <f t="shared" si="121"/>
        <v>28</v>
      </c>
      <c r="AH266" s="3">
        <f t="shared" si="122"/>
        <v>23</v>
      </c>
      <c r="AI266" s="3">
        <f t="shared" si="123"/>
        <v>18</v>
      </c>
      <c r="AJ266" s="3">
        <f t="shared" si="124"/>
        <v>0</v>
      </c>
      <c r="AK266" s="3">
        <f t="shared" si="125"/>
        <v>93</v>
      </c>
      <c r="AL266" s="3">
        <f t="shared" si="126"/>
        <v>88</v>
      </c>
      <c r="AM266" s="3">
        <f t="shared" si="127"/>
        <v>83</v>
      </c>
      <c r="AN266" s="3">
        <f t="shared" si="128"/>
        <v>76</v>
      </c>
      <c r="AO266" s="3">
        <f t="shared" si="129"/>
        <v>71</v>
      </c>
      <c r="AP266" s="3">
        <f t="shared" si="130"/>
        <v>66</v>
      </c>
      <c r="AQ266" s="3">
        <f t="shared" si="131"/>
        <v>61</v>
      </c>
      <c r="AR266" s="3">
        <f t="shared" si="132"/>
        <v>54</v>
      </c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M266" s="35" t="s">
        <v>12</v>
      </c>
      <c r="BO266" s="35"/>
      <c r="BR266" s="9" t="str">
        <f t="shared" si="137"/>
        <v/>
      </c>
      <c r="BS266" s="37" t="str">
        <f t="shared" si="138"/>
        <v/>
      </c>
      <c r="BT266" s="38" t="str">
        <f t="shared" si="134"/>
        <v/>
      </c>
      <c r="BU266" s="36" t="str">
        <f t="shared" si="139"/>
        <v/>
      </c>
    </row>
    <row r="267" spans="2:73" ht="15">
      <c r="B267" s="16">
        <f t="shared" si="140"/>
        <v>44942</v>
      </c>
      <c r="C267" s="15" t="s">
        <v>1</v>
      </c>
      <c r="D267" s="17">
        <f t="shared" si="141"/>
        <v>44948</v>
      </c>
      <c r="E267" s="18">
        <f t="shared" si="142"/>
        <v>1</v>
      </c>
      <c r="F267" s="19">
        <f t="shared" si="143"/>
        <v>2023</v>
      </c>
      <c r="G267" s="9">
        <f t="shared" si="145"/>
        <v>17</v>
      </c>
      <c r="H267" s="8">
        <f t="shared" si="145"/>
        <v>95</v>
      </c>
      <c r="I267" s="9"/>
      <c r="J267" s="9"/>
      <c r="K267" s="9"/>
      <c r="L267" s="9"/>
      <c r="M267" s="9"/>
      <c r="N267" s="9"/>
      <c r="O267" s="12"/>
      <c r="P267" s="12"/>
      <c r="Q267" s="12"/>
      <c r="R267" s="12"/>
      <c r="S267" s="12"/>
      <c r="T267" s="12"/>
      <c r="V267" s="20">
        <f t="shared" si="144"/>
        <v>0</v>
      </c>
      <c r="W267" s="20">
        <f t="shared" si="144"/>
        <v>3</v>
      </c>
      <c r="X267" s="20">
        <f t="shared" si="144"/>
        <v>8</v>
      </c>
      <c r="Y267" s="20">
        <f t="shared" si="136"/>
        <v>13</v>
      </c>
      <c r="Z267" s="20">
        <f t="shared" si="136"/>
        <v>0</v>
      </c>
      <c r="AA267" s="20">
        <f t="shared" si="136"/>
        <v>0</v>
      </c>
      <c r="AC267" s="3">
        <f t="shared" si="117"/>
        <v>50</v>
      </c>
      <c r="AD267" s="3">
        <f t="shared" si="118"/>
        <v>45</v>
      </c>
      <c r="AE267" s="3">
        <f t="shared" si="119"/>
        <v>40</v>
      </c>
      <c r="AF267" s="3">
        <f t="shared" si="120"/>
        <v>34</v>
      </c>
      <c r="AG267" s="3">
        <f t="shared" si="121"/>
        <v>29</v>
      </c>
      <c r="AH267" s="3">
        <f t="shared" si="122"/>
        <v>24</v>
      </c>
      <c r="AI267" s="3">
        <f t="shared" si="123"/>
        <v>19</v>
      </c>
      <c r="AJ267" s="3">
        <f t="shared" si="124"/>
        <v>0</v>
      </c>
      <c r="AK267" s="3">
        <f t="shared" si="125"/>
        <v>94</v>
      </c>
      <c r="AL267" s="3">
        <f t="shared" si="126"/>
        <v>89</v>
      </c>
      <c r="AM267" s="3">
        <f t="shared" si="127"/>
        <v>84</v>
      </c>
      <c r="AN267" s="3">
        <f t="shared" si="128"/>
        <v>77</v>
      </c>
      <c r="AO267" s="3">
        <f t="shared" si="129"/>
        <v>72</v>
      </c>
      <c r="AP267" s="3">
        <f t="shared" si="130"/>
        <v>67</v>
      </c>
      <c r="AQ267" s="3">
        <f t="shared" si="131"/>
        <v>62</v>
      </c>
      <c r="AR267" s="3">
        <f t="shared" si="132"/>
        <v>55</v>
      </c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L267">
        <v>3</v>
      </c>
      <c r="BM267" s="35">
        <v>44942</v>
      </c>
      <c r="BO267" s="35">
        <f>B284</f>
        <v>45061</v>
      </c>
      <c r="BP267">
        <v>98</v>
      </c>
      <c r="BR267" s="9" t="str">
        <f t="shared" si="137"/>
        <v/>
      </c>
      <c r="BS267" s="37" t="str">
        <f t="shared" si="138"/>
        <v/>
      </c>
      <c r="BT267" s="38" t="str">
        <f t="shared" si="134"/>
        <v/>
      </c>
      <c r="BU267" s="36" t="str">
        <f t="shared" si="139"/>
        <v/>
      </c>
    </row>
    <row r="268" spans="2:73" ht="15">
      <c r="B268" s="16">
        <f t="shared" si="140"/>
        <v>44949</v>
      </c>
      <c r="C268" s="15" t="s">
        <v>1</v>
      </c>
      <c r="D268" s="17">
        <f t="shared" si="141"/>
        <v>44955</v>
      </c>
      <c r="E268" s="18">
        <f t="shared" si="142"/>
        <v>1</v>
      </c>
      <c r="F268" s="19">
        <f t="shared" si="143"/>
        <v>2023</v>
      </c>
      <c r="G268" s="9">
        <f t="shared" si="145"/>
        <v>17</v>
      </c>
      <c r="H268" s="8">
        <f t="shared" si="145"/>
        <v>95</v>
      </c>
      <c r="I268" s="9"/>
      <c r="J268" s="9"/>
      <c r="K268" s="9"/>
      <c r="L268" s="9"/>
      <c r="M268" s="9"/>
      <c r="N268" s="9"/>
      <c r="O268" s="12"/>
      <c r="P268" s="12"/>
      <c r="Q268" s="12"/>
      <c r="R268" s="12"/>
      <c r="S268" s="12"/>
      <c r="T268" s="12"/>
      <c r="V268" s="20">
        <f t="shared" si="144"/>
        <v>0</v>
      </c>
      <c r="W268" s="20">
        <f t="shared" si="144"/>
        <v>4</v>
      </c>
      <c r="X268" s="20">
        <f t="shared" si="144"/>
        <v>9</v>
      </c>
      <c r="Y268" s="20">
        <f t="shared" si="136"/>
        <v>14</v>
      </c>
      <c r="Z268" s="20">
        <f t="shared" si="136"/>
        <v>0</v>
      </c>
      <c r="AA268" s="20">
        <f t="shared" si="136"/>
        <v>0</v>
      </c>
      <c r="AC268" s="3">
        <f t="shared" si="117"/>
        <v>51</v>
      </c>
      <c r="AD268" s="3">
        <f t="shared" si="118"/>
        <v>46</v>
      </c>
      <c r="AE268" s="3">
        <f t="shared" si="119"/>
        <v>41</v>
      </c>
      <c r="AF268" s="3">
        <f t="shared" si="120"/>
        <v>35</v>
      </c>
      <c r="AG268" s="3">
        <f t="shared" si="121"/>
        <v>30</v>
      </c>
      <c r="AH268" s="3">
        <f t="shared" si="122"/>
        <v>25</v>
      </c>
      <c r="AI268" s="3">
        <f t="shared" si="123"/>
        <v>20</v>
      </c>
      <c r="AJ268" s="3">
        <f t="shared" si="124"/>
        <v>0</v>
      </c>
      <c r="AK268" s="3">
        <f t="shared" si="125"/>
        <v>95</v>
      </c>
      <c r="AL268" s="3">
        <f t="shared" si="126"/>
        <v>90</v>
      </c>
      <c r="AM268" s="3">
        <f t="shared" si="127"/>
        <v>85</v>
      </c>
      <c r="AN268" s="3">
        <f t="shared" si="128"/>
        <v>78</v>
      </c>
      <c r="AO268" s="3">
        <f t="shared" si="129"/>
        <v>73</v>
      </c>
      <c r="AP268" s="3">
        <f t="shared" si="130"/>
        <v>68</v>
      </c>
      <c r="AQ268" s="3">
        <f t="shared" si="131"/>
        <v>63</v>
      </c>
      <c r="AR268" s="3">
        <f t="shared" si="132"/>
        <v>56</v>
      </c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M268" s="35" t="s">
        <v>12</v>
      </c>
      <c r="BO268" s="35"/>
      <c r="BR268" s="9" t="str">
        <f t="shared" si="137"/>
        <v/>
      </c>
      <c r="BS268" s="37" t="str">
        <f t="shared" si="138"/>
        <v/>
      </c>
      <c r="BT268" s="38" t="str">
        <f t="shared" si="134"/>
        <v/>
      </c>
      <c r="BU268" s="36" t="str">
        <f t="shared" si="139"/>
        <v/>
      </c>
    </row>
    <row r="269" spans="2:73" ht="15">
      <c r="B269" s="16">
        <f t="shared" si="140"/>
        <v>44956</v>
      </c>
      <c r="C269" s="15" t="s">
        <v>1</v>
      </c>
      <c r="D269" s="17">
        <f t="shared" si="141"/>
        <v>44962</v>
      </c>
      <c r="E269" s="18">
        <f t="shared" si="142"/>
        <v>1</v>
      </c>
      <c r="F269" s="19">
        <f t="shared" si="143"/>
        <v>2023</v>
      </c>
      <c r="G269" s="9">
        <f t="shared" si="145"/>
        <v>17</v>
      </c>
      <c r="H269" s="8">
        <f t="shared" si="145"/>
        <v>95</v>
      </c>
      <c r="I269" s="9"/>
      <c r="J269" s="9"/>
      <c r="K269" s="9"/>
      <c r="L269" s="9"/>
      <c r="M269" s="9"/>
      <c r="N269" s="9"/>
      <c r="O269" s="12">
        <v>1</v>
      </c>
      <c r="P269" s="12"/>
      <c r="Q269" s="12"/>
      <c r="R269" s="12"/>
      <c r="S269" s="12"/>
      <c r="T269" s="12"/>
      <c r="V269" s="20">
        <f t="shared" si="144"/>
        <v>44958</v>
      </c>
      <c r="W269" s="20">
        <f t="shared" si="144"/>
        <v>5</v>
      </c>
      <c r="X269" s="20">
        <f t="shared" si="144"/>
        <v>10</v>
      </c>
      <c r="Y269" s="20">
        <f t="shared" si="136"/>
        <v>15</v>
      </c>
      <c r="Z269" s="20">
        <f t="shared" si="136"/>
        <v>0</v>
      </c>
      <c r="AA269" s="20">
        <f t="shared" si="136"/>
        <v>0</v>
      </c>
      <c r="AC269" s="3">
        <f t="shared" si="117"/>
        <v>52</v>
      </c>
      <c r="AD269" s="3">
        <f t="shared" si="118"/>
        <v>47</v>
      </c>
      <c r="AE269" s="3">
        <f t="shared" si="119"/>
        <v>42</v>
      </c>
      <c r="AF269" s="3">
        <f t="shared" si="120"/>
        <v>36</v>
      </c>
      <c r="AG269" s="3">
        <f t="shared" si="121"/>
        <v>31</v>
      </c>
      <c r="AH269" s="3">
        <f t="shared" si="122"/>
        <v>26</v>
      </c>
      <c r="AI269" s="3">
        <f t="shared" si="123"/>
        <v>21</v>
      </c>
      <c r="AJ269" s="3">
        <f t="shared" si="124"/>
        <v>0</v>
      </c>
      <c r="AK269" s="3">
        <f t="shared" si="125"/>
        <v>0</v>
      </c>
      <c r="AL269" s="3">
        <f t="shared" si="126"/>
        <v>91</v>
      </c>
      <c r="AM269" s="3">
        <f t="shared" si="127"/>
        <v>86</v>
      </c>
      <c r="AN269" s="3">
        <f t="shared" si="128"/>
        <v>79</v>
      </c>
      <c r="AO269" s="3">
        <f t="shared" si="129"/>
        <v>74</v>
      </c>
      <c r="AP269" s="3">
        <f t="shared" si="130"/>
        <v>69</v>
      </c>
      <c r="AQ269" s="3">
        <f t="shared" si="131"/>
        <v>64</v>
      </c>
      <c r="AR269" s="3">
        <f t="shared" si="132"/>
        <v>57</v>
      </c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M269" s="35" t="s">
        <v>12</v>
      </c>
      <c r="BO269" s="35"/>
      <c r="BR269" s="9">
        <f t="shared" si="137"/>
        <v>1</v>
      </c>
      <c r="BS269" s="37">
        <f t="shared" si="138"/>
        <v>44958</v>
      </c>
      <c r="BT269" s="38">
        <f t="shared" si="134"/>
        <v>45077</v>
      </c>
      <c r="BU269" s="36">
        <f t="shared" si="139"/>
        <v>4</v>
      </c>
    </row>
    <row r="270" spans="2:73" ht="15">
      <c r="B270" s="16">
        <f t="shared" si="140"/>
        <v>44963</v>
      </c>
      <c r="C270" s="15" t="s">
        <v>1</v>
      </c>
      <c r="D270" s="17">
        <f t="shared" si="141"/>
        <v>44969</v>
      </c>
      <c r="E270" s="18">
        <f t="shared" si="142"/>
        <v>2</v>
      </c>
      <c r="F270" s="19">
        <f t="shared" si="143"/>
        <v>2023</v>
      </c>
      <c r="G270" s="9">
        <f t="shared" si="145"/>
        <v>17</v>
      </c>
      <c r="H270" s="8">
        <f t="shared" si="145"/>
        <v>95</v>
      </c>
      <c r="I270" s="9"/>
      <c r="J270" s="9"/>
      <c r="K270" s="9"/>
      <c r="L270" s="9"/>
      <c r="M270" s="9"/>
      <c r="N270" s="9"/>
      <c r="O270" s="12"/>
      <c r="P270" s="12"/>
      <c r="Q270" s="12"/>
      <c r="R270" s="12"/>
      <c r="S270" s="12"/>
      <c r="T270" s="12"/>
      <c r="V270" s="20">
        <f t="shared" si="144"/>
        <v>1</v>
      </c>
      <c r="W270" s="20">
        <f t="shared" si="144"/>
        <v>6</v>
      </c>
      <c r="X270" s="20">
        <f t="shared" si="144"/>
        <v>11</v>
      </c>
      <c r="Y270" s="20">
        <f t="shared" si="136"/>
        <v>16</v>
      </c>
      <c r="Z270" s="20">
        <f t="shared" si="136"/>
        <v>0</v>
      </c>
      <c r="AA270" s="20">
        <f t="shared" si="136"/>
        <v>0</v>
      </c>
      <c r="AC270" s="3">
        <f t="shared" si="117"/>
        <v>53</v>
      </c>
      <c r="AD270" s="3">
        <f t="shared" si="118"/>
        <v>48</v>
      </c>
      <c r="AE270" s="3">
        <f t="shared" si="119"/>
        <v>43</v>
      </c>
      <c r="AF270" s="3">
        <f t="shared" si="120"/>
        <v>37</v>
      </c>
      <c r="AG270" s="3">
        <f t="shared" si="121"/>
        <v>32</v>
      </c>
      <c r="AH270" s="3">
        <f t="shared" si="122"/>
        <v>27</v>
      </c>
      <c r="AI270" s="3">
        <f t="shared" si="123"/>
        <v>22</v>
      </c>
      <c r="AJ270" s="3">
        <f t="shared" si="124"/>
        <v>0</v>
      </c>
      <c r="AK270" s="3">
        <f t="shared" si="125"/>
        <v>0</v>
      </c>
      <c r="AL270" s="3">
        <f t="shared" si="126"/>
        <v>92</v>
      </c>
      <c r="AM270" s="3">
        <f t="shared" si="127"/>
        <v>87</v>
      </c>
      <c r="AN270" s="3">
        <f t="shared" si="128"/>
        <v>80</v>
      </c>
      <c r="AO270" s="3">
        <f t="shared" si="129"/>
        <v>75</v>
      </c>
      <c r="AP270" s="3">
        <f t="shared" si="130"/>
        <v>70</v>
      </c>
      <c r="AQ270" s="3">
        <f t="shared" si="131"/>
        <v>65</v>
      </c>
      <c r="AR270" s="3">
        <f t="shared" si="132"/>
        <v>58</v>
      </c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M270" s="35" t="s">
        <v>12</v>
      </c>
      <c r="BO270" s="35"/>
      <c r="BR270" s="9" t="str">
        <f t="shared" si="137"/>
        <v/>
      </c>
      <c r="BS270" s="37" t="str">
        <f t="shared" si="138"/>
        <v/>
      </c>
      <c r="BT270" s="38" t="str">
        <f t="shared" si="134"/>
        <v/>
      </c>
      <c r="BU270" s="36" t="str">
        <f t="shared" si="139"/>
        <v/>
      </c>
    </row>
    <row r="271" spans="2:73" ht="15">
      <c r="B271" s="16">
        <f t="shared" si="140"/>
        <v>44970</v>
      </c>
      <c r="C271" s="15" t="s">
        <v>1</v>
      </c>
      <c r="D271" s="17">
        <f t="shared" si="141"/>
        <v>44976</v>
      </c>
      <c r="E271" s="18">
        <f t="shared" si="142"/>
        <v>2</v>
      </c>
      <c r="F271" s="19">
        <f t="shared" si="143"/>
        <v>2023</v>
      </c>
      <c r="G271" s="9">
        <f t="shared" si="145"/>
        <v>17</v>
      </c>
      <c r="H271" s="8">
        <f t="shared" si="145"/>
        <v>95</v>
      </c>
      <c r="I271" s="9"/>
      <c r="J271" s="9"/>
      <c r="K271" s="9"/>
      <c r="L271" s="9"/>
      <c r="M271" s="9"/>
      <c r="N271" s="9"/>
      <c r="O271" s="12"/>
      <c r="P271" s="12"/>
      <c r="Q271" s="12"/>
      <c r="R271" s="12"/>
      <c r="S271" s="12"/>
      <c r="T271" s="12"/>
      <c r="V271" s="20">
        <f t="shared" si="144"/>
        <v>2</v>
      </c>
      <c r="W271" s="20">
        <f t="shared" si="144"/>
        <v>7</v>
      </c>
      <c r="X271" s="20">
        <f t="shared" si="144"/>
        <v>12</v>
      </c>
      <c r="Y271" s="20">
        <f t="shared" si="136"/>
        <v>17</v>
      </c>
      <c r="Z271" s="20">
        <f t="shared" si="136"/>
        <v>0</v>
      </c>
      <c r="AA271" s="20">
        <f t="shared" si="136"/>
        <v>0</v>
      </c>
      <c r="AC271" s="3">
        <f t="shared" si="117"/>
        <v>54</v>
      </c>
      <c r="AD271" s="3">
        <f t="shared" si="118"/>
        <v>49</v>
      </c>
      <c r="AE271" s="3">
        <f t="shared" si="119"/>
        <v>44</v>
      </c>
      <c r="AF271" s="3">
        <f t="shared" si="120"/>
        <v>38</v>
      </c>
      <c r="AG271" s="3">
        <f t="shared" si="121"/>
        <v>33</v>
      </c>
      <c r="AH271" s="3">
        <f t="shared" si="122"/>
        <v>28</v>
      </c>
      <c r="AI271" s="3">
        <f t="shared" si="123"/>
        <v>23</v>
      </c>
      <c r="AJ271" s="3">
        <f t="shared" si="124"/>
        <v>17</v>
      </c>
      <c r="AK271" s="3">
        <f t="shared" si="125"/>
        <v>0</v>
      </c>
      <c r="AL271" s="3">
        <f t="shared" si="126"/>
        <v>93</v>
      </c>
      <c r="AM271" s="3">
        <f t="shared" si="127"/>
        <v>88</v>
      </c>
      <c r="AN271" s="3">
        <f t="shared" si="128"/>
        <v>81</v>
      </c>
      <c r="AO271" s="3">
        <f t="shared" si="129"/>
        <v>76</v>
      </c>
      <c r="AP271" s="3">
        <f t="shared" si="130"/>
        <v>71</v>
      </c>
      <c r="AQ271" s="3">
        <f t="shared" si="131"/>
        <v>66</v>
      </c>
      <c r="AR271" s="3">
        <f t="shared" si="132"/>
        <v>59</v>
      </c>
      <c r="AS271" s="8"/>
      <c r="AT271" s="8"/>
      <c r="AU271" s="8"/>
      <c r="AV271" s="8"/>
      <c r="AW271" s="8"/>
      <c r="AX271" s="8"/>
      <c r="AY271" s="8"/>
      <c r="AZ271" s="8">
        <v>4</v>
      </c>
      <c r="BA271" s="8"/>
      <c r="BB271" s="8"/>
      <c r="BC271" s="8"/>
      <c r="BD271" s="8"/>
      <c r="BE271" s="8"/>
      <c r="BF271" s="8"/>
      <c r="BG271" s="8"/>
      <c r="BH271" s="8"/>
      <c r="BM271" s="35" t="s">
        <v>12</v>
      </c>
      <c r="BO271" s="35"/>
      <c r="BR271" s="9" t="str">
        <f t="shared" si="137"/>
        <v/>
      </c>
      <c r="BS271" s="37" t="str">
        <f t="shared" si="138"/>
        <v/>
      </c>
      <c r="BT271" s="38" t="str">
        <f t="shared" si="134"/>
        <v/>
      </c>
      <c r="BU271" s="36" t="str">
        <f t="shared" si="139"/>
        <v/>
      </c>
    </row>
    <row r="272" spans="2:73" ht="15">
      <c r="B272" s="16">
        <f t="shared" si="140"/>
        <v>44977</v>
      </c>
      <c r="C272" s="15" t="s">
        <v>1</v>
      </c>
      <c r="D272" s="17">
        <f t="shared" si="141"/>
        <v>44983</v>
      </c>
      <c r="E272" s="18">
        <f t="shared" si="142"/>
        <v>2</v>
      </c>
      <c r="F272" s="19">
        <f t="shared" si="143"/>
        <v>2023</v>
      </c>
      <c r="G272" s="9">
        <f t="shared" si="145"/>
        <v>17</v>
      </c>
      <c r="H272" s="8">
        <f t="shared" si="145"/>
        <v>95</v>
      </c>
      <c r="I272" s="9"/>
      <c r="J272" s="9"/>
      <c r="K272" s="9"/>
      <c r="L272" s="9"/>
      <c r="M272" s="9"/>
      <c r="N272" s="9"/>
      <c r="O272" s="12"/>
      <c r="P272" s="12"/>
      <c r="Q272" s="12"/>
      <c r="R272" s="12"/>
      <c r="S272" s="12"/>
      <c r="T272" s="12"/>
      <c r="V272" s="20">
        <f t="shared" si="144"/>
        <v>3</v>
      </c>
      <c r="W272" s="20">
        <f t="shared" si="144"/>
        <v>8</v>
      </c>
      <c r="X272" s="20">
        <f t="shared" si="144"/>
        <v>13</v>
      </c>
      <c r="Y272" s="20">
        <f t="shared" si="136"/>
        <v>0</v>
      </c>
      <c r="Z272" s="20">
        <f t="shared" si="136"/>
        <v>0</v>
      </c>
      <c r="AA272" s="20">
        <f t="shared" si="136"/>
        <v>0</v>
      </c>
      <c r="AC272" s="3">
        <f t="shared" si="117"/>
        <v>55</v>
      </c>
      <c r="AD272" s="3">
        <f t="shared" si="118"/>
        <v>50</v>
      </c>
      <c r="AE272" s="3">
        <f t="shared" si="119"/>
        <v>45</v>
      </c>
      <c r="AF272" s="3">
        <f t="shared" si="120"/>
        <v>39</v>
      </c>
      <c r="AG272" s="3">
        <f t="shared" si="121"/>
        <v>34</v>
      </c>
      <c r="AH272" s="3">
        <f t="shared" si="122"/>
        <v>29</v>
      </c>
      <c r="AI272" s="3">
        <f t="shared" si="123"/>
        <v>24</v>
      </c>
      <c r="AJ272" s="3">
        <f t="shared" si="124"/>
        <v>18</v>
      </c>
      <c r="AK272" s="3">
        <f t="shared" si="125"/>
        <v>0</v>
      </c>
      <c r="AL272" s="3">
        <f t="shared" si="126"/>
        <v>94</v>
      </c>
      <c r="AM272" s="3">
        <f t="shared" si="127"/>
        <v>89</v>
      </c>
      <c r="AN272" s="3">
        <f t="shared" si="128"/>
        <v>82</v>
      </c>
      <c r="AO272" s="3">
        <f t="shared" si="129"/>
        <v>77</v>
      </c>
      <c r="AP272" s="3">
        <f t="shared" si="130"/>
        <v>72</v>
      </c>
      <c r="AQ272" s="3">
        <f t="shared" si="131"/>
        <v>67</v>
      </c>
      <c r="AR272" s="3">
        <f t="shared" si="132"/>
        <v>60</v>
      </c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L272">
        <v>4</v>
      </c>
      <c r="BM272" s="35">
        <v>44977</v>
      </c>
      <c r="BO272" s="35">
        <f>B289</f>
        <v>45096</v>
      </c>
      <c r="BR272" s="9" t="str">
        <f t="shared" si="137"/>
        <v/>
      </c>
      <c r="BS272" s="37" t="str">
        <f t="shared" si="138"/>
        <v/>
      </c>
      <c r="BT272" s="38" t="str">
        <f t="shared" si="134"/>
        <v/>
      </c>
      <c r="BU272" s="36" t="str">
        <f t="shared" si="139"/>
        <v/>
      </c>
    </row>
    <row r="273" spans="2:73" ht="15">
      <c r="B273" s="16">
        <f t="shared" si="140"/>
        <v>44984</v>
      </c>
      <c r="C273" s="15" t="s">
        <v>1</v>
      </c>
      <c r="D273" s="17">
        <f t="shared" si="141"/>
        <v>44990</v>
      </c>
      <c r="E273" s="18">
        <f t="shared" si="142"/>
        <v>2</v>
      </c>
      <c r="F273" s="19">
        <f t="shared" si="143"/>
        <v>2023</v>
      </c>
      <c r="G273" s="9">
        <f t="shared" si="145"/>
        <v>17</v>
      </c>
      <c r="H273" s="8">
        <f t="shared" si="145"/>
        <v>95</v>
      </c>
      <c r="I273" s="9"/>
      <c r="J273" s="9"/>
      <c r="K273" s="9"/>
      <c r="L273" s="9"/>
      <c r="M273" s="9"/>
      <c r="N273" s="9"/>
      <c r="O273" s="12"/>
      <c r="P273" s="12"/>
      <c r="Q273" s="12"/>
      <c r="R273" s="12"/>
      <c r="S273" s="12"/>
      <c r="T273" s="12"/>
      <c r="V273" s="20">
        <f t="shared" si="144"/>
        <v>4</v>
      </c>
      <c r="W273" s="20">
        <f t="shared" si="144"/>
        <v>9</v>
      </c>
      <c r="X273" s="20">
        <f t="shared" si="144"/>
        <v>14</v>
      </c>
      <c r="Y273" s="20">
        <f t="shared" si="136"/>
        <v>0</v>
      </c>
      <c r="Z273" s="20">
        <f t="shared" si="136"/>
        <v>0</v>
      </c>
      <c r="AA273" s="20">
        <f t="shared" si="136"/>
        <v>0</v>
      </c>
      <c r="AC273" s="3">
        <f t="shared" si="117"/>
        <v>56</v>
      </c>
      <c r="AD273" s="3">
        <f t="shared" si="118"/>
        <v>51</v>
      </c>
      <c r="AE273" s="3">
        <f t="shared" si="119"/>
        <v>46</v>
      </c>
      <c r="AF273" s="3">
        <f t="shared" si="120"/>
        <v>40</v>
      </c>
      <c r="AG273" s="3">
        <f t="shared" si="121"/>
        <v>35</v>
      </c>
      <c r="AH273" s="3">
        <f t="shared" si="122"/>
        <v>30</v>
      </c>
      <c r="AI273" s="3">
        <f t="shared" si="123"/>
        <v>25</v>
      </c>
      <c r="AJ273" s="3">
        <f t="shared" si="124"/>
        <v>19</v>
      </c>
      <c r="AK273" s="3">
        <f t="shared" si="125"/>
        <v>0</v>
      </c>
      <c r="AL273" s="3">
        <f t="shared" si="126"/>
        <v>95</v>
      </c>
      <c r="AM273" s="3">
        <f t="shared" si="127"/>
        <v>90</v>
      </c>
      <c r="AN273" s="3">
        <f t="shared" si="128"/>
        <v>83</v>
      </c>
      <c r="AO273" s="3">
        <f t="shared" si="129"/>
        <v>78</v>
      </c>
      <c r="AP273" s="3">
        <f t="shared" si="130"/>
        <v>73</v>
      </c>
      <c r="AQ273" s="3">
        <f t="shared" si="131"/>
        <v>68</v>
      </c>
      <c r="AR273" s="3">
        <f t="shared" si="132"/>
        <v>61</v>
      </c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M273" s="35" t="s">
        <v>12</v>
      </c>
      <c r="BO273" s="35"/>
      <c r="BR273" s="9" t="str">
        <f t="shared" si="137"/>
        <v/>
      </c>
      <c r="BS273" s="37" t="str">
        <f t="shared" si="138"/>
        <v/>
      </c>
      <c r="BT273" s="38" t="str">
        <f t="shared" si="134"/>
        <v/>
      </c>
      <c r="BU273" s="36" t="str">
        <f t="shared" si="139"/>
        <v/>
      </c>
    </row>
    <row r="274" spans="2:73" ht="15">
      <c r="B274" s="16">
        <f t="shared" si="140"/>
        <v>44991</v>
      </c>
      <c r="C274" s="15" t="s">
        <v>1</v>
      </c>
      <c r="D274" s="17">
        <f t="shared" si="141"/>
        <v>44997</v>
      </c>
      <c r="E274" s="18">
        <f t="shared" si="142"/>
        <v>3</v>
      </c>
      <c r="F274" s="19">
        <f t="shared" si="143"/>
        <v>2023</v>
      </c>
      <c r="G274" s="9">
        <f t="shared" si="145"/>
        <v>17</v>
      </c>
      <c r="H274" s="8">
        <f t="shared" si="145"/>
        <v>95</v>
      </c>
      <c r="I274" s="9"/>
      <c r="J274" s="9"/>
      <c r="K274" s="9"/>
      <c r="L274" s="9"/>
      <c r="M274" s="9"/>
      <c r="N274" s="9"/>
      <c r="O274" s="12"/>
      <c r="P274" s="12"/>
      <c r="Q274" s="12"/>
      <c r="R274" s="12"/>
      <c r="S274" s="12"/>
      <c r="T274" s="12"/>
      <c r="V274" s="20">
        <f t="shared" si="144"/>
        <v>5</v>
      </c>
      <c r="W274" s="20">
        <f t="shared" si="144"/>
        <v>10</v>
      </c>
      <c r="X274" s="20">
        <f t="shared" si="144"/>
        <v>15</v>
      </c>
      <c r="Y274" s="20">
        <f t="shared" si="136"/>
        <v>0</v>
      </c>
      <c r="Z274" s="20">
        <f t="shared" si="136"/>
        <v>0</v>
      </c>
      <c r="AA274" s="20">
        <f t="shared" si="136"/>
        <v>0</v>
      </c>
      <c r="AC274" s="3">
        <f t="shared" si="117"/>
        <v>57</v>
      </c>
      <c r="AD274" s="3">
        <f t="shared" si="118"/>
        <v>52</v>
      </c>
      <c r="AE274" s="3">
        <f t="shared" si="119"/>
        <v>47</v>
      </c>
      <c r="AF274" s="3">
        <f t="shared" si="120"/>
        <v>41</v>
      </c>
      <c r="AG274" s="3">
        <f t="shared" si="121"/>
        <v>36</v>
      </c>
      <c r="AH274" s="3">
        <f t="shared" si="122"/>
        <v>31</v>
      </c>
      <c r="AI274" s="3">
        <f t="shared" si="123"/>
        <v>26</v>
      </c>
      <c r="AJ274" s="3">
        <f t="shared" si="124"/>
        <v>20</v>
      </c>
      <c r="AK274" s="3">
        <f t="shared" si="125"/>
        <v>0</v>
      </c>
      <c r="AL274" s="3">
        <f t="shared" si="126"/>
        <v>0</v>
      </c>
      <c r="AM274" s="3">
        <f t="shared" si="127"/>
        <v>91</v>
      </c>
      <c r="AN274" s="3">
        <f t="shared" si="128"/>
        <v>84</v>
      </c>
      <c r="AO274" s="3">
        <f t="shared" si="129"/>
        <v>79</v>
      </c>
      <c r="AP274" s="3">
        <f t="shared" si="130"/>
        <v>74</v>
      </c>
      <c r="AQ274" s="3">
        <f t="shared" si="131"/>
        <v>69</v>
      </c>
      <c r="AR274" s="3">
        <f t="shared" si="132"/>
        <v>62</v>
      </c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M274" s="35" t="s">
        <v>12</v>
      </c>
      <c r="BO274" s="35"/>
      <c r="BR274" s="9" t="str">
        <f t="shared" si="137"/>
        <v/>
      </c>
      <c r="BS274" s="37" t="str">
        <f t="shared" si="138"/>
        <v/>
      </c>
      <c r="BT274" s="38" t="str">
        <f t="shared" si="134"/>
        <v/>
      </c>
      <c r="BU274" s="36" t="str">
        <f t="shared" si="139"/>
        <v/>
      </c>
    </row>
    <row r="275" spans="2:73" ht="15">
      <c r="B275" s="16">
        <f t="shared" si="140"/>
        <v>44998</v>
      </c>
      <c r="C275" s="15" t="s">
        <v>1</v>
      </c>
      <c r="D275" s="17">
        <f t="shared" si="141"/>
        <v>45004</v>
      </c>
      <c r="E275" s="18">
        <f t="shared" si="142"/>
        <v>3</v>
      </c>
      <c r="F275" s="19">
        <f t="shared" si="143"/>
        <v>2023</v>
      </c>
      <c r="G275" s="9">
        <f t="shared" si="145"/>
        <v>17</v>
      </c>
      <c r="H275" s="8">
        <f t="shared" si="145"/>
        <v>95</v>
      </c>
      <c r="I275" s="9"/>
      <c r="J275" s="9"/>
      <c r="K275" s="9"/>
      <c r="L275" s="9"/>
      <c r="M275" s="9"/>
      <c r="N275" s="9"/>
      <c r="O275" s="12"/>
      <c r="P275" s="12"/>
      <c r="Q275" s="12"/>
      <c r="R275" s="12">
        <v>1</v>
      </c>
      <c r="S275" s="12"/>
      <c r="T275" s="12"/>
      <c r="V275" s="20">
        <f t="shared" si="144"/>
        <v>6</v>
      </c>
      <c r="W275" s="20">
        <f t="shared" si="144"/>
        <v>11</v>
      </c>
      <c r="X275" s="20">
        <f t="shared" si="144"/>
        <v>16</v>
      </c>
      <c r="Y275" s="20">
        <f t="shared" si="136"/>
        <v>45000</v>
      </c>
      <c r="Z275" s="20">
        <f t="shared" si="136"/>
        <v>0</v>
      </c>
      <c r="AA275" s="20">
        <f t="shared" si="136"/>
        <v>0</v>
      </c>
      <c r="AC275" s="3">
        <f t="shared" si="117"/>
        <v>58</v>
      </c>
      <c r="AD275" s="3">
        <f t="shared" si="118"/>
        <v>53</v>
      </c>
      <c r="AE275" s="3">
        <f t="shared" si="119"/>
        <v>48</v>
      </c>
      <c r="AF275" s="3">
        <f t="shared" si="120"/>
        <v>42</v>
      </c>
      <c r="AG275" s="3">
        <f t="shared" si="121"/>
        <v>37</v>
      </c>
      <c r="AH275" s="3">
        <f t="shared" si="122"/>
        <v>32</v>
      </c>
      <c r="AI275" s="3">
        <f t="shared" si="123"/>
        <v>27</v>
      </c>
      <c r="AJ275" s="3">
        <f t="shared" si="124"/>
        <v>21</v>
      </c>
      <c r="AK275" s="3">
        <f t="shared" si="125"/>
        <v>0</v>
      </c>
      <c r="AL275" s="3">
        <f t="shared" si="126"/>
        <v>0</v>
      </c>
      <c r="AM275" s="3">
        <f t="shared" si="127"/>
        <v>92</v>
      </c>
      <c r="AN275" s="3">
        <f t="shared" si="128"/>
        <v>85</v>
      </c>
      <c r="AO275" s="3">
        <f t="shared" si="129"/>
        <v>80</v>
      </c>
      <c r="AP275" s="3">
        <f t="shared" si="130"/>
        <v>75</v>
      </c>
      <c r="AQ275" s="3">
        <f t="shared" si="131"/>
        <v>70</v>
      </c>
      <c r="AR275" s="3">
        <f t="shared" si="132"/>
        <v>63</v>
      </c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M275" s="35" t="s">
        <v>12</v>
      </c>
      <c r="BO275" s="35"/>
      <c r="BR275" s="9">
        <f t="shared" si="137"/>
        <v>4</v>
      </c>
      <c r="BS275" s="37">
        <f t="shared" si="138"/>
        <v>45000</v>
      </c>
      <c r="BT275" s="38">
        <f t="shared" si="134"/>
        <v>45119</v>
      </c>
      <c r="BU275" s="36">
        <f t="shared" si="139"/>
        <v>5</v>
      </c>
    </row>
    <row r="276" spans="2:73" ht="15">
      <c r="B276" s="16">
        <f t="shared" si="140"/>
        <v>45005</v>
      </c>
      <c r="C276" s="15" t="s">
        <v>1</v>
      </c>
      <c r="D276" s="17">
        <f t="shared" si="141"/>
        <v>45011</v>
      </c>
      <c r="E276" s="18">
        <f t="shared" si="142"/>
        <v>3</v>
      </c>
      <c r="F276" s="19">
        <f t="shared" si="143"/>
        <v>2023</v>
      </c>
      <c r="G276" s="9">
        <f t="shared" si="145"/>
        <v>17</v>
      </c>
      <c r="H276" s="8">
        <f t="shared" si="145"/>
        <v>95</v>
      </c>
      <c r="I276" s="9"/>
      <c r="J276" s="9"/>
      <c r="K276" s="9"/>
      <c r="L276" s="9"/>
      <c r="M276" s="9"/>
      <c r="N276" s="9"/>
      <c r="O276" s="12"/>
      <c r="P276" s="12"/>
      <c r="Q276" s="12"/>
      <c r="R276" s="12"/>
      <c r="S276" s="12"/>
      <c r="T276" s="12"/>
      <c r="V276" s="20">
        <f t="shared" si="144"/>
        <v>7</v>
      </c>
      <c r="W276" s="20">
        <f t="shared" si="144"/>
        <v>12</v>
      </c>
      <c r="X276" s="20">
        <f t="shared" si="144"/>
        <v>17</v>
      </c>
      <c r="Y276" s="20">
        <f t="shared" si="136"/>
        <v>1</v>
      </c>
      <c r="Z276" s="20">
        <f t="shared" si="136"/>
        <v>0</v>
      </c>
      <c r="AA276" s="20">
        <f t="shared" si="136"/>
        <v>0</v>
      </c>
      <c r="AC276" s="3">
        <f t="shared" si="117"/>
        <v>59</v>
      </c>
      <c r="AD276" s="3">
        <f t="shared" si="118"/>
        <v>54</v>
      </c>
      <c r="AE276" s="3">
        <f t="shared" si="119"/>
        <v>49</v>
      </c>
      <c r="AF276" s="3">
        <f t="shared" si="120"/>
        <v>43</v>
      </c>
      <c r="AG276" s="3">
        <f t="shared" si="121"/>
        <v>38</v>
      </c>
      <c r="AH276" s="3">
        <f t="shared" si="122"/>
        <v>33</v>
      </c>
      <c r="AI276" s="3">
        <f t="shared" si="123"/>
        <v>28</v>
      </c>
      <c r="AJ276" s="3">
        <f t="shared" si="124"/>
        <v>22</v>
      </c>
      <c r="AK276" s="3">
        <f t="shared" si="125"/>
        <v>17</v>
      </c>
      <c r="AL276" s="3">
        <f t="shared" si="126"/>
        <v>0</v>
      </c>
      <c r="AM276" s="3">
        <f t="shared" si="127"/>
        <v>93</v>
      </c>
      <c r="AN276" s="3">
        <f t="shared" si="128"/>
        <v>86</v>
      </c>
      <c r="AO276" s="3">
        <f t="shared" si="129"/>
        <v>81</v>
      </c>
      <c r="AP276" s="3">
        <f t="shared" si="130"/>
        <v>76</v>
      </c>
      <c r="AQ276" s="3">
        <f t="shared" si="131"/>
        <v>71</v>
      </c>
      <c r="AR276" s="3">
        <f t="shared" si="132"/>
        <v>64</v>
      </c>
      <c r="AS276" s="8"/>
      <c r="AT276" s="8"/>
      <c r="AU276" s="8"/>
      <c r="AV276" s="8"/>
      <c r="AW276" s="8"/>
      <c r="AX276" s="8"/>
      <c r="AY276" s="8"/>
      <c r="AZ276" s="8"/>
      <c r="BA276" s="8">
        <v>3</v>
      </c>
      <c r="BB276" s="8"/>
      <c r="BC276" s="8"/>
      <c r="BD276" s="8"/>
      <c r="BE276" s="8"/>
      <c r="BF276" s="8"/>
      <c r="BG276" s="8"/>
      <c r="BH276" s="8"/>
      <c r="BM276" s="35" t="s">
        <v>12</v>
      </c>
      <c r="BO276" s="35"/>
      <c r="BR276" s="9" t="str">
        <f t="shared" si="137"/>
        <v/>
      </c>
      <c r="BS276" s="37" t="str">
        <f t="shared" si="138"/>
        <v/>
      </c>
      <c r="BT276" s="38" t="str">
        <f t="shared" si="134"/>
        <v/>
      </c>
      <c r="BU276" s="36" t="str">
        <f t="shared" si="139"/>
        <v/>
      </c>
    </row>
    <row r="277" spans="2:73" ht="15">
      <c r="B277" s="16">
        <f t="shared" si="140"/>
        <v>45012</v>
      </c>
      <c r="C277" s="15" t="s">
        <v>1</v>
      </c>
      <c r="D277" s="17">
        <f t="shared" si="141"/>
        <v>45018</v>
      </c>
      <c r="E277" s="18">
        <f t="shared" si="142"/>
        <v>3</v>
      </c>
      <c r="F277" s="19">
        <f t="shared" si="143"/>
        <v>2023</v>
      </c>
      <c r="G277" s="9">
        <f t="shared" si="145"/>
        <v>17</v>
      </c>
      <c r="H277" s="8">
        <f t="shared" si="145"/>
        <v>95</v>
      </c>
      <c r="I277" s="9"/>
      <c r="J277" s="9"/>
      <c r="K277" s="9"/>
      <c r="L277" s="9"/>
      <c r="M277" s="9"/>
      <c r="N277" s="9"/>
      <c r="O277" s="12"/>
      <c r="P277" s="12"/>
      <c r="Q277" s="12"/>
      <c r="R277" s="12"/>
      <c r="S277" s="12"/>
      <c r="T277" s="12"/>
      <c r="V277" s="20">
        <f t="shared" si="144"/>
        <v>8</v>
      </c>
      <c r="W277" s="20">
        <f t="shared" si="144"/>
        <v>13</v>
      </c>
      <c r="X277" s="20">
        <f t="shared" si="144"/>
        <v>0</v>
      </c>
      <c r="Y277" s="20">
        <f t="shared" si="136"/>
        <v>2</v>
      </c>
      <c r="Z277" s="20">
        <f t="shared" si="136"/>
        <v>0</v>
      </c>
      <c r="AA277" s="20">
        <f t="shared" si="136"/>
        <v>0</v>
      </c>
      <c r="AC277" s="3">
        <f t="shared" si="117"/>
        <v>60</v>
      </c>
      <c r="AD277" s="3">
        <f t="shared" si="118"/>
        <v>55</v>
      </c>
      <c r="AE277" s="3">
        <f t="shared" si="119"/>
        <v>50</v>
      </c>
      <c r="AF277" s="3">
        <f t="shared" si="120"/>
        <v>44</v>
      </c>
      <c r="AG277" s="3">
        <f t="shared" si="121"/>
        <v>39</v>
      </c>
      <c r="AH277" s="3">
        <f t="shared" si="122"/>
        <v>34</v>
      </c>
      <c r="AI277" s="3">
        <f t="shared" si="123"/>
        <v>29</v>
      </c>
      <c r="AJ277" s="3">
        <f t="shared" si="124"/>
        <v>23</v>
      </c>
      <c r="AK277" s="3">
        <f t="shared" si="125"/>
        <v>18</v>
      </c>
      <c r="AL277" s="3">
        <f t="shared" si="126"/>
        <v>0</v>
      </c>
      <c r="AM277" s="3">
        <f t="shared" si="127"/>
        <v>94</v>
      </c>
      <c r="AN277" s="3">
        <f t="shared" si="128"/>
        <v>87</v>
      </c>
      <c r="AO277" s="3">
        <f t="shared" si="129"/>
        <v>82</v>
      </c>
      <c r="AP277" s="3">
        <f t="shared" si="130"/>
        <v>77</v>
      </c>
      <c r="AQ277" s="3">
        <f t="shared" si="131"/>
        <v>72</v>
      </c>
      <c r="AR277" s="3">
        <f t="shared" si="132"/>
        <v>65</v>
      </c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M277" s="35" t="s">
        <v>12</v>
      </c>
      <c r="BO277" s="35"/>
      <c r="BR277" s="9" t="str">
        <f t="shared" si="137"/>
        <v/>
      </c>
      <c r="BS277" s="37" t="str">
        <f t="shared" si="138"/>
        <v/>
      </c>
      <c r="BT277" s="38" t="str">
        <f t="shared" si="134"/>
        <v/>
      </c>
      <c r="BU277" s="36" t="str">
        <f t="shared" si="139"/>
        <v/>
      </c>
    </row>
    <row r="278" spans="2:73" ht="15">
      <c r="B278" s="16">
        <f t="shared" si="140"/>
        <v>45019</v>
      </c>
      <c r="C278" s="15" t="s">
        <v>1</v>
      </c>
      <c r="D278" s="17">
        <f t="shared" si="141"/>
        <v>45025</v>
      </c>
      <c r="E278" s="18">
        <f t="shared" si="142"/>
        <v>4</v>
      </c>
      <c r="F278" s="19">
        <f t="shared" si="143"/>
        <v>2023</v>
      </c>
      <c r="G278" s="9">
        <f t="shared" ref="G278:H293" si="146">G277</f>
        <v>17</v>
      </c>
      <c r="H278" s="8">
        <f t="shared" si="146"/>
        <v>95</v>
      </c>
      <c r="I278" s="9"/>
      <c r="J278" s="9"/>
      <c r="K278" s="9"/>
      <c r="L278" s="9"/>
      <c r="M278" s="9"/>
      <c r="N278" s="9"/>
      <c r="O278" s="12"/>
      <c r="P278" s="12"/>
      <c r="Q278" s="12"/>
      <c r="R278" s="12"/>
      <c r="S278" s="12"/>
      <c r="T278" s="12"/>
      <c r="V278" s="20">
        <f t="shared" si="144"/>
        <v>9</v>
      </c>
      <c r="W278" s="20">
        <f t="shared" si="144"/>
        <v>14</v>
      </c>
      <c r="X278" s="20">
        <f t="shared" si="144"/>
        <v>0</v>
      </c>
      <c r="Y278" s="20">
        <f t="shared" si="136"/>
        <v>3</v>
      </c>
      <c r="Z278" s="20">
        <f t="shared" si="136"/>
        <v>0</v>
      </c>
      <c r="AA278" s="20">
        <f t="shared" si="136"/>
        <v>0</v>
      </c>
      <c r="AC278" s="3">
        <f t="shared" si="117"/>
        <v>61</v>
      </c>
      <c r="AD278" s="3">
        <f t="shared" si="118"/>
        <v>56</v>
      </c>
      <c r="AE278" s="3">
        <f t="shared" si="119"/>
        <v>51</v>
      </c>
      <c r="AF278" s="3">
        <f t="shared" si="120"/>
        <v>45</v>
      </c>
      <c r="AG278" s="3">
        <f t="shared" si="121"/>
        <v>40</v>
      </c>
      <c r="AH278" s="3">
        <f t="shared" si="122"/>
        <v>35</v>
      </c>
      <c r="AI278" s="3">
        <f t="shared" si="123"/>
        <v>30</v>
      </c>
      <c r="AJ278" s="3">
        <f t="shared" si="124"/>
        <v>24</v>
      </c>
      <c r="AK278" s="3">
        <f t="shared" si="125"/>
        <v>19</v>
      </c>
      <c r="AL278" s="3">
        <f t="shared" si="126"/>
        <v>0</v>
      </c>
      <c r="AM278" s="3">
        <f t="shared" si="127"/>
        <v>95</v>
      </c>
      <c r="AN278" s="3">
        <f t="shared" si="128"/>
        <v>88</v>
      </c>
      <c r="AO278" s="3">
        <f t="shared" si="129"/>
        <v>83</v>
      </c>
      <c r="AP278" s="3">
        <f t="shared" si="130"/>
        <v>78</v>
      </c>
      <c r="AQ278" s="3">
        <f t="shared" si="131"/>
        <v>73</v>
      </c>
      <c r="AR278" s="3">
        <f t="shared" si="132"/>
        <v>66</v>
      </c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M278" s="35" t="s">
        <v>12</v>
      </c>
      <c r="BO278" s="35"/>
      <c r="BR278" s="9" t="str">
        <f t="shared" si="137"/>
        <v/>
      </c>
      <c r="BS278" s="37" t="str">
        <f t="shared" si="138"/>
        <v/>
      </c>
      <c r="BT278" s="38" t="str">
        <f t="shared" si="134"/>
        <v/>
      </c>
      <c r="BU278" s="36" t="str">
        <f t="shared" si="139"/>
        <v/>
      </c>
    </row>
    <row r="279" spans="2:73" ht="15">
      <c r="B279" s="16">
        <f t="shared" si="140"/>
        <v>45026</v>
      </c>
      <c r="C279" s="15" t="s">
        <v>1</v>
      </c>
      <c r="D279" s="17">
        <f t="shared" si="141"/>
        <v>45032</v>
      </c>
      <c r="E279" s="18">
        <f t="shared" si="142"/>
        <v>4</v>
      </c>
      <c r="F279" s="19">
        <f t="shared" si="143"/>
        <v>2023</v>
      </c>
      <c r="G279" s="9">
        <f t="shared" si="146"/>
        <v>17</v>
      </c>
      <c r="H279" s="8">
        <f t="shared" si="146"/>
        <v>95</v>
      </c>
      <c r="I279" s="9"/>
      <c r="J279" s="9"/>
      <c r="K279" s="9"/>
      <c r="L279" s="9"/>
      <c r="M279" s="9"/>
      <c r="N279" s="9"/>
      <c r="O279" s="12"/>
      <c r="P279" s="12"/>
      <c r="Q279" s="12"/>
      <c r="R279" s="12"/>
      <c r="S279" s="12"/>
      <c r="T279" s="12"/>
      <c r="V279" s="20">
        <f t="shared" si="144"/>
        <v>10</v>
      </c>
      <c r="W279" s="20">
        <f t="shared" si="144"/>
        <v>15</v>
      </c>
      <c r="X279" s="20">
        <f t="shared" si="144"/>
        <v>0</v>
      </c>
      <c r="Y279" s="20">
        <f t="shared" si="136"/>
        <v>4</v>
      </c>
      <c r="Z279" s="20">
        <f t="shared" si="136"/>
        <v>0</v>
      </c>
      <c r="AA279" s="20">
        <f t="shared" si="136"/>
        <v>0</v>
      </c>
      <c r="AC279" s="3">
        <f t="shared" si="117"/>
        <v>62</v>
      </c>
      <c r="AD279" s="3">
        <f t="shared" si="118"/>
        <v>57</v>
      </c>
      <c r="AE279" s="3">
        <f t="shared" si="119"/>
        <v>52</v>
      </c>
      <c r="AF279" s="3">
        <f t="shared" si="120"/>
        <v>46</v>
      </c>
      <c r="AG279" s="3">
        <f t="shared" si="121"/>
        <v>41</v>
      </c>
      <c r="AH279" s="3">
        <f t="shared" si="122"/>
        <v>36</v>
      </c>
      <c r="AI279" s="3">
        <f t="shared" si="123"/>
        <v>31</v>
      </c>
      <c r="AJ279" s="3">
        <f t="shared" si="124"/>
        <v>25</v>
      </c>
      <c r="AK279" s="3">
        <f t="shared" si="125"/>
        <v>20</v>
      </c>
      <c r="AL279" s="3">
        <f t="shared" si="126"/>
        <v>0</v>
      </c>
      <c r="AM279" s="3">
        <f t="shared" si="127"/>
        <v>0</v>
      </c>
      <c r="AN279" s="3">
        <f t="shared" si="128"/>
        <v>89</v>
      </c>
      <c r="AO279" s="3">
        <f t="shared" si="129"/>
        <v>84</v>
      </c>
      <c r="AP279" s="3">
        <f t="shared" si="130"/>
        <v>79</v>
      </c>
      <c r="AQ279" s="3">
        <f t="shared" si="131"/>
        <v>74</v>
      </c>
      <c r="AR279" s="3">
        <f t="shared" si="132"/>
        <v>67</v>
      </c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L279">
        <v>5</v>
      </c>
      <c r="BM279" s="35">
        <v>45026</v>
      </c>
      <c r="BO279" s="35">
        <f>B296</f>
        <v>45145</v>
      </c>
      <c r="BR279" s="9" t="str">
        <f t="shared" si="137"/>
        <v/>
      </c>
      <c r="BS279" s="37" t="str">
        <f t="shared" si="138"/>
        <v/>
      </c>
      <c r="BT279" s="38" t="str">
        <f t="shared" si="134"/>
        <v/>
      </c>
      <c r="BU279" s="36" t="str">
        <f t="shared" si="139"/>
        <v/>
      </c>
    </row>
    <row r="280" spans="2:73" ht="15">
      <c r="B280" s="16">
        <f t="shared" si="140"/>
        <v>45033</v>
      </c>
      <c r="C280" s="15" t="s">
        <v>1</v>
      </c>
      <c r="D280" s="17">
        <f t="shared" si="141"/>
        <v>45039</v>
      </c>
      <c r="E280" s="18">
        <f t="shared" si="142"/>
        <v>4</v>
      </c>
      <c r="F280" s="19">
        <f t="shared" si="143"/>
        <v>2023</v>
      </c>
      <c r="G280" s="9">
        <f t="shared" si="146"/>
        <v>17</v>
      </c>
      <c r="H280" s="8">
        <f t="shared" si="146"/>
        <v>95</v>
      </c>
      <c r="I280" s="9"/>
      <c r="J280" s="9"/>
      <c r="K280" s="9"/>
      <c r="L280" s="9"/>
      <c r="M280" s="9"/>
      <c r="N280" s="9"/>
      <c r="O280" s="12"/>
      <c r="P280" s="12"/>
      <c r="Q280" s="12">
        <v>1</v>
      </c>
      <c r="R280" s="12"/>
      <c r="S280" s="12"/>
      <c r="T280" s="12"/>
      <c r="V280" s="20">
        <f t="shared" si="144"/>
        <v>11</v>
      </c>
      <c r="W280" s="20">
        <f t="shared" si="144"/>
        <v>16</v>
      </c>
      <c r="X280" s="20">
        <f t="shared" si="144"/>
        <v>45035</v>
      </c>
      <c r="Y280" s="20">
        <f t="shared" si="136"/>
        <v>5</v>
      </c>
      <c r="Z280" s="20">
        <f t="shared" si="136"/>
        <v>0</v>
      </c>
      <c r="AA280" s="20">
        <f t="shared" si="136"/>
        <v>0</v>
      </c>
      <c r="AC280" s="3">
        <f t="shared" si="117"/>
        <v>63</v>
      </c>
      <c r="AD280" s="3">
        <f t="shared" si="118"/>
        <v>58</v>
      </c>
      <c r="AE280" s="3">
        <f t="shared" si="119"/>
        <v>53</v>
      </c>
      <c r="AF280" s="3">
        <f t="shared" si="120"/>
        <v>47</v>
      </c>
      <c r="AG280" s="3">
        <f t="shared" si="121"/>
        <v>42</v>
      </c>
      <c r="AH280" s="3">
        <f t="shared" si="122"/>
        <v>37</v>
      </c>
      <c r="AI280" s="3">
        <f t="shared" si="123"/>
        <v>32</v>
      </c>
      <c r="AJ280" s="3">
        <f t="shared" si="124"/>
        <v>26</v>
      </c>
      <c r="AK280" s="3">
        <f t="shared" si="125"/>
        <v>21</v>
      </c>
      <c r="AL280" s="3">
        <f t="shared" si="126"/>
        <v>0</v>
      </c>
      <c r="AM280" s="3">
        <f t="shared" si="127"/>
        <v>0</v>
      </c>
      <c r="AN280" s="3">
        <f t="shared" si="128"/>
        <v>90</v>
      </c>
      <c r="AO280" s="3">
        <f t="shared" si="129"/>
        <v>85</v>
      </c>
      <c r="AP280" s="3">
        <f t="shared" si="130"/>
        <v>80</v>
      </c>
      <c r="AQ280" s="3">
        <f t="shared" si="131"/>
        <v>75</v>
      </c>
      <c r="AR280" s="3">
        <f t="shared" si="132"/>
        <v>68</v>
      </c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M280" s="35" t="s">
        <v>12</v>
      </c>
      <c r="BO280" s="35"/>
      <c r="BR280" s="9">
        <f t="shared" si="137"/>
        <v>3</v>
      </c>
      <c r="BS280" s="37">
        <f t="shared" si="138"/>
        <v>45035</v>
      </c>
      <c r="BT280" s="38">
        <f t="shared" si="134"/>
        <v>45154</v>
      </c>
      <c r="BU280" s="36">
        <f t="shared" si="139"/>
        <v>15</v>
      </c>
    </row>
    <row r="281" spans="2:73" ht="15">
      <c r="B281" s="16">
        <f t="shared" si="140"/>
        <v>45040</v>
      </c>
      <c r="C281" s="15" t="s">
        <v>1</v>
      </c>
      <c r="D281" s="17">
        <f t="shared" si="141"/>
        <v>45046</v>
      </c>
      <c r="E281" s="18">
        <f t="shared" si="142"/>
        <v>4</v>
      </c>
      <c r="F281" s="19">
        <f t="shared" si="143"/>
        <v>2023</v>
      </c>
      <c r="G281" s="9">
        <f t="shared" si="146"/>
        <v>17</v>
      </c>
      <c r="H281" s="8">
        <f t="shared" si="146"/>
        <v>95</v>
      </c>
      <c r="I281" s="9"/>
      <c r="J281" s="9"/>
      <c r="K281" s="9"/>
      <c r="L281" s="9"/>
      <c r="M281" s="9"/>
      <c r="N281" s="9"/>
      <c r="O281" s="12"/>
      <c r="P281" s="12"/>
      <c r="Q281" s="12"/>
      <c r="R281" s="12"/>
      <c r="S281" s="12"/>
      <c r="T281" s="12"/>
      <c r="V281" s="20">
        <f t="shared" si="144"/>
        <v>12</v>
      </c>
      <c r="W281" s="20">
        <f t="shared" si="144"/>
        <v>17</v>
      </c>
      <c r="X281" s="20">
        <f t="shared" si="144"/>
        <v>1</v>
      </c>
      <c r="Y281" s="20">
        <f t="shared" si="136"/>
        <v>6</v>
      </c>
      <c r="Z281" s="20">
        <f t="shared" si="136"/>
        <v>0</v>
      </c>
      <c r="AA281" s="20">
        <f t="shared" si="136"/>
        <v>0</v>
      </c>
      <c r="AC281" s="3">
        <f t="shared" si="117"/>
        <v>64</v>
      </c>
      <c r="AD281" s="3">
        <f t="shared" si="118"/>
        <v>59</v>
      </c>
      <c r="AE281" s="3">
        <f t="shared" si="119"/>
        <v>54</v>
      </c>
      <c r="AF281" s="3">
        <f t="shared" si="120"/>
        <v>48</v>
      </c>
      <c r="AG281" s="3">
        <f t="shared" si="121"/>
        <v>43</v>
      </c>
      <c r="AH281" s="3">
        <f t="shared" si="122"/>
        <v>38</v>
      </c>
      <c r="AI281" s="3">
        <f t="shared" si="123"/>
        <v>33</v>
      </c>
      <c r="AJ281" s="3">
        <f t="shared" si="124"/>
        <v>27</v>
      </c>
      <c r="AK281" s="3">
        <f t="shared" si="125"/>
        <v>22</v>
      </c>
      <c r="AL281" s="3">
        <f t="shared" si="126"/>
        <v>17</v>
      </c>
      <c r="AM281" s="3">
        <f t="shared" si="127"/>
        <v>0</v>
      </c>
      <c r="AN281" s="3">
        <f t="shared" si="128"/>
        <v>91</v>
      </c>
      <c r="AO281" s="3">
        <f t="shared" si="129"/>
        <v>86</v>
      </c>
      <c r="AP281" s="3">
        <f t="shared" si="130"/>
        <v>81</v>
      </c>
      <c r="AQ281" s="3">
        <f t="shared" si="131"/>
        <v>76</v>
      </c>
      <c r="AR281" s="3">
        <f t="shared" si="132"/>
        <v>69</v>
      </c>
      <c r="AS281" s="8"/>
      <c r="AT281" s="8"/>
      <c r="AU281" s="8"/>
      <c r="AV281" s="8"/>
      <c r="AW281" s="8"/>
      <c r="AX281" s="8"/>
      <c r="AY281" s="8"/>
      <c r="AZ281" s="8"/>
      <c r="BA281" s="8"/>
      <c r="BB281" s="8">
        <v>2</v>
      </c>
      <c r="BC281" s="8"/>
      <c r="BD281" s="8"/>
      <c r="BE281" s="8"/>
      <c r="BF281" s="8"/>
      <c r="BG281" s="8"/>
      <c r="BH281" s="8"/>
      <c r="BM281" s="35" t="s">
        <v>12</v>
      </c>
      <c r="BO281" s="35"/>
      <c r="BR281" s="9" t="str">
        <f t="shared" si="137"/>
        <v/>
      </c>
      <c r="BS281" s="37" t="str">
        <f t="shared" si="138"/>
        <v/>
      </c>
      <c r="BT281" s="38" t="str">
        <f t="shared" si="134"/>
        <v/>
      </c>
      <c r="BU281" s="36" t="str">
        <f t="shared" si="139"/>
        <v/>
      </c>
    </row>
    <row r="282" spans="2:73" ht="15">
      <c r="B282" s="16">
        <f t="shared" si="140"/>
        <v>45047</v>
      </c>
      <c r="C282" s="15" t="s">
        <v>1</v>
      </c>
      <c r="D282" s="17">
        <f t="shared" si="141"/>
        <v>45053</v>
      </c>
      <c r="E282" s="18">
        <f t="shared" si="142"/>
        <v>5</v>
      </c>
      <c r="F282" s="19">
        <f t="shared" si="143"/>
        <v>2023</v>
      </c>
      <c r="G282" s="9">
        <f t="shared" si="146"/>
        <v>17</v>
      </c>
      <c r="H282" s="8">
        <f t="shared" si="146"/>
        <v>95</v>
      </c>
      <c r="I282" s="9"/>
      <c r="J282" s="9"/>
      <c r="K282" s="9"/>
      <c r="L282" s="9"/>
      <c r="M282" s="9"/>
      <c r="N282" s="9"/>
      <c r="O282" s="12"/>
      <c r="P282" s="12"/>
      <c r="Q282" s="12"/>
      <c r="R282" s="12"/>
      <c r="S282" s="12"/>
      <c r="T282" s="12"/>
      <c r="V282" s="20">
        <f t="shared" si="144"/>
        <v>13</v>
      </c>
      <c r="W282" s="20">
        <f t="shared" si="144"/>
        <v>0</v>
      </c>
      <c r="X282" s="20">
        <f t="shared" si="144"/>
        <v>2</v>
      </c>
      <c r="Y282" s="20">
        <f t="shared" si="136"/>
        <v>7</v>
      </c>
      <c r="Z282" s="20">
        <f t="shared" si="136"/>
        <v>0</v>
      </c>
      <c r="AA282" s="20">
        <f t="shared" si="136"/>
        <v>0</v>
      </c>
      <c r="AC282" s="3">
        <f t="shared" si="117"/>
        <v>65</v>
      </c>
      <c r="AD282" s="3">
        <f t="shared" si="118"/>
        <v>60</v>
      </c>
      <c r="AE282" s="3">
        <f t="shared" si="119"/>
        <v>55</v>
      </c>
      <c r="AF282" s="3">
        <f t="shared" si="120"/>
        <v>49</v>
      </c>
      <c r="AG282" s="3">
        <f t="shared" si="121"/>
        <v>44</v>
      </c>
      <c r="AH282" s="3">
        <f t="shared" si="122"/>
        <v>39</v>
      </c>
      <c r="AI282" s="3">
        <f t="shared" si="123"/>
        <v>34</v>
      </c>
      <c r="AJ282" s="3">
        <f t="shared" si="124"/>
        <v>28</v>
      </c>
      <c r="AK282" s="3">
        <f t="shared" si="125"/>
        <v>23</v>
      </c>
      <c r="AL282" s="3">
        <f t="shared" si="126"/>
        <v>18</v>
      </c>
      <c r="AM282" s="3">
        <f t="shared" si="127"/>
        <v>0</v>
      </c>
      <c r="AN282" s="3">
        <f t="shared" si="128"/>
        <v>92</v>
      </c>
      <c r="AO282" s="3">
        <f t="shared" si="129"/>
        <v>87</v>
      </c>
      <c r="AP282" s="3">
        <f t="shared" si="130"/>
        <v>82</v>
      </c>
      <c r="AQ282" s="3">
        <f t="shared" si="131"/>
        <v>77</v>
      </c>
      <c r="AR282" s="3">
        <f t="shared" si="132"/>
        <v>70</v>
      </c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M282" s="35" t="s">
        <v>12</v>
      </c>
      <c r="BO282" s="35"/>
      <c r="BR282" s="9" t="str">
        <f t="shared" si="137"/>
        <v/>
      </c>
      <c r="BS282" s="37" t="str">
        <f t="shared" si="138"/>
        <v/>
      </c>
      <c r="BT282" s="38" t="str">
        <f t="shared" si="134"/>
        <v/>
      </c>
      <c r="BU282" s="36" t="str">
        <f t="shared" si="139"/>
        <v/>
      </c>
    </row>
    <row r="283" spans="2:73" ht="15">
      <c r="B283" s="16">
        <f t="shared" si="140"/>
        <v>45054</v>
      </c>
      <c r="C283" s="15" t="s">
        <v>1</v>
      </c>
      <c r="D283" s="17">
        <f t="shared" si="141"/>
        <v>45060</v>
      </c>
      <c r="E283" s="18">
        <f t="shared" si="142"/>
        <v>5</v>
      </c>
      <c r="F283" s="19">
        <f t="shared" si="143"/>
        <v>2023</v>
      </c>
      <c r="G283" s="9">
        <f t="shared" si="146"/>
        <v>17</v>
      </c>
      <c r="H283" s="8">
        <f t="shared" si="146"/>
        <v>95</v>
      </c>
      <c r="I283" s="9"/>
      <c r="J283" s="9"/>
      <c r="K283" s="9"/>
      <c r="L283" s="9"/>
      <c r="M283" s="9"/>
      <c r="N283" s="9"/>
      <c r="O283" s="12"/>
      <c r="P283" s="12"/>
      <c r="Q283" s="12"/>
      <c r="R283" s="12"/>
      <c r="S283" s="12"/>
      <c r="T283" s="12"/>
      <c r="V283" s="20">
        <f t="shared" si="144"/>
        <v>14</v>
      </c>
      <c r="W283" s="20">
        <f t="shared" si="144"/>
        <v>0</v>
      </c>
      <c r="X283" s="20">
        <f t="shared" si="144"/>
        <v>3</v>
      </c>
      <c r="Y283" s="20">
        <f t="shared" si="136"/>
        <v>8</v>
      </c>
      <c r="Z283" s="20">
        <f t="shared" si="136"/>
        <v>0</v>
      </c>
      <c r="AA283" s="20">
        <f t="shared" si="136"/>
        <v>0</v>
      </c>
      <c r="AC283" s="3">
        <f t="shared" si="117"/>
        <v>66</v>
      </c>
      <c r="AD283" s="3">
        <f t="shared" si="118"/>
        <v>61</v>
      </c>
      <c r="AE283" s="3">
        <f t="shared" si="119"/>
        <v>56</v>
      </c>
      <c r="AF283" s="3">
        <f t="shared" si="120"/>
        <v>50</v>
      </c>
      <c r="AG283" s="3">
        <f t="shared" si="121"/>
        <v>45</v>
      </c>
      <c r="AH283" s="3">
        <f t="shared" si="122"/>
        <v>40</v>
      </c>
      <c r="AI283" s="3">
        <f t="shared" si="123"/>
        <v>35</v>
      </c>
      <c r="AJ283" s="3">
        <f t="shared" si="124"/>
        <v>29</v>
      </c>
      <c r="AK283" s="3">
        <f t="shared" si="125"/>
        <v>24</v>
      </c>
      <c r="AL283" s="3">
        <f t="shared" si="126"/>
        <v>19</v>
      </c>
      <c r="AM283" s="3">
        <f t="shared" si="127"/>
        <v>0</v>
      </c>
      <c r="AN283" s="3">
        <f t="shared" si="128"/>
        <v>93</v>
      </c>
      <c r="AO283" s="3">
        <f t="shared" si="129"/>
        <v>88</v>
      </c>
      <c r="AP283" s="3">
        <f t="shared" si="130"/>
        <v>83</v>
      </c>
      <c r="AQ283" s="3">
        <f t="shared" si="131"/>
        <v>78</v>
      </c>
      <c r="AR283" s="3">
        <f t="shared" si="132"/>
        <v>71</v>
      </c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M283" s="35" t="s">
        <v>12</v>
      </c>
      <c r="BO283" s="35"/>
      <c r="BR283" s="9" t="str">
        <f t="shared" si="137"/>
        <v/>
      </c>
      <c r="BS283" s="37" t="str">
        <f t="shared" si="138"/>
        <v/>
      </c>
      <c r="BT283" s="38" t="str">
        <f t="shared" si="134"/>
        <v/>
      </c>
      <c r="BU283" s="36" t="str">
        <f t="shared" si="139"/>
        <v/>
      </c>
    </row>
    <row r="284" spans="2:73" ht="15">
      <c r="B284" s="16">
        <f t="shared" si="140"/>
        <v>45061</v>
      </c>
      <c r="C284" s="15" t="s">
        <v>1</v>
      </c>
      <c r="D284" s="17">
        <f t="shared" si="141"/>
        <v>45067</v>
      </c>
      <c r="E284" s="18">
        <f t="shared" si="142"/>
        <v>5</v>
      </c>
      <c r="F284" s="19">
        <f t="shared" si="143"/>
        <v>2023</v>
      </c>
      <c r="G284" s="9">
        <f t="shared" si="146"/>
        <v>17</v>
      </c>
      <c r="H284" s="8">
        <f t="shared" si="146"/>
        <v>95</v>
      </c>
      <c r="I284" s="9"/>
      <c r="J284" s="9"/>
      <c r="K284" s="9"/>
      <c r="L284" s="9"/>
      <c r="M284" s="9"/>
      <c r="N284" s="9"/>
      <c r="O284" s="12"/>
      <c r="P284" s="12"/>
      <c r="Q284" s="12"/>
      <c r="R284" s="12"/>
      <c r="S284" s="12"/>
      <c r="T284" s="12"/>
      <c r="V284" s="20">
        <f t="shared" si="144"/>
        <v>15</v>
      </c>
      <c r="W284" s="20">
        <f t="shared" si="144"/>
        <v>0</v>
      </c>
      <c r="X284" s="20">
        <f t="shared" si="144"/>
        <v>4</v>
      </c>
      <c r="Y284" s="20">
        <f t="shared" si="136"/>
        <v>9</v>
      </c>
      <c r="Z284" s="20">
        <f t="shared" si="136"/>
        <v>0</v>
      </c>
      <c r="AA284" s="20">
        <f t="shared" si="136"/>
        <v>0</v>
      </c>
      <c r="AC284" s="3">
        <f t="shared" si="117"/>
        <v>67</v>
      </c>
      <c r="AD284" s="3">
        <f t="shared" si="118"/>
        <v>62</v>
      </c>
      <c r="AE284" s="3">
        <f t="shared" si="119"/>
        <v>57</v>
      </c>
      <c r="AF284" s="3">
        <f t="shared" si="120"/>
        <v>51</v>
      </c>
      <c r="AG284" s="3">
        <f t="shared" si="121"/>
        <v>46</v>
      </c>
      <c r="AH284" s="3">
        <f t="shared" si="122"/>
        <v>41</v>
      </c>
      <c r="AI284" s="3">
        <f t="shared" si="123"/>
        <v>36</v>
      </c>
      <c r="AJ284" s="3">
        <f t="shared" si="124"/>
        <v>30</v>
      </c>
      <c r="AK284" s="3">
        <f t="shared" si="125"/>
        <v>25</v>
      </c>
      <c r="AL284" s="3">
        <f t="shared" si="126"/>
        <v>20</v>
      </c>
      <c r="AM284" s="3">
        <f t="shared" si="127"/>
        <v>0</v>
      </c>
      <c r="AN284" s="3">
        <f t="shared" si="128"/>
        <v>94</v>
      </c>
      <c r="AO284" s="3">
        <f t="shared" si="129"/>
        <v>89</v>
      </c>
      <c r="AP284" s="3">
        <f t="shared" si="130"/>
        <v>84</v>
      </c>
      <c r="AQ284" s="3">
        <f t="shared" si="131"/>
        <v>79</v>
      </c>
      <c r="AR284" s="3">
        <f t="shared" si="132"/>
        <v>72</v>
      </c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L284">
        <v>15</v>
      </c>
      <c r="BM284" s="35">
        <v>45061</v>
      </c>
      <c r="BO284" s="35">
        <f>B301</f>
        <v>45180</v>
      </c>
      <c r="BR284" s="9" t="str">
        <f t="shared" si="137"/>
        <v/>
      </c>
      <c r="BS284" s="37" t="str">
        <f t="shared" si="138"/>
        <v/>
      </c>
      <c r="BT284" s="38" t="str">
        <f t="shared" si="134"/>
        <v/>
      </c>
      <c r="BU284" s="36" t="str">
        <f t="shared" si="139"/>
        <v/>
      </c>
    </row>
    <row r="285" spans="2:73" ht="15">
      <c r="B285" s="16">
        <f t="shared" si="140"/>
        <v>45068</v>
      </c>
      <c r="C285" s="15" t="s">
        <v>1</v>
      </c>
      <c r="D285" s="17">
        <f t="shared" si="141"/>
        <v>45074</v>
      </c>
      <c r="E285" s="18">
        <f t="shared" si="142"/>
        <v>5</v>
      </c>
      <c r="F285" s="19">
        <f t="shared" si="143"/>
        <v>2023</v>
      </c>
      <c r="G285" s="9">
        <f t="shared" si="146"/>
        <v>17</v>
      </c>
      <c r="H285" s="8">
        <f t="shared" si="146"/>
        <v>95</v>
      </c>
      <c r="I285" s="9"/>
      <c r="J285" s="9"/>
      <c r="K285" s="9"/>
      <c r="L285" s="9"/>
      <c r="M285" s="9"/>
      <c r="N285" s="9"/>
      <c r="O285" s="12"/>
      <c r="P285" s="12">
        <v>1</v>
      </c>
      <c r="Q285" s="12"/>
      <c r="R285" s="12"/>
      <c r="S285" s="12"/>
      <c r="T285" s="12"/>
      <c r="V285" s="20">
        <f t="shared" si="144"/>
        <v>16</v>
      </c>
      <c r="W285" s="20">
        <f t="shared" si="144"/>
        <v>45070</v>
      </c>
      <c r="X285" s="20">
        <f t="shared" si="144"/>
        <v>5</v>
      </c>
      <c r="Y285" s="20">
        <f t="shared" si="136"/>
        <v>10</v>
      </c>
      <c r="Z285" s="20">
        <f t="shared" si="136"/>
        <v>0</v>
      </c>
      <c r="AA285" s="20">
        <f t="shared" si="136"/>
        <v>0</v>
      </c>
      <c r="AC285" s="3">
        <f t="shared" si="117"/>
        <v>68</v>
      </c>
      <c r="AD285" s="3">
        <f t="shared" si="118"/>
        <v>63</v>
      </c>
      <c r="AE285" s="3">
        <f t="shared" si="119"/>
        <v>58</v>
      </c>
      <c r="AF285" s="3">
        <f t="shared" si="120"/>
        <v>52</v>
      </c>
      <c r="AG285" s="3">
        <f t="shared" si="121"/>
        <v>47</v>
      </c>
      <c r="AH285" s="3">
        <f t="shared" si="122"/>
        <v>42</v>
      </c>
      <c r="AI285" s="3">
        <f t="shared" si="123"/>
        <v>37</v>
      </c>
      <c r="AJ285" s="3">
        <f t="shared" si="124"/>
        <v>31</v>
      </c>
      <c r="AK285" s="3">
        <f t="shared" si="125"/>
        <v>26</v>
      </c>
      <c r="AL285" s="3">
        <f t="shared" si="126"/>
        <v>21</v>
      </c>
      <c r="AM285" s="3">
        <f t="shared" si="127"/>
        <v>0</v>
      </c>
      <c r="AN285" s="3">
        <f t="shared" si="128"/>
        <v>95</v>
      </c>
      <c r="AO285" s="3">
        <f t="shared" si="129"/>
        <v>90</v>
      </c>
      <c r="AP285" s="3">
        <f t="shared" si="130"/>
        <v>85</v>
      </c>
      <c r="AQ285" s="3">
        <f t="shared" si="131"/>
        <v>80</v>
      </c>
      <c r="AR285" s="3">
        <f t="shared" si="132"/>
        <v>73</v>
      </c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M285" s="35" t="s">
        <v>12</v>
      </c>
      <c r="BO285" s="35"/>
      <c r="BR285" s="9">
        <f t="shared" si="137"/>
        <v>2</v>
      </c>
      <c r="BS285" s="37">
        <f t="shared" si="138"/>
        <v>45070</v>
      </c>
      <c r="BT285" s="38">
        <f t="shared" si="134"/>
        <v>45189</v>
      </c>
      <c r="BU285" s="36">
        <f t="shared" si="139"/>
        <v>7</v>
      </c>
    </row>
    <row r="286" spans="2:73" ht="15">
      <c r="B286" s="16">
        <f t="shared" si="140"/>
        <v>45075</v>
      </c>
      <c r="C286" s="15" t="s">
        <v>1</v>
      </c>
      <c r="D286" s="17">
        <f t="shared" si="141"/>
        <v>45081</v>
      </c>
      <c r="E286" s="18">
        <f t="shared" si="142"/>
        <v>5</v>
      </c>
      <c r="F286" s="19">
        <f t="shared" si="143"/>
        <v>2023</v>
      </c>
      <c r="G286" s="9">
        <f t="shared" si="146"/>
        <v>17</v>
      </c>
      <c r="H286" s="8">
        <f t="shared" si="146"/>
        <v>95</v>
      </c>
      <c r="I286" s="9"/>
      <c r="J286" s="9"/>
      <c r="K286" s="9"/>
      <c r="L286" s="9"/>
      <c r="M286" s="9"/>
      <c r="N286" s="9"/>
      <c r="O286" s="12"/>
      <c r="P286" s="12"/>
      <c r="Q286" s="12"/>
      <c r="R286" s="12"/>
      <c r="S286" s="12"/>
      <c r="T286" s="12"/>
      <c r="V286" s="20">
        <f t="shared" si="144"/>
        <v>17</v>
      </c>
      <c r="W286" s="20">
        <f t="shared" si="144"/>
        <v>1</v>
      </c>
      <c r="X286" s="20">
        <f t="shared" si="144"/>
        <v>6</v>
      </c>
      <c r="Y286" s="20">
        <f t="shared" si="136"/>
        <v>11</v>
      </c>
      <c r="Z286" s="20">
        <f t="shared" si="136"/>
        <v>0</v>
      </c>
      <c r="AA286" s="20">
        <f t="shared" si="136"/>
        <v>0</v>
      </c>
      <c r="AC286" s="3">
        <f t="shared" si="117"/>
        <v>69</v>
      </c>
      <c r="AD286" s="3">
        <f t="shared" si="118"/>
        <v>64</v>
      </c>
      <c r="AE286" s="3">
        <f t="shared" si="119"/>
        <v>59</v>
      </c>
      <c r="AF286" s="3">
        <f t="shared" si="120"/>
        <v>53</v>
      </c>
      <c r="AG286" s="3">
        <f t="shared" si="121"/>
        <v>48</v>
      </c>
      <c r="AH286" s="3">
        <f t="shared" si="122"/>
        <v>43</v>
      </c>
      <c r="AI286" s="3">
        <f t="shared" si="123"/>
        <v>38</v>
      </c>
      <c r="AJ286" s="3">
        <f t="shared" si="124"/>
        <v>32</v>
      </c>
      <c r="AK286" s="3">
        <f t="shared" si="125"/>
        <v>27</v>
      </c>
      <c r="AL286" s="3">
        <f t="shared" si="126"/>
        <v>22</v>
      </c>
      <c r="AM286" s="3">
        <f t="shared" si="127"/>
        <v>17</v>
      </c>
      <c r="AN286" s="3">
        <f t="shared" si="128"/>
        <v>0</v>
      </c>
      <c r="AO286" s="3">
        <f t="shared" si="129"/>
        <v>91</v>
      </c>
      <c r="AP286" s="3">
        <f t="shared" si="130"/>
        <v>86</v>
      </c>
      <c r="AQ286" s="3">
        <f t="shared" si="131"/>
        <v>81</v>
      </c>
      <c r="AR286" s="3">
        <f t="shared" si="132"/>
        <v>74</v>
      </c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>
        <v>1</v>
      </c>
      <c r="BD286" s="8"/>
      <c r="BE286" s="8"/>
      <c r="BF286" s="8"/>
      <c r="BG286" s="8"/>
      <c r="BH286" s="8"/>
      <c r="BM286" s="35" t="s">
        <v>12</v>
      </c>
      <c r="BO286" s="35"/>
      <c r="BR286" s="9" t="str">
        <f t="shared" si="137"/>
        <v/>
      </c>
      <c r="BS286" s="37" t="str">
        <f t="shared" si="138"/>
        <v/>
      </c>
      <c r="BT286" s="38" t="str">
        <f t="shared" si="134"/>
        <v/>
      </c>
      <c r="BU286" s="36" t="str">
        <f t="shared" si="139"/>
        <v/>
      </c>
    </row>
    <row r="287" spans="2:73" ht="15">
      <c r="B287" s="16">
        <f t="shared" si="140"/>
        <v>45082</v>
      </c>
      <c r="C287" s="15" t="s">
        <v>1</v>
      </c>
      <c r="D287" s="17">
        <f t="shared" si="141"/>
        <v>45088</v>
      </c>
      <c r="E287" s="18">
        <f t="shared" si="142"/>
        <v>6</v>
      </c>
      <c r="F287" s="19">
        <f t="shared" si="143"/>
        <v>2023</v>
      </c>
      <c r="G287" s="9">
        <f t="shared" si="146"/>
        <v>17</v>
      </c>
      <c r="H287" s="8">
        <f t="shared" si="146"/>
        <v>95</v>
      </c>
      <c r="I287" s="9"/>
      <c r="J287" s="9"/>
      <c r="K287" s="9"/>
      <c r="L287" s="9"/>
      <c r="M287" s="9"/>
      <c r="N287" s="9"/>
      <c r="O287" s="12"/>
      <c r="P287" s="12"/>
      <c r="Q287" s="12"/>
      <c r="R287" s="12"/>
      <c r="S287" s="12"/>
      <c r="T287" s="12"/>
      <c r="V287" s="20">
        <f t="shared" si="144"/>
        <v>0</v>
      </c>
      <c r="W287" s="20">
        <f t="shared" si="144"/>
        <v>2</v>
      </c>
      <c r="X287" s="20">
        <f t="shared" si="144"/>
        <v>7</v>
      </c>
      <c r="Y287" s="20">
        <f t="shared" si="136"/>
        <v>12</v>
      </c>
      <c r="Z287" s="20">
        <f t="shared" si="136"/>
        <v>0</v>
      </c>
      <c r="AA287" s="20">
        <f t="shared" si="136"/>
        <v>0</v>
      </c>
      <c r="AC287" s="3">
        <f t="shared" si="117"/>
        <v>70</v>
      </c>
      <c r="AD287" s="3">
        <f t="shared" si="118"/>
        <v>65</v>
      </c>
      <c r="AE287" s="3">
        <f t="shared" si="119"/>
        <v>60</v>
      </c>
      <c r="AF287" s="3">
        <f t="shared" si="120"/>
        <v>54</v>
      </c>
      <c r="AG287" s="3">
        <f t="shared" si="121"/>
        <v>49</v>
      </c>
      <c r="AH287" s="3">
        <f t="shared" si="122"/>
        <v>44</v>
      </c>
      <c r="AI287" s="3">
        <f t="shared" si="123"/>
        <v>39</v>
      </c>
      <c r="AJ287" s="3">
        <f t="shared" si="124"/>
        <v>33</v>
      </c>
      <c r="AK287" s="3">
        <f t="shared" si="125"/>
        <v>28</v>
      </c>
      <c r="AL287" s="3">
        <f t="shared" si="126"/>
        <v>23</v>
      </c>
      <c r="AM287" s="3">
        <f t="shared" si="127"/>
        <v>18</v>
      </c>
      <c r="AN287" s="3">
        <f t="shared" si="128"/>
        <v>0</v>
      </c>
      <c r="AO287" s="3">
        <f t="shared" si="129"/>
        <v>92</v>
      </c>
      <c r="AP287" s="3">
        <f t="shared" si="130"/>
        <v>87</v>
      </c>
      <c r="AQ287" s="3">
        <f t="shared" si="131"/>
        <v>82</v>
      </c>
      <c r="AR287" s="3">
        <f t="shared" si="132"/>
        <v>75</v>
      </c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M287" s="35" t="s">
        <v>12</v>
      </c>
      <c r="BO287" s="35"/>
      <c r="BR287" s="9" t="str">
        <f t="shared" si="137"/>
        <v/>
      </c>
      <c r="BS287" s="37" t="str">
        <f t="shared" si="138"/>
        <v/>
      </c>
      <c r="BT287" s="38" t="str">
        <f t="shared" si="134"/>
        <v/>
      </c>
      <c r="BU287" s="36" t="str">
        <f t="shared" si="139"/>
        <v/>
      </c>
    </row>
    <row r="288" spans="2:73" ht="15">
      <c r="B288" s="16">
        <f t="shared" si="140"/>
        <v>45089</v>
      </c>
      <c r="C288" s="15" t="s">
        <v>1</v>
      </c>
      <c r="D288" s="17">
        <f t="shared" si="141"/>
        <v>45095</v>
      </c>
      <c r="E288" s="18">
        <f t="shared" si="142"/>
        <v>6</v>
      </c>
      <c r="F288" s="19">
        <f t="shared" si="143"/>
        <v>2023</v>
      </c>
      <c r="G288" s="9">
        <f t="shared" si="146"/>
        <v>17</v>
      </c>
      <c r="H288" s="8">
        <f t="shared" si="146"/>
        <v>95</v>
      </c>
      <c r="I288" s="9"/>
      <c r="J288" s="9"/>
      <c r="K288" s="9"/>
      <c r="L288" s="9"/>
      <c r="M288" s="9"/>
      <c r="N288" s="9"/>
      <c r="O288" s="12"/>
      <c r="P288" s="12"/>
      <c r="Q288" s="12"/>
      <c r="R288" s="12"/>
      <c r="S288" s="12"/>
      <c r="T288" s="12"/>
      <c r="V288" s="20">
        <f t="shared" si="144"/>
        <v>0</v>
      </c>
      <c r="W288" s="20">
        <f t="shared" si="144"/>
        <v>3</v>
      </c>
      <c r="X288" s="20">
        <f t="shared" si="144"/>
        <v>8</v>
      </c>
      <c r="Y288" s="20">
        <f t="shared" si="136"/>
        <v>13</v>
      </c>
      <c r="Z288" s="20">
        <f t="shared" si="136"/>
        <v>0</v>
      </c>
      <c r="AA288" s="20">
        <f t="shared" si="136"/>
        <v>0</v>
      </c>
      <c r="AC288" s="3">
        <f t="shared" si="117"/>
        <v>71</v>
      </c>
      <c r="AD288" s="3">
        <f t="shared" si="118"/>
        <v>66</v>
      </c>
      <c r="AE288" s="3">
        <f t="shared" si="119"/>
        <v>61</v>
      </c>
      <c r="AF288" s="3">
        <f t="shared" si="120"/>
        <v>55</v>
      </c>
      <c r="AG288" s="3">
        <f t="shared" si="121"/>
        <v>50</v>
      </c>
      <c r="AH288" s="3">
        <f t="shared" si="122"/>
        <v>45</v>
      </c>
      <c r="AI288" s="3">
        <f t="shared" si="123"/>
        <v>40</v>
      </c>
      <c r="AJ288" s="3">
        <f t="shared" si="124"/>
        <v>34</v>
      </c>
      <c r="AK288" s="3">
        <f t="shared" si="125"/>
        <v>29</v>
      </c>
      <c r="AL288" s="3">
        <f t="shared" si="126"/>
        <v>24</v>
      </c>
      <c r="AM288" s="3">
        <f t="shared" si="127"/>
        <v>19</v>
      </c>
      <c r="AN288" s="3">
        <f t="shared" si="128"/>
        <v>0</v>
      </c>
      <c r="AO288" s="3">
        <f t="shared" si="129"/>
        <v>93</v>
      </c>
      <c r="AP288" s="3">
        <f t="shared" si="130"/>
        <v>88</v>
      </c>
      <c r="AQ288" s="3">
        <f t="shared" si="131"/>
        <v>83</v>
      </c>
      <c r="AR288" s="3">
        <f t="shared" si="132"/>
        <v>76</v>
      </c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M288" s="35" t="s">
        <v>12</v>
      </c>
      <c r="BO288" s="35"/>
      <c r="BR288" s="9" t="str">
        <f t="shared" si="137"/>
        <v/>
      </c>
      <c r="BS288" s="37" t="str">
        <f t="shared" si="138"/>
        <v/>
      </c>
      <c r="BT288" s="38" t="str">
        <f t="shared" si="134"/>
        <v/>
      </c>
      <c r="BU288" s="36" t="str">
        <f t="shared" si="139"/>
        <v/>
      </c>
    </row>
    <row r="289" spans="2:73" ht="15">
      <c r="B289" s="16">
        <f t="shared" si="140"/>
        <v>45096</v>
      </c>
      <c r="C289" s="15" t="s">
        <v>1</v>
      </c>
      <c r="D289" s="17">
        <f t="shared" si="141"/>
        <v>45102</v>
      </c>
      <c r="E289" s="18">
        <f t="shared" si="142"/>
        <v>6</v>
      </c>
      <c r="F289" s="19">
        <f t="shared" si="143"/>
        <v>2023</v>
      </c>
      <c r="G289" s="9">
        <f t="shared" si="146"/>
        <v>17</v>
      </c>
      <c r="H289" s="8">
        <f t="shared" si="146"/>
        <v>95</v>
      </c>
      <c r="I289" s="9"/>
      <c r="J289" s="9"/>
      <c r="K289" s="9"/>
      <c r="L289" s="9"/>
      <c r="M289" s="9"/>
      <c r="N289" s="9"/>
      <c r="O289" s="12"/>
      <c r="P289" s="12"/>
      <c r="Q289" s="12"/>
      <c r="R289" s="12"/>
      <c r="S289" s="12"/>
      <c r="T289" s="12"/>
      <c r="V289" s="20">
        <f t="shared" si="144"/>
        <v>0</v>
      </c>
      <c r="W289" s="20">
        <f t="shared" si="144"/>
        <v>4</v>
      </c>
      <c r="X289" s="20">
        <f t="shared" si="144"/>
        <v>9</v>
      </c>
      <c r="Y289" s="20">
        <f t="shared" si="136"/>
        <v>14</v>
      </c>
      <c r="Z289" s="20">
        <f t="shared" si="136"/>
        <v>0</v>
      </c>
      <c r="AA289" s="20">
        <f t="shared" si="136"/>
        <v>0</v>
      </c>
      <c r="AC289" s="3">
        <f t="shared" si="117"/>
        <v>72</v>
      </c>
      <c r="AD289" s="3">
        <f t="shared" si="118"/>
        <v>67</v>
      </c>
      <c r="AE289" s="3">
        <f t="shared" si="119"/>
        <v>62</v>
      </c>
      <c r="AF289" s="3">
        <f t="shared" si="120"/>
        <v>56</v>
      </c>
      <c r="AG289" s="3">
        <f t="shared" si="121"/>
        <v>51</v>
      </c>
      <c r="AH289" s="3">
        <f t="shared" si="122"/>
        <v>46</v>
      </c>
      <c r="AI289" s="3">
        <f t="shared" si="123"/>
        <v>41</v>
      </c>
      <c r="AJ289" s="3">
        <f t="shared" si="124"/>
        <v>35</v>
      </c>
      <c r="AK289" s="3">
        <f t="shared" si="125"/>
        <v>30</v>
      </c>
      <c r="AL289" s="3">
        <f t="shared" si="126"/>
        <v>25</v>
      </c>
      <c r="AM289" s="3">
        <f t="shared" si="127"/>
        <v>20</v>
      </c>
      <c r="AN289" s="3">
        <f t="shared" si="128"/>
        <v>0</v>
      </c>
      <c r="AO289" s="3">
        <f t="shared" si="129"/>
        <v>94</v>
      </c>
      <c r="AP289" s="3">
        <f t="shared" si="130"/>
        <v>89</v>
      </c>
      <c r="AQ289" s="3">
        <f t="shared" si="131"/>
        <v>84</v>
      </c>
      <c r="AR289" s="3">
        <f t="shared" si="132"/>
        <v>77</v>
      </c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L289">
        <v>7</v>
      </c>
      <c r="BM289" s="35">
        <v>45096</v>
      </c>
      <c r="BO289" s="35">
        <f>B306</f>
        <v>45215</v>
      </c>
      <c r="BR289" s="9" t="str">
        <f t="shared" si="137"/>
        <v/>
      </c>
      <c r="BS289" s="37" t="str">
        <f t="shared" si="138"/>
        <v/>
      </c>
      <c r="BT289" s="38" t="str">
        <f t="shared" si="134"/>
        <v/>
      </c>
      <c r="BU289" s="36" t="str">
        <f t="shared" si="139"/>
        <v/>
      </c>
    </row>
    <row r="290" spans="2:73" ht="15">
      <c r="B290" s="16">
        <f t="shared" si="140"/>
        <v>45103</v>
      </c>
      <c r="C290" s="15" t="s">
        <v>1</v>
      </c>
      <c r="D290" s="17">
        <f t="shared" si="141"/>
        <v>45109</v>
      </c>
      <c r="E290" s="18">
        <f t="shared" si="142"/>
        <v>6</v>
      </c>
      <c r="F290" s="19">
        <f t="shared" si="143"/>
        <v>2023</v>
      </c>
      <c r="G290" s="9">
        <f t="shared" si="146"/>
        <v>17</v>
      </c>
      <c r="H290" s="8">
        <f t="shared" si="146"/>
        <v>95</v>
      </c>
      <c r="I290" s="9"/>
      <c r="J290" s="9"/>
      <c r="K290" s="9"/>
      <c r="L290" s="9"/>
      <c r="M290" s="9"/>
      <c r="N290" s="9"/>
      <c r="O290" s="12">
        <v>1</v>
      </c>
      <c r="P290" s="12"/>
      <c r="Q290" s="12"/>
      <c r="R290" s="12"/>
      <c r="S290" s="12"/>
      <c r="T290" s="12"/>
      <c r="V290" s="20">
        <f t="shared" si="144"/>
        <v>45105</v>
      </c>
      <c r="W290" s="20">
        <f t="shared" si="144"/>
        <v>5</v>
      </c>
      <c r="X290" s="20">
        <f t="shared" si="144"/>
        <v>10</v>
      </c>
      <c r="Y290" s="20">
        <f t="shared" si="136"/>
        <v>15</v>
      </c>
      <c r="Z290" s="20">
        <f t="shared" si="136"/>
        <v>0</v>
      </c>
      <c r="AA290" s="20">
        <f t="shared" si="136"/>
        <v>0</v>
      </c>
      <c r="AC290" s="3">
        <f t="shared" si="117"/>
        <v>73</v>
      </c>
      <c r="AD290" s="3">
        <f t="shared" si="118"/>
        <v>68</v>
      </c>
      <c r="AE290" s="3">
        <f t="shared" si="119"/>
        <v>63</v>
      </c>
      <c r="AF290" s="3">
        <f t="shared" si="120"/>
        <v>57</v>
      </c>
      <c r="AG290" s="3">
        <f t="shared" si="121"/>
        <v>52</v>
      </c>
      <c r="AH290" s="3">
        <f t="shared" si="122"/>
        <v>47</v>
      </c>
      <c r="AI290" s="3">
        <f t="shared" si="123"/>
        <v>42</v>
      </c>
      <c r="AJ290" s="3">
        <f t="shared" si="124"/>
        <v>36</v>
      </c>
      <c r="AK290" s="3">
        <f t="shared" si="125"/>
        <v>31</v>
      </c>
      <c r="AL290" s="3">
        <f t="shared" si="126"/>
        <v>26</v>
      </c>
      <c r="AM290" s="3">
        <f t="shared" si="127"/>
        <v>21</v>
      </c>
      <c r="AN290" s="3">
        <f t="shared" si="128"/>
        <v>0</v>
      </c>
      <c r="AO290" s="3">
        <f t="shared" si="129"/>
        <v>95</v>
      </c>
      <c r="AP290" s="3">
        <f t="shared" si="130"/>
        <v>90</v>
      </c>
      <c r="AQ290" s="3">
        <f t="shared" si="131"/>
        <v>85</v>
      </c>
      <c r="AR290" s="3">
        <f t="shared" si="132"/>
        <v>78</v>
      </c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M290" s="35" t="s">
        <v>12</v>
      </c>
      <c r="BO290" s="35"/>
      <c r="BR290" s="9">
        <f t="shared" si="137"/>
        <v>1</v>
      </c>
      <c r="BS290" s="37">
        <f t="shared" si="138"/>
        <v>45105</v>
      </c>
      <c r="BT290" s="38">
        <f t="shared" si="134"/>
        <v>45224</v>
      </c>
      <c r="BU290" s="36">
        <f t="shared" si="139"/>
        <v>8</v>
      </c>
    </row>
    <row r="291" spans="2:73" ht="15">
      <c r="B291" s="16">
        <f t="shared" si="140"/>
        <v>45110</v>
      </c>
      <c r="C291" s="15" t="s">
        <v>1</v>
      </c>
      <c r="D291" s="17">
        <f t="shared" si="141"/>
        <v>45116</v>
      </c>
      <c r="E291" s="18">
        <f t="shared" si="142"/>
        <v>7</v>
      </c>
      <c r="F291" s="19">
        <f t="shared" si="143"/>
        <v>2023</v>
      </c>
      <c r="G291" s="9">
        <f t="shared" si="146"/>
        <v>17</v>
      </c>
      <c r="H291" s="8">
        <f t="shared" si="146"/>
        <v>95</v>
      </c>
      <c r="I291" s="9"/>
      <c r="J291" s="9"/>
      <c r="K291" s="9"/>
      <c r="L291" s="9"/>
      <c r="M291" s="9"/>
      <c r="N291" s="9"/>
      <c r="O291" s="12"/>
      <c r="P291" s="12"/>
      <c r="Q291" s="12"/>
      <c r="R291" s="12"/>
      <c r="S291" s="12"/>
      <c r="T291" s="12"/>
      <c r="V291" s="20">
        <f t="shared" si="144"/>
        <v>1</v>
      </c>
      <c r="W291" s="20">
        <f t="shared" si="144"/>
        <v>6</v>
      </c>
      <c r="X291" s="20">
        <f t="shared" si="144"/>
        <v>11</v>
      </c>
      <c r="Y291" s="20">
        <f t="shared" si="136"/>
        <v>16</v>
      </c>
      <c r="Z291" s="20">
        <f t="shared" si="136"/>
        <v>0</v>
      </c>
      <c r="AA291" s="20">
        <f t="shared" si="136"/>
        <v>0</v>
      </c>
      <c r="AC291" s="3">
        <f t="shared" ref="AC291:AC354" si="147">IF(AND(AS291&gt;=$V$2,AS291&lt;=$AA$2),LOOKUP(AS291,$V$2:$AA$2,$V291:$AA291),IF(AS290="A",0,IF(AC290=$H291,0,IF(AC290=0,0,AC290+1))))</f>
        <v>74</v>
      </c>
      <c r="AD291" s="3">
        <f t="shared" ref="AD291:AD354" si="148">IF(AND(AT291&gt;=$V$2,AT291&lt;=$AA$2),LOOKUP(AT291,$V$2:$AA$2,$V291:$AA291),IF(AT290="A",0,IF(AD290=$H291,0,IF(AD290=0,0,AD290+1))))</f>
        <v>69</v>
      </c>
      <c r="AE291" s="3">
        <f t="shared" ref="AE291:AE354" si="149">IF(AND(AU291&gt;=$V$2,AU291&lt;=$AA$2),LOOKUP(AU291,$V$2:$AA$2,$V291:$AA291),IF(AU290="A",0,IF(AE290=$H291,0,IF(AE290=0,0,AE290+1))))</f>
        <v>64</v>
      </c>
      <c r="AF291" s="3">
        <f t="shared" ref="AF291:AF354" si="150">IF(AND(AV291&gt;=$V$2,AV291&lt;=$AA$2),LOOKUP(AV291,$V$2:$AA$2,$V291:$AA291),IF(AV290="A",0,IF(AF290=$H291,0,IF(AF290=0,0,AF290+1))))</f>
        <v>58</v>
      </c>
      <c r="AG291" s="3">
        <f t="shared" ref="AG291:AG354" si="151">IF(AND(AW291&gt;=$V$2,AW291&lt;=$AA$2),LOOKUP(AW291,$V$2:$AA$2,$V291:$AA291),IF(AW290="A",0,IF(AG290=$H291,0,IF(AG290=0,0,AG290+1))))</f>
        <v>53</v>
      </c>
      <c r="AH291" s="3">
        <f t="shared" ref="AH291:AH354" si="152">IF(AND(AX291&gt;=$V$2,AX291&lt;=$AA$2),LOOKUP(AX291,$V$2:$AA$2,$V291:$AA291),IF(AX290="A",0,IF(AH290=$H291,0,IF(AH290=0,0,AH290+1))))</f>
        <v>48</v>
      </c>
      <c r="AI291" s="3">
        <f t="shared" ref="AI291:AI354" si="153">IF(AND(AY291&gt;=$V$2,AY291&lt;=$AA$2),LOOKUP(AY291,$V$2:$AA$2,$V291:$AA291),IF(AY290="A",0,IF(AI290=$H291,0,IF(AI290=0,0,AI290+1))))</f>
        <v>43</v>
      </c>
      <c r="AJ291" s="3">
        <f t="shared" ref="AJ291:AJ354" si="154">IF(AND(AZ291&gt;=$V$2,AZ291&lt;=$AA$2),LOOKUP(AZ291,$V$2:$AA$2,$V291:$AA291),IF(AZ290="A",0,IF(AJ290=$H291,0,IF(AJ290=0,0,AJ290+1))))</f>
        <v>37</v>
      </c>
      <c r="AK291" s="3">
        <f t="shared" ref="AK291:AK354" si="155">IF(AND(BA291&gt;=$V$2,BA291&lt;=$AA$2),LOOKUP(BA291,$V$2:$AA$2,$V291:$AA291),IF(BA290="A",0,IF(AK290=$H291,0,IF(AK290=0,0,AK290+1))))</f>
        <v>32</v>
      </c>
      <c r="AL291" s="3">
        <f t="shared" ref="AL291:AL354" si="156">IF(AND(BB291&gt;=$V$2,BB291&lt;=$AA$2),LOOKUP(BB291,$V$2:$AA$2,$V291:$AA291),IF(BB290="A",0,IF(AL290=$H291,0,IF(AL290=0,0,AL290+1))))</f>
        <v>27</v>
      </c>
      <c r="AM291" s="3">
        <f t="shared" ref="AM291:AM354" si="157">IF(AND(BC291&gt;=$V$2,BC291&lt;=$AA$2),LOOKUP(BC291,$V$2:$AA$2,$V291:$AA291),IF(BC290="A",0,IF(AM290=$H291,0,IF(AM290=0,0,AM290+1))))</f>
        <v>22</v>
      </c>
      <c r="AN291" s="3">
        <f t="shared" ref="AN291:AN354" si="158">IF(AND(BD291&gt;=$V$2,BD291&lt;=$AA$2),LOOKUP(BD291,$V$2:$AA$2,$V291:$AA291),IF(BD290="A",0,IF(AN290=$H291,0,IF(AN290=0,0,AN290+1))))</f>
        <v>0</v>
      </c>
      <c r="AO291" s="3">
        <f t="shared" ref="AO291:AO354" si="159">IF(AND(BE291&gt;=$V$2,BE291&lt;=$AA$2),LOOKUP(BE291,$V$2:$AA$2,$V291:$AA291),IF(BE290="A",0,IF(AO290=$H291,0,IF(AO290=0,0,AO290+1))))</f>
        <v>0</v>
      </c>
      <c r="AP291" s="3">
        <f t="shared" ref="AP291:AP354" si="160">IF(AND(BF291&gt;=$V$2,BF291&lt;=$AA$2),LOOKUP(BF291,$V$2:$AA$2,$V291:$AA291),IF(BF290="A",0,IF(AP290=$H291,0,IF(AP290=0,0,AP290+1))))</f>
        <v>91</v>
      </c>
      <c r="AQ291" s="3">
        <f t="shared" ref="AQ291:AQ354" si="161">IF(AND(BG291&gt;=$V$2,BG291&lt;=$AA$2),LOOKUP(BG291,$V$2:$AA$2,$V291:$AA291),IF(BG290="A",0,IF(AQ290=$H291,0,IF(AQ290=0,0,AQ290+1))))</f>
        <v>86</v>
      </c>
      <c r="AR291" s="3">
        <f t="shared" ref="AR291:AR354" si="162">IF(AND(BH291&gt;=$V$2,BH291&lt;=$AA$2),LOOKUP(BH291,$V$2:$AA$2,$V291:$AA291),IF(BH290="A",0,IF(AR290=$H291,0,IF(AR290=0,0,AR290+1))))</f>
        <v>79</v>
      </c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M291" s="35" t="s">
        <v>12</v>
      </c>
      <c r="BO291" s="35"/>
      <c r="BR291" s="9" t="str">
        <f t="shared" si="137"/>
        <v/>
      </c>
      <c r="BS291" s="37" t="str">
        <f t="shared" si="138"/>
        <v/>
      </c>
      <c r="BT291" s="38" t="str">
        <f t="shared" si="134"/>
        <v/>
      </c>
      <c r="BU291" s="36" t="str">
        <f t="shared" si="139"/>
        <v/>
      </c>
    </row>
    <row r="292" spans="2:73" ht="15">
      <c r="B292" s="16">
        <f t="shared" si="140"/>
        <v>45117</v>
      </c>
      <c r="C292" s="15" t="s">
        <v>1</v>
      </c>
      <c r="D292" s="17">
        <f t="shared" si="141"/>
        <v>45123</v>
      </c>
      <c r="E292" s="18">
        <f t="shared" si="142"/>
        <v>7</v>
      </c>
      <c r="F292" s="19">
        <f t="shared" si="143"/>
        <v>2023</v>
      </c>
      <c r="G292" s="9">
        <f t="shared" si="146"/>
        <v>17</v>
      </c>
      <c r="H292" s="8">
        <f t="shared" si="146"/>
        <v>95</v>
      </c>
      <c r="I292" s="9"/>
      <c r="J292" s="9"/>
      <c r="K292" s="9"/>
      <c r="L292" s="9"/>
      <c r="M292" s="9"/>
      <c r="N292" s="9"/>
      <c r="O292" s="12"/>
      <c r="P292" s="12"/>
      <c r="Q292" s="12"/>
      <c r="R292" s="12"/>
      <c r="S292" s="12"/>
      <c r="T292" s="12"/>
      <c r="V292" s="20">
        <f t="shared" si="144"/>
        <v>2</v>
      </c>
      <c r="W292" s="20">
        <f t="shared" si="144"/>
        <v>7</v>
      </c>
      <c r="X292" s="20">
        <f t="shared" si="144"/>
        <v>12</v>
      </c>
      <c r="Y292" s="20">
        <f t="shared" si="136"/>
        <v>17</v>
      </c>
      <c r="Z292" s="20">
        <f t="shared" si="136"/>
        <v>0</v>
      </c>
      <c r="AA292" s="20">
        <f t="shared" si="136"/>
        <v>0</v>
      </c>
      <c r="AC292" s="3">
        <f t="shared" si="147"/>
        <v>75</v>
      </c>
      <c r="AD292" s="3">
        <f t="shared" si="148"/>
        <v>70</v>
      </c>
      <c r="AE292" s="3">
        <f t="shared" si="149"/>
        <v>65</v>
      </c>
      <c r="AF292" s="3">
        <f t="shared" si="150"/>
        <v>59</v>
      </c>
      <c r="AG292" s="3">
        <f t="shared" si="151"/>
        <v>54</v>
      </c>
      <c r="AH292" s="3">
        <f t="shared" si="152"/>
        <v>49</v>
      </c>
      <c r="AI292" s="3">
        <f t="shared" si="153"/>
        <v>44</v>
      </c>
      <c r="AJ292" s="3">
        <f t="shared" si="154"/>
        <v>38</v>
      </c>
      <c r="AK292" s="3">
        <f t="shared" si="155"/>
        <v>33</v>
      </c>
      <c r="AL292" s="3">
        <f t="shared" si="156"/>
        <v>28</v>
      </c>
      <c r="AM292" s="3">
        <f t="shared" si="157"/>
        <v>23</v>
      </c>
      <c r="AN292" s="3">
        <f t="shared" si="158"/>
        <v>17</v>
      </c>
      <c r="AO292" s="3">
        <f t="shared" si="159"/>
        <v>0</v>
      </c>
      <c r="AP292" s="3">
        <f t="shared" si="160"/>
        <v>92</v>
      </c>
      <c r="AQ292" s="3">
        <f t="shared" si="161"/>
        <v>87</v>
      </c>
      <c r="AR292" s="3">
        <f t="shared" si="162"/>
        <v>80</v>
      </c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>
        <v>4</v>
      </c>
      <c r="BE292" s="8"/>
      <c r="BF292" s="8"/>
      <c r="BG292" s="8"/>
      <c r="BH292" s="8"/>
      <c r="BM292" s="35" t="s">
        <v>12</v>
      </c>
      <c r="BO292" s="35"/>
      <c r="BR292" s="9" t="str">
        <f t="shared" si="137"/>
        <v/>
      </c>
      <c r="BS292" s="37" t="str">
        <f t="shared" si="138"/>
        <v/>
      </c>
      <c r="BT292" s="38" t="str">
        <f t="shared" si="134"/>
        <v/>
      </c>
      <c r="BU292" s="36" t="str">
        <f t="shared" si="139"/>
        <v/>
      </c>
    </row>
    <row r="293" spans="2:73" ht="15">
      <c r="B293" s="16">
        <f t="shared" si="140"/>
        <v>45124</v>
      </c>
      <c r="C293" s="15" t="s">
        <v>1</v>
      </c>
      <c r="D293" s="17">
        <f t="shared" si="141"/>
        <v>45130</v>
      </c>
      <c r="E293" s="18">
        <f t="shared" si="142"/>
        <v>7</v>
      </c>
      <c r="F293" s="19">
        <f t="shared" si="143"/>
        <v>2023</v>
      </c>
      <c r="G293" s="9">
        <f t="shared" si="146"/>
        <v>17</v>
      </c>
      <c r="H293" s="8">
        <f t="shared" si="146"/>
        <v>95</v>
      </c>
      <c r="I293" s="9"/>
      <c r="J293" s="9"/>
      <c r="K293" s="9"/>
      <c r="L293" s="9"/>
      <c r="M293" s="9"/>
      <c r="N293" s="9"/>
      <c r="O293" s="12"/>
      <c r="P293" s="12"/>
      <c r="Q293" s="12"/>
      <c r="R293" s="12"/>
      <c r="S293" s="12"/>
      <c r="T293" s="12"/>
      <c r="V293" s="20">
        <f t="shared" si="144"/>
        <v>3</v>
      </c>
      <c r="W293" s="20">
        <f t="shared" si="144"/>
        <v>8</v>
      </c>
      <c r="X293" s="20">
        <f t="shared" si="144"/>
        <v>13</v>
      </c>
      <c r="Y293" s="20">
        <f t="shared" si="136"/>
        <v>0</v>
      </c>
      <c r="Z293" s="20">
        <f t="shared" si="136"/>
        <v>0</v>
      </c>
      <c r="AA293" s="20">
        <f t="shared" si="136"/>
        <v>0</v>
      </c>
      <c r="AC293" s="3">
        <f t="shared" si="147"/>
        <v>76</v>
      </c>
      <c r="AD293" s="3">
        <f t="shared" si="148"/>
        <v>71</v>
      </c>
      <c r="AE293" s="3">
        <f t="shared" si="149"/>
        <v>66</v>
      </c>
      <c r="AF293" s="3">
        <f t="shared" si="150"/>
        <v>60</v>
      </c>
      <c r="AG293" s="3">
        <f t="shared" si="151"/>
        <v>55</v>
      </c>
      <c r="AH293" s="3">
        <f t="shared" si="152"/>
        <v>50</v>
      </c>
      <c r="AI293" s="3">
        <f t="shared" si="153"/>
        <v>45</v>
      </c>
      <c r="AJ293" s="3">
        <f t="shared" si="154"/>
        <v>39</v>
      </c>
      <c r="AK293" s="3">
        <f t="shared" si="155"/>
        <v>34</v>
      </c>
      <c r="AL293" s="3">
        <f t="shared" si="156"/>
        <v>29</v>
      </c>
      <c r="AM293" s="3">
        <f t="shared" si="157"/>
        <v>24</v>
      </c>
      <c r="AN293" s="3">
        <f t="shared" si="158"/>
        <v>18</v>
      </c>
      <c r="AO293" s="3">
        <f t="shared" si="159"/>
        <v>0</v>
      </c>
      <c r="AP293" s="3">
        <f t="shared" si="160"/>
        <v>93</v>
      </c>
      <c r="AQ293" s="3">
        <f t="shared" si="161"/>
        <v>88</v>
      </c>
      <c r="AR293" s="3">
        <f t="shared" si="162"/>
        <v>81</v>
      </c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M293" s="35" t="s">
        <v>12</v>
      </c>
      <c r="BO293" s="35"/>
      <c r="BR293" s="9" t="str">
        <f t="shared" si="137"/>
        <v/>
      </c>
      <c r="BS293" s="37" t="str">
        <f t="shared" si="138"/>
        <v/>
      </c>
      <c r="BT293" s="38" t="str">
        <f t="shared" si="134"/>
        <v/>
      </c>
      <c r="BU293" s="36" t="str">
        <f t="shared" si="139"/>
        <v/>
      </c>
    </row>
    <row r="294" spans="2:73" ht="15">
      <c r="B294" s="16">
        <f t="shared" si="140"/>
        <v>45131</v>
      </c>
      <c r="C294" s="15" t="s">
        <v>1</v>
      </c>
      <c r="D294" s="17">
        <f t="shared" si="141"/>
        <v>45137</v>
      </c>
      <c r="E294" s="18">
        <f t="shared" si="142"/>
        <v>7</v>
      </c>
      <c r="F294" s="19">
        <f t="shared" si="143"/>
        <v>2023</v>
      </c>
      <c r="G294" s="9">
        <f t="shared" ref="G294:H309" si="163">G293</f>
        <v>17</v>
      </c>
      <c r="H294" s="8">
        <f t="shared" si="163"/>
        <v>95</v>
      </c>
      <c r="I294" s="9"/>
      <c r="J294" s="9"/>
      <c r="K294" s="9"/>
      <c r="L294" s="9"/>
      <c r="M294" s="9"/>
      <c r="N294" s="9"/>
      <c r="O294" s="12"/>
      <c r="P294" s="12"/>
      <c r="Q294" s="12"/>
      <c r="R294" s="12"/>
      <c r="S294" s="12"/>
      <c r="T294" s="12"/>
      <c r="V294" s="20">
        <f t="shared" si="144"/>
        <v>4</v>
      </c>
      <c r="W294" s="20">
        <f t="shared" si="144"/>
        <v>9</v>
      </c>
      <c r="X294" s="20">
        <f t="shared" si="144"/>
        <v>14</v>
      </c>
      <c r="Y294" s="20">
        <f t="shared" si="136"/>
        <v>0</v>
      </c>
      <c r="Z294" s="20">
        <f t="shared" si="136"/>
        <v>0</v>
      </c>
      <c r="AA294" s="20">
        <f t="shared" si="136"/>
        <v>0</v>
      </c>
      <c r="AC294" s="3">
        <f t="shared" si="147"/>
        <v>77</v>
      </c>
      <c r="AD294" s="3">
        <f t="shared" si="148"/>
        <v>72</v>
      </c>
      <c r="AE294" s="3">
        <f t="shared" si="149"/>
        <v>67</v>
      </c>
      <c r="AF294" s="3">
        <f t="shared" si="150"/>
        <v>61</v>
      </c>
      <c r="AG294" s="3">
        <f t="shared" si="151"/>
        <v>56</v>
      </c>
      <c r="AH294" s="3">
        <f t="shared" si="152"/>
        <v>51</v>
      </c>
      <c r="AI294" s="3">
        <f t="shared" si="153"/>
        <v>46</v>
      </c>
      <c r="AJ294" s="3">
        <f t="shared" si="154"/>
        <v>40</v>
      </c>
      <c r="AK294" s="3">
        <f t="shared" si="155"/>
        <v>35</v>
      </c>
      <c r="AL294" s="3">
        <f t="shared" si="156"/>
        <v>30</v>
      </c>
      <c r="AM294" s="3">
        <f t="shared" si="157"/>
        <v>25</v>
      </c>
      <c r="AN294" s="3">
        <f t="shared" si="158"/>
        <v>19</v>
      </c>
      <c r="AO294" s="3">
        <f t="shared" si="159"/>
        <v>0</v>
      </c>
      <c r="AP294" s="3">
        <f t="shared" si="160"/>
        <v>94</v>
      </c>
      <c r="AQ294" s="3">
        <f t="shared" si="161"/>
        <v>89</v>
      </c>
      <c r="AR294" s="3">
        <f t="shared" si="162"/>
        <v>82</v>
      </c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L294">
        <v>8</v>
      </c>
      <c r="BM294" s="35">
        <v>45131</v>
      </c>
      <c r="BO294" s="35">
        <f>B311</f>
        <v>45250</v>
      </c>
      <c r="BR294" s="9" t="str">
        <f t="shared" si="137"/>
        <v/>
      </c>
      <c r="BS294" s="37" t="str">
        <f t="shared" si="138"/>
        <v/>
      </c>
      <c r="BT294" s="38" t="str">
        <f t="shared" si="134"/>
        <v/>
      </c>
      <c r="BU294" s="36" t="str">
        <f t="shared" si="139"/>
        <v/>
      </c>
    </row>
    <row r="295" spans="2:73" ht="15">
      <c r="B295" s="16">
        <f t="shared" si="140"/>
        <v>45138</v>
      </c>
      <c r="C295" s="15" t="s">
        <v>1</v>
      </c>
      <c r="D295" s="17">
        <f t="shared" si="141"/>
        <v>45144</v>
      </c>
      <c r="E295" s="18">
        <f t="shared" si="142"/>
        <v>7</v>
      </c>
      <c r="F295" s="19">
        <f t="shared" si="143"/>
        <v>2023</v>
      </c>
      <c r="G295" s="9">
        <f t="shared" si="163"/>
        <v>17</v>
      </c>
      <c r="H295" s="8">
        <f t="shared" si="163"/>
        <v>95</v>
      </c>
      <c r="I295" s="9"/>
      <c r="J295" s="9"/>
      <c r="K295" s="9"/>
      <c r="L295" s="9"/>
      <c r="M295" s="9"/>
      <c r="N295" s="9"/>
      <c r="O295" s="12"/>
      <c r="P295" s="12"/>
      <c r="Q295" s="12"/>
      <c r="R295" s="12"/>
      <c r="S295" s="12"/>
      <c r="T295" s="12"/>
      <c r="V295" s="20">
        <f t="shared" si="144"/>
        <v>5</v>
      </c>
      <c r="W295" s="20">
        <f t="shared" si="144"/>
        <v>10</v>
      </c>
      <c r="X295" s="20">
        <f t="shared" si="144"/>
        <v>15</v>
      </c>
      <c r="Y295" s="20">
        <f t="shared" si="136"/>
        <v>0</v>
      </c>
      <c r="Z295" s="20">
        <f t="shared" si="136"/>
        <v>0</v>
      </c>
      <c r="AA295" s="20">
        <f t="shared" si="136"/>
        <v>0</v>
      </c>
      <c r="AC295" s="3">
        <f t="shared" si="147"/>
        <v>78</v>
      </c>
      <c r="AD295" s="3">
        <f t="shared" si="148"/>
        <v>73</v>
      </c>
      <c r="AE295" s="3">
        <f t="shared" si="149"/>
        <v>68</v>
      </c>
      <c r="AF295" s="3">
        <f t="shared" si="150"/>
        <v>62</v>
      </c>
      <c r="AG295" s="3">
        <f t="shared" si="151"/>
        <v>57</v>
      </c>
      <c r="AH295" s="3">
        <f t="shared" si="152"/>
        <v>52</v>
      </c>
      <c r="AI295" s="3">
        <f t="shared" si="153"/>
        <v>47</v>
      </c>
      <c r="AJ295" s="3">
        <f t="shared" si="154"/>
        <v>41</v>
      </c>
      <c r="AK295" s="3">
        <f t="shared" si="155"/>
        <v>36</v>
      </c>
      <c r="AL295" s="3">
        <f t="shared" si="156"/>
        <v>31</v>
      </c>
      <c r="AM295" s="3">
        <f t="shared" si="157"/>
        <v>26</v>
      </c>
      <c r="AN295" s="3">
        <f t="shared" si="158"/>
        <v>20</v>
      </c>
      <c r="AO295" s="3">
        <f t="shared" si="159"/>
        <v>0</v>
      </c>
      <c r="AP295" s="3">
        <f t="shared" si="160"/>
        <v>95</v>
      </c>
      <c r="AQ295" s="3">
        <f t="shared" si="161"/>
        <v>90</v>
      </c>
      <c r="AR295" s="3">
        <f t="shared" si="162"/>
        <v>83</v>
      </c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M295" s="35" t="s">
        <v>12</v>
      </c>
      <c r="BO295" s="35"/>
      <c r="BR295" s="9" t="str">
        <f t="shared" si="137"/>
        <v/>
      </c>
      <c r="BS295" s="37" t="str">
        <f t="shared" si="138"/>
        <v/>
      </c>
      <c r="BT295" s="38" t="str">
        <f t="shared" si="134"/>
        <v/>
      </c>
      <c r="BU295" s="36" t="str">
        <f t="shared" si="139"/>
        <v/>
      </c>
    </row>
    <row r="296" spans="2:73" ht="15">
      <c r="B296" s="16">
        <f t="shared" si="140"/>
        <v>45145</v>
      </c>
      <c r="C296" s="15" t="s">
        <v>1</v>
      </c>
      <c r="D296" s="17">
        <f t="shared" si="141"/>
        <v>45151</v>
      </c>
      <c r="E296" s="18">
        <f t="shared" si="142"/>
        <v>8</v>
      </c>
      <c r="F296" s="19">
        <f t="shared" si="143"/>
        <v>2023</v>
      </c>
      <c r="G296" s="9">
        <f t="shared" si="163"/>
        <v>17</v>
      </c>
      <c r="H296" s="8">
        <f t="shared" si="163"/>
        <v>95</v>
      </c>
      <c r="I296" s="9"/>
      <c r="J296" s="9"/>
      <c r="K296" s="9"/>
      <c r="L296" s="9"/>
      <c r="M296" s="9"/>
      <c r="N296" s="9"/>
      <c r="O296" s="12"/>
      <c r="P296" s="12"/>
      <c r="Q296" s="12"/>
      <c r="R296" s="12">
        <v>1</v>
      </c>
      <c r="S296" s="12"/>
      <c r="T296" s="12"/>
      <c r="V296" s="20">
        <f t="shared" si="144"/>
        <v>6</v>
      </c>
      <c r="W296" s="20">
        <f t="shared" si="144"/>
        <v>11</v>
      </c>
      <c r="X296" s="20">
        <f t="shared" si="144"/>
        <v>16</v>
      </c>
      <c r="Y296" s="20">
        <f t="shared" si="136"/>
        <v>45147</v>
      </c>
      <c r="Z296" s="20">
        <f t="shared" si="136"/>
        <v>0</v>
      </c>
      <c r="AA296" s="20">
        <f t="shared" si="136"/>
        <v>0</v>
      </c>
      <c r="AC296" s="3">
        <f t="shared" si="147"/>
        <v>79</v>
      </c>
      <c r="AD296" s="3">
        <f t="shared" si="148"/>
        <v>74</v>
      </c>
      <c r="AE296" s="3">
        <f t="shared" si="149"/>
        <v>69</v>
      </c>
      <c r="AF296" s="3">
        <f t="shared" si="150"/>
        <v>63</v>
      </c>
      <c r="AG296" s="3">
        <f t="shared" si="151"/>
        <v>58</v>
      </c>
      <c r="AH296" s="3">
        <f t="shared" si="152"/>
        <v>53</v>
      </c>
      <c r="AI296" s="3">
        <f t="shared" si="153"/>
        <v>48</v>
      </c>
      <c r="AJ296" s="3">
        <f t="shared" si="154"/>
        <v>42</v>
      </c>
      <c r="AK296" s="3">
        <f t="shared" si="155"/>
        <v>37</v>
      </c>
      <c r="AL296" s="3">
        <f t="shared" si="156"/>
        <v>32</v>
      </c>
      <c r="AM296" s="3">
        <f t="shared" si="157"/>
        <v>27</v>
      </c>
      <c r="AN296" s="3">
        <f t="shared" si="158"/>
        <v>21</v>
      </c>
      <c r="AO296" s="3">
        <f t="shared" si="159"/>
        <v>0</v>
      </c>
      <c r="AP296" s="3">
        <f t="shared" si="160"/>
        <v>0</v>
      </c>
      <c r="AQ296" s="3">
        <f t="shared" si="161"/>
        <v>91</v>
      </c>
      <c r="AR296" s="3">
        <f t="shared" si="162"/>
        <v>84</v>
      </c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M296" s="35" t="s">
        <v>12</v>
      </c>
      <c r="BO296" s="35"/>
      <c r="BR296" s="9">
        <f t="shared" si="137"/>
        <v>4</v>
      </c>
      <c r="BS296" s="37">
        <f t="shared" si="138"/>
        <v>45147</v>
      </c>
      <c r="BT296" s="38">
        <f t="shared" si="134"/>
        <v>45266</v>
      </c>
      <c r="BU296" s="36">
        <f t="shared" si="139"/>
        <v>16</v>
      </c>
    </row>
    <row r="297" spans="2:73" ht="15">
      <c r="B297" s="16">
        <f t="shared" si="140"/>
        <v>45152</v>
      </c>
      <c r="C297" s="15" t="s">
        <v>1</v>
      </c>
      <c r="D297" s="17">
        <f t="shared" si="141"/>
        <v>45158</v>
      </c>
      <c r="E297" s="18">
        <f t="shared" si="142"/>
        <v>8</v>
      </c>
      <c r="F297" s="19">
        <f t="shared" si="143"/>
        <v>2023</v>
      </c>
      <c r="G297" s="9">
        <f t="shared" si="163"/>
        <v>17</v>
      </c>
      <c r="H297" s="8">
        <f t="shared" si="163"/>
        <v>95</v>
      </c>
      <c r="I297" s="9"/>
      <c r="J297" s="9"/>
      <c r="K297" s="9"/>
      <c r="L297" s="9"/>
      <c r="M297" s="9"/>
      <c r="N297" s="9"/>
      <c r="O297" s="12"/>
      <c r="P297" s="12"/>
      <c r="Q297" s="12"/>
      <c r="R297" s="12"/>
      <c r="S297" s="12"/>
      <c r="T297" s="12"/>
      <c r="V297" s="20">
        <f t="shared" si="144"/>
        <v>7</v>
      </c>
      <c r="W297" s="20">
        <f t="shared" si="144"/>
        <v>12</v>
      </c>
      <c r="X297" s="20">
        <f t="shared" si="144"/>
        <v>17</v>
      </c>
      <c r="Y297" s="20">
        <f t="shared" si="136"/>
        <v>1</v>
      </c>
      <c r="Z297" s="20">
        <f t="shared" si="136"/>
        <v>0</v>
      </c>
      <c r="AA297" s="20">
        <f t="shared" si="136"/>
        <v>0</v>
      </c>
      <c r="AC297" s="3">
        <f t="shared" si="147"/>
        <v>80</v>
      </c>
      <c r="AD297" s="3">
        <f t="shared" si="148"/>
        <v>75</v>
      </c>
      <c r="AE297" s="3">
        <f t="shared" si="149"/>
        <v>70</v>
      </c>
      <c r="AF297" s="3">
        <f t="shared" si="150"/>
        <v>64</v>
      </c>
      <c r="AG297" s="3">
        <f t="shared" si="151"/>
        <v>59</v>
      </c>
      <c r="AH297" s="3">
        <f t="shared" si="152"/>
        <v>54</v>
      </c>
      <c r="AI297" s="3">
        <f t="shared" si="153"/>
        <v>49</v>
      </c>
      <c r="AJ297" s="3">
        <f t="shared" si="154"/>
        <v>43</v>
      </c>
      <c r="AK297" s="3">
        <f t="shared" si="155"/>
        <v>38</v>
      </c>
      <c r="AL297" s="3">
        <f t="shared" si="156"/>
        <v>33</v>
      </c>
      <c r="AM297" s="3">
        <f t="shared" si="157"/>
        <v>28</v>
      </c>
      <c r="AN297" s="3">
        <f t="shared" si="158"/>
        <v>22</v>
      </c>
      <c r="AO297" s="3">
        <f t="shared" si="159"/>
        <v>17</v>
      </c>
      <c r="AP297" s="3">
        <f t="shared" si="160"/>
        <v>0</v>
      </c>
      <c r="AQ297" s="3">
        <f t="shared" si="161"/>
        <v>92</v>
      </c>
      <c r="AR297" s="3">
        <f t="shared" si="162"/>
        <v>85</v>
      </c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>
        <v>3</v>
      </c>
      <c r="BF297" s="8"/>
      <c r="BG297" s="8"/>
      <c r="BH297" s="8"/>
      <c r="BM297" s="35" t="s">
        <v>12</v>
      </c>
      <c r="BO297" s="35"/>
      <c r="BR297" s="9" t="str">
        <f t="shared" si="137"/>
        <v/>
      </c>
      <c r="BS297" s="37" t="str">
        <f t="shared" si="138"/>
        <v/>
      </c>
      <c r="BT297" s="38" t="str">
        <f t="shared" si="134"/>
        <v/>
      </c>
      <c r="BU297" s="36" t="str">
        <f t="shared" si="139"/>
        <v/>
      </c>
    </row>
    <row r="298" spans="2:73" ht="15">
      <c r="B298" s="16">
        <f t="shared" si="140"/>
        <v>45159</v>
      </c>
      <c r="C298" s="15" t="s">
        <v>1</v>
      </c>
      <c r="D298" s="17">
        <f t="shared" si="141"/>
        <v>45165</v>
      </c>
      <c r="E298" s="18">
        <f t="shared" si="142"/>
        <v>8</v>
      </c>
      <c r="F298" s="19">
        <f t="shared" si="143"/>
        <v>2023</v>
      </c>
      <c r="G298" s="9">
        <f t="shared" si="163"/>
        <v>17</v>
      </c>
      <c r="H298" s="8">
        <f t="shared" si="163"/>
        <v>95</v>
      </c>
      <c r="I298" s="9"/>
      <c r="J298" s="9"/>
      <c r="K298" s="9"/>
      <c r="L298" s="9"/>
      <c r="M298" s="9"/>
      <c r="N298" s="9"/>
      <c r="O298" s="12"/>
      <c r="P298" s="12"/>
      <c r="Q298" s="12"/>
      <c r="R298" s="12"/>
      <c r="S298" s="12"/>
      <c r="T298" s="12"/>
      <c r="V298" s="20">
        <f t="shared" si="144"/>
        <v>8</v>
      </c>
      <c r="W298" s="20">
        <f t="shared" si="144"/>
        <v>13</v>
      </c>
      <c r="X298" s="20">
        <f t="shared" si="144"/>
        <v>0</v>
      </c>
      <c r="Y298" s="20">
        <f t="shared" si="136"/>
        <v>2</v>
      </c>
      <c r="Z298" s="20">
        <f t="shared" si="136"/>
        <v>0</v>
      </c>
      <c r="AA298" s="20">
        <f t="shared" si="136"/>
        <v>0</v>
      </c>
      <c r="AC298" s="3">
        <f t="shared" si="147"/>
        <v>81</v>
      </c>
      <c r="AD298" s="3">
        <f t="shared" si="148"/>
        <v>76</v>
      </c>
      <c r="AE298" s="3">
        <f t="shared" si="149"/>
        <v>71</v>
      </c>
      <c r="AF298" s="3">
        <f t="shared" si="150"/>
        <v>65</v>
      </c>
      <c r="AG298" s="3">
        <f t="shared" si="151"/>
        <v>60</v>
      </c>
      <c r="AH298" s="3">
        <f t="shared" si="152"/>
        <v>55</v>
      </c>
      <c r="AI298" s="3">
        <f t="shared" si="153"/>
        <v>50</v>
      </c>
      <c r="AJ298" s="3">
        <f t="shared" si="154"/>
        <v>44</v>
      </c>
      <c r="AK298" s="3">
        <f t="shared" si="155"/>
        <v>39</v>
      </c>
      <c r="AL298" s="3">
        <f t="shared" si="156"/>
        <v>34</v>
      </c>
      <c r="AM298" s="3">
        <f t="shared" si="157"/>
        <v>29</v>
      </c>
      <c r="AN298" s="3">
        <f t="shared" si="158"/>
        <v>23</v>
      </c>
      <c r="AO298" s="3">
        <f t="shared" si="159"/>
        <v>18</v>
      </c>
      <c r="AP298" s="3">
        <f t="shared" si="160"/>
        <v>0</v>
      </c>
      <c r="AQ298" s="3">
        <f t="shared" si="161"/>
        <v>93</v>
      </c>
      <c r="AR298" s="3">
        <f t="shared" si="162"/>
        <v>86</v>
      </c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M298" s="35" t="s">
        <v>12</v>
      </c>
      <c r="BO298" s="35"/>
      <c r="BR298" s="9" t="str">
        <f t="shared" si="137"/>
        <v/>
      </c>
      <c r="BS298" s="37" t="str">
        <f t="shared" si="138"/>
        <v/>
      </c>
      <c r="BT298" s="38" t="str">
        <f t="shared" ref="BT298:BT361" si="164">IF(BS298="","",BS298+(17*7))</f>
        <v/>
      </c>
      <c r="BU298" s="36" t="str">
        <f t="shared" si="139"/>
        <v/>
      </c>
    </row>
    <row r="299" spans="2:73" ht="15">
      <c r="B299" s="16">
        <f t="shared" si="140"/>
        <v>45166</v>
      </c>
      <c r="C299" s="15" t="s">
        <v>1</v>
      </c>
      <c r="D299" s="17">
        <f t="shared" si="141"/>
        <v>45172</v>
      </c>
      <c r="E299" s="18">
        <f t="shared" si="142"/>
        <v>8</v>
      </c>
      <c r="F299" s="19">
        <f t="shared" si="143"/>
        <v>2023</v>
      </c>
      <c r="G299" s="9">
        <f t="shared" si="163"/>
        <v>17</v>
      </c>
      <c r="H299" s="8">
        <f t="shared" si="163"/>
        <v>95</v>
      </c>
      <c r="I299" s="9"/>
      <c r="J299" s="9"/>
      <c r="K299" s="9"/>
      <c r="L299" s="9"/>
      <c r="M299" s="9"/>
      <c r="N299" s="9"/>
      <c r="O299" s="12"/>
      <c r="P299" s="12"/>
      <c r="Q299" s="12"/>
      <c r="R299" s="12"/>
      <c r="S299" s="12"/>
      <c r="T299" s="12"/>
      <c r="V299" s="20">
        <f t="shared" si="144"/>
        <v>9</v>
      </c>
      <c r="W299" s="20">
        <f t="shared" si="144"/>
        <v>14</v>
      </c>
      <c r="X299" s="20">
        <f t="shared" si="144"/>
        <v>0</v>
      </c>
      <c r="Y299" s="20">
        <f t="shared" si="136"/>
        <v>3</v>
      </c>
      <c r="Z299" s="20">
        <f t="shared" si="136"/>
        <v>0</v>
      </c>
      <c r="AA299" s="20">
        <f t="shared" si="136"/>
        <v>0</v>
      </c>
      <c r="AC299" s="3">
        <f t="shared" si="147"/>
        <v>82</v>
      </c>
      <c r="AD299" s="3">
        <f t="shared" si="148"/>
        <v>77</v>
      </c>
      <c r="AE299" s="3">
        <f t="shared" si="149"/>
        <v>72</v>
      </c>
      <c r="AF299" s="3">
        <f t="shared" si="150"/>
        <v>66</v>
      </c>
      <c r="AG299" s="3">
        <f t="shared" si="151"/>
        <v>61</v>
      </c>
      <c r="AH299" s="3">
        <f t="shared" si="152"/>
        <v>56</v>
      </c>
      <c r="AI299" s="3">
        <f t="shared" si="153"/>
        <v>51</v>
      </c>
      <c r="AJ299" s="3">
        <f t="shared" si="154"/>
        <v>45</v>
      </c>
      <c r="AK299" s="3">
        <f t="shared" si="155"/>
        <v>40</v>
      </c>
      <c r="AL299" s="3">
        <f t="shared" si="156"/>
        <v>35</v>
      </c>
      <c r="AM299" s="3">
        <f t="shared" si="157"/>
        <v>30</v>
      </c>
      <c r="AN299" s="3">
        <f t="shared" si="158"/>
        <v>24</v>
      </c>
      <c r="AO299" s="3">
        <f t="shared" si="159"/>
        <v>19</v>
      </c>
      <c r="AP299" s="3">
        <f t="shared" si="160"/>
        <v>0</v>
      </c>
      <c r="AQ299" s="3">
        <f t="shared" si="161"/>
        <v>94</v>
      </c>
      <c r="AR299" s="3">
        <f t="shared" si="162"/>
        <v>87</v>
      </c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M299" s="35" t="s">
        <v>12</v>
      </c>
      <c r="BO299" s="35"/>
      <c r="BR299" s="9" t="str">
        <f t="shared" si="137"/>
        <v/>
      </c>
      <c r="BS299" s="37" t="str">
        <f t="shared" si="138"/>
        <v/>
      </c>
      <c r="BT299" s="38" t="str">
        <f t="shared" si="164"/>
        <v/>
      </c>
      <c r="BU299" s="36" t="str">
        <f t="shared" si="139"/>
        <v/>
      </c>
    </row>
    <row r="300" spans="2:73" ht="15">
      <c r="B300" s="16">
        <f t="shared" si="140"/>
        <v>45173</v>
      </c>
      <c r="C300" s="15" t="s">
        <v>1</v>
      </c>
      <c r="D300" s="17">
        <f t="shared" si="141"/>
        <v>45179</v>
      </c>
      <c r="E300" s="18">
        <f t="shared" si="142"/>
        <v>9</v>
      </c>
      <c r="F300" s="19">
        <f t="shared" si="143"/>
        <v>2023</v>
      </c>
      <c r="G300" s="9">
        <f t="shared" si="163"/>
        <v>17</v>
      </c>
      <c r="H300" s="8">
        <f t="shared" si="163"/>
        <v>95</v>
      </c>
      <c r="I300" s="9"/>
      <c r="J300" s="9"/>
      <c r="K300" s="9"/>
      <c r="L300" s="9"/>
      <c r="M300" s="9"/>
      <c r="N300" s="9"/>
      <c r="O300" s="12"/>
      <c r="P300" s="12"/>
      <c r="Q300" s="12"/>
      <c r="R300" s="12"/>
      <c r="S300" s="12"/>
      <c r="T300" s="12"/>
      <c r="V300" s="20">
        <f t="shared" si="144"/>
        <v>10</v>
      </c>
      <c r="W300" s="20">
        <f t="shared" si="144"/>
        <v>15</v>
      </c>
      <c r="X300" s="20">
        <f t="shared" si="144"/>
        <v>0</v>
      </c>
      <c r="Y300" s="20">
        <f t="shared" si="136"/>
        <v>4</v>
      </c>
      <c r="Z300" s="20">
        <f t="shared" si="136"/>
        <v>0</v>
      </c>
      <c r="AA300" s="20">
        <f t="shared" si="136"/>
        <v>0</v>
      </c>
      <c r="AC300" s="3">
        <f t="shared" si="147"/>
        <v>83</v>
      </c>
      <c r="AD300" s="3">
        <f t="shared" si="148"/>
        <v>78</v>
      </c>
      <c r="AE300" s="3">
        <f t="shared" si="149"/>
        <v>73</v>
      </c>
      <c r="AF300" s="3">
        <f t="shared" si="150"/>
        <v>67</v>
      </c>
      <c r="AG300" s="3">
        <f t="shared" si="151"/>
        <v>62</v>
      </c>
      <c r="AH300" s="3">
        <f t="shared" si="152"/>
        <v>57</v>
      </c>
      <c r="AI300" s="3">
        <f t="shared" si="153"/>
        <v>52</v>
      </c>
      <c r="AJ300" s="3">
        <f t="shared" si="154"/>
        <v>46</v>
      </c>
      <c r="AK300" s="3">
        <f t="shared" si="155"/>
        <v>41</v>
      </c>
      <c r="AL300" s="3">
        <f t="shared" si="156"/>
        <v>36</v>
      </c>
      <c r="AM300" s="3">
        <f t="shared" si="157"/>
        <v>31</v>
      </c>
      <c r="AN300" s="3">
        <f t="shared" si="158"/>
        <v>25</v>
      </c>
      <c r="AO300" s="3">
        <f t="shared" si="159"/>
        <v>20</v>
      </c>
      <c r="AP300" s="3">
        <f t="shared" si="160"/>
        <v>0</v>
      </c>
      <c r="AQ300" s="3">
        <f t="shared" si="161"/>
        <v>95</v>
      </c>
      <c r="AR300" s="3">
        <f t="shared" si="162"/>
        <v>88</v>
      </c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M300" s="35" t="s">
        <v>12</v>
      </c>
      <c r="BO300" s="35"/>
      <c r="BR300" s="9" t="str">
        <f t="shared" si="137"/>
        <v/>
      </c>
      <c r="BS300" s="37" t="str">
        <f t="shared" si="138"/>
        <v/>
      </c>
      <c r="BT300" s="38" t="str">
        <f t="shared" si="164"/>
        <v/>
      </c>
      <c r="BU300" s="36" t="str">
        <f t="shared" si="139"/>
        <v/>
      </c>
    </row>
    <row r="301" spans="2:73" ht="15">
      <c r="B301" s="16">
        <f t="shared" si="140"/>
        <v>45180</v>
      </c>
      <c r="C301" s="15" t="s">
        <v>1</v>
      </c>
      <c r="D301" s="17">
        <f t="shared" si="141"/>
        <v>45186</v>
      </c>
      <c r="E301" s="18">
        <f t="shared" si="142"/>
        <v>9</v>
      </c>
      <c r="F301" s="19">
        <f t="shared" si="143"/>
        <v>2023</v>
      </c>
      <c r="G301" s="9">
        <f t="shared" si="163"/>
        <v>17</v>
      </c>
      <c r="H301" s="8">
        <f t="shared" si="163"/>
        <v>95</v>
      </c>
      <c r="I301" s="9"/>
      <c r="J301" s="9"/>
      <c r="K301" s="9"/>
      <c r="L301" s="9"/>
      <c r="M301" s="9"/>
      <c r="N301" s="9"/>
      <c r="O301" s="12"/>
      <c r="P301" s="12"/>
      <c r="Q301" s="12">
        <v>1</v>
      </c>
      <c r="R301" s="12"/>
      <c r="S301" s="12"/>
      <c r="T301" s="12"/>
      <c r="V301" s="20">
        <f t="shared" si="144"/>
        <v>11</v>
      </c>
      <c r="W301" s="20">
        <f t="shared" si="144"/>
        <v>16</v>
      </c>
      <c r="X301" s="20">
        <f t="shared" si="144"/>
        <v>45182</v>
      </c>
      <c r="Y301" s="20">
        <f t="shared" si="136"/>
        <v>5</v>
      </c>
      <c r="Z301" s="20">
        <f t="shared" si="136"/>
        <v>0</v>
      </c>
      <c r="AA301" s="20">
        <f t="shared" si="136"/>
        <v>0</v>
      </c>
      <c r="AC301" s="3">
        <f t="shared" si="147"/>
        <v>84</v>
      </c>
      <c r="AD301" s="3">
        <f t="shared" si="148"/>
        <v>79</v>
      </c>
      <c r="AE301" s="3">
        <f t="shared" si="149"/>
        <v>74</v>
      </c>
      <c r="AF301" s="3">
        <f t="shared" si="150"/>
        <v>68</v>
      </c>
      <c r="AG301" s="3">
        <f t="shared" si="151"/>
        <v>63</v>
      </c>
      <c r="AH301" s="3">
        <f t="shared" si="152"/>
        <v>58</v>
      </c>
      <c r="AI301" s="3">
        <f t="shared" si="153"/>
        <v>53</v>
      </c>
      <c r="AJ301" s="3">
        <f t="shared" si="154"/>
        <v>47</v>
      </c>
      <c r="AK301" s="3">
        <f t="shared" si="155"/>
        <v>42</v>
      </c>
      <c r="AL301" s="3">
        <f t="shared" si="156"/>
        <v>37</v>
      </c>
      <c r="AM301" s="3">
        <f t="shared" si="157"/>
        <v>32</v>
      </c>
      <c r="AN301" s="3">
        <f t="shared" si="158"/>
        <v>26</v>
      </c>
      <c r="AO301" s="3">
        <f t="shared" si="159"/>
        <v>21</v>
      </c>
      <c r="AP301" s="3">
        <f t="shared" si="160"/>
        <v>0</v>
      </c>
      <c r="AQ301" s="3">
        <f t="shared" si="161"/>
        <v>0</v>
      </c>
      <c r="AR301" s="3">
        <f t="shared" si="162"/>
        <v>89</v>
      </c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M301" s="35" t="s">
        <v>12</v>
      </c>
      <c r="BO301" s="35"/>
      <c r="BR301" s="9">
        <f t="shared" si="137"/>
        <v>3</v>
      </c>
      <c r="BS301" s="37">
        <f t="shared" si="138"/>
        <v>45182</v>
      </c>
      <c r="BT301" s="38">
        <f t="shared" si="164"/>
        <v>45301</v>
      </c>
      <c r="BU301" s="36">
        <f t="shared" si="139"/>
        <v>9</v>
      </c>
    </row>
    <row r="302" spans="2:73" ht="15">
      <c r="B302" s="16">
        <f t="shared" si="140"/>
        <v>45187</v>
      </c>
      <c r="C302" s="15" t="s">
        <v>1</v>
      </c>
      <c r="D302" s="17">
        <f t="shared" si="141"/>
        <v>45193</v>
      </c>
      <c r="E302" s="18">
        <f t="shared" si="142"/>
        <v>9</v>
      </c>
      <c r="F302" s="19">
        <f t="shared" si="143"/>
        <v>2023</v>
      </c>
      <c r="G302" s="9">
        <f t="shared" si="163"/>
        <v>17</v>
      </c>
      <c r="H302" s="8">
        <f t="shared" si="163"/>
        <v>95</v>
      </c>
      <c r="I302" s="9"/>
      <c r="J302" s="9"/>
      <c r="K302" s="9"/>
      <c r="L302" s="9"/>
      <c r="M302" s="9"/>
      <c r="N302" s="9"/>
      <c r="O302" s="12"/>
      <c r="P302" s="12"/>
      <c r="Q302" s="12"/>
      <c r="R302" s="12"/>
      <c r="S302" s="12"/>
      <c r="T302" s="12"/>
      <c r="V302" s="20">
        <f t="shared" si="144"/>
        <v>12</v>
      </c>
      <c r="W302" s="20">
        <f t="shared" si="144"/>
        <v>17</v>
      </c>
      <c r="X302" s="20">
        <f t="shared" si="144"/>
        <v>1</v>
      </c>
      <c r="Y302" s="20">
        <f t="shared" si="136"/>
        <v>6</v>
      </c>
      <c r="Z302" s="20">
        <f t="shared" si="136"/>
        <v>0</v>
      </c>
      <c r="AA302" s="20">
        <f t="shared" si="136"/>
        <v>0</v>
      </c>
      <c r="AC302" s="3">
        <f t="shared" si="147"/>
        <v>85</v>
      </c>
      <c r="AD302" s="3">
        <f t="shared" si="148"/>
        <v>80</v>
      </c>
      <c r="AE302" s="3">
        <f t="shared" si="149"/>
        <v>75</v>
      </c>
      <c r="AF302" s="3">
        <f t="shared" si="150"/>
        <v>69</v>
      </c>
      <c r="AG302" s="3">
        <f t="shared" si="151"/>
        <v>64</v>
      </c>
      <c r="AH302" s="3">
        <f t="shared" si="152"/>
        <v>59</v>
      </c>
      <c r="AI302" s="3">
        <f t="shared" si="153"/>
        <v>54</v>
      </c>
      <c r="AJ302" s="3">
        <f t="shared" si="154"/>
        <v>48</v>
      </c>
      <c r="AK302" s="3">
        <f t="shared" si="155"/>
        <v>43</v>
      </c>
      <c r="AL302" s="3">
        <f t="shared" si="156"/>
        <v>38</v>
      </c>
      <c r="AM302" s="3">
        <f t="shared" si="157"/>
        <v>33</v>
      </c>
      <c r="AN302" s="3">
        <f t="shared" si="158"/>
        <v>27</v>
      </c>
      <c r="AO302" s="3">
        <f t="shared" si="159"/>
        <v>22</v>
      </c>
      <c r="AP302" s="3">
        <f t="shared" si="160"/>
        <v>17</v>
      </c>
      <c r="AQ302" s="3">
        <f t="shared" si="161"/>
        <v>0</v>
      </c>
      <c r="AR302" s="3">
        <f t="shared" si="162"/>
        <v>90</v>
      </c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>
        <v>2</v>
      </c>
      <c r="BG302" s="8"/>
      <c r="BH302" s="8"/>
      <c r="BM302" s="35" t="s">
        <v>12</v>
      </c>
      <c r="BO302" s="35"/>
      <c r="BR302" s="9" t="str">
        <f t="shared" si="137"/>
        <v/>
      </c>
      <c r="BS302" s="37" t="str">
        <f t="shared" si="138"/>
        <v/>
      </c>
      <c r="BT302" s="38" t="str">
        <f t="shared" si="164"/>
        <v/>
      </c>
      <c r="BU302" s="36" t="str">
        <f t="shared" si="139"/>
        <v/>
      </c>
    </row>
    <row r="303" spans="2:73" ht="15">
      <c r="B303" s="16">
        <f t="shared" si="140"/>
        <v>45194</v>
      </c>
      <c r="C303" s="15" t="s">
        <v>1</v>
      </c>
      <c r="D303" s="17">
        <f t="shared" si="141"/>
        <v>45200</v>
      </c>
      <c r="E303" s="18">
        <f t="shared" si="142"/>
        <v>9</v>
      </c>
      <c r="F303" s="19">
        <f t="shared" si="143"/>
        <v>2023</v>
      </c>
      <c r="G303" s="9">
        <f t="shared" si="163"/>
        <v>17</v>
      </c>
      <c r="H303" s="8">
        <f t="shared" si="163"/>
        <v>95</v>
      </c>
      <c r="I303" s="9"/>
      <c r="J303" s="9"/>
      <c r="K303" s="9"/>
      <c r="L303" s="9"/>
      <c r="M303" s="9"/>
      <c r="N303" s="9"/>
      <c r="O303" s="12"/>
      <c r="P303" s="12"/>
      <c r="Q303" s="12"/>
      <c r="R303" s="12"/>
      <c r="S303" s="12"/>
      <c r="T303" s="12"/>
      <c r="V303" s="20">
        <f t="shared" si="144"/>
        <v>13</v>
      </c>
      <c r="W303" s="20">
        <f t="shared" si="144"/>
        <v>0</v>
      </c>
      <c r="X303" s="20">
        <f t="shared" si="144"/>
        <v>2</v>
      </c>
      <c r="Y303" s="20">
        <f t="shared" si="136"/>
        <v>7</v>
      </c>
      <c r="Z303" s="20">
        <f t="shared" si="136"/>
        <v>0</v>
      </c>
      <c r="AA303" s="20">
        <f t="shared" si="136"/>
        <v>0</v>
      </c>
      <c r="AC303" s="3">
        <f t="shared" si="147"/>
        <v>86</v>
      </c>
      <c r="AD303" s="3">
        <f t="shared" si="148"/>
        <v>81</v>
      </c>
      <c r="AE303" s="3">
        <f t="shared" si="149"/>
        <v>76</v>
      </c>
      <c r="AF303" s="3">
        <f t="shared" si="150"/>
        <v>70</v>
      </c>
      <c r="AG303" s="3">
        <f t="shared" si="151"/>
        <v>65</v>
      </c>
      <c r="AH303" s="3">
        <f t="shared" si="152"/>
        <v>60</v>
      </c>
      <c r="AI303" s="3">
        <f t="shared" si="153"/>
        <v>55</v>
      </c>
      <c r="AJ303" s="3">
        <f t="shared" si="154"/>
        <v>49</v>
      </c>
      <c r="AK303" s="3">
        <f t="shared" si="155"/>
        <v>44</v>
      </c>
      <c r="AL303" s="3">
        <f t="shared" si="156"/>
        <v>39</v>
      </c>
      <c r="AM303" s="3">
        <f t="shared" si="157"/>
        <v>34</v>
      </c>
      <c r="AN303" s="3">
        <f t="shared" si="158"/>
        <v>28</v>
      </c>
      <c r="AO303" s="3">
        <f t="shared" si="159"/>
        <v>23</v>
      </c>
      <c r="AP303" s="3">
        <f t="shared" si="160"/>
        <v>18</v>
      </c>
      <c r="AQ303" s="3">
        <f t="shared" si="161"/>
        <v>0</v>
      </c>
      <c r="AR303" s="3">
        <f t="shared" si="162"/>
        <v>91</v>
      </c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M303" s="35" t="s">
        <v>12</v>
      </c>
      <c r="BO303" s="35"/>
      <c r="BR303" s="9" t="str">
        <f t="shared" si="137"/>
        <v/>
      </c>
      <c r="BS303" s="37" t="str">
        <f t="shared" si="138"/>
        <v/>
      </c>
      <c r="BT303" s="38" t="str">
        <f t="shared" si="164"/>
        <v/>
      </c>
      <c r="BU303" s="36" t="str">
        <f t="shared" si="139"/>
        <v/>
      </c>
    </row>
    <row r="304" spans="2:73" ht="15">
      <c r="B304" s="16">
        <f t="shared" si="140"/>
        <v>45201</v>
      </c>
      <c r="C304" s="15" t="s">
        <v>1</v>
      </c>
      <c r="D304" s="17">
        <f t="shared" si="141"/>
        <v>45207</v>
      </c>
      <c r="E304" s="18">
        <f t="shared" si="142"/>
        <v>10</v>
      </c>
      <c r="F304" s="19">
        <f t="shared" si="143"/>
        <v>2023</v>
      </c>
      <c r="G304" s="9">
        <f t="shared" si="163"/>
        <v>17</v>
      </c>
      <c r="H304" s="8">
        <f t="shared" si="163"/>
        <v>95</v>
      </c>
      <c r="I304" s="9"/>
      <c r="J304" s="9"/>
      <c r="K304" s="9"/>
      <c r="L304" s="9"/>
      <c r="M304" s="9"/>
      <c r="N304" s="9"/>
      <c r="O304" s="12"/>
      <c r="P304" s="12"/>
      <c r="Q304" s="12"/>
      <c r="R304" s="12"/>
      <c r="S304" s="12"/>
      <c r="T304" s="12"/>
      <c r="V304" s="20">
        <f t="shared" si="144"/>
        <v>14</v>
      </c>
      <c r="W304" s="20">
        <f t="shared" si="144"/>
        <v>0</v>
      </c>
      <c r="X304" s="20">
        <f t="shared" si="144"/>
        <v>3</v>
      </c>
      <c r="Y304" s="20">
        <f t="shared" si="136"/>
        <v>8</v>
      </c>
      <c r="Z304" s="20">
        <f t="shared" si="136"/>
        <v>0</v>
      </c>
      <c r="AA304" s="20">
        <f t="shared" si="136"/>
        <v>0</v>
      </c>
      <c r="AC304" s="3">
        <f t="shared" si="147"/>
        <v>87</v>
      </c>
      <c r="AD304" s="3">
        <f t="shared" si="148"/>
        <v>82</v>
      </c>
      <c r="AE304" s="3">
        <f t="shared" si="149"/>
        <v>77</v>
      </c>
      <c r="AF304" s="3">
        <f t="shared" si="150"/>
        <v>71</v>
      </c>
      <c r="AG304" s="3">
        <f t="shared" si="151"/>
        <v>66</v>
      </c>
      <c r="AH304" s="3">
        <f t="shared" si="152"/>
        <v>61</v>
      </c>
      <c r="AI304" s="3">
        <f t="shared" si="153"/>
        <v>56</v>
      </c>
      <c r="AJ304" s="3">
        <f t="shared" si="154"/>
        <v>50</v>
      </c>
      <c r="AK304" s="3">
        <f t="shared" si="155"/>
        <v>45</v>
      </c>
      <c r="AL304" s="3">
        <f t="shared" si="156"/>
        <v>40</v>
      </c>
      <c r="AM304" s="3">
        <f t="shared" si="157"/>
        <v>35</v>
      </c>
      <c r="AN304" s="3">
        <f t="shared" si="158"/>
        <v>29</v>
      </c>
      <c r="AO304" s="3">
        <f t="shared" si="159"/>
        <v>24</v>
      </c>
      <c r="AP304" s="3">
        <f t="shared" si="160"/>
        <v>19</v>
      </c>
      <c r="AQ304" s="3">
        <f t="shared" si="161"/>
        <v>0</v>
      </c>
      <c r="AR304" s="3">
        <f t="shared" si="162"/>
        <v>92</v>
      </c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M304" s="35" t="s">
        <v>12</v>
      </c>
      <c r="BO304" s="35"/>
      <c r="BR304" s="9" t="str">
        <f t="shared" si="137"/>
        <v/>
      </c>
      <c r="BS304" s="37" t="str">
        <f t="shared" si="138"/>
        <v/>
      </c>
      <c r="BT304" s="38" t="str">
        <f t="shared" si="164"/>
        <v/>
      </c>
      <c r="BU304" s="36" t="str">
        <f t="shared" si="139"/>
        <v/>
      </c>
    </row>
    <row r="305" spans="2:73" ht="15">
      <c r="B305" s="16">
        <f t="shared" si="140"/>
        <v>45208</v>
      </c>
      <c r="C305" s="15" t="s">
        <v>1</v>
      </c>
      <c r="D305" s="17">
        <f t="shared" si="141"/>
        <v>45214</v>
      </c>
      <c r="E305" s="18">
        <f t="shared" si="142"/>
        <v>10</v>
      </c>
      <c r="F305" s="19">
        <f t="shared" si="143"/>
        <v>2023</v>
      </c>
      <c r="G305" s="9">
        <f t="shared" si="163"/>
        <v>17</v>
      </c>
      <c r="H305" s="8">
        <f t="shared" si="163"/>
        <v>95</v>
      </c>
      <c r="I305" s="9"/>
      <c r="J305" s="9"/>
      <c r="K305" s="9"/>
      <c r="L305" s="9"/>
      <c r="M305" s="9"/>
      <c r="N305" s="9"/>
      <c r="O305" s="12"/>
      <c r="P305" s="12"/>
      <c r="Q305" s="12"/>
      <c r="R305" s="12"/>
      <c r="S305" s="12"/>
      <c r="T305" s="12"/>
      <c r="V305" s="20">
        <f t="shared" si="144"/>
        <v>15</v>
      </c>
      <c r="W305" s="20">
        <f t="shared" si="144"/>
        <v>0</v>
      </c>
      <c r="X305" s="20">
        <f t="shared" si="144"/>
        <v>4</v>
      </c>
      <c r="Y305" s="20">
        <f t="shared" si="136"/>
        <v>9</v>
      </c>
      <c r="Z305" s="20">
        <f t="shared" si="136"/>
        <v>0</v>
      </c>
      <c r="AA305" s="20">
        <f t="shared" si="136"/>
        <v>0</v>
      </c>
      <c r="AC305" s="3">
        <f t="shared" si="147"/>
        <v>88</v>
      </c>
      <c r="AD305" s="3">
        <f t="shared" si="148"/>
        <v>83</v>
      </c>
      <c r="AE305" s="3">
        <f t="shared" si="149"/>
        <v>78</v>
      </c>
      <c r="AF305" s="3">
        <f t="shared" si="150"/>
        <v>72</v>
      </c>
      <c r="AG305" s="3">
        <f t="shared" si="151"/>
        <v>67</v>
      </c>
      <c r="AH305" s="3">
        <f t="shared" si="152"/>
        <v>62</v>
      </c>
      <c r="AI305" s="3">
        <f t="shared" si="153"/>
        <v>57</v>
      </c>
      <c r="AJ305" s="3">
        <f t="shared" si="154"/>
        <v>51</v>
      </c>
      <c r="AK305" s="3">
        <f t="shared" si="155"/>
        <v>46</v>
      </c>
      <c r="AL305" s="3">
        <f t="shared" si="156"/>
        <v>41</v>
      </c>
      <c r="AM305" s="3">
        <f t="shared" si="157"/>
        <v>36</v>
      </c>
      <c r="AN305" s="3">
        <f t="shared" si="158"/>
        <v>30</v>
      </c>
      <c r="AO305" s="3">
        <f t="shared" si="159"/>
        <v>25</v>
      </c>
      <c r="AP305" s="3">
        <f t="shared" si="160"/>
        <v>20</v>
      </c>
      <c r="AQ305" s="3">
        <f t="shared" si="161"/>
        <v>0</v>
      </c>
      <c r="AR305" s="3">
        <f t="shared" si="162"/>
        <v>93</v>
      </c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M305" s="35" t="s">
        <v>12</v>
      </c>
      <c r="BO305" s="35"/>
      <c r="BR305" s="9" t="str">
        <f t="shared" si="137"/>
        <v/>
      </c>
      <c r="BS305" s="37" t="str">
        <f t="shared" si="138"/>
        <v/>
      </c>
      <c r="BT305" s="38" t="str">
        <f t="shared" si="164"/>
        <v/>
      </c>
      <c r="BU305" s="36" t="str">
        <f t="shared" si="139"/>
        <v/>
      </c>
    </row>
    <row r="306" spans="2:73" ht="15">
      <c r="B306" s="16">
        <f t="shared" si="140"/>
        <v>45215</v>
      </c>
      <c r="C306" s="15" t="s">
        <v>1</v>
      </c>
      <c r="D306" s="17">
        <f t="shared" si="141"/>
        <v>45221</v>
      </c>
      <c r="E306" s="18">
        <f t="shared" si="142"/>
        <v>10</v>
      </c>
      <c r="F306" s="19">
        <f t="shared" si="143"/>
        <v>2023</v>
      </c>
      <c r="G306" s="9">
        <f t="shared" si="163"/>
        <v>17</v>
      </c>
      <c r="H306" s="8">
        <f t="shared" si="163"/>
        <v>95</v>
      </c>
      <c r="I306" s="9"/>
      <c r="J306" s="9"/>
      <c r="K306" s="9"/>
      <c r="L306" s="9"/>
      <c r="M306" s="9"/>
      <c r="N306" s="9"/>
      <c r="O306" s="12"/>
      <c r="P306" s="12">
        <v>1</v>
      </c>
      <c r="Q306" s="12"/>
      <c r="R306" s="12"/>
      <c r="S306" s="12"/>
      <c r="T306" s="12"/>
      <c r="V306" s="20">
        <f t="shared" si="144"/>
        <v>16</v>
      </c>
      <c r="W306" s="20">
        <f t="shared" si="144"/>
        <v>45217</v>
      </c>
      <c r="X306" s="20">
        <f t="shared" si="144"/>
        <v>5</v>
      </c>
      <c r="Y306" s="20">
        <f t="shared" si="136"/>
        <v>10</v>
      </c>
      <c r="Z306" s="20">
        <f t="shared" si="136"/>
        <v>0</v>
      </c>
      <c r="AA306" s="20">
        <f t="shared" si="136"/>
        <v>0</v>
      </c>
      <c r="AC306" s="3">
        <f t="shared" si="147"/>
        <v>89</v>
      </c>
      <c r="AD306" s="3">
        <f t="shared" si="148"/>
        <v>84</v>
      </c>
      <c r="AE306" s="3">
        <f t="shared" si="149"/>
        <v>79</v>
      </c>
      <c r="AF306" s="3">
        <f t="shared" si="150"/>
        <v>73</v>
      </c>
      <c r="AG306" s="3">
        <f t="shared" si="151"/>
        <v>68</v>
      </c>
      <c r="AH306" s="3">
        <f t="shared" si="152"/>
        <v>63</v>
      </c>
      <c r="AI306" s="3">
        <f t="shared" si="153"/>
        <v>58</v>
      </c>
      <c r="AJ306" s="3">
        <f t="shared" si="154"/>
        <v>52</v>
      </c>
      <c r="AK306" s="3">
        <f t="shared" si="155"/>
        <v>47</v>
      </c>
      <c r="AL306" s="3">
        <f t="shared" si="156"/>
        <v>42</v>
      </c>
      <c r="AM306" s="3">
        <f t="shared" si="157"/>
        <v>37</v>
      </c>
      <c r="AN306" s="3">
        <f t="shared" si="158"/>
        <v>31</v>
      </c>
      <c r="AO306" s="3">
        <f t="shared" si="159"/>
        <v>26</v>
      </c>
      <c r="AP306" s="3">
        <f t="shared" si="160"/>
        <v>21</v>
      </c>
      <c r="AQ306" s="3">
        <f t="shared" si="161"/>
        <v>0</v>
      </c>
      <c r="AR306" s="3">
        <f t="shared" si="162"/>
        <v>94</v>
      </c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M306" s="35" t="s">
        <v>12</v>
      </c>
      <c r="BO306" s="35"/>
      <c r="BR306" s="9">
        <f t="shared" si="137"/>
        <v>2</v>
      </c>
      <c r="BS306" s="37">
        <f t="shared" si="138"/>
        <v>45217</v>
      </c>
      <c r="BT306" s="38">
        <f t="shared" si="164"/>
        <v>45336</v>
      </c>
      <c r="BU306" s="36">
        <f t="shared" si="139"/>
        <v>11</v>
      </c>
    </row>
    <row r="307" spans="2:73" ht="15">
      <c r="B307" s="16">
        <f t="shared" si="140"/>
        <v>45222</v>
      </c>
      <c r="C307" s="15" t="s">
        <v>1</v>
      </c>
      <c r="D307" s="17">
        <f t="shared" si="141"/>
        <v>45228</v>
      </c>
      <c r="E307" s="18">
        <f t="shared" si="142"/>
        <v>10</v>
      </c>
      <c r="F307" s="19">
        <f t="shared" si="143"/>
        <v>2023</v>
      </c>
      <c r="G307" s="9">
        <f t="shared" si="163"/>
        <v>17</v>
      </c>
      <c r="H307" s="8">
        <f t="shared" si="163"/>
        <v>95</v>
      </c>
      <c r="I307" s="9"/>
      <c r="J307" s="9"/>
      <c r="K307" s="9"/>
      <c r="L307" s="9"/>
      <c r="M307" s="9"/>
      <c r="N307" s="9"/>
      <c r="O307" s="12"/>
      <c r="P307" s="12"/>
      <c r="Q307" s="12"/>
      <c r="R307" s="12"/>
      <c r="S307" s="12"/>
      <c r="T307" s="12"/>
      <c r="V307" s="20">
        <f t="shared" si="144"/>
        <v>17</v>
      </c>
      <c r="W307" s="20">
        <f t="shared" si="144"/>
        <v>1</v>
      </c>
      <c r="X307" s="20">
        <f t="shared" si="144"/>
        <v>6</v>
      </c>
      <c r="Y307" s="20">
        <f t="shared" si="136"/>
        <v>11</v>
      </c>
      <c r="Z307" s="20">
        <f t="shared" si="136"/>
        <v>0</v>
      </c>
      <c r="AA307" s="20">
        <f t="shared" si="136"/>
        <v>0</v>
      </c>
      <c r="AC307" s="3">
        <f t="shared" si="147"/>
        <v>90</v>
      </c>
      <c r="AD307" s="3">
        <f t="shared" si="148"/>
        <v>85</v>
      </c>
      <c r="AE307" s="3">
        <f t="shared" si="149"/>
        <v>80</v>
      </c>
      <c r="AF307" s="3">
        <f t="shared" si="150"/>
        <v>74</v>
      </c>
      <c r="AG307" s="3">
        <f t="shared" si="151"/>
        <v>69</v>
      </c>
      <c r="AH307" s="3">
        <f t="shared" si="152"/>
        <v>64</v>
      </c>
      <c r="AI307" s="3">
        <f t="shared" si="153"/>
        <v>59</v>
      </c>
      <c r="AJ307" s="3">
        <f t="shared" si="154"/>
        <v>53</v>
      </c>
      <c r="AK307" s="3">
        <f t="shared" si="155"/>
        <v>48</v>
      </c>
      <c r="AL307" s="3">
        <f t="shared" si="156"/>
        <v>43</v>
      </c>
      <c r="AM307" s="3">
        <f t="shared" si="157"/>
        <v>38</v>
      </c>
      <c r="AN307" s="3">
        <f t="shared" si="158"/>
        <v>32</v>
      </c>
      <c r="AO307" s="3">
        <f t="shared" si="159"/>
        <v>27</v>
      </c>
      <c r="AP307" s="3">
        <f t="shared" si="160"/>
        <v>22</v>
      </c>
      <c r="AQ307" s="3">
        <f t="shared" si="161"/>
        <v>17</v>
      </c>
      <c r="AR307" s="3">
        <f t="shared" si="162"/>
        <v>95</v>
      </c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>
        <v>1</v>
      </c>
      <c r="BH307" s="8"/>
      <c r="BM307" s="35" t="s">
        <v>12</v>
      </c>
      <c r="BO307" s="35"/>
      <c r="BR307" s="9" t="str">
        <f t="shared" si="137"/>
        <v/>
      </c>
      <c r="BS307" s="37" t="str">
        <f t="shared" si="138"/>
        <v/>
      </c>
      <c r="BT307" s="38" t="str">
        <f t="shared" si="164"/>
        <v/>
      </c>
      <c r="BU307" s="36" t="str">
        <f t="shared" si="139"/>
        <v/>
      </c>
    </row>
    <row r="308" spans="2:73" ht="15">
      <c r="B308" s="16">
        <f t="shared" si="140"/>
        <v>45229</v>
      </c>
      <c r="C308" s="15" t="s">
        <v>1</v>
      </c>
      <c r="D308" s="17">
        <f t="shared" si="141"/>
        <v>45235</v>
      </c>
      <c r="E308" s="18">
        <f t="shared" si="142"/>
        <v>10</v>
      </c>
      <c r="F308" s="19">
        <f t="shared" si="143"/>
        <v>2023</v>
      </c>
      <c r="G308" s="9">
        <f t="shared" si="163"/>
        <v>17</v>
      </c>
      <c r="H308" s="8">
        <f t="shared" si="163"/>
        <v>95</v>
      </c>
      <c r="I308" s="9"/>
      <c r="J308" s="9"/>
      <c r="K308" s="9"/>
      <c r="L308" s="9"/>
      <c r="M308" s="9"/>
      <c r="N308" s="9"/>
      <c r="O308" s="12"/>
      <c r="P308" s="12"/>
      <c r="Q308" s="12"/>
      <c r="R308" s="12"/>
      <c r="S308" s="12"/>
      <c r="T308" s="12"/>
      <c r="V308" s="20">
        <f t="shared" si="144"/>
        <v>0</v>
      </c>
      <c r="W308" s="20">
        <f t="shared" si="144"/>
        <v>2</v>
      </c>
      <c r="X308" s="20">
        <f t="shared" si="144"/>
        <v>7</v>
      </c>
      <c r="Y308" s="20">
        <f t="shared" si="136"/>
        <v>12</v>
      </c>
      <c r="Z308" s="20">
        <f t="shared" si="136"/>
        <v>0</v>
      </c>
      <c r="AA308" s="20">
        <f t="shared" si="136"/>
        <v>0</v>
      </c>
      <c r="AC308" s="3">
        <f t="shared" si="147"/>
        <v>91</v>
      </c>
      <c r="AD308" s="3">
        <f t="shared" si="148"/>
        <v>86</v>
      </c>
      <c r="AE308" s="3">
        <f t="shared" si="149"/>
        <v>81</v>
      </c>
      <c r="AF308" s="3">
        <f t="shared" si="150"/>
        <v>75</v>
      </c>
      <c r="AG308" s="3">
        <f t="shared" si="151"/>
        <v>70</v>
      </c>
      <c r="AH308" s="3">
        <f t="shared" si="152"/>
        <v>65</v>
      </c>
      <c r="AI308" s="3">
        <f t="shared" si="153"/>
        <v>60</v>
      </c>
      <c r="AJ308" s="3">
        <f t="shared" si="154"/>
        <v>54</v>
      </c>
      <c r="AK308" s="3">
        <f t="shared" si="155"/>
        <v>49</v>
      </c>
      <c r="AL308" s="3">
        <f t="shared" si="156"/>
        <v>44</v>
      </c>
      <c r="AM308" s="3">
        <f t="shared" si="157"/>
        <v>39</v>
      </c>
      <c r="AN308" s="3">
        <f t="shared" si="158"/>
        <v>33</v>
      </c>
      <c r="AO308" s="3">
        <f t="shared" si="159"/>
        <v>28</v>
      </c>
      <c r="AP308" s="3">
        <f t="shared" si="160"/>
        <v>23</v>
      </c>
      <c r="AQ308" s="3">
        <f t="shared" si="161"/>
        <v>18</v>
      </c>
      <c r="AR308" s="3">
        <f t="shared" si="162"/>
        <v>0</v>
      </c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M308" s="35" t="s">
        <v>12</v>
      </c>
      <c r="BO308" s="35"/>
      <c r="BR308" s="9" t="str">
        <f t="shared" si="137"/>
        <v/>
      </c>
      <c r="BS308" s="37" t="str">
        <f t="shared" si="138"/>
        <v/>
      </c>
      <c r="BT308" s="38" t="str">
        <f t="shared" si="164"/>
        <v/>
      </c>
      <c r="BU308" s="36" t="str">
        <f t="shared" si="139"/>
        <v/>
      </c>
    </row>
    <row r="309" spans="2:73" ht="15">
      <c r="B309" s="16">
        <f t="shared" si="140"/>
        <v>45236</v>
      </c>
      <c r="C309" s="15" t="s">
        <v>1</v>
      </c>
      <c r="D309" s="17">
        <f t="shared" si="141"/>
        <v>45242</v>
      </c>
      <c r="E309" s="18">
        <f t="shared" si="142"/>
        <v>11</v>
      </c>
      <c r="F309" s="19">
        <f t="shared" si="143"/>
        <v>2023</v>
      </c>
      <c r="G309" s="9">
        <f t="shared" si="163"/>
        <v>17</v>
      </c>
      <c r="H309" s="8">
        <f t="shared" si="163"/>
        <v>95</v>
      </c>
      <c r="I309" s="9"/>
      <c r="J309" s="9"/>
      <c r="K309" s="9"/>
      <c r="L309" s="9"/>
      <c r="M309" s="9"/>
      <c r="N309" s="9"/>
      <c r="O309" s="12"/>
      <c r="P309" s="12"/>
      <c r="Q309" s="12"/>
      <c r="R309" s="12"/>
      <c r="S309" s="12"/>
      <c r="T309" s="12"/>
      <c r="V309" s="20">
        <f t="shared" si="144"/>
        <v>0</v>
      </c>
      <c r="W309" s="20">
        <f t="shared" si="144"/>
        <v>3</v>
      </c>
      <c r="X309" s="20">
        <f t="shared" si="144"/>
        <v>8</v>
      </c>
      <c r="Y309" s="20">
        <f t="shared" si="136"/>
        <v>13</v>
      </c>
      <c r="Z309" s="20">
        <f t="shared" si="136"/>
        <v>0</v>
      </c>
      <c r="AA309" s="20">
        <f t="shared" si="136"/>
        <v>0</v>
      </c>
      <c r="AC309" s="3">
        <f t="shared" si="147"/>
        <v>92</v>
      </c>
      <c r="AD309" s="3">
        <f t="shared" si="148"/>
        <v>87</v>
      </c>
      <c r="AE309" s="3">
        <f t="shared" si="149"/>
        <v>82</v>
      </c>
      <c r="AF309" s="3">
        <f t="shared" si="150"/>
        <v>76</v>
      </c>
      <c r="AG309" s="3">
        <f t="shared" si="151"/>
        <v>71</v>
      </c>
      <c r="AH309" s="3">
        <f t="shared" si="152"/>
        <v>66</v>
      </c>
      <c r="AI309" s="3">
        <f t="shared" si="153"/>
        <v>61</v>
      </c>
      <c r="AJ309" s="3">
        <f t="shared" si="154"/>
        <v>55</v>
      </c>
      <c r="AK309" s="3">
        <f t="shared" si="155"/>
        <v>50</v>
      </c>
      <c r="AL309" s="3">
        <f t="shared" si="156"/>
        <v>45</v>
      </c>
      <c r="AM309" s="3">
        <f t="shared" si="157"/>
        <v>40</v>
      </c>
      <c r="AN309" s="3">
        <f t="shared" si="158"/>
        <v>34</v>
      </c>
      <c r="AO309" s="3">
        <f t="shared" si="159"/>
        <v>29</v>
      </c>
      <c r="AP309" s="3">
        <f t="shared" si="160"/>
        <v>24</v>
      </c>
      <c r="AQ309" s="3">
        <f t="shared" si="161"/>
        <v>19</v>
      </c>
      <c r="AR309" s="3">
        <f t="shared" si="162"/>
        <v>0</v>
      </c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M309" s="35" t="s">
        <v>12</v>
      </c>
      <c r="BO309" s="35"/>
      <c r="BR309" s="9" t="str">
        <f t="shared" si="137"/>
        <v/>
      </c>
      <c r="BS309" s="37" t="str">
        <f t="shared" si="138"/>
        <v/>
      </c>
      <c r="BT309" s="38" t="str">
        <f t="shared" si="164"/>
        <v/>
      </c>
      <c r="BU309" s="36" t="str">
        <f t="shared" si="139"/>
        <v/>
      </c>
    </row>
    <row r="310" spans="2:73" ht="15">
      <c r="B310" s="16">
        <f t="shared" si="140"/>
        <v>45243</v>
      </c>
      <c r="C310" s="15" t="s">
        <v>1</v>
      </c>
      <c r="D310" s="17">
        <f t="shared" si="141"/>
        <v>45249</v>
      </c>
      <c r="E310" s="18">
        <f t="shared" si="142"/>
        <v>11</v>
      </c>
      <c r="F310" s="19">
        <f t="shared" si="143"/>
        <v>2023</v>
      </c>
      <c r="G310" s="9">
        <f t="shared" ref="G310:H325" si="165">G309</f>
        <v>17</v>
      </c>
      <c r="H310" s="8">
        <f t="shared" si="165"/>
        <v>95</v>
      </c>
      <c r="I310" s="9"/>
      <c r="J310" s="9"/>
      <c r="K310" s="9"/>
      <c r="L310" s="9"/>
      <c r="M310" s="9"/>
      <c r="N310" s="9"/>
      <c r="O310" s="12"/>
      <c r="P310" s="12"/>
      <c r="Q310" s="12"/>
      <c r="R310" s="12"/>
      <c r="S310" s="12"/>
      <c r="T310" s="12"/>
      <c r="V310" s="20">
        <f t="shared" si="144"/>
        <v>0</v>
      </c>
      <c r="W310" s="20">
        <f t="shared" si="144"/>
        <v>4</v>
      </c>
      <c r="X310" s="20">
        <f t="shared" si="144"/>
        <v>9</v>
      </c>
      <c r="Y310" s="20">
        <f t="shared" si="136"/>
        <v>14</v>
      </c>
      <c r="Z310" s="20">
        <f t="shared" si="136"/>
        <v>0</v>
      </c>
      <c r="AA310" s="20">
        <f t="shared" si="136"/>
        <v>0</v>
      </c>
      <c r="AC310" s="3">
        <f t="shared" si="147"/>
        <v>93</v>
      </c>
      <c r="AD310" s="3">
        <f t="shared" si="148"/>
        <v>88</v>
      </c>
      <c r="AE310" s="3">
        <f t="shared" si="149"/>
        <v>83</v>
      </c>
      <c r="AF310" s="3">
        <f t="shared" si="150"/>
        <v>77</v>
      </c>
      <c r="AG310" s="3">
        <f t="shared" si="151"/>
        <v>72</v>
      </c>
      <c r="AH310" s="3">
        <f t="shared" si="152"/>
        <v>67</v>
      </c>
      <c r="AI310" s="3">
        <f t="shared" si="153"/>
        <v>62</v>
      </c>
      <c r="AJ310" s="3">
        <f t="shared" si="154"/>
        <v>56</v>
      </c>
      <c r="AK310" s="3">
        <f t="shared" si="155"/>
        <v>51</v>
      </c>
      <c r="AL310" s="3">
        <f t="shared" si="156"/>
        <v>46</v>
      </c>
      <c r="AM310" s="3">
        <f t="shared" si="157"/>
        <v>41</v>
      </c>
      <c r="AN310" s="3">
        <f t="shared" si="158"/>
        <v>35</v>
      </c>
      <c r="AO310" s="3">
        <f t="shared" si="159"/>
        <v>30</v>
      </c>
      <c r="AP310" s="3">
        <f t="shared" si="160"/>
        <v>25</v>
      </c>
      <c r="AQ310" s="3">
        <f t="shared" si="161"/>
        <v>20</v>
      </c>
      <c r="AR310" s="3">
        <f t="shared" si="162"/>
        <v>0</v>
      </c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M310" s="35" t="s">
        <v>12</v>
      </c>
      <c r="BO310" s="35"/>
      <c r="BR310" s="9" t="str">
        <f t="shared" si="137"/>
        <v/>
      </c>
      <c r="BS310" s="37" t="str">
        <f t="shared" si="138"/>
        <v/>
      </c>
      <c r="BT310" s="38" t="str">
        <f t="shared" si="164"/>
        <v/>
      </c>
      <c r="BU310" s="36" t="str">
        <f t="shared" si="139"/>
        <v/>
      </c>
    </row>
    <row r="311" spans="2:73" ht="15">
      <c r="B311" s="16">
        <f t="shared" si="140"/>
        <v>45250</v>
      </c>
      <c r="C311" s="15" t="s">
        <v>1</v>
      </c>
      <c r="D311" s="17">
        <f t="shared" si="141"/>
        <v>45256</v>
      </c>
      <c r="E311" s="18">
        <f t="shared" si="142"/>
        <v>11</v>
      </c>
      <c r="F311" s="19">
        <f t="shared" si="143"/>
        <v>2023</v>
      </c>
      <c r="G311" s="9">
        <f t="shared" si="165"/>
        <v>17</v>
      </c>
      <c r="H311" s="8">
        <f t="shared" si="165"/>
        <v>95</v>
      </c>
      <c r="I311" s="9"/>
      <c r="J311" s="9"/>
      <c r="K311" s="9"/>
      <c r="L311" s="9"/>
      <c r="M311" s="9"/>
      <c r="N311" s="9"/>
      <c r="O311" s="12">
        <v>1</v>
      </c>
      <c r="P311" s="12"/>
      <c r="Q311" s="12"/>
      <c r="R311" s="12"/>
      <c r="S311" s="12"/>
      <c r="T311" s="12"/>
      <c r="V311" s="20">
        <f t="shared" si="144"/>
        <v>45252</v>
      </c>
      <c r="W311" s="20">
        <f t="shared" si="144"/>
        <v>5</v>
      </c>
      <c r="X311" s="20">
        <f t="shared" si="144"/>
        <v>10</v>
      </c>
      <c r="Y311" s="20">
        <f t="shared" si="136"/>
        <v>15</v>
      </c>
      <c r="Z311" s="20">
        <f t="shared" si="136"/>
        <v>0</v>
      </c>
      <c r="AA311" s="20">
        <f t="shared" si="136"/>
        <v>0</v>
      </c>
      <c r="AC311" s="3">
        <f t="shared" si="147"/>
        <v>94</v>
      </c>
      <c r="AD311" s="3">
        <f t="shared" si="148"/>
        <v>89</v>
      </c>
      <c r="AE311" s="3">
        <f t="shared" si="149"/>
        <v>84</v>
      </c>
      <c r="AF311" s="3">
        <f t="shared" si="150"/>
        <v>78</v>
      </c>
      <c r="AG311" s="3">
        <f t="shared" si="151"/>
        <v>73</v>
      </c>
      <c r="AH311" s="3">
        <f t="shared" si="152"/>
        <v>68</v>
      </c>
      <c r="AI311" s="3">
        <f t="shared" si="153"/>
        <v>63</v>
      </c>
      <c r="AJ311" s="3">
        <f t="shared" si="154"/>
        <v>57</v>
      </c>
      <c r="AK311" s="3">
        <f t="shared" si="155"/>
        <v>52</v>
      </c>
      <c r="AL311" s="3">
        <f t="shared" si="156"/>
        <v>47</v>
      </c>
      <c r="AM311" s="3">
        <f t="shared" si="157"/>
        <v>42</v>
      </c>
      <c r="AN311" s="3">
        <f t="shared" si="158"/>
        <v>36</v>
      </c>
      <c r="AO311" s="3">
        <f t="shared" si="159"/>
        <v>31</v>
      </c>
      <c r="AP311" s="3">
        <f t="shared" si="160"/>
        <v>26</v>
      </c>
      <c r="AQ311" s="3">
        <f t="shared" si="161"/>
        <v>21</v>
      </c>
      <c r="AR311" s="3">
        <f t="shared" si="162"/>
        <v>0</v>
      </c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M311" s="35" t="s">
        <v>12</v>
      </c>
      <c r="BO311" s="35"/>
      <c r="BR311" s="9">
        <f t="shared" si="137"/>
        <v>1</v>
      </c>
      <c r="BS311" s="37">
        <f t="shared" si="138"/>
        <v>45252</v>
      </c>
      <c r="BT311" s="38">
        <f t="shared" si="164"/>
        <v>45371</v>
      </c>
      <c r="BU311" s="36">
        <f t="shared" si="139"/>
        <v>10</v>
      </c>
    </row>
    <row r="312" spans="2:73" ht="15">
      <c r="B312" s="16">
        <f t="shared" si="140"/>
        <v>45257</v>
      </c>
      <c r="C312" s="15" t="s">
        <v>1</v>
      </c>
      <c r="D312" s="17">
        <f t="shared" si="141"/>
        <v>45263</v>
      </c>
      <c r="E312" s="18">
        <f t="shared" si="142"/>
        <v>11</v>
      </c>
      <c r="F312" s="19">
        <f t="shared" si="143"/>
        <v>2023</v>
      </c>
      <c r="G312" s="9">
        <f t="shared" si="165"/>
        <v>17</v>
      </c>
      <c r="H312" s="8">
        <f t="shared" si="165"/>
        <v>95</v>
      </c>
      <c r="I312" s="9"/>
      <c r="J312" s="9"/>
      <c r="K312" s="9"/>
      <c r="L312" s="9"/>
      <c r="M312" s="9"/>
      <c r="N312" s="9"/>
      <c r="O312" s="12"/>
      <c r="P312" s="12"/>
      <c r="Q312" s="12"/>
      <c r="R312" s="12"/>
      <c r="S312" s="12"/>
      <c r="T312" s="12"/>
      <c r="V312" s="20">
        <f t="shared" si="144"/>
        <v>1</v>
      </c>
      <c r="W312" s="20">
        <f t="shared" si="144"/>
        <v>6</v>
      </c>
      <c r="X312" s="20">
        <f t="shared" si="144"/>
        <v>11</v>
      </c>
      <c r="Y312" s="20">
        <f t="shared" si="136"/>
        <v>16</v>
      </c>
      <c r="Z312" s="20">
        <f t="shared" si="136"/>
        <v>0</v>
      </c>
      <c r="AA312" s="20">
        <f t="shared" si="136"/>
        <v>0</v>
      </c>
      <c r="AC312" s="3">
        <f t="shared" si="147"/>
        <v>95</v>
      </c>
      <c r="AD312" s="3">
        <f t="shared" si="148"/>
        <v>90</v>
      </c>
      <c r="AE312" s="3">
        <f t="shared" si="149"/>
        <v>85</v>
      </c>
      <c r="AF312" s="3">
        <f t="shared" si="150"/>
        <v>79</v>
      </c>
      <c r="AG312" s="3">
        <f t="shared" si="151"/>
        <v>74</v>
      </c>
      <c r="AH312" s="3">
        <f t="shared" si="152"/>
        <v>69</v>
      </c>
      <c r="AI312" s="3">
        <f t="shared" si="153"/>
        <v>64</v>
      </c>
      <c r="AJ312" s="3">
        <f t="shared" si="154"/>
        <v>58</v>
      </c>
      <c r="AK312" s="3">
        <f t="shared" si="155"/>
        <v>53</v>
      </c>
      <c r="AL312" s="3">
        <f t="shared" si="156"/>
        <v>48</v>
      </c>
      <c r="AM312" s="3">
        <f t="shared" si="157"/>
        <v>43</v>
      </c>
      <c r="AN312" s="3">
        <f t="shared" si="158"/>
        <v>37</v>
      </c>
      <c r="AO312" s="3">
        <f t="shared" si="159"/>
        <v>32</v>
      </c>
      <c r="AP312" s="3">
        <f t="shared" si="160"/>
        <v>27</v>
      </c>
      <c r="AQ312" s="3">
        <f t="shared" si="161"/>
        <v>22</v>
      </c>
      <c r="AR312" s="3">
        <f t="shared" si="162"/>
        <v>0</v>
      </c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M312" s="35" t="s">
        <v>12</v>
      </c>
      <c r="BO312" s="35"/>
      <c r="BR312" s="9" t="str">
        <f t="shared" si="137"/>
        <v/>
      </c>
      <c r="BS312" s="37" t="str">
        <f t="shared" si="138"/>
        <v/>
      </c>
      <c r="BT312" s="38" t="str">
        <f t="shared" si="164"/>
        <v/>
      </c>
      <c r="BU312" s="36" t="str">
        <f t="shared" si="139"/>
        <v/>
      </c>
    </row>
    <row r="313" spans="2:73" ht="15">
      <c r="B313" s="16">
        <f t="shared" si="140"/>
        <v>45264</v>
      </c>
      <c r="C313" s="15" t="s">
        <v>1</v>
      </c>
      <c r="D313" s="17">
        <f t="shared" si="141"/>
        <v>45270</v>
      </c>
      <c r="E313" s="18">
        <f t="shared" si="142"/>
        <v>12</v>
      </c>
      <c r="F313" s="19">
        <f t="shared" si="143"/>
        <v>2023</v>
      </c>
      <c r="G313" s="9">
        <f t="shared" si="165"/>
        <v>17</v>
      </c>
      <c r="H313" s="8">
        <f t="shared" si="165"/>
        <v>95</v>
      </c>
      <c r="I313" s="9"/>
      <c r="J313" s="9"/>
      <c r="K313" s="9"/>
      <c r="L313" s="9"/>
      <c r="M313" s="9"/>
      <c r="N313" s="9"/>
      <c r="O313" s="12"/>
      <c r="P313" s="12"/>
      <c r="Q313" s="12"/>
      <c r="R313" s="12"/>
      <c r="S313" s="12"/>
      <c r="T313" s="12"/>
      <c r="V313" s="20">
        <f t="shared" si="144"/>
        <v>2</v>
      </c>
      <c r="W313" s="20">
        <f t="shared" si="144"/>
        <v>7</v>
      </c>
      <c r="X313" s="20">
        <f t="shared" si="144"/>
        <v>12</v>
      </c>
      <c r="Y313" s="20">
        <f t="shared" si="136"/>
        <v>17</v>
      </c>
      <c r="Z313" s="20">
        <f t="shared" si="136"/>
        <v>0</v>
      </c>
      <c r="AA313" s="20">
        <f t="shared" si="136"/>
        <v>0</v>
      </c>
      <c r="AC313" s="3">
        <f t="shared" si="147"/>
        <v>0</v>
      </c>
      <c r="AD313" s="3">
        <f t="shared" si="148"/>
        <v>91</v>
      </c>
      <c r="AE313" s="3">
        <f t="shared" si="149"/>
        <v>86</v>
      </c>
      <c r="AF313" s="3">
        <f t="shared" si="150"/>
        <v>80</v>
      </c>
      <c r="AG313" s="3">
        <f t="shared" si="151"/>
        <v>75</v>
      </c>
      <c r="AH313" s="3">
        <f t="shared" si="152"/>
        <v>70</v>
      </c>
      <c r="AI313" s="3">
        <f t="shared" si="153"/>
        <v>65</v>
      </c>
      <c r="AJ313" s="3">
        <f t="shared" si="154"/>
        <v>59</v>
      </c>
      <c r="AK313" s="3">
        <f t="shared" si="155"/>
        <v>54</v>
      </c>
      <c r="AL313" s="3">
        <f t="shared" si="156"/>
        <v>49</v>
      </c>
      <c r="AM313" s="3">
        <f t="shared" si="157"/>
        <v>44</v>
      </c>
      <c r="AN313" s="3">
        <f t="shared" si="158"/>
        <v>38</v>
      </c>
      <c r="AO313" s="3">
        <f t="shared" si="159"/>
        <v>33</v>
      </c>
      <c r="AP313" s="3">
        <f t="shared" si="160"/>
        <v>28</v>
      </c>
      <c r="AQ313" s="3">
        <f t="shared" si="161"/>
        <v>23</v>
      </c>
      <c r="AR313" s="3">
        <f t="shared" si="162"/>
        <v>17</v>
      </c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>
        <v>4</v>
      </c>
      <c r="BM313" s="35" t="s">
        <v>12</v>
      </c>
      <c r="BO313" s="35"/>
      <c r="BR313" s="9" t="str">
        <f t="shared" si="137"/>
        <v/>
      </c>
      <c r="BS313" s="37" t="str">
        <f t="shared" si="138"/>
        <v/>
      </c>
      <c r="BT313" s="38" t="str">
        <f t="shared" si="164"/>
        <v/>
      </c>
      <c r="BU313" s="36" t="str">
        <f t="shared" si="139"/>
        <v/>
      </c>
    </row>
    <row r="314" spans="2:73" ht="15">
      <c r="B314" s="16">
        <f t="shared" si="140"/>
        <v>45271</v>
      </c>
      <c r="C314" s="15" t="s">
        <v>1</v>
      </c>
      <c r="D314" s="17">
        <f t="shared" si="141"/>
        <v>45277</v>
      </c>
      <c r="E314" s="18">
        <f t="shared" si="142"/>
        <v>12</v>
      </c>
      <c r="F314" s="19">
        <f t="shared" si="143"/>
        <v>2023</v>
      </c>
      <c r="G314" s="9">
        <f t="shared" si="165"/>
        <v>17</v>
      </c>
      <c r="H314" s="8">
        <f t="shared" si="165"/>
        <v>95</v>
      </c>
      <c r="I314" s="9"/>
      <c r="J314" s="9"/>
      <c r="K314" s="9"/>
      <c r="L314" s="9"/>
      <c r="M314" s="9"/>
      <c r="N314" s="9"/>
      <c r="O314" s="12"/>
      <c r="P314" s="12"/>
      <c r="Q314" s="12"/>
      <c r="R314" s="12"/>
      <c r="S314" s="12"/>
      <c r="T314" s="12"/>
      <c r="V314" s="20">
        <f t="shared" si="144"/>
        <v>3</v>
      </c>
      <c r="W314" s="20">
        <f t="shared" si="144"/>
        <v>8</v>
      </c>
      <c r="X314" s="20">
        <f t="shared" si="144"/>
        <v>13</v>
      </c>
      <c r="Y314" s="20">
        <f t="shared" si="136"/>
        <v>0</v>
      </c>
      <c r="Z314" s="20">
        <f t="shared" si="136"/>
        <v>0</v>
      </c>
      <c r="AA314" s="20">
        <f t="shared" si="136"/>
        <v>0</v>
      </c>
      <c r="AC314" s="3">
        <f t="shared" si="147"/>
        <v>0</v>
      </c>
      <c r="AD314" s="3">
        <f t="shared" si="148"/>
        <v>92</v>
      </c>
      <c r="AE314" s="3">
        <f t="shared" si="149"/>
        <v>87</v>
      </c>
      <c r="AF314" s="3">
        <f t="shared" si="150"/>
        <v>81</v>
      </c>
      <c r="AG314" s="3">
        <f t="shared" si="151"/>
        <v>76</v>
      </c>
      <c r="AH314" s="3">
        <f t="shared" si="152"/>
        <v>71</v>
      </c>
      <c r="AI314" s="3">
        <f t="shared" si="153"/>
        <v>66</v>
      </c>
      <c r="AJ314" s="3">
        <f t="shared" si="154"/>
        <v>60</v>
      </c>
      <c r="AK314" s="3">
        <f t="shared" si="155"/>
        <v>55</v>
      </c>
      <c r="AL314" s="3">
        <f t="shared" si="156"/>
        <v>50</v>
      </c>
      <c r="AM314" s="3">
        <f t="shared" si="157"/>
        <v>45</v>
      </c>
      <c r="AN314" s="3">
        <f t="shared" si="158"/>
        <v>39</v>
      </c>
      <c r="AO314" s="3">
        <f t="shared" si="159"/>
        <v>34</v>
      </c>
      <c r="AP314" s="3">
        <f t="shared" si="160"/>
        <v>29</v>
      </c>
      <c r="AQ314" s="3">
        <f t="shared" si="161"/>
        <v>24</v>
      </c>
      <c r="AR314" s="3">
        <f t="shared" si="162"/>
        <v>18</v>
      </c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M314" s="35" t="s">
        <v>12</v>
      </c>
      <c r="BO314" s="35"/>
      <c r="BR314" s="9" t="str">
        <f t="shared" si="137"/>
        <v/>
      </c>
      <c r="BS314" s="37" t="str">
        <f t="shared" si="138"/>
        <v/>
      </c>
      <c r="BT314" s="38" t="str">
        <f t="shared" si="164"/>
        <v/>
      </c>
      <c r="BU314" s="36" t="str">
        <f t="shared" si="139"/>
        <v/>
      </c>
    </row>
    <row r="315" spans="2:73" ht="15">
      <c r="B315" s="16">
        <f t="shared" si="140"/>
        <v>45278</v>
      </c>
      <c r="C315" s="15" t="s">
        <v>1</v>
      </c>
      <c r="D315" s="17">
        <f t="shared" si="141"/>
        <v>45284</v>
      </c>
      <c r="E315" s="18">
        <f t="shared" si="142"/>
        <v>12</v>
      </c>
      <c r="F315" s="19">
        <f t="shared" si="143"/>
        <v>2023</v>
      </c>
      <c r="G315" s="9">
        <f t="shared" si="165"/>
        <v>17</v>
      </c>
      <c r="H315" s="8">
        <f t="shared" si="165"/>
        <v>95</v>
      </c>
      <c r="I315" s="9"/>
      <c r="J315" s="9"/>
      <c r="K315" s="9"/>
      <c r="L315" s="9"/>
      <c r="M315" s="9"/>
      <c r="N315" s="9"/>
      <c r="O315" s="12"/>
      <c r="P315" s="12"/>
      <c r="Q315" s="12"/>
      <c r="R315" s="12"/>
      <c r="S315" s="12"/>
      <c r="T315" s="12"/>
      <c r="V315" s="20">
        <f t="shared" si="144"/>
        <v>4</v>
      </c>
      <c r="W315" s="20">
        <f t="shared" si="144"/>
        <v>9</v>
      </c>
      <c r="X315" s="20">
        <f t="shared" si="144"/>
        <v>14</v>
      </c>
      <c r="Y315" s="20">
        <f t="shared" si="136"/>
        <v>0</v>
      </c>
      <c r="Z315" s="20">
        <f t="shared" si="136"/>
        <v>0</v>
      </c>
      <c r="AA315" s="20">
        <f t="shared" si="136"/>
        <v>0</v>
      </c>
      <c r="AC315" s="3">
        <f t="shared" si="147"/>
        <v>0</v>
      </c>
      <c r="AD315" s="3">
        <f t="shared" si="148"/>
        <v>93</v>
      </c>
      <c r="AE315" s="3">
        <f t="shared" si="149"/>
        <v>88</v>
      </c>
      <c r="AF315" s="3">
        <f t="shared" si="150"/>
        <v>82</v>
      </c>
      <c r="AG315" s="3">
        <f t="shared" si="151"/>
        <v>77</v>
      </c>
      <c r="AH315" s="3">
        <f t="shared" si="152"/>
        <v>72</v>
      </c>
      <c r="AI315" s="3">
        <f t="shared" si="153"/>
        <v>67</v>
      </c>
      <c r="AJ315" s="3">
        <f t="shared" si="154"/>
        <v>61</v>
      </c>
      <c r="AK315" s="3">
        <f t="shared" si="155"/>
        <v>56</v>
      </c>
      <c r="AL315" s="3">
        <f t="shared" si="156"/>
        <v>51</v>
      </c>
      <c r="AM315" s="3">
        <f t="shared" si="157"/>
        <v>46</v>
      </c>
      <c r="AN315" s="3">
        <f t="shared" si="158"/>
        <v>40</v>
      </c>
      <c r="AO315" s="3">
        <f t="shared" si="159"/>
        <v>35</v>
      </c>
      <c r="AP315" s="3">
        <f t="shared" si="160"/>
        <v>30</v>
      </c>
      <c r="AQ315" s="3">
        <f t="shared" si="161"/>
        <v>25</v>
      </c>
      <c r="AR315" s="3">
        <f t="shared" si="162"/>
        <v>19</v>
      </c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M315" s="35" t="s">
        <v>12</v>
      </c>
      <c r="BO315" s="35"/>
      <c r="BR315" s="9" t="str">
        <f t="shared" si="137"/>
        <v/>
      </c>
      <c r="BS315" s="37" t="str">
        <f t="shared" si="138"/>
        <v/>
      </c>
      <c r="BT315" s="38" t="str">
        <f t="shared" si="164"/>
        <v/>
      </c>
      <c r="BU315" s="36" t="str">
        <f t="shared" si="139"/>
        <v/>
      </c>
    </row>
    <row r="316" spans="2:73" ht="15">
      <c r="B316" s="16">
        <f t="shared" si="140"/>
        <v>45285</v>
      </c>
      <c r="C316" s="15" t="s">
        <v>1</v>
      </c>
      <c r="D316" s="17">
        <f t="shared" si="141"/>
        <v>45291</v>
      </c>
      <c r="E316" s="18">
        <f t="shared" si="142"/>
        <v>12</v>
      </c>
      <c r="F316" s="19">
        <f t="shared" si="143"/>
        <v>2023</v>
      </c>
      <c r="G316" s="9">
        <f t="shared" si="165"/>
        <v>17</v>
      </c>
      <c r="H316" s="8">
        <f t="shared" si="165"/>
        <v>95</v>
      </c>
      <c r="I316" s="9"/>
      <c r="J316" s="9"/>
      <c r="K316" s="9"/>
      <c r="L316" s="9"/>
      <c r="M316" s="9"/>
      <c r="N316" s="9"/>
      <c r="O316" s="12"/>
      <c r="P316" s="12"/>
      <c r="Q316" s="12"/>
      <c r="R316" s="12"/>
      <c r="S316" s="12"/>
      <c r="T316" s="12"/>
      <c r="V316" s="20">
        <f t="shared" si="144"/>
        <v>5</v>
      </c>
      <c r="W316" s="20">
        <f t="shared" si="144"/>
        <v>10</v>
      </c>
      <c r="X316" s="20">
        <f t="shared" si="144"/>
        <v>15</v>
      </c>
      <c r="Y316" s="20">
        <f t="shared" si="136"/>
        <v>0</v>
      </c>
      <c r="Z316" s="20">
        <f t="shared" si="136"/>
        <v>0</v>
      </c>
      <c r="AA316" s="20">
        <f t="shared" si="136"/>
        <v>0</v>
      </c>
      <c r="AC316" s="3">
        <f t="shared" si="147"/>
        <v>0</v>
      </c>
      <c r="AD316" s="3">
        <f t="shared" si="148"/>
        <v>94</v>
      </c>
      <c r="AE316" s="3">
        <f t="shared" si="149"/>
        <v>89</v>
      </c>
      <c r="AF316" s="3">
        <f t="shared" si="150"/>
        <v>83</v>
      </c>
      <c r="AG316" s="3">
        <f t="shared" si="151"/>
        <v>78</v>
      </c>
      <c r="AH316" s="3">
        <f t="shared" si="152"/>
        <v>73</v>
      </c>
      <c r="AI316" s="3">
        <f t="shared" si="153"/>
        <v>68</v>
      </c>
      <c r="AJ316" s="3">
        <f t="shared" si="154"/>
        <v>62</v>
      </c>
      <c r="AK316" s="3">
        <f t="shared" si="155"/>
        <v>57</v>
      </c>
      <c r="AL316" s="3">
        <f t="shared" si="156"/>
        <v>52</v>
      </c>
      <c r="AM316" s="3">
        <f t="shared" si="157"/>
        <v>47</v>
      </c>
      <c r="AN316" s="3">
        <f t="shared" si="158"/>
        <v>41</v>
      </c>
      <c r="AO316" s="3">
        <f t="shared" si="159"/>
        <v>36</v>
      </c>
      <c r="AP316" s="3">
        <f t="shared" si="160"/>
        <v>31</v>
      </c>
      <c r="AQ316" s="3">
        <f t="shared" si="161"/>
        <v>26</v>
      </c>
      <c r="AR316" s="3">
        <f t="shared" si="162"/>
        <v>20</v>
      </c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M316" s="35" t="s">
        <v>12</v>
      </c>
      <c r="BO316" s="35"/>
      <c r="BR316" s="9" t="str">
        <f t="shared" si="137"/>
        <v/>
      </c>
      <c r="BS316" s="37" t="str">
        <f t="shared" si="138"/>
        <v/>
      </c>
      <c r="BT316" s="38" t="str">
        <f t="shared" si="164"/>
        <v/>
      </c>
      <c r="BU316" s="36" t="str">
        <f t="shared" si="139"/>
        <v/>
      </c>
    </row>
    <row r="317" spans="2:73" ht="15">
      <c r="B317" s="16">
        <f t="shared" si="140"/>
        <v>45292</v>
      </c>
      <c r="C317" s="15" t="s">
        <v>1</v>
      </c>
      <c r="D317" s="17">
        <f t="shared" si="141"/>
        <v>45298</v>
      </c>
      <c r="E317" s="18">
        <f t="shared" si="142"/>
        <v>1</v>
      </c>
      <c r="F317" s="19">
        <f t="shared" si="143"/>
        <v>2024</v>
      </c>
      <c r="G317" s="9">
        <f t="shared" si="165"/>
        <v>17</v>
      </c>
      <c r="H317" s="8">
        <f t="shared" si="165"/>
        <v>95</v>
      </c>
      <c r="I317" s="9"/>
      <c r="J317" s="9"/>
      <c r="K317" s="9"/>
      <c r="L317" s="9"/>
      <c r="M317" s="9"/>
      <c r="N317" s="9"/>
      <c r="O317" s="12"/>
      <c r="P317" s="12"/>
      <c r="Q317" s="12"/>
      <c r="R317" s="12">
        <v>1</v>
      </c>
      <c r="S317" s="12"/>
      <c r="T317" s="12"/>
      <c r="V317" s="20">
        <f t="shared" si="144"/>
        <v>6</v>
      </c>
      <c r="W317" s="20">
        <f t="shared" si="144"/>
        <v>11</v>
      </c>
      <c r="X317" s="20">
        <f t="shared" si="144"/>
        <v>16</v>
      </c>
      <c r="Y317" s="20">
        <f t="shared" si="136"/>
        <v>45294</v>
      </c>
      <c r="Z317" s="20">
        <f t="shared" si="136"/>
        <v>0</v>
      </c>
      <c r="AA317" s="20">
        <f t="shared" si="136"/>
        <v>0</v>
      </c>
      <c r="AC317" s="3">
        <f t="shared" si="147"/>
        <v>0</v>
      </c>
      <c r="AD317" s="3">
        <f t="shared" si="148"/>
        <v>95</v>
      </c>
      <c r="AE317" s="3">
        <f t="shared" si="149"/>
        <v>90</v>
      </c>
      <c r="AF317" s="3">
        <f t="shared" si="150"/>
        <v>84</v>
      </c>
      <c r="AG317" s="3">
        <f t="shared" si="151"/>
        <v>79</v>
      </c>
      <c r="AH317" s="3">
        <f t="shared" si="152"/>
        <v>74</v>
      </c>
      <c r="AI317" s="3">
        <f t="shared" si="153"/>
        <v>69</v>
      </c>
      <c r="AJ317" s="3">
        <f t="shared" si="154"/>
        <v>63</v>
      </c>
      <c r="AK317" s="3">
        <f t="shared" si="155"/>
        <v>58</v>
      </c>
      <c r="AL317" s="3">
        <f t="shared" si="156"/>
        <v>53</v>
      </c>
      <c r="AM317" s="3">
        <f t="shared" si="157"/>
        <v>48</v>
      </c>
      <c r="AN317" s="3">
        <f t="shared" si="158"/>
        <v>42</v>
      </c>
      <c r="AO317" s="3">
        <f t="shared" si="159"/>
        <v>37</v>
      </c>
      <c r="AP317" s="3">
        <f t="shared" si="160"/>
        <v>32</v>
      </c>
      <c r="AQ317" s="3">
        <f t="shared" si="161"/>
        <v>27</v>
      </c>
      <c r="AR317" s="3">
        <f t="shared" si="162"/>
        <v>21</v>
      </c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M317" s="35" t="s">
        <v>12</v>
      </c>
      <c r="BO317" s="35"/>
      <c r="BR317" s="9">
        <f t="shared" si="137"/>
        <v>4</v>
      </c>
      <c r="BS317" s="37">
        <f t="shared" si="138"/>
        <v>45294</v>
      </c>
      <c r="BT317" s="38">
        <f t="shared" si="164"/>
        <v>45413</v>
      </c>
      <c r="BU317" s="36">
        <f t="shared" si="139"/>
        <v>12</v>
      </c>
    </row>
    <row r="318" spans="2:73" ht="15">
      <c r="B318" s="16">
        <f t="shared" si="140"/>
        <v>45299</v>
      </c>
      <c r="C318" s="15" t="s">
        <v>1</v>
      </c>
      <c r="D318" s="17">
        <f t="shared" si="141"/>
        <v>45305</v>
      </c>
      <c r="E318" s="18">
        <f t="shared" si="142"/>
        <v>1</v>
      </c>
      <c r="F318" s="19">
        <f t="shared" si="143"/>
        <v>2024</v>
      </c>
      <c r="G318" s="9">
        <f t="shared" si="165"/>
        <v>17</v>
      </c>
      <c r="H318" s="8">
        <f t="shared" si="165"/>
        <v>95</v>
      </c>
      <c r="I318" s="9"/>
      <c r="J318" s="9"/>
      <c r="K318" s="9"/>
      <c r="L318" s="9"/>
      <c r="M318" s="9"/>
      <c r="N318" s="9"/>
      <c r="O318" s="12"/>
      <c r="P318" s="12"/>
      <c r="Q318" s="12"/>
      <c r="R318" s="12"/>
      <c r="S318" s="12"/>
      <c r="T318" s="12"/>
      <c r="V318" s="20">
        <f t="shared" si="144"/>
        <v>7</v>
      </c>
      <c r="W318" s="20">
        <f t="shared" si="144"/>
        <v>12</v>
      </c>
      <c r="X318" s="20">
        <f t="shared" si="144"/>
        <v>17</v>
      </c>
      <c r="Y318" s="20">
        <f t="shared" si="136"/>
        <v>1</v>
      </c>
      <c r="Z318" s="20">
        <f t="shared" si="136"/>
        <v>0</v>
      </c>
      <c r="AA318" s="20">
        <f t="shared" si="136"/>
        <v>0</v>
      </c>
      <c r="AC318" s="3">
        <f t="shared" si="147"/>
        <v>17</v>
      </c>
      <c r="AD318" s="3">
        <f t="shared" si="148"/>
        <v>0</v>
      </c>
      <c r="AE318" s="3">
        <f t="shared" si="149"/>
        <v>91</v>
      </c>
      <c r="AF318" s="3">
        <f t="shared" si="150"/>
        <v>85</v>
      </c>
      <c r="AG318" s="3">
        <f t="shared" si="151"/>
        <v>80</v>
      </c>
      <c r="AH318" s="3">
        <f t="shared" si="152"/>
        <v>75</v>
      </c>
      <c r="AI318" s="3">
        <f t="shared" si="153"/>
        <v>70</v>
      </c>
      <c r="AJ318" s="3">
        <f t="shared" si="154"/>
        <v>64</v>
      </c>
      <c r="AK318" s="3">
        <f t="shared" si="155"/>
        <v>59</v>
      </c>
      <c r="AL318" s="3">
        <f t="shared" si="156"/>
        <v>54</v>
      </c>
      <c r="AM318" s="3">
        <f t="shared" si="157"/>
        <v>49</v>
      </c>
      <c r="AN318" s="3">
        <f t="shared" si="158"/>
        <v>43</v>
      </c>
      <c r="AO318" s="3">
        <f t="shared" si="159"/>
        <v>38</v>
      </c>
      <c r="AP318" s="3">
        <f t="shared" si="160"/>
        <v>33</v>
      </c>
      <c r="AQ318" s="3">
        <f t="shared" si="161"/>
        <v>28</v>
      </c>
      <c r="AR318" s="3">
        <f t="shared" si="162"/>
        <v>22</v>
      </c>
      <c r="AS318" s="8">
        <v>3</v>
      </c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M318" s="35" t="s">
        <v>12</v>
      </c>
      <c r="BO318" s="35"/>
      <c r="BR318" s="9" t="str">
        <f t="shared" si="137"/>
        <v/>
      </c>
      <c r="BS318" s="37" t="str">
        <f t="shared" si="138"/>
        <v/>
      </c>
      <c r="BT318" s="38" t="str">
        <f t="shared" si="164"/>
        <v/>
      </c>
      <c r="BU318" s="36" t="str">
        <f t="shared" si="139"/>
        <v/>
      </c>
    </row>
    <row r="319" spans="2:73" ht="15">
      <c r="B319" s="16">
        <f t="shared" si="140"/>
        <v>45306</v>
      </c>
      <c r="C319" s="15" t="s">
        <v>1</v>
      </c>
      <c r="D319" s="17">
        <f t="shared" si="141"/>
        <v>45312</v>
      </c>
      <c r="E319" s="18">
        <f t="shared" si="142"/>
        <v>1</v>
      </c>
      <c r="F319" s="19">
        <f t="shared" si="143"/>
        <v>2024</v>
      </c>
      <c r="G319" s="9">
        <f t="shared" si="165"/>
        <v>17</v>
      </c>
      <c r="H319" s="8">
        <f t="shared" si="165"/>
        <v>95</v>
      </c>
      <c r="I319" s="9"/>
      <c r="J319" s="9"/>
      <c r="K319" s="9"/>
      <c r="L319" s="9"/>
      <c r="M319" s="9"/>
      <c r="N319" s="9"/>
      <c r="O319" s="12"/>
      <c r="P319" s="12"/>
      <c r="Q319" s="12"/>
      <c r="R319" s="12"/>
      <c r="S319" s="12"/>
      <c r="T319" s="12"/>
      <c r="V319" s="20">
        <f t="shared" si="144"/>
        <v>8</v>
      </c>
      <c r="W319" s="20">
        <f t="shared" si="144"/>
        <v>13</v>
      </c>
      <c r="X319" s="20">
        <f t="shared" si="144"/>
        <v>0</v>
      </c>
      <c r="Y319" s="20">
        <f t="shared" si="136"/>
        <v>2</v>
      </c>
      <c r="Z319" s="20">
        <f t="shared" si="136"/>
        <v>0</v>
      </c>
      <c r="AA319" s="20">
        <f t="shared" si="136"/>
        <v>0</v>
      </c>
      <c r="AC319" s="3">
        <f t="shared" si="147"/>
        <v>18</v>
      </c>
      <c r="AD319" s="3">
        <f t="shared" si="148"/>
        <v>0</v>
      </c>
      <c r="AE319" s="3">
        <f t="shared" si="149"/>
        <v>92</v>
      </c>
      <c r="AF319" s="3">
        <f t="shared" si="150"/>
        <v>86</v>
      </c>
      <c r="AG319" s="3">
        <f t="shared" si="151"/>
        <v>81</v>
      </c>
      <c r="AH319" s="3">
        <f t="shared" si="152"/>
        <v>76</v>
      </c>
      <c r="AI319" s="3">
        <f t="shared" si="153"/>
        <v>71</v>
      </c>
      <c r="AJ319" s="3">
        <f t="shared" si="154"/>
        <v>65</v>
      </c>
      <c r="AK319" s="3">
        <f t="shared" si="155"/>
        <v>60</v>
      </c>
      <c r="AL319" s="3">
        <f t="shared" si="156"/>
        <v>55</v>
      </c>
      <c r="AM319" s="3">
        <f t="shared" si="157"/>
        <v>50</v>
      </c>
      <c r="AN319" s="3">
        <f t="shared" si="158"/>
        <v>44</v>
      </c>
      <c r="AO319" s="3">
        <f t="shared" si="159"/>
        <v>39</v>
      </c>
      <c r="AP319" s="3">
        <f t="shared" si="160"/>
        <v>34</v>
      </c>
      <c r="AQ319" s="3">
        <f t="shared" si="161"/>
        <v>29</v>
      </c>
      <c r="AR319" s="3">
        <f t="shared" si="162"/>
        <v>23</v>
      </c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M319" s="35" t="s">
        <v>12</v>
      </c>
      <c r="BO319" s="35"/>
      <c r="BR319" s="9" t="str">
        <f t="shared" si="137"/>
        <v/>
      </c>
      <c r="BS319" s="37" t="str">
        <f t="shared" si="138"/>
        <v/>
      </c>
      <c r="BT319" s="38" t="str">
        <f t="shared" si="164"/>
        <v/>
      </c>
      <c r="BU319" s="36" t="str">
        <f t="shared" si="139"/>
        <v/>
      </c>
    </row>
    <row r="320" spans="2:73" ht="15">
      <c r="B320" s="16">
        <f t="shared" si="140"/>
        <v>45313</v>
      </c>
      <c r="C320" s="15" t="s">
        <v>1</v>
      </c>
      <c r="D320" s="17">
        <f t="shared" si="141"/>
        <v>45319</v>
      </c>
      <c r="E320" s="18">
        <f t="shared" si="142"/>
        <v>1</v>
      </c>
      <c r="F320" s="19">
        <f t="shared" si="143"/>
        <v>2024</v>
      </c>
      <c r="G320" s="9">
        <f t="shared" si="165"/>
        <v>17</v>
      </c>
      <c r="H320" s="8">
        <f t="shared" si="165"/>
        <v>95</v>
      </c>
      <c r="I320" s="9"/>
      <c r="J320" s="9"/>
      <c r="K320" s="9"/>
      <c r="L320" s="9"/>
      <c r="M320" s="9"/>
      <c r="N320" s="9"/>
      <c r="O320" s="12"/>
      <c r="P320" s="12"/>
      <c r="Q320" s="12"/>
      <c r="R320" s="12"/>
      <c r="S320" s="12"/>
      <c r="T320" s="12"/>
      <c r="V320" s="20">
        <f t="shared" si="144"/>
        <v>9</v>
      </c>
      <c r="W320" s="20">
        <f t="shared" si="144"/>
        <v>14</v>
      </c>
      <c r="X320" s="20">
        <f t="shared" si="144"/>
        <v>0</v>
      </c>
      <c r="Y320" s="20">
        <f t="shared" si="136"/>
        <v>3</v>
      </c>
      <c r="Z320" s="20">
        <f t="shared" si="136"/>
        <v>0</v>
      </c>
      <c r="AA320" s="20">
        <f t="shared" si="136"/>
        <v>0</v>
      </c>
      <c r="AC320" s="3">
        <f t="shared" si="147"/>
        <v>19</v>
      </c>
      <c r="AD320" s="3">
        <f t="shared" si="148"/>
        <v>0</v>
      </c>
      <c r="AE320" s="3">
        <f t="shared" si="149"/>
        <v>93</v>
      </c>
      <c r="AF320" s="3">
        <f t="shared" si="150"/>
        <v>87</v>
      </c>
      <c r="AG320" s="3">
        <f t="shared" si="151"/>
        <v>82</v>
      </c>
      <c r="AH320" s="3">
        <f t="shared" si="152"/>
        <v>77</v>
      </c>
      <c r="AI320" s="3">
        <f t="shared" si="153"/>
        <v>72</v>
      </c>
      <c r="AJ320" s="3">
        <f t="shared" si="154"/>
        <v>66</v>
      </c>
      <c r="AK320" s="3">
        <f t="shared" si="155"/>
        <v>61</v>
      </c>
      <c r="AL320" s="3">
        <f t="shared" si="156"/>
        <v>56</v>
      </c>
      <c r="AM320" s="3">
        <f t="shared" si="157"/>
        <v>51</v>
      </c>
      <c r="AN320" s="3">
        <f t="shared" si="158"/>
        <v>45</v>
      </c>
      <c r="AO320" s="3">
        <f t="shared" si="159"/>
        <v>40</v>
      </c>
      <c r="AP320" s="3">
        <f t="shared" si="160"/>
        <v>35</v>
      </c>
      <c r="AQ320" s="3">
        <f t="shared" si="161"/>
        <v>30</v>
      </c>
      <c r="AR320" s="3">
        <f t="shared" si="162"/>
        <v>24</v>
      </c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M320" s="35" t="s">
        <v>12</v>
      </c>
      <c r="BO320" s="35"/>
      <c r="BR320" s="9" t="str">
        <f t="shared" si="137"/>
        <v/>
      </c>
      <c r="BS320" s="37" t="str">
        <f t="shared" si="138"/>
        <v/>
      </c>
      <c r="BT320" s="38" t="str">
        <f t="shared" si="164"/>
        <v/>
      </c>
      <c r="BU320" s="36" t="str">
        <f t="shared" si="139"/>
        <v/>
      </c>
    </row>
    <row r="321" spans="2:73" ht="15">
      <c r="B321" s="16">
        <f t="shared" si="140"/>
        <v>45320</v>
      </c>
      <c r="C321" s="15" t="s">
        <v>1</v>
      </c>
      <c r="D321" s="17">
        <f t="shared" si="141"/>
        <v>45326</v>
      </c>
      <c r="E321" s="18">
        <f t="shared" si="142"/>
        <v>1</v>
      </c>
      <c r="F321" s="19">
        <f t="shared" si="143"/>
        <v>2024</v>
      </c>
      <c r="G321" s="9">
        <f t="shared" si="165"/>
        <v>17</v>
      </c>
      <c r="H321" s="8">
        <f t="shared" si="165"/>
        <v>95</v>
      </c>
      <c r="I321" s="9"/>
      <c r="J321" s="9"/>
      <c r="K321" s="9"/>
      <c r="L321" s="9"/>
      <c r="M321" s="9"/>
      <c r="N321" s="9"/>
      <c r="O321" s="12"/>
      <c r="P321" s="12"/>
      <c r="Q321" s="12"/>
      <c r="R321" s="12"/>
      <c r="S321" s="12"/>
      <c r="T321" s="12"/>
      <c r="V321" s="20">
        <f t="shared" si="144"/>
        <v>10</v>
      </c>
      <c r="W321" s="20">
        <f t="shared" si="144"/>
        <v>15</v>
      </c>
      <c r="X321" s="20">
        <f t="shared" si="144"/>
        <v>0</v>
      </c>
      <c r="Y321" s="20">
        <f t="shared" si="136"/>
        <v>4</v>
      </c>
      <c r="Z321" s="20">
        <f t="shared" si="136"/>
        <v>0</v>
      </c>
      <c r="AA321" s="20">
        <f t="shared" si="136"/>
        <v>0</v>
      </c>
      <c r="AC321" s="3">
        <f t="shared" si="147"/>
        <v>20</v>
      </c>
      <c r="AD321" s="3">
        <f t="shared" si="148"/>
        <v>0</v>
      </c>
      <c r="AE321" s="3">
        <f t="shared" si="149"/>
        <v>94</v>
      </c>
      <c r="AF321" s="3">
        <f t="shared" si="150"/>
        <v>88</v>
      </c>
      <c r="AG321" s="3">
        <f t="shared" si="151"/>
        <v>83</v>
      </c>
      <c r="AH321" s="3">
        <f t="shared" si="152"/>
        <v>78</v>
      </c>
      <c r="AI321" s="3">
        <f t="shared" si="153"/>
        <v>73</v>
      </c>
      <c r="AJ321" s="3">
        <f t="shared" si="154"/>
        <v>67</v>
      </c>
      <c r="AK321" s="3">
        <f t="shared" si="155"/>
        <v>62</v>
      </c>
      <c r="AL321" s="3">
        <f t="shared" si="156"/>
        <v>57</v>
      </c>
      <c r="AM321" s="3">
        <f t="shared" si="157"/>
        <v>52</v>
      </c>
      <c r="AN321" s="3">
        <f t="shared" si="158"/>
        <v>46</v>
      </c>
      <c r="AO321" s="3">
        <f t="shared" si="159"/>
        <v>41</v>
      </c>
      <c r="AP321" s="3">
        <f t="shared" si="160"/>
        <v>36</v>
      </c>
      <c r="AQ321" s="3">
        <f t="shared" si="161"/>
        <v>31</v>
      </c>
      <c r="AR321" s="3">
        <f t="shared" si="162"/>
        <v>25</v>
      </c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M321" s="35" t="s">
        <v>12</v>
      </c>
      <c r="BO321" s="35"/>
      <c r="BR321" s="9" t="str">
        <f t="shared" si="137"/>
        <v/>
      </c>
      <c r="BS321" s="37" t="str">
        <f t="shared" si="138"/>
        <v/>
      </c>
      <c r="BT321" s="38" t="str">
        <f t="shared" si="164"/>
        <v/>
      </c>
      <c r="BU321" s="36" t="str">
        <f t="shared" si="139"/>
        <v/>
      </c>
    </row>
    <row r="322" spans="2:73" ht="15">
      <c r="B322" s="16">
        <f t="shared" si="140"/>
        <v>45327</v>
      </c>
      <c r="C322" s="15" t="s">
        <v>1</v>
      </c>
      <c r="D322" s="17">
        <f t="shared" si="141"/>
        <v>45333</v>
      </c>
      <c r="E322" s="18">
        <f t="shared" si="142"/>
        <v>2</v>
      </c>
      <c r="F322" s="19">
        <f t="shared" si="143"/>
        <v>2024</v>
      </c>
      <c r="G322" s="9">
        <f t="shared" si="165"/>
        <v>17</v>
      </c>
      <c r="H322" s="8">
        <f t="shared" si="165"/>
        <v>95</v>
      </c>
      <c r="I322" s="9"/>
      <c r="J322" s="9"/>
      <c r="K322" s="9"/>
      <c r="L322" s="9"/>
      <c r="M322" s="9"/>
      <c r="N322" s="9"/>
      <c r="O322" s="12"/>
      <c r="P322" s="12"/>
      <c r="Q322" s="12">
        <v>1</v>
      </c>
      <c r="R322" s="12"/>
      <c r="S322" s="12"/>
      <c r="T322" s="12"/>
      <c r="V322" s="20">
        <f t="shared" si="144"/>
        <v>11</v>
      </c>
      <c r="W322" s="20">
        <f t="shared" si="144"/>
        <v>16</v>
      </c>
      <c r="X322" s="20">
        <f t="shared" si="144"/>
        <v>45329</v>
      </c>
      <c r="Y322" s="20">
        <f t="shared" si="136"/>
        <v>5</v>
      </c>
      <c r="Z322" s="20">
        <f t="shared" si="136"/>
        <v>0</v>
      </c>
      <c r="AA322" s="20">
        <f t="shared" si="136"/>
        <v>0</v>
      </c>
      <c r="AC322" s="3">
        <f t="shared" si="147"/>
        <v>21</v>
      </c>
      <c r="AD322" s="3">
        <f t="shared" si="148"/>
        <v>0</v>
      </c>
      <c r="AE322" s="3">
        <f t="shared" si="149"/>
        <v>95</v>
      </c>
      <c r="AF322" s="3">
        <f t="shared" si="150"/>
        <v>89</v>
      </c>
      <c r="AG322" s="3">
        <f t="shared" si="151"/>
        <v>84</v>
      </c>
      <c r="AH322" s="3">
        <f t="shared" si="152"/>
        <v>79</v>
      </c>
      <c r="AI322" s="3">
        <f t="shared" si="153"/>
        <v>74</v>
      </c>
      <c r="AJ322" s="3">
        <f t="shared" si="154"/>
        <v>68</v>
      </c>
      <c r="AK322" s="3">
        <f t="shared" si="155"/>
        <v>63</v>
      </c>
      <c r="AL322" s="3">
        <f t="shared" si="156"/>
        <v>58</v>
      </c>
      <c r="AM322" s="3">
        <f t="shared" si="157"/>
        <v>53</v>
      </c>
      <c r="AN322" s="3">
        <f t="shared" si="158"/>
        <v>47</v>
      </c>
      <c r="AO322" s="3">
        <f t="shared" si="159"/>
        <v>42</v>
      </c>
      <c r="AP322" s="3">
        <f t="shared" si="160"/>
        <v>37</v>
      </c>
      <c r="AQ322" s="3">
        <f t="shared" si="161"/>
        <v>32</v>
      </c>
      <c r="AR322" s="3">
        <f t="shared" si="162"/>
        <v>26</v>
      </c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M322" s="35" t="s">
        <v>12</v>
      </c>
      <c r="BO322" s="35"/>
      <c r="BR322" s="9">
        <f t="shared" si="137"/>
        <v>3</v>
      </c>
      <c r="BS322" s="37">
        <f t="shared" si="138"/>
        <v>45329</v>
      </c>
      <c r="BT322" s="38">
        <f t="shared" si="164"/>
        <v>45448</v>
      </c>
      <c r="BU322" s="36">
        <f t="shared" si="139"/>
        <v>1</v>
      </c>
    </row>
    <row r="323" spans="2:73" ht="15">
      <c r="B323" s="16">
        <f t="shared" si="140"/>
        <v>45334</v>
      </c>
      <c r="C323" s="15" t="s">
        <v>1</v>
      </c>
      <c r="D323" s="17">
        <f t="shared" si="141"/>
        <v>45340</v>
      </c>
      <c r="E323" s="18">
        <f t="shared" si="142"/>
        <v>2</v>
      </c>
      <c r="F323" s="19">
        <f t="shared" si="143"/>
        <v>2024</v>
      </c>
      <c r="G323" s="9">
        <f t="shared" si="165"/>
        <v>17</v>
      </c>
      <c r="H323" s="8">
        <f t="shared" si="165"/>
        <v>95</v>
      </c>
      <c r="I323" s="9"/>
      <c r="J323" s="9"/>
      <c r="K323" s="9"/>
      <c r="L323" s="9"/>
      <c r="M323" s="9"/>
      <c r="N323" s="9"/>
      <c r="O323" s="12"/>
      <c r="P323" s="12"/>
      <c r="Q323" s="12"/>
      <c r="R323" s="12"/>
      <c r="S323" s="12"/>
      <c r="T323" s="12"/>
      <c r="V323" s="20">
        <f t="shared" si="144"/>
        <v>12</v>
      </c>
      <c r="W323" s="20">
        <f t="shared" si="144"/>
        <v>17</v>
      </c>
      <c r="X323" s="20">
        <f t="shared" si="144"/>
        <v>1</v>
      </c>
      <c r="Y323" s="20">
        <f t="shared" si="136"/>
        <v>6</v>
      </c>
      <c r="Z323" s="20">
        <f t="shared" si="136"/>
        <v>0</v>
      </c>
      <c r="AA323" s="20">
        <f t="shared" si="136"/>
        <v>0</v>
      </c>
      <c r="AC323" s="3">
        <f t="shared" si="147"/>
        <v>22</v>
      </c>
      <c r="AD323" s="3">
        <f t="shared" si="148"/>
        <v>17</v>
      </c>
      <c r="AE323" s="3">
        <f t="shared" si="149"/>
        <v>0</v>
      </c>
      <c r="AF323" s="3">
        <f t="shared" si="150"/>
        <v>90</v>
      </c>
      <c r="AG323" s="3">
        <f t="shared" si="151"/>
        <v>85</v>
      </c>
      <c r="AH323" s="3">
        <f t="shared" si="152"/>
        <v>80</v>
      </c>
      <c r="AI323" s="3">
        <f t="shared" si="153"/>
        <v>75</v>
      </c>
      <c r="AJ323" s="3">
        <f t="shared" si="154"/>
        <v>69</v>
      </c>
      <c r="AK323" s="3">
        <f t="shared" si="155"/>
        <v>64</v>
      </c>
      <c r="AL323" s="3">
        <f t="shared" si="156"/>
        <v>59</v>
      </c>
      <c r="AM323" s="3">
        <f t="shared" si="157"/>
        <v>54</v>
      </c>
      <c r="AN323" s="3">
        <f t="shared" si="158"/>
        <v>48</v>
      </c>
      <c r="AO323" s="3">
        <f t="shared" si="159"/>
        <v>43</v>
      </c>
      <c r="AP323" s="3">
        <f t="shared" si="160"/>
        <v>38</v>
      </c>
      <c r="AQ323" s="3">
        <f t="shared" si="161"/>
        <v>33</v>
      </c>
      <c r="AR323" s="3">
        <f t="shared" si="162"/>
        <v>27</v>
      </c>
      <c r="AS323" s="8"/>
      <c r="AT323" s="8">
        <v>2</v>
      </c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M323" s="35" t="s">
        <v>12</v>
      </c>
      <c r="BO323" s="35"/>
      <c r="BR323" s="9" t="str">
        <f t="shared" si="137"/>
        <v/>
      </c>
      <c r="BS323" s="37" t="str">
        <f t="shared" si="138"/>
        <v/>
      </c>
      <c r="BT323" s="38" t="str">
        <f t="shared" si="164"/>
        <v/>
      </c>
      <c r="BU323" s="36" t="str">
        <f t="shared" si="139"/>
        <v/>
      </c>
    </row>
    <row r="324" spans="2:73" ht="15">
      <c r="B324" s="16">
        <f t="shared" si="140"/>
        <v>45341</v>
      </c>
      <c r="C324" s="15" t="s">
        <v>1</v>
      </c>
      <c r="D324" s="17">
        <f t="shared" si="141"/>
        <v>45347</v>
      </c>
      <c r="E324" s="18">
        <f t="shared" si="142"/>
        <v>2</v>
      </c>
      <c r="F324" s="19">
        <f t="shared" si="143"/>
        <v>2024</v>
      </c>
      <c r="G324" s="9">
        <f t="shared" si="165"/>
        <v>17</v>
      </c>
      <c r="H324" s="8">
        <f t="shared" si="165"/>
        <v>95</v>
      </c>
      <c r="I324" s="9"/>
      <c r="J324" s="9"/>
      <c r="K324" s="9"/>
      <c r="L324" s="9"/>
      <c r="M324" s="9"/>
      <c r="N324" s="9"/>
      <c r="O324" s="12"/>
      <c r="P324" s="12"/>
      <c r="Q324" s="12"/>
      <c r="R324" s="12"/>
      <c r="S324" s="12"/>
      <c r="T324" s="12"/>
      <c r="V324" s="20">
        <f t="shared" si="144"/>
        <v>13</v>
      </c>
      <c r="W324" s="20">
        <f t="shared" si="144"/>
        <v>0</v>
      </c>
      <c r="X324" s="20">
        <f t="shared" si="144"/>
        <v>2</v>
      </c>
      <c r="Y324" s="20">
        <f t="shared" si="144"/>
        <v>7</v>
      </c>
      <c r="Z324" s="20">
        <f t="shared" si="144"/>
        <v>0</v>
      </c>
      <c r="AA324" s="20">
        <f t="shared" si="144"/>
        <v>0</v>
      </c>
      <c r="AC324" s="3">
        <f t="shared" si="147"/>
        <v>23</v>
      </c>
      <c r="AD324" s="3">
        <f t="shared" si="148"/>
        <v>18</v>
      </c>
      <c r="AE324" s="3">
        <f t="shared" si="149"/>
        <v>0</v>
      </c>
      <c r="AF324" s="3">
        <f t="shared" si="150"/>
        <v>91</v>
      </c>
      <c r="AG324" s="3">
        <f t="shared" si="151"/>
        <v>86</v>
      </c>
      <c r="AH324" s="3">
        <f t="shared" si="152"/>
        <v>81</v>
      </c>
      <c r="AI324" s="3">
        <f t="shared" si="153"/>
        <v>76</v>
      </c>
      <c r="AJ324" s="3">
        <f t="shared" si="154"/>
        <v>70</v>
      </c>
      <c r="AK324" s="3">
        <f t="shared" si="155"/>
        <v>65</v>
      </c>
      <c r="AL324" s="3">
        <f t="shared" si="156"/>
        <v>60</v>
      </c>
      <c r="AM324" s="3">
        <f t="shared" si="157"/>
        <v>55</v>
      </c>
      <c r="AN324" s="3">
        <f t="shared" si="158"/>
        <v>49</v>
      </c>
      <c r="AO324" s="3">
        <f t="shared" si="159"/>
        <v>44</v>
      </c>
      <c r="AP324" s="3">
        <f t="shared" si="160"/>
        <v>39</v>
      </c>
      <c r="AQ324" s="3">
        <f t="shared" si="161"/>
        <v>34</v>
      </c>
      <c r="AR324" s="3">
        <f t="shared" si="162"/>
        <v>28</v>
      </c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M324" s="35" t="s">
        <v>12</v>
      </c>
      <c r="BO324" s="35"/>
      <c r="BR324" s="9" t="str">
        <f t="shared" ref="BR324:BR387" si="166">IF(AND(V324&gt;0,V323=0),$V$2,IF(AND(W324&gt;0,W323=0),$W$2,IF(AND(X324&gt;0,X323=0),$X$2,IF(AND(Y324&gt;0,Y323=0),$Y$2,IF(AND(Z324&gt;0,Z323=0),$Z$2,IF(AND(AA324&gt;0,AA323=0),$AA$2,""))))))</f>
        <v/>
      </c>
      <c r="BS324" s="37" t="str">
        <f t="shared" ref="BS324:BS387" si="167">IF(OR(AND($V325=1,$V326=2),OR(AND($W325=1,$W326=2),OR(AND($X325=1,$X326=2),OR(AND($Y325=1,$Y326=2),OR(AND($Z325=1,$Z326),OR(AND($AA325=1,$AA326=2))))))),$B324+2,"")</f>
        <v/>
      </c>
      <c r="BT324" s="38" t="str">
        <f t="shared" si="164"/>
        <v/>
      </c>
      <c r="BU324" s="36" t="str">
        <f t="shared" ref="BU324:BU387" si="168">IF(AND(AC341&gt;0,AC340=0),$AC$2,IF(AND(AD341&gt;0,AD340=0),$AD$2,IF(AND(AE341&gt;0,AE340=0),$AE$2,IF(AND(AF341&gt;0,AF340=0),$AF$2,IF(AND(AG341&gt;0,AG340=0),$AG$2,IF(AND(AH341&gt;0,AH340=0),$AH$2,IF(AND(AI341&gt;0,AI340=0),$AI$2,IF(AND(AJ341&gt;0,AJ340=0),$AJ$2,IF(AND(AK341&gt;0,AK340=0),$AK$2,IF(AND(AL341&gt;0,AL340=0),$AL$2,IF(AND(AM341&gt;0,AM340=0),$AM$2,IF(AND(AN341&gt;0,AN340=0),$AN$2,IF(AND(AO341&gt;0,AO340=0),$AO$2,IF(AND(AP341&gt;0,AP340=0),$AP$2,IF(AND(AQ341&gt;0,AQ340=0),$AQ$2,IF(AND(AR341&gt;0,AR340=0),$AR$2,""))))))))))))))))</f>
        <v/>
      </c>
    </row>
    <row r="325" spans="2:73" ht="15">
      <c r="B325" s="16">
        <f t="shared" ref="B325:B388" si="169">D324+1</f>
        <v>45348</v>
      </c>
      <c r="C325" s="15" t="s">
        <v>1</v>
      </c>
      <c r="D325" s="17">
        <f t="shared" ref="D325:D388" si="170">B325+6</f>
        <v>45354</v>
      </c>
      <c r="E325" s="18">
        <f t="shared" ref="E325:E388" si="171">MONTH(B325)</f>
        <v>2</v>
      </c>
      <c r="F325" s="19">
        <f t="shared" ref="F325:F388" si="172">YEAR(D325)</f>
        <v>2024</v>
      </c>
      <c r="G325" s="9">
        <f t="shared" si="165"/>
        <v>17</v>
      </c>
      <c r="H325" s="8">
        <f t="shared" si="165"/>
        <v>95</v>
      </c>
      <c r="I325" s="9"/>
      <c r="J325" s="9"/>
      <c r="K325" s="9"/>
      <c r="L325" s="9"/>
      <c r="M325" s="9"/>
      <c r="N325" s="9"/>
      <c r="O325" s="12"/>
      <c r="P325" s="12"/>
      <c r="Q325" s="12"/>
      <c r="R325" s="12"/>
      <c r="S325" s="12"/>
      <c r="T325" s="12"/>
      <c r="V325" s="20">
        <f t="shared" ref="V325:AA367" si="173">IF(I325&gt;0,I325,IF(O325=1,$B325+2,IF(O324=1,1,IF(O324=2,0,IF(V324=$G324,0,(IF(V324&gt;=1,V324+1,0)))))))</f>
        <v>14</v>
      </c>
      <c r="W325" s="20">
        <f t="shared" si="173"/>
        <v>0</v>
      </c>
      <c r="X325" s="20">
        <f t="shared" si="173"/>
        <v>3</v>
      </c>
      <c r="Y325" s="20">
        <f t="shared" si="173"/>
        <v>8</v>
      </c>
      <c r="Z325" s="20">
        <f t="shared" si="173"/>
        <v>0</v>
      </c>
      <c r="AA325" s="20">
        <f t="shared" si="173"/>
        <v>0</v>
      </c>
      <c r="AC325" s="3">
        <f t="shared" si="147"/>
        <v>24</v>
      </c>
      <c r="AD325" s="3">
        <f t="shared" si="148"/>
        <v>19</v>
      </c>
      <c r="AE325" s="3">
        <f t="shared" si="149"/>
        <v>0</v>
      </c>
      <c r="AF325" s="3">
        <f t="shared" si="150"/>
        <v>92</v>
      </c>
      <c r="AG325" s="3">
        <f t="shared" si="151"/>
        <v>87</v>
      </c>
      <c r="AH325" s="3">
        <f t="shared" si="152"/>
        <v>82</v>
      </c>
      <c r="AI325" s="3">
        <f t="shared" si="153"/>
        <v>77</v>
      </c>
      <c r="AJ325" s="3">
        <f t="shared" si="154"/>
        <v>71</v>
      </c>
      <c r="AK325" s="3">
        <f t="shared" si="155"/>
        <v>66</v>
      </c>
      <c r="AL325" s="3">
        <f t="shared" si="156"/>
        <v>61</v>
      </c>
      <c r="AM325" s="3">
        <f t="shared" si="157"/>
        <v>56</v>
      </c>
      <c r="AN325" s="3">
        <f t="shared" si="158"/>
        <v>50</v>
      </c>
      <c r="AO325" s="3">
        <f t="shared" si="159"/>
        <v>45</v>
      </c>
      <c r="AP325" s="3">
        <f t="shared" si="160"/>
        <v>40</v>
      </c>
      <c r="AQ325" s="3">
        <f t="shared" si="161"/>
        <v>35</v>
      </c>
      <c r="AR325" s="3">
        <f t="shared" si="162"/>
        <v>29</v>
      </c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M325" s="35" t="s">
        <v>12</v>
      </c>
      <c r="BO325" s="35"/>
      <c r="BR325" s="9" t="str">
        <f t="shared" si="166"/>
        <v/>
      </c>
      <c r="BS325" s="37" t="str">
        <f t="shared" si="167"/>
        <v/>
      </c>
      <c r="BT325" s="38" t="str">
        <f t="shared" si="164"/>
        <v/>
      </c>
      <c r="BU325" s="36" t="str">
        <f t="shared" si="168"/>
        <v/>
      </c>
    </row>
    <row r="326" spans="2:73" ht="15">
      <c r="B326" s="16">
        <f t="shared" si="169"/>
        <v>45355</v>
      </c>
      <c r="C326" s="15" t="s">
        <v>1</v>
      </c>
      <c r="D326" s="17">
        <f t="shared" si="170"/>
        <v>45361</v>
      </c>
      <c r="E326" s="18">
        <f t="shared" si="171"/>
        <v>3</v>
      </c>
      <c r="F326" s="19">
        <f t="shared" si="172"/>
        <v>2024</v>
      </c>
      <c r="G326" s="9">
        <f t="shared" ref="G326:H341" si="174">G325</f>
        <v>17</v>
      </c>
      <c r="H326" s="8">
        <f t="shared" si="174"/>
        <v>95</v>
      </c>
      <c r="I326" s="9"/>
      <c r="J326" s="9"/>
      <c r="K326" s="9"/>
      <c r="L326" s="9"/>
      <c r="M326" s="9"/>
      <c r="N326" s="9"/>
      <c r="O326" s="12"/>
      <c r="P326" s="12"/>
      <c r="Q326" s="12"/>
      <c r="R326" s="12"/>
      <c r="S326" s="12"/>
      <c r="T326" s="12"/>
      <c r="V326" s="20">
        <f t="shared" si="173"/>
        <v>15</v>
      </c>
      <c r="W326" s="20">
        <f t="shared" si="173"/>
        <v>0</v>
      </c>
      <c r="X326" s="20">
        <f t="shared" si="173"/>
        <v>4</v>
      </c>
      <c r="Y326" s="20">
        <f t="shared" si="173"/>
        <v>9</v>
      </c>
      <c r="Z326" s="20">
        <f t="shared" si="173"/>
        <v>0</v>
      </c>
      <c r="AA326" s="20">
        <f t="shared" si="173"/>
        <v>0</v>
      </c>
      <c r="AC326" s="3">
        <f t="shared" si="147"/>
        <v>25</v>
      </c>
      <c r="AD326" s="3">
        <f t="shared" si="148"/>
        <v>20</v>
      </c>
      <c r="AE326" s="3">
        <f t="shared" si="149"/>
        <v>0</v>
      </c>
      <c r="AF326" s="3">
        <f t="shared" si="150"/>
        <v>93</v>
      </c>
      <c r="AG326" s="3">
        <f t="shared" si="151"/>
        <v>88</v>
      </c>
      <c r="AH326" s="3">
        <f t="shared" si="152"/>
        <v>83</v>
      </c>
      <c r="AI326" s="3">
        <f t="shared" si="153"/>
        <v>78</v>
      </c>
      <c r="AJ326" s="3">
        <f t="shared" si="154"/>
        <v>72</v>
      </c>
      <c r="AK326" s="3">
        <f t="shared" si="155"/>
        <v>67</v>
      </c>
      <c r="AL326" s="3">
        <f t="shared" si="156"/>
        <v>62</v>
      </c>
      <c r="AM326" s="3">
        <f t="shared" si="157"/>
        <v>57</v>
      </c>
      <c r="AN326" s="3">
        <f t="shared" si="158"/>
        <v>51</v>
      </c>
      <c r="AO326" s="3">
        <f t="shared" si="159"/>
        <v>46</v>
      </c>
      <c r="AP326" s="3">
        <f t="shared" si="160"/>
        <v>41</v>
      </c>
      <c r="AQ326" s="3">
        <f t="shared" si="161"/>
        <v>36</v>
      </c>
      <c r="AR326" s="3">
        <f t="shared" si="162"/>
        <v>30</v>
      </c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M326" s="35" t="s">
        <v>12</v>
      </c>
      <c r="BO326" s="35"/>
      <c r="BR326" s="9" t="str">
        <f t="shared" si="166"/>
        <v/>
      </c>
      <c r="BS326" s="37" t="str">
        <f t="shared" si="167"/>
        <v/>
      </c>
      <c r="BT326" s="38" t="str">
        <f t="shared" si="164"/>
        <v/>
      </c>
      <c r="BU326" s="36" t="str">
        <f t="shared" si="168"/>
        <v/>
      </c>
    </row>
    <row r="327" spans="2:73" ht="15">
      <c r="B327" s="16">
        <f t="shared" si="169"/>
        <v>45362</v>
      </c>
      <c r="C327" s="15" t="s">
        <v>1</v>
      </c>
      <c r="D327" s="17">
        <f t="shared" si="170"/>
        <v>45368</v>
      </c>
      <c r="E327" s="18">
        <f t="shared" si="171"/>
        <v>3</v>
      </c>
      <c r="F327" s="19">
        <f t="shared" si="172"/>
        <v>2024</v>
      </c>
      <c r="G327" s="9">
        <f t="shared" si="174"/>
        <v>17</v>
      </c>
      <c r="H327" s="8">
        <f t="shared" si="174"/>
        <v>95</v>
      </c>
      <c r="I327" s="9"/>
      <c r="J327" s="9"/>
      <c r="K327" s="9"/>
      <c r="L327" s="9"/>
      <c r="M327" s="9"/>
      <c r="N327" s="9"/>
      <c r="O327" s="12"/>
      <c r="P327" s="12">
        <v>1</v>
      </c>
      <c r="Q327" s="12"/>
      <c r="R327" s="12"/>
      <c r="S327" s="12"/>
      <c r="T327" s="12"/>
      <c r="V327" s="20">
        <f t="shared" si="173"/>
        <v>16</v>
      </c>
      <c r="W327" s="20">
        <f t="shared" si="173"/>
        <v>45364</v>
      </c>
      <c r="X327" s="20">
        <f t="shared" si="173"/>
        <v>5</v>
      </c>
      <c r="Y327" s="20">
        <f t="shared" si="173"/>
        <v>10</v>
      </c>
      <c r="Z327" s="20">
        <f t="shared" si="173"/>
        <v>0</v>
      </c>
      <c r="AA327" s="20">
        <f t="shared" si="173"/>
        <v>0</v>
      </c>
      <c r="AC327" s="3">
        <f t="shared" si="147"/>
        <v>26</v>
      </c>
      <c r="AD327" s="3">
        <f t="shared" si="148"/>
        <v>21</v>
      </c>
      <c r="AE327" s="3">
        <f t="shared" si="149"/>
        <v>0</v>
      </c>
      <c r="AF327" s="3">
        <f t="shared" si="150"/>
        <v>94</v>
      </c>
      <c r="AG327" s="3">
        <f t="shared" si="151"/>
        <v>89</v>
      </c>
      <c r="AH327" s="3">
        <f t="shared" si="152"/>
        <v>84</v>
      </c>
      <c r="AI327" s="3">
        <f t="shared" si="153"/>
        <v>79</v>
      </c>
      <c r="AJ327" s="3">
        <f t="shared" si="154"/>
        <v>73</v>
      </c>
      <c r="AK327" s="3">
        <f t="shared" si="155"/>
        <v>68</v>
      </c>
      <c r="AL327" s="3">
        <f t="shared" si="156"/>
        <v>63</v>
      </c>
      <c r="AM327" s="3">
        <f t="shared" si="157"/>
        <v>58</v>
      </c>
      <c r="AN327" s="3">
        <f t="shared" si="158"/>
        <v>52</v>
      </c>
      <c r="AO327" s="3">
        <f t="shared" si="159"/>
        <v>47</v>
      </c>
      <c r="AP327" s="3">
        <f t="shared" si="160"/>
        <v>42</v>
      </c>
      <c r="AQ327" s="3">
        <f t="shared" si="161"/>
        <v>37</v>
      </c>
      <c r="AR327" s="3">
        <f t="shared" si="162"/>
        <v>31</v>
      </c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M327" s="35" t="s">
        <v>12</v>
      </c>
      <c r="BO327" s="35"/>
      <c r="BR327" s="9">
        <f t="shared" si="166"/>
        <v>2</v>
      </c>
      <c r="BS327" s="37">
        <f t="shared" si="167"/>
        <v>45364</v>
      </c>
      <c r="BT327" s="38">
        <f t="shared" si="164"/>
        <v>45483</v>
      </c>
      <c r="BU327" s="36">
        <f t="shared" si="168"/>
        <v>6</v>
      </c>
    </row>
    <row r="328" spans="2:73" ht="15">
      <c r="B328" s="16">
        <f t="shared" si="169"/>
        <v>45369</v>
      </c>
      <c r="C328" s="15" t="s">
        <v>1</v>
      </c>
      <c r="D328" s="17">
        <f t="shared" si="170"/>
        <v>45375</v>
      </c>
      <c r="E328" s="18">
        <f t="shared" si="171"/>
        <v>3</v>
      </c>
      <c r="F328" s="19">
        <f t="shared" si="172"/>
        <v>2024</v>
      </c>
      <c r="G328" s="9">
        <f t="shared" si="174"/>
        <v>17</v>
      </c>
      <c r="H328" s="8">
        <f t="shared" si="174"/>
        <v>95</v>
      </c>
      <c r="I328" s="9"/>
      <c r="J328" s="9"/>
      <c r="K328" s="9"/>
      <c r="L328" s="9"/>
      <c r="M328" s="9"/>
      <c r="N328" s="9"/>
      <c r="O328" s="12"/>
      <c r="P328" s="12"/>
      <c r="Q328" s="12"/>
      <c r="R328" s="12"/>
      <c r="S328" s="12"/>
      <c r="T328" s="12"/>
      <c r="V328" s="20">
        <f t="shared" si="173"/>
        <v>17</v>
      </c>
      <c r="W328" s="20">
        <f t="shared" si="173"/>
        <v>1</v>
      </c>
      <c r="X328" s="20">
        <f t="shared" si="173"/>
        <v>6</v>
      </c>
      <c r="Y328" s="20">
        <f t="shared" si="173"/>
        <v>11</v>
      </c>
      <c r="Z328" s="20">
        <f t="shared" si="173"/>
        <v>0</v>
      </c>
      <c r="AA328" s="20">
        <f t="shared" si="173"/>
        <v>0</v>
      </c>
      <c r="AC328" s="3">
        <f t="shared" si="147"/>
        <v>27</v>
      </c>
      <c r="AD328" s="3">
        <f t="shared" si="148"/>
        <v>22</v>
      </c>
      <c r="AE328" s="3">
        <f t="shared" si="149"/>
        <v>17</v>
      </c>
      <c r="AF328" s="3">
        <f t="shared" si="150"/>
        <v>95</v>
      </c>
      <c r="AG328" s="3">
        <f t="shared" si="151"/>
        <v>90</v>
      </c>
      <c r="AH328" s="3">
        <f t="shared" si="152"/>
        <v>85</v>
      </c>
      <c r="AI328" s="3">
        <f t="shared" si="153"/>
        <v>80</v>
      </c>
      <c r="AJ328" s="3">
        <f t="shared" si="154"/>
        <v>74</v>
      </c>
      <c r="AK328" s="3">
        <f t="shared" si="155"/>
        <v>69</v>
      </c>
      <c r="AL328" s="3">
        <f t="shared" si="156"/>
        <v>64</v>
      </c>
      <c r="AM328" s="3">
        <f t="shared" si="157"/>
        <v>59</v>
      </c>
      <c r="AN328" s="3">
        <f t="shared" si="158"/>
        <v>53</v>
      </c>
      <c r="AO328" s="3">
        <f t="shared" si="159"/>
        <v>48</v>
      </c>
      <c r="AP328" s="3">
        <f t="shared" si="160"/>
        <v>43</v>
      </c>
      <c r="AQ328" s="3">
        <f t="shared" si="161"/>
        <v>38</v>
      </c>
      <c r="AR328" s="3">
        <f t="shared" si="162"/>
        <v>32</v>
      </c>
      <c r="AS328" s="8"/>
      <c r="AT328" s="8"/>
      <c r="AU328" s="8">
        <v>1</v>
      </c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M328" s="35" t="s">
        <v>12</v>
      </c>
      <c r="BO328" s="35"/>
      <c r="BR328" s="9" t="str">
        <f t="shared" si="166"/>
        <v/>
      </c>
      <c r="BS328" s="37" t="str">
        <f t="shared" si="167"/>
        <v/>
      </c>
      <c r="BT328" s="38" t="str">
        <f t="shared" si="164"/>
        <v/>
      </c>
      <c r="BU328" s="36" t="str">
        <f t="shared" si="168"/>
        <v/>
      </c>
    </row>
    <row r="329" spans="2:73" ht="15">
      <c r="B329" s="16">
        <f t="shared" si="169"/>
        <v>45376</v>
      </c>
      <c r="C329" s="15" t="s">
        <v>1</v>
      </c>
      <c r="D329" s="17">
        <f t="shared" si="170"/>
        <v>45382</v>
      </c>
      <c r="E329" s="18">
        <f t="shared" si="171"/>
        <v>3</v>
      </c>
      <c r="F329" s="19">
        <f t="shared" si="172"/>
        <v>2024</v>
      </c>
      <c r="G329" s="9">
        <f t="shared" si="174"/>
        <v>17</v>
      </c>
      <c r="H329" s="8">
        <f t="shared" si="174"/>
        <v>95</v>
      </c>
      <c r="I329" s="9"/>
      <c r="J329" s="9"/>
      <c r="K329" s="9"/>
      <c r="L329" s="9"/>
      <c r="M329" s="9"/>
      <c r="N329" s="9"/>
      <c r="O329" s="12"/>
      <c r="P329" s="12"/>
      <c r="Q329" s="12"/>
      <c r="R329" s="12"/>
      <c r="S329" s="12"/>
      <c r="T329" s="12"/>
      <c r="V329" s="20">
        <f t="shared" si="173"/>
        <v>0</v>
      </c>
      <c r="W329" s="20">
        <f t="shared" si="173"/>
        <v>2</v>
      </c>
      <c r="X329" s="20">
        <f t="shared" si="173"/>
        <v>7</v>
      </c>
      <c r="Y329" s="20">
        <f t="shared" si="173"/>
        <v>12</v>
      </c>
      <c r="Z329" s="20">
        <f t="shared" si="173"/>
        <v>0</v>
      </c>
      <c r="AA329" s="20">
        <f t="shared" si="173"/>
        <v>0</v>
      </c>
      <c r="AC329" s="3">
        <f t="shared" si="147"/>
        <v>28</v>
      </c>
      <c r="AD329" s="3">
        <f t="shared" si="148"/>
        <v>23</v>
      </c>
      <c r="AE329" s="3">
        <f t="shared" si="149"/>
        <v>18</v>
      </c>
      <c r="AF329" s="3">
        <f t="shared" si="150"/>
        <v>0</v>
      </c>
      <c r="AG329" s="3">
        <f t="shared" si="151"/>
        <v>91</v>
      </c>
      <c r="AH329" s="3">
        <f t="shared" si="152"/>
        <v>86</v>
      </c>
      <c r="AI329" s="3">
        <f t="shared" si="153"/>
        <v>81</v>
      </c>
      <c r="AJ329" s="3">
        <f t="shared" si="154"/>
        <v>75</v>
      </c>
      <c r="AK329" s="3">
        <f t="shared" si="155"/>
        <v>70</v>
      </c>
      <c r="AL329" s="3">
        <f t="shared" si="156"/>
        <v>65</v>
      </c>
      <c r="AM329" s="3">
        <f t="shared" si="157"/>
        <v>60</v>
      </c>
      <c r="AN329" s="3">
        <f t="shared" si="158"/>
        <v>54</v>
      </c>
      <c r="AO329" s="3">
        <f t="shared" si="159"/>
        <v>49</v>
      </c>
      <c r="AP329" s="3">
        <f t="shared" si="160"/>
        <v>44</v>
      </c>
      <c r="AQ329" s="3">
        <f t="shared" si="161"/>
        <v>39</v>
      </c>
      <c r="AR329" s="3">
        <f t="shared" si="162"/>
        <v>33</v>
      </c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M329" s="35" t="s">
        <v>12</v>
      </c>
      <c r="BO329" s="35"/>
      <c r="BR329" s="9" t="str">
        <f t="shared" si="166"/>
        <v/>
      </c>
      <c r="BS329" s="37" t="str">
        <f t="shared" si="167"/>
        <v/>
      </c>
      <c r="BT329" s="38" t="str">
        <f t="shared" si="164"/>
        <v/>
      </c>
      <c r="BU329" s="36" t="str">
        <f t="shared" si="168"/>
        <v/>
      </c>
    </row>
    <row r="330" spans="2:73" ht="15">
      <c r="B330" s="16">
        <f t="shared" si="169"/>
        <v>45383</v>
      </c>
      <c r="C330" s="15" t="s">
        <v>1</v>
      </c>
      <c r="D330" s="17">
        <f t="shared" si="170"/>
        <v>45389</v>
      </c>
      <c r="E330" s="18">
        <f t="shared" si="171"/>
        <v>4</v>
      </c>
      <c r="F330" s="19">
        <f t="shared" si="172"/>
        <v>2024</v>
      </c>
      <c r="G330" s="9">
        <f t="shared" si="174"/>
        <v>17</v>
      </c>
      <c r="H330" s="8">
        <f t="shared" si="174"/>
        <v>95</v>
      </c>
      <c r="I330" s="9"/>
      <c r="J330" s="9"/>
      <c r="K330" s="9"/>
      <c r="L330" s="9"/>
      <c r="M330" s="9"/>
      <c r="N330" s="9"/>
      <c r="O330" s="12"/>
      <c r="P330" s="12"/>
      <c r="Q330" s="12"/>
      <c r="R330" s="12"/>
      <c r="S330" s="12"/>
      <c r="T330" s="12"/>
      <c r="V330" s="20">
        <f t="shared" si="173"/>
        <v>0</v>
      </c>
      <c r="W330" s="20">
        <f t="shared" si="173"/>
        <v>3</v>
      </c>
      <c r="X330" s="20">
        <f t="shared" si="173"/>
        <v>8</v>
      </c>
      <c r="Y330" s="20">
        <f t="shared" si="173"/>
        <v>13</v>
      </c>
      <c r="Z330" s="20">
        <f t="shared" si="173"/>
        <v>0</v>
      </c>
      <c r="AA330" s="20">
        <f t="shared" si="173"/>
        <v>0</v>
      </c>
      <c r="AC330" s="3">
        <f t="shared" si="147"/>
        <v>29</v>
      </c>
      <c r="AD330" s="3">
        <f t="shared" si="148"/>
        <v>24</v>
      </c>
      <c r="AE330" s="3">
        <f t="shared" si="149"/>
        <v>19</v>
      </c>
      <c r="AF330" s="3">
        <f t="shared" si="150"/>
        <v>0</v>
      </c>
      <c r="AG330" s="3">
        <f t="shared" si="151"/>
        <v>92</v>
      </c>
      <c r="AH330" s="3">
        <f t="shared" si="152"/>
        <v>87</v>
      </c>
      <c r="AI330" s="3">
        <f t="shared" si="153"/>
        <v>82</v>
      </c>
      <c r="AJ330" s="3">
        <f t="shared" si="154"/>
        <v>76</v>
      </c>
      <c r="AK330" s="3">
        <f t="shared" si="155"/>
        <v>71</v>
      </c>
      <c r="AL330" s="3">
        <f t="shared" si="156"/>
        <v>66</v>
      </c>
      <c r="AM330" s="3">
        <f t="shared" si="157"/>
        <v>61</v>
      </c>
      <c r="AN330" s="3">
        <f t="shared" si="158"/>
        <v>55</v>
      </c>
      <c r="AO330" s="3">
        <f t="shared" si="159"/>
        <v>50</v>
      </c>
      <c r="AP330" s="3">
        <f t="shared" si="160"/>
        <v>45</v>
      </c>
      <c r="AQ330" s="3">
        <f t="shared" si="161"/>
        <v>40</v>
      </c>
      <c r="AR330" s="3">
        <f t="shared" si="162"/>
        <v>34</v>
      </c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M330" s="35" t="s">
        <v>12</v>
      </c>
      <c r="BO330" s="35"/>
      <c r="BR330" s="9" t="str">
        <f t="shared" si="166"/>
        <v/>
      </c>
      <c r="BS330" s="37" t="str">
        <f t="shared" si="167"/>
        <v/>
      </c>
      <c r="BT330" s="38" t="str">
        <f t="shared" si="164"/>
        <v/>
      </c>
      <c r="BU330" s="36" t="str">
        <f t="shared" si="168"/>
        <v/>
      </c>
    </row>
    <row r="331" spans="2:73" ht="15">
      <c r="B331" s="16">
        <f t="shared" si="169"/>
        <v>45390</v>
      </c>
      <c r="C331" s="15" t="s">
        <v>1</v>
      </c>
      <c r="D331" s="17">
        <f t="shared" si="170"/>
        <v>45396</v>
      </c>
      <c r="E331" s="18">
        <f t="shared" si="171"/>
        <v>4</v>
      </c>
      <c r="F331" s="19">
        <f t="shared" si="172"/>
        <v>2024</v>
      </c>
      <c r="G331" s="9">
        <f t="shared" si="174"/>
        <v>17</v>
      </c>
      <c r="H331" s="8">
        <f t="shared" si="174"/>
        <v>95</v>
      </c>
      <c r="I331" s="9"/>
      <c r="J331" s="9"/>
      <c r="K331" s="9"/>
      <c r="L331" s="9"/>
      <c r="M331" s="9"/>
      <c r="N331" s="9"/>
      <c r="O331" s="12"/>
      <c r="P331" s="12"/>
      <c r="Q331" s="12"/>
      <c r="R331" s="12"/>
      <c r="S331" s="12"/>
      <c r="T331" s="12"/>
      <c r="V331" s="20">
        <f t="shared" si="173"/>
        <v>0</v>
      </c>
      <c r="W331" s="20">
        <f t="shared" si="173"/>
        <v>4</v>
      </c>
      <c r="X331" s="20">
        <f t="shared" si="173"/>
        <v>9</v>
      </c>
      <c r="Y331" s="20">
        <f t="shared" si="173"/>
        <v>14</v>
      </c>
      <c r="Z331" s="20">
        <f t="shared" si="173"/>
        <v>0</v>
      </c>
      <c r="AA331" s="20">
        <f t="shared" si="173"/>
        <v>0</v>
      </c>
      <c r="AC331" s="3">
        <f t="shared" si="147"/>
        <v>30</v>
      </c>
      <c r="AD331" s="3">
        <f t="shared" si="148"/>
        <v>25</v>
      </c>
      <c r="AE331" s="3">
        <f t="shared" si="149"/>
        <v>20</v>
      </c>
      <c r="AF331" s="3">
        <f t="shared" si="150"/>
        <v>0</v>
      </c>
      <c r="AG331" s="3">
        <f t="shared" si="151"/>
        <v>93</v>
      </c>
      <c r="AH331" s="3">
        <f t="shared" si="152"/>
        <v>88</v>
      </c>
      <c r="AI331" s="3">
        <f t="shared" si="153"/>
        <v>83</v>
      </c>
      <c r="AJ331" s="3">
        <f t="shared" si="154"/>
        <v>77</v>
      </c>
      <c r="AK331" s="3">
        <f t="shared" si="155"/>
        <v>72</v>
      </c>
      <c r="AL331" s="3">
        <f t="shared" si="156"/>
        <v>67</v>
      </c>
      <c r="AM331" s="3">
        <f t="shared" si="157"/>
        <v>62</v>
      </c>
      <c r="AN331" s="3">
        <f t="shared" si="158"/>
        <v>56</v>
      </c>
      <c r="AO331" s="3">
        <f t="shared" si="159"/>
        <v>51</v>
      </c>
      <c r="AP331" s="3">
        <f t="shared" si="160"/>
        <v>46</v>
      </c>
      <c r="AQ331" s="3">
        <f t="shared" si="161"/>
        <v>41</v>
      </c>
      <c r="AR331" s="3">
        <f t="shared" si="162"/>
        <v>35</v>
      </c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M331" s="35" t="s">
        <v>12</v>
      </c>
      <c r="BO331" s="35"/>
      <c r="BR331" s="9" t="str">
        <f t="shared" si="166"/>
        <v/>
      </c>
      <c r="BS331" s="37" t="str">
        <f t="shared" si="167"/>
        <v/>
      </c>
      <c r="BT331" s="38" t="str">
        <f t="shared" si="164"/>
        <v/>
      </c>
      <c r="BU331" s="36" t="str">
        <f t="shared" si="168"/>
        <v/>
      </c>
    </row>
    <row r="332" spans="2:73" ht="15">
      <c r="B332" s="16">
        <f t="shared" si="169"/>
        <v>45397</v>
      </c>
      <c r="C332" s="15" t="s">
        <v>1</v>
      </c>
      <c r="D332" s="17">
        <f t="shared" si="170"/>
        <v>45403</v>
      </c>
      <c r="E332" s="18">
        <f t="shared" si="171"/>
        <v>4</v>
      </c>
      <c r="F332" s="19">
        <f t="shared" si="172"/>
        <v>2024</v>
      </c>
      <c r="G332" s="9">
        <f t="shared" si="174"/>
        <v>17</v>
      </c>
      <c r="H332" s="8">
        <f t="shared" si="174"/>
        <v>95</v>
      </c>
      <c r="I332" s="9"/>
      <c r="J332" s="9"/>
      <c r="K332" s="9"/>
      <c r="L332" s="9"/>
      <c r="M332" s="9"/>
      <c r="N332" s="9"/>
      <c r="O332" s="12">
        <v>1</v>
      </c>
      <c r="P332" s="12"/>
      <c r="Q332" s="12"/>
      <c r="R332" s="12"/>
      <c r="S332" s="12"/>
      <c r="T332" s="12"/>
      <c r="V332" s="20">
        <f t="shared" si="173"/>
        <v>45399</v>
      </c>
      <c r="W332" s="20">
        <f t="shared" si="173"/>
        <v>5</v>
      </c>
      <c r="X332" s="20">
        <f t="shared" si="173"/>
        <v>10</v>
      </c>
      <c r="Y332" s="20">
        <f t="shared" si="173"/>
        <v>15</v>
      </c>
      <c r="Z332" s="20">
        <f t="shared" si="173"/>
        <v>0</v>
      </c>
      <c r="AA332" s="20">
        <f t="shared" si="173"/>
        <v>0</v>
      </c>
      <c r="AC332" s="3">
        <f t="shared" si="147"/>
        <v>31</v>
      </c>
      <c r="AD332" s="3">
        <f t="shared" si="148"/>
        <v>26</v>
      </c>
      <c r="AE332" s="3">
        <f t="shared" si="149"/>
        <v>21</v>
      </c>
      <c r="AF332" s="3">
        <f t="shared" si="150"/>
        <v>0</v>
      </c>
      <c r="AG332" s="3">
        <f t="shared" si="151"/>
        <v>94</v>
      </c>
      <c r="AH332" s="3">
        <f t="shared" si="152"/>
        <v>89</v>
      </c>
      <c r="AI332" s="3">
        <f t="shared" si="153"/>
        <v>84</v>
      </c>
      <c r="AJ332" s="3">
        <f t="shared" si="154"/>
        <v>78</v>
      </c>
      <c r="AK332" s="3">
        <f t="shared" si="155"/>
        <v>73</v>
      </c>
      <c r="AL332" s="3">
        <f t="shared" si="156"/>
        <v>68</v>
      </c>
      <c r="AM332" s="3">
        <f t="shared" si="157"/>
        <v>63</v>
      </c>
      <c r="AN332" s="3">
        <f t="shared" si="158"/>
        <v>57</v>
      </c>
      <c r="AO332" s="3">
        <f t="shared" si="159"/>
        <v>52</v>
      </c>
      <c r="AP332" s="3">
        <f t="shared" si="160"/>
        <v>47</v>
      </c>
      <c r="AQ332" s="3">
        <f t="shared" si="161"/>
        <v>42</v>
      </c>
      <c r="AR332" s="3">
        <f t="shared" si="162"/>
        <v>36</v>
      </c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M332" s="35" t="s">
        <v>12</v>
      </c>
      <c r="BO332" s="35"/>
      <c r="BR332" s="9">
        <f t="shared" si="166"/>
        <v>1</v>
      </c>
      <c r="BS332" s="37">
        <f t="shared" si="167"/>
        <v>45399</v>
      </c>
      <c r="BT332" s="38">
        <f t="shared" si="164"/>
        <v>45518</v>
      </c>
      <c r="BU332" s="36">
        <f t="shared" si="168"/>
        <v>2</v>
      </c>
    </row>
    <row r="333" spans="2:73" ht="15">
      <c r="B333" s="16">
        <f t="shared" si="169"/>
        <v>45404</v>
      </c>
      <c r="C333" s="15" t="s">
        <v>1</v>
      </c>
      <c r="D333" s="17">
        <f t="shared" si="170"/>
        <v>45410</v>
      </c>
      <c r="E333" s="18">
        <f t="shared" si="171"/>
        <v>4</v>
      </c>
      <c r="F333" s="19">
        <f t="shared" si="172"/>
        <v>2024</v>
      </c>
      <c r="G333" s="9">
        <f t="shared" si="174"/>
        <v>17</v>
      </c>
      <c r="H333" s="8">
        <f t="shared" si="174"/>
        <v>95</v>
      </c>
      <c r="I333" s="9"/>
      <c r="J333" s="9"/>
      <c r="K333" s="9"/>
      <c r="L333" s="9"/>
      <c r="M333" s="9"/>
      <c r="N333" s="9"/>
      <c r="O333" s="12"/>
      <c r="P333" s="12"/>
      <c r="Q333" s="12"/>
      <c r="R333" s="12"/>
      <c r="S333" s="12"/>
      <c r="T333" s="12"/>
      <c r="V333" s="20">
        <f t="shared" si="173"/>
        <v>1</v>
      </c>
      <c r="W333" s="20">
        <f t="shared" si="173"/>
        <v>6</v>
      </c>
      <c r="X333" s="20">
        <f t="shared" si="173"/>
        <v>11</v>
      </c>
      <c r="Y333" s="20">
        <f t="shared" si="173"/>
        <v>16</v>
      </c>
      <c r="Z333" s="20">
        <f t="shared" si="173"/>
        <v>0</v>
      </c>
      <c r="AA333" s="20">
        <f t="shared" si="173"/>
        <v>0</v>
      </c>
      <c r="AC333" s="3">
        <f t="shared" si="147"/>
        <v>32</v>
      </c>
      <c r="AD333" s="3">
        <f t="shared" si="148"/>
        <v>27</v>
      </c>
      <c r="AE333" s="3">
        <f t="shared" si="149"/>
        <v>22</v>
      </c>
      <c r="AF333" s="3">
        <f t="shared" si="150"/>
        <v>0</v>
      </c>
      <c r="AG333" s="3">
        <f t="shared" si="151"/>
        <v>95</v>
      </c>
      <c r="AH333" s="3">
        <f t="shared" si="152"/>
        <v>90</v>
      </c>
      <c r="AI333" s="3">
        <f t="shared" si="153"/>
        <v>85</v>
      </c>
      <c r="AJ333" s="3">
        <f t="shared" si="154"/>
        <v>79</v>
      </c>
      <c r="AK333" s="3">
        <f t="shared" si="155"/>
        <v>74</v>
      </c>
      <c r="AL333" s="3">
        <f t="shared" si="156"/>
        <v>69</v>
      </c>
      <c r="AM333" s="3">
        <f t="shared" si="157"/>
        <v>64</v>
      </c>
      <c r="AN333" s="3">
        <f t="shared" si="158"/>
        <v>58</v>
      </c>
      <c r="AO333" s="3">
        <f t="shared" si="159"/>
        <v>53</v>
      </c>
      <c r="AP333" s="3">
        <f t="shared" si="160"/>
        <v>48</v>
      </c>
      <c r="AQ333" s="3">
        <f t="shared" si="161"/>
        <v>43</v>
      </c>
      <c r="AR333" s="3">
        <f t="shared" si="162"/>
        <v>37</v>
      </c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M333" s="35" t="s">
        <v>12</v>
      </c>
      <c r="BO333" s="35"/>
      <c r="BR333" s="9" t="str">
        <f t="shared" si="166"/>
        <v/>
      </c>
      <c r="BS333" s="37" t="str">
        <f t="shared" si="167"/>
        <v/>
      </c>
      <c r="BT333" s="38" t="str">
        <f t="shared" si="164"/>
        <v/>
      </c>
      <c r="BU333" s="36" t="str">
        <f t="shared" si="168"/>
        <v/>
      </c>
    </row>
    <row r="334" spans="2:73" ht="15">
      <c r="B334" s="16">
        <f t="shared" si="169"/>
        <v>45411</v>
      </c>
      <c r="C334" s="15" t="s">
        <v>1</v>
      </c>
      <c r="D334" s="17">
        <f t="shared" si="170"/>
        <v>45417</v>
      </c>
      <c r="E334" s="18">
        <f t="shared" si="171"/>
        <v>4</v>
      </c>
      <c r="F334" s="19">
        <f t="shared" si="172"/>
        <v>2024</v>
      </c>
      <c r="G334" s="9">
        <f t="shared" si="174"/>
        <v>17</v>
      </c>
      <c r="H334" s="8">
        <f t="shared" si="174"/>
        <v>95</v>
      </c>
      <c r="I334" s="9"/>
      <c r="J334" s="9"/>
      <c r="K334" s="9"/>
      <c r="L334" s="9"/>
      <c r="M334" s="9"/>
      <c r="N334" s="9"/>
      <c r="O334" s="12"/>
      <c r="P334" s="12"/>
      <c r="Q334" s="12"/>
      <c r="R334" s="12"/>
      <c r="S334" s="12"/>
      <c r="T334" s="12"/>
      <c r="V334" s="20">
        <f t="shared" si="173"/>
        <v>2</v>
      </c>
      <c r="W334" s="20">
        <f t="shared" si="173"/>
        <v>7</v>
      </c>
      <c r="X334" s="20">
        <f t="shared" si="173"/>
        <v>12</v>
      </c>
      <c r="Y334" s="20">
        <f t="shared" si="173"/>
        <v>17</v>
      </c>
      <c r="Z334" s="20">
        <f t="shared" si="173"/>
        <v>0</v>
      </c>
      <c r="AA334" s="20">
        <f t="shared" si="173"/>
        <v>0</v>
      </c>
      <c r="AC334" s="3">
        <f t="shared" si="147"/>
        <v>33</v>
      </c>
      <c r="AD334" s="3">
        <f t="shared" si="148"/>
        <v>28</v>
      </c>
      <c r="AE334" s="3">
        <f t="shared" si="149"/>
        <v>23</v>
      </c>
      <c r="AF334" s="3">
        <f t="shared" si="150"/>
        <v>17</v>
      </c>
      <c r="AG334" s="3">
        <f t="shared" si="151"/>
        <v>0</v>
      </c>
      <c r="AH334" s="3">
        <f t="shared" si="152"/>
        <v>91</v>
      </c>
      <c r="AI334" s="3">
        <f t="shared" si="153"/>
        <v>86</v>
      </c>
      <c r="AJ334" s="3">
        <f t="shared" si="154"/>
        <v>80</v>
      </c>
      <c r="AK334" s="3">
        <f t="shared" si="155"/>
        <v>75</v>
      </c>
      <c r="AL334" s="3">
        <f t="shared" si="156"/>
        <v>70</v>
      </c>
      <c r="AM334" s="3">
        <f t="shared" si="157"/>
        <v>65</v>
      </c>
      <c r="AN334" s="3">
        <f t="shared" si="158"/>
        <v>59</v>
      </c>
      <c r="AO334" s="3">
        <f t="shared" si="159"/>
        <v>54</v>
      </c>
      <c r="AP334" s="3">
        <f t="shared" si="160"/>
        <v>49</v>
      </c>
      <c r="AQ334" s="3">
        <f t="shared" si="161"/>
        <v>44</v>
      </c>
      <c r="AR334" s="3">
        <f t="shared" si="162"/>
        <v>38</v>
      </c>
      <c r="AS334" s="8"/>
      <c r="AT334" s="8"/>
      <c r="AU334" s="8"/>
      <c r="AV334" s="8">
        <v>4</v>
      </c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M334" s="35" t="s">
        <v>12</v>
      </c>
      <c r="BO334" s="35"/>
      <c r="BR334" s="9" t="str">
        <f t="shared" si="166"/>
        <v/>
      </c>
      <c r="BS334" s="37" t="str">
        <f t="shared" si="167"/>
        <v/>
      </c>
      <c r="BT334" s="38" t="str">
        <f t="shared" si="164"/>
        <v/>
      </c>
      <c r="BU334" s="36" t="str">
        <f t="shared" si="168"/>
        <v/>
      </c>
    </row>
    <row r="335" spans="2:73" ht="15">
      <c r="B335" s="16">
        <f t="shared" si="169"/>
        <v>45418</v>
      </c>
      <c r="C335" s="15" t="s">
        <v>1</v>
      </c>
      <c r="D335" s="17">
        <f t="shared" si="170"/>
        <v>45424</v>
      </c>
      <c r="E335" s="18">
        <f t="shared" si="171"/>
        <v>5</v>
      </c>
      <c r="F335" s="19">
        <f t="shared" si="172"/>
        <v>2024</v>
      </c>
      <c r="G335" s="9">
        <f t="shared" si="174"/>
        <v>17</v>
      </c>
      <c r="H335" s="8">
        <f t="shared" si="174"/>
        <v>95</v>
      </c>
      <c r="I335" s="9"/>
      <c r="J335" s="9"/>
      <c r="K335" s="9"/>
      <c r="L335" s="9"/>
      <c r="M335" s="9"/>
      <c r="N335" s="9"/>
      <c r="O335" s="12"/>
      <c r="P335" s="12"/>
      <c r="Q335" s="12"/>
      <c r="R335" s="12"/>
      <c r="S335" s="12"/>
      <c r="T335" s="12"/>
      <c r="V335" s="20">
        <f t="shared" si="173"/>
        <v>3</v>
      </c>
      <c r="W335" s="20">
        <f t="shared" si="173"/>
        <v>8</v>
      </c>
      <c r="X335" s="20">
        <f t="shared" si="173"/>
        <v>13</v>
      </c>
      <c r="Y335" s="20">
        <f t="shared" si="173"/>
        <v>0</v>
      </c>
      <c r="Z335" s="20">
        <f t="shared" si="173"/>
        <v>0</v>
      </c>
      <c r="AA335" s="20">
        <f t="shared" si="173"/>
        <v>0</v>
      </c>
      <c r="AC335" s="3">
        <f t="shared" si="147"/>
        <v>34</v>
      </c>
      <c r="AD335" s="3">
        <f t="shared" si="148"/>
        <v>29</v>
      </c>
      <c r="AE335" s="3">
        <f t="shared" si="149"/>
        <v>24</v>
      </c>
      <c r="AF335" s="3">
        <f t="shared" si="150"/>
        <v>18</v>
      </c>
      <c r="AG335" s="3">
        <f t="shared" si="151"/>
        <v>0</v>
      </c>
      <c r="AH335" s="3">
        <f t="shared" si="152"/>
        <v>92</v>
      </c>
      <c r="AI335" s="3">
        <f t="shared" si="153"/>
        <v>87</v>
      </c>
      <c r="AJ335" s="3">
        <f t="shared" si="154"/>
        <v>81</v>
      </c>
      <c r="AK335" s="3">
        <f t="shared" si="155"/>
        <v>76</v>
      </c>
      <c r="AL335" s="3">
        <f t="shared" si="156"/>
        <v>71</v>
      </c>
      <c r="AM335" s="3">
        <f t="shared" si="157"/>
        <v>66</v>
      </c>
      <c r="AN335" s="3">
        <f t="shared" si="158"/>
        <v>60</v>
      </c>
      <c r="AO335" s="3">
        <f t="shared" si="159"/>
        <v>55</v>
      </c>
      <c r="AP335" s="3">
        <f t="shared" si="160"/>
        <v>50</v>
      </c>
      <c r="AQ335" s="3">
        <f t="shared" si="161"/>
        <v>45</v>
      </c>
      <c r="AR335" s="3">
        <f t="shared" si="162"/>
        <v>39</v>
      </c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M335" s="35" t="s">
        <v>12</v>
      </c>
      <c r="BO335" s="35"/>
      <c r="BR335" s="9" t="str">
        <f t="shared" si="166"/>
        <v/>
      </c>
      <c r="BS335" s="37" t="str">
        <f t="shared" si="167"/>
        <v/>
      </c>
      <c r="BT335" s="38" t="str">
        <f t="shared" si="164"/>
        <v/>
      </c>
      <c r="BU335" s="36" t="str">
        <f t="shared" si="168"/>
        <v/>
      </c>
    </row>
    <row r="336" spans="2:73" ht="15">
      <c r="B336" s="16">
        <f t="shared" si="169"/>
        <v>45425</v>
      </c>
      <c r="C336" s="15" t="s">
        <v>1</v>
      </c>
      <c r="D336" s="17">
        <f t="shared" si="170"/>
        <v>45431</v>
      </c>
      <c r="E336" s="18">
        <f t="shared" si="171"/>
        <v>5</v>
      </c>
      <c r="F336" s="19">
        <f t="shared" si="172"/>
        <v>2024</v>
      </c>
      <c r="G336" s="9">
        <f t="shared" si="174"/>
        <v>17</v>
      </c>
      <c r="H336" s="8">
        <f t="shared" si="174"/>
        <v>95</v>
      </c>
      <c r="I336" s="9"/>
      <c r="J336" s="9"/>
      <c r="K336" s="9"/>
      <c r="L336" s="9"/>
      <c r="M336" s="9"/>
      <c r="N336" s="9"/>
      <c r="O336" s="12"/>
      <c r="P336" s="12"/>
      <c r="Q336" s="12"/>
      <c r="R336" s="12"/>
      <c r="S336" s="12"/>
      <c r="T336" s="12"/>
      <c r="V336" s="20">
        <f t="shared" si="173"/>
        <v>4</v>
      </c>
      <c r="W336" s="20">
        <f t="shared" si="173"/>
        <v>9</v>
      </c>
      <c r="X336" s="20">
        <f t="shared" si="173"/>
        <v>14</v>
      </c>
      <c r="Y336" s="20">
        <f t="shared" si="173"/>
        <v>0</v>
      </c>
      <c r="Z336" s="20">
        <f t="shared" si="173"/>
        <v>0</v>
      </c>
      <c r="AA336" s="20">
        <f t="shared" si="173"/>
        <v>0</v>
      </c>
      <c r="AC336" s="3">
        <f t="shared" si="147"/>
        <v>35</v>
      </c>
      <c r="AD336" s="3">
        <f t="shared" si="148"/>
        <v>30</v>
      </c>
      <c r="AE336" s="3">
        <f t="shared" si="149"/>
        <v>25</v>
      </c>
      <c r="AF336" s="3">
        <f t="shared" si="150"/>
        <v>19</v>
      </c>
      <c r="AG336" s="3">
        <f t="shared" si="151"/>
        <v>0</v>
      </c>
      <c r="AH336" s="3">
        <f t="shared" si="152"/>
        <v>93</v>
      </c>
      <c r="AI336" s="3">
        <f t="shared" si="153"/>
        <v>88</v>
      </c>
      <c r="AJ336" s="3">
        <f t="shared" si="154"/>
        <v>82</v>
      </c>
      <c r="AK336" s="3">
        <f t="shared" si="155"/>
        <v>77</v>
      </c>
      <c r="AL336" s="3">
        <f t="shared" si="156"/>
        <v>72</v>
      </c>
      <c r="AM336" s="3">
        <f t="shared" si="157"/>
        <v>67</v>
      </c>
      <c r="AN336" s="3">
        <f t="shared" si="158"/>
        <v>61</v>
      </c>
      <c r="AO336" s="3">
        <f t="shared" si="159"/>
        <v>56</v>
      </c>
      <c r="AP336" s="3">
        <f t="shared" si="160"/>
        <v>51</v>
      </c>
      <c r="AQ336" s="3">
        <f t="shared" si="161"/>
        <v>46</v>
      </c>
      <c r="AR336" s="3">
        <f t="shared" si="162"/>
        <v>40</v>
      </c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M336" s="35" t="s">
        <v>12</v>
      </c>
      <c r="BO336" s="35"/>
      <c r="BR336" s="9" t="str">
        <f t="shared" si="166"/>
        <v/>
      </c>
      <c r="BS336" s="37" t="str">
        <f t="shared" si="167"/>
        <v/>
      </c>
      <c r="BT336" s="38" t="str">
        <f t="shared" si="164"/>
        <v/>
      </c>
      <c r="BU336" s="36" t="str">
        <f t="shared" si="168"/>
        <v/>
      </c>
    </row>
    <row r="337" spans="2:73" ht="15">
      <c r="B337" s="16">
        <f t="shared" si="169"/>
        <v>45432</v>
      </c>
      <c r="C337" s="15" t="s">
        <v>1</v>
      </c>
      <c r="D337" s="17">
        <f t="shared" si="170"/>
        <v>45438</v>
      </c>
      <c r="E337" s="18">
        <f t="shared" si="171"/>
        <v>5</v>
      </c>
      <c r="F337" s="19">
        <f t="shared" si="172"/>
        <v>2024</v>
      </c>
      <c r="G337" s="9">
        <f t="shared" si="174"/>
        <v>17</v>
      </c>
      <c r="H337" s="8">
        <f t="shared" si="174"/>
        <v>95</v>
      </c>
      <c r="I337" s="9"/>
      <c r="J337" s="9"/>
      <c r="K337" s="9"/>
      <c r="L337" s="9"/>
      <c r="M337" s="9"/>
      <c r="N337" s="9"/>
      <c r="O337" s="12"/>
      <c r="P337" s="12"/>
      <c r="Q337" s="12"/>
      <c r="R337" s="12"/>
      <c r="S337" s="12"/>
      <c r="T337" s="12"/>
      <c r="V337" s="20">
        <f t="shared" si="173"/>
        <v>5</v>
      </c>
      <c r="W337" s="20">
        <f t="shared" si="173"/>
        <v>10</v>
      </c>
      <c r="X337" s="20">
        <f t="shared" si="173"/>
        <v>15</v>
      </c>
      <c r="Y337" s="20">
        <f t="shared" si="173"/>
        <v>0</v>
      </c>
      <c r="Z337" s="20">
        <f t="shared" si="173"/>
        <v>0</v>
      </c>
      <c r="AA337" s="20">
        <f t="shared" si="173"/>
        <v>0</v>
      </c>
      <c r="AC337" s="3">
        <f t="shared" si="147"/>
        <v>36</v>
      </c>
      <c r="AD337" s="3">
        <f t="shared" si="148"/>
        <v>31</v>
      </c>
      <c r="AE337" s="3">
        <f t="shared" si="149"/>
        <v>26</v>
      </c>
      <c r="AF337" s="3">
        <f t="shared" si="150"/>
        <v>20</v>
      </c>
      <c r="AG337" s="3">
        <f t="shared" si="151"/>
        <v>0</v>
      </c>
      <c r="AH337" s="3">
        <f t="shared" si="152"/>
        <v>94</v>
      </c>
      <c r="AI337" s="3">
        <f t="shared" si="153"/>
        <v>89</v>
      </c>
      <c r="AJ337" s="3">
        <f t="shared" si="154"/>
        <v>83</v>
      </c>
      <c r="AK337" s="3">
        <f t="shared" si="155"/>
        <v>78</v>
      </c>
      <c r="AL337" s="3">
        <f t="shared" si="156"/>
        <v>73</v>
      </c>
      <c r="AM337" s="3">
        <f t="shared" si="157"/>
        <v>68</v>
      </c>
      <c r="AN337" s="3">
        <f t="shared" si="158"/>
        <v>62</v>
      </c>
      <c r="AO337" s="3">
        <f t="shared" si="159"/>
        <v>57</v>
      </c>
      <c r="AP337" s="3">
        <f t="shared" si="160"/>
        <v>52</v>
      </c>
      <c r="AQ337" s="3">
        <f t="shared" si="161"/>
        <v>47</v>
      </c>
      <c r="AR337" s="3">
        <f t="shared" si="162"/>
        <v>41</v>
      </c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M337" s="35" t="s">
        <v>12</v>
      </c>
      <c r="BO337" s="35"/>
      <c r="BR337" s="9" t="str">
        <f t="shared" si="166"/>
        <v/>
      </c>
      <c r="BS337" s="37" t="str">
        <f t="shared" si="167"/>
        <v/>
      </c>
      <c r="BT337" s="38" t="str">
        <f t="shared" si="164"/>
        <v/>
      </c>
      <c r="BU337" s="36" t="str">
        <f t="shared" si="168"/>
        <v/>
      </c>
    </row>
    <row r="338" spans="2:73" ht="15">
      <c r="B338" s="16">
        <f t="shared" si="169"/>
        <v>45439</v>
      </c>
      <c r="C338" s="15" t="s">
        <v>1</v>
      </c>
      <c r="D338" s="17">
        <f t="shared" si="170"/>
        <v>45445</v>
      </c>
      <c r="E338" s="18">
        <f t="shared" si="171"/>
        <v>5</v>
      </c>
      <c r="F338" s="19">
        <f t="shared" si="172"/>
        <v>2024</v>
      </c>
      <c r="G338" s="9">
        <f t="shared" si="174"/>
        <v>17</v>
      </c>
      <c r="H338" s="8">
        <f t="shared" si="174"/>
        <v>95</v>
      </c>
      <c r="I338" s="9"/>
      <c r="J338" s="9"/>
      <c r="K338" s="9"/>
      <c r="L338" s="9"/>
      <c r="M338" s="9"/>
      <c r="N338" s="9"/>
      <c r="O338" s="12"/>
      <c r="P338" s="12"/>
      <c r="Q338" s="12"/>
      <c r="R338" s="12">
        <v>1</v>
      </c>
      <c r="S338" s="12"/>
      <c r="T338" s="12"/>
      <c r="V338" s="20">
        <f t="shared" si="173"/>
        <v>6</v>
      </c>
      <c r="W338" s="20">
        <f t="shared" si="173"/>
        <v>11</v>
      </c>
      <c r="X338" s="20">
        <f t="shared" si="173"/>
        <v>16</v>
      </c>
      <c r="Y338" s="20">
        <f t="shared" si="173"/>
        <v>45441</v>
      </c>
      <c r="Z338" s="20">
        <f t="shared" si="173"/>
        <v>0</v>
      </c>
      <c r="AA338" s="20">
        <f t="shared" si="173"/>
        <v>0</v>
      </c>
      <c r="AC338" s="3">
        <f t="shared" si="147"/>
        <v>37</v>
      </c>
      <c r="AD338" s="3">
        <f t="shared" si="148"/>
        <v>32</v>
      </c>
      <c r="AE338" s="3">
        <f t="shared" si="149"/>
        <v>27</v>
      </c>
      <c r="AF338" s="3">
        <f t="shared" si="150"/>
        <v>21</v>
      </c>
      <c r="AG338" s="3">
        <f t="shared" si="151"/>
        <v>0</v>
      </c>
      <c r="AH338" s="3">
        <f t="shared" si="152"/>
        <v>95</v>
      </c>
      <c r="AI338" s="3">
        <f t="shared" si="153"/>
        <v>90</v>
      </c>
      <c r="AJ338" s="3">
        <f t="shared" si="154"/>
        <v>84</v>
      </c>
      <c r="AK338" s="3">
        <f t="shared" si="155"/>
        <v>79</v>
      </c>
      <c r="AL338" s="3">
        <f t="shared" si="156"/>
        <v>74</v>
      </c>
      <c r="AM338" s="3">
        <f t="shared" si="157"/>
        <v>69</v>
      </c>
      <c r="AN338" s="3">
        <f t="shared" si="158"/>
        <v>63</v>
      </c>
      <c r="AO338" s="3">
        <f t="shared" si="159"/>
        <v>58</v>
      </c>
      <c r="AP338" s="3">
        <f t="shared" si="160"/>
        <v>53</v>
      </c>
      <c r="AQ338" s="3">
        <f t="shared" si="161"/>
        <v>48</v>
      </c>
      <c r="AR338" s="3">
        <f t="shared" si="162"/>
        <v>42</v>
      </c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M338" s="35" t="s">
        <v>12</v>
      </c>
      <c r="BO338" s="35"/>
      <c r="BR338" s="9">
        <f t="shared" si="166"/>
        <v>4</v>
      </c>
      <c r="BS338" s="37">
        <f t="shared" si="167"/>
        <v>45441</v>
      </c>
      <c r="BT338" s="38">
        <f t="shared" si="164"/>
        <v>45560</v>
      </c>
      <c r="BU338" s="36">
        <f t="shared" si="168"/>
        <v>13</v>
      </c>
    </row>
    <row r="339" spans="2:73" ht="15">
      <c r="B339" s="16">
        <f t="shared" si="169"/>
        <v>45446</v>
      </c>
      <c r="C339" s="15" t="s">
        <v>1</v>
      </c>
      <c r="D339" s="17">
        <f t="shared" si="170"/>
        <v>45452</v>
      </c>
      <c r="E339" s="18">
        <f t="shared" si="171"/>
        <v>6</v>
      </c>
      <c r="F339" s="19">
        <f t="shared" si="172"/>
        <v>2024</v>
      </c>
      <c r="G339" s="9">
        <f t="shared" si="174"/>
        <v>17</v>
      </c>
      <c r="H339" s="8">
        <f t="shared" si="174"/>
        <v>95</v>
      </c>
      <c r="I339" s="9"/>
      <c r="J339" s="9"/>
      <c r="K339" s="9"/>
      <c r="L339" s="9"/>
      <c r="M339" s="9"/>
      <c r="N339" s="9"/>
      <c r="O339" s="12"/>
      <c r="P339" s="12"/>
      <c r="Q339" s="12"/>
      <c r="R339" s="12"/>
      <c r="S339" s="12"/>
      <c r="T339" s="12"/>
      <c r="V339" s="20">
        <f t="shared" si="173"/>
        <v>7</v>
      </c>
      <c r="W339" s="20">
        <f t="shared" si="173"/>
        <v>12</v>
      </c>
      <c r="X339" s="20">
        <f t="shared" si="173"/>
        <v>17</v>
      </c>
      <c r="Y339" s="20">
        <f t="shared" si="173"/>
        <v>1</v>
      </c>
      <c r="Z339" s="20">
        <f t="shared" si="173"/>
        <v>0</v>
      </c>
      <c r="AA339" s="20">
        <f t="shared" si="173"/>
        <v>0</v>
      </c>
      <c r="AC339" s="3">
        <f t="shared" si="147"/>
        <v>38</v>
      </c>
      <c r="AD339" s="3">
        <f t="shared" si="148"/>
        <v>33</v>
      </c>
      <c r="AE339" s="3">
        <f t="shared" si="149"/>
        <v>28</v>
      </c>
      <c r="AF339" s="3">
        <f t="shared" si="150"/>
        <v>22</v>
      </c>
      <c r="AG339" s="3">
        <f t="shared" si="151"/>
        <v>17</v>
      </c>
      <c r="AH339" s="3">
        <f t="shared" si="152"/>
        <v>0</v>
      </c>
      <c r="AI339" s="3">
        <f t="shared" si="153"/>
        <v>91</v>
      </c>
      <c r="AJ339" s="3">
        <f t="shared" si="154"/>
        <v>85</v>
      </c>
      <c r="AK339" s="3">
        <f t="shared" si="155"/>
        <v>80</v>
      </c>
      <c r="AL339" s="3">
        <f t="shared" si="156"/>
        <v>75</v>
      </c>
      <c r="AM339" s="3">
        <f t="shared" si="157"/>
        <v>70</v>
      </c>
      <c r="AN339" s="3">
        <f t="shared" si="158"/>
        <v>64</v>
      </c>
      <c r="AO339" s="3">
        <f t="shared" si="159"/>
        <v>59</v>
      </c>
      <c r="AP339" s="3">
        <f t="shared" si="160"/>
        <v>54</v>
      </c>
      <c r="AQ339" s="3">
        <f t="shared" si="161"/>
        <v>49</v>
      </c>
      <c r="AR339" s="3">
        <f t="shared" si="162"/>
        <v>43</v>
      </c>
      <c r="AS339" s="8"/>
      <c r="AT339" s="8"/>
      <c r="AU339" s="8"/>
      <c r="AV339" s="8"/>
      <c r="AW339" s="8">
        <v>3</v>
      </c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M339" s="35" t="s">
        <v>12</v>
      </c>
      <c r="BO339" s="35"/>
      <c r="BR339" s="9" t="str">
        <f t="shared" si="166"/>
        <v/>
      </c>
      <c r="BS339" s="37" t="str">
        <f t="shared" si="167"/>
        <v/>
      </c>
      <c r="BT339" s="38" t="str">
        <f t="shared" si="164"/>
        <v/>
      </c>
      <c r="BU339" s="36" t="str">
        <f t="shared" si="168"/>
        <v/>
      </c>
    </row>
    <row r="340" spans="2:73" ht="15">
      <c r="B340" s="16">
        <f t="shared" si="169"/>
        <v>45453</v>
      </c>
      <c r="C340" s="15" t="s">
        <v>1</v>
      </c>
      <c r="D340" s="17">
        <f t="shared" si="170"/>
        <v>45459</v>
      </c>
      <c r="E340" s="18">
        <f t="shared" si="171"/>
        <v>6</v>
      </c>
      <c r="F340" s="19">
        <f t="shared" si="172"/>
        <v>2024</v>
      </c>
      <c r="G340" s="9">
        <f t="shared" si="174"/>
        <v>17</v>
      </c>
      <c r="H340" s="8">
        <f t="shared" si="174"/>
        <v>95</v>
      </c>
      <c r="I340" s="9"/>
      <c r="J340" s="9"/>
      <c r="K340" s="9"/>
      <c r="L340" s="9"/>
      <c r="M340" s="9"/>
      <c r="N340" s="9"/>
      <c r="O340" s="12"/>
      <c r="P340" s="12"/>
      <c r="Q340" s="12"/>
      <c r="R340" s="12"/>
      <c r="S340" s="12"/>
      <c r="T340" s="12"/>
      <c r="V340" s="20">
        <f t="shared" si="173"/>
        <v>8</v>
      </c>
      <c r="W340" s="20">
        <f t="shared" si="173"/>
        <v>13</v>
      </c>
      <c r="X340" s="20">
        <f t="shared" si="173"/>
        <v>0</v>
      </c>
      <c r="Y340" s="20">
        <f t="shared" si="173"/>
        <v>2</v>
      </c>
      <c r="Z340" s="20">
        <f t="shared" si="173"/>
        <v>0</v>
      </c>
      <c r="AA340" s="20">
        <f t="shared" si="173"/>
        <v>0</v>
      </c>
      <c r="AC340" s="3">
        <f t="shared" si="147"/>
        <v>39</v>
      </c>
      <c r="AD340" s="3">
        <f t="shared" si="148"/>
        <v>34</v>
      </c>
      <c r="AE340" s="3">
        <f t="shared" si="149"/>
        <v>29</v>
      </c>
      <c r="AF340" s="3">
        <f t="shared" si="150"/>
        <v>23</v>
      </c>
      <c r="AG340" s="3">
        <f t="shared" si="151"/>
        <v>18</v>
      </c>
      <c r="AH340" s="3">
        <f t="shared" si="152"/>
        <v>0</v>
      </c>
      <c r="AI340" s="3">
        <f t="shared" si="153"/>
        <v>92</v>
      </c>
      <c r="AJ340" s="3">
        <f t="shared" si="154"/>
        <v>86</v>
      </c>
      <c r="AK340" s="3">
        <f t="shared" si="155"/>
        <v>81</v>
      </c>
      <c r="AL340" s="3">
        <f t="shared" si="156"/>
        <v>76</v>
      </c>
      <c r="AM340" s="3">
        <f t="shared" si="157"/>
        <v>71</v>
      </c>
      <c r="AN340" s="3">
        <f t="shared" si="158"/>
        <v>65</v>
      </c>
      <c r="AO340" s="3">
        <f t="shared" si="159"/>
        <v>60</v>
      </c>
      <c r="AP340" s="3">
        <f t="shared" si="160"/>
        <v>55</v>
      </c>
      <c r="AQ340" s="3">
        <f t="shared" si="161"/>
        <v>50</v>
      </c>
      <c r="AR340" s="3">
        <f t="shared" si="162"/>
        <v>44</v>
      </c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M340" s="35" t="s">
        <v>12</v>
      </c>
      <c r="BO340" s="35"/>
      <c r="BR340" s="9" t="str">
        <f t="shared" si="166"/>
        <v/>
      </c>
      <c r="BS340" s="37" t="str">
        <f t="shared" si="167"/>
        <v/>
      </c>
      <c r="BT340" s="38" t="str">
        <f t="shared" si="164"/>
        <v/>
      </c>
      <c r="BU340" s="36" t="str">
        <f t="shared" si="168"/>
        <v/>
      </c>
    </row>
    <row r="341" spans="2:73" ht="15">
      <c r="B341" s="16">
        <f t="shared" si="169"/>
        <v>45460</v>
      </c>
      <c r="C341" s="15" t="s">
        <v>1</v>
      </c>
      <c r="D341" s="17">
        <f t="shared" si="170"/>
        <v>45466</v>
      </c>
      <c r="E341" s="18">
        <f t="shared" si="171"/>
        <v>6</v>
      </c>
      <c r="F341" s="19">
        <f t="shared" si="172"/>
        <v>2024</v>
      </c>
      <c r="G341" s="9">
        <f t="shared" si="174"/>
        <v>17</v>
      </c>
      <c r="H341" s="8">
        <f t="shared" si="174"/>
        <v>95</v>
      </c>
      <c r="I341" s="9"/>
      <c r="J341" s="9"/>
      <c r="K341" s="9"/>
      <c r="L341" s="9"/>
      <c r="M341" s="9"/>
      <c r="N341" s="9"/>
      <c r="O341" s="12"/>
      <c r="P341" s="12"/>
      <c r="Q341" s="12"/>
      <c r="R341" s="12"/>
      <c r="S341" s="12"/>
      <c r="T341" s="12"/>
      <c r="V341" s="20">
        <f t="shared" si="173"/>
        <v>9</v>
      </c>
      <c r="W341" s="20">
        <f t="shared" si="173"/>
        <v>14</v>
      </c>
      <c r="X341" s="20">
        <f t="shared" si="173"/>
        <v>0</v>
      </c>
      <c r="Y341" s="20">
        <f t="shared" si="173"/>
        <v>3</v>
      </c>
      <c r="Z341" s="20">
        <f t="shared" si="173"/>
        <v>0</v>
      </c>
      <c r="AA341" s="20">
        <f t="shared" si="173"/>
        <v>0</v>
      </c>
      <c r="AC341" s="3">
        <f t="shared" si="147"/>
        <v>40</v>
      </c>
      <c r="AD341" s="3">
        <f t="shared" si="148"/>
        <v>35</v>
      </c>
      <c r="AE341" s="3">
        <f t="shared" si="149"/>
        <v>30</v>
      </c>
      <c r="AF341" s="3">
        <f t="shared" si="150"/>
        <v>24</v>
      </c>
      <c r="AG341" s="3">
        <f t="shared" si="151"/>
        <v>19</v>
      </c>
      <c r="AH341" s="3">
        <f t="shared" si="152"/>
        <v>0</v>
      </c>
      <c r="AI341" s="3">
        <f t="shared" si="153"/>
        <v>93</v>
      </c>
      <c r="AJ341" s="3">
        <f t="shared" si="154"/>
        <v>87</v>
      </c>
      <c r="AK341" s="3">
        <f t="shared" si="155"/>
        <v>82</v>
      </c>
      <c r="AL341" s="3">
        <f t="shared" si="156"/>
        <v>77</v>
      </c>
      <c r="AM341" s="3">
        <f t="shared" si="157"/>
        <v>72</v>
      </c>
      <c r="AN341" s="3">
        <f t="shared" si="158"/>
        <v>66</v>
      </c>
      <c r="AO341" s="3">
        <f t="shared" si="159"/>
        <v>61</v>
      </c>
      <c r="AP341" s="3">
        <f t="shared" si="160"/>
        <v>56</v>
      </c>
      <c r="AQ341" s="3">
        <f t="shared" si="161"/>
        <v>51</v>
      </c>
      <c r="AR341" s="3">
        <f t="shared" si="162"/>
        <v>45</v>
      </c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M341" s="35" t="s">
        <v>12</v>
      </c>
      <c r="BO341" s="35"/>
      <c r="BR341" s="9" t="str">
        <f t="shared" si="166"/>
        <v/>
      </c>
      <c r="BS341" s="37" t="str">
        <f t="shared" si="167"/>
        <v/>
      </c>
      <c r="BT341" s="38" t="str">
        <f t="shared" si="164"/>
        <v/>
      </c>
      <c r="BU341" s="36" t="str">
        <f t="shared" si="168"/>
        <v/>
      </c>
    </row>
    <row r="342" spans="2:73" ht="15">
      <c r="B342" s="16">
        <f t="shared" si="169"/>
        <v>45467</v>
      </c>
      <c r="C342" s="15" t="s">
        <v>1</v>
      </c>
      <c r="D342" s="17">
        <f t="shared" si="170"/>
        <v>45473</v>
      </c>
      <c r="E342" s="18">
        <f t="shared" si="171"/>
        <v>6</v>
      </c>
      <c r="F342" s="19">
        <f t="shared" si="172"/>
        <v>2024</v>
      </c>
      <c r="G342" s="9">
        <f t="shared" ref="G342:H357" si="175">G341</f>
        <v>17</v>
      </c>
      <c r="H342" s="8">
        <f t="shared" si="175"/>
        <v>95</v>
      </c>
      <c r="I342" s="9"/>
      <c r="J342" s="9"/>
      <c r="K342" s="9"/>
      <c r="L342" s="9"/>
      <c r="M342" s="9"/>
      <c r="N342" s="9"/>
      <c r="O342" s="12"/>
      <c r="P342" s="12"/>
      <c r="Q342" s="12"/>
      <c r="R342" s="12"/>
      <c r="S342" s="12"/>
      <c r="T342" s="12"/>
      <c r="V342" s="20">
        <f t="shared" si="173"/>
        <v>10</v>
      </c>
      <c r="W342" s="20">
        <f t="shared" si="173"/>
        <v>15</v>
      </c>
      <c r="X342" s="20">
        <f t="shared" si="173"/>
        <v>0</v>
      </c>
      <c r="Y342" s="20">
        <f t="shared" si="173"/>
        <v>4</v>
      </c>
      <c r="Z342" s="20">
        <f t="shared" si="173"/>
        <v>0</v>
      </c>
      <c r="AA342" s="20">
        <f t="shared" si="173"/>
        <v>0</v>
      </c>
      <c r="AC342" s="3">
        <f t="shared" si="147"/>
        <v>41</v>
      </c>
      <c r="AD342" s="3">
        <f t="shared" si="148"/>
        <v>36</v>
      </c>
      <c r="AE342" s="3">
        <f t="shared" si="149"/>
        <v>31</v>
      </c>
      <c r="AF342" s="3">
        <f t="shared" si="150"/>
        <v>25</v>
      </c>
      <c r="AG342" s="3">
        <f t="shared" si="151"/>
        <v>20</v>
      </c>
      <c r="AH342" s="3">
        <f t="shared" si="152"/>
        <v>0</v>
      </c>
      <c r="AI342" s="3">
        <f t="shared" si="153"/>
        <v>94</v>
      </c>
      <c r="AJ342" s="3">
        <f t="shared" si="154"/>
        <v>88</v>
      </c>
      <c r="AK342" s="3">
        <f t="shared" si="155"/>
        <v>83</v>
      </c>
      <c r="AL342" s="3">
        <f t="shared" si="156"/>
        <v>78</v>
      </c>
      <c r="AM342" s="3">
        <f t="shared" si="157"/>
        <v>73</v>
      </c>
      <c r="AN342" s="3">
        <f t="shared" si="158"/>
        <v>67</v>
      </c>
      <c r="AO342" s="3">
        <f t="shared" si="159"/>
        <v>62</v>
      </c>
      <c r="AP342" s="3">
        <f t="shared" si="160"/>
        <v>57</v>
      </c>
      <c r="AQ342" s="3">
        <f t="shared" si="161"/>
        <v>52</v>
      </c>
      <c r="AR342" s="3">
        <f t="shared" si="162"/>
        <v>46</v>
      </c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M342" s="35" t="s">
        <v>12</v>
      </c>
      <c r="BO342" s="35"/>
      <c r="BR342" s="9" t="str">
        <f t="shared" si="166"/>
        <v/>
      </c>
      <c r="BS342" s="37" t="str">
        <f t="shared" si="167"/>
        <v/>
      </c>
      <c r="BT342" s="38" t="str">
        <f t="shared" si="164"/>
        <v/>
      </c>
      <c r="BU342" s="36" t="str">
        <f t="shared" si="168"/>
        <v/>
      </c>
    </row>
    <row r="343" spans="2:73" ht="15">
      <c r="B343" s="16">
        <f t="shared" si="169"/>
        <v>45474</v>
      </c>
      <c r="C343" s="15" t="s">
        <v>1</v>
      </c>
      <c r="D343" s="17">
        <f t="shared" si="170"/>
        <v>45480</v>
      </c>
      <c r="E343" s="18">
        <f t="shared" si="171"/>
        <v>7</v>
      </c>
      <c r="F343" s="19">
        <f t="shared" si="172"/>
        <v>2024</v>
      </c>
      <c r="G343" s="9">
        <f t="shared" si="175"/>
        <v>17</v>
      </c>
      <c r="H343" s="8">
        <f t="shared" si="175"/>
        <v>95</v>
      </c>
      <c r="I343" s="9"/>
      <c r="J343" s="9"/>
      <c r="K343" s="9"/>
      <c r="L343" s="9"/>
      <c r="M343" s="9"/>
      <c r="N343" s="9"/>
      <c r="O343" s="12"/>
      <c r="P343" s="12"/>
      <c r="Q343" s="12">
        <v>1</v>
      </c>
      <c r="R343" s="12"/>
      <c r="S343" s="12"/>
      <c r="T343" s="12"/>
      <c r="V343" s="20">
        <f t="shared" si="173"/>
        <v>11</v>
      </c>
      <c r="W343" s="20">
        <f t="shared" si="173"/>
        <v>16</v>
      </c>
      <c r="X343" s="20">
        <f t="shared" si="173"/>
        <v>45476</v>
      </c>
      <c r="Y343" s="20">
        <f t="shared" si="173"/>
        <v>5</v>
      </c>
      <c r="Z343" s="20">
        <f t="shared" si="173"/>
        <v>0</v>
      </c>
      <c r="AA343" s="20">
        <f t="shared" si="173"/>
        <v>0</v>
      </c>
      <c r="AC343" s="3">
        <f t="shared" si="147"/>
        <v>42</v>
      </c>
      <c r="AD343" s="3">
        <f t="shared" si="148"/>
        <v>37</v>
      </c>
      <c r="AE343" s="3">
        <f t="shared" si="149"/>
        <v>32</v>
      </c>
      <c r="AF343" s="3">
        <f t="shared" si="150"/>
        <v>26</v>
      </c>
      <c r="AG343" s="3">
        <f t="shared" si="151"/>
        <v>21</v>
      </c>
      <c r="AH343" s="3">
        <f t="shared" si="152"/>
        <v>0</v>
      </c>
      <c r="AI343" s="3">
        <f t="shared" si="153"/>
        <v>95</v>
      </c>
      <c r="AJ343" s="3">
        <f t="shared" si="154"/>
        <v>89</v>
      </c>
      <c r="AK343" s="3">
        <f t="shared" si="155"/>
        <v>84</v>
      </c>
      <c r="AL343" s="3">
        <f t="shared" si="156"/>
        <v>79</v>
      </c>
      <c r="AM343" s="3">
        <f t="shared" si="157"/>
        <v>74</v>
      </c>
      <c r="AN343" s="3">
        <f t="shared" si="158"/>
        <v>68</v>
      </c>
      <c r="AO343" s="3">
        <f t="shared" si="159"/>
        <v>63</v>
      </c>
      <c r="AP343" s="3">
        <f t="shared" si="160"/>
        <v>58</v>
      </c>
      <c r="AQ343" s="3">
        <f t="shared" si="161"/>
        <v>53</v>
      </c>
      <c r="AR343" s="3">
        <f t="shared" si="162"/>
        <v>47</v>
      </c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M343" s="35" t="s">
        <v>12</v>
      </c>
      <c r="BO343" s="35"/>
      <c r="BR343" s="9">
        <f t="shared" si="166"/>
        <v>3</v>
      </c>
      <c r="BS343" s="37">
        <f t="shared" si="167"/>
        <v>45476</v>
      </c>
      <c r="BT343" s="38">
        <f t="shared" si="164"/>
        <v>45595</v>
      </c>
      <c r="BU343" s="36">
        <f t="shared" si="168"/>
        <v>14</v>
      </c>
    </row>
    <row r="344" spans="2:73" ht="15">
      <c r="B344" s="16">
        <f t="shared" si="169"/>
        <v>45481</v>
      </c>
      <c r="C344" s="15" t="s">
        <v>1</v>
      </c>
      <c r="D344" s="17">
        <f t="shared" si="170"/>
        <v>45487</v>
      </c>
      <c r="E344" s="18">
        <f t="shared" si="171"/>
        <v>7</v>
      </c>
      <c r="F344" s="19">
        <f t="shared" si="172"/>
        <v>2024</v>
      </c>
      <c r="G344" s="9">
        <f t="shared" si="175"/>
        <v>17</v>
      </c>
      <c r="H344" s="8">
        <f t="shared" si="175"/>
        <v>95</v>
      </c>
      <c r="I344" s="9"/>
      <c r="J344" s="9"/>
      <c r="K344" s="9"/>
      <c r="L344" s="9"/>
      <c r="M344" s="9"/>
      <c r="N344" s="9"/>
      <c r="O344" s="12"/>
      <c r="P344" s="12"/>
      <c r="Q344" s="12"/>
      <c r="R344" s="12"/>
      <c r="S344" s="12"/>
      <c r="T344" s="12"/>
      <c r="V344" s="20">
        <f t="shared" si="173"/>
        <v>12</v>
      </c>
      <c r="W344" s="20">
        <f t="shared" si="173"/>
        <v>17</v>
      </c>
      <c r="X344" s="20">
        <f t="shared" si="173"/>
        <v>1</v>
      </c>
      <c r="Y344" s="20">
        <f t="shared" si="173"/>
        <v>6</v>
      </c>
      <c r="Z344" s="20">
        <f t="shared" si="173"/>
        <v>0</v>
      </c>
      <c r="AA344" s="20">
        <f t="shared" si="173"/>
        <v>0</v>
      </c>
      <c r="AC344" s="3">
        <f t="shared" si="147"/>
        <v>43</v>
      </c>
      <c r="AD344" s="3">
        <f t="shared" si="148"/>
        <v>38</v>
      </c>
      <c r="AE344" s="3">
        <f t="shared" si="149"/>
        <v>33</v>
      </c>
      <c r="AF344" s="3">
        <f t="shared" si="150"/>
        <v>27</v>
      </c>
      <c r="AG344" s="3">
        <f t="shared" si="151"/>
        <v>22</v>
      </c>
      <c r="AH344" s="3">
        <f t="shared" si="152"/>
        <v>17</v>
      </c>
      <c r="AI344" s="3">
        <f t="shared" si="153"/>
        <v>0</v>
      </c>
      <c r="AJ344" s="3">
        <f t="shared" si="154"/>
        <v>90</v>
      </c>
      <c r="AK344" s="3">
        <f t="shared" si="155"/>
        <v>85</v>
      </c>
      <c r="AL344" s="3">
        <f t="shared" si="156"/>
        <v>80</v>
      </c>
      <c r="AM344" s="3">
        <f t="shared" si="157"/>
        <v>75</v>
      </c>
      <c r="AN344" s="3">
        <f t="shared" si="158"/>
        <v>69</v>
      </c>
      <c r="AO344" s="3">
        <f t="shared" si="159"/>
        <v>64</v>
      </c>
      <c r="AP344" s="3">
        <f t="shared" si="160"/>
        <v>59</v>
      </c>
      <c r="AQ344" s="3">
        <f t="shared" si="161"/>
        <v>54</v>
      </c>
      <c r="AR344" s="3">
        <f t="shared" si="162"/>
        <v>48</v>
      </c>
      <c r="AS344" s="8"/>
      <c r="AT344" s="8"/>
      <c r="AU344" s="8"/>
      <c r="AV344" s="8"/>
      <c r="AW344" s="8"/>
      <c r="AX344" s="8">
        <v>2</v>
      </c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M344" s="35" t="s">
        <v>12</v>
      </c>
      <c r="BO344" s="35"/>
      <c r="BR344" s="9" t="str">
        <f t="shared" si="166"/>
        <v/>
      </c>
      <c r="BS344" s="37" t="str">
        <f t="shared" si="167"/>
        <v/>
      </c>
      <c r="BT344" s="38" t="str">
        <f t="shared" si="164"/>
        <v/>
      </c>
      <c r="BU344" s="36" t="str">
        <f t="shared" si="168"/>
        <v/>
      </c>
    </row>
    <row r="345" spans="2:73" ht="15">
      <c r="B345" s="16">
        <f t="shared" si="169"/>
        <v>45488</v>
      </c>
      <c r="C345" s="15" t="s">
        <v>1</v>
      </c>
      <c r="D345" s="17">
        <f t="shared" si="170"/>
        <v>45494</v>
      </c>
      <c r="E345" s="18">
        <f t="shared" si="171"/>
        <v>7</v>
      </c>
      <c r="F345" s="19">
        <f t="shared" si="172"/>
        <v>2024</v>
      </c>
      <c r="G345" s="9">
        <f t="shared" si="175"/>
        <v>17</v>
      </c>
      <c r="H345" s="8">
        <f t="shared" si="175"/>
        <v>95</v>
      </c>
      <c r="I345" s="9"/>
      <c r="J345" s="9"/>
      <c r="K345" s="9"/>
      <c r="L345" s="9"/>
      <c r="M345" s="9"/>
      <c r="N345" s="9"/>
      <c r="O345" s="12"/>
      <c r="P345" s="12"/>
      <c r="Q345" s="12"/>
      <c r="R345" s="12"/>
      <c r="S345" s="12"/>
      <c r="T345" s="12"/>
      <c r="V345" s="20">
        <f t="shared" si="173"/>
        <v>13</v>
      </c>
      <c r="W345" s="20">
        <f t="shared" si="173"/>
        <v>0</v>
      </c>
      <c r="X345" s="20">
        <f t="shared" si="173"/>
        <v>2</v>
      </c>
      <c r="Y345" s="20">
        <f t="shared" si="173"/>
        <v>7</v>
      </c>
      <c r="Z345" s="20">
        <f t="shared" si="173"/>
        <v>0</v>
      </c>
      <c r="AA345" s="20">
        <f t="shared" si="173"/>
        <v>0</v>
      </c>
      <c r="AC345" s="3">
        <f t="shared" si="147"/>
        <v>44</v>
      </c>
      <c r="AD345" s="3">
        <f t="shared" si="148"/>
        <v>39</v>
      </c>
      <c r="AE345" s="3">
        <f t="shared" si="149"/>
        <v>34</v>
      </c>
      <c r="AF345" s="3">
        <f t="shared" si="150"/>
        <v>28</v>
      </c>
      <c r="AG345" s="3">
        <f t="shared" si="151"/>
        <v>23</v>
      </c>
      <c r="AH345" s="3">
        <f t="shared" si="152"/>
        <v>18</v>
      </c>
      <c r="AI345" s="3">
        <f t="shared" si="153"/>
        <v>0</v>
      </c>
      <c r="AJ345" s="3">
        <f t="shared" si="154"/>
        <v>91</v>
      </c>
      <c r="AK345" s="3">
        <f t="shared" si="155"/>
        <v>86</v>
      </c>
      <c r="AL345" s="3">
        <f t="shared" si="156"/>
        <v>81</v>
      </c>
      <c r="AM345" s="3">
        <f t="shared" si="157"/>
        <v>76</v>
      </c>
      <c r="AN345" s="3">
        <f t="shared" si="158"/>
        <v>70</v>
      </c>
      <c r="AO345" s="3">
        <f t="shared" si="159"/>
        <v>65</v>
      </c>
      <c r="AP345" s="3">
        <f t="shared" si="160"/>
        <v>60</v>
      </c>
      <c r="AQ345" s="3">
        <f t="shared" si="161"/>
        <v>55</v>
      </c>
      <c r="AR345" s="3">
        <f t="shared" si="162"/>
        <v>49</v>
      </c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M345" s="35" t="s">
        <v>12</v>
      </c>
      <c r="BO345" s="35"/>
      <c r="BR345" s="9" t="str">
        <f t="shared" si="166"/>
        <v/>
      </c>
      <c r="BS345" s="37" t="str">
        <f t="shared" si="167"/>
        <v/>
      </c>
      <c r="BT345" s="38" t="str">
        <f t="shared" si="164"/>
        <v/>
      </c>
      <c r="BU345" s="36" t="str">
        <f t="shared" si="168"/>
        <v/>
      </c>
    </row>
    <row r="346" spans="2:73" ht="15">
      <c r="B346" s="16">
        <f t="shared" si="169"/>
        <v>45495</v>
      </c>
      <c r="C346" s="15" t="s">
        <v>1</v>
      </c>
      <c r="D346" s="17">
        <f t="shared" si="170"/>
        <v>45501</v>
      </c>
      <c r="E346" s="18">
        <f t="shared" si="171"/>
        <v>7</v>
      </c>
      <c r="F346" s="19">
        <f t="shared" si="172"/>
        <v>2024</v>
      </c>
      <c r="G346" s="9">
        <f t="shared" si="175"/>
        <v>17</v>
      </c>
      <c r="H346" s="8">
        <f t="shared" si="175"/>
        <v>95</v>
      </c>
      <c r="I346" s="9"/>
      <c r="J346" s="9"/>
      <c r="K346" s="9"/>
      <c r="L346" s="9"/>
      <c r="M346" s="9"/>
      <c r="N346" s="9"/>
      <c r="O346" s="12"/>
      <c r="P346" s="12"/>
      <c r="Q346" s="12"/>
      <c r="R346" s="12"/>
      <c r="S346" s="12"/>
      <c r="T346" s="12"/>
      <c r="V346" s="20">
        <f t="shared" si="173"/>
        <v>14</v>
      </c>
      <c r="W346" s="20">
        <f t="shared" si="173"/>
        <v>0</v>
      </c>
      <c r="X346" s="20">
        <f t="shared" si="173"/>
        <v>3</v>
      </c>
      <c r="Y346" s="20">
        <f t="shared" si="173"/>
        <v>8</v>
      </c>
      <c r="Z346" s="20">
        <f t="shared" si="173"/>
        <v>0</v>
      </c>
      <c r="AA346" s="20">
        <f t="shared" si="173"/>
        <v>0</v>
      </c>
      <c r="AC346" s="3">
        <f t="shared" si="147"/>
        <v>45</v>
      </c>
      <c r="AD346" s="3">
        <f t="shared" si="148"/>
        <v>40</v>
      </c>
      <c r="AE346" s="3">
        <f t="shared" si="149"/>
        <v>35</v>
      </c>
      <c r="AF346" s="3">
        <f t="shared" si="150"/>
        <v>29</v>
      </c>
      <c r="AG346" s="3">
        <f t="shared" si="151"/>
        <v>24</v>
      </c>
      <c r="AH346" s="3">
        <f t="shared" si="152"/>
        <v>19</v>
      </c>
      <c r="AI346" s="3">
        <f t="shared" si="153"/>
        <v>0</v>
      </c>
      <c r="AJ346" s="3">
        <f t="shared" si="154"/>
        <v>92</v>
      </c>
      <c r="AK346" s="3">
        <f t="shared" si="155"/>
        <v>87</v>
      </c>
      <c r="AL346" s="3">
        <f t="shared" si="156"/>
        <v>82</v>
      </c>
      <c r="AM346" s="3">
        <f t="shared" si="157"/>
        <v>77</v>
      </c>
      <c r="AN346" s="3">
        <f t="shared" si="158"/>
        <v>71</v>
      </c>
      <c r="AO346" s="3">
        <f t="shared" si="159"/>
        <v>66</v>
      </c>
      <c r="AP346" s="3">
        <f t="shared" si="160"/>
        <v>61</v>
      </c>
      <c r="AQ346" s="3">
        <f t="shared" si="161"/>
        <v>56</v>
      </c>
      <c r="AR346" s="3">
        <f t="shared" si="162"/>
        <v>50</v>
      </c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M346" s="35" t="s">
        <v>12</v>
      </c>
      <c r="BO346" s="35"/>
      <c r="BR346" s="9" t="str">
        <f t="shared" si="166"/>
        <v/>
      </c>
      <c r="BS346" s="37" t="str">
        <f t="shared" si="167"/>
        <v/>
      </c>
      <c r="BT346" s="38" t="str">
        <f t="shared" si="164"/>
        <v/>
      </c>
      <c r="BU346" s="36" t="str">
        <f t="shared" si="168"/>
        <v/>
      </c>
    </row>
    <row r="347" spans="2:73" ht="15">
      <c r="B347" s="16">
        <f t="shared" si="169"/>
        <v>45502</v>
      </c>
      <c r="C347" s="15" t="s">
        <v>1</v>
      </c>
      <c r="D347" s="17">
        <f t="shared" si="170"/>
        <v>45508</v>
      </c>
      <c r="E347" s="18">
        <f t="shared" si="171"/>
        <v>7</v>
      </c>
      <c r="F347" s="19">
        <f t="shared" si="172"/>
        <v>2024</v>
      </c>
      <c r="G347" s="9">
        <f t="shared" si="175"/>
        <v>17</v>
      </c>
      <c r="H347" s="8">
        <f t="shared" si="175"/>
        <v>95</v>
      </c>
      <c r="I347" s="9"/>
      <c r="J347" s="9"/>
      <c r="K347" s="9"/>
      <c r="L347" s="9"/>
      <c r="M347" s="9"/>
      <c r="N347" s="9"/>
      <c r="O347" s="12"/>
      <c r="P347" s="12"/>
      <c r="Q347" s="12"/>
      <c r="R347" s="12"/>
      <c r="S347" s="12"/>
      <c r="T347" s="12"/>
      <c r="V347" s="20">
        <f t="shared" si="173"/>
        <v>15</v>
      </c>
      <c r="W347" s="20">
        <f t="shared" si="173"/>
        <v>0</v>
      </c>
      <c r="X347" s="20">
        <f t="shared" si="173"/>
        <v>4</v>
      </c>
      <c r="Y347" s="20">
        <f t="shared" si="173"/>
        <v>9</v>
      </c>
      <c r="Z347" s="20">
        <f t="shared" si="173"/>
        <v>0</v>
      </c>
      <c r="AA347" s="20">
        <f t="shared" si="173"/>
        <v>0</v>
      </c>
      <c r="AC347" s="3">
        <f t="shared" si="147"/>
        <v>46</v>
      </c>
      <c r="AD347" s="3">
        <f t="shared" si="148"/>
        <v>41</v>
      </c>
      <c r="AE347" s="3">
        <f t="shared" si="149"/>
        <v>36</v>
      </c>
      <c r="AF347" s="3">
        <f t="shared" si="150"/>
        <v>30</v>
      </c>
      <c r="AG347" s="3">
        <f t="shared" si="151"/>
        <v>25</v>
      </c>
      <c r="AH347" s="3">
        <f t="shared" si="152"/>
        <v>20</v>
      </c>
      <c r="AI347" s="3">
        <f t="shared" si="153"/>
        <v>0</v>
      </c>
      <c r="AJ347" s="3">
        <f t="shared" si="154"/>
        <v>93</v>
      </c>
      <c r="AK347" s="3">
        <f t="shared" si="155"/>
        <v>88</v>
      </c>
      <c r="AL347" s="3">
        <f t="shared" si="156"/>
        <v>83</v>
      </c>
      <c r="AM347" s="3">
        <f t="shared" si="157"/>
        <v>78</v>
      </c>
      <c r="AN347" s="3">
        <f t="shared" si="158"/>
        <v>72</v>
      </c>
      <c r="AO347" s="3">
        <f t="shared" si="159"/>
        <v>67</v>
      </c>
      <c r="AP347" s="3">
        <f t="shared" si="160"/>
        <v>62</v>
      </c>
      <c r="AQ347" s="3">
        <f t="shared" si="161"/>
        <v>57</v>
      </c>
      <c r="AR347" s="3">
        <f t="shared" si="162"/>
        <v>51</v>
      </c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M347" s="35" t="s">
        <v>12</v>
      </c>
      <c r="BO347" s="35"/>
      <c r="BR347" s="9" t="str">
        <f t="shared" si="166"/>
        <v/>
      </c>
      <c r="BS347" s="37" t="str">
        <f t="shared" si="167"/>
        <v/>
      </c>
      <c r="BT347" s="38" t="str">
        <f t="shared" si="164"/>
        <v/>
      </c>
      <c r="BU347" s="36" t="str">
        <f t="shared" si="168"/>
        <v/>
      </c>
    </row>
    <row r="348" spans="2:73" ht="15">
      <c r="B348" s="16">
        <f t="shared" si="169"/>
        <v>45509</v>
      </c>
      <c r="C348" s="15" t="s">
        <v>1</v>
      </c>
      <c r="D348" s="17">
        <f t="shared" si="170"/>
        <v>45515</v>
      </c>
      <c r="E348" s="18">
        <f t="shared" si="171"/>
        <v>8</v>
      </c>
      <c r="F348" s="19">
        <f t="shared" si="172"/>
        <v>2024</v>
      </c>
      <c r="G348" s="9">
        <f t="shared" si="175"/>
        <v>17</v>
      </c>
      <c r="H348" s="8">
        <f t="shared" si="175"/>
        <v>95</v>
      </c>
      <c r="I348" s="9"/>
      <c r="J348" s="9"/>
      <c r="K348" s="9"/>
      <c r="L348" s="9"/>
      <c r="M348" s="9"/>
      <c r="N348" s="9"/>
      <c r="O348" s="12"/>
      <c r="P348" s="12">
        <v>1</v>
      </c>
      <c r="Q348" s="12"/>
      <c r="R348" s="12"/>
      <c r="S348" s="12"/>
      <c r="T348" s="12"/>
      <c r="V348" s="20">
        <f t="shared" si="173"/>
        <v>16</v>
      </c>
      <c r="W348" s="20">
        <f t="shared" si="173"/>
        <v>45511</v>
      </c>
      <c r="X348" s="20">
        <f t="shared" si="173"/>
        <v>5</v>
      </c>
      <c r="Y348" s="20">
        <f t="shared" si="173"/>
        <v>10</v>
      </c>
      <c r="Z348" s="20">
        <f t="shared" si="173"/>
        <v>0</v>
      </c>
      <c r="AA348" s="20">
        <f t="shared" si="173"/>
        <v>0</v>
      </c>
      <c r="AC348" s="3">
        <f t="shared" si="147"/>
        <v>47</v>
      </c>
      <c r="AD348" s="3">
        <f t="shared" si="148"/>
        <v>42</v>
      </c>
      <c r="AE348" s="3">
        <f t="shared" si="149"/>
        <v>37</v>
      </c>
      <c r="AF348" s="3">
        <f t="shared" si="150"/>
        <v>31</v>
      </c>
      <c r="AG348" s="3">
        <f t="shared" si="151"/>
        <v>26</v>
      </c>
      <c r="AH348" s="3">
        <f t="shared" si="152"/>
        <v>21</v>
      </c>
      <c r="AI348" s="3">
        <f t="shared" si="153"/>
        <v>0</v>
      </c>
      <c r="AJ348" s="3">
        <f t="shared" si="154"/>
        <v>94</v>
      </c>
      <c r="AK348" s="3">
        <f t="shared" si="155"/>
        <v>89</v>
      </c>
      <c r="AL348" s="3">
        <f t="shared" si="156"/>
        <v>84</v>
      </c>
      <c r="AM348" s="3">
        <f t="shared" si="157"/>
        <v>79</v>
      </c>
      <c r="AN348" s="3">
        <f t="shared" si="158"/>
        <v>73</v>
      </c>
      <c r="AO348" s="3">
        <f t="shared" si="159"/>
        <v>68</v>
      </c>
      <c r="AP348" s="3">
        <f t="shared" si="160"/>
        <v>63</v>
      </c>
      <c r="AQ348" s="3">
        <f t="shared" si="161"/>
        <v>58</v>
      </c>
      <c r="AR348" s="3">
        <f t="shared" si="162"/>
        <v>52</v>
      </c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M348" s="35" t="s">
        <v>12</v>
      </c>
      <c r="BO348" s="35"/>
      <c r="BR348" s="9">
        <f t="shared" si="166"/>
        <v>2</v>
      </c>
      <c r="BS348" s="37">
        <f t="shared" si="167"/>
        <v>45511</v>
      </c>
      <c r="BT348" s="38">
        <f t="shared" si="164"/>
        <v>45630</v>
      </c>
      <c r="BU348" s="36">
        <f t="shared" si="168"/>
        <v>3</v>
      </c>
    </row>
    <row r="349" spans="2:73" ht="15">
      <c r="B349" s="16">
        <f t="shared" si="169"/>
        <v>45516</v>
      </c>
      <c r="C349" s="15" t="s">
        <v>1</v>
      </c>
      <c r="D349" s="17">
        <f t="shared" si="170"/>
        <v>45522</v>
      </c>
      <c r="E349" s="18">
        <f t="shared" si="171"/>
        <v>8</v>
      </c>
      <c r="F349" s="19">
        <f t="shared" si="172"/>
        <v>2024</v>
      </c>
      <c r="G349" s="9">
        <f t="shared" si="175"/>
        <v>17</v>
      </c>
      <c r="H349" s="8">
        <f t="shared" si="175"/>
        <v>95</v>
      </c>
      <c r="I349" s="9"/>
      <c r="J349" s="9"/>
      <c r="K349" s="9"/>
      <c r="L349" s="9"/>
      <c r="M349" s="9"/>
      <c r="N349" s="9"/>
      <c r="O349" s="12"/>
      <c r="P349" s="12"/>
      <c r="Q349" s="12"/>
      <c r="R349" s="12"/>
      <c r="S349" s="12"/>
      <c r="T349" s="12"/>
      <c r="V349" s="20">
        <f t="shared" si="173"/>
        <v>17</v>
      </c>
      <c r="W349" s="20">
        <f t="shared" si="173"/>
        <v>1</v>
      </c>
      <c r="X349" s="20">
        <f t="shared" si="173"/>
        <v>6</v>
      </c>
      <c r="Y349" s="20">
        <f t="shared" si="173"/>
        <v>11</v>
      </c>
      <c r="Z349" s="20">
        <f t="shared" si="173"/>
        <v>0</v>
      </c>
      <c r="AA349" s="20">
        <f t="shared" si="173"/>
        <v>0</v>
      </c>
      <c r="AC349" s="3">
        <f t="shared" si="147"/>
        <v>48</v>
      </c>
      <c r="AD349" s="3">
        <f t="shared" si="148"/>
        <v>43</v>
      </c>
      <c r="AE349" s="3">
        <f t="shared" si="149"/>
        <v>38</v>
      </c>
      <c r="AF349" s="3">
        <f t="shared" si="150"/>
        <v>32</v>
      </c>
      <c r="AG349" s="3">
        <f t="shared" si="151"/>
        <v>27</v>
      </c>
      <c r="AH349" s="3">
        <f t="shared" si="152"/>
        <v>22</v>
      </c>
      <c r="AI349" s="3">
        <f t="shared" si="153"/>
        <v>17</v>
      </c>
      <c r="AJ349" s="3">
        <f t="shared" si="154"/>
        <v>95</v>
      </c>
      <c r="AK349" s="3">
        <f t="shared" si="155"/>
        <v>90</v>
      </c>
      <c r="AL349" s="3">
        <f t="shared" si="156"/>
        <v>85</v>
      </c>
      <c r="AM349" s="3">
        <f t="shared" si="157"/>
        <v>80</v>
      </c>
      <c r="AN349" s="3">
        <f t="shared" si="158"/>
        <v>74</v>
      </c>
      <c r="AO349" s="3">
        <f t="shared" si="159"/>
        <v>69</v>
      </c>
      <c r="AP349" s="3">
        <f t="shared" si="160"/>
        <v>64</v>
      </c>
      <c r="AQ349" s="3">
        <f t="shared" si="161"/>
        <v>59</v>
      </c>
      <c r="AR349" s="3">
        <f t="shared" si="162"/>
        <v>53</v>
      </c>
      <c r="AS349" s="8"/>
      <c r="AT349" s="8"/>
      <c r="AU349" s="8"/>
      <c r="AV349" s="8"/>
      <c r="AW349" s="8"/>
      <c r="AX349" s="8"/>
      <c r="AY349" s="8">
        <v>1</v>
      </c>
      <c r="AZ349" s="8"/>
      <c r="BA349" s="8"/>
      <c r="BB349" s="8"/>
      <c r="BC349" s="8"/>
      <c r="BD349" s="8"/>
      <c r="BE349" s="8"/>
      <c r="BF349" s="8"/>
      <c r="BG349" s="8"/>
      <c r="BH349" s="8"/>
      <c r="BM349" s="35" t="s">
        <v>12</v>
      </c>
      <c r="BO349" s="35"/>
      <c r="BR349" s="9" t="str">
        <f t="shared" si="166"/>
        <v/>
      </c>
      <c r="BS349" s="37" t="str">
        <f t="shared" si="167"/>
        <v/>
      </c>
      <c r="BT349" s="38" t="str">
        <f t="shared" si="164"/>
        <v/>
      </c>
      <c r="BU349" s="36" t="str">
        <f t="shared" si="168"/>
        <v/>
      </c>
    </row>
    <row r="350" spans="2:73" ht="15">
      <c r="B350" s="16">
        <f t="shared" si="169"/>
        <v>45523</v>
      </c>
      <c r="C350" s="15" t="s">
        <v>1</v>
      </c>
      <c r="D350" s="17">
        <f t="shared" si="170"/>
        <v>45529</v>
      </c>
      <c r="E350" s="18">
        <f t="shared" si="171"/>
        <v>8</v>
      </c>
      <c r="F350" s="19">
        <f t="shared" si="172"/>
        <v>2024</v>
      </c>
      <c r="G350" s="9">
        <f t="shared" si="175"/>
        <v>17</v>
      </c>
      <c r="H350" s="8">
        <f t="shared" si="175"/>
        <v>95</v>
      </c>
      <c r="I350" s="9"/>
      <c r="J350" s="9"/>
      <c r="K350" s="9"/>
      <c r="L350" s="9"/>
      <c r="M350" s="9"/>
      <c r="N350" s="9"/>
      <c r="O350" s="12"/>
      <c r="P350" s="12"/>
      <c r="Q350" s="12"/>
      <c r="R350" s="12"/>
      <c r="S350" s="12"/>
      <c r="T350" s="12"/>
      <c r="V350" s="20">
        <f t="shared" si="173"/>
        <v>0</v>
      </c>
      <c r="W350" s="20">
        <f t="shared" si="173"/>
        <v>2</v>
      </c>
      <c r="X350" s="20">
        <f t="shared" si="173"/>
        <v>7</v>
      </c>
      <c r="Y350" s="20">
        <f t="shared" si="173"/>
        <v>12</v>
      </c>
      <c r="Z350" s="20">
        <f t="shared" si="173"/>
        <v>0</v>
      </c>
      <c r="AA350" s="20">
        <f t="shared" si="173"/>
        <v>0</v>
      </c>
      <c r="AC350" s="3">
        <f t="shared" si="147"/>
        <v>49</v>
      </c>
      <c r="AD350" s="3">
        <f t="shared" si="148"/>
        <v>44</v>
      </c>
      <c r="AE350" s="3">
        <f t="shared" si="149"/>
        <v>39</v>
      </c>
      <c r="AF350" s="3">
        <f t="shared" si="150"/>
        <v>33</v>
      </c>
      <c r="AG350" s="3">
        <f t="shared" si="151"/>
        <v>28</v>
      </c>
      <c r="AH350" s="3">
        <f t="shared" si="152"/>
        <v>23</v>
      </c>
      <c r="AI350" s="3">
        <f t="shared" si="153"/>
        <v>18</v>
      </c>
      <c r="AJ350" s="3">
        <f t="shared" si="154"/>
        <v>0</v>
      </c>
      <c r="AK350" s="3">
        <f t="shared" si="155"/>
        <v>91</v>
      </c>
      <c r="AL350" s="3">
        <f t="shared" si="156"/>
        <v>86</v>
      </c>
      <c r="AM350" s="3">
        <f t="shared" si="157"/>
        <v>81</v>
      </c>
      <c r="AN350" s="3">
        <f t="shared" si="158"/>
        <v>75</v>
      </c>
      <c r="AO350" s="3">
        <f t="shared" si="159"/>
        <v>70</v>
      </c>
      <c r="AP350" s="3">
        <f t="shared" si="160"/>
        <v>65</v>
      </c>
      <c r="AQ350" s="3">
        <f t="shared" si="161"/>
        <v>60</v>
      </c>
      <c r="AR350" s="3">
        <f t="shared" si="162"/>
        <v>54</v>
      </c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M350" s="35" t="s">
        <v>12</v>
      </c>
      <c r="BO350" s="35"/>
      <c r="BR350" s="9" t="str">
        <f t="shared" si="166"/>
        <v/>
      </c>
      <c r="BS350" s="37" t="str">
        <f t="shared" si="167"/>
        <v/>
      </c>
      <c r="BT350" s="38" t="str">
        <f t="shared" si="164"/>
        <v/>
      </c>
      <c r="BU350" s="36" t="str">
        <f t="shared" si="168"/>
        <v/>
      </c>
    </row>
    <row r="351" spans="2:73" ht="15">
      <c r="B351" s="16">
        <f t="shared" si="169"/>
        <v>45530</v>
      </c>
      <c r="C351" s="15" t="s">
        <v>1</v>
      </c>
      <c r="D351" s="17">
        <f t="shared" si="170"/>
        <v>45536</v>
      </c>
      <c r="E351" s="18">
        <f t="shared" si="171"/>
        <v>8</v>
      </c>
      <c r="F351" s="19">
        <f t="shared" si="172"/>
        <v>2024</v>
      </c>
      <c r="G351" s="9">
        <f t="shared" si="175"/>
        <v>17</v>
      </c>
      <c r="H351" s="8">
        <f t="shared" si="175"/>
        <v>95</v>
      </c>
      <c r="I351" s="9"/>
      <c r="J351" s="9"/>
      <c r="K351" s="9"/>
      <c r="L351" s="9"/>
      <c r="M351" s="9"/>
      <c r="N351" s="9"/>
      <c r="O351" s="12"/>
      <c r="P351" s="12"/>
      <c r="Q351" s="12"/>
      <c r="R351" s="12"/>
      <c r="S351" s="12"/>
      <c r="T351" s="12"/>
      <c r="V351" s="20">
        <f t="shared" si="173"/>
        <v>0</v>
      </c>
      <c r="W351" s="20">
        <f t="shared" si="173"/>
        <v>3</v>
      </c>
      <c r="X351" s="20">
        <f t="shared" si="173"/>
        <v>8</v>
      </c>
      <c r="Y351" s="20">
        <f t="shared" si="173"/>
        <v>13</v>
      </c>
      <c r="Z351" s="20">
        <f t="shared" si="173"/>
        <v>0</v>
      </c>
      <c r="AA351" s="20">
        <f t="shared" si="173"/>
        <v>0</v>
      </c>
      <c r="AC351" s="3">
        <f t="shared" si="147"/>
        <v>50</v>
      </c>
      <c r="AD351" s="3">
        <f t="shared" si="148"/>
        <v>45</v>
      </c>
      <c r="AE351" s="3">
        <f t="shared" si="149"/>
        <v>40</v>
      </c>
      <c r="AF351" s="3">
        <f t="shared" si="150"/>
        <v>34</v>
      </c>
      <c r="AG351" s="3">
        <f t="shared" si="151"/>
        <v>29</v>
      </c>
      <c r="AH351" s="3">
        <f t="shared" si="152"/>
        <v>24</v>
      </c>
      <c r="AI351" s="3">
        <f t="shared" si="153"/>
        <v>19</v>
      </c>
      <c r="AJ351" s="3">
        <f t="shared" si="154"/>
        <v>0</v>
      </c>
      <c r="AK351" s="3">
        <f t="shared" si="155"/>
        <v>92</v>
      </c>
      <c r="AL351" s="3">
        <f t="shared" si="156"/>
        <v>87</v>
      </c>
      <c r="AM351" s="3">
        <f t="shared" si="157"/>
        <v>82</v>
      </c>
      <c r="AN351" s="3">
        <f t="shared" si="158"/>
        <v>76</v>
      </c>
      <c r="AO351" s="3">
        <f t="shared" si="159"/>
        <v>71</v>
      </c>
      <c r="AP351" s="3">
        <f t="shared" si="160"/>
        <v>66</v>
      </c>
      <c r="AQ351" s="3">
        <f t="shared" si="161"/>
        <v>61</v>
      </c>
      <c r="AR351" s="3">
        <f t="shared" si="162"/>
        <v>55</v>
      </c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M351" s="35" t="s">
        <v>12</v>
      </c>
      <c r="BO351" s="35"/>
      <c r="BR351" s="9" t="str">
        <f t="shared" si="166"/>
        <v/>
      </c>
      <c r="BS351" s="37" t="str">
        <f t="shared" si="167"/>
        <v/>
      </c>
      <c r="BT351" s="38" t="str">
        <f t="shared" si="164"/>
        <v/>
      </c>
      <c r="BU351" s="36" t="str">
        <f t="shared" si="168"/>
        <v/>
      </c>
    </row>
    <row r="352" spans="2:73" ht="15">
      <c r="B352" s="16">
        <f t="shared" si="169"/>
        <v>45537</v>
      </c>
      <c r="C352" s="15" t="s">
        <v>1</v>
      </c>
      <c r="D352" s="17">
        <f t="shared" si="170"/>
        <v>45543</v>
      </c>
      <c r="E352" s="18">
        <f t="shared" si="171"/>
        <v>9</v>
      </c>
      <c r="F352" s="19">
        <f t="shared" si="172"/>
        <v>2024</v>
      </c>
      <c r="G352" s="9">
        <f t="shared" si="175"/>
        <v>17</v>
      </c>
      <c r="H352" s="8">
        <f t="shared" si="175"/>
        <v>95</v>
      </c>
      <c r="I352" s="9"/>
      <c r="J352" s="9"/>
      <c r="K352" s="9"/>
      <c r="L352" s="9"/>
      <c r="M352" s="9"/>
      <c r="N352" s="9"/>
      <c r="O352" s="12"/>
      <c r="P352" s="12"/>
      <c r="Q352" s="12"/>
      <c r="R352" s="12"/>
      <c r="S352" s="12"/>
      <c r="T352" s="12"/>
      <c r="V352" s="20">
        <f t="shared" si="173"/>
        <v>0</v>
      </c>
      <c r="W352" s="20">
        <f t="shared" si="173"/>
        <v>4</v>
      </c>
      <c r="X352" s="20">
        <f t="shared" si="173"/>
        <v>9</v>
      </c>
      <c r="Y352" s="20">
        <f t="shared" si="173"/>
        <v>14</v>
      </c>
      <c r="Z352" s="20">
        <f t="shared" si="173"/>
        <v>0</v>
      </c>
      <c r="AA352" s="20">
        <f t="shared" si="173"/>
        <v>0</v>
      </c>
      <c r="AC352" s="3">
        <f t="shared" si="147"/>
        <v>51</v>
      </c>
      <c r="AD352" s="3">
        <f t="shared" si="148"/>
        <v>46</v>
      </c>
      <c r="AE352" s="3">
        <f t="shared" si="149"/>
        <v>41</v>
      </c>
      <c r="AF352" s="3">
        <f t="shared" si="150"/>
        <v>35</v>
      </c>
      <c r="AG352" s="3">
        <f t="shared" si="151"/>
        <v>30</v>
      </c>
      <c r="AH352" s="3">
        <f t="shared" si="152"/>
        <v>25</v>
      </c>
      <c r="AI352" s="3">
        <f t="shared" si="153"/>
        <v>20</v>
      </c>
      <c r="AJ352" s="3">
        <f t="shared" si="154"/>
        <v>0</v>
      </c>
      <c r="AK352" s="3">
        <f t="shared" si="155"/>
        <v>93</v>
      </c>
      <c r="AL352" s="3">
        <f t="shared" si="156"/>
        <v>88</v>
      </c>
      <c r="AM352" s="3">
        <f t="shared" si="157"/>
        <v>83</v>
      </c>
      <c r="AN352" s="3">
        <f t="shared" si="158"/>
        <v>77</v>
      </c>
      <c r="AO352" s="3">
        <f t="shared" si="159"/>
        <v>72</v>
      </c>
      <c r="AP352" s="3">
        <f t="shared" si="160"/>
        <v>67</v>
      </c>
      <c r="AQ352" s="3">
        <f t="shared" si="161"/>
        <v>62</v>
      </c>
      <c r="AR352" s="3">
        <f t="shared" si="162"/>
        <v>56</v>
      </c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M352" s="35" t="s">
        <v>12</v>
      </c>
      <c r="BO352" s="35"/>
      <c r="BR352" s="9" t="str">
        <f t="shared" si="166"/>
        <v/>
      </c>
      <c r="BS352" s="37" t="str">
        <f t="shared" si="167"/>
        <v/>
      </c>
      <c r="BT352" s="38" t="str">
        <f t="shared" si="164"/>
        <v/>
      </c>
      <c r="BU352" s="36" t="str">
        <f t="shared" si="168"/>
        <v/>
      </c>
    </row>
    <row r="353" spans="2:73" ht="15">
      <c r="B353" s="16">
        <f t="shared" si="169"/>
        <v>45544</v>
      </c>
      <c r="C353" s="15" t="s">
        <v>1</v>
      </c>
      <c r="D353" s="17">
        <f t="shared" si="170"/>
        <v>45550</v>
      </c>
      <c r="E353" s="18">
        <f t="shared" si="171"/>
        <v>9</v>
      </c>
      <c r="F353" s="19">
        <f t="shared" si="172"/>
        <v>2024</v>
      </c>
      <c r="G353" s="9">
        <f t="shared" si="175"/>
        <v>17</v>
      </c>
      <c r="H353" s="8">
        <f t="shared" si="175"/>
        <v>95</v>
      </c>
      <c r="I353" s="9"/>
      <c r="J353" s="9"/>
      <c r="K353" s="9"/>
      <c r="L353" s="9"/>
      <c r="M353" s="9"/>
      <c r="N353" s="9"/>
      <c r="O353" s="12">
        <v>1</v>
      </c>
      <c r="P353" s="12"/>
      <c r="Q353" s="12"/>
      <c r="R353" s="12"/>
      <c r="S353" s="12"/>
      <c r="T353" s="12"/>
      <c r="V353" s="20">
        <f t="shared" si="173"/>
        <v>45546</v>
      </c>
      <c r="W353" s="20">
        <f t="shared" si="173"/>
        <v>5</v>
      </c>
      <c r="X353" s="20">
        <f t="shared" si="173"/>
        <v>10</v>
      </c>
      <c r="Y353" s="20">
        <f t="shared" si="173"/>
        <v>15</v>
      </c>
      <c r="Z353" s="20">
        <f t="shared" si="173"/>
        <v>0</v>
      </c>
      <c r="AA353" s="20">
        <f t="shared" si="173"/>
        <v>0</v>
      </c>
      <c r="AC353" s="3">
        <f t="shared" si="147"/>
        <v>52</v>
      </c>
      <c r="AD353" s="3">
        <f t="shared" si="148"/>
        <v>47</v>
      </c>
      <c r="AE353" s="3">
        <f t="shared" si="149"/>
        <v>42</v>
      </c>
      <c r="AF353" s="3">
        <f t="shared" si="150"/>
        <v>36</v>
      </c>
      <c r="AG353" s="3">
        <f t="shared" si="151"/>
        <v>31</v>
      </c>
      <c r="AH353" s="3">
        <f t="shared" si="152"/>
        <v>26</v>
      </c>
      <c r="AI353" s="3">
        <f t="shared" si="153"/>
        <v>21</v>
      </c>
      <c r="AJ353" s="3">
        <f t="shared" si="154"/>
        <v>0</v>
      </c>
      <c r="AK353" s="3">
        <f t="shared" si="155"/>
        <v>94</v>
      </c>
      <c r="AL353" s="3">
        <f t="shared" si="156"/>
        <v>89</v>
      </c>
      <c r="AM353" s="3">
        <f t="shared" si="157"/>
        <v>84</v>
      </c>
      <c r="AN353" s="3">
        <f t="shared" si="158"/>
        <v>78</v>
      </c>
      <c r="AO353" s="3">
        <f t="shared" si="159"/>
        <v>73</v>
      </c>
      <c r="AP353" s="3">
        <f t="shared" si="160"/>
        <v>68</v>
      </c>
      <c r="AQ353" s="3">
        <f t="shared" si="161"/>
        <v>63</v>
      </c>
      <c r="AR353" s="3">
        <f t="shared" si="162"/>
        <v>57</v>
      </c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M353" s="35" t="s">
        <v>12</v>
      </c>
      <c r="BO353" s="35"/>
      <c r="BR353" s="9">
        <f t="shared" si="166"/>
        <v>1</v>
      </c>
      <c r="BS353" s="37">
        <f t="shared" si="167"/>
        <v>45546</v>
      </c>
      <c r="BT353" s="38">
        <f t="shared" si="164"/>
        <v>45665</v>
      </c>
      <c r="BU353" s="36">
        <f t="shared" si="168"/>
        <v>4</v>
      </c>
    </row>
    <row r="354" spans="2:73" ht="15">
      <c r="B354" s="16">
        <f t="shared" si="169"/>
        <v>45551</v>
      </c>
      <c r="C354" s="15" t="s">
        <v>1</v>
      </c>
      <c r="D354" s="17">
        <f t="shared" si="170"/>
        <v>45557</v>
      </c>
      <c r="E354" s="18">
        <f t="shared" si="171"/>
        <v>9</v>
      </c>
      <c r="F354" s="19">
        <f t="shared" si="172"/>
        <v>2024</v>
      </c>
      <c r="G354" s="9">
        <f t="shared" si="175"/>
        <v>17</v>
      </c>
      <c r="H354" s="8">
        <f t="shared" si="175"/>
        <v>95</v>
      </c>
      <c r="I354" s="9"/>
      <c r="J354" s="9"/>
      <c r="K354" s="9"/>
      <c r="L354" s="9"/>
      <c r="M354" s="9"/>
      <c r="N354" s="9"/>
      <c r="O354" s="12"/>
      <c r="P354" s="12"/>
      <c r="Q354" s="12"/>
      <c r="R354" s="12"/>
      <c r="S354" s="12"/>
      <c r="T354" s="12"/>
      <c r="V354" s="20">
        <f t="shared" si="173"/>
        <v>1</v>
      </c>
      <c r="W354" s="20">
        <f t="shared" si="173"/>
        <v>6</v>
      </c>
      <c r="X354" s="20">
        <f t="shared" si="173"/>
        <v>11</v>
      </c>
      <c r="Y354" s="20">
        <f t="shared" si="173"/>
        <v>16</v>
      </c>
      <c r="Z354" s="20">
        <f t="shared" si="173"/>
        <v>0</v>
      </c>
      <c r="AA354" s="20">
        <f t="shared" si="173"/>
        <v>0</v>
      </c>
      <c r="AC354" s="3">
        <f t="shared" si="147"/>
        <v>53</v>
      </c>
      <c r="AD354" s="3">
        <f t="shared" si="148"/>
        <v>48</v>
      </c>
      <c r="AE354" s="3">
        <f t="shared" si="149"/>
        <v>43</v>
      </c>
      <c r="AF354" s="3">
        <f t="shared" si="150"/>
        <v>37</v>
      </c>
      <c r="AG354" s="3">
        <f t="shared" si="151"/>
        <v>32</v>
      </c>
      <c r="AH354" s="3">
        <f t="shared" si="152"/>
        <v>27</v>
      </c>
      <c r="AI354" s="3">
        <f t="shared" si="153"/>
        <v>22</v>
      </c>
      <c r="AJ354" s="3">
        <f t="shared" si="154"/>
        <v>0</v>
      </c>
      <c r="AK354" s="3">
        <f t="shared" si="155"/>
        <v>95</v>
      </c>
      <c r="AL354" s="3">
        <f t="shared" si="156"/>
        <v>90</v>
      </c>
      <c r="AM354" s="3">
        <f t="shared" si="157"/>
        <v>85</v>
      </c>
      <c r="AN354" s="3">
        <f t="shared" si="158"/>
        <v>79</v>
      </c>
      <c r="AO354" s="3">
        <f t="shared" si="159"/>
        <v>74</v>
      </c>
      <c r="AP354" s="3">
        <f t="shared" si="160"/>
        <v>69</v>
      </c>
      <c r="AQ354" s="3">
        <f t="shared" si="161"/>
        <v>64</v>
      </c>
      <c r="AR354" s="3">
        <f t="shared" si="162"/>
        <v>58</v>
      </c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M354" s="35" t="s">
        <v>12</v>
      </c>
      <c r="BO354" s="35"/>
      <c r="BR354" s="9" t="str">
        <f t="shared" si="166"/>
        <v/>
      </c>
      <c r="BS354" s="37" t="str">
        <f t="shared" si="167"/>
        <v/>
      </c>
      <c r="BT354" s="38" t="str">
        <f t="shared" si="164"/>
        <v/>
      </c>
      <c r="BU354" s="36" t="str">
        <f t="shared" si="168"/>
        <v/>
      </c>
    </row>
    <row r="355" spans="2:73" ht="15">
      <c r="B355" s="16">
        <f t="shared" si="169"/>
        <v>45558</v>
      </c>
      <c r="C355" s="15" t="s">
        <v>1</v>
      </c>
      <c r="D355" s="17">
        <f t="shared" si="170"/>
        <v>45564</v>
      </c>
      <c r="E355" s="18">
        <f t="shared" si="171"/>
        <v>9</v>
      </c>
      <c r="F355" s="19">
        <f t="shared" si="172"/>
        <v>2024</v>
      </c>
      <c r="G355" s="9">
        <f t="shared" si="175"/>
        <v>17</v>
      </c>
      <c r="H355" s="8">
        <f t="shared" si="175"/>
        <v>95</v>
      </c>
      <c r="I355" s="9"/>
      <c r="J355" s="9"/>
      <c r="K355" s="9"/>
      <c r="L355" s="9"/>
      <c r="M355" s="9"/>
      <c r="N355" s="9"/>
      <c r="O355" s="12"/>
      <c r="P355" s="12"/>
      <c r="Q355" s="12"/>
      <c r="R355" s="12"/>
      <c r="S355" s="12"/>
      <c r="T355" s="12"/>
      <c r="V355" s="20">
        <f t="shared" si="173"/>
        <v>2</v>
      </c>
      <c r="W355" s="20">
        <f t="shared" si="173"/>
        <v>7</v>
      </c>
      <c r="X355" s="20">
        <f t="shared" si="173"/>
        <v>12</v>
      </c>
      <c r="Y355" s="20">
        <f t="shared" si="173"/>
        <v>17</v>
      </c>
      <c r="Z355" s="20">
        <f t="shared" si="173"/>
        <v>0</v>
      </c>
      <c r="AA355" s="20">
        <f t="shared" si="173"/>
        <v>0</v>
      </c>
      <c r="AC355" s="3">
        <f t="shared" ref="AC355:AC421" si="176">IF(AND(AS355&gt;=$V$2,AS355&lt;=$AA$2),LOOKUP(AS355,$V$2:$AA$2,$V355:$AA355),IF(AS354="A",0,IF(AC354=$H355,0,IF(AC354=0,0,AC354+1))))</f>
        <v>54</v>
      </c>
      <c r="AD355" s="3">
        <f t="shared" ref="AD355:AD421" si="177">IF(AND(AT355&gt;=$V$2,AT355&lt;=$AA$2),LOOKUP(AT355,$V$2:$AA$2,$V355:$AA355),IF(AT354="A",0,IF(AD354=$H355,0,IF(AD354=0,0,AD354+1))))</f>
        <v>49</v>
      </c>
      <c r="AE355" s="3">
        <f t="shared" ref="AE355:AE421" si="178">IF(AND(AU355&gt;=$V$2,AU355&lt;=$AA$2),LOOKUP(AU355,$V$2:$AA$2,$V355:$AA355),IF(AU354="A",0,IF(AE354=$H355,0,IF(AE354=0,0,AE354+1))))</f>
        <v>44</v>
      </c>
      <c r="AF355" s="3">
        <f t="shared" ref="AF355:AF421" si="179">IF(AND(AV355&gt;=$V$2,AV355&lt;=$AA$2),LOOKUP(AV355,$V$2:$AA$2,$V355:$AA355),IF(AV354="A",0,IF(AF354=$H355,0,IF(AF354=0,0,AF354+1))))</f>
        <v>38</v>
      </c>
      <c r="AG355" s="3">
        <f t="shared" ref="AG355:AG421" si="180">IF(AND(AW355&gt;=$V$2,AW355&lt;=$AA$2),LOOKUP(AW355,$V$2:$AA$2,$V355:$AA355),IF(AW354="A",0,IF(AG354=$H355,0,IF(AG354=0,0,AG354+1))))</f>
        <v>33</v>
      </c>
      <c r="AH355" s="3">
        <f t="shared" ref="AH355:AH421" si="181">IF(AND(AX355&gt;=$V$2,AX355&lt;=$AA$2),LOOKUP(AX355,$V$2:$AA$2,$V355:$AA355),IF(AX354="A",0,IF(AH354=$H355,0,IF(AH354=0,0,AH354+1))))</f>
        <v>28</v>
      </c>
      <c r="AI355" s="3">
        <f t="shared" ref="AI355:AI421" si="182">IF(AND(AY355&gt;=$V$2,AY355&lt;=$AA$2),LOOKUP(AY355,$V$2:$AA$2,$V355:$AA355),IF(AY354="A",0,IF(AI354=$H355,0,IF(AI354=0,0,AI354+1))))</f>
        <v>23</v>
      </c>
      <c r="AJ355" s="3">
        <f t="shared" ref="AJ355:AJ421" si="183">IF(AND(AZ355&gt;=$V$2,AZ355&lt;=$AA$2),LOOKUP(AZ355,$V$2:$AA$2,$V355:$AA355),IF(AZ354="A",0,IF(AJ354=$H355,0,IF(AJ354=0,0,AJ354+1))))</f>
        <v>17</v>
      </c>
      <c r="AK355" s="3">
        <f t="shared" ref="AK355:AK421" si="184">IF(AND(BA355&gt;=$V$2,BA355&lt;=$AA$2),LOOKUP(BA355,$V$2:$AA$2,$V355:$AA355),IF(BA354="A",0,IF(AK354=$H355,0,IF(AK354=0,0,AK354+1))))</f>
        <v>0</v>
      </c>
      <c r="AL355" s="3">
        <f t="shared" ref="AL355:AL421" si="185">IF(AND(BB355&gt;=$V$2,BB355&lt;=$AA$2),LOOKUP(BB355,$V$2:$AA$2,$V355:$AA355),IF(BB354="A",0,IF(AL354=$H355,0,IF(AL354=0,0,AL354+1))))</f>
        <v>91</v>
      </c>
      <c r="AM355" s="3">
        <f t="shared" ref="AM355:AM421" si="186">IF(AND(BC355&gt;=$V$2,BC355&lt;=$AA$2),LOOKUP(BC355,$V$2:$AA$2,$V355:$AA355),IF(BC354="A",0,IF(AM354=$H355,0,IF(AM354=0,0,AM354+1))))</f>
        <v>86</v>
      </c>
      <c r="AN355" s="3">
        <f t="shared" ref="AN355:AN421" si="187">IF(AND(BD355&gt;=$V$2,BD355&lt;=$AA$2),LOOKUP(BD355,$V$2:$AA$2,$V355:$AA355),IF(BD354="A",0,IF(AN354=$H355,0,IF(AN354=0,0,AN354+1))))</f>
        <v>80</v>
      </c>
      <c r="AO355" s="3">
        <f t="shared" ref="AO355:AO421" si="188">IF(AND(BE355&gt;=$V$2,BE355&lt;=$AA$2),LOOKUP(BE355,$V$2:$AA$2,$V355:$AA355),IF(BE354="A",0,IF(AO354=$H355,0,IF(AO354=0,0,AO354+1))))</f>
        <v>75</v>
      </c>
      <c r="AP355" s="3">
        <f t="shared" ref="AP355:AP421" si="189">IF(AND(BF355&gt;=$V$2,BF355&lt;=$AA$2),LOOKUP(BF355,$V$2:$AA$2,$V355:$AA355),IF(BF354="A",0,IF(AP354=$H355,0,IF(AP354=0,0,AP354+1))))</f>
        <v>70</v>
      </c>
      <c r="AQ355" s="3">
        <f t="shared" ref="AQ355:AQ421" si="190">IF(AND(BG355&gt;=$V$2,BG355&lt;=$AA$2),LOOKUP(BG355,$V$2:$AA$2,$V355:$AA355),IF(BG354="A",0,IF(AQ354=$H355,0,IF(AQ354=0,0,AQ354+1))))</f>
        <v>65</v>
      </c>
      <c r="AR355" s="3">
        <f t="shared" ref="AR355:AR421" si="191">IF(AND(BH355&gt;=$V$2,BH355&lt;=$AA$2),LOOKUP(BH355,$V$2:$AA$2,$V355:$AA355),IF(BH354="A",0,IF(AR354=$H355,0,IF(AR354=0,0,AR354+1))))</f>
        <v>59</v>
      </c>
      <c r="AS355" s="8"/>
      <c r="AT355" s="8"/>
      <c r="AU355" s="8"/>
      <c r="AV355" s="8"/>
      <c r="AW355" s="8"/>
      <c r="AX355" s="8"/>
      <c r="AY355" s="8"/>
      <c r="AZ355" s="8">
        <v>4</v>
      </c>
      <c r="BA355" s="8"/>
      <c r="BB355" s="8"/>
      <c r="BC355" s="8"/>
      <c r="BD355" s="8"/>
      <c r="BE355" s="8"/>
      <c r="BF355" s="8"/>
      <c r="BG355" s="8"/>
      <c r="BH355" s="8"/>
      <c r="BM355" s="35" t="s">
        <v>12</v>
      </c>
      <c r="BO355" s="35"/>
      <c r="BR355" s="9" t="str">
        <f t="shared" si="166"/>
        <v/>
      </c>
      <c r="BS355" s="37" t="str">
        <f t="shared" si="167"/>
        <v/>
      </c>
      <c r="BT355" s="38" t="str">
        <f t="shared" si="164"/>
        <v/>
      </c>
      <c r="BU355" s="36" t="str">
        <f t="shared" si="168"/>
        <v/>
      </c>
    </row>
    <row r="356" spans="2:73" ht="15">
      <c r="B356" s="16">
        <f t="shared" si="169"/>
        <v>45565</v>
      </c>
      <c r="C356" s="15" t="s">
        <v>1</v>
      </c>
      <c r="D356" s="17">
        <f t="shared" si="170"/>
        <v>45571</v>
      </c>
      <c r="E356" s="18">
        <f t="shared" si="171"/>
        <v>9</v>
      </c>
      <c r="F356" s="19">
        <f t="shared" si="172"/>
        <v>2024</v>
      </c>
      <c r="G356" s="9">
        <f t="shared" si="175"/>
        <v>17</v>
      </c>
      <c r="H356" s="8">
        <f t="shared" si="175"/>
        <v>95</v>
      </c>
      <c r="I356" s="9"/>
      <c r="J356" s="9"/>
      <c r="K356" s="9"/>
      <c r="L356" s="9"/>
      <c r="M356" s="9"/>
      <c r="N356" s="9"/>
      <c r="O356" s="12"/>
      <c r="P356" s="12"/>
      <c r="Q356" s="12"/>
      <c r="R356" s="12"/>
      <c r="S356" s="12"/>
      <c r="T356" s="12"/>
      <c r="V356" s="20">
        <f t="shared" si="173"/>
        <v>3</v>
      </c>
      <c r="W356" s="20">
        <f t="shared" si="173"/>
        <v>8</v>
      </c>
      <c r="X356" s="20">
        <f t="shared" si="173"/>
        <v>13</v>
      </c>
      <c r="Y356" s="20">
        <f t="shared" si="173"/>
        <v>0</v>
      </c>
      <c r="Z356" s="20">
        <f t="shared" si="173"/>
        <v>0</v>
      </c>
      <c r="AA356" s="20">
        <f t="shared" si="173"/>
        <v>0</v>
      </c>
      <c r="AC356" s="3">
        <f t="shared" si="176"/>
        <v>55</v>
      </c>
      <c r="AD356" s="3">
        <f t="shared" si="177"/>
        <v>50</v>
      </c>
      <c r="AE356" s="3">
        <f t="shared" si="178"/>
        <v>45</v>
      </c>
      <c r="AF356" s="3">
        <f t="shared" si="179"/>
        <v>39</v>
      </c>
      <c r="AG356" s="3">
        <f t="shared" si="180"/>
        <v>34</v>
      </c>
      <c r="AH356" s="3">
        <f t="shared" si="181"/>
        <v>29</v>
      </c>
      <c r="AI356" s="3">
        <f t="shared" si="182"/>
        <v>24</v>
      </c>
      <c r="AJ356" s="3">
        <f t="shared" si="183"/>
        <v>18</v>
      </c>
      <c r="AK356" s="3">
        <f t="shared" si="184"/>
        <v>0</v>
      </c>
      <c r="AL356" s="3">
        <f t="shared" si="185"/>
        <v>92</v>
      </c>
      <c r="AM356" s="3">
        <f t="shared" si="186"/>
        <v>87</v>
      </c>
      <c r="AN356" s="3">
        <f t="shared" si="187"/>
        <v>81</v>
      </c>
      <c r="AO356" s="3">
        <f t="shared" si="188"/>
        <v>76</v>
      </c>
      <c r="AP356" s="3">
        <f t="shared" si="189"/>
        <v>71</v>
      </c>
      <c r="AQ356" s="3">
        <f t="shared" si="190"/>
        <v>66</v>
      </c>
      <c r="AR356" s="3">
        <f t="shared" si="191"/>
        <v>60</v>
      </c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M356" s="35" t="s">
        <v>12</v>
      </c>
      <c r="BO356" s="35"/>
      <c r="BR356" s="9" t="str">
        <f t="shared" si="166"/>
        <v/>
      </c>
      <c r="BS356" s="37" t="str">
        <f t="shared" si="167"/>
        <v/>
      </c>
      <c r="BT356" s="38" t="str">
        <f t="shared" si="164"/>
        <v/>
      </c>
      <c r="BU356" s="36" t="str">
        <f t="shared" si="168"/>
        <v/>
      </c>
    </row>
    <row r="357" spans="2:73" ht="15">
      <c r="B357" s="16">
        <f t="shared" si="169"/>
        <v>45572</v>
      </c>
      <c r="C357" s="15" t="s">
        <v>1</v>
      </c>
      <c r="D357" s="17">
        <f t="shared" si="170"/>
        <v>45578</v>
      </c>
      <c r="E357" s="18">
        <f t="shared" si="171"/>
        <v>10</v>
      </c>
      <c r="F357" s="19">
        <f t="shared" si="172"/>
        <v>2024</v>
      </c>
      <c r="G357" s="9">
        <f t="shared" si="175"/>
        <v>17</v>
      </c>
      <c r="H357" s="8">
        <f t="shared" si="175"/>
        <v>95</v>
      </c>
      <c r="I357" s="9"/>
      <c r="J357" s="9"/>
      <c r="K357" s="9"/>
      <c r="L357" s="9"/>
      <c r="M357" s="9"/>
      <c r="N357" s="9"/>
      <c r="O357" s="12"/>
      <c r="P357" s="12"/>
      <c r="Q357" s="12"/>
      <c r="R357" s="12"/>
      <c r="S357" s="12"/>
      <c r="T357" s="12"/>
      <c r="V357" s="20">
        <f t="shared" si="173"/>
        <v>4</v>
      </c>
      <c r="W357" s="20">
        <f t="shared" si="173"/>
        <v>9</v>
      </c>
      <c r="X357" s="20">
        <f t="shared" si="173"/>
        <v>14</v>
      </c>
      <c r="Y357" s="20">
        <f t="shared" si="173"/>
        <v>0</v>
      </c>
      <c r="Z357" s="20">
        <f t="shared" si="173"/>
        <v>0</v>
      </c>
      <c r="AA357" s="20">
        <f t="shared" si="173"/>
        <v>0</v>
      </c>
      <c r="AC357" s="3">
        <f t="shared" si="176"/>
        <v>56</v>
      </c>
      <c r="AD357" s="3">
        <f t="shared" si="177"/>
        <v>51</v>
      </c>
      <c r="AE357" s="3">
        <f t="shared" si="178"/>
        <v>46</v>
      </c>
      <c r="AF357" s="3">
        <f t="shared" si="179"/>
        <v>40</v>
      </c>
      <c r="AG357" s="3">
        <f t="shared" si="180"/>
        <v>35</v>
      </c>
      <c r="AH357" s="3">
        <f t="shared" si="181"/>
        <v>30</v>
      </c>
      <c r="AI357" s="3">
        <f t="shared" si="182"/>
        <v>25</v>
      </c>
      <c r="AJ357" s="3">
        <f t="shared" si="183"/>
        <v>19</v>
      </c>
      <c r="AK357" s="3">
        <f t="shared" si="184"/>
        <v>0</v>
      </c>
      <c r="AL357" s="3">
        <f t="shared" si="185"/>
        <v>93</v>
      </c>
      <c r="AM357" s="3">
        <f t="shared" si="186"/>
        <v>88</v>
      </c>
      <c r="AN357" s="3">
        <f t="shared" si="187"/>
        <v>82</v>
      </c>
      <c r="AO357" s="3">
        <f t="shared" si="188"/>
        <v>77</v>
      </c>
      <c r="AP357" s="3">
        <f t="shared" si="189"/>
        <v>72</v>
      </c>
      <c r="AQ357" s="3">
        <f t="shared" si="190"/>
        <v>67</v>
      </c>
      <c r="AR357" s="3">
        <f t="shared" si="191"/>
        <v>61</v>
      </c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M357" s="35" t="s">
        <v>12</v>
      </c>
      <c r="BO357" s="35"/>
      <c r="BR357" s="9" t="str">
        <f t="shared" si="166"/>
        <v/>
      </c>
      <c r="BS357" s="37" t="str">
        <f t="shared" si="167"/>
        <v/>
      </c>
      <c r="BT357" s="38" t="str">
        <f t="shared" si="164"/>
        <v/>
      </c>
      <c r="BU357" s="36" t="str">
        <f t="shared" si="168"/>
        <v/>
      </c>
    </row>
    <row r="358" spans="2:73" ht="15">
      <c r="B358" s="16">
        <f t="shared" si="169"/>
        <v>45579</v>
      </c>
      <c r="C358" s="15" t="s">
        <v>1</v>
      </c>
      <c r="D358" s="17">
        <f t="shared" si="170"/>
        <v>45585</v>
      </c>
      <c r="E358" s="18">
        <f t="shared" si="171"/>
        <v>10</v>
      </c>
      <c r="F358" s="19">
        <f t="shared" si="172"/>
        <v>2024</v>
      </c>
      <c r="G358" s="9">
        <f t="shared" ref="G358:H373" si="192">G357</f>
        <v>17</v>
      </c>
      <c r="H358" s="8">
        <f t="shared" si="192"/>
        <v>95</v>
      </c>
      <c r="I358" s="9"/>
      <c r="J358" s="9"/>
      <c r="K358" s="9"/>
      <c r="L358" s="9"/>
      <c r="M358" s="9"/>
      <c r="N358" s="9"/>
      <c r="O358" s="12"/>
      <c r="P358" s="12"/>
      <c r="Q358" s="12"/>
      <c r="R358" s="12"/>
      <c r="S358" s="12"/>
      <c r="T358" s="12"/>
      <c r="V358" s="20">
        <f t="shared" si="173"/>
        <v>5</v>
      </c>
      <c r="W358" s="20">
        <f t="shared" si="173"/>
        <v>10</v>
      </c>
      <c r="X358" s="20">
        <f t="shared" si="173"/>
        <v>15</v>
      </c>
      <c r="Y358" s="20">
        <f t="shared" si="173"/>
        <v>0</v>
      </c>
      <c r="Z358" s="20">
        <f t="shared" si="173"/>
        <v>0</v>
      </c>
      <c r="AA358" s="20">
        <f t="shared" si="173"/>
        <v>0</v>
      </c>
      <c r="AC358" s="3">
        <f t="shared" si="176"/>
        <v>57</v>
      </c>
      <c r="AD358" s="3">
        <f t="shared" si="177"/>
        <v>52</v>
      </c>
      <c r="AE358" s="3">
        <f t="shared" si="178"/>
        <v>47</v>
      </c>
      <c r="AF358" s="3">
        <f t="shared" si="179"/>
        <v>41</v>
      </c>
      <c r="AG358" s="3">
        <f t="shared" si="180"/>
        <v>36</v>
      </c>
      <c r="AH358" s="3">
        <f t="shared" si="181"/>
        <v>31</v>
      </c>
      <c r="AI358" s="3">
        <f t="shared" si="182"/>
        <v>26</v>
      </c>
      <c r="AJ358" s="3">
        <f t="shared" si="183"/>
        <v>20</v>
      </c>
      <c r="AK358" s="3">
        <f t="shared" si="184"/>
        <v>0</v>
      </c>
      <c r="AL358" s="3">
        <f t="shared" si="185"/>
        <v>94</v>
      </c>
      <c r="AM358" s="3">
        <f t="shared" si="186"/>
        <v>89</v>
      </c>
      <c r="AN358" s="3">
        <f t="shared" si="187"/>
        <v>83</v>
      </c>
      <c r="AO358" s="3">
        <f t="shared" si="188"/>
        <v>78</v>
      </c>
      <c r="AP358" s="3">
        <f t="shared" si="189"/>
        <v>73</v>
      </c>
      <c r="AQ358" s="3">
        <f t="shared" si="190"/>
        <v>68</v>
      </c>
      <c r="AR358" s="3">
        <f t="shared" si="191"/>
        <v>62</v>
      </c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M358" s="35" t="s">
        <v>12</v>
      </c>
      <c r="BO358" s="35"/>
      <c r="BR358" s="9" t="str">
        <f t="shared" si="166"/>
        <v/>
      </c>
      <c r="BS358" s="37" t="str">
        <f t="shared" si="167"/>
        <v/>
      </c>
      <c r="BT358" s="38" t="str">
        <f t="shared" si="164"/>
        <v/>
      </c>
      <c r="BU358" s="36" t="str">
        <f t="shared" si="168"/>
        <v/>
      </c>
    </row>
    <row r="359" spans="2:73" ht="15">
      <c r="B359" s="16">
        <f t="shared" si="169"/>
        <v>45586</v>
      </c>
      <c r="C359" s="15" t="s">
        <v>1</v>
      </c>
      <c r="D359" s="17">
        <f t="shared" si="170"/>
        <v>45592</v>
      </c>
      <c r="E359" s="18">
        <f t="shared" si="171"/>
        <v>10</v>
      </c>
      <c r="F359" s="19">
        <f t="shared" si="172"/>
        <v>2024</v>
      </c>
      <c r="G359" s="9">
        <f t="shared" si="192"/>
        <v>17</v>
      </c>
      <c r="H359" s="8">
        <f t="shared" si="192"/>
        <v>95</v>
      </c>
      <c r="I359" s="9"/>
      <c r="J359" s="9"/>
      <c r="K359" s="9"/>
      <c r="L359" s="9"/>
      <c r="M359" s="9"/>
      <c r="N359" s="9"/>
      <c r="O359" s="12"/>
      <c r="P359" s="12"/>
      <c r="Q359" s="12"/>
      <c r="R359" s="12">
        <v>1</v>
      </c>
      <c r="S359" s="12"/>
      <c r="T359" s="12"/>
      <c r="V359" s="20">
        <f t="shared" si="173"/>
        <v>6</v>
      </c>
      <c r="W359" s="20">
        <f t="shared" si="173"/>
        <v>11</v>
      </c>
      <c r="X359" s="20">
        <f t="shared" si="173"/>
        <v>16</v>
      </c>
      <c r="Y359" s="20">
        <f t="shared" si="173"/>
        <v>45588</v>
      </c>
      <c r="Z359" s="20">
        <f t="shared" si="173"/>
        <v>0</v>
      </c>
      <c r="AA359" s="20">
        <f t="shared" si="173"/>
        <v>0</v>
      </c>
      <c r="AC359" s="3">
        <f t="shared" si="176"/>
        <v>58</v>
      </c>
      <c r="AD359" s="3">
        <f t="shared" si="177"/>
        <v>53</v>
      </c>
      <c r="AE359" s="3">
        <f t="shared" si="178"/>
        <v>48</v>
      </c>
      <c r="AF359" s="3">
        <f t="shared" si="179"/>
        <v>42</v>
      </c>
      <c r="AG359" s="3">
        <f t="shared" si="180"/>
        <v>37</v>
      </c>
      <c r="AH359" s="3">
        <f t="shared" si="181"/>
        <v>32</v>
      </c>
      <c r="AI359" s="3">
        <f t="shared" si="182"/>
        <v>27</v>
      </c>
      <c r="AJ359" s="3">
        <f t="shared" si="183"/>
        <v>21</v>
      </c>
      <c r="AK359" s="3">
        <f t="shared" si="184"/>
        <v>0</v>
      </c>
      <c r="AL359" s="3">
        <f t="shared" si="185"/>
        <v>95</v>
      </c>
      <c r="AM359" s="3">
        <f t="shared" si="186"/>
        <v>90</v>
      </c>
      <c r="AN359" s="3">
        <f t="shared" si="187"/>
        <v>84</v>
      </c>
      <c r="AO359" s="3">
        <f t="shared" si="188"/>
        <v>79</v>
      </c>
      <c r="AP359" s="3">
        <f t="shared" si="189"/>
        <v>74</v>
      </c>
      <c r="AQ359" s="3">
        <f t="shared" si="190"/>
        <v>69</v>
      </c>
      <c r="AR359" s="3">
        <f t="shared" si="191"/>
        <v>63</v>
      </c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M359" s="35" t="s">
        <v>12</v>
      </c>
      <c r="BO359" s="35"/>
      <c r="BR359" s="9">
        <f t="shared" si="166"/>
        <v>4</v>
      </c>
      <c r="BS359" s="37">
        <f t="shared" si="167"/>
        <v>45588</v>
      </c>
      <c r="BT359" s="38">
        <f t="shared" si="164"/>
        <v>45707</v>
      </c>
      <c r="BU359" s="36">
        <f t="shared" si="168"/>
        <v>5</v>
      </c>
    </row>
    <row r="360" spans="2:73" ht="15">
      <c r="B360" s="16">
        <f t="shared" si="169"/>
        <v>45593</v>
      </c>
      <c r="C360" s="15" t="s">
        <v>1</v>
      </c>
      <c r="D360" s="17">
        <f t="shared" si="170"/>
        <v>45599</v>
      </c>
      <c r="E360" s="18">
        <f t="shared" si="171"/>
        <v>10</v>
      </c>
      <c r="F360" s="19">
        <f t="shared" si="172"/>
        <v>2024</v>
      </c>
      <c r="G360" s="9">
        <f t="shared" si="192"/>
        <v>17</v>
      </c>
      <c r="H360" s="8">
        <f t="shared" si="192"/>
        <v>95</v>
      </c>
      <c r="I360" s="9"/>
      <c r="J360" s="9"/>
      <c r="K360" s="9"/>
      <c r="L360" s="9"/>
      <c r="M360" s="9"/>
      <c r="N360" s="9"/>
      <c r="O360" s="12"/>
      <c r="P360" s="12"/>
      <c r="Q360" s="12"/>
      <c r="R360" s="12"/>
      <c r="S360" s="12"/>
      <c r="T360" s="12"/>
      <c r="V360" s="20">
        <f t="shared" si="173"/>
        <v>7</v>
      </c>
      <c r="W360" s="20">
        <f t="shared" si="173"/>
        <v>12</v>
      </c>
      <c r="X360" s="20">
        <f t="shared" si="173"/>
        <v>17</v>
      </c>
      <c r="Y360" s="20">
        <f t="shared" si="173"/>
        <v>1</v>
      </c>
      <c r="Z360" s="20">
        <f t="shared" si="173"/>
        <v>0</v>
      </c>
      <c r="AA360" s="20">
        <f t="shared" si="173"/>
        <v>0</v>
      </c>
      <c r="AC360" s="3">
        <f t="shared" si="176"/>
        <v>59</v>
      </c>
      <c r="AD360" s="3">
        <f t="shared" si="177"/>
        <v>54</v>
      </c>
      <c r="AE360" s="3">
        <f t="shared" si="178"/>
        <v>49</v>
      </c>
      <c r="AF360" s="3">
        <f t="shared" si="179"/>
        <v>43</v>
      </c>
      <c r="AG360" s="3">
        <f t="shared" si="180"/>
        <v>38</v>
      </c>
      <c r="AH360" s="3">
        <f t="shared" si="181"/>
        <v>33</v>
      </c>
      <c r="AI360" s="3">
        <f t="shared" si="182"/>
        <v>28</v>
      </c>
      <c r="AJ360" s="3">
        <f t="shared" si="183"/>
        <v>22</v>
      </c>
      <c r="AK360" s="3">
        <f t="shared" si="184"/>
        <v>17</v>
      </c>
      <c r="AL360" s="3">
        <f t="shared" si="185"/>
        <v>0</v>
      </c>
      <c r="AM360" s="3">
        <f t="shared" si="186"/>
        <v>91</v>
      </c>
      <c r="AN360" s="3">
        <f t="shared" si="187"/>
        <v>85</v>
      </c>
      <c r="AO360" s="3">
        <f t="shared" si="188"/>
        <v>80</v>
      </c>
      <c r="AP360" s="3">
        <f t="shared" si="189"/>
        <v>75</v>
      </c>
      <c r="AQ360" s="3">
        <f t="shared" si="190"/>
        <v>70</v>
      </c>
      <c r="AR360" s="3">
        <f t="shared" si="191"/>
        <v>64</v>
      </c>
      <c r="AS360" s="8"/>
      <c r="AT360" s="8"/>
      <c r="AU360" s="8"/>
      <c r="AV360" s="8"/>
      <c r="AW360" s="8"/>
      <c r="AX360" s="8"/>
      <c r="AY360" s="8"/>
      <c r="AZ360" s="8"/>
      <c r="BA360" s="8">
        <v>3</v>
      </c>
      <c r="BB360" s="8"/>
      <c r="BC360" s="8"/>
      <c r="BD360" s="8"/>
      <c r="BE360" s="8"/>
      <c r="BF360" s="8"/>
      <c r="BG360" s="8"/>
      <c r="BH360" s="8"/>
      <c r="BM360" s="35" t="s">
        <v>12</v>
      </c>
      <c r="BO360" s="35"/>
      <c r="BR360" s="9" t="str">
        <f t="shared" si="166"/>
        <v/>
      </c>
      <c r="BS360" s="37" t="str">
        <f t="shared" si="167"/>
        <v/>
      </c>
      <c r="BT360" s="38" t="str">
        <f t="shared" si="164"/>
        <v/>
      </c>
      <c r="BU360" s="36" t="str">
        <f t="shared" si="168"/>
        <v/>
      </c>
    </row>
    <row r="361" spans="2:73" ht="15">
      <c r="B361" s="16">
        <f t="shared" si="169"/>
        <v>45600</v>
      </c>
      <c r="C361" s="15" t="s">
        <v>1</v>
      </c>
      <c r="D361" s="17">
        <f t="shared" si="170"/>
        <v>45606</v>
      </c>
      <c r="E361" s="18">
        <f t="shared" si="171"/>
        <v>11</v>
      </c>
      <c r="F361" s="19">
        <f t="shared" si="172"/>
        <v>2024</v>
      </c>
      <c r="G361" s="9">
        <f t="shared" si="192"/>
        <v>17</v>
      </c>
      <c r="H361" s="8">
        <f t="shared" si="192"/>
        <v>95</v>
      </c>
      <c r="I361" s="9"/>
      <c r="J361" s="9"/>
      <c r="K361" s="9"/>
      <c r="L361" s="9"/>
      <c r="M361" s="9"/>
      <c r="N361" s="9"/>
      <c r="O361" s="12"/>
      <c r="P361" s="12"/>
      <c r="Q361" s="12"/>
      <c r="R361" s="12"/>
      <c r="S361" s="12"/>
      <c r="T361" s="12"/>
      <c r="V361" s="20">
        <f t="shared" si="173"/>
        <v>8</v>
      </c>
      <c r="W361" s="20">
        <f t="shared" si="173"/>
        <v>13</v>
      </c>
      <c r="X361" s="20">
        <f t="shared" si="173"/>
        <v>0</v>
      </c>
      <c r="Y361" s="20">
        <f t="shared" si="173"/>
        <v>2</v>
      </c>
      <c r="Z361" s="20">
        <f t="shared" si="173"/>
        <v>0</v>
      </c>
      <c r="AA361" s="20">
        <f t="shared" si="173"/>
        <v>0</v>
      </c>
      <c r="AC361" s="3">
        <f t="shared" si="176"/>
        <v>60</v>
      </c>
      <c r="AD361" s="3">
        <f t="shared" si="177"/>
        <v>55</v>
      </c>
      <c r="AE361" s="3">
        <f t="shared" si="178"/>
        <v>50</v>
      </c>
      <c r="AF361" s="3">
        <f t="shared" si="179"/>
        <v>44</v>
      </c>
      <c r="AG361" s="3">
        <f t="shared" si="180"/>
        <v>39</v>
      </c>
      <c r="AH361" s="3">
        <f t="shared" si="181"/>
        <v>34</v>
      </c>
      <c r="AI361" s="3">
        <f t="shared" si="182"/>
        <v>29</v>
      </c>
      <c r="AJ361" s="3">
        <f t="shared" si="183"/>
        <v>23</v>
      </c>
      <c r="AK361" s="3">
        <f t="shared" si="184"/>
        <v>18</v>
      </c>
      <c r="AL361" s="3">
        <f t="shared" si="185"/>
        <v>0</v>
      </c>
      <c r="AM361" s="3">
        <f t="shared" si="186"/>
        <v>92</v>
      </c>
      <c r="AN361" s="3">
        <f t="shared" si="187"/>
        <v>86</v>
      </c>
      <c r="AO361" s="3">
        <f t="shared" si="188"/>
        <v>81</v>
      </c>
      <c r="AP361" s="3">
        <f t="shared" si="189"/>
        <v>76</v>
      </c>
      <c r="AQ361" s="3">
        <f t="shared" si="190"/>
        <v>71</v>
      </c>
      <c r="AR361" s="3">
        <f t="shared" si="191"/>
        <v>65</v>
      </c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M361" s="35" t="s">
        <v>12</v>
      </c>
      <c r="BO361" s="35"/>
      <c r="BR361" s="9" t="str">
        <f t="shared" si="166"/>
        <v/>
      </c>
      <c r="BS361" s="37" t="str">
        <f t="shared" si="167"/>
        <v/>
      </c>
      <c r="BT361" s="38" t="str">
        <f t="shared" si="164"/>
        <v/>
      </c>
      <c r="BU361" s="36" t="str">
        <f t="shared" si="168"/>
        <v/>
      </c>
    </row>
    <row r="362" spans="2:73" ht="15">
      <c r="B362" s="16">
        <f t="shared" si="169"/>
        <v>45607</v>
      </c>
      <c r="C362" s="15" t="s">
        <v>1</v>
      </c>
      <c r="D362" s="17">
        <f t="shared" si="170"/>
        <v>45613</v>
      </c>
      <c r="E362" s="18">
        <f t="shared" si="171"/>
        <v>11</v>
      </c>
      <c r="F362" s="19">
        <f t="shared" si="172"/>
        <v>2024</v>
      </c>
      <c r="G362" s="9">
        <f t="shared" si="192"/>
        <v>17</v>
      </c>
      <c r="H362" s="8">
        <f t="shared" si="192"/>
        <v>95</v>
      </c>
      <c r="I362" s="9"/>
      <c r="J362" s="9"/>
      <c r="K362" s="9"/>
      <c r="L362" s="9"/>
      <c r="M362" s="9"/>
      <c r="N362" s="9"/>
      <c r="O362" s="12"/>
      <c r="P362" s="12"/>
      <c r="Q362" s="12"/>
      <c r="R362" s="12"/>
      <c r="S362" s="12"/>
      <c r="T362" s="12"/>
      <c r="V362" s="20">
        <f t="shared" si="173"/>
        <v>9</v>
      </c>
      <c r="W362" s="20">
        <f t="shared" si="173"/>
        <v>14</v>
      </c>
      <c r="X362" s="20">
        <f t="shared" si="173"/>
        <v>0</v>
      </c>
      <c r="Y362" s="20">
        <f t="shared" si="173"/>
        <v>3</v>
      </c>
      <c r="Z362" s="20">
        <f t="shared" si="173"/>
        <v>0</v>
      </c>
      <c r="AA362" s="20">
        <f t="shared" si="173"/>
        <v>0</v>
      </c>
      <c r="AC362" s="3">
        <f t="shared" si="176"/>
        <v>61</v>
      </c>
      <c r="AD362" s="3">
        <f t="shared" si="177"/>
        <v>56</v>
      </c>
      <c r="AE362" s="3">
        <f t="shared" si="178"/>
        <v>51</v>
      </c>
      <c r="AF362" s="3">
        <f t="shared" si="179"/>
        <v>45</v>
      </c>
      <c r="AG362" s="3">
        <f t="shared" si="180"/>
        <v>40</v>
      </c>
      <c r="AH362" s="3">
        <f t="shared" si="181"/>
        <v>35</v>
      </c>
      <c r="AI362" s="3">
        <f t="shared" si="182"/>
        <v>30</v>
      </c>
      <c r="AJ362" s="3">
        <f t="shared" si="183"/>
        <v>24</v>
      </c>
      <c r="AK362" s="3">
        <f t="shared" si="184"/>
        <v>19</v>
      </c>
      <c r="AL362" s="3">
        <f t="shared" si="185"/>
        <v>0</v>
      </c>
      <c r="AM362" s="3">
        <f t="shared" si="186"/>
        <v>93</v>
      </c>
      <c r="AN362" s="3">
        <f t="shared" si="187"/>
        <v>87</v>
      </c>
      <c r="AO362" s="3">
        <f t="shared" si="188"/>
        <v>82</v>
      </c>
      <c r="AP362" s="3">
        <f t="shared" si="189"/>
        <v>77</v>
      </c>
      <c r="AQ362" s="3">
        <f t="shared" si="190"/>
        <v>72</v>
      </c>
      <c r="AR362" s="3">
        <f t="shared" si="191"/>
        <v>66</v>
      </c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M362" s="35" t="s">
        <v>12</v>
      </c>
      <c r="BO362" s="35"/>
      <c r="BR362" s="9" t="str">
        <f t="shared" si="166"/>
        <v/>
      </c>
      <c r="BS362" s="37" t="str">
        <f t="shared" si="167"/>
        <v/>
      </c>
      <c r="BT362" s="38" t="str">
        <f t="shared" ref="BT362:BT421" si="193">IF(BS362="","",BS362+(17*7))</f>
        <v/>
      </c>
      <c r="BU362" s="36" t="str">
        <f t="shared" si="168"/>
        <v/>
      </c>
    </row>
    <row r="363" spans="2:73" ht="15">
      <c r="B363" s="16">
        <f t="shared" si="169"/>
        <v>45614</v>
      </c>
      <c r="C363" s="15" t="s">
        <v>1</v>
      </c>
      <c r="D363" s="17">
        <f t="shared" si="170"/>
        <v>45620</v>
      </c>
      <c r="E363" s="18">
        <f t="shared" si="171"/>
        <v>11</v>
      </c>
      <c r="F363" s="19">
        <f t="shared" si="172"/>
        <v>2024</v>
      </c>
      <c r="G363" s="9">
        <f t="shared" si="192"/>
        <v>17</v>
      </c>
      <c r="H363" s="8">
        <f t="shared" si="192"/>
        <v>95</v>
      </c>
      <c r="I363" s="9"/>
      <c r="J363" s="9"/>
      <c r="K363" s="9"/>
      <c r="L363" s="9"/>
      <c r="M363" s="9"/>
      <c r="N363" s="9"/>
      <c r="O363" s="12"/>
      <c r="P363" s="12"/>
      <c r="Q363" s="12"/>
      <c r="R363" s="12"/>
      <c r="S363" s="12"/>
      <c r="T363" s="12"/>
      <c r="V363" s="20">
        <f t="shared" si="173"/>
        <v>10</v>
      </c>
      <c r="W363" s="20">
        <f t="shared" si="173"/>
        <v>15</v>
      </c>
      <c r="X363" s="20">
        <f t="shared" si="173"/>
        <v>0</v>
      </c>
      <c r="Y363" s="20">
        <f t="shared" si="173"/>
        <v>4</v>
      </c>
      <c r="Z363" s="20">
        <f t="shared" si="173"/>
        <v>0</v>
      </c>
      <c r="AA363" s="20">
        <f t="shared" si="173"/>
        <v>0</v>
      </c>
      <c r="AC363" s="3">
        <f t="shared" si="176"/>
        <v>62</v>
      </c>
      <c r="AD363" s="3">
        <f t="shared" si="177"/>
        <v>57</v>
      </c>
      <c r="AE363" s="3">
        <f t="shared" si="178"/>
        <v>52</v>
      </c>
      <c r="AF363" s="3">
        <f t="shared" si="179"/>
        <v>46</v>
      </c>
      <c r="AG363" s="3">
        <f t="shared" si="180"/>
        <v>41</v>
      </c>
      <c r="AH363" s="3">
        <f t="shared" si="181"/>
        <v>36</v>
      </c>
      <c r="AI363" s="3">
        <f t="shared" si="182"/>
        <v>31</v>
      </c>
      <c r="AJ363" s="3">
        <f t="shared" si="183"/>
        <v>25</v>
      </c>
      <c r="AK363" s="3">
        <f t="shared" si="184"/>
        <v>20</v>
      </c>
      <c r="AL363" s="3">
        <f t="shared" si="185"/>
        <v>0</v>
      </c>
      <c r="AM363" s="3">
        <f t="shared" si="186"/>
        <v>94</v>
      </c>
      <c r="AN363" s="3">
        <f t="shared" si="187"/>
        <v>88</v>
      </c>
      <c r="AO363" s="3">
        <f t="shared" si="188"/>
        <v>83</v>
      </c>
      <c r="AP363" s="3">
        <f t="shared" si="189"/>
        <v>78</v>
      </c>
      <c r="AQ363" s="3">
        <f t="shared" si="190"/>
        <v>73</v>
      </c>
      <c r="AR363" s="3">
        <f t="shared" si="191"/>
        <v>67</v>
      </c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M363" s="35" t="s">
        <v>12</v>
      </c>
      <c r="BO363" s="35"/>
      <c r="BR363" s="9" t="str">
        <f t="shared" si="166"/>
        <v/>
      </c>
      <c r="BS363" s="37" t="str">
        <f t="shared" si="167"/>
        <v/>
      </c>
      <c r="BT363" s="38" t="str">
        <f t="shared" si="193"/>
        <v/>
      </c>
      <c r="BU363" s="36" t="str">
        <f t="shared" si="168"/>
        <v/>
      </c>
    </row>
    <row r="364" spans="2:73" ht="15">
      <c r="B364" s="16">
        <f t="shared" si="169"/>
        <v>45621</v>
      </c>
      <c r="C364" s="15" t="s">
        <v>1</v>
      </c>
      <c r="D364" s="17">
        <f t="shared" si="170"/>
        <v>45627</v>
      </c>
      <c r="E364" s="18">
        <f t="shared" si="171"/>
        <v>11</v>
      </c>
      <c r="F364" s="19">
        <f t="shared" si="172"/>
        <v>2024</v>
      </c>
      <c r="G364" s="9">
        <f t="shared" si="192"/>
        <v>17</v>
      </c>
      <c r="H364" s="8">
        <f t="shared" si="192"/>
        <v>95</v>
      </c>
      <c r="I364" s="9"/>
      <c r="J364" s="9"/>
      <c r="K364" s="9"/>
      <c r="L364" s="9"/>
      <c r="M364" s="9"/>
      <c r="N364" s="9"/>
      <c r="O364" s="12"/>
      <c r="P364" s="12"/>
      <c r="Q364" s="12">
        <v>1</v>
      </c>
      <c r="R364" s="12"/>
      <c r="S364" s="12"/>
      <c r="T364" s="12"/>
      <c r="V364" s="20">
        <f t="shared" si="173"/>
        <v>11</v>
      </c>
      <c r="W364" s="20">
        <f t="shared" si="173"/>
        <v>16</v>
      </c>
      <c r="X364" s="20">
        <f t="shared" si="173"/>
        <v>45623</v>
      </c>
      <c r="Y364" s="20">
        <f t="shared" si="173"/>
        <v>5</v>
      </c>
      <c r="Z364" s="20">
        <f t="shared" si="173"/>
        <v>0</v>
      </c>
      <c r="AA364" s="20">
        <f t="shared" si="173"/>
        <v>0</v>
      </c>
      <c r="AC364" s="3">
        <f t="shared" si="176"/>
        <v>63</v>
      </c>
      <c r="AD364" s="3">
        <f t="shared" si="177"/>
        <v>58</v>
      </c>
      <c r="AE364" s="3">
        <f t="shared" si="178"/>
        <v>53</v>
      </c>
      <c r="AF364" s="3">
        <f t="shared" si="179"/>
        <v>47</v>
      </c>
      <c r="AG364" s="3">
        <f t="shared" si="180"/>
        <v>42</v>
      </c>
      <c r="AH364" s="3">
        <f t="shared" si="181"/>
        <v>37</v>
      </c>
      <c r="AI364" s="3">
        <f t="shared" si="182"/>
        <v>32</v>
      </c>
      <c r="AJ364" s="3">
        <f t="shared" si="183"/>
        <v>26</v>
      </c>
      <c r="AK364" s="3">
        <f t="shared" si="184"/>
        <v>21</v>
      </c>
      <c r="AL364" s="3">
        <f t="shared" si="185"/>
        <v>0</v>
      </c>
      <c r="AM364" s="3">
        <f t="shared" si="186"/>
        <v>95</v>
      </c>
      <c r="AN364" s="3">
        <f t="shared" si="187"/>
        <v>89</v>
      </c>
      <c r="AO364" s="3">
        <f t="shared" si="188"/>
        <v>84</v>
      </c>
      <c r="AP364" s="3">
        <f t="shared" si="189"/>
        <v>79</v>
      </c>
      <c r="AQ364" s="3">
        <f t="shared" si="190"/>
        <v>74</v>
      </c>
      <c r="AR364" s="3">
        <f t="shared" si="191"/>
        <v>68</v>
      </c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M364" s="35" t="s">
        <v>12</v>
      </c>
      <c r="BO364" s="35"/>
      <c r="BR364" s="9">
        <f t="shared" si="166"/>
        <v>3</v>
      </c>
      <c r="BS364" s="37">
        <f t="shared" si="167"/>
        <v>45623</v>
      </c>
      <c r="BT364" s="38">
        <f t="shared" si="193"/>
        <v>45742</v>
      </c>
      <c r="BU364" s="36">
        <f t="shared" si="168"/>
        <v>15</v>
      </c>
    </row>
    <row r="365" spans="2:73" ht="15">
      <c r="B365" s="16">
        <f t="shared" si="169"/>
        <v>45628</v>
      </c>
      <c r="C365" s="15" t="s">
        <v>1</v>
      </c>
      <c r="D365" s="17">
        <f t="shared" si="170"/>
        <v>45634</v>
      </c>
      <c r="E365" s="18">
        <f t="shared" si="171"/>
        <v>12</v>
      </c>
      <c r="F365" s="19">
        <f t="shared" si="172"/>
        <v>2024</v>
      </c>
      <c r="G365" s="9">
        <f t="shared" si="192"/>
        <v>17</v>
      </c>
      <c r="H365" s="8">
        <f t="shared" si="192"/>
        <v>95</v>
      </c>
      <c r="I365" s="9"/>
      <c r="J365" s="9"/>
      <c r="K365" s="9"/>
      <c r="L365" s="9"/>
      <c r="M365" s="9"/>
      <c r="N365" s="9"/>
      <c r="O365" s="12"/>
      <c r="P365" s="12"/>
      <c r="Q365" s="12"/>
      <c r="R365" s="12"/>
      <c r="S365" s="12"/>
      <c r="T365" s="12"/>
      <c r="V365" s="20">
        <f t="shared" si="173"/>
        <v>12</v>
      </c>
      <c r="W365" s="20">
        <f t="shared" si="173"/>
        <v>17</v>
      </c>
      <c r="X365" s="20">
        <f t="shared" si="173"/>
        <v>1</v>
      </c>
      <c r="Y365" s="20">
        <f t="shared" si="173"/>
        <v>6</v>
      </c>
      <c r="Z365" s="20">
        <f t="shared" si="173"/>
        <v>0</v>
      </c>
      <c r="AA365" s="20">
        <f t="shared" si="173"/>
        <v>0</v>
      </c>
      <c r="AC365" s="3">
        <f t="shared" si="176"/>
        <v>64</v>
      </c>
      <c r="AD365" s="3">
        <f t="shared" si="177"/>
        <v>59</v>
      </c>
      <c r="AE365" s="3">
        <f t="shared" si="178"/>
        <v>54</v>
      </c>
      <c r="AF365" s="3">
        <f t="shared" si="179"/>
        <v>48</v>
      </c>
      <c r="AG365" s="3">
        <f t="shared" si="180"/>
        <v>43</v>
      </c>
      <c r="AH365" s="3">
        <f t="shared" si="181"/>
        <v>38</v>
      </c>
      <c r="AI365" s="3">
        <f t="shared" si="182"/>
        <v>33</v>
      </c>
      <c r="AJ365" s="3">
        <f t="shared" si="183"/>
        <v>27</v>
      </c>
      <c r="AK365" s="3">
        <f t="shared" si="184"/>
        <v>22</v>
      </c>
      <c r="AL365" s="3">
        <f t="shared" si="185"/>
        <v>17</v>
      </c>
      <c r="AM365" s="3">
        <f t="shared" si="186"/>
        <v>0</v>
      </c>
      <c r="AN365" s="3">
        <f t="shared" si="187"/>
        <v>90</v>
      </c>
      <c r="AO365" s="3">
        <f t="shared" si="188"/>
        <v>85</v>
      </c>
      <c r="AP365" s="3">
        <f t="shared" si="189"/>
        <v>80</v>
      </c>
      <c r="AQ365" s="3">
        <f t="shared" si="190"/>
        <v>75</v>
      </c>
      <c r="AR365" s="3">
        <f t="shared" si="191"/>
        <v>69</v>
      </c>
      <c r="AS365" s="8"/>
      <c r="AT365" s="8"/>
      <c r="AU365" s="8"/>
      <c r="AV365" s="8"/>
      <c r="AW365" s="8"/>
      <c r="AX365" s="8"/>
      <c r="AY365" s="8"/>
      <c r="AZ365" s="8"/>
      <c r="BA365" s="8"/>
      <c r="BB365" s="8">
        <v>2</v>
      </c>
      <c r="BC365" s="8"/>
      <c r="BD365" s="8"/>
      <c r="BE365" s="8"/>
      <c r="BF365" s="8"/>
      <c r="BG365" s="8"/>
      <c r="BH365" s="8"/>
      <c r="BM365" s="35" t="s">
        <v>12</v>
      </c>
      <c r="BO365" s="35"/>
      <c r="BR365" s="9" t="str">
        <f t="shared" si="166"/>
        <v/>
      </c>
      <c r="BS365" s="37" t="str">
        <f t="shared" si="167"/>
        <v/>
      </c>
      <c r="BT365" s="38" t="str">
        <f t="shared" si="193"/>
        <v/>
      </c>
      <c r="BU365" s="36" t="str">
        <f t="shared" si="168"/>
        <v/>
      </c>
    </row>
    <row r="366" spans="2:73" ht="15">
      <c r="B366" s="16">
        <f t="shared" si="169"/>
        <v>45635</v>
      </c>
      <c r="C366" s="15" t="s">
        <v>1</v>
      </c>
      <c r="D366" s="17">
        <f t="shared" si="170"/>
        <v>45641</v>
      </c>
      <c r="E366" s="18">
        <f t="shared" si="171"/>
        <v>12</v>
      </c>
      <c r="F366" s="19">
        <f t="shared" si="172"/>
        <v>2024</v>
      </c>
      <c r="G366" s="9">
        <f t="shared" si="192"/>
        <v>17</v>
      </c>
      <c r="H366" s="8">
        <f t="shared" si="192"/>
        <v>95</v>
      </c>
      <c r="I366" s="9"/>
      <c r="J366" s="9"/>
      <c r="K366" s="9"/>
      <c r="L366" s="9"/>
      <c r="M366" s="9"/>
      <c r="N366" s="9"/>
      <c r="O366" s="12"/>
      <c r="P366" s="12"/>
      <c r="Q366" s="12"/>
      <c r="R366" s="12"/>
      <c r="S366" s="12"/>
      <c r="T366" s="12"/>
      <c r="V366" s="20">
        <f t="shared" si="173"/>
        <v>13</v>
      </c>
      <c r="W366" s="20">
        <f t="shared" si="173"/>
        <v>0</v>
      </c>
      <c r="X366" s="20">
        <f t="shared" si="173"/>
        <v>2</v>
      </c>
      <c r="Y366" s="20">
        <f t="shared" si="173"/>
        <v>7</v>
      </c>
      <c r="Z366" s="20">
        <f t="shared" si="173"/>
        <v>0</v>
      </c>
      <c r="AA366" s="20">
        <f t="shared" si="173"/>
        <v>0</v>
      </c>
      <c r="AC366" s="3">
        <f t="shared" si="176"/>
        <v>65</v>
      </c>
      <c r="AD366" s="3">
        <f t="shared" si="177"/>
        <v>60</v>
      </c>
      <c r="AE366" s="3">
        <f t="shared" si="178"/>
        <v>55</v>
      </c>
      <c r="AF366" s="3">
        <f t="shared" si="179"/>
        <v>49</v>
      </c>
      <c r="AG366" s="3">
        <f t="shared" si="180"/>
        <v>44</v>
      </c>
      <c r="AH366" s="3">
        <f t="shared" si="181"/>
        <v>39</v>
      </c>
      <c r="AI366" s="3">
        <f t="shared" si="182"/>
        <v>34</v>
      </c>
      <c r="AJ366" s="3">
        <f t="shared" si="183"/>
        <v>28</v>
      </c>
      <c r="AK366" s="3">
        <f t="shared" si="184"/>
        <v>23</v>
      </c>
      <c r="AL366" s="3">
        <f t="shared" si="185"/>
        <v>18</v>
      </c>
      <c r="AM366" s="3">
        <f t="shared" si="186"/>
        <v>0</v>
      </c>
      <c r="AN366" s="3">
        <f t="shared" si="187"/>
        <v>91</v>
      </c>
      <c r="AO366" s="3">
        <f t="shared" si="188"/>
        <v>86</v>
      </c>
      <c r="AP366" s="3">
        <f t="shared" si="189"/>
        <v>81</v>
      </c>
      <c r="AQ366" s="3">
        <f t="shared" si="190"/>
        <v>76</v>
      </c>
      <c r="AR366" s="3">
        <f t="shared" si="191"/>
        <v>70</v>
      </c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M366" s="35" t="s">
        <v>12</v>
      </c>
      <c r="BO366" s="35"/>
      <c r="BR366" s="9" t="str">
        <f t="shared" si="166"/>
        <v/>
      </c>
      <c r="BS366" s="37" t="str">
        <f t="shared" si="167"/>
        <v/>
      </c>
      <c r="BT366" s="38" t="str">
        <f t="shared" si="193"/>
        <v/>
      </c>
      <c r="BU366" s="36" t="str">
        <f t="shared" si="168"/>
        <v/>
      </c>
    </row>
    <row r="367" spans="2:73" ht="15">
      <c r="B367" s="16">
        <f t="shared" si="169"/>
        <v>45642</v>
      </c>
      <c r="C367" s="15" t="s">
        <v>1</v>
      </c>
      <c r="D367" s="17">
        <f t="shared" si="170"/>
        <v>45648</v>
      </c>
      <c r="E367" s="18">
        <f t="shared" si="171"/>
        <v>12</v>
      </c>
      <c r="F367" s="19">
        <f t="shared" si="172"/>
        <v>2024</v>
      </c>
      <c r="G367" s="9">
        <f t="shared" si="192"/>
        <v>17</v>
      </c>
      <c r="H367" s="8">
        <f t="shared" si="192"/>
        <v>95</v>
      </c>
      <c r="I367" s="9"/>
      <c r="J367" s="9"/>
      <c r="K367" s="9"/>
      <c r="L367" s="9"/>
      <c r="M367" s="9"/>
      <c r="N367" s="9"/>
      <c r="O367" s="12"/>
      <c r="P367" s="12"/>
      <c r="Q367" s="12"/>
      <c r="R367" s="12"/>
      <c r="S367" s="12"/>
      <c r="T367" s="12"/>
      <c r="V367" s="20">
        <f t="shared" si="173"/>
        <v>14</v>
      </c>
      <c r="W367" s="20">
        <f t="shared" si="173"/>
        <v>0</v>
      </c>
      <c r="X367" s="20">
        <f t="shared" si="173"/>
        <v>3</v>
      </c>
      <c r="Y367" s="20">
        <f t="shared" ref="Y367:AA421" si="194">IF(L367&gt;0,L367,IF(R367=1,$B367+2,IF(R366=1,1,IF(R366=2,0,IF(Y366=$G366,0,(IF(Y366&gt;=1,Y366+1,0)))))))</f>
        <v>8</v>
      </c>
      <c r="Z367" s="20">
        <f t="shared" si="194"/>
        <v>0</v>
      </c>
      <c r="AA367" s="20">
        <f t="shared" si="194"/>
        <v>0</v>
      </c>
      <c r="AC367" s="3">
        <f t="shared" si="176"/>
        <v>66</v>
      </c>
      <c r="AD367" s="3">
        <f t="shared" si="177"/>
        <v>61</v>
      </c>
      <c r="AE367" s="3">
        <f t="shared" si="178"/>
        <v>56</v>
      </c>
      <c r="AF367" s="3">
        <f t="shared" si="179"/>
        <v>50</v>
      </c>
      <c r="AG367" s="3">
        <f t="shared" si="180"/>
        <v>45</v>
      </c>
      <c r="AH367" s="3">
        <f t="shared" si="181"/>
        <v>40</v>
      </c>
      <c r="AI367" s="3">
        <f t="shared" si="182"/>
        <v>35</v>
      </c>
      <c r="AJ367" s="3">
        <f t="shared" si="183"/>
        <v>29</v>
      </c>
      <c r="AK367" s="3">
        <f t="shared" si="184"/>
        <v>24</v>
      </c>
      <c r="AL367" s="3">
        <f t="shared" si="185"/>
        <v>19</v>
      </c>
      <c r="AM367" s="3">
        <f t="shared" si="186"/>
        <v>0</v>
      </c>
      <c r="AN367" s="3">
        <f t="shared" si="187"/>
        <v>92</v>
      </c>
      <c r="AO367" s="3">
        <f t="shared" si="188"/>
        <v>87</v>
      </c>
      <c r="AP367" s="3">
        <f t="shared" si="189"/>
        <v>82</v>
      </c>
      <c r="AQ367" s="3">
        <f t="shared" si="190"/>
        <v>77</v>
      </c>
      <c r="AR367" s="3">
        <f t="shared" si="191"/>
        <v>71</v>
      </c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M367" s="35" t="s">
        <v>12</v>
      </c>
      <c r="BO367" s="35"/>
      <c r="BR367" s="9" t="str">
        <f t="shared" si="166"/>
        <v/>
      </c>
      <c r="BS367" s="37" t="str">
        <f t="shared" si="167"/>
        <v/>
      </c>
      <c r="BT367" s="38" t="str">
        <f t="shared" si="193"/>
        <v/>
      </c>
      <c r="BU367" s="36" t="str">
        <f t="shared" si="168"/>
        <v/>
      </c>
    </row>
    <row r="368" spans="2:73" ht="15">
      <c r="B368" s="16">
        <f t="shared" si="169"/>
        <v>45649</v>
      </c>
      <c r="C368" s="15" t="s">
        <v>1</v>
      </c>
      <c r="D368" s="17">
        <f t="shared" si="170"/>
        <v>45655</v>
      </c>
      <c r="E368" s="18">
        <f t="shared" si="171"/>
        <v>12</v>
      </c>
      <c r="F368" s="19">
        <f t="shared" si="172"/>
        <v>2024</v>
      </c>
      <c r="G368" s="9">
        <f t="shared" si="192"/>
        <v>17</v>
      </c>
      <c r="H368" s="8">
        <f t="shared" si="192"/>
        <v>95</v>
      </c>
      <c r="I368" s="9"/>
      <c r="J368" s="9"/>
      <c r="K368" s="9"/>
      <c r="L368" s="9"/>
      <c r="M368" s="9"/>
      <c r="N368" s="9"/>
      <c r="O368" s="12"/>
      <c r="P368" s="12"/>
      <c r="Q368" s="12"/>
      <c r="R368" s="12"/>
      <c r="S368" s="12"/>
      <c r="T368" s="12"/>
      <c r="V368" s="20">
        <f t="shared" ref="V368:X421" si="195">IF(I368&gt;0,I368,IF(O368=1,$B368+2,IF(O367=1,1,IF(O367=2,0,IF(V367=$G367,0,(IF(V367&gt;=1,V367+1,0)))))))</f>
        <v>15</v>
      </c>
      <c r="W368" s="20">
        <f t="shared" si="195"/>
        <v>0</v>
      </c>
      <c r="X368" s="20">
        <f t="shared" si="195"/>
        <v>4</v>
      </c>
      <c r="Y368" s="20">
        <f t="shared" si="194"/>
        <v>9</v>
      </c>
      <c r="Z368" s="20">
        <f t="shared" si="194"/>
        <v>0</v>
      </c>
      <c r="AA368" s="20">
        <f t="shared" si="194"/>
        <v>0</v>
      </c>
      <c r="AC368" s="3">
        <f t="shared" si="176"/>
        <v>67</v>
      </c>
      <c r="AD368" s="3">
        <f t="shared" si="177"/>
        <v>62</v>
      </c>
      <c r="AE368" s="3">
        <f t="shared" si="178"/>
        <v>57</v>
      </c>
      <c r="AF368" s="3">
        <f t="shared" si="179"/>
        <v>51</v>
      </c>
      <c r="AG368" s="3">
        <f t="shared" si="180"/>
        <v>46</v>
      </c>
      <c r="AH368" s="3">
        <f t="shared" si="181"/>
        <v>41</v>
      </c>
      <c r="AI368" s="3">
        <f t="shared" si="182"/>
        <v>36</v>
      </c>
      <c r="AJ368" s="3">
        <f t="shared" si="183"/>
        <v>30</v>
      </c>
      <c r="AK368" s="3">
        <f t="shared" si="184"/>
        <v>25</v>
      </c>
      <c r="AL368" s="3">
        <f t="shared" si="185"/>
        <v>20</v>
      </c>
      <c r="AM368" s="3">
        <f t="shared" si="186"/>
        <v>0</v>
      </c>
      <c r="AN368" s="3">
        <f t="shared" si="187"/>
        <v>93</v>
      </c>
      <c r="AO368" s="3">
        <f t="shared" si="188"/>
        <v>88</v>
      </c>
      <c r="AP368" s="3">
        <f t="shared" si="189"/>
        <v>83</v>
      </c>
      <c r="AQ368" s="3">
        <f t="shared" si="190"/>
        <v>78</v>
      </c>
      <c r="AR368" s="3">
        <f t="shared" si="191"/>
        <v>72</v>
      </c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M368" s="35" t="s">
        <v>12</v>
      </c>
      <c r="BO368" s="35"/>
      <c r="BR368" s="9" t="str">
        <f t="shared" si="166"/>
        <v/>
      </c>
      <c r="BS368" s="37" t="str">
        <f t="shared" si="167"/>
        <v/>
      </c>
      <c r="BT368" s="38" t="str">
        <f t="shared" si="193"/>
        <v/>
      </c>
      <c r="BU368" s="36" t="str">
        <f t="shared" si="168"/>
        <v/>
      </c>
    </row>
    <row r="369" spans="2:73" ht="15">
      <c r="B369" s="16">
        <f t="shared" si="169"/>
        <v>45656</v>
      </c>
      <c r="C369" s="15" t="s">
        <v>1</v>
      </c>
      <c r="D369" s="17">
        <f t="shared" si="170"/>
        <v>45662</v>
      </c>
      <c r="E369" s="18">
        <f t="shared" si="171"/>
        <v>12</v>
      </c>
      <c r="F369" s="19">
        <f t="shared" si="172"/>
        <v>2025</v>
      </c>
      <c r="G369" s="9">
        <f t="shared" si="192"/>
        <v>17</v>
      </c>
      <c r="H369" s="8">
        <f t="shared" si="192"/>
        <v>95</v>
      </c>
      <c r="I369" s="9"/>
      <c r="J369" s="9"/>
      <c r="K369" s="9"/>
      <c r="L369" s="9"/>
      <c r="M369" s="9"/>
      <c r="N369" s="9"/>
      <c r="O369" s="12"/>
      <c r="P369" s="12">
        <v>1</v>
      </c>
      <c r="Q369" s="12"/>
      <c r="R369" s="12"/>
      <c r="S369" s="12"/>
      <c r="T369" s="12"/>
      <c r="V369" s="20">
        <f t="shared" si="195"/>
        <v>16</v>
      </c>
      <c r="W369" s="20">
        <f t="shared" si="195"/>
        <v>45658</v>
      </c>
      <c r="X369" s="20">
        <f t="shared" si="195"/>
        <v>5</v>
      </c>
      <c r="Y369" s="20">
        <f t="shared" si="194"/>
        <v>10</v>
      </c>
      <c r="Z369" s="20">
        <f t="shared" si="194"/>
        <v>0</v>
      </c>
      <c r="AA369" s="20">
        <f t="shared" si="194"/>
        <v>0</v>
      </c>
      <c r="AC369" s="3">
        <f t="shared" si="176"/>
        <v>68</v>
      </c>
      <c r="AD369" s="3">
        <f t="shared" si="177"/>
        <v>63</v>
      </c>
      <c r="AE369" s="3">
        <f t="shared" si="178"/>
        <v>58</v>
      </c>
      <c r="AF369" s="3">
        <f t="shared" si="179"/>
        <v>52</v>
      </c>
      <c r="AG369" s="3">
        <f t="shared" si="180"/>
        <v>47</v>
      </c>
      <c r="AH369" s="3">
        <f t="shared" si="181"/>
        <v>42</v>
      </c>
      <c r="AI369" s="3">
        <f t="shared" si="182"/>
        <v>37</v>
      </c>
      <c r="AJ369" s="3">
        <f t="shared" si="183"/>
        <v>31</v>
      </c>
      <c r="AK369" s="3">
        <f t="shared" si="184"/>
        <v>26</v>
      </c>
      <c r="AL369" s="3">
        <f t="shared" si="185"/>
        <v>21</v>
      </c>
      <c r="AM369" s="3">
        <f t="shared" si="186"/>
        <v>0</v>
      </c>
      <c r="AN369" s="3">
        <f t="shared" si="187"/>
        <v>94</v>
      </c>
      <c r="AO369" s="3">
        <f t="shared" si="188"/>
        <v>89</v>
      </c>
      <c r="AP369" s="3">
        <f t="shared" si="189"/>
        <v>84</v>
      </c>
      <c r="AQ369" s="3">
        <f t="shared" si="190"/>
        <v>79</v>
      </c>
      <c r="AR369" s="3">
        <f t="shared" si="191"/>
        <v>73</v>
      </c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M369" s="35" t="s">
        <v>12</v>
      </c>
      <c r="BO369" s="35"/>
      <c r="BR369" s="9">
        <f t="shared" si="166"/>
        <v>2</v>
      </c>
      <c r="BS369" s="37">
        <f t="shared" si="167"/>
        <v>45658</v>
      </c>
      <c r="BT369" s="38">
        <f t="shared" si="193"/>
        <v>45777</v>
      </c>
      <c r="BU369" s="36">
        <f t="shared" si="168"/>
        <v>7</v>
      </c>
    </row>
    <row r="370" spans="2:73" ht="15">
      <c r="B370" s="16">
        <f t="shared" si="169"/>
        <v>45663</v>
      </c>
      <c r="C370" s="15" t="s">
        <v>1</v>
      </c>
      <c r="D370" s="17">
        <f t="shared" si="170"/>
        <v>45669</v>
      </c>
      <c r="E370" s="18">
        <f t="shared" si="171"/>
        <v>1</v>
      </c>
      <c r="F370" s="19">
        <f t="shared" si="172"/>
        <v>2025</v>
      </c>
      <c r="G370" s="9">
        <f t="shared" si="192"/>
        <v>17</v>
      </c>
      <c r="H370" s="8">
        <f t="shared" si="192"/>
        <v>95</v>
      </c>
      <c r="I370" s="9"/>
      <c r="J370" s="9"/>
      <c r="K370" s="9"/>
      <c r="L370" s="9"/>
      <c r="M370" s="9"/>
      <c r="N370" s="9"/>
      <c r="O370" s="12"/>
      <c r="P370" s="12"/>
      <c r="Q370" s="12"/>
      <c r="R370" s="12"/>
      <c r="S370" s="12"/>
      <c r="T370" s="12"/>
      <c r="V370" s="20">
        <f t="shared" si="195"/>
        <v>17</v>
      </c>
      <c r="W370" s="20">
        <f t="shared" si="195"/>
        <v>1</v>
      </c>
      <c r="X370" s="20">
        <f t="shared" si="195"/>
        <v>6</v>
      </c>
      <c r="Y370" s="20">
        <f t="shared" si="194"/>
        <v>11</v>
      </c>
      <c r="Z370" s="20">
        <f t="shared" si="194"/>
        <v>0</v>
      </c>
      <c r="AA370" s="20">
        <f t="shared" si="194"/>
        <v>0</v>
      </c>
      <c r="AC370" s="3">
        <f t="shared" si="176"/>
        <v>69</v>
      </c>
      <c r="AD370" s="3">
        <f t="shared" si="177"/>
        <v>64</v>
      </c>
      <c r="AE370" s="3">
        <f t="shared" si="178"/>
        <v>59</v>
      </c>
      <c r="AF370" s="3">
        <f t="shared" si="179"/>
        <v>53</v>
      </c>
      <c r="AG370" s="3">
        <f t="shared" si="180"/>
        <v>48</v>
      </c>
      <c r="AH370" s="3">
        <f t="shared" si="181"/>
        <v>43</v>
      </c>
      <c r="AI370" s="3">
        <f t="shared" si="182"/>
        <v>38</v>
      </c>
      <c r="AJ370" s="3">
        <f t="shared" si="183"/>
        <v>32</v>
      </c>
      <c r="AK370" s="3">
        <f t="shared" si="184"/>
        <v>27</v>
      </c>
      <c r="AL370" s="3">
        <f t="shared" si="185"/>
        <v>22</v>
      </c>
      <c r="AM370" s="3">
        <f t="shared" si="186"/>
        <v>17</v>
      </c>
      <c r="AN370" s="3">
        <f t="shared" si="187"/>
        <v>95</v>
      </c>
      <c r="AO370" s="3">
        <f t="shared" si="188"/>
        <v>90</v>
      </c>
      <c r="AP370" s="3">
        <f t="shared" si="189"/>
        <v>85</v>
      </c>
      <c r="AQ370" s="3">
        <f t="shared" si="190"/>
        <v>80</v>
      </c>
      <c r="AR370" s="3">
        <f t="shared" si="191"/>
        <v>74</v>
      </c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>
        <v>1</v>
      </c>
      <c r="BD370" s="8"/>
      <c r="BE370" s="8"/>
      <c r="BF370" s="8"/>
      <c r="BG370" s="8"/>
      <c r="BH370" s="8"/>
      <c r="BM370" s="35" t="s">
        <v>12</v>
      </c>
      <c r="BO370" s="35"/>
      <c r="BR370" s="9" t="str">
        <f t="shared" si="166"/>
        <v/>
      </c>
      <c r="BS370" s="37" t="str">
        <f t="shared" si="167"/>
        <v/>
      </c>
      <c r="BT370" s="38" t="str">
        <f t="shared" si="193"/>
        <v/>
      </c>
      <c r="BU370" s="36" t="str">
        <f t="shared" si="168"/>
        <v/>
      </c>
    </row>
    <row r="371" spans="2:73" ht="15">
      <c r="B371" s="16">
        <f t="shared" si="169"/>
        <v>45670</v>
      </c>
      <c r="C371" s="15" t="s">
        <v>1</v>
      </c>
      <c r="D371" s="17">
        <f t="shared" si="170"/>
        <v>45676</v>
      </c>
      <c r="E371" s="18">
        <f t="shared" si="171"/>
        <v>1</v>
      </c>
      <c r="F371" s="19">
        <f t="shared" si="172"/>
        <v>2025</v>
      </c>
      <c r="G371" s="9">
        <f t="shared" si="192"/>
        <v>17</v>
      </c>
      <c r="H371" s="8">
        <f t="shared" si="192"/>
        <v>95</v>
      </c>
      <c r="I371" s="9"/>
      <c r="J371" s="9"/>
      <c r="K371" s="9"/>
      <c r="L371" s="9"/>
      <c r="M371" s="9"/>
      <c r="N371" s="9"/>
      <c r="O371" s="12"/>
      <c r="P371" s="12"/>
      <c r="Q371" s="12"/>
      <c r="R371" s="12"/>
      <c r="S371" s="12"/>
      <c r="T371" s="12"/>
      <c r="V371" s="20">
        <f t="shared" si="195"/>
        <v>0</v>
      </c>
      <c r="W371" s="20">
        <f t="shared" si="195"/>
        <v>2</v>
      </c>
      <c r="X371" s="20">
        <f t="shared" si="195"/>
        <v>7</v>
      </c>
      <c r="Y371" s="20">
        <f t="shared" si="194"/>
        <v>12</v>
      </c>
      <c r="Z371" s="20">
        <f t="shared" si="194"/>
        <v>0</v>
      </c>
      <c r="AA371" s="20">
        <f t="shared" si="194"/>
        <v>0</v>
      </c>
      <c r="AC371" s="3">
        <f t="shared" si="176"/>
        <v>70</v>
      </c>
      <c r="AD371" s="3">
        <f t="shared" si="177"/>
        <v>65</v>
      </c>
      <c r="AE371" s="3">
        <f t="shared" si="178"/>
        <v>60</v>
      </c>
      <c r="AF371" s="3">
        <f t="shared" si="179"/>
        <v>54</v>
      </c>
      <c r="AG371" s="3">
        <f t="shared" si="180"/>
        <v>49</v>
      </c>
      <c r="AH371" s="3">
        <f t="shared" si="181"/>
        <v>44</v>
      </c>
      <c r="AI371" s="3">
        <f t="shared" si="182"/>
        <v>39</v>
      </c>
      <c r="AJ371" s="3">
        <f t="shared" si="183"/>
        <v>33</v>
      </c>
      <c r="AK371" s="3">
        <f t="shared" si="184"/>
        <v>28</v>
      </c>
      <c r="AL371" s="3">
        <f t="shared" si="185"/>
        <v>23</v>
      </c>
      <c r="AM371" s="3">
        <f t="shared" si="186"/>
        <v>18</v>
      </c>
      <c r="AN371" s="3">
        <f t="shared" si="187"/>
        <v>0</v>
      </c>
      <c r="AO371" s="3">
        <f t="shared" si="188"/>
        <v>91</v>
      </c>
      <c r="AP371" s="3">
        <f t="shared" si="189"/>
        <v>86</v>
      </c>
      <c r="AQ371" s="3">
        <f t="shared" si="190"/>
        <v>81</v>
      </c>
      <c r="AR371" s="3">
        <f t="shared" si="191"/>
        <v>75</v>
      </c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M371" s="35" t="s">
        <v>12</v>
      </c>
      <c r="BO371" s="35"/>
      <c r="BR371" s="9" t="str">
        <f t="shared" si="166"/>
        <v/>
      </c>
      <c r="BS371" s="37" t="str">
        <f t="shared" si="167"/>
        <v/>
      </c>
      <c r="BT371" s="38" t="str">
        <f t="shared" si="193"/>
        <v/>
      </c>
      <c r="BU371" s="36" t="str">
        <f t="shared" si="168"/>
        <v/>
      </c>
    </row>
    <row r="372" spans="2:73" ht="15">
      <c r="B372" s="16">
        <f t="shared" si="169"/>
        <v>45677</v>
      </c>
      <c r="C372" s="15" t="s">
        <v>1</v>
      </c>
      <c r="D372" s="17">
        <f t="shared" si="170"/>
        <v>45683</v>
      </c>
      <c r="E372" s="18">
        <f t="shared" si="171"/>
        <v>1</v>
      </c>
      <c r="F372" s="19">
        <f t="shared" si="172"/>
        <v>2025</v>
      </c>
      <c r="G372" s="9">
        <f t="shared" si="192"/>
        <v>17</v>
      </c>
      <c r="H372" s="8">
        <f t="shared" si="192"/>
        <v>95</v>
      </c>
      <c r="I372" s="9"/>
      <c r="J372" s="9"/>
      <c r="K372" s="9"/>
      <c r="L372" s="9"/>
      <c r="M372" s="9"/>
      <c r="N372" s="9"/>
      <c r="O372" s="12"/>
      <c r="P372" s="12"/>
      <c r="Q372" s="12"/>
      <c r="R372" s="12"/>
      <c r="S372" s="12"/>
      <c r="T372" s="12"/>
      <c r="V372" s="20">
        <f t="shared" si="195"/>
        <v>0</v>
      </c>
      <c r="W372" s="20">
        <f t="shared" si="195"/>
        <v>3</v>
      </c>
      <c r="X372" s="20">
        <f t="shared" si="195"/>
        <v>8</v>
      </c>
      <c r="Y372" s="20">
        <f t="shared" si="194"/>
        <v>13</v>
      </c>
      <c r="Z372" s="20">
        <f t="shared" si="194"/>
        <v>0</v>
      </c>
      <c r="AA372" s="20">
        <f t="shared" si="194"/>
        <v>0</v>
      </c>
      <c r="AC372" s="3">
        <f t="shared" si="176"/>
        <v>71</v>
      </c>
      <c r="AD372" s="3">
        <f t="shared" si="177"/>
        <v>66</v>
      </c>
      <c r="AE372" s="3">
        <f t="shared" si="178"/>
        <v>61</v>
      </c>
      <c r="AF372" s="3">
        <f t="shared" si="179"/>
        <v>55</v>
      </c>
      <c r="AG372" s="3">
        <f t="shared" si="180"/>
        <v>50</v>
      </c>
      <c r="AH372" s="3">
        <f t="shared" si="181"/>
        <v>45</v>
      </c>
      <c r="AI372" s="3">
        <f t="shared" si="182"/>
        <v>40</v>
      </c>
      <c r="AJ372" s="3">
        <f t="shared" si="183"/>
        <v>34</v>
      </c>
      <c r="AK372" s="3">
        <f t="shared" si="184"/>
        <v>29</v>
      </c>
      <c r="AL372" s="3">
        <f t="shared" si="185"/>
        <v>24</v>
      </c>
      <c r="AM372" s="3">
        <f t="shared" si="186"/>
        <v>19</v>
      </c>
      <c r="AN372" s="3">
        <f t="shared" si="187"/>
        <v>0</v>
      </c>
      <c r="AO372" s="3">
        <f t="shared" si="188"/>
        <v>92</v>
      </c>
      <c r="AP372" s="3">
        <f t="shared" si="189"/>
        <v>87</v>
      </c>
      <c r="AQ372" s="3">
        <f t="shared" si="190"/>
        <v>82</v>
      </c>
      <c r="AR372" s="3">
        <f t="shared" si="191"/>
        <v>76</v>
      </c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M372" s="35" t="s">
        <v>12</v>
      </c>
      <c r="BO372" s="35"/>
      <c r="BR372" s="9" t="str">
        <f t="shared" si="166"/>
        <v/>
      </c>
      <c r="BS372" s="37" t="str">
        <f t="shared" si="167"/>
        <v/>
      </c>
      <c r="BT372" s="38" t="str">
        <f t="shared" si="193"/>
        <v/>
      </c>
      <c r="BU372" s="36" t="str">
        <f t="shared" si="168"/>
        <v/>
      </c>
    </row>
    <row r="373" spans="2:73" ht="15">
      <c r="B373" s="16">
        <f t="shared" si="169"/>
        <v>45684</v>
      </c>
      <c r="C373" s="15" t="s">
        <v>1</v>
      </c>
      <c r="D373" s="17">
        <f t="shared" si="170"/>
        <v>45690</v>
      </c>
      <c r="E373" s="18">
        <f t="shared" si="171"/>
        <v>1</v>
      </c>
      <c r="F373" s="19">
        <f t="shared" si="172"/>
        <v>2025</v>
      </c>
      <c r="G373" s="9">
        <f t="shared" si="192"/>
        <v>17</v>
      </c>
      <c r="H373" s="8">
        <f t="shared" si="192"/>
        <v>95</v>
      </c>
      <c r="I373" s="9"/>
      <c r="J373" s="9"/>
      <c r="K373" s="9"/>
      <c r="L373" s="9"/>
      <c r="M373" s="9"/>
      <c r="N373" s="9"/>
      <c r="O373" s="12"/>
      <c r="P373" s="12"/>
      <c r="Q373" s="12"/>
      <c r="R373" s="12"/>
      <c r="S373" s="12"/>
      <c r="T373" s="12"/>
      <c r="V373" s="20">
        <f t="shared" si="195"/>
        <v>0</v>
      </c>
      <c r="W373" s="20">
        <f t="shared" si="195"/>
        <v>4</v>
      </c>
      <c r="X373" s="20">
        <f t="shared" si="195"/>
        <v>9</v>
      </c>
      <c r="Y373" s="20">
        <f t="shared" si="194"/>
        <v>14</v>
      </c>
      <c r="Z373" s="20">
        <f t="shared" si="194"/>
        <v>0</v>
      </c>
      <c r="AA373" s="20">
        <f t="shared" si="194"/>
        <v>0</v>
      </c>
      <c r="AC373" s="3">
        <f t="shared" si="176"/>
        <v>72</v>
      </c>
      <c r="AD373" s="3">
        <f t="shared" si="177"/>
        <v>67</v>
      </c>
      <c r="AE373" s="3">
        <f t="shared" si="178"/>
        <v>62</v>
      </c>
      <c r="AF373" s="3">
        <f t="shared" si="179"/>
        <v>56</v>
      </c>
      <c r="AG373" s="3">
        <f t="shared" si="180"/>
        <v>51</v>
      </c>
      <c r="AH373" s="3">
        <f t="shared" si="181"/>
        <v>46</v>
      </c>
      <c r="AI373" s="3">
        <f t="shared" si="182"/>
        <v>41</v>
      </c>
      <c r="AJ373" s="3">
        <f t="shared" si="183"/>
        <v>35</v>
      </c>
      <c r="AK373" s="3">
        <f t="shared" si="184"/>
        <v>30</v>
      </c>
      <c r="AL373" s="3">
        <f t="shared" si="185"/>
        <v>25</v>
      </c>
      <c r="AM373" s="3">
        <f t="shared" si="186"/>
        <v>20</v>
      </c>
      <c r="AN373" s="3">
        <f t="shared" si="187"/>
        <v>0</v>
      </c>
      <c r="AO373" s="3">
        <f t="shared" si="188"/>
        <v>93</v>
      </c>
      <c r="AP373" s="3">
        <f t="shared" si="189"/>
        <v>88</v>
      </c>
      <c r="AQ373" s="3">
        <f t="shared" si="190"/>
        <v>83</v>
      </c>
      <c r="AR373" s="3">
        <f t="shared" si="191"/>
        <v>77</v>
      </c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M373" s="35" t="s">
        <v>12</v>
      </c>
      <c r="BO373" s="35"/>
      <c r="BR373" s="9" t="str">
        <f t="shared" si="166"/>
        <v/>
      </c>
      <c r="BS373" s="37" t="str">
        <f t="shared" si="167"/>
        <v/>
      </c>
      <c r="BT373" s="38" t="str">
        <f t="shared" si="193"/>
        <v/>
      </c>
      <c r="BU373" s="36" t="str">
        <f t="shared" si="168"/>
        <v/>
      </c>
    </row>
    <row r="374" spans="2:73" ht="15">
      <c r="B374" s="16">
        <f t="shared" si="169"/>
        <v>45691</v>
      </c>
      <c r="C374" s="15" t="s">
        <v>1</v>
      </c>
      <c r="D374" s="17">
        <f t="shared" si="170"/>
        <v>45697</v>
      </c>
      <c r="E374" s="18">
        <f t="shared" si="171"/>
        <v>2</v>
      </c>
      <c r="F374" s="19">
        <f t="shared" si="172"/>
        <v>2025</v>
      </c>
      <c r="G374" s="9">
        <f t="shared" ref="G374:H389" si="196">G373</f>
        <v>17</v>
      </c>
      <c r="H374" s="8">
        <f t="shared" si="196"/>
        <v>95</v>
      </c>
      <c r="I374" s="9"/>
      <c r="J374" s="9"/>
      <c r="K374" s="9"/>
      <c r="L374" s="9"/>
      <c r="M374" s="9"/>
      <c r="N374" s="9"/>
      <c r="O374" s="12">
        <v>1</v>
      </c>
      <c r="P374" s="12"/>
      <c r="Q374" s="12"/>
      <c r="R374" s="12"/>
      <c r="S374" s="12"/>
      <c r="T374" s="12"/>
      <c r="V374" s="20">
        <f t="shared" si="195"/>
        <v>45693</v>
      </c>
      <c r="W374" s="20">
        <f t="shared" si="195"/>
        <v>5</v>
      </c>
      <c r="X374" s="20">
        <f t="shared" si="195"/>
        <v>10</v>
      </c>
      <c r="Y374" s="20">
        <f t="shared" si="194"/>
        <v>15</v>
      </c>
      <c r="Z374" s="20">
        <f t="shared" si="194"/>
        <v>0</v>
      </c>
      <c r="AA374" s="20">
        <f t="shared" si="194"/>
        <v>0</v>
      </c>
      <c r="AC374" s="3">
        <f t="shared" si="176"/>
        <v>73</v>
      </c>
      <c r="AD374" s="3">
        <f t="shared" si="177"/>
        <v>68</v>
      </c>
      <c r="AE374" s="3">
        <f t="shared" si="178"/>
        <v>63</v>
      </c>
      <c r="AF374" s="3">
        <f t="shared" si="179"/>
        <v>57</v>
      </c>
      <c r="AG374" s="3">
        <f t="shared" si="180"/>
        <v>52</v>
      </c>
      <c r="AH374" s="3">
        <f t="shared" si="181"/>
        <v>47</v>
      </c>
      <c r="AI374" s="3">
        <f t="shared" si="182"/>
        <v>42</v>
      </c>
      <c r="AJ374" s="3">
        <f t="shared" si="183"/>
        <v>36</v>
      </c>
      <c r="AK374" s="3">
        <f t="shared" si="184"/>
        <v>31</v>
      </c>
      <c r="AL374" s="3">
        <f t="shared" si="185"/>
        <v>26</v>
      </c>
      <c r="AM374" s="3">
        <f t="shared" si="186"/>
        <v>21</v>
      </c>
      <c r="AN374" s="3">
        <f t="shared" si="187"/>
        <v>0</v>
      </c>
      <c r="AO374" s="3">
        <f t="shared" si="188"/>
        <v>94</v>
      </c>
      <c r="AP374" s="3">
        <f t="shared" si="189"/>
        <v>89</v>
      </c>
      <c r="AQ374" s="3">
        <f t="shared" si="190"/>
        <v>84</v>
      </c>
      <c r="AR374" s="3">
        <f t="shared" si="191"/>
        <v>78</v>
      </c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M374" s="35" t="s">
        <v>12</v>
      </c>
      <c r="BO374" s="35"/>
      <c r="BR374" s="9">
        <f t="shared" si="166"/>
        <v>1</v>
      </c>
      <c r="BS374" s="37">
        <f t="shared" si="167"/>
        <v>45693</v>
      </c>
      <c r="BT374" s="38">
        <f t="shared" si="193"/>
        <v>45812</v>
      </c>
      <c r="BU374" s="36">
        <f t="shared" si="168"/>
        <v>8</v>
      </c>
    </row>
    <row r="375" spans="2:73" ht="15">
      <c r="B375" s="16">
        <f t="shared" si="169"/>
        <v>45698</v>
      </c>
      <c r="C375" s="15" t="s">
        <v>1</v>
      </c>
      <c r="D375" s="17">
        <f t="shared" si="170"/>
        <v>45704</v>
      </c>
      <c r="E375" s="18">
        <f t="shared" si="171"/>
        <v>2</v>
      </c>
      <c r="F375" s="19">
        <f t="shared" si="172"/>
        <v>2025</v>
      </c>
      <c r="G375" s="9">
        <f t="shared" si="196"/>
        <v>17</v>
      </c>
      <c r="H375" s="8">
        <f t="shared" si="196"/>
        <v>95</v>
      </c>
      <c r="I375" s="9"/>
      <c r="J375" s="9"/>
      <c r="K375" s="9"/>
      <c r="L375" s="9"/>
      <c r="M375" s="9"/>
      <c r="N375" s="9"/>
      <c r="O375" s="12"/>
      <c r="P375" s="12"/>
      <c r="Q375" s="12"/>
      <c r="R375" s="12"/>
      <c r="S375" s="12"/>
      <c r="T375" s="12"/>
      <c r="V375" s="20">
        <f t="shared" si="195"/>
        <v>1</v>
      </c>
      <c r="W375" s="20">
        <f t="shared" si="195"/>
        <v>6</v>
      </c>
      <c r="X375" s="20">
        <f t="shared" si="195"/>
        <v>11</v>
      </c>
      <c r="Y375" s="20">
        <f t="shared" si="194"/>
        <v>16</v>
      </c>
      <c r="Z375" s="20">
        <f t="shared" si="194"/>
        <v>0</v>
      </c>
      <c r="AA375" s="20">
        <f t="shared" si="194"/>
        <v>0</v>
      </c>
      <c r="AC375" s="3">
        <f t="shared" si="176"/>
        <v>74</v>
      </c>
      <c r="AD375" s="3">
        <f t="shared" si="177"/>
        <v>69</v>
      </c>
      <c r="AE375" s="3">
        <f t="shared" si="178"/>
        <v>64</v>
      </c>
      <c r="AF375" s="3">
        <f t="shared" si="179"/>
        <v>58</v>
      </c>
      <c r="AG375" s="3">
        <f t="shared" si="180"/>
        <v>53</v>
      </c>
      <c r="AH375" s="3">
        <f t="shared" si="181"/>
        <v>48</v>
      </c>
      <c r="AI375" s="3">
        <f t="shared" si="182"/>
        <v>43</v>
      </c>
      <c r="AJ375" s="3">
        <f t="shared" si="183"/>
        <v>37</v>
      </c>
      <c r="AK375" s="3">
        <f t="shared" si="184"/>
        <v>32</v>
      </c>
      <c r="AL375" s="3">
        <f t="shared" si="185"/>
        <v>27</v>
      </c>
      <c r="AM375" s="3">
        <f t="shared" si="186"/>
        <v>22</v>
      </c>
      <c r="AN375" s="3">
        <f t="shared" si="187"/>
        <v>0</v>
      </c>
      <c r="AO375" s="3">
        <f t="shared" si="188"/>
        <v>95</v>
      </c>
      <c r="AP375" s="3">
        <f t="shared" si="189"/>
        <v>90</v>
      </c>
      <c r="AQ375" s="3">
        <f t="shared" si="190"/>
        <v>85</v>
      </c>
      <c r="AR375" s="3">
        <f t="shared" si="191"/>
        <v>79</v>
      </c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M375" s="35" t="s">
        <v>12</v>
      </c>
      <c r="BO375" s="35"/>
      <c r="BR375" s="9" t="str">
        <f t="shared" si="166"/>
        <v/>
      </c>
      <c r="BS375" s="37" t="str">
        <f t="shared" si="167"/>
        <v/>
      </c>
      <c r="BT375" s="38" t="str">
        <f t="shared" si="193"/>
        <v/>
      </c>
      <c r="BU375" s="36" t="str">
        <f t="shared" si="168"/>
        <v/>
      </c>
    </row>
    <row r="376" spans="2:73" ht="15">
      <c r="B376" s="16">
        <f t="shared" si="169"/>
        <v>45705</v>
      </c>
      <c r="C376" s="15" t="s">
        <v>1</v>
      </c>
      <c r="D376" s="17">
        <f t="shared" si="170"/>
        <v>45711</v>
      </c>
      <c r="E376" s="18">
        <f t="shared" si="171"/>
        <v>2</v>
      </c>
      <c r="F376" s="19">
        <f t="shared" si="172"/>
        <v>2025</v>
      </c>
      <c r="G376" s="9">
        <f t="shared" si="196"/>
        <v>17</v>
      </c>
      <c r="H376" s="8">
        <f t="shared" si="196"/>
        <v>95</v>
      </c>
      <c r="I376" s="9"/>
      <c r="J376" s="9"/>
      <c r="K376" s="9"/>
      <c r="L376" s="9"/>
      <c r="M376" s="9"/>
      <c r="N376" s="9"/>
      <c r="O376" s="12"/>
      <c r="P376" s="12"/>
      <c r="Q376" s="12"/>
      <c r="R376" s="12"/>
      <c r="S376" s="12"/>
      <c r="T376" s="12"/>
      <c r="V376" s="20">
        <f t="shared" si="195"/>
        <v>2</v>
      </c>
      <c r="W376" s="20">
        <f t="shared" si="195"/>
        <v>7</v>
      </c>
      <c r="X376" s="20">
        <f t="shared" si="195"/>
        <v>12</v>
      </c>
      <c r="Y376" s="20">
        <f t="shared" si="194"/>
        <v>17</v>
      </c>
      <c r="Z376" s="20">
        <f t="shared" si="194"/>
        <v>0</v>
      </c>
      <c r="AA376" s="20">
        <f t="shared" si="194"/>
        <v>0</v>
      </c>
      <c r="AC376" s="3">
        <f t="shared" si="176"/>
        <v>75</v>
      </c>
      <c r="AD376" s="3">
        <f t="shared" si="177"/>
        <v>70</v>
      </c>
      <c r="AE376" s="3">
        <f t="shared" si="178"/>
        <v>65</v>
      </c>
      <c r="AF376" s="3">
        <f t="shared" si="179"/>
        <v>59</v>
      </c>
      <c r="AG376" s="3">
        <f t="shared" si="180"/>
        <v>54</v>
      </c>
      <c r="AH376" s="3">
        <f t="shared" si="181"/>
        <v>49</v>
      </c>
      <c r="AI376" s="3">
        <f t="shared" si="182"/>
        <v>44</v>
      </c>
      <c r="AJ376" s="3">
        <f t="shared" si="183"/>
        <v>38</v>
      </c>
      <c r="AK376" s="3">
        <f t="shared" si="184"/>
        <v>33</v>
      </c>
      <c r="AL376" s="3">
        <f t="shared" si="185"/>
        <v>28</v>
      </c>
      <c r="AM376" s="3">
        <f t="shared" si="186"/>
        <v>23</v>
      </c>
      <c r="AN376" s="3">
        <f t="shared" si="187"/>
        <v>17</v>
      </c>
      <c r="AO376" s="3">
        <f t="shared" si="188"/>
        <v>0</v>
      </c>
      <c r="AP376" s="3">
        <f t="shared" si="189"/>
        <v>91</v>
      </c>
      <c r="AQ376" s="3">
        <f t="shared" si="190"/>
        <v>86</v>
      </c>
      <c r="AR376" s="3">
        <f t="shared" si="191"/>
        <v>80</v>
      </c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>
        <v>4</v>
      </c>
      <c r="BE376" s="8"/>
      <c r="BF376" s="8"/>
      <c r="BG376" s="8"/>
      <c r="BH376" s="8"/>
      <c r="BM376" s="35" t="s">
        <v>12</v>
      </c>
      <c r="BO376" s="35"/>
      <c r="BR376" s="9" t="str">
        <f t="shared" si="166"/>
        <v/>
      </c>
      <c r="BS376" s="37" t="str">
        <f t="shared" si="167"/>
        <v/>
      </c>
      <c r="BT376" s="38" t="str">
        <f t="shared" si="193"/>
        <v/>
      </c>
      <c r="BU376" s="36" t="str">
        <f t="shared" si="168"/>
        <v/>
      </c>
    </row>
    <row r="377" spans="2:73" ht="15">
      <c r="B377" s="16">
        <f t="shared" si="169"/>
        <v>45712</v>
      </c>
      <c r="C377" s="15" t="s">
        <v>1</v>
      </c>
      <c r="D377" s="17">
        <f t="shared" si="170"/>
        <v>45718</v>
      </c>
      <c r="E377" s="18">
        <f t="shared" si="171"/>
        <v>2</v>
      </c>
      <c r="F377" s="19">
        <f t="shared" si="172"/>
        <v>2025</v>
      </c>
      <c r="G377" s="9">
        <f t="shared" si="196"/>
        <v>17</v>
      </c>
      <c r="H377" s="8">
        <f t="shared" si="196"/>
        <v>95</v>
      </c>
      <c r="I377" s="9"/>
      <c r="J377" s="9"/>
      <c r="K377" s="9"/>
      <c r="L377" s="9"/>
      <c r="M377" s="9"/>
      <c r="N377" s="9"/>
      <c r="O377" s="12"/>
      <c r="P377" s="12"/>
      <c r="Q377" s="12"/>
      <c r="R377" s="12"/>
      <c r="S377" s="12"/>
      <c r="T377" s="12"/>
      <c r="V377" s="20">
        <f t="shared" si="195"/>
        <v>3</v>
      </c>
      <c r="W377" s="20">
        <f t="shared" si="195"/>
        <v>8</v>
      </c>
      <c r="X377" s="20">
        <f t="shared" si="195"/>
        <v>13</v>
      </c>
      <c r="Y377" s="20">
        <f t="shared" si="194"/>
        <v>0</v>
      </c>
      <c r="Z377" s="20">
        <f t="shared" si="194"/>
        <v>0</v>
      </c>
      <c r="AA377" s="20">
        <f t="shared" si="194"/>
        <v>0</v>
      </c>
      <c r="AC377" s="3">
        <f t="shared" si="176"/>
        <v>76</v>
      </c>
      <c r="AD377" s="3">
        <f t="shared" si="177"/>
        <v>71</v>
      </c>
      <c r="AE377" s="3">
        <f t="shared" si="178"/>
        <v>66</v>
      </c>
      <c r="AF377" s="3">
        <f t="shared" si="179"/>
        <v>60</v>
      </c>
      <c r="AG377" s="3">
        <f t="shared" si="180"/>
        <v>55</v>
      </c>
      <c r="AH377" s="3">
        <f t="shared" si="181"/>
        <v>50</v>
      </c>
      <c r="AI377" s="3">
        <f t="shared" si="182"/>
        <v>45</v>
      </c>
      <c r="AJ377" s="3">
        <f t="shared" si="183"/>
        <v>39</v>
      </c>
      <c r="AK377" s="3">
        <f t="shared" si="184"/>
        <v>34</v>
      </c>
      <c r="AL377" s="3">
        <f t="shared" si="185"/>
        <v>29</v>
      </c>
      <c r="AM377" s="3">
        <f t="shared" si="186"/>
        <v>24</v>
      </c>
      <c r="AN377" s="3">
        <f t="shared" si="187"/>
        <v>18</v>
      </c>
      <c r="AO377" s="3">
        <f t="shared" si="188"/>
        <v>0</v>
      </c>
      <c r="AP377" s="3">
        <f t="shared" si="189"/>
        <v>92</v>
      </c>
      <c r="AQ377" s="3">
        <f t="shared" si="190"/>
        <v>87</v>
      </c>
      <c r="AR377" s="3">
        <f t="shared" si="191"/>
        <v>81</v>
      </c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M377" s="35" t="s">
        <v>12</v>
      </c>
      <c r="BO377" s="35"/>
      <c r="BR377" s="9" t="str">
        <f t="shared" si="166"/>
        <v/>
      </c>
      <c r="BS377" s="37" t="str">
        <f t="shared" si="167"/>
        <v/>
      </c>
      <c r="BT377" s="38" t="str">
        <f t="shared" si="193"/>
        <v/>
      </c>
      <c r="BU377" s="36" t="str">
        <f t="shared" si="168"/>
        <v/>
      </c>
    </row>
    <row r="378" spans="2:73" ht="15">
      <c r="B378" s="16">
        <f t="shared" si="169"/>
        <v>45719</v>
      </c>
      <c r="C378" s="15" t="s">
        <v>1</v>
      </c>
      <c r="D378" s="17">
        <f t="shared" si="170"/>
        <v>45725</v>
      </c>
      <c r="E378" s="18">
        <f t="shared" si="171"/>
        <v>3</v>
      </c>
      <c r="F378" s="19">
        <f t="shared" si="172"/>
        <v>2025</v>
      </c>
      <c r="G378" s="9">
        <f t="shared" si="196"/>
        <v>17</v>
      </c>
      <c r="H378" s="8">
        <f t="shared" si="196"/>
        <v>95</v>
      </c>
      <c r="I378" s="9"/>
      <c r="J378" s="9"/>
      <c r="K378" s="9"/>
      <c r="L378" s="9"/>
      <c r="M378" s="9"/>
      <c r="N378" s="9"/>
      <c r="O378" s="12"/>
      <c r="P378" s="12"/>
      <c r="Q378" s="12"/>
      <c r="R378" s="12"/>
      <c r="S378" s="12"/>
      <c r="T378" s="12"/>
      <c r="V378" s="20">
        <f t="shared" si="195"/>
        <v>4</v>
      </c>
      <c r="W378" s="20">
        <f t="shared" si="195"/>
        <v>9</v>
      </c>
      <c r="X378" s="20">
        <f t="shared" si="195"/>
        <v>14</v>
      </c>
      <c r="Y378" s="20">
        <f t="shared" si="194"/>
        <v>0</v>
      </c>
      <c r="Z378" s="20">
        <f t="shared" si="194"/>
        <v>0</v>
      </c>
      <c r="AA378" s="20">
        <f t="shared" si="194"/>
        <v>0</v>
      </c>
      <c r="AC378" s="3">
        <f t="shared" si="176"/>
        <v>77</v>
      </c>
      <c r="AD378" s="3">
        <f t="shared" si="177"/>
        <v>72</v>
      </c>
      <c r="AE378" s="3">
        <f t="shared" si="178"/>
        <v>67</v>
      </c>
      <c r="AF378" s="3">
        <f t="shared" si="179"/>
        <v>61</v>
      </c>
      <c r="AG378" s="3">
        <f t="shared" si="180"/>
        <v>56</v>
      </c>
      <c r="AH378" s="3">
        <f t="shared" si="181"/>
        <v>51</v>
      </c>
      <c r="AI378" s="3">
        <f t="shared" si="182"/>
        <v>46</v>
      </c>
      <c r="AJ378" s="3">
        <f t="shared" si="183"/>
        <v>40</v>
      </c>
      <c r="AK378" s="3">
        <f t="shared" si="184"/>
        <v>35</v>
      </c>
      <c r="AL378" s="3">
        <f t="shared" si="185"/>
        <v>30</v>
      </c>
      <c r="AM378" s="3">
        <f t="shared" si="186"/>
        <v>25</v>
      </c>
      <c r="AN378" s="3">
        <f t="shared" si="187"/>
        <v>19</v>
      </c>
      <c r="AO378" s="3">
        <f t="shared" si="188"/>
        <v>0</v>
      </c>
      <c r="AP378" s="3">
        <f t="shared" si="189"/>
        <v>93</v>
      </c>
      <c r="AQ378" s="3">
        <f t="shared" si="190"/>
        <v>88</v>
      </c>
      <c r="AR378" s="3">
        <f t="shared" si="191"/>
        <v>82</v>
      </c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M378" s="35" t="s">
        <v>12</v>
      </c>
      <c r="BO378" s="35"/>
      <c r="BR378" s="9" t="str">
        <f t="shared" si="166"/>
        <v/>
      </c>
      <c r="BS378" s="37" t="str">
        <f t="shared" si="167"/>
        <v/>
      </c>
      <c r="BT378" s="38" t="str">
        <f t="shared" si="193"/>
        <v/>
      </c>
      <c r="BU378" s="36" t="str">
        <f t="shared" si="168"/>
        <v/>
      </c>
    </row>
    <row r="379" spans="2:73" ht="15">
      <c r="B379" s="16">
        <f t="shared" si="169"/>
        <v>45726</v>
      </c>
      <c r="C379" s="15" t="s">
        <v>1</v>
      </c>
      <c r="D379" s="17">
        <f t="shared" si="170"/>
        <v>45732</v>
      </c>
      <c r="E379" s="18">
        <f t="shared" si="171"/>
        <v>3</v>
      </c>
      <c r="F379" s="19">
        <f t="shared" si="172"/>
        <v>2025</v>
      </c>
      <c r="G379" s="9">
        <f t="shared" si="196"/>
        <v>17</v>
      </c>
      <c r="H379" s="8">
        <f t="shared" si="196"/>
        <v>95</v>
      </c>
      <c r="I379" s="9"/>
      <c r="J379" s="9"/>
      <c r="K379" s="9"/>
      <c r="L379" s="9"/>
      <c r="M379" s="9"/>
      <c r="N379" s="9"/>
      <c r="O379" s="12"/>
      <c r="P379" s="12"/>
      <c r="Q379" s="12"/>
      <c r="R379" s="12"/>
      <c r="S379" s="12"/>
      <c r="T379" s="12"/>
      <c r="V379" s="20">
        <f t="shared" si="195"/>
        <v>5</v>
      </c>
      <c r="W379" s="20">
        <f t="shared" si="195"/>
        <v>10</v>
      </c>
      <c r="X379" s="20">
        <f t="shared" si="195"/>
        <v>15</v>
      </c>
      <c r="Y379" s="20">
        <f t="shared" si="194"/>
        <v>0</v>
      </c>
      <c r="Z379" s="20">
        <f t="shared" si="194"/>
        <v>0</v>
      </c>
      <c r="AA379" s="20">
        <f t="shared" si="194"/>
        <v>0</v>
      </c>
      <c r="AC379" s="3">
        <f t="shared" si="176"/>
        <v>78</v>
      </c>
      <c r="AD379" s="3">
        <f t="shared" si="177"/>
        <v>73</v>
      </c>
      <c r="AE379" s="3">
        <f t="shared" si="178"/>
        <v>68</v>
      </c>
      <c r="AF379" s="3">
        <f t="shared" si="179"/>
        <v>62</v>
      </c>
      <c r="AG379" s="3">
        <f t="shared" si="180"/>
        <v>57</v>
      </c>
      <c r="AH379" s="3">
        <f t="shared" si="181"/>
        <v>52</v>
      </c>
      <c r="AI379" s="3">
        <f t="shared" si="182"/>
        <v>47</v>
      </c>
      <c r="AJ379" s="3">
        <f t="shared" si="183"/>
        <v>41</v>
      </c>
      <c r="AK379" s="3">
        <f t="shared" si="184"/>
        <v>36</v>
      </c>
      <c r="AL379" s="3">
        <f t="shared" si="185"/>
        <v>31</v>
      </c>
      <c r="AM379" s="3">
        <f t="shared" si="186"/>
        <v>26</v>
      </c>
      <c r="AN379" s="3">
        <f t="shared" si="187"/>
        <v>20</v>
      </c>
      <c r="AO379" s="3">
        <f t="shared" si="188"/>
        <v>0</v>
      </c>
      <c r="AP379" s="3">
        <f t="shared" si="189"/>
        <v>94</v>
      </c>
      <c r="AQ379" s="3">
        <f t="shared" si="190"/>
        <v>89</v>
      </c>
      <c r="AR379" s="3">
        <f t="shared" si="191"/>
        <v>83</v>
      </c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M379" s="35" t="s">
        <v>12</v>
      </c>
      <c r="BO379" s="35"/>
      <c r="BR379" s="9" t="str">
        <f t="shared" si="166"/>
        <v/>
      </c>
      <c r="BS379" s="37" t="str">
        <f t="shared" si="167"/>
        <v/>
      </c>
      <c r="BT379" s="38" t="str">
        <f t="shared" si="193"/>
        <v/>
      </c>
      <c r="BU379" s="36" t="str">
        <f t="shared" si="168"/>
        <v/>
      </c>
    </row>
    <row r="380" spans="2:73" ht="15">
      <c r="B380" s="16">
        <f t="shared" si="169"/>
        <v>45733</v>
      </c>
      <c r="C380" s="15" t="s">
        <v>1</v>
      </c>
      <c r="D380" s="17">
        <f t="shared" si="170"/>
        <v>45739</v>
      </c>
      <c r="E380" s="18">
        <f t="shared" si="171"/>
        <v>3</v>
      </c>
      <c r="F380" s="19">
        <f t="shared" si="172"/>
        <v>2025</v>
      </c>
      <c r="G380" s="9">
        <f t="shared" si="196"/>
        <v>17</v>
      </c>
      <c r="H380" s="8">
        <f t="shared" si="196"/>
        <v>95</v>
      </c>
      <c r="I380" s="9"/>
      <c r="J380" s="9"/>
      <c r="K380" s="9"/>
      <c r="L380" s="9"/>
      <c r="M380" s="9"/>
      <c r="N380" s="9"/>
      <c r="O380" s="12"/>
      <c r="P380" s="12"/>
      <c r="Q380" s="12"/>
      <c r="R380" s="12">
        <v>1</v>
      </c>
      <c r="S380" s="12"/>
      <c r="T380" s="12"/>
      <c r="V380" s="20">
        <f t="shared" si="195"/>
        <v>6</v>
      </c>
      <c r="W380" s="20">
        <f t="shared" si="195"/>
        <v>11</v>
      </c>
      <c r="X380" s="20">
        <f t="shared" si="195"/>
        <v>16</v>
      </c>
      <c r="Y380" s="20">
        <f t="shared" si="194"/>
        <v>45735</v>
      </c>
      <c r="Z380" s="20">
        <f t="shared" si="194"/>
        <v>0</v>
      </c>
      <c r="AA380" s="20">
        <f t="shared" si="194"/>
        <v>0</v>
      </c>
      <c r="AC380" s="3">
        <f t="shared" si="176"/>
        <v>79</v>
      </c>
      <c r="AD380" s="3">
        <f t="shared" si="177"/>
        <v>74</v>
      </c>
      <c r="AE380" s="3">
        <f t="shared" si="178"/>
        <v>69</v>
      </c>
      <c r="AF380" s="3">
        <f t="shared" si="179"/>
        <v>63</v>
      </c>
      <c r="AG380" s="3">
        <f t="shared" si="180"/>
        <v>58</v>
      </c>
      <c r="AH380" s="3">
        <f t="shared" si="181"/>
        <v>53</v>
      </c>
      <c r="AI380" s="3">
        <f t="shared" si="182"/>
        <v>48</v>
      </c>
      <c r="AJ380" s="3">
        <f t="shared" si="183"/>
        <v>42</v>
      </c>
      <c r="AK380" s="3">
        <f t="shared" si="184"/>
        <v>37</v>
      </c>
      <c r="AL380" s="3">
        <f t="shared" si="185"/>
        <v>32</v>
      </c>
      <c r="AM380" s="3">
        <f t="shared" si="186"/>
        <v>27</v>
      </c>
      <c r="AN380" s="3">
        <f t="shared" si="187"/>
        <v>21</v>
      </c>
      <c r="AO380" s="3">
        <f t="shared" si="188"/>
        <v>0</v>
      </c>
      <c r="AP380" s="3">
        <f t="shared" si="189"/>
        <v>95</v>
      </c>
      <c r="AQ380" s="3">
        <f t="shared" si="190"/>
        <v>90</v>
      </c>
      <c r="AR380" s="3">
        <f t="shared" si="191"/>
        <v>84</v>
      </c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M380" s="35" t="s">
        <v>12</v>
      </c>
      <c r="BO380" s="35"/>
      <c r="BR380" s="9">
        <f t="shared" si="166"/>
        <v>4</v>
      </c>
      <c r="BS380" s="37">
        <f t="shared" si="167"/>
        <v>45735</v>
      </c>
      <c r="BT380" s="38">
        <f t="shared" si="193"/>
        <v>45854</v>
      </c>
      <c r="BU380" s="36">
        <f t="shared" si="168"/>
        <v>16</v>
      </c>
    </row>
    <row r="381" spans="2:73" ht="15">
      <c r="B381" s="16">
        <f t="shared" si="169"/>
        <v>45740</v>
      </c>
      <c r="C381" s="15" t="s">
        <v>1</v>
      </c>
      <c r="D381" s="17">
        <f t="shared" si="170"/>
        <v>45746</v>
      </c>
      <c r="E381" s="18">
        <f t="shared" si="171"/>
        <v>3</v>
      </c>
      <c r="F381" s="19">
        <f t="shared" si="172"/>
        <v>2025</v>
      </c>
      <c r="G381" s="9">
        <f t="shared" si="196"/>
        <v>17</v>
      </c>
      <c r="H381" s="8">
        <f t="shared" si="196"/>
        <v>95</v>
      </c>
      <c r="I381" s="9"/>
      <c r="J381" s="9"/>
      <c r="K381" s="9"/>
      <c r="L381" s="9"/>
      <c r="M381" s="9"/>
      <c r="N381" s="9"/>
      <c r="O381" s="12"/>
      <c r="P381" s="12"/>
      <c r="Q381" s="12"/>
      <c r="R381" s="12"/>
      <c r="S381" s="12"/>
      <c r="T381" s="12"/>
      <c r="V381" s="20">
        <f t="shared" si="195"/>
        <v>7</v>
      </c>
      <c r="W381" s="20">
        <f t="shared" si="195"/>
        <v>12</v>
      </c>
      <c r="X381" s="20">
        <f t="shared" si="195"/>
        <v>17</v>
      </c>
      <c r="Y381" s="20">
        <f t="shared" si="194"/>
        <v>1</v>
      </c>
      <c r="Z381" s="20">
        <f t="shared" si="194"/>
        <v>0</v>
      </c>
      <c r="AA381" s="20">
        <f t="shared" si="194"/>
        <v>0</v>
      </c>
      <c r="AC381" s="3">
        <f t="shared" si="176"/>
        <v>80</v>
      </c>
      <c r="AD381" s="3">
        <f t="shared" si="177"/>
        <v>75</v>
      </c>
      <c r="AE381" s="3">
        <f t="shared" si="178"/>
        <v>70</v>
      </c>
      <c r="AF381" s="3">
        <f t="shared" si="179"/>
        <v>64</v>
      </c>
      <c r="AG381" s="3">
        <f t="shared" si="180"/>
        <v>59</v>
      </c>
      <c r="AH381" s="3">
        <f t="shared" si="181"/>
        <v>54</v>
      </c>
      <c r="AI381" s="3">
        <f t="shared" si="182"/>
        <v>49</v>
      </c>
      <c r="AJ381" s="3">
        <f t="shared" si="183"/>
        <v>43</v>
      </c>
      <c r="AK381" s="3">
        <f t="shared" si="184"/>
        <v>38</v>
      </c>
      <c r="AL381" s="3">
        <f t="shared" si="185"/>
        <v>33</v>
      </c>
      <c r="AM381" s="3">
        <f t="shared" si="186"/>
        <v>28</v>
      </c>
      <c r="AN381" s="3">
        <f t="shared" si="187"/>
        <v>22</v>
      </c>
      <c r="AO381" s="3">
        <f t="shared" si="188"/>
        <v>17</v>
      </c>
      <c r="AP381" s="3">
        <f t="shared" si="189"/>
        <v>0</v>
      </c>
      <c r="AQ381" s="3">
        <f t="shared" si="190"/>
        <v>91</v>
      </c>
      <c r="AR381" s="3">
        <f t="shared" si="191"/>
        <v>85</v>
      </c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>
        <v>3</v>
      </c>
      <c r="BF381" s="8"/>
      <c r="BG381" s="8"/>
      <c r="BH381" s="8"/>
      <c r="BM381" s="35" t="s">
        <v>12</v>
      </c>
      <c r="BO381" s="35"/>
      <c r="BR381" s="9" t="str">
        <f t="shared" si="166"/>
        <v/>
      </c>
      <c r="BS381" s="37" t="str">
        <f t="shared" si="167"/>
        <v/>
      </c>
      <c r="BT381" s="38" t="str">
        <f t="shared" si="193"/>
        <v/>
      </c>
      <c r="BU381" s="36" t="str">
        <f t="shared" si="168"/>
        <v/>
      </c>
    </row>
    <row r="382" spans="2:73" ht="15">
      <c r="B382" s="16">
        <f t="shared" si="169"/>
        <v>45747</v>
      </c>
      <c r="C382" s="15" t="s">
        <v>1</v>
      </c>
      <c r="D382" s="17">
        <f t="shared" si="170"/>
        <v>45753</v>
      </c>
      <c r="E382" s="18">
        <f t="shared" si="171"/>
        <v>3</v>
      </c>
      <c r="F382" s="19">
        <f t="shared" si="172"/>
        <v>2025</v>
      </c>
      <c r="G382" s="9">
        <f t="shared" si="196"/>
        <v>17</v>
      </c>
      <c r="H382" s="8">
        <f t="shared" si="196"/>
        <v>95</v>
      </c>
      <c r="I382" s="9"/>
      <c r="J382" s="9"/>
      <c r="K382" s="9"/>
      <c r="L382" s="9"/>
      <c r="M382" s="9"/>
      <c r="N382" s="9"/>
      <c r="O382" s="12"/>
      <c r="P382" s="12"/>
      <c r="Q382" s="12"/>
      <c r="R382" s="12"/>
      <c r="S382" s="12"/>
      <c r="T382" s="12"/>
      <c r="V382" s="20">
        <f t="shared" si="195"/>
        <v>8</v>
      </c>
      <c r="W382" s="20">
        <f t="shared" si="195"/>
        <v>13</v>
      </c>
      <c r="X382" s="20">
        <f t="shared" si="195"/>
        <v>0</v>
      </c>
      <c r="Y382" s="20">
        <f t="shared" si="194"/>
        <v>2</v>
      </c>
      <c r="Z382" s="20">
        <f t="shared" si="194"/>
        <v>0</v>
      </c>
      <c r="AA382" s="20">
        <f t="shared" si="194"/>
        <v>0</v>
      </c>
      <c r="AC382" s="3">
        <f t="shared" si="176"/>
        <v>81</v>
      </c>
      <c r="AD382" s="3">
        <f t="shared" si="177"/>
        <v>76</v>
      </c>
      <c r="AE382" s="3">
        <f t="shared" si="178"/>
        <v>71</v>
      </c>
      <c r="AF382" s="3">
        <f t="shared" si="179"/>
        <v>65</v>
      </c>
      <c r="AG382" s="3">
        <f t="shared" si="180"/>
        <v>60</v>
      </c>
      <c r="AH382" s="3">
        <f t="shared" si="181"/>
        <v>55</v>
      </c>
      <c r="AI382" s="3">
        <f t="shared" si="182"/>
        <v>50</v>
      </c>
      <c r="AJ382" s="3">
        <f t="shared" si="183"/>
        <v>44</v>
      </c>
      <c r="AK382" s="3">
        <f t="shared" si="184"/>
        <v>39</v>
      </c>
      <c r="AL382" s="3">
        <f t="shared" si="185"/>
        <v>34</v>
      </c>
      <c r="AM382" s="3">
        <f t="shared" si="186"/>
        <v>29</v>
      </c>
      <c r="AN382" s="3">
        <f t="shared" si="187"/>
        <v>23</v>
      </c>
      <c r="AO382" s="3">
        <f t="shared" si="188"/>
        <v>18</v>
      </c>
      <c r="AP382" s="3">
        <f t="shared" si="189"/>
        <v>0</v>
      </c>
      <c r="AQ382" s="3">
        <f t="shared" si="190"/>
        <v>92</v>
      </c>
      <c r="AR382" s="3">
        <f t="shared" si="191"/>
        <v>86</v>
      </c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M382" s="35" t="s">
        <v>12</v>
      </c>
      <c r="BO382" s="35"/>
      <c r="BR382" s="9" t="str">
        <f t="shared" si="166"/>
        <v/>
      </c>
      <c r="BS382" s="37" t="str">
        <f t="shared" si="167"/>
        <v/>
      </c>
      <c r="BT382" s="38" t="str">
        <f t="shared" si="193"/>
        <v/>
      </c>
      <c r="BU382" s="36" t="str">
        <f t="shared" si="168"/>
        <v/>
      </c>
    </row>
    <row r="383" spans="2:73" ht="15">
      <c r="B383" s="16">
        <f t="shared" si="169"/>
        <v>45754</v>
      </c>
      <c r="C383" s="15" t="s">
        <v>1</v>
      </c>
      <c r="D383" s="17">
        <f t="shared" si="170"/>
        <v>45760</v>
      </c>
      <c r="E383" s="18">
        <f t="shared" si="171"/>
        <v>4</v>
      </c>
      <c r="F383" s="19">
        <f t="shared" si="172"/>
        <v>2025</v>
      </c>
      <c r="G383" s="9">
        <f t="shared" si="196"/>
        <v>17</v>
      </c>
      <c r="H383" s="8">
        <f t="shared" si="196"/>
        <v>95</v>
      </c>
      <c r="I383" s="9"/>
      <c r="J383" s="9"/>
      <c r="K383" s="9"/>
      <c r="L383" s="9"/>
      <c r="M383" s="9"/>
      <c r="N383" s="9"/>
      <c r="O383" s="12"/>
      <c r="P383" s="12"/>
      <c r="Q383" s="12"/>
      <c r="R383" s="12"/>
      <c r="S383" s="12"/>
      <c r="T383" s="12"/>
      <c r="V383" s="20">
        <f t="shared" si="195"/>
        <v>9</v>
      </c>
      <c r="W383" s="20">
        <f t="shared" si="195"/>
        <v>14</v>
      </c>
      <c r="X383" s="20">
        <f t="shared" si="195"/>
        <v>0</v>
      </c>
      <c r="Y383" s="20">
        <f t="shared" si="194"/>
        <v>3</v>
      </c>
      <c r="Z383" s="20">
        <f t="shared" si="194"/>
        <v>0</v>
      </c>
      <c r="AA383" s="20">
        <f t="shared" si="194"/>
        <v>0</v>
      </c>
      <c r="AC383" s="3">
        <f t="shared" si="176"/>
        <v>82</v>
      </c>
      <c r="AD383" s="3">
        <f t="shared" si="177"/>
        <v>77</v>
      </c>
      <c r="AE383" s="3">
        <f t="shared" si="178"/>
        <v>72</v>
      </c>
      <c r="AF383" s="3">
        <f t="shared" si="179"/>
        <v>66</v>
      </c>
      <c r="AG383" s="3">
        <f t="shared" si="180"/>
        <v>61</v>
      </c>
      <c r="AH383" s="3">
        <f t="shared" si="181"/>
        <v>56</v>
      </c>
      <c r="AI383" s="3">
        <f t="shared" si="182"/>
        <v>51</v>
      </c>
      <c r="AJ383" s="3">
        <f t="shared" si="183"/>
        <v>45</v>
      </c>
      <c r="AK383" s="3">
        <f t="shared" si="184"/>
        <v>40</v>
      </c>
      <c r="AL383" s="3">
        <f t="shared" si="185"/>
        <v>35</v>
      </c>
      <c r="AM383" s="3">
        <f t="shared" si="186"/>
        <v>30</v>
      </c>
      <c r="AN383" s="3">
        <f t="shared" si="187"/>
        <v>24</v>
      </c>
      <c r="AO383" s="3">
        <f t="shared" si="188"/>
        <v>19</v>
      </c>
      <c r="AP383" s="3">
        <f t="shared" si="189"/>
        <v>0</v>
      </c>
      <c r="AQ383" s="3">
        <f t="shared" si="190"/>
        <v>93</v>
      </c>
      <c r="AR383" s="3">
        <f t="shared" si="191"/>
        <v>87</v>
      </c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M383" s="35" t="s">
        <v>12</v>
      </c>
      <c r="BO383" s="35"/>
      <c r="BR383" s="9" t="str">
        <f t="shared" si="166"/>
        <v/>
      </c>
      <c r="BS383" s="37" t="str">
        <f t="shared" si="167"/>
        <v/>
      </c>
      <c r="BT383" s="38" t="str">
        <f t="shared" si="193"/>
        <v/>
      </c>
      <c r="BU383" s="36" t="str">
        <f t="shared" si="168"/>
        <v/>
      </c>
    </row>
    <row r="384" spans="2:73" ht="15">
      <c r="B384" s="16">
        <f t="shared" si="169"/>
        <v>45761</v>
      </c>
      <c r="C384" s="15" t="s">
        <v>1</v>
      </c>
      <c r="D384" s="17">
        <f t="shared" si="170"/>
        <v>45767</v>
      </c>
      <c r="E384" s="18">
        <f t="shared" si="171"/>
        <v>4</v>
      </c>
      <c r="F384" s="19">
        <f t="shared" si="172"/>
        <v>2025</v>
      </c>
      <c r="G384" s="9">
        <f t="shared" si="196"/>
        <v>17</v>
      </c>
      <c r="H384" s="8">
        <f t="shared" si="196"/>
        <v>95</v>
      </c>
      <c r="I384" s="9"/>
      <c r="J384" s="9"/>
      <c r="K384" s="9"/>
      <c r="L384" s="9"/>
      <c r="M384" s="9"/>
      <c r="N384" s="9"/>
      <c r="O384" s="12"/>
      <c r="P384" s="12"/>
      <c r="Q384" s="12"/>
      <c r="R384" s="12"/>
      <c r="S384" s="12"/>
      <c r="T384" s="12"/>
      <c r="V384" s="20">
        <f t="shared" si="195"/>
        <v>10</v>
      </c>
      <c r="W384" s="20">
        <f t="shared" si="195"/>
        <v>15</v>
      </c>
      <c r="X384" s="20">
        <f t="shared" si="195"/>
        <v>0</v>
      </c>
      <c r="Y384" s="20">
        <f t="shared" si="194"/>
        <v>4</v>
      </c>
      <c r="Z384" s="20">
        <f t="shared" si="194"/>
        <v>0</v>
      </c>
      <c r="AA384" s="20">
        <f t="shared" si="194"/>
        <v>0</v>
      </c>
      <c r="AC384" s="3">
        <f t="shared" si="176"/>
        <v>83</v>
      </c>
      <c r="AD384" s="3">
        <f t="shared" si="177"/>
        <v>78</v>
      </c>
      <c r="AE384" s="3">
        <f t="shared" si="178"/>
        <v>73</v>
      </c>
      <c r="AF384" s="3">
        <f t="shared" si="179"/>
        <v>67</v>
      </c>
      <c r="AG384" s="3">
        <f t="shared" si="180"/>
        <v>62</v>
      </c>
      <c r="AH384" s="3">
        <f t="shared" si="181"/>
        <v>57</v>
      </c>
      <c r="AI384" s="3">
        <f t="shared" si="182"/>
        <v>52</v>
      </c>
      <c r="AJ384" s="3">
        <f t="shared" si="183"/>
        <v>46</v>
      </c>
      <c r="AK384" s="3">
        <f t="shared" si="184"/>
        <v>41</v>
      </c>
      <c r="AL384" s="3">
        <f t="shared" si="185"/>
        <v>36</v>
      </c>
      <c r="AM384" s="3">
        <f t="shared" si="186"/>
        <v>31</v>
      </c>
      <c r="AN384" s="3">
        <f t="shared" si="187"/>
        <v>25</v>
      </c>
      <c r="AO384" s="3">
        <f t="shared" si="188"/>
        <v>20</v>
      </c>
      <c r="AP384" s="3">
        <f t="shared" si="189"/>
        <v>0</v>
      </c>
      <c r="AQ384" s="3">
        <f t="shared" si="190"/>
        <v>94</v>
      </c>
      <c r="AR384" s="3">
        <f t="shared" si="191"/>
        <v>88</v>
      </c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M384" s="35" t="s">
        <v>12</v>
      </c>
      <c r="BO384" s="35"/>
      <c r="BR384" s="9" t="str">
        <f t="shared" si="166"/>
        <v/>
      </c>
      <c r="BS384" s="37" t="str">
        <f t="shared" si="167"/>
        <v/>
      </c>
      <c r="BT384" s="38" t="str">
        <f t="shared" si="193"/>
        <v/>
      </c>
      <c r="BU384" s="36" t="str">
        <f t="shared" si="168"/>
        <v/>
      </c>
    </row>
    <row r="385" spans="2:73" ht="15">
      <c r="B385" s="16">
        <f t="shared" si="169"/>
        <v>45768</v>
      </c>
      <c r="C385" s="15" t="s">
        <v>1</v>
      </c>
      <c r="D385" s="17">
        <f t="shared" si="170"/>
        <v>45774</v>
      </c>
      <c r="E385" s="18">
        <f t="shared" si="171"/>
        <v>4</v>
      </c>
      <c r="F385" s="19">
        <f t="shared" si="172"/>
        <v>2025</v>
      </c>
      <c r="G385" s="9">
        <f t="shared" si="196"/>
        <v>17</v>
      </c>
      <c r="H385" s="8">
        <f t="shared" si="196"/>
        <v>95</v>
      </c>
      <c r="I385" s="9"/>
      <c r="J385" s="9"/>
      <c r="K385" s="9"/>
      <c r="L385" s="9"/>
      <c r="M385" s="9"/>
      <c r="N385" s="9"/>
      <c r="O385" s="12"/>
      <c r="P385" s="12"/>
      <c r="Q385" s="12">
        <v>1</v>
      </c>
      <c r="R385" s="12"/>
      <c r="S385" s="12"/>
      <c r="T385" s="12"/>
      <c r="V385" s="20">
        <f t="shared" si="195"/>
        <v>11</v>
      </c>
      <c r="W385" s="20">
        <f t="shared" si="195"/>
        <v>16</v>
      </c>
      <c r="X385" s="20">
        <f t="shared" si="195"/>
        <v>45770</v>
      </c>
      <c r="Y385" s="20">
        <f t="shared" si="194"/>
        <v>5</v>
      </c>
      <c r="Z385" s="20">
        <f t="shared" si="194"/>
        <v>0</v>
      </c>
      <c r="AA385" s="20">
        <f t="shared" si="194"/>
        <v>0</v>
      </c>
      <c r="AC385" s="3">
        <f t="shared" si="176"/>
        <v>84</v>
      </c>
      <c r="AD385" s="3">
        <f t="shared" si="177"/>
        <v>79</v>
      </c>
      <c r="AE385" s="3">
        <f t="shared" si="178"/>
        <v>74</v>
      </c>
      <c r="AF385" s="3">
        <f t="shared" si="179"/>
        <v>68</v>
      </c>
      <c r="AG385" s="3">
        <f t="shared" si="180"/>
        <v>63</v>
      </c>
      <c r="AH385" s="3">
        <f t="shared" si="181"/>
        <v>58</v>
      </c>
      <c r="AI385" s="3">
        <f t="shared" si="182"/>
        <v>53</v>
      </c>
      <c r="AJ385" s="3">
        <f t="shared" si="183"/>
        <v>47</v>
      </c>
      <c r="AK385" s="3">
        <f t="shared" si="184"/>
        <v>42</v>
      </c>
      <c r="AL385" s="3">
        <f t="shared" si="185"/>
        <v>37</v>
      </c>
      <c r="AM385" s="3">
        <f t="shared" si="186"/>
        <v>32</v>
      </c>
      <c r="AN385" s="3">
        <f t="shared" si="187"/>
        <v>26</v>
      </c>
      <c r="AO385" s="3">
        <f t="shared" si="188"/>
        <v>21</v>
      </c>
      <c r="AP385" s="3">
        <f t="shared" si="189"/>
        <v>0</v>
      </c>
      <c r="AQ385" s="3">
        <f t="shared" si="190"/>
        <v>95</v>
      </c>
      <c r="AR385" s="3">
        <f t="shared" si="191"/>
        <v>89</v>
      </c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M385" s="35" t="s">
        <v>12</v>
      </c>
      <c r="BO385" s="35"/>
      <c r="BR385" s="9">
        <f t="shared" si="166"/>
        <v>3</v>
      </c>
      <c r="BS385" s="37">
        <f t="shared" si="167"/>
        <v>45770</v>
      </c>
      <c r="BT385" s="38">
        <f t="shared" si="193"/>
        <v>45889</v>
      </c>
      <c r="BU385" s="36" t="str">
        <f t="shared" si="168"/>
        <v/>
      </c>
    </row>
    <row r="386" spans="2:73" ht="15">
      <c r="B386" s="16">
        <f t="shared" si="169"/>
        <v>45775</v>
      </c>
      <c r="C386" s="15" t="s">
        <v>1</v>
      </c>
      <c r="D386" s="17">
        <f t="shared" si="170"/>
        <v>45781</v>
      </c>
      <c r="E386" s="18">
        <f t="shared" si="171"/>
        <v>4</v>
      </c>
      <c r="F386" s="19">
        <f t="shared" si="172"/>
        <v>2025</v>
      </c>
      <c r="G386" s="9">
        <f t="shared" si="196"/>
        <v>17</v>
      </c>
      <c r="H386" s="8">
        <f t="shared" si="196"/>
        <v>95</v>
      </c>
      <c r="I386" s="9"/>
      <c r="J386" s="9"/>
      <c r="K386" s="9"/>
      <c r="L386" s="9"/>
      <c r="M386" s="9"/>
      <c r="N386" s="9"/>
      <c r="O386" s="12"/>
      <c r="P386" s="12"/>
      <c r="Q386" s="12"/>
      <c r="R386" s="12"/>
      <c r="S386" s="12"/>
      <c r="T386" s="12"/>
      <c r="V386" s="20">
        <f t="shared" si="195"/>
        <v>12</v>
      </c>
      <c r="W386" s="20">
        <f t="shared" si="195"/>
        <v>17</v>
      </c>
      <c r="X386" s="20">
        <f t="shared" si="195"/>
        <v>1</v>
      </c>
      <c r="Y386" s="20">
        <f t="shared" si="194"/>
        <v>6</v>
      </c>
      <c r="Z386" s="20">
        <f t="shared" si="194"/>
        <v>0</v>
      </c>
      <c r="AA386" s="20">
        <f t="shared" si="194"/>
        <v>0</v>
      </c>
      <c r="AC386" s="3">
        <f t="shared" si="176"/>
        <v>85</v>
      </c>
      <c r="AD386" s="3">
        <f t="shared" si="177"/>
        <v>80</v>
      </c>
      <c r="AE386" s="3">
        <f t="shared" si="178"/>
        <v>75</v>
      </c>
      <c r="AF386" s="3">
        <f t="shared" si="179"/>
        <v>69</v>
      </c>
      <c r="AG386" s="3">
        <f t="shared" si="180"/>
        <v>64</v>
      </c>
      <c r="AH386" s="3">
        <f t="shared" si="181"/>
        <v>59</v>
      </c>
      <c r="AI386" s="3">
        <f t="shared" si="182"/>
        <v>54</v>
      </c>
      <c r="AJ386" s="3">
        <f t="shared" si="183"/>
        <v>48</v>
      </c>
      <c r="AK386" s="3">
        <f t="shared" si="184"/>
        <v>43</v>
      </c>
      <c r="AL386" s="3">
        <f t="shared" si="185"/>
        <v>38</v>
      </c>
      <c r="AM386" s="3">
        <f t="shared" si="186"/>
        <v>33</v>
      </c>
      <c r="AN386" s="3">
        <f t="shared" si="187"/>
        <v>27</v>
      </c>
      <c r="AO386" s="3">
        <f t="shared" si="188"/>
        <v>22</v>
      </c>
      <c r="AP386" s="3">
        <f t="shared" si="189"/>
        <v>17</v>
      </c>
      <c r="AQ386" s="3">
        <f t="shared" si="190"/>
        <v>0</v>
      </c>
      <c r="AR386" s="3">
        <f t="shared" si="191"/>
        <v>90</v>
      </c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>
        <v>2</v>
      </c>
      <c r="BG386" s="8"/>
      <c r="BH386" s="8"/>
      <c r="BM386" s="35" t="s">
        <v>12</v>
      </c>
      <c r="BO386" s="35"/>
      <c r="BR386" s="9" t="str">
        <f t="shared" si="166"/>
        <v/>
      </c>
      <c r="BS386" s="37" t="str">
        <f t="shared" si="167"/>
        <v/>
      </c>
      <c r="BT386" s="38" t="str">
        <f t="shared" si="193"/>
        <v/>
      </c>
      <c r="BU386" s="36" t="str">
        <f t="shared" si="168"/>
        <v/>
      </c>
    </row>
    <row r="387" spans="2:73" ht="15">
      <c r="B387" s="16">
        <f t="shared" si="169"/>
        <v>45782</v>
      </c>
      <c r="C387" s="15" t="s">
        <v>1</v>
      </c>
      <c r="D387" s="17">
        <f t="shared" si="170"/>
        <v>45788</v>
      </c>
      <c r="E387" s="18">
        <f t="shared" si="171"/>
        <v>5</v>
      </c>
      <c r="F387" s="19">
        <f t="shared" si="172"/>
        <v>2025</v>
      </c>
      <c r="G387" s="9">
        <f t="shared" si="196"/>
        <v>17</v>
      </c>
      <c r="H387" s="8">
        <f t="shared" si="196"/>
        <v>95</v>
      </c>
      <c r="I387" s="9"/>
      <c r="J387" s="9"/>
      <c r="K387" s="9"/>
      <c r="L387" s="9"/>
      <c r="M387" s="9"/>
      <c r="N387" s="9"/>
      <c r="O387" s="12"/>
      <c r="P387" s="12"/>
      <c r="Q387" s="12"/>
      <c r="R387" s="12"/>
      <c r="S387" s="12"/>
      <c r="T387" s="12"/>
      <c r="V387" s="20">
        <f t="shared" si="195"/>
        <v>13</v>
      </c>
      <c r="W387" s="20">
        <f t="shared" si="195"/>
        <v>0</v>
      </c>
      <c r="X387" s="20">
        <f t="shared" si="195"/>
        <v>2</v>
      </c>
      <c r="Y387" s="20">
        <f t="shared" si="194"/>
        <v>7</v>
      </c>
      <c r="Z387" s="20">
        <f t="shared" si="194"/>
        <v>0</v>
      </c>
      <c r="AA387" s="20">
        <f t="shared" si="194"/>
        <v>0</v>
      </c>
      <c r="AC387" s="3">
        <f t="shared" si="176"/>
        <v>86</v>
      </c>
      <c r="AD387" s="3">
        <f t="shared" si="177"/>
        <v>81</v>
      </c>
      <c r="AE387" s="3">
        <f t="shared" si="178"/>
        <v>76</v>
      </c>
      <c r="AF387" s="3">
        <f t="shared" si="179"/>
        <v>70</v>
      </c>
      <c r="AG387" s="3">
        <f t="shared" si="180"/>
        <v>65</v>
      </c>
      <c r="AH387" s="3">
        <f t="shared" si="181"/>
        <v>60</v>
      </c>
      <c r="AI387" s="3">
        <f t="shared" si="182"/>
        <v>55</v>
      </c>
      <c r="AJ387" s="3">
        <f t="shared" si="183"/>
        <v>49</v>
      </c>
      <c r="AK387" s="3">
        <f t="shared" si="184"/>
        <v>44</v>
      </c>
      <c r="AL387" s="3">
        <f t="shared" si="185"/>
        <v>39</v>
      </c>
      <c r="AM387" s="3">
        <f t="shared" si="186"/>
        <v>34</v>
      </c>
      <c r="AN387" s="3">
        <f t="shared" si="187"/>
        <v>28</v>
      </c>
      <c r="AO387" s="3">
        <f t="shared" si="188"/>
        <v>23</v>
      </c>
      <c r="AP387" s="3">
        <f t="shared" si="189"/>
        <v>18</v>
      </c>
      <c r="AQ387" s="3">
        <f t="shared" si="190"/>
        <v>0</v>
      </c>
      <c r="AR387" s="3">
        <f t="shared" si="191"/>
        <v>91</v>
      </c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M387" s="35" t="s">
        <v>12</v>
      </c>
      <c r="BO387" s="35"/>
      <c r="BR387" s="9" t="str">
        <f t="shared" si="166"/>
        <v/>
      </c>
      <c r="BS387" s="37" t="str">
        <f t="shared" si="167"/>
        <v/>
      </c>
      <c r="BT387" s="38" t="str">
        <f t="shared" si="193"/>
        <v/>
      </c>
      <c r="BU387" s="36" t="str">
        <f t="shared" si="168"/>
        <v/>
      </c>
    </row>
    <row r="388" spans="2:73" ht="15">
      <c r="B388" s="16">
        <f t="shared" si="169"/>
        <v>45789</v>
      </c>
      <c r="C388" s="15" t="s">
        <v>1</v>
      </c>
      <c r="D388" s="17">
        <f t="shared" si="170"/>
        <v>45795</v>
      </c>
      <c r="E388" s="18">
        <f t="shared" si="171"/>
        <v>5</v>
      </c>
      <c r="F388" s="19">
        <f t="shared" si="172"/>
        <v>2025</v>
      </c>
      <c r="G388" s="9">
        <f t="shared" si="196"/>
        <v>17</v>
      </c>
      <c r="H388" s="8">
        <f t="shared" si="196"/>
        <v>95</v>
      </c>
      <c r="I388" s="9"/>
      <c r="J388" s="9"/>
      <c r="K388" s="9"/>
      <c r="L388" s="9"/>
      <c r="M388" s="9"/>
      <c r="N388" s="9"/>
      <c r="O388" s="12"/>
      <c r="P388" s="12"/>
      <c r="Q388" s="12"/>
      <c r="R388" s="12"/>
      <c r="S388" s="12"/>
      <c r="T388" s="12"/>
      <c r="V388" s="20">
        <f t="shared" si="195"/>
        <v>14</v>
      </c>
      <c r="W388" s="20">
        <f t="shared" si="195"/>
        <v>0</v>
      </c>
      <c r="X388" s="20">
        <f t="shared" si="195"/>
        <v>3</v>
      </c>
      <c r="Y388" s="20">
        <f t="shared" si="194"/>
        <v>8</v>
      </c>
      <c r="Z388" s="20">
        <f t="shared" si="194"/>
        <v>0</v>
      </c>
      <c r="AA388" s="20">
        <f t="shared" si="194"/>
        <v>0</v>
      </c>
      <c r="AC388" s="3">
        <f t="shared" si="176"/>
        <v>87</v>
      </c>
      <c r="AD388" s="3">
        <f t="shared" si="177"/>
        <v>82</v>
      </c>
      <c r="AE388" s="3">
        <f t="shared" si="178"/>
        <v>77</v>
      </c>
      <c r="AF388" s="3">
        <f t="shared" si="179"/>
        <v>71</v>
      </c>
      <c r="AG388" s="3">
        <f t="shared" si="180"/>
        <v>66</v>
      </c>
      <c r="AH388" s="3">
        <f t="shared" si="181"/>
        <v>61</v>
      </c>
      <c r="AI388" s="3">
        <f t="shared" si="182"/>
        <v>56</v>
      </c>
      <c r="AJ388" s="3">
        <f t="shared" si="183"/>
        <v>50</v>
      </c>
      <c r="AK388" s="3">
        <f t="shared" si="184"/>
        <v>45</v>
      </c>
      <c r="AL388" s="3">
        <f t="shared" si="185"/>
        <v>40</v>
      </c>
      <c r="AM388" s="3">
        <f t="shared" si="186"/>
        <v>35</v>
      </c>
      <c r="AN388" s="3">
        <f t="shared" si="187"/>
        <v>29</v>
      </c>
      <c r="AO388" s="3">
        <f t="shared" si="188"/>
        <v>24</v>
      </c>
      <c r="AP388" s="3">
        <f t="shared" si="189"/>
        <v>19</v>
      </c>
      <c r="AQ388" s="3">
        <f t="shared" si="190"/>
        <v>0</v>
      </c>
      <c r="AR388" s="3">
        <f t="shared" si="191"/>
        <v>92</v>
      </c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M388" s="35" t="s">
        <v>12</v>
      </c>
      <c r="BO388" s="35"/>
      <c r="BR388" s="9" t="str">
        <f t="shared" ref="BR388:BR421" si="197">IF(AND(V388&gt;0,V387=0),$V$2,IF(AND(W388&gt;0,W387=0),$W$2,IF(AND(X388&gt;0,X387=0),$X$2,IF(AND(Y388&gt;0,Y387=0),$Y$2,IF(AND(Z388&gt;0,Z387=0),$Z$2,IF(AND(AA388&gt;0,AA387=0),$AA$2,""))))))</f>
        <v/>
      </c>
      <c r="BS388" s="37" t="str">
        <f t="shared" ref="BS388:BS421" si="198">IF(OR(AND($V389=1,$V390=2),OR(AND($W389=1,$W390=2),OR(AND($X389=1,$X390=2),OR(AND($Y389=1,$Y390=2),OR(AND($Z389=1,$Z390),OR(AND($AA389=1,$AA390=2))))))),$B388+2,"")</f>
        <v/>
      </c>
      <c r="BT388" s="38" t="str">
        <f t="shared" si="193"/>
        <v/>
      </c>
      <c r="BU388" s="36" t="str">
        <f t="shared" ref="BU388:BU421" si="199">IF(AND(AC405&gt;0,AC404=0),$AC$2,IF(AND(AD405&gt;0,AD404=0),$AD$2,IF(AND(AE405&gt;0,AE404=0),$AE$2,IF(AND(AF405&gt;0,AF404=0),$AF$2,IF(AND(AG405&gt;0,AG404=0),$AG$2,IF(AND(AH405&gt;0,AH404=0),$AH$2,IF(AND(AI405&gt;0,AI404=0),$AI$2,IF(AND(AJ405&gt;0,AJ404=0),$AJ$2,IF(AND(AK405&gt;0,AK404=0),$AK$2,IF(AND(AL405&gt;0,AL404=0),$AL$2,IF(AND(AM405&gt;0,AM404=0),$AM$2,IF(AND(AN405&gt;0,AN404=0),$AN$2,IF(AND(AO405&gt;0,AO404=0),$AO$2,IF(AND(AP405&gt;0,AP404=0),$AP$2,IF(AND(AQ405&gt;0,AQ404=0),$AQ$2,IF(AND(AR405&gt;0,AR404=0),$AR$2,""))))))))))))))))</f>
        <v/>
      </c>
    </row>
    <row r="389" spans="2:73" ht="15">
      <c r="B389" s="16">
        <f t="shared" ref="B389:B421" si="200">D388+1</f>
        <v>45796</v>
      </c>
      <c r="C389" s="15" t="s">
        <v>1</v>
      </c>
      <c r="D389" s="17">
        <f t="shared" ref="D389:D421" si="201">B389+6</f>
        <v>45802</v>
      </c>
      <c r="E389" s="18">
        <f t="shared" ref="E389:E421" si="202">MONTH(B389)</f>
        <v>5</v>
      </c>
      <c r="F389" s="19">
        <f t="shared" ref="F389:F421" si="203">YEAR(D389)</f>
        <v>2025</v>
      </c>
      <c r="G389" s="9">
        <f t="shared" si="196"/>
        <v>17</v>
      </c>
      <c r="H389" s="8">
        <f t="shared" si="196"/>
        <v>95</v>
      </c>
      <c r="I389" s="9"/>
      <c r="J389" s="9"/>
      <c r="K389" s="9"/>
      <c r="L389" s="9"/>
      <c r="M389" s="9"/>
      <c r="N389" s="9"/>
      <c r="O389" s="12"/>
      <c r="P389" s="12"/>
      <c r="Q389" s="12"/>
      <c r="R389" s="12"/>
      <c r="S389" s="12"/>
      <c r="T389" s="12"/>
      <c r="V389" s="20">
        <f t="shared" si="195"/>
        <v>15</v>
      </c>
      <c r="W389" s="20">
        <f t="shared" si="195"/>
        <v>0</v>
      </c>
      <c r="X389" s="20">
        <f t="shared" si="195"/>
        <v>4</v>
      </c>
      <c r="Y389" s="20">
        <f t="shared" si="194"/>
        <v>9</v>
      </c>
      <c r="Z389" s="20">
        <f t="shared" si="194"/>
        <v>0</v>
      </c>
      <c r="AA389" s="20">
        <f t="shared" si="194"/>
        <v>0</v>
      </c>
      <c r="AC389" s="3">
        <f t="shared" si="176"/>
        <v>88</v>
      </c>
      <c r="AD389" s="3">
        <f t="shared" si="177"/>
        <v>83</v>
      </c>
      <c r="AE389" s="3">
        <f t="shared" si="178"/>
        <v>78</v>
      </c>
      <c r="AF389" s="3">
        <f t="shared" si="179"/>
        <v>72</v>
      </c>
      <c r="AG389" s="3">
        <f t="shared" si="180"/>
        <v>67</v>
      </c>
      <c r="AH389" s="3">
        <f t="shared" si="181"/>
        <v>62</v>
      </c>
      <c r="AI389" s="3">
        <f t="shared" si="182"/>
        <v>57</v>
      </c>
      <c r="AJ389" s="3">
        <f t="shared" si="183"/>
        <v>51</v>
      </c>
      <c r="AK389" s="3">
        <f t="shared" si="184"/>
        <v>46</v>
      </c>
      <c r="AL389" s="3">
        <f t="shared" si="185"/>
        <v>41</v>
      </c>
      <c r="AM389" s="3">
        <f t="shared" si="186"/>
        <v>36</v>
      </c>
      <c r="AN389" s="3">
        <f t="shared" si="187"/>
        <v>30</v>
      </c>
      <c r="AO389" s="3">
        <f t="shared" si="188"/>
        <v>25</v>
      </c>
      <c r="AP389" s="3">
        <f t="shared" si="189"/>
        <v>20</v>
      </c>
      <c r="AQ389" s="3">
        <f t="shared" si="190"/>
        <v>0</v>
      </c>
      <c r="AR389" s="3">
        <f t="shared" si="191"/>
        <v>93</v>
      </c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M389" s="35" t="s">
        <v>12</v>
      </c>
      <c r="BO389" s="35"/>
      <c r="BR389" s="9" t="str">
        <f t="shared" si="197"/>
        <v/>
      </c>
      <c r="BS389" s="37" t="str">
        <f t="shared" si="198"/>
        <v/>
      </c>
      <c r="BT389" s="38" t="str">
        <f t="shared" si="193"/>
        <v/>
      </c>
      <c r="BU389" s="36" t="str">
        <f t="shared" si="199"/>
        <v/>
      </c>
    </row>
    <row r="390" spans="2:73" ht="15">
      <c r="B390" s="16">
        <f t="shared" si="200"/>
        <v>45803</v>
      </c>
      <c r="C390" s="15" t="s">
        <v>1</v>
      </c>
      <c r="D390" s="17">
        <f t="shared" si="201"/>
        <v>45809</v>
      </c>
      <c r="E390" s="18">
        <f t="shared" si="202"/>
        <v>5</v>
      </c>
      <c r="F390" s="19">
        <f t="shared" si="203"/>
        <v>2025</v>
      </c>
      <c r="G390" s="9">
        <f t="shared" ref="G390:H405" si="204">G389</f>
        <v>17</v>
      </c>
      <c r="H390" s="8">
        <f t="shared" si="204"/>
        <v>95</v>
      </c>
      <c r="I390" s="9"/>
      <c r="J390" s="9"/>
      <c r="K390" s="9"/>
      <c r="L390" s="9"/>
      <c r="M390" s="9"/>
      <c r="N390" s="9"/>
      <c r="O390" s="12"/>
      <c r="P390" s="12">
        <v>1</v>
      </c>
      <c r="Q390" s="12"/>
      <c r="R390" s="12"/>
      <c r="S390" s="12"/>
      <c r="T390" s="12"/>
      <c r="V390" s="20">
        <f t="shared" si="195"/>
        <v>16</v>
      </c>
      <c r="W390" s="20">
        <f t="shared" si="195"/>
        <v>45805</v>
      </c>
      <c r="X390" s="20">
        <f t="shared" si="195"/>
        <v>5</v>
      </c>
      <c r="Y390" s="20">
        <f t="shared" si="194"/>
        <v>10</v>
      </c>
      <c r="Z390" s="20">
        <f t="shared" si="194"/>
        <v>0</v>
      </c>
      <c r="AA390" s="20">
        <f t="shared" si="194"/>
        <v>0</v>
      </c>
      <c r="AC390" s="3">
        <f t="shared" si="176"/>
        <v>89</v>
      </c>
      <c r="AD390" s="3">
        <f t="shared" si="177"/>
        <v>84</v>
      </c>
      <c r="AE390" s="3">
        <f t="shared" si="178"/>
        <v>79</v>
      </c>
      <c r="AF390" s="3">
        <f t="shared" si="179"/>
        <v>73</v>
      </c>
      <c r="AG390" s="3">
        <f t="shared" si="180"/>
        <v>68</v>
      </c>
      <c r="AH390" s="3">
        <f t="shared" si="181"/>
        <v>63</v>
      </c>
      <c r="AI390" s="3">
        <f t="shared" si="182"/>
        <v>58</v>
      </c>
      <c r="AJ390" s="3">
        <f t="shared" si="183"/>
        <v>52</v>
      </c>
      <c r="AK390" s="3">
        <f t="shared" si="184"/>
        <v>47</v>
      </c>
      <c r="AL390" s="3">
        <f t="shared" si="185"/>
        <v>42</v>
      </c>
      <c r="AM390" s="3">
        <f t="shared" si="186"/>
        <v>37</v>
      </c>
      <c r="AN390" s="3">
        <f t="shared" si="187"/>
        <v>31</v>
      </c>
      <c r="AO390" s="3">
        <f t="shared" si="188"/>
        <v>26</v>
      </c>
      <c r="AP390" s="3">
        <f t="shared" si="189"/>
        <v>21</v>
      </c>
      <c r="AQ390" s="3">
        <f t="shared" si="190"/>
        <v>0</v>
      </c>
      <c r="AR390" s="3">
        <f t="shared" si="191"/>
        <v>94</v>
      </c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M390" s="35" t="s">
        <v>12</v>
      </c>
      <c r="BO390" s="35"/>
      <c r="BR390" s="9">
        <f t="shared" si="197"/>
        <v>2</v>
      </c>
      <c r="BS390" s="37">
        <f t="shared" si="198"/>
        <v>45805</v>
      </c>
      <c r="BT390" s="38">
        <f t="shared" si="193"/>
        <v>45924</v>
      </c>
      <c r="BU390" s="36" t="str">
        <f t="shared" si="199"/>
        <v/>
      </c>
    </row>
    <row r="391" spans="2:73" ht="15">
      <c r="B391" s="16">
        <f t="shared" si="200"/>
        <v>45810</v>
      </c>
      <c r="C391" s="15" t="s">
        <v>1</v>
      </c>
      <c r="D391" s="17">
        <f t="shared" si="201"/>
        <v>45816</v>
      </c>
      <c r="E391" s="18">
        <f t="shared" si="202"/>
        <v>6</v>
      </c>
      <c r="F391" s="19">
        <f t="shared" si="203"/>
        <v>2025</v>
      </c>
      <c r="G391" s="9">
        <f t="shared" si="204"/>
        <v>17</v>
      </c>
      <c r="H391" s="8">
        <f t="shared" si="204"/>
        <v>95</v>
      </c>
      <c r="I391" s="9"/>
      <c r="J391" s="9"/>
      <c r="K391" s="9"/>
      <c r="L391" s="9"/>
      <c r="M391" s="9"/>
      <c r="N391" s="9"/>
      <c r="O391" s="12"/>
      <c r="P391" s="12"/>
      <c r="Q391" s="12"/>
      <c r="R391" s="12"/>
      <c r="S391" s="12"/>
      <c r="T391" s="12"/>
      <c r="V391" s="20">
        <f t="shared" si="195"/>
        <v>17</v>
      </c>
      <c r="W391" s="20">
        <f t="shared" si="195"/>
        <v>1</v>
      </c>
      <c r="X391" s="20">
        <f t="shared" si="195"/>
        <v>6</v>
      </c>
      <c r="Y391" s="20">
        <f t="shared" si="194"/>
        <v>11</v>
      </c>
      <c r="Z391" s="20">
        <f t="shared" si="194"/>
        <v>0</v>
      </c>
      <c r="AA391" s="20">
        <f t="shared" si="194"/>
        <v>0</v>
      </c>
      <c r="AC391" s="3">
        <f t="shared" si="176"/>
        <v>90</v>
      </c>
      <c r="AD391" s="3">
        <f t="shared" si="177"/>
        <v>85</v>
      </c>
      <c r="AE391" s="3">
        <f t="shared" si="178"/>
        <v>80</v>
      </c>
      <c r="AF391" s="3">
        <f t="shared" si="179"/>
        <v>74</v>
      </c>
      <c r="AG391" s="3">
        <f t="shared" si="180"/>
        <v>69</v>
      </c>
      <c r="AH391" s="3">
        <f t="shared" si="181"/>
        <v>64</v>
      </c>
      <c r="AI391" s="3">
        <f t="shared" si="182"/>
        <v>59</v>
      </c>
      <c r="AJ391" s="3">
        <f t="shared" si="183"/>
        <v>53</v>
      </c>
      <c r="AK391" s="3">
        <f t="shared" si="184"/>
        <v>48</v>
      </c>
      <c r="AL391" s="3">
        <f t="shared" si="185"/>
        <v>43</v>
      </c>
      <c r="AM391" s="3">
        <f t="shared" si="186"/>
        <v>38</v>
      </c>
      <c r="AN391" s="3">
        <f t="shared" si="187"/>
        <v>32</v>
      </c>
      <c r="AO391" s="3">
        <f t="shared" si="188"/>
        <v>27</v>
      </c>
      <c r="AP391" s="3">
        <f t="shared" si="189"/>
        <v>22</v>
      </c>
      <c r="AQ391" s="3">
        <f t="shared" si="190"/>
        <v>17</v>
      </c>
      <c r="AR391" s="3">
        <f t="shared" si="191"/>
        <v>95</v>
      </c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>
        <v>1</v>
      </c>
      <c r="BH391" s="8"/>
      <c r="BM391" s="35" t="s">
        <v>12</v>
      </c>
      <c r="BO391" s="35"/>
      <c r="BR391" s="9" t="str">
        <f t="shared" si="197"/>
        <v/>
      </c>
      <c r="BS391" s="37" t="str">
        <f t="shared" si="198"/>
        <v/>
      </c>
      <c r="BT391" s="38" t="str">
        <f t="shared" si="193"/>
        <v/>
      </c>
      <c r="BU391" s="36" t="str">
        <f t="shared" si="199"/>
        <v/>
      </c>
    </row>
    <row r="392" spans="2:73" ht="15">
      <c r="B392" s="16">
        <f t="shared" si="200"/>
        <v>45817</v>
      </c>
      <c r="C392" s="15" t="s">
        <v>1</v>
      </c>
      <c r="D392" s="17">
        <f t="shared" si="201"/>
        <v>45823</v>
      </c>
      <c r="E392" s="18">
        <f t="shared" si="202"/>
        <v>6</v>
      </c>
      <c r="F392" s="19">
        <f t="shared" si="203"/>
        <v>2025</v>
      </c>
      <c r="G392" s="9">
        <f t="shared" si="204"/>
        <v>17</v>
      </c>
      <c r="H392" s="8">
        <f t="shared" si="204"/>
        <v>95</v>
      </c>
      <c r="I392" s="9"/>
      <c r="J392" s="9"/>
      <c r="K392" s="9"/>
      <c r="L392" s="9"/>
      <c r="M392" s="9"/>
      <c r="N392" s="9"/>
      <c r="O392" s="12"/>
      <c r="P392" s="12"/>
      <c r="Q392" s="12"/>
      <c r="R392" s="12"/>
      <c r="S392" s="12"/>
      <c r="T392" s="12"/>
      <c r="V392" s="20">
        <f t="shared" si="195"/>
        <v>0</v>
      </c>
      <c r="W392" s="20">
        <f t="shared" si="195"/>
        <v>2</v>
      </c>
      <c r="X392" s="20">
        <f t="shared" si="195"/>
        <v>7</v>
      </c>
      <c r="Y392" s="20">
        <f t="shared" si="194"/>
        <v>12</v>
      </c>
      <c r="Z392" s="20">
        <f t="shared" si="194"/>
        <v>0</v>
      </c>
      <c r="AA392" s="20">
        <f t="shared" si="194"/>
        <v>0</v>
      </c>
      <c r="AC392" s="3">
        <f t="shared" si="176"/>
        <v>91</v>
      </c>
      <c r="AD392" s="3">
        <f t="shared" si="177"/>
        <v>86</v>
      </c>
      <c r="AE392" s="3">
        <f t="shared" si="178"/>
        <v>81</v>
      </c>
      <c r="AF392" s="3">
        <f t="shared" si="179"/>
        <v>75</v>
      </c>
      <c r="AG392" s="3">
        <f t="shared" si="180"/>
        <v>70</v>
      </c>
      <c r="AH392" s="3">
        <f t="shared" si="181"/>
        <v>65</v>
      </c>
      <c r="AI392" s="3">
        <f t="shared" si="182"/>
        <v>60</v>
      </c>
      <c r="AJ392" s="3">
        <f t="shared" si="183"/>
        <v>54</v>
      </c>
      <c r="AK392" s="3">
        <f t="shared" si="184"/>
        <v>49</v>
      </c>
      <c r="AL392" s="3">
        <f t="shared" si="185"/>
        <v>44</v>
      </c>
      <c r="AM392" s="3">
        <f t="shared" si="186"/>
        <v>39</v>
      </c>
      <c r="AN392" s="3">
        <f t="shared" si="187"/>
        <v>33</v>
      </c>
      <c r="AO392" s="3">
        <f t="shared" si="188"/>
        <v>28</v>
      </c>
      <c r="AP392" s="3">
        <f t="shared" si="189"/>
        <v>23</v>
      </c>
      <c r="AQ392" s="3">
        <f t="shared" si="190"/>
        <v>18</v>
      </c>
      <c r="AR392" s="3">
        <f t="shared" si="191"/>
        <v>0</v>
      </c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M392" s="35" t="s">
        <v>12</v>
      </c>
      <c r="BO392" s="35"/>
      <c r="BR392" s="9" t="str">
        <f t="shared" si="197"/>
        <v/>
      </c>
      <c r="BS392" s="37" t="str">
        <f t="shared" si="198"/>
        <v/>
      </c>
      <c r="BT392" s="38" t="str">
        <f t="shared" si="193"/>
        <v/>
      </c>
      <c r="BU392" s="36" t="str">
        <f t="shared" si="199"/>
        <v/>
      </c>
    </row>
    <row r="393" spans="2:73" ht="15">
      <c r="B393" s="16">
        <f t="shared" si="200"/>
        <v>45824</v>
      </c>
      <c r="C393" s="15" t="s">
        <v>1</v>
      </c>
      <c r="D393" s="17">
        <f t="shared" si="201"/>
        <v>45830</v>
      </c>
      <c r="E393" s="18">
        <f t="shared" si="202"/>
        <v>6</v>
      </c>
      <c r="F393" s="19">
        <f t="shared" si="203"/>
        <v>2025</v>
      </c>
      <c r="G393" s="9">
        <f t="shared" si="204"/>
        <v>17</v>
      </c>
      <c r="H393" s="8">
        <f t="shared" si="204"/>
        <v>95</v>
      </c>
      <c r="I393" s="9"/>
      <c r="J393" s="9"/>
      <c r="K393" s="9"/>
      <c r="L393" s="9"/>
      <c r="M393" s="9"/>
      <c r="N393" s="9"/>
      <c r="O393" s="12"/>
      <c r="P393" s="12"/>
      <c r="Q393" s="12"/>
      <c r="R393" s="12"/>
      <c r="S393" s="12"/>
      <c r="T393" s="12"/>
      <c r="V393" s="20">
        <f t="shared" si="195"/>
        <v>0</v>
      </c>
      <c r="W393" s="20">
        <f t="shared" si="195"/>
        <v>3</v>
      </c>
      <c r="X393" s="20">
        <f t="shared" si="195"/>
        <v>8</v>
      </c>
      <c r="Y393" s="20">
        <f t="shared" si="194"/>
        <v>13</v>
      </c>
      <c r="Z393" s="20">
        <f t="shared" si="194"/>
        <v>0</v>
      </c>
      <c r="AA393" s="20">
        <f t="shared" si="194"/>
        <v>0</v>
      </c>
      <c r="AC393" s="3">
        <f t="shared" si="176"/>
        <v>92</v>
      </c>
      <c r="AD393" s="3">
        <f t="shared" si="177"/>
        <v>87</v>
      </c>
      <c r="AE393" s="3">
        <f t="shared" si="178"/>
        <v>82</v>
      </c>
      <c r="AF393" s="3">
        <f t="shared" si="179"/>
        <v>76</v>
      </c>
      <c r="AG393" s="3">
        <f t="shared" si="180"/>
        <v>71</v>
      </c>
      <c r="AH393" s="3">
        <f t="shared" si="181"/>
        <v>66</v>
      </c>
      <c r="AI393" s="3">
        <f t="shared" si="182"/>
        <v>61</v>
      </c>
      <c r="AJ393" s="3">
        <f t="shared" si="183"/>
        <v>55</v>
      </c>
      <c r="AK393" s="3">
        <f t="shared" si="184"/>
        <v>50</v>
      </c>
      <c r="AL393" s="3">
        <f t="shared" si="185"/>
        <v>45</v>
      </c>
      <c r="AM393" s="3">
        <f t="shared" si="186"/>
        <v>40</v>
      </c>
      <c r="AN393" s="3">
        <f t="shared" si="187"/>
        <v>34</v>
      </c>
      <c r="AO393" s="3">
        <f t="shared" si="188"/>
        <v>29</v>
      </c>
      <c r="AP393" s="3">
        <f t="shared" si="189"/>
        <v>24</v>
      </c>
      <c r="AQ393" s="3">
        <f t="shared" si="190"/>
        <v>19</v>
      </c>
      <c r="AR393" s="3">
        <f t="shared" si="191"/>
        <v>0</v>
      </c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M393" s="35" t="s">
        <v>12</v>
      </c>
      <c r="BO393" s="35"/>
      <c r="BR393" s="9" t="str">
        <f t="shared" si="197"/>
        <v/>
      </c>
      <c r="BS393" s="37" t="str">
        <f t="shared" si="198"/>
        <v/>
      </c>
      <c r="BT393" s="38" t="str">
        <f t="shared" si="193"/>
        <v/>
      </c>
      <c r="BU393" s="36" t="str">
        <f t="shared" si="199"/>
        <v/>
      </c>
    </row>
    <row r="394" spans="2:73" ht="15">
      <c r="B394" s="16">
        <f t="shared" si="200"/>
        <v>45831</v>
      </c>
      <c r="C394" s="15" t="s">
        <v>1</v>
      </c>
      <c r="D394" s="17">
        <f t="shared" si="201"/>
        <v>45837</v>
      </c>
      <c r="E394" s="18">
        <f t="shared" si="202"/>
        <v>6</v>
      </c>
      <c r="F394" s="19">
        <f t="shared" si="203"/>
        <v>2025</v>
      </c>
      <c r="G394" s="9">
        <f t="shared" si="204"/>
        <v>17</v>
      </c>
      <c r="H394" s="8">
        <f t="shared" si="204"/>
        <v>95</v>
      </c>
      <c r="I394" s="9"/>
      <c r="J394" s="9"/>
      <c r="K394" s="9"/>
      <c r="L394" s="9"/>
      <c r="M394" s="9"/>
      <c r="N394" s="9"/>
      <c r="O394" s="12"/>
      <c r="P394" s="12"/>
      <c r="Q394" s="12"/>
      <c r="R394" s="12"/>
      <c r="S394" s="12"/>
      <c r="T394" s="12"/>
      <c r="V394" s="20">
        <f t="shared" si="195"/>
        <v>0</v>
      </c>
      <c r="W394" s="20">
        <f t="shared" si="195"/>
        <v>4</v>
      </c>
      <c r="X394" s="20">
        <f t="shared" si="195"/>
        <v>9</v>
      </c>
      <c r="Y394" s="20">
        <f t="shared" si="194"/>
        <v>14</v>
      </c>
      <c r="Z394" s="20">
        <f t="shared" si="194"/>
        <v>0</v>
      </c>
      <c r="AA394" s="20">
        <f t="shared" si="194"/>
        <v>0</v>
      </c>
      <c r="AC394" s="3">
        <f t="shared" si="176"/>
        <v>93</v>
      </c>
      <c r="AD394" s="3">
        <f t="shared" si="177"/>
        <v>88</v>
      </c>
      <c r="AE394" s="3">
        <f t="shared" si="178"/>
        <v>83</v>
      </c>
      <c r="AF394" s="3">
        <f t="shared" si="179"/>
        <v>77</v>
      </c>
      <c r="AG394" s="3">
        <f t="shared" si="180"/>
        <v>72</v>
      </c>
      <c r="AH394" s="3">
        <f t="shared" si="181"/>
        <v>67</v>
      </c>
      <c r="AI394" s="3">
        <f t="shared" si="182"/>
        <v>62</v>
      </c>
      <c r="AJ394" s="3">
        <f t="shared" si="183"/>
        <v>56</v>
      </c>
      <c r="AK394" s="3">
        <f t="shared" si="184"/>
        <v>51</v>
      </c>
      <c r="AL394" s="3">
        <f t="shared" si="185"/>
        <v>46</v>
      </c>
      <c r="AM394" s="3">
        <f t="shared" si="186"/>
        <v>41</v>
      </c>
      <c r="AN394" s="3">
        <f t="shared" si="187"/>
        <v>35</v>
      </c>
      <c r="AO394" s="3">
        <f t="shared" si="188"/>
        <v>30</v>
      </c>
      <c r="AP394" s="3">
        <f t="shared" si="189"/>
        <v>25</v>
      </c>
      <c r="AQ394" s="3">
        <f t="shared" si="190"/>
        <v>20</v>
      </c>
      <c r="AR394" s="3">
        <f t="shared" si="191"/>
        <v>0</v>
      </c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M394" s="35" t="s">
        <v>12</v>
      </c>
      <c r="BO394" s="35"/>
      <c r="BR394" s="9" t="str">
        <f t="shared" si="197"/>
        <v/>
      </c>
      <c r="BS394" s="37" t="str">
        <f t="shared" si="198"/>
        <v/>
      </c>
      <c r="BT394" s="38" t="str">
        <f t="shared" si="193"/>
        <v/>
      </c>
      <c r="BU394" s="36" t="str">
        <f t="shared" si="199"/>
        <v/>
      </c>
    </row>
    <row r="395" spans="2:73" ht="15">
      <c r="B395" s="16">
        <f t="shared" si="200"/>
        <v>45838</v>
      </c>
      <c r="C395" s="15" t="s">
        <v>1</v>
      </c>
      <c r="D395" s="17">
        <f t="shared" si="201"/>
        <v>45844</v>
      </c>
      <c r="E395" s="18">
        <f t="shared" si="202"/>
        <v>6</v>
      </c>
      <c r="F395" s="19">
        <f t="shared" si="203"/>
        <v>2025</v>
      </c>
      <c r="G395" s="9">
        <f t="shared" si="204"/>
        <v>17</v>
      </c>
      <c r="H395" s="8">
        <f t="shared" si="204"/>
        <v>95</v>
      </c>
      <c r="I395" s="9"/>
      <c r="J395" s="9"/>
      <c r="K395" s="9"/>
      <c r="L395" s="9"/>
      <c r="M395" s="9"/>
      <c r="N395" s="9"/>
      <c r="O395" s="12">
        <v>1</v>
      </c>
      <c r="P395" s="12"/>
      <c r="Q395" s="12"/>
      <c r="R395" s="12"/>
      <c r="S395" s="12"/>
      <c r="T395" s="12"/>
      <c r="V395" s="20">
        <f t="shared" si="195"/>
        <v>45840</v>
      </c>
      <c r="W395" s="20">
        <f t="shared" si="195"/>
        <v>5</v>
      </c>
      <c r="X395" s="20">
        <f t="shared" si="195"/>
        <v>10</v>
      </c>
      <c r="Y395" s="20">
        <f t="shared" si="194"/>
        <v>15</v>
      </c>
      <c r="Z395" s="20">
        <f t="shared" si="194"/>
        <v>0</v>
      </c>
      <c r="AA395" s="20">
        <f t="shared" si="194"/>
        <v>0</v>
      </c>
      <c r="AC395" s="3">
        <f t="shared" si="176"/>
        <v>94</v>
      </c>
      <c r="AD395" s="3">
        <f t="shared" si="177"/>
        <v>89</v>
      </c>
      <c r="AE395" s="3">
        <f t="shared" si="178"/>
        <v>84</v>
      </c>
      <c r="AF395" s="3">
        <f t="shared" si="179"/>
        <v>78</v>
      </c>
      <c r="AG395" s="3">
        <f t="shared" si="180"/>
        <v>73</v>
      </c>
      <c r="AH395" s="3">
        <f t="shared" si="181"/>
        <v>68</v>
      </c>
      <c r="AI395" s="3">
        <f t="shared" si="182"/>
        <v>63</v>
      </c>
      <c r="AJ395" s="3">
        <f t="shared" si="183"/>
        <v>57</v>
      </c>
      <c r="AK395" s="3">
        <f t="shared" si="184"/>
        <v>52</v>
      </c>
      <c r="AL395" s="3">
        <f t="shared" si="185"/>
        <v>47</v>
      </c>
      <c r="AM395" s="3">
        <f t="shared" si="186"/>
        <v>42</v>
      </c>
      <c r="AN395" s="3">
        <f t="shared" si="187"/>
        <v>36</v>
      </c>
      <c r="AO395" s="3">
        <f t="shared" si="188"/>
        <v>31</v>
      </c>
      <c r="AP395" s="3">
        <f t="shared" si="189"/>
        <v>26</v>
      </c>
      <c r="AQ395" s="3">
        <f t="shared" si="190"/>
        <v>21</v>
      </c>
      <c r="AR395" s="3">
        <f t="shared" si="191"/>
        <v>0</v>
      </c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M395" s="35" t="s">
        <v>12</v>
      </c>
      <c r="BO395" s="35"/>
      <c r="BR395" s="9">
        <f t="shared" si="197"/>
        <v>1</v>
      </c>
      <c r="BS395" s="37">
        <f t="shared" si="198"/>
        <v>45840</v>
      </c>
      <c r="BT395" s="38">
        <f t="shared" si="193"/>
        <v>45959</v>
      </c>
      <c r="BU395" s="36" t="str">
        <f t="shared" si="199"/>
        <v/>
      </c>
    </row>
    <row r="396" spans="2:73" ht="15">
      <c r="B396" s="16">
        <f t="shared" si="200"/>
        <v>45845</v>
      </c>
      <c r="C396" s="15" t="s">
        <v>1</v>
      </c>
      <c r="D396" s="17">
        <f t="shared" si="201"/>
        <v>45851</v>
      </c>
      <c r="E396" s="18">
        <f t="shared" si="202"/>
        <v>7</v>
      </c>
      <c r="F396" s="19">
        <f t="shared" si="203"/>
        <v>2025</v>
      </c>
      <c r="G396" s="9">
        <f t="shared" si="204"/>
        <v>17</v>
      </c>
      <c r="H396" s="8">
        <f t="shared" si="204"/>
        <v>95</v>
      </c>
      <c r="I396" s="9"/>
      <c r="J396" s="9"/>
      <c r="K396" s="9"/>
      <c r="L396" s="9"/>
      <c r="M396" s="9"/>
      <c r="N396" s="9"/>
      <c r="O396" s="12"/>
      <c r="P396" s="12"/>
      <c r="Q396" s="12"/>
      <c r="R396" s="12"/>
      <c r="S396" s="12"/>
      <c r="T396" s="12"/>
      <c r="V396" s="20">
        <f t="shared" si="195"/>
        <v>1</v>
      </c>
      <c r="W396" s="20">
        <f t="shared" si="195"/>
        <v>6</v>
      </c>
      <c r="X396" s="20">
        <f t="shared" si="195"/>
        <v>11</v>
      </c>
      <c r="Y396" s="20">
        <f t="shared" si="194"/>
        <v>16</v>
      </c>
      <c r="Z396" s="20">
        <f t="shared" si="194"/>
        <v>0</v>
      </c>
      <c r="AA396" s="20">
        <f t="shared" si="194"/>
        <v>0</v>
      </c>
      <c r="AC396" s="3">
        <f t="shared" si="176"/>
        <v>95</v>
      </c>
      <c r="AD396" s="3">
        <f t="shared" si="177"/>
        <v>90</v>
      </c>
      <c r="AE396" s="3">
        <f t="shared" si="178"/>
        <v>85</v>
      </c>
      <c r="AF396" s="3">
        <f t="shared" si="179"/>
        <v>79</v>
      </c>
      <c r="AG396" s="3">
        <f t="shared" si="180"/>
        <v>74</v>
      </c>
      <c r="AH396" s="3">
        <f t="shared" si="181"/>
        <v>69</v>
      </c>
      <c r="AI396" s="3">
        <f t="shared" si="182"/>
        <v>64</v>
      </c>
      <c r="AJ396" s="3">
        <f t="shared" si="183"/>
        <v>58</v>
      </c>
      <c r="AK396" s="3">
        <f t="shared" si="184"/>
        <v>53</v>
      </c>
      <c r="AL396" s="3">
        <f t="shared" si="185"/>
        <v>48</v>
      </c>
      <c r="AM396" s="3">
        <f t="shared" si="186"/>
        <v>43</v>
      </c>
      <c r="AN396" s="3">
        <f t="shared" si="187"/>
        <v>37</v>
      </c>
      <c r="AO396" s="3">
        <f t="shared" si="188"/>
        <v>32</v>
      </c>
      <c r="AP396" s="3">
        <f t="shared" si="189"/>
        <v>27</v>
      </c>
      <c r="AQ396" s="3">
        <f t="shared" si="190"/>
        <v>22</v>
      </c>
      <c r="AR396" s="3">
        <f t="shared" si="191"/>
        <v>0</v>
      </c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M396" s="35" t="s">
        <v>12</v>
      </c>
      <c r="BO396" s="35"/>
      <c r="BR396" s="9" t="str">
        <f t="shared" si="197"/>
        <v/>
      </c>
      <c r="BS396" s="37" t="str">
        <f t="shared" si="198"/>
        <v/>
      </c>
      <c r="BT396" s="38" t="str">
        <f t="shared" si="193"/>
        <v/>
      </c>
      <c r="BU396" s="36" t="str">
        <f t="shared" si="199"/>
        <v/>
      </c>
    </row>
    <row r="397" spans="2:73" ht="15">
      <c r="B397" s="16">
        <f t="shared" si="200"/>
        <v>45852</v>
      </c>
      <c r="C397" s="15" t="s">
        <v>1</v>
      </c>
      <c r="D397" s="17">
        <f t="shared" si="201"/>
        <v>45858</v>
      </c>
      <c r="E397" s="18">
        <f t="shared" si="202"/>
        <v>7</v>
      </c>
      <c r="F397" s="19">
        <f t="shared" si="203"/>
        <v>2025</v>
      </c>
      <c r="G397" s="9">
        <f t="shared" si="204"/>
        <v>17</v>
      </c>
      <c r="H397" s="8">
        <f t="shared" si="204"/>
        <v>95</v>
      </c>
      <c r="I397" s="9"/>
      <c r="J397" s="9"/>
      <c r="K397" s="9"/>
      <c r="L397" s="9"/>
      <c r="M397" s="9"/>
      <c r="N397" s="9"/>
      <c r="O397" s="12"/>
      <c r="P397" s="12"/>
      <c r="Q397" s="12"/>
      <c r="R397" s="12"/>
      <c r="S397" s="12"/>
      <c r="T397" s="12"/>
      <c r="V397" s="20">
        <f t="shared" si="195"/>
        <v>2</v>
      </c>
      <c r="W397" s="20">
        <f t="shared" si="195"/>
        <v>7</v>
      </c>
      <c r="X397" s="20">
        <f t="shared" si="195"/>
        <v>12</v>
      </c>
      <c r="Y397" s="20">
        <f t="shared" si="194"/>
        <v>17</v>
      </c>
      <c r="Z397" s="20">
        <f t="shared" si="194"/>
        <v>0</v>
      </c>
      <c r="AA397" s="20">
        <f t="shared" si="194"/>
        <v>0</v>
      </c>
      <c r="AC397" s="3">
        <f t="shared" si="176"/>
        <v>0</v>
      </c>
      <c r="AD397" s="3">
        <f t="shared" si="177"/>
        <v>91</v>
      </c>
      <c r="AE397" s="3">
        <f t="shared" si="178"/>
        <v>86</v>
      </c>
      <c r="AF397" s="3">
        <f t="shared" si="179"/>
        <v>80</v>
      </c>
      <c r="AG397" s="3">
        <f t="shared" si="180"/>
        <v>75</v>
      </c>
      <c r="AH397" s="3">
        <f t="shared" si="181"/>
        <v>70</v>
      </c>
      <c r="AI397" s="3">
        <f t="shared" si="182"/>
        <v>65</v>
      </c>
      <c r="AJ397" s="3">
        <f t="shared" si="183"/>
        <v>59</v>
      </c>
      <c r="AK397" s="3">
        <f t="shared" si="184"/>
        <v>54</v>
      </c>
      <c r="AL397" s="3">
        <f t="shared" si="185"/>
        <v>49</v>
      </c>
      <c r="AM397" s="3">
        <f t="shared" si="186"/>
        <v>44</v>
      </c>
      <c r="AN397" s="3">
        <f t="shared" si="187"/>
        <v>38</v>
      </c>
      <c r="AO397" s="3">
        <f t="shared" si="188"/>
        <v>33</v>
      </c>
      <c r="AP397" s="3">
        <f t="shared" si="189"/>
        <v>28</v>
      </c>
      <c r="AQ397" s="3">
        <f t="shared" si="190"/>
        <v>23</v>
      </c>
      <c r="AR397" s="3">
        <f t="shared" si="191"/>
        <v>17</v>
      </c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>
        <v>4</v>
      </c>
      <c r="BM397" s="35" t="s">
        <v>12</v>
      </c>
      <c r="BO397" s="35"/>
      <c r="BR397" s="9" t="str">
        <f t="shared" si="197"/>
        <v/>
      </c>
      <c r="BS397" s="37" t="str">
        <f t="shared" si="198"/>
        <v/>
      </c>
      <c r="BT397" s="38" t="str">
        <f t="shared" si="193"/>
        <v/>
      </c>
      <c r="BU397" s="36" t="str">
        <f t="shared" si="199"/>
        <v/>
      </c>
    </row>
    <row r="398" spans="2:73" ht="15">
      <c r="B398" s="16">
        <f t="shared" si="200"/>
        <v>45859</v>
      </c>
      <c r="C398" s="15" t="s">
        <v>1</v>
      </c>
      <c r="D398" s="17">
        <f t="shared" si="201"/>
        <v>45865</v>
      </c>
      <c r="E398" s="18">
        <f t="shared" si="202"/>
        <v>7</v>
      </c>
      <c r="F398" s="19">
        <f t="shared" si="203"/>
        <v>2025</v>
      </c>
      <c r="G398" s="9">
        <f t="shared" si="204"/>
        <v>17</v>
      </c>
      <c r="H398" s="8">
        <f t="shared" si="204"/>
        <v>95</v>
      </c>
      <c r="I398" s="9"/>
      <c r="J398" s="9"/>
      <c r="K398" s="9"/>
      <c r="L398" s="9"/>
      <c r="M398" s="9"/>
      <c r="N398" s="9"/>
      <c r="O398" s="12"/>
      <c r="P398" s="12"/>
      <c r="Q398" s="12"/>
      <c r="R398" s="12"/>
      <c r="S398" s="12"/>
      <c r="T398" s="12"/>
      <c r="V398" s="20">
        <f t="shared" si="195"/>
        <v>3</v>
      </c>
      <c r="W398" s="20">
        <f t="shared" si="195"/>
        <v>8</v>
      </c>
      <c r="X398" s="20">
        <f t="shared" si="195"/>
        <v>13</v>
      </c>
      <c r="Y398" s="20">
        <f t="shared" si="194"/>
        <v>0</v>
      </c>
      <c r="Z398" s="20">
        <f t="shared" si="194"/>
        <v>0</v>
      </c>
      <c r="AA398" s="20">
        <f t="shared" si="194"/>
        <v>0</v>
      </c>
      <c r="AC398" s="3">
        <f t="shared" si="176"/>
        <v>0</v>
      </c>
      <c r="AD398" s="3">
        <f t="shared" si="177"/>
        <v>92</v>
      </c>
      <c r="AE398" s="3">
        <f t="shared" si="178"/>
        <v>87</v>
      </c>
      <c r="AF398" s="3">
        <f t="shared" si="179"/>
        <v>81</v>
      </c>
      <c r="AG398" s="3">
        <f t="shared" si="180"/>
        <v>76</v>
      </c>
      <c r="AH398" s="3">
        <f t="shared" si="181"/>
        <v>71</v>
      </c>
      <c r="AI398" s="3">
        <f t="shared" si="182"/>
        <v>66</v>
      </c>
      <c r="AJ398" s="3">
        <f t="shared" si="183"/>
        <v>60</v>
      </c>
      <c r="AK398" s="3">
        <f t="shared" si="184"/>
        <v>55</v>
      </c>
      <c r="AL398" s="3">
        <f t="shared" si="185"/>
        <v>50</v>
      </c>
      <c r="AM398" s="3">
        <f t="shared" si="186"/>
        <v>45</v>
      </c>
      <c r="AN398" s="3">
        <f t="shared" si="187"/>
        <v>39</v>
      </c>
      <c r="AO398" s="3">
        <f t="shared" si="188"/>
        <v>34</v>
      </c>
      <c r="AP398" s="3">
        <f t="shared" si="189"/>
        <v>29</v>
      </c>
      <c r="AQ398" s="3">
        <f t="shared" si="190"/>
        <v>24</v>
      </c>
      <c r="AR398" s="3">
        <f t="shared" si="191"/>
        <v>18</v>
      </c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M398" s="35" t="s">
        <v>12</v>
      </c>
      <c r="BO398" s="35"/>
      <c r="BR398" s="9" t="str">
        <f t="shared" si="197"/>
        <v/>
      </c>
      <c r="BS398" s="37" t="str">
        <f t="shared" si="198"/>
        <v/>
      </c>
      <c r="BT398" s="38" t="str">
        <f t="shared" si="193"/>
        <v/>
      </c>
      <c r="BU398" s="36" t="str">
        <f t="shared" si="199"/>
        <v/>
      </c>
    </row>
    <row r="399" spans="2:73" ht="15">
      <c r="B399" s="16">
        <f t="shared" si="200"/>
        <v>45866</v>
      </c>
      <c r="C399" s="15" t="s">
        <v>1</v>
      </c>
      <c r="D399" s="17">
        <f t="shared" si="201"/>
        <v>45872</v>
      </c>
      <c r="E399" s="18">
        <f t="shared" si="202"/>
        <v>7</v>
      </c>
      <c r="F399" s="19">
        <f t="shared" si="203"/>
        <v>2025</v>
      </c>
      <c r="G399" s="9">
        <f t="shared" si="204"/>
        <v>17</v>
      </c>
      <c r="H399" s="8">
        <f t="shared" si="204"/>
        <v>95</v>
      </c>
      <c r="I399" s="9"/>
      <c r="J399" s="9"/>
      <c r="K399" s="9"/>
      <c r="L399" s="9"/>
      <c r="M399" s="9"/>
      <c r="N399" s="9"/>
      <c r="O399" s="12"/>
      <c r="P399" s="12"/>
      <c r="Q399" s="12"/>
      <c r="R399" s="12"/>
      <c r="S399" s="12"/>
      <c r="T399" s="12"/>
      <c r="V399" s="20">
        <f t="shared" si="195"/>
        <v>4</v>
      </c>
      <c r="W399" s="20">
        <f t="shared" si="195"/>
        <v>9</v>
      </c>
      <c r="X399" s="20">
        <f t="shared" si="195"/>
        <v>14</v>
      </c>
      <c r="Y399" s="20">
        <f t="shared" si="194"/>
        <v>0</v>
      </c>
      <c r="Z399" s="20">
        <f t="shared" si="194"/>
        <v>0</v>
      </c>
      <c r="AA399" s="20">
        <f t="shared" si="194"/>
        <v>0</v>
      </c>
      <c r="AC399" s="3">
        <f t="shared" si="176"/>
        <v>0</v>
      </c>
      <c r="AD399" s="3">
        <f t="shared" si="177"/>
        <v>93</v>
      </c>
      <c r="AE399" s="3">
        <f t="shared" si="178"/>
        <v>88</v>
      </c>
      <c r="AF399" s="3">
        <f t="shared" si="179"/>
        <v>82</v>
      </c>
      <c r="AG399" s="3">
        <f t="shared" si="180"/>
        <v>77</v>
      </c>
      <c r="AH399" s="3">
        <f t="shared" si="181"/>
        <v>72</v>
      </c>
      <c r="AI399" s="3">
        <f t="shared" si="182"/>
        <v>67</v>
      </c>
      <c r="AJ399" s="3">
        <f t="shared" si="183"/>
        <v>61</v>
      </c>
      <c r="AK399" s="3">
        <f t="shared" si="184"/>
        <v>56</v>
      </c>
      <c r="AL399" s="3">
        <f t="shared" si="185"/>
        <v>51</v>
      </c>
      <c r="AM399" s="3">
        <f t="shared" si="186"/>
        <v>46</v>
      </c>
      <c r="AN399" s="3">
        <f t="shared" si="187"/>
        <v>40</v>
      </c>
      <c r="AO399" s="3">
        <f t="shared" si="188"/>
        <v>35</v>
      </c>
      <c r="AP399" s="3">
        <f t="shared" si="189"/>
        <v>30</v>
      </c>
      <c r="AQ399" s="3">
        <f t="shared" si="190"/>
        <v>25</v>
      </c>
      <c r="AR399" s="3">
        <f t="shared" si="191"/>
        <v>19</v>
      </c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M399" s="35" t="s">
        <v>12</v>
      </c>
      <c r="BO399" s="35"/>
      <c r="BR399" s="9" t="str">
        <f t="shared" si="197"/>
        <v/>
      </c>
      <c r="BS399" s="37" t="str">
        <f t="shared" si="198"/>
        <v/>
      </c>
      <c r="BT399" s="38" t="str">
        <f t="shared" si="193"/>
        <v/>
      </c>
      <c r="BU399" s="36" t="str">
        <f t="shared" si="199"/>
        <v/>
      </c>
    </row>
    <row r="400" spans="2:73" ht="15">
      <c r="B400" s="16">
        <f t="shared" si="200"/>
        <v>45873</v>
      </c>
      <c r="C400" s="15" t="s">
        <v>1</v>
      </c>
      <c r="D400" s="17">
        <f t="shared" si="201"/>
        <v>45879</v>
      </c>
      <c r="E400" s="18">
        <f t="shared" si="202"/>
        <v>8</v>
      </c>
      <c r="F400" s="19">
        <f t="shared" si="203"/>
        <v>2025</v>
      </c>
      <c r="G400" s="9">
        <f t="shared" si="204"/>
        <v>17</v>
      </c>
      <c r="H400" s="8">
        <f t="shared" si="204"/>
        <v>95</v>
      </c>
      <c r="I400" s="9"/>
      <c r="J400" s="9"/>
      <c r="K400" s="9"/>
      <c r="L400" s="9"/>
      <c r="M400" s="9"/>
      <c r="N400" s="9"/>
      <c r="O400" s="12"/>
      <c r="P400" s="12"/>
      <c r="Q400" s="12"/>
      <c r="R400" s="12"/>
      <c r="S400" s="12"/>
      <c r="T400" s="12"/>
      <c r="V400" s="20">
        <f t="shared" si="195"/>
        <v>5</v>
      </c>
      <c r="W400" s="20">
        <f t="shared" si="195"/>
        <v>10</v>
      </c>
      <c r="X400" s="20">
        <f t="shared" si="195"/>
        <v>15</v>
      </c>
      <c r="Y400" s="20">
        <f t="shared" si="194"/>
        <v>0</v>
      </c>
      <c r="Z400" s="20">
        <f t="shared" si="194"/>
        <v>0</v>
      </c>
      <c r="AA400" s="20">
        <f t="shared" si="194"/>
        <v>0</v>
      </c>
      <c r="AC400" s="3">
        <f t="shared" si="176"/>
        <v>0</v>
      </c>
      <c r="AD400" s="3">
        <f t="shared" si="177"/>
        <v>94</v>
      </c>
      <c r="AE400" s="3">
        <f t="shared" si="178"/>
        <v>89</v>
      </c>
      <c r="AF400" s="3">
        <f t="shared" si="179"/>
        <v>83</v>
      </c>
      <c r="AG400" s="3">
        <f t="shared" si="180"/>
        <v>78</v>
      </c>
      <c r="AH400" s="3">
        <f t="shared" si="181"/>
        <v>73</v>
      </c>
      <c r="AI400" s="3">
        <f t="shared" si="182"/>
        <v>68</v>
      </c>
      <c r="AJ400" s="3">
        <f t="shared" si="183"/>
        <v>62</v>
      </c>
      <c r="AK400" s="3">
        <f t="shared" si="184"/>
        <v>57</v>
      </c>
      <c r="AL400" s="3">
        <f t="shared" si="185"/>
        <v>52</v>
      </c>
      <c r="AM400" s="3">
        <f t="shared" si="186"/>
        <v>47</v>
      </c>
      <c r="AN400" s="3">
        <f t="shared" si="187"/>
        <v>41</v>
      </c>
      <c r="AO400" s="3">
        <f t="shared" si="188"/>
        <v>36</v>
      </c>
      <c r="AP400" s="3">
        <f t="shared" si="189"/>
        <v>31</v>
      </c>
      <c r="AQ400" s="3">
        <f t="shared" si="190"/>
        <v>26</v>
      </c>
      <c r="AR400" s="3">
        <f t="shared" si="191"/>
        <v>20</v>
      </c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M400" s="35" t="s">
        <v>12</v>
      </c>
      <c r="BO400" s="35"/>
      <c r="BR400" s="9" t="str">
        <f t="shared" si="197"/>
        <v/>
      </c>
      <c r="BS400" s="37" t="str">
        <f t="shared" si="198"/>
        <v/>
      </c>
      <c r="BT400" s="38" t="str">
        <f t="shared" si="193"/>
        <v/>
      </c>
      <c r="BU400" s="36" t="str">
        <f t="shared" si="199"/>
        <v/>
      </c>
    </row>
    <row r="401" spans="2:73" ht="15">
      <c r="B401" s="16">
        <f t="shared" si="200"/>
        <v>45880</v>
      </c>
      <c r="C401" s="15" t="s">
        <v>1</v>
      </c>
      <c r="D401" s="17">
        <f t="shared" si="201"/>
        <v>45886</v>
      </c>
      <c r="E401" s="18">
        <f t="shared" si="202"/>
        <v>8</v>
      </c>
      <c r="F401" s="19">
        <f t="shared" si="203"/>
        <v>2025</v>
      </c>
      <c r="G401" s="9">
        <f t="shared" si="204"/>
        <v>17</v>
      </c>
      <c r="H401" s="8">
        <f t="shared" si="204"/>
        <v>95</v>
      </c>
      <c r="I401" s="9"/>
      <c r="J401" s="9"/>
      <c r="K401" s="9"/>
      <c r="L401" s="9"/>
      <c r="M401" s="9"/>
      <c r="N401" s="9"/>
      <c r="O401" s="12"/>
      <c r="P401" s="12"/>
      <c r="Q401" s="12"/>
      <c r="R401" s="12"/>
      <c r="S401" s="12"/>
      <c r="T401" s="12"/>
      <c r="V401" s="20">
        <f t="shared" si="195"/>
        <v>6</v>
      </c>
      <c r="W401" s="20">
        <f t="shared" si="195"/>
        <v>11</v>
      </c>
      <c r="X401" s="20">
        <f t="shared" si="195"/>
        <v>16</v>
      </c>
      <c r="Y401" s="20">
        <f t="shared" si="194"/>
        <v>0</v>
      </c>
      <c r="Z401" s="20">
        <f t="shared" si="194"/>
        <v>0</v>
      </c>
      <c r="AA401" s="20">
        <f t="shared" si="194"/>
        <v>0</v>
      </c>
      <c r="AC401" s="3">
        <f t="shared" si="176"/>
        <v>0</v>
      </c>
      <c r="AD401" s="3">
        <f t="shared" si="177"/>
        <v>95</v>
      </c>
      <c r="AE401" s="3">
        <f t="shared" si="178"/>
        <v>90</v>
      </c>
      <c r="AF401" s="3">
        <f t="shared" si="179"/>
        <v>84</v>
      </c>
      <c r="AG401" s="3">
        <f t="shared" si="180"/>
        <v>79</v>
      </c>
      <c r="AH401" s="3">
        <f t="shared" si="181"/>
        <v>74</v>
      </c>
      <c r="AI401" s="3">
        <f t="shared" si="182"/>
        <v>69</v>
      </c>
      <c r="AJ401" s="3">
        <f t="shared" si="183"/>
        <v>63</v>
      </c>
      <c r="AK401" s="3">
        <f t="shared" si="184"/>
        <v>58</v>
      </c>
      <c r="AL401" s="3">
        <f t="shared" si="185"/>
        <v>53</v>
      </c>
      <c r="AM401" s="3">
        <f t="shared" si="186"/>
        <v>48</v>
      </c>
      <c r="AN401" s="3">
        <f t="shared" si="187"/>
        <v>42</v>
      </c>
      <c r="AO401" s="3">
        <f t="shared" si="188"/>
        <v>37</v>
      </c>
      <c r="AP401" s="3">
        <f t="shared" si="189"/>
        <v>32</v>
      </c>
      <c r="AQ401" s="3">
        <f t="shared" si="190"/>
        <v>27</v>
      </c>
      <c r="AR401" s="3">
        <f t="shared" si="191"/>
        <v>21</v>
      </c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M401" s="35" t="s">
        <v>12</v>
      </c>
      <c r="BO401" s="35"/>
      <c r="BR401" s="9" t="str">
        <f t="shared" si="197"/>
        <v/>
      </c>
      <c r="BS401" s="37" t="str">
        <f t="shared" si="198"/>
        <v/>
      </c>
      <c r="BT401" s="38" t="str">
        <f t="shared" si="193"/>
        <v/>
      </c>
      <c r="BU401" s="36" t="str">
        <f t="shared" si="199"/>
        <v/>
      </c>
    </row>
    <row r="402" spans="2:73" ht="15">
      <c r="B402" s="16">
        <f t="shared" si="200"/>
        <v>45887</v>
      </c>
      <c r="C402" s="15" t="s">
        <v>1</v>
      </c>
      <c r="D402" s="17">
        <f t="shared" si="201"/>
        <v>45893</v>
      </c>
      <c r="E402" s="18">
        <f t="shared" si="202"/>
        <v>8</v>
      </c>
      <c r="F402" s="19">
        <f t="shared" si="203"/>
        <v>2025</v>
      </c>
      <c r="G402" s="9">
        <f t="shared" si="204"/>
        <v>17</v>
      </c>
      <c r="H402" s="8">
        <f t="shared" si="204"/>
        <v>95</v>
      </c>
      <c r="I402" s="9"/>
      <c r="J402" s="9"/>
      <c r="K402" s="9"/>
      <c r="L402" s="9"/>
      <c r="M402" s="9"/>
      <c r="N402" s="9"/>
      <c r="O402" s="12"/>
      <c r="P402" s="12"/>
      <c r="Q402" s="12"/>
      <c r="R402" s="12"/>
      <c r="S402" s="12"/>
      <c r="T402" s="12"/>
      <c r="V402" s="20">
        <f t="shared" si="195"/>
        <v>7</v>
      </c>
      <c r="W402" s="20">
        <f t="shared" si="195"/>
        <v>12</v>
      </c>
      <c r="X402" s="20">
        <f t="shared" si="195"/>
        <v>17</v>
      </c>
      <c r="Y402" s="20">
        <f t="shared" si="194"/>
        <v>0</v>
      </c>
      <c r="Z402" s="20">
        <f t="shared" si="194"/>
        <v>0</v>
      </c>
      <c r="AA402" s="20">
        <f t="shared" si="194"/>
        <v>0</v>
      </c>
      <c r="AC402" s="3">
        <f t="shared" si="176"/>
        <v>0</v>
      </c>
      <c r="AD402" s="3">
        <f t="shared" si="177"/>
        <v>0</v>
      </c>
      <c r="AE402" s="3">
        <f t="shared" si="178"/>
        <v>91</v>
      </c>
      <c r="AF402" s="3">
        <f t="shared" si="179"/>
        <v>85</v>
      </c>
      <c r="AG402" s="3">
        <f t="shared" si="180"/>
        <v>80</v>
      </c>
      <c r="AH402" s="3">
        <f t="shared" si="181"/>
        <v>75</v>
      </c>
      <c r="AI402" s="3">
        <f t="shared" si="182"/>
        <v>70</v>
      </c>
      <c r="AJ402" s="3">
        <f t="shared" si="183"/>
        <v>64</v>
      </c>
      <c r="AK402" s="3">
        <f t="shared" si="184"/>
        <v>59</v>
      </c>
      <c r="AL402" s="3">
        <f t="shared" si="185"/>
        <v>54</v>
      </c>
      <c r="AM402" s="3">
        <f t="shared" si="186"/>
        <v>49</v>
      </c>
      <c r="AN402" s="3">
        <f t="shared" si="187"/>
        <v>43</v>
      </c>
      <c r="AO402" s="3">
        <f t="shared" si="188"/>
        <v>38</v>
      </c>
      <c r="AP402" s="3">
        <f t="shared" si="189"/>
        <v>33</v>
      </c>
      <c r="AQ402" s="3">
        <f t="shared" si="190"/>
        <v>28</v>
      </c>
      <c r="AR402" s="3">
        <f t="shared" si="191"/>
        <v>22</v>
      </c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M402" s="35" t="s">
        <v>12</v>
      </c>
      <c r="BO402" s="35"/>
      <c r="BR402" s="9" t="str">
        <f t="shared" si="197"/>
        <v/>
      </c>
      <c r="BS402" s="37" t="str">
        <f t="shared" si="198"/>
        <v/>
      </c>
      <c r="BT402" s="38" t="str">
        <f t="shared" si="193"/>
        <v/>
      </c>
      <c r="BU402" s="36" t="str">
        <f t="shared" si="199"/>
        <v/>
      </c>
    </row>
    <row r="403" spans="2:73" ht="15">
      <c r="B403" s="16">
        <f t="shared" si="200"/>
        <v>45894</v>
      </c>
      <c r="C403" s="15" t="s">
        <v>1</v>
      </c>
      <c r="D403" s="17">
        <f t="shared" si="201"/>
        <v>45900</v>
      </c>
      <c r="E403" s="18">
        <f t="shared" si="202"/>
        <v>8</v>
      </c>
      <c r="F403" s="19">
        <f t="shared" si="203"/>
        <v>2025</v>
      </c>
      <c r="G403" s="9">
        <f t="shared" si="204"/>
        <v>17</v>
      </c>
      <c r="H403" s="8">
        <f t="shared" si="204"/>
        <v>95</v>
      </c>
      <c r="I403" s="9"/>
      <c r="J403" s="9"/>
      <c r="K403" s="9"/>
      <c r="L403" s="9"/>
      <c r="M403" s="9"/>
      <c r="N403" s="9"/>
      <c r="O403" s="12"/>
      <c r="P403" s="12"/>
      <c r="Q403" s="12"/>
      <c r="R403" s="12"/>
      <c r="S403" s="12"/>
      <c r="T403" s="12"/>
      <c r="V403" s="20">
        <f t="shared" si="195"/>
        <v>8</v>
      </c>
      <c r="W403" s="20">
        <f t="shared" si="195"/>
        <v>13</v>
      </c>
      <c r="X403" s="20">
        <f t="shared" si="195"/>
        <v>0</v>
      </c>
      <c r="Y403" s="20">
        <f t="shared" si="194"/>
        <v>0</v>
      </c>
      <c r="Z403" s="20">
        <f t="shared" si="194"/>
        <v>0</v>
      </c>
      <c r="AA403" s="20">
        <f t="shared" si="194"/>
        <v>0</v>
      </c>
      <c r="AC403" s="3">
        <f t="shared" si="176"/>
        <v>0</v>
      </c>
      <c r="AD403" s="3">
        <f t="shared" si="177"/>
        <v>0</v>
      </c>
      <c r="AE403" s="3">
        <f t="shared" si="178"/>
        <v>92</v>
      </c>
      <c r="AF403" s="3">
        <f t="shared" si="179"/>
        <v>86</v>
      </c>
      <c r="AG403" s="3">
        <f t="shared" si="180"/>
        <v>81</v>
      </c>
      <c r="AH403" s="3">
        <f t="shared" si="181"/>
        <v>76</v>
      </c>
      <c r="AI403" s="3">
        <f t="shared" si="182"/>
        <v>71</v>
      </c>
      <c r="AJ403" s="3">
        <f t="shared" si="183"/>
        <v>65</v>
      </c>
      <c r="AK403" s="3">
        <f t="shared" si="184"/>
        <v>60</v>
      </c>
      <c r="AL403" s="3">
        <f t="shared" si="185"/>
        <v>55</v>
      </c>
      <c r="AM403" s="3">
        <f t="shared" si="186"/>
        <v>50</v>
      </c>
      <c r="AN403" s="3">
        <f t="shared" si="187"/>
        <v>44</v>
      </c>
      <c r="AO403" s="3">
        <f t="shared" si="188"/>
        <v>39</v>
      </c>
      <c r="AP403" s="3">
        <f t="shared" si="189"/>
        <v>34</v>
      </c>
      <c r="AQ403" s="3">
        <f t="shared" si="190"/>
        <v>29</v>
      </c>
      <c r="AR403" s="3">
        <f t="shared" si="191"/>
        <v>23</v>
      </c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M403" s="35" t="s">
        <v>12</v>
      </c>
      <c r="BO403" s="35"/>
      <c r="BR403" s="9" t="str">
        <f t="shared" si="197"/>
        <v/>
      </c>
      <c r="BS403" s="37" t="str">
        <f t="shared" si="198"/>
        <v/>
      </c>
      <c r="BT403" s="38" t="str">
        <f t="shared" si="193"/>
        <v/>
      </c>
      <c r="BU403" s="36" t="str">
        <f t="shared" si="199"/>
        <v/>
      </c>
    </row>
    <row r="404" spans="2:73" ht="15">
      <c r="B404" s="16">
        <f t="shared" si="200"/>
        <v>45901</v>
      </c>
      <c r="C404" s="15" t="s">
        <v>1</v>
      </c>
      <c r="D404" s="17">
        <f t="shared" si="201"/>
        <v>45907</v>
      </c>
      <c r="E404" s="18">
        <f t="shared" si="202"/>
        <v>9</v>
      </c>
      <c r="F404" s="19">
        <f t="shared" si="203"/>
        <v>2025</v>
      </c>
      <c r="G404" s="9">
        <f t="shared" si="204"/>
        <v>17</v>
      </c>
      <c r="H404" s="8">
        <f t="shared" si="204"/>
        <v>95</v>
      </c>
      <c r="I404" s="9"/>
      <c r="J404" s="9"/>
      <c r="K404" s="9"/>
      <c r="L404" s="9"/>
      <c r="M404" s="9"/>
      <c r="N404" s="9"/>
      <c r="O404" s="12"/>
      <c r="P404" s="12"/>
      <c r="Q404" s="12"/>
      <c r="R404" s="12"/>
      <c r="S404" s="12"/>
      <c r="T404" s="12"/>
      <c r="V404" s="20">
        <f t="shared" si="195"/>
        <v>9</v>
      </c>
      <c r="W404" s="20">
        <f t="shared" si="195"/>
        <v>14</v>
      </c>
      <c r="X404" s="20">
        <f t="shared" si="195"/>
        <v>0</v>
      </c>
      <c r="Y404" s="20">
        <f t="shared" si="194"/>
        <v>0</v>
      </c>
      <c r="Z404" s="20">
        <f t="shared" si="194"/>
        <v>0</v>
      </c>
      <c r="AA404" s="20">
        <f t="shared" si="194"/>
        <v>0</v>
      </c>
      <c r="AC404" s="3">
        <f t="shared" si="176"/>
        <v>0</v>
      </c>
      <c r="AD404" s="3">
        <f t="shared" si="177"/>
        <v>0</v>
      </c>
      <c r="AE404" s="3">
        <f t="shared" si="178"/>
        <v>93</v>
      </c>
      <c r="AF404" s="3">
        <f t="shared" si="179"/>
        <v>87</v>
      </c>
      <c r="AG404" s="3">
        <f t="shared" si="180"/>
        <v>82</v>
      </c>
      <c r="AH404" s="3">
        <f t="shared" si="181"/>
        <v>77</v>
      </c>
      <c r="AI404" s="3">
        <f t="shared" si="182"/>
        <v>72</v>
      </c>
      <c r="AJ404" s="3">
        <f t="shared" si="183"/>
        <v>66</v>
      </c>
      <c r="AK404" s="3">
        <f t="shared" si="184"/>
        <v>61</v>
      </c>
      <c r="AL404" s="3">
        <f t="shared" si="185"/>
        <v>56</v>
      </c>
      <c r="AM404" s="3">
        <f t="shared" si="186"/>
        <v>51</v>
      </c>
      <c r="AN404" s="3">
        <f t="shared" si="187"/>
        <v>45</v>
      </c>
      <c r="AO404" s="3">
        <f t="shared" si="188"/>
        <v>40</v>
      </c>
      <c r="AP404" s="3">
        <f t="shared" si="189"/>
        <v>35</v>
      </c>
      <c r="AQ404" s="3">
        <f t="shared" si="190"/>
        <v>30</v>
      </c>
      <c r="AR404" s="3">
        <f t="shared" si="191"/>
        <v>24</v>
      </c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M404" s="35" t="s">
        <v>12</v>
      </c>
      <c r="BO404" s="35"/>
      <c r="BR404" s="9" t="str">
        <f t="shared" si="197"/>
        <v/>
      </c>
      <c r="BS404" s="37" t="str">
        <f t="shared" si="198"/>
        <v/>
      </c>
      <c r="BT404" s="38" t="str">
        <f t="shared" si="193"/>
        <v/>
      </c>
      <c r="BU404" s="36" t="str">
        <f t="shared" si="199"/>
        <v/>
      </c>
    </row>
    <row r="405" spans="2:73" ht="15">
      <c r="B405" s="16">
        <f t="shared" si="200"/>
        <v>45908</v>
      </c>
      <c r="C405" s="15" t="s">
        <v>1</v>
      </c>
      <c r="D405" s="17">
        <f t="shared" si="201"/>
        <v>45914</v>
      </c>
      <c r="E405" s="18">
        <f t="shared" si="202"/>
        <v>9</v>
      </c>
      <c r="F405" s="19">
        <f t="shared" si="203"/>
        <v>2025</v>
      </c>
      <c r="G405" s="9">
        <f t="shared" si="204"/>
        <v>17</v>
      </c>
      <c r="H405" s="8">
        <f t="shared" si="204"/>
        <v>95</v>
      </c>
      <c r="I405" s="9"/>
      <c r="J405" s="9"/>
      <c r="K405" s="9"/>
      <c r="L405" s="9"/>
      <c r="M405" s="9"/>
      <c r="N405" s="9"/>
      <c r="O405" s="12"/>
      <c r="P405" s="12"/>
      <c r="Q405" s="12"/>
      <c r="R405" s="12"/>
      <c r="S405" s="12"/>
      <c r="T405" s="12"/>
      <c r="V405" s="20">
        <f t="shared" si="195"/>
        <v>10</v>
      </c>
      <c r="W405" s="20">
        <f t="shared" si="195"/>
        <v>15</v>
      </c>
      <c r="X405" s="20">
        <f t="shared" si="195"/>
        <v>0</v>
      </c>
      <c r="Y405" s="20">
        <f t="shared" si="194"/>
        <v>0</v>
      </c>
      <c r="Z405" s="20">
        <f t="shared" si="194"/>
        <v>0</v>
      </c>
      <c r="AA405" s="20">
        <f t="shared" si="194"/>
        <v>0</v>
      </c>
      <c r="AC405" s="3">
        <f t="shared" si="176"/>
        <v>0</v>
      </c>
      <c r="AD405" s="3">
        <f t="shared" si="177"/>
        <v>0</v>
      </c>
      <c r="AE405" s="3">
        <f t="shared" si="178"/>
        <v>94</v>
      </c>
      <c r="AF405" s="3">
        <f t="shared" si="179"/>
        <v>88</v>
      </c>
      <c r="AG405" s="3">
        <f t="shared" si="180"/>
        <v>83</v>
      </c>
      <c r="AH405" s="3">
        <f t="shared" si="181"/>
        <v>78</v>
      </c>
      <c r="AI405" s="3">
        <f t="shared" si="182"/>
        <v>73</v>
      </c>
      <c r="AJ405" s="3">
        <f t="shared" si="183"/>
        <v>67</v>
      </c>
      <c r="AK405" s="3">
        <f t="shared" si="184"/>
        <v>62</v>
      </c>
      <c r="AL405" s="3">
        <f t="shared" si="185"/>
        <v>57</v>
      </c>
      <c r="AM405" s="3">
        <f t="shared" si="186"/>
        <v>52</v>
      </c>
      <c r="AN405" s="3">
        <f t="shared" si="187"/>
        <v>46</v>
      </c>
      <c r="AO405" s="3">
        <f t="shared" si="188"/>
        <v>41</v>
      </c>
      <c r="AP405" s="3">
        <f t="shared" si="189"/>
        <v>36</v>
      </c>
      <c r="AQ405" s="3">
        <f t="shared" si="190"/>
        <v>31</v>
      </c>
      <c r="AR405" s="3">
        <f t="shared" si="191"/>
        <v>25</v>
      </c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M405" s="35" t="s">
        <v>12</v>
      </c>
      <c r="BO405" s="35"/>
      <c r="BR405" s="9" t="str">
        <f t="shared" si="197"/>
        <v/>
      </c>
      <c r="BS405" s="37" t="str">
        <f t="shared" si="198"/>
        <v/>
      </c>
      <c r="BT405" s="38" t="str">
        <f t="shared" si="193"/>
        <v/>
      </c>
      <c r="BU405" s="36" t="str">
        <f t="shared" si="199"/>
        <v/>
      </c>
    </row>
    <row r="406" spans="2:73" ht="15">
      <c r="B406" s="16">
        <f t="shared" si="200"/>
        <v>45915</v>
      </c>
      <c r="C406" s="15" t="s">
        <v>1</v>
      </c>
      <c r="D406" s="17">
        <f t="shared" si="201"/>
        <v>45921</v>
      </c>
      <c r="E406" s="18">
        <f t="shared" si="202"/>
        <v>9</v>
      </c>
      <c r="F406" s="19">
        <f t="shared" si="203"/>
        <v>2025</v>
      </c>
      <c r="G406" s="9">
        <f t="shared" ref="G406:H421" si="205">G405</f>
        <v>17</v>
      </c>
      <c r="H406" s="8">
        <f t="shared" si="205"/>
        <v>95</v>
      </c>
      <c r="I406" s="9"/>
      <c r="J406" s="9"/>
      <c r="K406" s="9"/>
      <c r="L406" s="9"/>
      <c r="M406" s="9"/>
      <c r="N406" s="9"/>
      <c r="O406" s="12"/>
      <c r="P406" s="12"/>
      <c r="Q406" s="12"/>
      <c r="R406" s="12"/>
      <c r="S406" s="12"/>
      <c r="T406" s="12"/>
      <c r="V406" s="20">
        <f t="shared" si="195"/>
        <v>11</v>
      </c>
      <c r="W406" s="20">
        <f t="shared" si="195"/>
        <v>16</v>
      </c>
      <c r="X406" s="20">
        <f t="shared" si="195"/>
        <v>0</v>
      </c>
      <c r="Y406" s="20">
        <f t="shared" si="194"/>
        <v>0</v>
      </c>
      <c r="Z406" s="20">
        <f t="shared" si="194"/>
        <v>0</v>
      </c>
      <c r="AA406" s="20">
        <f t="shared" si="194"/>
        <v>0</v>
      </c>
      <c r="AC406" s="3">
        <f t="shared" si="176"/>
        <v>0</v>
      </c>
      <c r="AD406" s="3">
        <f t="shared" si="177"/>
        <v>0</v>
      </c>
      <c r="AE406" s="3">
        <f t="shared" si="178"/>
        <v>95</v>
      </c>
      <c r="AF406" s="3">
        <f t="shared" si="179"/>
        <v>89</v>
      </c>
      <c r="AG406" s="3">
        <f t="shared" si="180"/>
        <v>84</v>
      </c>
      <c r="AH406" s="3">
        <f t="shared" si="181"/>
        <v>79</v>
      </c>
      <c r="AI406" s="3">
        <f t="shared" si="182"/>
        <v>74</v>
      </c>
      <c r="AJ406" s="3">
        <f t="shared" si="183"/>
        <v>68</v>
      </c>
      <c r="AK406" s="3">
        <f t="shared" si="184"/>
        <v>63</v>
      </c>
      <c r="AL406" s="3">
        <f t="shared" si="185"/>
        <v>58</v>
      </c>
      <c r="AM406" s="3">
        <f t="shared" si="186"/>
        <v>53</v>
      </c>
      <c r="AN406" s="3">
        <f t="shared" si="187"/>
        <v>47</v>
      </c>
      <c r="AO406" s="3">
        <f t="shared" si="188"/>
        <v>42</v>
      </c>
      <c r="AP406" s="3">
        <f t="shared" si="189"/>
        <v>37</v>
      </c>
      <c r="AQ406" s="3">
        <f t="shared" si="190"/>
        <v>32</v>
      </c>
      <c r="AR406" s="3">
        <f t="shared" si="191"/>
        <v>26</v>
      </c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M406" s="35" t="s">
        <v>12</v>
      </c>
      <c r="BO406" s="35"/>
      <c r="BR406" s="9" t="str">
        <f t="shared" si="197"/>
        <v/>
      </c>
      <c r="BS406" s="37" t="str">
        <f t="shared" si="198"/>
        <v/>
      </c>
      <c r="BT406" s="38" t="str">
        <f t="shared" si="193"/>
        <v/>
      </c>
      <c r="BU406" s="36" t="str">
        <f t="shared" si="199"/>
        <v/>
      </c>
    </row>
    <row r="407" spans="2:73" ht="15">
      <c r="B407" s="16">
        <f t="shared" si="200"/>
        <v>45922</v>
      </c>
      <c r="C407" s="15" t="s">
        <v>1</v>
      </c>
      <c r="D407" s="17">
        <f t="shared" si="201"/>
        <v>45928</v>
      </c>
      <c r="E407" s="18">
        <f t="shared" si="202"/>
        <v>9</v>
      </c>
      <c r="F407" s="19">
        <f t="shared" si="203"/>
        <v>2025</v>
      </c>
      <c r="G407" s="9">
        <f t="shared" si="205"/>
        <v>17</v>
      </c>
      <c r="H407" s="8">
        <f t="shared" si="205"/>
        <v>95</v>
      </c>
      <c r="I407" s="9"/>
      <c r="J407" s="9"/>
      <c r="K407" s="9"/>
      <c r="L407" s="9"/>
      <c r="M407" s="9"/>
      <c r="N407" s="9"/>
      <c r="O407" s="12"/>
      <c r="P407" s="12"/>
      <c r="Q407" s="12"/>
      <c r="R407" s="12"/>
      <c r="S407" s="12"/>
      <c r="T407" s="12"/>
      <c r="V407" s="20">
        <f t="shared" si="195"/>
        <v>12</v>
      </c>
      <c r="W407" s="20">
        <f t="shared" si="195"/>
        <v>17</v>
      </c>
      <c r="X407" s="20">
        <f t="shared" si="195"/>
        <v>0</v>
      </c>
      <c r="Y407" s="20">
        <f t="shared" si="194"/>
        <v>0</v>
      </c>
      <c r="Z407" s="20">
        <f t="shared" si="194"/>
        <v>0</v>
      </c>
      <c r="AA407" s="20">
        <f t="shared" si="194"/>
        <v>0</v>
      </c>
      <c r="AC407" s="3">
        <f t="shared" si="176"/>
        <v>0</v>
      </c>
      <c r="AD407" s="3">
        <f t="shared" si="177"/>
        <v>0</v>
      </c>
      <c r="AE407" s="3">
        <f t="shared" si="178"/>
        <v>0</v>
      </c>
      <c r="AF407" s="3">
        <f t="shared" si="179"/>
        <v>90</v>
      </c>
      <c r="AG407" s="3">
        <f t="shared" si="180"/>
        <v>85</v>
      </c>
      <c r="AH407" s="3">
        <f t="shared" si="181"/>
        <v>80</v>
      </c>
      <c r="AI407" s="3">
        <f t="shared" si="182"/>
        <v>75</v>
      </c>
      <c r="AJ407" s="3">
        <f t="shared" si="183"/>
        <v>69</v>
      </c>
      <c r="AK407" s="3">
        <f t="shared" si="184"/>
        <v>64</v>
      </c>
      <c r="AL407" s="3">
        <f t="shared" si="185"/>
        <v>59</v>
      </c>
      <c r="AM407" s="3">
        <f t="shared" si="186"/>
        <v>54</v>
      </c>
      <c r="AN407" s="3">
        <f t="shared" si="187"/>
        <v>48</v>
      </c>
      <c r="AO407" s="3">
        <f t="shared" si="188"/>
        <v>43</v>
      </c>
      <c r="AP407" s="3">
        <f t="shared" si="189"/>
        <v>38</v>
      </c>
      <c r="AQ407" s="3">
        <f t="shared" si="190"/>
        <v>33</v>
      </c>
      <c r="AR407" s="3">
        <f t="shared" si="191"/>
        <v>27</v>
      </c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M407" s="35" t="s">
        <v>12</v>
      </c>
      <c r="BO407" s="35"/>
      <c r="BR407" s="9" t="str">
        <f t="shared" si="197"/>
        <v/>
      </c>
      <c r="BS407" s="37" t="str">
        <f t="shared" si="198"/>
        <v/>
      </c>
      <c r="BT407" s="38" t="str">
        <f t="shared" si="193"/>
        <v/>
      </c>
      <c r="BU407" s="36" t="str">
        <f t="shared" si="199"/>
        <v/>
      </c>
    </row>
    <row r="408" spans="2:73" ht="15">
      <c r="B408" s="16">
        <f t="shared" si="200"/>
        <v>45929</v>
      </c>
      <c r="C408" s="15" t="s">
        <v>1</v>
      </c>
      <c r="D408" s="17">
        <f t="shared" si="201"/>
        <v>45935</v>
      </c>
      <c r="E408" s="18">
        <f t="shared" si="202"/>
        <v>9</v>
      </c>
      <c r="F408" s="19">
        <f t="shared" si="203"/>
        <v>2025</v>
      </c>
      <c r="G408" s="9">
        <f t="shared" si="205"/>
        <v>17</v>
      </c>
      <c r="H408" s="8">
        <f t="shared" si="205"/>
        <v>95</v>
      </c>
      <c r="I408" s="9"/>
      <c r="J408" s="9"/>
      <c r="K408" s="9"/>
      <c r="L408" s="9"/>
      <c r="M408" s="9"/>
      <c r="N408" s="9"/>
      <c r="O408" s="12"/>
      <c r="P408" s="12"/>
      <c r="Q408" s="12"/>
      <c r="R408" s="12"/>
      <c r="S408" s="12"/>
      <c r="T408" s="12"/>
      <c r="V408" s="20">
        <f t="shared" si="195"/>
        <v>13</v>
      </c>
      <c r="W408" s="20">
        <f t="shared" si="195"/>
        <v>0</v>
      </c>
      <c r="X408" s="20">
        <f t="shared" si="195"/>
        <v>0</v>
      </c>
      <c r="Y408" s="20">
        <f t="shared" si="194"/>
        <v>0</v>
      </c>
      <c r="Z408" s="20">
        <f t="shared" si="194"/>
        <v>0</v>
      </c>
      <c r="AA408" s="20">
        <f t="shared" si="194"/>
        <v>0</v>
      </c>
      <c r="AC408" s="3">
        <f t="shared" si="176"/>
        <v>0</v>
      </c>
      <c r="AD408" s="3">
        <f t="shared" si="177"/>
        <v>0</v>
      </c>
      <c r="AE408" s="3">
        <f t="shared" si="178"/>
        <v>0</v>
      </c>
      <c r="AF408" s="3">
        <f t="shared" si="179"/>
        <v>91</v>
      </c>
      <c r="AG408" s="3">
        <f t="shared" si="180"/>
        <v>86</v>
      </c>
      <c r="AH408" s="3">
        <f t="shared" si="181"/>
        <v>81</v>
      </c>
      <c r="AI408" s="3">
        <f t="shared" si="182"/>
        <v>76</v>
      </c>
      <c r="AJ408" s="3">
        <f t="shared" si="183"/>
        <v>70</v>
      </c>
      <c r="AK408" s="3">
        <f t="shared" si="184"/>
        <v>65</v>
      </c>
      <c r="AL408" s="3">
        <f t="shared" si="185"/>
        <v>60</v>
      </c>
      <c r="AM408" s="3">
        <f t="shared" si="186"/>
        <v>55</v>
      </c>
      <c r="AN408" s="3">
        <f t="shared" si="187"/>
        <v>49</v>
      </c>
      <c r="AO408" s="3">
        <f t="shared" si="188"/>
        <v>44</v>
      </c>
      <c r="AP408" s="3">
        <f t="shared" si="189"/>
        <v>39</v>
      </c>
      <c r="AQ408" s="3">
        <f t="shared" si="190"/>
        <v>34</v>
      </c>
      <c r="AR408" s="3">
        <f t="shared" si="191"/>
        <v>28</v>
      </c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M408" s="35" t="s">
        <v>12</v>
      </c>
      <c r="BO408" s="35"/>
      <c r="BR408" s="9" t="str">
        <f t="shared" si="197"/>
        <v/>
      </c>
      <c r="BS408" s="37" t="str">
        <f t="shared" si="198"/>
        <v/>
      </c>
      <c r="BT408" s="38" t="str">
        <f t="shared" si="193"/>
        <v/>
      </c>
      <c r="BU408" s="36" t="str">
        <f t="shared" si="199"/>
        <v/>
      </c>
    </row>
    <row r="409" spans="2:73" ht="15">
      <c r="B409" s="16">
        <f t="shared" si="200"/>
        <v>45936</v>
      </c>
      <c r="C409" s="15" t="s">
        <v>1</v>
      </c>
      <c r="D409" s="17">
        <f t="shared" si="201"/>
        <v>45942</v>
      </c>
      <c r="E409" s="18">
        <f t="shared" si="202"/>
        <v>10</v>
      </c>
      <c r="F409" s="19">
        <f t="shared" si="203"/>
        <v>2025</v>
      </c>
      <c r="G409" s="9">
        <f t="shared" si="205"/>
        <v>17</v>
      </c>
      <c r="H409" s="8">
        <f t="shared" si="205"/>
        <v>95</v>
      </c>
      <c r="I409" s="9"/>
      <c r="J409" s="9"/>
      <c r="K409" s="9"/>
      <c r="L409" s="9"/>
      <c r="M409" s="9"/>
      <c r="N409" s="9"/>
      <c r="O409" s="12"/>
      <c r="P409" s="12"/>
      <c r="Q409" s="12"/>
      <c r="R409" s="12"/>
      <c r="S409" s="12"/>
      <c r="T409" s="12"/>
      <c r="V409" s="20">
        <f t="shared" si="195"/>
        <v>14</v>
      </c>
      <c r="W409" s="20">
        <f t="shared" si="195"/>
        <v>0</v>
      </c>
      <c r="X409" s="20">
        <f t="shared" si="195"/>
        <v>0</v>
      </c>
      <c r="Y409" s="20">
        <f t="shared" si="194"/>
        <v>0</v>
      </c>
      <c r="Z409" s="20">
        <f t="shared" si="194"/>
        <v>0</v>
      </c>
      <c r="AA409" s="20">
        <f t="shared" si="194"/>
        <v>0</v>
      </c>
      <c r="AC409" s="3">
        <f t="shared" si="176"/>
        <v>0</v>
      </c>
      <c r="AD409" s="3">
        <f t="shared" si="177"/>
        <v>0</v>
      </c>
      <c r="AE409" s="3">
        <f t="shared" si="178"/>
        <v>0</v>
      </c>
      <c r="AF409" s="3">
        <f t="shared" si="179"/>
        <v>92</v>
      </c>
      <c r="AG409" s="3">
        <f t="shared" si="180"/>
        <v>87</v>
      </c>
      <c r="AH409" s="3">
        <f t="shared" si="181"/>
        <v>82</v>
      </c>
      <c r="AI409" s="3">
        <f t="shared" si="182"/>
        <v>77</v>
      </c>
      <c r="AJ409" s="3">
        <f t="shared" si="183"/>
        <v>71</v>
      </c>
      <c r="AK409" s="3">
        <f t="shared" si="184"/>
        <v>66</v>
      </c>
      <c r="AL409" s="3">
        <f t="shared" si="185"/>
        <v>61</v>
      </c>
      <c r="AM409" s="3">
        <f t="shared" si="186"/>
        <v>56</v>
      </c>
      <c r="AN409" s="3">
        <f t="shared" si="187"/>
        <v>50</v>
      </c>
      <c r="AO409" s="3">
        <f t="shared" si="188"/>
        <v>45</v>
      </c>
      <c r="AP409" s="3">
        <f t="shared" si="189"/>
        <v>40</v>
      </c>
      <c r="AQ409" s="3">
        <f t="shared" si="190"/>
        <v>35</v>
      </c>
      <c r="AR409" s="3">
        <f t="shared" si="191"/>
        <v>29</v>
      </c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M409" s="35" t="s">
        <v>12</v>
      </c>
      <c r="BO409" s="35"/>
      <c r="BR409" s="9" t="str">
        <f t="shared" si="197"/>
        <v/>
      </c>
      <c r="BS409" s="37" t="str">
        <f t="shared" si="198"/>
        <v/>
      </c>
      <c r="BT409" s="38" t="str">
        <f t="shared" si="193"/>
        <v/>
      </c>
      <c r="BU409" s="36" t="str">
        <f t="shared" si="199"/>
        <v/>
      </c>
    </row>
    <row r="410" spans="2:73" ht="15">
      <c r="B410" s="16">
        <f t="shared" si="200"/>
        <v>45943</v>
      </c>
      <c r="C410" s="15" t="s">
        <v>1</v>
      </c>
      <c r="D410" s="17">
        <f t="shared" si="201"/>
        <v>45949</v>
      </c>
      <c r="E410" s="18">
        <f t="shared" si="202"/>
        <v>10</v>
      </c>
      <c r="F410" s="19">
        <f t="shared" si="203"/>
        <v>2025</v>
      </c>
      <c r="G410" s="9">
        <f t="shared" si="205"/>
        <v>17</v>
      </c>
      <c r="H410" s="8">
        <f t="shared" si="205"/>
        <v>95</v>
      </c>
      <c r="I410" s="9"/>
      <c r="J410" s="9"/>
      <c r="K410" s="9"/>
      <c r="L410" s="9"/>
      <c r="M410" s="9"/>
      <c r="N410" s="9"/>
      <c r="O410" s="12"/>
      <c r="P410" s="12"/>
      <c r="Q410" s="12"/>
      <c r="R410" s="12"/>
      <c r="S410" s="12"/>
      <c r="T410" s="12"/>
      <c r="V410" s="20">
        <f t="shared" si="195"/>
        <v>15</v>
      </c>
      <c r="W410" s="20">
        <f t="shared" si="195"/>
        <v>0</v>
      </c>
      <c r="X410" s="20">
        <f t="shared" si="195"/>
        <v>0</v>
      </c>
      <c r="Y410" s="20">
        <f t="shared" si="194"/>
        <v>0</v>
      </c>
      <c r="Z410" s="20">
        <f t="shared" si="194"/>
        <v>0</v>
      </c>
      <c r="AA410" s="20">
        <f t="shared" si="194"/>
        <v>0</v>
      </c>
      <c r="AC410" s="3">
        <f t="shared" si="176"/>
        <v>0</v>
      </c>
      <c r="AD410" s="3">
        <f t="shared" si="177"/>
        <v>0</v>
      </c>
      <c r="AE410" s="3">
        <f t="shared" si="178"/>
        <v>0</v>
      </c>
      <c r="AF410" s="3">
        <f t="shared" si="179"/>
        <v>93</v>
      </c>
      <c r="AG410" s="3">
        <f t="shared" si="180"/>
        <v>88</v>
      </c>
      <c r="AH410" s="3">
        <f t="shared" si="181"/>
        <v>83</v>
      </c>
      <c r="AI410" s="3">
        <f t="shared" si="182"/>
        <v>78</v>
      </c>
      <c r="AJ410" s="3">
        <f t="shared" si="183"/>
        <v>72</v>
      </c>
      <c r="AK410" s="3">
        <f t="shared" si="184"/>
        <v>67</v>
      </c>
      <c r="AL410" s="3">
        <f t="shared" si="185"/>
        <v>62</v>
      </c>
      <c r="AM410" s="3">
        <f t="shared" si="186"/>
        <v>57</v>
      </c>
      <c r="AN410" s="3">
        <f t="shared" si="187"/>
        <v>51</v>
      </c>
      <c r="AO410" s="3">
        <f t="shared" si="188"/>
        <v>46</v>
      </c>
      <c r="AP410" s="3">
        <f t="shared" si="189"/>
        <v>41</v>
      </c>
      <c r="AQ410" s="3">
        <f t="shared" si="190"/>
        <v>36</v>
      </c>
      <c r="AR410" s="3">
        <f t="shared" si="191"/>
        <v>30</v>
      </c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M410" s="35" t="s">
        <v>12</v>
      </c>
      <c r="BO410" s="35"/>
      <c r="BR410" s="9" t="str">
        <f t="shared" si="197"/>
        <v/>
      </c>
      <c r="BS410" s="37" t="str">
        <f t="shared" si="198"/>
        <v/>
      </c>
      <c r="BT410" s="38" t="str">
        <f t="shared" si="193"/>
        <v/>
      </c>
      <c r="BU410" s="36" t="str">
        <f t="shared" si="199"/>
        <v/>
      </c>
    </row>
    <row r="411" spans="2:73" ht="15">
      <c r="B411" s="16">
        <f t="shared" si="200"/>
        <v>45950</v>
      </c>
      <c r="C411" s="15" t="s">
        <v>1</v>
      </c>
      <c r="D411" s="17">
        <f t="shared" si="201"/>
        <v>45956</v>
      </c>
      <c r="E411" s="18">
        <f t="shared" si="202"/>
        <v>10</v>
      </c>
      <c r="F411" s="19">
        <f t="shared" si="203"/>
        <v>2025</v>
      </c>
      <c r="G411" s="9">
        <f t="shared" si="205"/>
        <v>17</v>
      </c>
      <c r="H411" s="8">
        <f t="shared" si="205"/>
        <v>95</v>
      </c>
      <c r="I411" s="9"/>
      <c r="J411" s="9"/>
      <c r="K411" s="9"/>
      <c r="L411" s="9"/>
      <c r="M411" s="9"/>
      <c r="N411" s="9"/>
      <c r="O411" s="12"/>
      <c r="P411" s="12"/>
      <c r="Q411" s="12"/>
      <c r="R411" s="12"/>
      <c r="S411" s="12"/>
      <c r="T411" s="12"/>
      <c r="V411" s="20">
        <f t="shared" si="195"/>
        <v>16</v>
      </c>
      <c r="W411" s="20">
        <f t="shared" si="195"/>
        <v>0</v>
      </c>
      <c r="X411" s="20">
        <f t="shared" si="195"/>
        <v>0</v>
      </c>
      <c r="Y411" s="20">
        <f t="shared" si="194"/>
        <v>0</v>
      </c>
      <c r="Z411" s="20">
        <f t="shared" si="194"/>
        <v>0</v>
      </c>
      <c r="AA411" s="20">
        <f t="shared" si="194"/>
        <v>0</v>
      </c>
      <c r="AC411" s="3">
        <f t="shared" si="176"/>
        <v>0</v>
      </c>
      <c r="AD411" s="3">
        <f t="shared" si="177"/>
        <v>0</v>
      </c>
      <c r="AE411" s="3">
        <f t="shared" si="178"/>
        <v>0</v>
      </c>
      <c r="AF411" s="3">
        <f t="shared" si="179"/>
        <v>94</v>
      </c>
      <c r="AG411" s="3">
        <f t="shared" si="180"/>
        <v>89</v>
      </c>
      <c r="AH411" s="3">
        <f t="shared" si="181"/>
        <v>84</v>
      </c>
      <c r="AI411" s="3">
        <f t="shared" si="182"/>
        <v>79</v>
      </c>
      <c r="AJ411" s="3">
        <f t="shared" si="183"/>
        <v>73</v>
      </c>
      <c r="AK411" s="3">
        <f t="shared" si="184"/>
        <v>68</v>
      </c>
      <c r="AL411" s="3">
        <f t="shared" si="185"/>
        <v>63</v>
      </c>
      <c r="AM411" s="3">
        <f t="shared" si="186"/>
        <v>58</v>
      </c>
      <c r="AN411" s="3">
        <f t="shared" si="187"/>
        <v>52</v>
      </c>
      <c r="AO411" s="3">
        <f t="shared" si="188"/>
        <v>47</v>
      </c>
      <c r="AP411" s="3">
        <f t="shared" si="189"/>
        <v>42</v>
      </c>
      <c r="AQ411" s="3">
        <f t="shared" si="190"/>
        <v>37</v>
      </c>
      <c r="AR411" s="3">
        <f t="shared" si="191"/>
        <v>31</v>
      </c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M411" s="35" t="s">
        <v>12</v>
      </c>
      <c r="BO411" s="35"/>
      <c r="BR411" s="9" t="str">
        <f t="shared" si="197"/>
        <v/>
      </c>
      <c r="BS411" s="37" t="str">
        <f t="shared" si="198"/>
        <v/>
      </c>
      <c r="BT411" s="38" t="str">
        <f t="shared" si="193"/>
        <v/>
      </c>
      <c r="BU411" s="36" t="str">
        <f t="shared" si="199"/>
        <v/>
      </c>
    </row>
    <row r="412" spans="2:73" ht="15">
      <c r="B412" s="16">
        <f t="shared" si="200"/>
        <v>45957</v>
      </c>
      <c r="C412" s="15" t="s">
        <v>1</v>
      </c>
      <c r="D412" s="17">
        <f t="shared" si="201"/>
        <v>45963</v>
      </c>
      <c r="E412" s="18">
        <f t="shared" si="202"/>
        <v>10</v>
      </c>
      <c r="F412" s="19">
        <f t="shared" si="203"/>
        <v>2025</v>
      </c>
      <c r="G412" s="9">
        <f t="shared" si="205"/>
        <v>17</v>
      </c>
      <c r="H412" s="8">
        <f t="shared" si="205"/>
        <v>95</v>
      </c>
      <c r="I412" s="9"/>
      <c r="J412" s="9"/>
      <c r="K412" s="9"/>
      <c r="L412" s="9"/>
      <c r="M412" s="9"/>
      <c r="N412" s="9"/>
      <c r="O412" s="12"/>
      <c r="P412" s="12"/>
      <c r="Q412" s="12"/>
      <c r="R412" s="12"/>
      <c r="S412" s="12"/>
      <c r="T412" s="12"/>
      <c r="V412" s="20">
        <f t="shared" si="195"/>
        <v>17</v>
      </c>
      <c r="W412" s="20">
        <f t="shared" si="195"/>
        <v>0</v>
      </c>
      <c r="X412" s="20">
        <f t="shared" si="195"/>
        <v>0</v>
      </c>
      <c r="Y412" s="20">
        <f t="shared" si="194"/>
        <v>0</v>
      </c>
      <c r="Z412" s="20">
        <f t="shared" si="194"/>
        <v>0</v>
      </c>
      <c r="AA412" s="20">
        <f t="shared" si="194"/>
        <v>0</v>
      </c>
      <c r="AC412" s="3">
        <f t="shared" si="176"/>
        <v>0</v>
      </c>
      <c r="AD412" s="3">
        <f t="shared" si="177"/>
        <v>0</v>
      </c>
      <c r="AE412" s="3">
        <f t="shared" si="178"/>
        <v>0</v>
      </c>
      <c r="AF412" s="3">
        <f t="shared" si="179"/>
        <v>95</v>
      </c>
      <c r="AG412" s="3">
        <f t="shared" si="180"/>
        <v>90</v>
      </c>
      <c r="AH412" s="3">
        <f t="shared" si="181"/>
        <v>85</v>
      </c>
      <c r="AI412" s="3">
        <f t="shared" si="182"/>
        <v>80</v>
      </c>
      <c r="AJ412" s="3">
        <f t="shared" si="183"/>
        <v>74</v>
      </c>
      <c r="AK412" s="3">
        <f t="shared" si="184"/>
        <v>69</v>
      </c>
      <c r="AL412" s="3">
        <f t="shared" si="185"/>
        <v>64</v>
      </c>
      <c r="AM412" s="3">
        <f t="shared" si="186"/>
        <v>59</v>
      </c>
      <c r="AN412" s="3">
        <f t="shared" si="187"/>
        <v>53</v>
      </c>
      <c r="AO412" s="3">
        <f t="shared" si="188"/>
        <v>48</v>
      </c>
      <c r="AP412" s="3">
        <f t="shared" si="189"/>
        <v>43</v>
      </c>
      <c r="AQ412" s="3">
        <f t="shared" si="190"/>
        <v>38</v>
      </c>
      <c r="AR412" s="3">
        <f t="shared" si="191"/>
        <v>32</v>
      </c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M412" s="35" t="s">
        <v>12</v>
      </c>
      <c r="BO412" s="35"/>
      <c r="BR412" s="9" t="str">
        <f t="shared" si="197"/>
        <v/>
      </c>
      <c r="BS412" s="37" t="str">
        <f t="shared" si="198"/>
        <v/>
      </c>
      <c r="BT412" s="38" t="str">
        <f t="shared" si="193"/>
        <v/>
      </c>
      <c r="BU412" s="36" t="str">
        <f t="shared" si="199"/>
        <v/>
      </c>
    </row>
    <row r="413" spans="2:73" ht="15">
      <c r="B413" s="16">
        <f t="shared" si="200"/>
        <v>45964</v>
      </c>
      <c r="C413" s="15" t="s">
        <v>1</v>
      </c>
      <c r="D413" s="17">
        <f t="shared" si="201"/>
        <v>45970</v>
      </c>
      <c r="E413" s="18">
        <f t="shared" si="202"/>
        <v>11</v>
      </c>
      <c r="F413" s="19">
        <f t="shared" si="203"/>
        <v>2025</v>
      </c>
      <c r="G413" s="9">
        <f t="shared" si="205"/>
        <v>17</v>
      </c>
      <c r="H413" s="8">
        <f t="shared" si="205"/>
        <v>95</v>
      </c>
      <c r="I413" s="9"/>
      <c r="J413" s="9"/>
      <c r="K413" s="9"/>
      <c r="L413" s="9"/>
      <c r="M413" s="9"/>
      <c r="N413" s="9"/>
      <c r="O413" s="12"/>
      <c r="P413" s="12"/>
      <c r="Q413" s="12"/>
      <c r="R413" s="12"/>
      <c r="S413" s="12"/>
      <c r="T413" s="12"/>
      <c r="V413" s="20">
        <f t="shared" si="195"/>
        <v>0</v>
      </c>
      <c r="W413" s="20">
        <f t="shared" si="195"/>
        <v>0</v>
      </c>
      <c r="X413" s="20">
        <f t="shared" si="195"/>
        <v>0</v>
      </c>
      <c r="Y413" s="20">
        <f t="shared" si="194"/>
        <v>0</v>
      </c>
      <c r="Z413" s="20">
        <f t="shared" si="194"/>
        <v>0</v>
      </c>
      <c r="AA413" s="20">
        <f t="shared" si="194"/>
        <v>0</v>
      </c>
      <c r="AC413" s="3">
        <f t="shared" si="176"/>
        <v>0</v>
      </c>
      <c r="AD413" s="3">
        <f t="shared" si="177"/>
        <v>0</v>
      </c>
      <c r="AE413" s="3">
        <f t="shared" si="178"/>
        <v>0</v>
      </c>
      <c r="AF413" s="3">
        <f t="shared" si="179"/>
        <v>0</v>
      </c>
      <c r="AG413" s="3">
        <f t="shared" si="180"/>
        <v>91</v>
      </c>
      <c r="AH413" s="3">
        <f t="shared" si="181"/>
        <v>86</v>
      </c>
      <c r="AI413" s="3">
        <f t="shared" si="182"/>
        <v>81</v>
      </c>
      <c r="AJ413" s="3">
        <f t="shared" si="183"/>
        <v>75</v>
      </c>
      <c r="AK413" s="3">
        <f t="shared" si="184"/>
        <v>70</v>
      </c>
      <c r="AL413" s="3">
        <f t="shared" si="185"/>
        <v>65</v>
      </c>
      <c r="AM413" s="3">
        <f t="shared" si="186"/>
        <v>60</v>
      </c>
      <c r="AN413" s="3">
        <f t="shared" si="187"/>
        <v>54</v>
      </c>
      <c r="AO413" s="3">
        <f t="shared" si="188"/>
        <v>49</v>
      </c>
      <c r="AP413" s="3">
        <f t="shared" si="189"/>
        <v>44</v>
      </c>
      <c r="AQ413" s="3">
        <f t="shared" si="190"/>
        <v>39</v>
      </c>
      <c r="AR413" s="3">
        <f t="shared" si="191"/>
        <v>33</v>
      </c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M413" s="35" t="s">
        <v>12</v>
      </c>
      <c r="BO413" s="35"/>
      <c r="BR413" s="9" t="str">
        <f t="shared" si="197"/>
        <v/>
      </c>
      <c r="BS413" s="37" t="str">
        <f t="shared" si="198"/>
        <v/>
      </c>
      <c r="BT413" s="38" t="str">
        <f t="shared" si="193"/>
        <v/>
      </c>
      <c r="BU413" s="36" t="str">
        <f t="shared" si="199"/>
        <v/>
      </c>
    </row>
    <row r="414" spans="2:73" ht="15">
      <c r="B414" s="16">
        <f t="shared" si="200"/>
        <v>45971</v>
      </c>
      <c r="C414" s="15" t="s">
        <v>1</v>
      </c>
      <c r="D414" s="17">
        <f t="shared" si="201"/>
        <v>45977</v>
      </c>
      <c r="E414" s="18">
        <f t="shared" si="202"/>
        <v>11</v>
      </c>
      <c r="F414" s="19">
        <f t="shared" si="203"/>
        <v>2025</v>
      </c>
      <c r="G414" s="9">
        <f t="shared" si="205"/>
        <v>17</v>
      </c>
      <c r="H414" s="8">
        <f t="shared" si="205"/>
        <v>95</v>
      </c>
      <c r="I414" s="9"/>
      <c r="J414" s="9"/>
      <c r="K414" s="9"/>
      <c r="L414" s="9"/>
      <c r="M414" s="9"/>
      <c r="N414" s="9"/>
      <c r="O414" s="12"/>
      <c r="P414" s="12"/>
      <c r="Q414" s="12"/>
      <c r="R414" s="12"/>
      <c r="S414" s="12"/>
      <c r="T414" s="12"/>
      <c r="V414" s="20">
        <f t="shared" si="195"/>
        <v>0</v>
      </c>
      <c r="W414" s="20">
        <f t="shared" si="195"/>
        <v>0</v>
      </c>
      <c r="X414" s="20">
        <f t="shared" si="195"/>
        <v>0</v>
      </c>
      <c r="Y414" s="20">
        <f t="shared" si="194"/>
        <v>0</v>
      </c>
      <c r="Z414" s="20">
        <f t="shared" si="194"/>
        <v>0</v>
      </c>
      <c r="AA414" s="20">
        <f t="shared" si="194"/>
        <v>0</v>
      </c>
      <c r="AC414" s="3">
        <f t="shared" si="176"/>
        <v>0</v>
      </c>
      <c r="AD414" s="3">
        <f t="shared" si="177"/>
        <v>0</v>
      </c>
      <c r="AE414" s="3">
        <f t="shared" si="178"/>
        <v>0</v>
      </c>
      <c r="AF414" s="3">
        <f t="shared" si="179"/>
        <v>0</v>
      </c>
      <c r="AG414" s="3">
        <f t="shared" si="180"/>
        <v>92</v>
      </c>
      <c r="AH414" s="3">
        <f t="shared" si="181"/>
        <v>87</v>
      </c>
      <c r="AI414" s="3">
        <f t="shared" si="182"/>
        <v>82</v>
      </c>
      <c r="AJ414" s="3">
        <f t="shared" si="183"/>
        <v>76</v>
      </c>
      <c r="AK414" s="3">
        <f t="shared" si="184"/>
        <v>71</v>
      </c>
      <c r="AL414" s="3">
        <f t="shared" si="185"/>
        <v>66</v>
      </c>
      <c r="AM414" s="3">
        <f t="shared" si="186"/>
        <v>61</v>
      </c>
      <c r="AN414" s="3">
        <f t="shared" si="187"/>
        <v>55</v>
      </c>
      <c r="AO414" s="3">
        <f t="shared" si="188"/>
        <v>50</v>
      </c>
      <c r="AP414" s="3">
        <f t="shared" si="189"/>
        <v>45</v>
      </c>
      <c r="AQ414" s="3">
        <f t="shared" si="190"/>
        <v>40</v>
      </c>
      <c r="AR414" s="3">
        <f t="shared" si="191"/>
        <v>34</v>
      </c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M414" s="35" t="s">
        <v>12</v>
      </c>
      <c r="BO414" s="35"/>
      <c r="BR414" s="9" t="str">
        <f t="shared" si="197"/>
        <v/>
      </c>
      <c r="BS414" s="37" t="str">
        <f t="shared" si="198"/>
        <v/>
      </c>
      <c r="BT414" s="38" t="str">
        <f t="shared" si="193"/>
        <v/>
      </c>
      <c r="BU414" s="36" t="str">
        <f t="shared" si="199"/>
        <v/>
      </c>
    </row>
    <row r="415" spans="2:73" ht="15">
      <c r="B415" s="16">
        <f t="shared" si="200"/>
        <v>45978</v>
      </c>
      <c r="C415" s="15" t="s">
        <v>1</v>
      </c>
      <c r="D415" s="17">
        <f t="shared" si="201"/>
        <v>45984</v>
      </c>
      <c r="E415" s="18">
        <f t="shared" si="202"/>
        <v>11</v>
      </c>
      <c r="F415" s="19">
        <f t="shared" si="203"/>
        <v>2025</v>
      </c>
      <c r="G415" s="9">
        <f t="shared" si="205"/>
        <v>17</v>
      </c>
      <c r="H415" s="8">
        <f t="shared" si="205"/>
        <v>95</v>
      </c>
      <c r="I415" s="9"/>
      <c r="J415" s="9"/>
      <c r="K415" s="9"/>
      <c r="L415" s="9"/>
      <c r="M415" s="9"/>
      <c r="N415" s="9"/>
      <c r="O415" s="12"/>
      <c r="P415" s="12"/>
      <c r="Q415" s="12"/>
      <c r="R415" s="12"/>
      <c r="S415" s="12"/>
      <c r="T415" s="12"/>
      <c r="V415" s="20">
        <f t="shared" si="195"/>
        <v>0</v>
      </c>
      <c r="W415" s="20">
        <f t="shared" si="195"/>
        <v>0</v>
      </c>
      <c r="X415" s="20">
        <f t="shared" si="195"/>
        <v>0</v>
      </c>
      <c r="Y415" s="20">
        <f t="shared" si="194"/>
        <v>0</v>
      </c>
      <c r="Z415" s="20">
        <f t="shared" si="194"/>
        <v>0</v>
      </c>
      <c r="AA415" s="20">
        <f t="shared" si="194"/>
        <v>0</v>
      </c>
      <c r="AC415" s="3">
        <f t="shared" si="176"/>
        <v>0</v>
      </c>
      <c r="AD415" s="3">
        <f t="shared" si="177"/>
        <v>0</v>
      </c>
      <c r="AE415" s="3">
        <f t="shared" si="178"/>
        <v>0</v>
      </c>
      <c r="AF415" s="3">
        <f t="shared" si="179"/>
        <v>0</v>
      </c>
      <c r="AG415" s="3">
        <f t="shared" si="180"/>
        <v>93</v>
      </c>
      <c r="AH415" s="3">
        <f t="shared" si="181"/>
        <v>88</v>
      </c>
      <c r="AI415" s="3">
        <f t="shared" si="182"/>
        <v>83</v>
      </c>
      <c r="AJ415" s="3">
        <f t="shared" si="183"/>
        <v>77</v>
      </c>
      <c r="AK415" s="3">
        <f t="shared" si="184"/>
        <v>72</v>
      </c>
      <c r="AL415" s="3">
        <f t="shared" si="185"/>
        <v>67</v>
      </c>
      <c r="AM415" s="3">
        <f t="shared" si="186"/>
        <v>62</v>
      </c>
      <c r="AN415" s="3">
        <f t="shared" si="187"/>
        <v>56</v>
      </c>
      <c r="AO415" s="3">
        <f t="shared" si="188"/>
        <v>51</v>
      </c>
      <c r="AP415" s="3">
        <f t="shared" si="189"/>
        <v>46</v>
      </c>
      <c r="AQ415" s="3">
        <f t="shared" si="190"/>
        <v>41</v>
      </c>
      <c r="AR415" s="3">
        <f t="shared" si="191"/>
        <v>35</v>
      </c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M415" s="35" t="s">
        <v>12</v>
      </c>
      <c r="BO415" s="35"/>
      <c r="BR415" s="9" t="str">
        <f t="shared" si="197"/>
        <v/>
      </c>
      <c r="BS415" s="37" t="str">
        <f t="shared" si="198"/>
        <v/>
      </c>
      <c r="BT415" s="38" t="str">
        <f t="shared" si="193"/>
        <v/>
      </c>
      <c r="BU415" s="36" t="str">
        <f t="shared" si="199"/>
        <v/>
      </c>
    </row>
    <row r="416" spans="2:73" ht="15">
      <c r="B416" s="16">
        <f t="shared" si="200"/>
        <v>45985</v>
      </c>
      <c r="C416" s="15" t="s">
        <v>1</v>
      </c>
      <c r="D416" s="17">
        <f t="shared" si="201"/>
        <v>45991</v>
      </c>
      <c r="E416" s="18">
        <f t="shared" si="202"/>
        <v>11</v>
      </c>
      <c r="F416" s="19">
        <f t="shared" si="203"/>
        <v>2025</v>
      </c>
      <c r="G416" s="9">
        <f t="shared" si="205"/>
        <v>17</v>
      </c>
      <c r="H416" s="8">
        <f t="shared" si="205"/>
        <v>95</v>
      </c>
      <c r="I416" s="9"/>
      <c r="J416" s="9"/>
      <c r="K416" s="9"/>
      <c r="L416" s="9"/>
      <c r="M416" s="9"/>
      <c r="N416" s="9"/>
      <c r="O416" s="12"/>
      <c r="P416" s="12"/>
      <c r="Q416" s="12"/>
      <c r="R416" s="12"/>
      <c r="S416" s="12"/>
      <c r="T416" s="12"/>
      <c r="V416" s="20">
        <f t="shared" si="195"/>
        <v>0</v>
      </c>
      <c r="W416" s="20">
        <f t="shared" si="195"/>
        <v>0</v>
      </c>
      <c r="X416" s="20">
        <f t="shared" si="195"/>
        <v>0</v>
      </c>
      <c r="Y416" s="20">
        <f t="shared" si="194"/>
        <v>0</v>
      </c>
      <c r="Z416" s="20">
        <f t="shared" si="194"/>
        <v>0</v>
      </c>
      <c r="AA416" s="20">
        <f t="shared" si="194"/>
        <v>0</v>
      </c>
      <c r="AC416" s="3">
        <f t="shared" si="176"/>
        <v>0</v>
      </c>
      <c r="AD416" s="3">
        <f t="shared" si="177"/>
        <v>0</v>
      </c>
      <c r="AE416" s="3">
        <f t="shared" si="178"/>
        <v>0</v>
      </c>
      <c r="AF416" s="3">
        <f t="shared" si="179"/>
        <v>0</v>
      </c>
      <c r="AG416" s="3">
        <f t="shared" si="180"/>
        <v>94</v>
      </c>
      <c r="AH416" s="3">
        <f t="shared" si="181"/>
        <v>89</v>
      </c>
      <c r="AI416" s="3">
        <f t="shared" si="182"/>
        <v>84</v>
      </c>
      <c r="AJ416" s="3">
        <f t="shared" si="183"/>
        <v>78</v>
      </c>
      <c r="AK416" s="3">
        <f t="shared" si="184"/>
        <v>73</v>
      </c>
      <c r="AL416" s="3">
        <f t="shared" si="185"/>
        <v>68</v>
      </c>
      <c r="AM416" s="3">
        <f t="shared" si="186"/>
        <v>63</v>
      </c>
      <c r="AN416" s="3">
        <f t="shared" si="187"/>
        <v>57</v>
      </c>
      <c r="AO416" s="3">
        <f t="shared" si="188"/>
        <v>52</v>
      </c>
      <c r="AP416" s="3">
        <f t="shared" si="189"/>
        <v>47</v>
      </c>
      <c r="AQ416" s="3">
        <f t="shared" si="190"/>
        <v>42</v>
      </c>
      <c r="AR416" s="3">
        <f t="shared" si="191"/>
        <v>36</v>
      </c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M416" s="35" t="s">
        <v>12</v>
      </c>
      <c r="BO416" s="35"/>
      <c r="BR416" s="9" t="str">
        <f t="shared" si="197"/>
        <v/>
      </c>
      <c r="BS416" s="37" t="str">
        <f t="shared" si="198"/>
        <v/>
      </c>
      <c r="BT416" s="38" t="str">
        <f t="shared" si="193"/>
        <v/>
      </c>
      <c r="BU416" s="36" t="str">
        <f t="shared" si="199"/>
        <v/>
      </c>
    </row>
    <row r="417" spans="2:73" ht="15">
      <c r="B417" s="16">
        <f t="shared" si="200"/>
        <v>45992</v>
      </c>
      <c r="C417" s="15" t="s">
        <v>1</v>
      </c>
      <c r="D417" s="17">
        <f t="shared" si="201"/>
        <v>45998</v>
      </c>
      <c r="E417" s="18">
        <f t="shared" si="202"/>
        <v>12</v>
      </c>
      <c r="F417" s="19">
        <f t="shared" si="203"/>
        <v>2025</v>
      </c>
      <c r="G417" s="9">
        <f t="shared" si="205"/>
        <v>17</v>
      </c>
      <c r="H417" s="8">
        <f t="shared" si="205"/>
        <v>95</v>
      </c>
      <c r="I417" s="9"/>
      <c r="J417" s="9"/>
      <c r="K417" s="9"/>
      <c r="L417" s="9"/>
      <c r="M417" s="9"/>
      <c r="N417" s="9"/>
      <c r="O417" s="12"/>
      <c r="P417" s="12"/>
      <c r="Q417" s="12"/>
      <c r="R417" s="12"/>
      <c r="S417" s="12"/>
      <c r="T417" s="12"/>
      <c r="V417" s="20">
        <f t="shared" si="195"/>
        <v>0</v>
      </c>
      <c r="W417" s="20">
        <f t="shared" si="195"/>
        <v>0</v>
      </c>
      <c r="X417" s="20">
        <f t="shared" si="195"/>
        <v>0</v>
      </c>
      <c r="Y417" s="20">
        <f t="shared" si="194"/>
        <v>0</v>
      </c>
      <c r="Z417" s="20">
        <f t="shared" si="194"/>
        <v>0</v>
      </c>
      <c r="AA417" s="20">
        <f t="shared" si="194"/>
        <v>0</v>
      </c>
      <c r="AC417" s="3">
        <f t="shared" si="176"/>
        <v>0</v>
      </c>
      <c r="AD417" s="3">
        <f t="shared" si="177"/>
        <v>0</v>
      </c>
      <c r="AE417" s="3">
        <f t="shared" si="178"/>
        <v>0</v>
      </c>
      <c r="AF417" s="3">
        <f t="shared" si="179"/>
        <v>0</v>
      </c>
      <c r="AG417" s="3">
        <f t="shared" si="180"/>
        <v>95</v>
      </c>
      <c r="AH417" s="3">
        <f t="shared" si="181"/>
        <v>90</v>
      </c>
      <c r="AI417" s="3">
        <f t="shared" si="182"/>
        <v>85</v>
      </c>
      <c r="AJ417" s="3">
        <f t="shared" si="183"/>
        <v>79</v>
      </c>
      <c r="AK417" s="3">
        <f t="shared" si="184"/>
        <v>74</v>
      </c>
      <c r="AL417" s="3">
        <f t="shared" si="185"/>
        <v>69</v>
      </c>
      <c r="AM417" s="3">
        <f t="shared" si="186"/>
        <v>64</v>
      </c>
      <c r="AN417" s="3">
        <f t="shared" si="187"/>
        <v>58</v>
      </c>
      <c r="AO417" s="3">
        <f t="shared" si="188"/>
        <v>53</v>
      </c>
      <c r="AP417" s="3">
        <f t="shared" si="189"/>
        <v>48</v>
      </c>
      <c r="AQ417" s="3">
        <f t="shared" si="190"/>
        <v>43</v>
      </c>
      <c r="AR417" s="3">
        <f t="shared" si="191"/>
        <v>37</v>
      </c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M417" s="35" t="s">
        <v>12</v>
      </c>
      <c r="BO417" s="35"/>
      <c r="BR417" s="9" t="str">
        <f t="shared" si="197"/>
        <v/>
      </c>
      <c r="BS417" s="37" t="str">
        <f t="shared" si="198"/>
        <v/>
      </c>
      <c r="BT417" s="38" t="str">
        <f t="shared" si="193"/>
        <v/>
      </c>
      <c r="BU417" s="36" t="str">
        <f t="shared" si="199"/>
        <v/>
      </c>
    </row>
    <row r="418" spans="2:73" ht="15">
      <c r="B418" s="16">
        <f t="shared" si="200"/>
        <v>45999</v>
      </c>
      <c r="C418" s="15" t="s">
        <v>1</v>
      </c>
      <c r="D418" s="17">
        <f t="shared" si="201"/>
        <v>46005</v>
      </c>
      <c r="E418" s="18">
        <f t="shared" si="202"/>
        <v>12</v>
      </c>
      <c r="F418" s="19">
        <f t="shared" si="203"/>
        <v>2025</v>
      </c>
      <c r="G418" s="9">
        <f t="shared" si="205"/>
        <v>17</v>
      </c>
      <c r="H418" s="8">
        <f t="shared" si="205"/>
        <v>95</v>
      </c>
      <c r="I418" s="9"/>
      <c r="J418" s="9"/>
      <c r="K418" s="9"/>
      <c r="L418" s="9"/>
      <c r="M418" s="9"/>
      <c r="N418" s="9"/>
      <c r="O418" s="12"/>
      <c r="P418" s="12"/>
      <c r="Q418" s="12"/>
      <c r="R418" s="12"/>
      <c r="S418" s="12"/>
      <c r="T418" s="12"/>
      <c r="V418" s="20">
        <f t="shared" si="195"/>
        <v>0</v>
      </c>
      <c r="W418" s="20">
        <f t="shared" si="195"/>
        <v>0</v>
      </c>
      <c r="X418" s="20">
        <f t="shared" si="195"/>
        <v>0</v>
      </c>
      <c r="Y418" s="20">
        <f t="shared" si="194"/>
        <v>0</v>
      </c>
      <c r="Z418" s="20">
        <f t="shared" si="194"/>
        <v>0</v>
      </c>
      <c r="AA418" s="20">
        <f t="shared" si="194"/>
        <v>0</v>
      </c>
      <c r="AC418" s="3">
        <f t="shared" si="176"/>
        <v>0</v>
      </c>
      <c r="AD418" s="3">
        <f t="shared" si="177"/>
        <v>0</v>
      </c>
      <c r="AE418" s="3">
        <f t="shared" si="178"/>
        <v>0</v>
      </c>
      <c r="AF418" s="3">
        <f t="shared" si="179"/>
        <v>0</v>
      </c>
      <c r="AG418" s="3">
        <f t="shared" si="180"/>
        <v>0</v>
      </c>
      <c r="AH418" s="3">
        <f t="shared" si="181"/>
        <v>91</v>
      </c>
      <c r="AI418" s="3">
        <f t="shared" si="182"/>
        <v>86</v>
      </c>
      <c r="AJ418" s="3">
        <f t="shared" si="183"/>
        <v>80</v>
      </c>
      <c r="AK418" s="3">
        <f t="shared" si="184"/>
        <v>75</v>
      </c>
      <c r="AL418" s="3">
        <f t="shared" si="185"/>
        <v>70</v>
      </c>
      <c r="AM418" s="3">
        <f t="shared" si="186"/>
        <v>65</v>
      </c>
      <c r="AN418" s="3">
        <f t="shared" si="187"/>
        <v>59</v>
      </c>
      <c r="AO418" s="3">
        <f t="shared" si="188"/>
        <v>54</v>
      </c>
      <c r="AP418" s="3">
        <f t="shared" si="189"/>
        <v>49</v>
      </c>
      <c r="AQ418" s="3">
        <f t="shared" si="190"/>
        <v>44</v>
      </c>
      <c r="AR418" s="3">
        <f t="shared" si="191"/>
        <v>38</v>
      </c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M418" s="35" t="s">
        <v>12</v>
      </c>
      <c r="BO418" s="35"/>
      <c r="BR418" s="9" t="str">
        <f t="shared" si="197"/>
        <v/>
      </c>
      <c r="BS418" s="37" t="str">
        <f t="shared" si="198"/>
        <v/>
      </c>
      <c r="BT418" s="38" t="str">
        <f t="shared" si="193"/>
        <v/>
      </c>
      <c r="BU418" s="36" t="str">
        <f t="shared" si="199"/>
        <v/>
      </c>
    </row>
    <row r="419" spans="2:73" ht="15">
      <c r="B419" s="16">
        <f t="shared" si="200"/>
        <v>46006</v>
      </c>
      <c r="C419" s="15" t="s">
        <v>1</v>
      </c>
      <c r="D419" s="17">
        <f t="shared" si="201"/>
        <v>46012</v>
      </c>
      <c r="E419" s="18">
        <f t="shared" si="202"/>
        <v>12</v>
      </c>
      <c r="F419" s="19">
        <f t="shared" si="203"/>
        <v>2025</v>
      </c>
      <c r="G419" s="9">
        <f t="shared" si="205"/>
        <v>17</v>
      </c>
      <c r="H419" s="8">
        <f t="shared" si="205"/>
        <v>95</v>
      </c>
      <c r="I419" s="9"/>
      <c r="J419" s="9"/>
      <c r="K419" s="9"/>
      <c r="L419" s="9"/>
      <c r="M419" s="9"/>
      <c r="N419" s="9"/>
      <c r="O419" s="12"/>
      <c r="P419" s="12"/>
      <c r="Q419" s="12"/>
      <c r="R419" s="12"/>
      <c r="S419" s="12"/>
      <c r="T419" s="12"/>
      <c r="V419" s="20">
        <f t="shared" si="195"/>
        <v>0</v>
      </c>
      <c r="W419" s="20">
        <f t="shared" si="195"/>
        <v>0</v>
      </c>
      <c r="X419" s="20">
        <f t="shared" si="195"/>
        <v>0</v>
      </c>
      <c r="Y419" s="20">
        <f t="shared" si="194"/>
        <v>0</v>
      </c>
      <c r="Z419" s="20">
        <f t="shared" si="194"/>
        <v>0</v>
      </c>
      <c r="AA419" s="20">
        <f t="shared" si="194"/>
        <v>0</v>
      </c>
      <c r="AC419" s="3">
        <f t="shared" si="176"/>
        <v>0</v>
      </c>
      <c r="AD419" s="3">
        <f t="shared" si="177"/>
        <v>0</v>
      </c>
      <c r="AE419" s="3">
        <f t="shared" si="178"/>
        <v>0</v>
      </c>
      <c r="AF419" s="3">
        <f t="shared" si="179"/>
        <v>0</v>
      </c>
      <c r="AG419" s="3">
        <f t="shared" si="180"/>
        <v>0</v>
      </c>
      <c r="AH419" s="3">
        <f t="shared" si="181"/>
        <v>92</v>
      </c>
      <c r="AI419" s="3">
        <f t="shared" si="182"/>
        <v>87</v>
      </c>
      <c r="AJ419" s="3">
        <f t="shared" si="183"/>
        <v>81</v>
      </c>
      <c r="AK419" s="3">
        <f t="shared" si="184"/>
        <v>76</v>
      </c>
      <c r="AL419" s="3">
        <f t="shared" si="185"/>
        <v>71</v>
      </c>
      <c r="AM419" s="3">
        <f t="shared" si="186"/>
        <v>66</v>
      </c>
      <c r="AN419" s="3">
        <f t="shared" si="187"/>
        <v>60</v>
      </c>
      <c r="AO419" s="3">
        <f t="shared" si="188"/>
        <v>55</v>
      </c>
      <c r="AP419" s="3">
        <f t="shared" si="189"/>
        <v>50</v>
      </c>
      <c r="AQ419" s="3">
        <f t="shared" si="190"/>
        <v>45</v>
      </c>
      <c r="AR419" s="3">
        <f t="shared" si="191"/>
        <v>39</v>
      </c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M419" s="35" t="s">
        <v>12</v>
      </c>
      <c r="BO419" s="35"/>
      <c r="BR419" s="9" t="str">
        <f t="shared" si="197"/>
        <v/>
      </c>
      <c r="BS419" s="37" t="str">
        <f t="shared" si="198"/>
        <v/>
      </c>
      <c r="BT419" s="38" t="str">
        <f t="shared" si="193"/>
        <v/>
      </c>
      <c r="BU419" s="36" t="str">
        <f t="shared" si="199"/>
        <v/>
      </c>
    </row>
    <row r="420" spans="2:73" ht="15">
      <c r="B420" s="16">
        <f t="shared" si="200"/>
        <v>46013</v>
      </c>
      <c r="C420" s="15" t="s">
        <v>1</v>
      </c>
      <c r="D420" s="17">
        <f t="shared" si="201"/>
        <v>46019</v>
      </c>
      <c r="E420" s="18">
        <f t="shared" si="202"/>
        <v>12</v>
      </c>
      <c r="F420" s="19">
        <f t="shared" si="203"/>
        <v>2025</v>
      </c>
      <c r="G420" s="9">
        <f t="shared" si="205"/>
        <v>17</v>
      </c>
      <c r="H420" s="8">
        <f t="shared" si="205"/>
        <v>95</v>
      </c>
      <c r="I420" s="9"/>
      <c r="J420" s="9"/>
      <c r="K420" s="9"/>
      <c r="L420" s="9"/>
      <c r="M420" s="9"/>
      <c r="N420" s="9"/>
      <c r="O420" s="12"/>
      <c r="P420" s="12"/>
      <c r="Q420" s="12"/>
      <c r="R420" s="12"/>
      <c r="S420" s="12"/>
      <c r="T420" s="12"/>
      <c r="V420" s="20">
        <f t="shared" si="195"/>
        <v>0</v>
      </c>
      <c r="W420" s="20">
        <f t="shared" si="195"/>
        <v>0</v>
      </c>
      <c r="X420" s="20">
        <f t="shared" si="195"/>
        <v>0</v>
      </c>
      <c r="Y420" s="20">
        <f t="shared" si="194"/>
        <v>0</v>
      </c>
      <c r="Z420" s="20">
        <f t="shared" si="194"/>
        <v>0</v>
      </c>
      <c r="AA420" s="20">
        <f t="shared" si="194"/>
        <v>0</v>
      </c>
      <c r="AC420" s="3">
        <f t="shared" si="176"/>
        <v>0</v>
      </c>
      <c r="AD420" s="3">
        <f t="shared" si="177"/>
        <v>0</v>
      </c>
      <c r="AE420" s="3">
        <f t="shared" si="178"/>
        <v>0</v>
      </c>
      <c r="AF420" s="3">
        <f t="shared" si="179"/>
        <v>0</v>
      </c>
      <c r="AG420" s="3">
        <f t="shared" si="180"/>
        <v>0</v>
      </c>
      <c r="AH420" s="3">
        <f t="shared" si="181"/>
        <v>93</v>
      </c>
      <c r="AI420" s="3">
        <f t="shared" si="182"/>
        <v>88</v>
      </c>
      <c r="AJ420" s="3">
        <f t="shared" si="183"/>
        <v>82</v>
      </c>
      <c r="AK420" s="3">
        <f t="shared" si="184"/>
        <v>77</v>
      </c>
      <c r="AL420" s="3">
        <f t="shared" si="185"/>
        <v>72</v>
      </c>
      <c r="AM420" s="3">
        <f t="shared" si="186"/>
        <v>67</v>
      </c>
      <c r="AN420" s="3">
        <f t="shared" si="187"/>
        <v>61</v>
      </c>
      <c r="AO420" s="3">
        <f t="shared" si="188"/>
        <v>56</v>
      </c>
      <c r="AP420" s="3">
        <f t="shared" si="189"/>
        <v>51</v>
      </c>
      <c r="AQ420" s="3">
        <f t="shared" si="190"/>
        <v>46</v>
      </c>
      <c r="AR420" s="3">
        <f t="shared" si="191"/>
        <v>40</v>
      </c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M420" s="35" t="s">
        <v>12</v>
      </c>
      <c r="BO420" s="35"/>
      <c r="BR420" s="9" t="str">
        <f t="shared" si="197"/>
        <v/>
      </c>
      <c r="BS420" s="37" t="str">
        <f t="shared" si="198"/>
        <v/>
      </c>
      <c r="BT420" s="38" t="str">
        <f t="shared" si="193"/>
        <v/>
      </c>
      <c r="BU420" s="36" t="str">
        <f t="shared" si="199"/>
        <v/>
      </c>
    </row>
    <row r="421" spans="2:73" ht="15">
      <c r="B421" s="16">
        <f t="shared" si="200"/>
        <v>46020</v>
      </c>
      <c r="C421" s="15" t="s">
        <v>1</v>
      </c>
      <c r="D421" s="17">
        <f t="shared" si="201"/>
        <v>46026</v>
      </c>
      <c r="E421" s="18">
        <f t="shared" si="202"/>
        <v>12</v>
      </c>
      <c r="F421" s="19">
        <f t="shared" si="203"/>
        <v>2026</v>
      </c>
      <c r="G421" s="9">
        <f t="shared" si="205"/>
        <v>17</v>
      </c>
      <c r="H421" s="8">
        <f t="shared" si="205"/>
        <v>95</v>
      </c>
      <c r="I421" s="9"/>
      <c r="J421" s="9"/>
      <c r="K421" s="9"/>
      <c r="L421" s="9"/>
      <c r="M421" s="9"/>
      <c r="N421" s="9"/>
      <c r="O421" s="12"/>
      <c r="P421" s="12"/>
      <c r="Q421" s="12"/>
      <c r="R421" s="12"/>
      <c r="S421" s="12"/>
      <c r="T421" s="12"/>
      <c r="V421" s="20">
        <f t="shared" si="195"/>
        <v>0</v>
      </c>
      <c r="W421" s="20">
        <f t="shared" si="195"/>
        <v>0</v>
      </c>
      <c r="X421" s="20">
        <f t="shared" si="195"/>
        <v>0</v>
      </c>
      <c r="Y421" s="20">
        <f t="shared" si="194"/>
        <v>0</v>
      </c>
      <c r="Z421" s="20">
        <f t="shared" si="194"/>
        <v>0</v>
      </c>
      <c r="AA421" s="20">
        <f t="shared" si="194"/>
        <v>0</v>
      </c>
      <c r="AC421" s="3">
        <f t="shared" si="176"/>
        <v>0</v>
      </c>
      <c r="AD421" s="3">
        <f t="shared" si="177"/>
        <v>0</v>
      </c>
      <c r="AE421" s="3">
        <f t="shared" si="178"/>
        <v>0</v>
      </c>
      <c r="AF421" s="3">
        <f t="shared" si="179"/>
        <v>0</v>
      </c>
      <c r="AG421" s="3">
        <f t="shared" si="180"/>
        <v>0</v>
      </c>
      <c r="AH421" s="3">
        <f t="shared" si="181"/>
        <v>94</v>
      </c>
      <c r="AI421" s="3">
        <f t="shared" si="182"/>
        <v>89</v>
      </c>
      <c r="AJ421" s="3">
        <f t="shared" si="183"/>
        <v>83</v>
      </c>
      <c r="AK421" s="3">
        <f t="shared" si="184"/>
        <v>78</v>
      </c>
      <c r="AL421" s="3">
        <f t="shared" si="185"/>
        <v>73</v>
      </c>
      <c r="AM421" s="3">
        <f t="shared" si="186"/>
        <v>68</v>
      </c>
      <c r="AN421" s="3">
        <f t="shared" si="187"/>
        <v>62</v>
      </c>
      <c r="AO421" s="3">
        <f t="shared" si="188"/>
        <v>57</v>
      </c>
      <c r="AP421" s="3">
        <f t="shared" si="189"/>
        <v>52</v>
      </c>
      <c r="AQ421" s="3">
        <f t="shared" si="190"/>
        <v>47</v>
      </c>
      <c r="AR421" s="3">
        <f t="shared" si="191"/>
        <v>41</v>
      </c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M421" s="35" t="s">
        <v>12</v>
      </c>
      <c r="BO421" s="35"/>
      <c r="BR421" s="9" t="str">
        <f t="shared" si="197"/>
        <v/>
      </c>
      <c r="BS421" s="37" t="str">
        <f t="shared" si="198"/>
        <v/>
      </c>
      <c r="BT421" s="38" t="str">
        <f t="shared" si="193"/>
        <v/>
      </c>
      <c r="BU421" s="36" t="str">
        <f t="shared" si="199"/>
        <v/>
      </c>
    </row>
  </sheetData>
  <mergeCells count="4">
    <mergeCell ref="BR1:BS1"/>
    <mergeCell ref="BT1:BU1"/>
    <mergeCell ref="B2:D2"/>
    <mergeCell ref="I2:N2"/>
  </mergeCells>
  <conditionalFormatting sqref="V3:V421">
    <cfRule type="cellIs" dxfId="9" priority="3" operator="greaterThanOrEqual">
      <formula>1</formula>
    </cfRule>
  </conditionalFormatting>
  <conditionalFormatting sqref="W3:Y3">
    <cfRule type="cellIs" dxfId="8" priority="4" operator="greaterThanOrEqual">
      <formula>1</formula>
    </cfRule>
  </conditionalFormatting>
  <conditionalFormatting sqref="Z3:AA421">
    <cfRule type="cellIs" dxfId="7" priority="1" operator="greaterThanOrEqual">
      <formula>1</formula>
    </cfRule>
  </conditionalFormatting>
  <conditionalFormatting sqref="AC3:AR421 W4:AA421">
    <cfRule type="cellIs" dxfId="6" priority="6" operator="greaterThanOrEqual">
      <formula>1</formula>
    </cfRule>
  </conditionalFormatting>
  <printOptions horizontalCentered="1"/>
  <pageMargins left="0.511811024" right="0.511811024" top="0.53740157499999996" bottom="0.53740157499999996" header="0.31496062000000002" footer="0.31496062000000002"/>
  <pageSetup paperSize="9" scale="36" fitToHeight="3" orientation="portrait" horizontalDpi="0" verticalDpi="0"/>
  <headerFooter>
    <oddFooter>&amp;R&amp;"Helvetica,Regular"&amp;12&amp;K000000&amp;D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D327-0035-0F4E-8472-895E4935083A}">
  <sheetPr>
    <pageSetUpPr fitToPage="1"/>
  </sheetPr>
  <dimension ref="B1:BW421"/>
  <sheetViews>
    <sheetView showGridLines="0" zoomScale="70" zoomScaleNormal="70" workbookViewId="0">
      <pane xSplit="6" ySplit="2" topLeftCell="U36" activePane="bottomRight" state="frozen"/>
      <selection pane="topRight" activeCell="E1" sqref="E1"/>
      <selection pane="bottomLeft" activeCell="A3" sqref="A3"/>
      <selection pane="bottomRight" activeCell="V68" sqref="V68"/>
    </sheetView>
  </sheetViews>
  <sheetFormatPr baseColWidth="10" defaultRowHeight="13" outlineLevelCol="2"/>
  <cols>
    <col min="1" max="1" width="5.83203125" customWidth="1"/>
    <col min="2" max="2" width="3.5" bestFit="1" customWidth="1"/>
    <col min="3" max="3" width="1.83203125" customWidth="1"/>
    <col min="4" max="4" width="3.5" bestFit="1" customWidth="1"/>
    <col min="5" max="5" width="4.83203125" style="1" bestFit="1" customWidth="1"/>
    <col min="6" max="6" width="5.6640625" bestFit="1" customWidth="1"/>
    <col min="7" max="7" width="3.5" style="10" hidden="1" customWidth="1" outlineLevel="2"/>
    <col min="8" max="8" width="4.83203125" style="1" hidden="1" customWidth="1" outlineLevel="2"/>
    <col min="9" max="14" width="3.5" style="10" hidden="1" customWidth="1" outlineLevel="2"/>
    <col min="15" max="20" width="3.6640625" style="13" hidden="1" customWidth="1" outlineLevel="1"/>
    <col min="21" max="21" width="2.83203125" style="13" customWidth="1" collapsed="1"/>
    <col min="22" max="26" width="3.5" bestFit="1" customWidth="1"/>
    <col min="27" max="27" width="3.5" customWidth="1"/>
    <col min="28" max="28" width="2.83203125" customWidth="1"/>
    <col min="29" max="44" width="5.33203125" style="2" customWidth="1"/>
    <col min="45" max="45" width="3.33203125" style="1" hidden="1" customWidth="1" outlineLevel="1"/>
    <col min="46" max="48" width="4.33203125" style="1" hidden="1" customWidth="1" outlineLevel="1"/>
    <col min="49" max="51" width="3.33203125" style="1" hidden="1" customWidth="1" outlineLevel="1"/>
    <col min="52" max="53" width="4.33203125" style="1" hidden="1" customWidth="1" outlineLevel="1"/>
    <col min="54" max="56" width="3.33203125" style="1" hidden="1" customWidth="1" outlineLevel="1"/>
    <col min="57" max="57" width="4.33203125" style="1" hidden="1" customWidth="1" outlineLevel="1"/>
    <col min="58" max="59" width="3.33203125" style="1" hidden="1" customWidth="1" outlineLevel="1"/>
    <col min="60" max="60" width="4.33203125" style="1" hidden="1" customWidth="1" outlineLevel="1"/>
    <col min="61" max="61" width="2.33203125" bestFit="1" customWidth="1" collapsed="1"/>
    <col min="62" max="62" width="10.1640625" style="25" hidden="1" customWidth="1"/>
    <col min="63" max="63" width="8.5" hidden="1" customWidth="1"/>
    <col min="64" max="64" width="10.83203125" hidden="1" customWidth="1"/>
    <col min="65" max="65" width="0" style="32" hidden="1" customWidth="1"/>
    <col min="66" max="66" width="0" hidden="1" customWidth="1"/>
    <col min="67" max="67" width="0" style="32" hidden="1" customWidth="1"/>
    <col min="68" max="68" width="0" hidden="1" customWidth="1"/>
    <col min="69" max="69" width="8.5" style="42" bestFit="1" customWidth="1"/>
    <col min="70" max="70" width="6.33203125" bestFit="1" customWidth="1"/>
    <col min="71" max="72" width="8.5" bestFit="1" customWidth="1"/>
    <col min="73" max="73" width="6.33203125" bestFit="1" customWidth="1"/>
    <col min="74" max="74" width="4" customWidth="1"/>
  </cols>
  <sheetData>
    <row r="1" spans="2:74" ht="16">
      <c r="AC1" s="27" t="s">
        <v>9</v>
      </c>
      <c r="AD1" s="27" t="s">
        <v>9</v>
      </c>
      <c r="AE1" s="29" t="s">
        <v>11</v>
      </c>
      <c r="AF1" s="27" t="s">
        <v>9</v>
      </c>
      <c r="AG1" s="27" t="s">
        <v>9</v>
      </c>
      <c r="AH1" s="27" t="s">
        <v>9</v>
      </c>
      <c r="AI1" s="27" t="s">
        <v>9</v>
      </c>
      <c r="AJ1" s="27" t="s">
        <v>9</v>
      </c>
      <c r="AK1" s="27" t="s">
        <v>9</v>
      </c>
      <c r="AL1" s="27" t="s">
        <v>9</v>
      </c>
      <c r="AM1" s="27" t="s">
        <v>9</v>
      </c>
      <c r="AN1" s="27" t="s">
        <v>9</v>
      </c>
      <c r="AO1" s="29" t="s">
        <v>11</v>
      </c>
      <c r="AP1" s="28" t="s">
        <v>10</v>
      </c>
      <c r="AQ1" s="28" t="s">
        <v>10</v>
      </c>
      <c r="AR1" s="29" t="s">
        <v>11</v>
      </c>
      <c r="BM1" s="35"/>
      <c r="BO1" s="35"/>
      <c r="BR1" s="133" t="s">
        <v>14</v>
      </c>
      <c r="BS1" s="134"/>
      <c r="BT1" s="135" t="s">
        <v>15</v>
      </c>
      <c r="BU1" s="117"/>
    </row>
    <row r="2" spans="2:74" ht="15">
      <c r="B2" s="136" t="s">
        <v>2</v>
      </c>
      <c r="C2" s="137"/>
      <c r="D2" s="138"/>
      <c r="E2" s="18" t="s">
        <v>3</v>
      </c>
      <c r="F2" s="19" t="s">
        <v>4</v>
      </c>
      <c r="G2" s="11"/>
      <c r="H2" s="7"/>
      <c r="I2" s="124" t="s">
        <v>0</v>
      </c>
      <c r="J2" s="139"/>
      <c r="K2" s="139"/>
      <c r="L2" s="139"/>
      <c r="M2" s="139"/>
      <c r="N2" s="125"/>
      <c r="O2" s="11">
        <v>1</v>
      </c>
      <c r="P2" s="11">
        <v>2</v>
      </c>
      <c r="Q2" s="11">
        <v>3</v>
      </c>
      <c r="R2" s="11">
        <v>4</v>
      </c>
      <c r="S2" s="11">
        <v>5</v>
      </c>
      <c r="T2" s="11">
        <v>6</v>
      </c>
      <c r="V2" s="5">
        <v>1</v>
      </c>
      <c r="W2" s="5">
        <v>2</v>
      </c>
      <c r="X2" s="5">
        <v>3</v>
      </c>
      <c r="Y2" s="5">
        <v>4</v>
      </c>
      <c r="Z2" s="5">
        <v>5</v>
      </c>
      <c r="AA2" s="5">
        <v>6</v>
      </c>
      <c r="AC2" s="7">
        <v>9</v>
      </c>
      <c r="AD2" s="7">
        <v>11</v>
      </c>
      <c r="AE2" s="7">
        <v>10</v>
      </c>
      <c r="AF2" s="7">
        <v>12</v>
      </c>
      <c r="AG2" s="7">
        <v>1</v>
      </c>
      <c r="AH2" s="7">
        <v>6</v>
      </c>
      <c r="AI2" s="7">
        <v>2</v>
      </c>
      <c r="AJ2" s="7">
        <v>13</v>
      </c>
      <c r="AK2" s="7">
        <v>14</v>
      </c>
      <c r="AL2" s="7">
        <v>3</v>
      </c>
      <c r="AM2" s="7">
        <v>4</v>
      </c>
      <c r="AN2" s="7">
        <v>5</v>
      </c>
      <c r="AO2" s="7">
        <v>15</v>
      </c>
      <c r="AP2" s="7">
        <v>7</v>
      </c>
      <c r="AQ2" s="7">
        <v>8</v>
      </c>
      <c r="AR2" s="7">
        <v>16</v>
      </c>
      <c r="AS2" s="7">
        <v>9</v>
      </c>
      <c r="AT2" s="7">
        <v>11</v>
      </c>
      <c r="AU2" s="7">
        <v>10</v>
      </c>
      <c r="AV2" s="7">
        <v>12</v>
      </c>
      <c r="AW2" s="7">
        <v>1</v>
      </c>
      <c r="AX2" s="7">
        <v>6</v>
      </c>
      <c r="AY2" s="7">
        <v>2</v>
      </c>
      <c r="AZ2" s="7">
        <v>13</v>
      </c>
      <c r="BA2" s="7">
        <v>14</v>
      </c>
      <c r="BB2" s="7">
        <v>3</v>
      </c>
      <c r="BC2" s="7">
        <v>4</v>
      </c>
      <c r="BD2" s="7">
        <v>5</v>
      </c>
      <c r="BE2" s="7">
        <v>15</v>
      </c>
      <c r="BF2" s="7">
        <v>7</v>
      </c>
      <c r="BG2" s="7">
        <v>8</v>
      </c>
      <c r="BH2" s="7">
        <v>16</v>
      </c>
      <c r="BM2" s="35"/>
      <c r="BO2" s="35"/>
      <c r="BR2" s="5" t="s">
        <v>16</v>
      </c>
      <c r="BS2" s="5" t="s">
        <v>17</v>
      </c>
      <c r="BT2" s="7" t="s">
        <v>17</v>
      </c>
      <c r="BU2" s="7" t="s">
        <v>16</v>
      </c>
    </row>
    <row r="3" spans="2:74" ht="15" hidden="1">
      <c r="B3" s="16"/>
      <c r="C3" s="15"/>
      <c r="D3" s="17"/>
      <c r="E3" s="18"/>
      <c r="F3" s="19"/>
      <c r="G3" s="9"/>
      <c r="H3" s="8"/>
      <c r="I3" s="9"/>
      <c r="J3" s="9"/>
      <c r="K3" s="9"/>
      <c r="L3" s="9"/>
      <c r="M3" s="9"/>
      <c r="N3" s="9"/>
      <c r="O3" s="12"/>
      <c r="P3" s="12"/>
      <c r="Q3" s="12"/>
      <c r="R3" s="12"/>
      <c r="S3" s="12"/>
      <c r="T3" s="12"/>
      <c r="V3" s="4"/>
      <c r="W3" s="4"/>
      <c r="X3" s="4"/>
      <c r="Y3" s="4"/>
      <c r="Z3" s="4"/>
      <c r="AA3" s="4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M3" s="35"/>
      <c r="BO3" s="35"/>
    </row>
    <row r="4" spans="2:74" ht="15">
      <c r="B4" s="16">
        <v>43101</v>
      </c>
      <c r="C4" s="15" t="s">
        <v>1</v>
      </c>
      <c r="D4" s="17">
        <v>43107</v>
      </c>
      <c r="E4" s="18">
        <v>1</v>
      </c>
      <c r="F4" s="19">
        <v>2018</v>
      </c>
      <c r="G4" s="9">
        <v>17</v>
      </c>
      <c r="H4" s="8">
        <v>96</v>
      </c>
      <c r="I4" s="9"/>
      <c r="J4" s="9"/>
      <c r="K4" s="9"/>
      <c r="L4" s="9"/>
      <c r="M4" s="9"/>
      <c r="N4" s="9"/>
      <c r="O4" s="12"/>
      <c r="P4" s="12"/>
      <c r="Q4" s="12"/>
      <c r="R4" s="12"/>
      <c r="S4" s="12"/>
      <c r="T4" s="12"/>
      <c r="V4" s="20">
        <f t="shared" ref="V4:V67" si="0">IF(I4&gt;0,I4,IF(O4=1,$B4+2,IF(O3=1,1,IF(O3=2,0,IF(V3=$G3,0,(IF(V3&gt;=1,V3+1,0)))))))</f>
        <v>0</v>
      </c>
      <c r="W4" s="20">
        <f t="shared" ref="W4:W67" si="1">IF(J4&gt;0,J4,IF(P4=1,$B4+2,IF(P3=1,1,IF(P3=2,0,IF(W3=$G3,0,(IF(W3&gt;=1,W3+1,0)))))))</f>
        <v>0</v>
      </c>
      <c r="X4" s="20">
        <f t="shared" ref="X4:X67" si="2">IF(K4&gt;0,K4,IF(Q4=1,$B4+2,IF(Q3=1,1,IF(Q3=2,0,IF(X3=$G3,0,(IF(X3&gt;=1,X3+1,0)))))))</f>
        <v>0</v>
      </c>
      <c r="Y4" s="20">
        <f t="shared" ref="Y4:Y67" si="3">IF(L4&gt;0,L4,IF(R4=1,$B4+2,IF(R3=1,1,IF(R3=2,0,IF(Y3=$G3,0,(IF(Y3&gt;=1,Y3+1,0)))))))</f>
        <v>0</v>
      </c>
      <c r="Z4" s="20">
        <f t="shared" ref="Z4:Z67" si="4">IF(M4&gt;0,M4,IF(S4=1,$B4+2,IF(S3=1,1,IF(S3=2,0,IF(Z3=$G3,0,(IF(Z3&gt;=1,Z3+1,0)))))))</f>
        <v>0</v>
      </c>
      <c r="AA4" s="20">
        <f t="shared" ref="AA4:AA67" si="5">IF(N4&gt;0,N4,IF(T4=1,$B4+2,IF(T3=1,1,IF(T3=2,0,IF(AA3=$G3,0,(IF(AA3&gt;=1,AA3+1,0)))))))</f>
        <v>0</v>
      </c>
      <c r="AC4" s="3">
        <f t="shared" ref="AC4:AC33" si="6">IF(AND(AS4&gt;=$V$2,AS4&lt;=$AA$2),LOOKUP(AS4,$V$2:$AA$2,$V4:$AA4),IF(AS3="A",0,IF(AC3=$H4,0,IF(AC3=0,0,AC3+1))))</f>
        <v>0</v>
      </c>
      <c r="AD4" s="3">
        <f t="shared" ref="AD4:AD33" si="7">IF(AND(AT4&gt;=$V$2,AT4&lt;=$AA$2),LOOKUP(AT4,$V$2:$AA$2,$V4:$AA4),IF(AT3="A",0,IF(AD3=$H4,0,IF(AD3=0,0,AD3+1))))</f>
        <v>0</v>
      </c>
      <c r="AE4" s="3">
        <f t="shared" ref="AE4:AE33" si="8">IF(AND(AU4&gt;=$V$2,AU4&lt;=$AA$2),LOOKUP(AU4,$V$2:$AA$2,$V4:$AA4),IF(AU3="A",0,IF(AE3=$H4,0,IF(AE3=0,0,AE3+1))))</f>
        <v>0</v>
      </c>
      <c r="AF4" s="3">
        <f t="shared" ref="AF4:AF33" si="9">IF(AND(AV4&gt;=$V$2,AV4&lt;=$AA$2),LOOKUP(AV4,$V$2:$AA$2,$V4:$AA4),IF(AV3="A",0,IF(AF3=$H4,0,IF(AF3=0,0,AF3+1))))</f>
        <v>0</v>
      </c>
      <c r="AG4" s="3">
        <f t="shared" ref="AG4:AG33" si="10">IF(AND(AW4&gt;=$V$2,AW4&lt;=$AA$2),LOOKUP(AW4,$V$2:$AA$2,$V4:$AA4),IF(AW3="A",0,IF(AG3=$H4,0,IF(AG3=0,0,AG3+1))))</f>
        <v>0</v>
      </c>
      <c r="AH4" s="3">
        <f t="shared" ref="AH4:AH33" si="11">IF(AND(AX4&gt;=$V$2,AX4&lt;=$AA$2),LOOKUP(AX4,$V$2:$AA$2,$V4:$AA4),IF(AX3="A",0,IF(AH3=$H4,0,IF(AH3=0,0,AH3+1))))</f>
        <v>0</v>
      </c>
      <c r="AI4" s="3">
        <f t="shared" ref="AI4:AI33" si="12">IF(AND(AY4&gt;=$V$2,AY4&lt;=$AA$2),LOOKUP(AY4,$V$2:$AA$2,$V4:$AA4),IF(AY3="A",0,IF(AI3=$H4,0,IF(AI3=0,0,AI3+1))))</f>
        <v>0</v>
      </c>
      <c r="AJ4" s="3">
        <f t="shared" ref="AJ4:AJ33" si="13">IF(AND(AZ4&gt;=$V$2,AZ4&lt;=$AA$2),LOOKUP(AZ4,$V$2:$AA$2,$V4:$AA4),IF(AZ3="A",0,IF(AJ3=$H4,0,IF(AJ3=0,0,AJ3+1))))</f>
        <v>0</v>
      </c>
      <c r="AK4" s="3">
        <f t="shared" ref="AK4:AK33" si="14">IF(AND(BA4&gt;=$V$2,BA4&lt;=$AA$2),LOOKUP(BA4,$V$2:$AA$2,$V4:$AA4),IF(BA3="A",0,IF(AK3=$H4,0,IF(AK3=0,0,AK3+1))))</f>
        <v>0</v>
      </c>
      <c r="AL4" s="3">
        <f t="shared" ref="AL4:AL33" si="15">IF(AND(BB4&gt;=$V$2,BB4&lt;=$AA$2),LOOKUP(BB4,$V$2:$AA$2,$V4:$AA4),IF(BB3="A",0,IF(AL3=$H4,0,IF(AL3=0,0,AL3+1))))</f>
        <v>0</v>
      </c>
      <c r="AM4" s="3">
        <f t="shared" ref="AM4:AM33" si="16">IF(AND(BC4&gt;=$V$2,BC4&lt;=$AA$2),LOOKUP(BC4,$V$2:$AA$2,$V4:$AA4),IF(BC3="A",0,IF(AM3=$H4,0,IF(AM3=0,0,AM3+1))))</f>
        <v>0</v>
      </c>
      <c r="AN4" s="3">
        <f t="shared" ref="AN4:AN33" si="17">IF(AND(BD4&gt;=$V$2,BD4&lt;=$AA$2),LOOKUP(BD4,$V$2:$AA$2,$V4:$AA4),IF(BD3="A",0,IF(AN3=$H4,0,IF(AN3=0,0,AN3+1))))</f>
        <v>0</v>
      </c>
      <c r="AO4" s="3">
        <f t="shared" ref="AO4:AO33" si="18">IF(AND(BE4&gt;=$V$2,BE4&lt;=$AA$2),LOOKUP(BE4,$V$2:$AA$2,$V4:$AA4),IF(BE3="A",0,IF(AO3=$H4,0,IF(AO3=0,0,AO3+1))))</f>
        <v>0</v>
      </c>
      <c r="AP4" s="3">
        <f t="shared" ref="AP4:AP33" si="19">IF(AND(BF4&gt;=$V$2,BF4&lt;=$AA$2),LOOKUP(BF4,$V$2:$AA$2,$V4:$AA4),IF(BF3="A",0,IF(AP3=$H4,0,IF(AP3=0,0,AP3+1))))</f>
        <v>0</v>
      </c>
      <c r="AQ4" s="3">
        <f t="shared" ref="AQ4:AQ33" si="20">IF(AND(BG4&gt;=$V$2,BG4&lt;=$AA$2),LOOKUP(BG4,$V$2:$AA$2,$V4:$AA4),IF(BG3="A",0,IF(AQ3=$H4,0,IF(AQ3=0,0,AQ3+1))))</f>
        <v>0</v>
      </c>
      <c r="AR4" s="3">
        <f t="shared" ref="AR4:AR33" si="21">IF(AND(BH4&gt;=$V$2,BH4&lt;=$AA$2),LOOKUP(BH4,$V$2:$AA$2,$V4:$AA4),IF(BH3="A",0,IF(AR3=$H4,0,IF(AR3=0,0,AR3+1))))</f>
        <v>0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M4" s="35"/>
      <c r="BO4" s="35"/>
      <c r="BR4" s="9" t="str">
        <f t="shared" ref="BR4:BR67" si="22">IF(AND(V4&gt;0,V3=0),$V$2,IF(AND(W4&gt;0,W3=0),$W$2,IF(AND(X4&gt;0,X3=0),$X$2,IF(AND(Y4&gt;0,Y3=0),$Y$2,IF(AND(Z4&gt;0,Z3=0),$Z$2,IF(AND(AA4&gt;0,AA3=0),$AA$2,""))))))</f>
        <v/>
      </c>
      <c r="BS4" s="37" t="str">
        <f t="shared" ref="BS4:BS67" si="23">IF(OR(AND($V5=1,$V6=2),OR(AND($W5=1,$W6=2),OR(AND($X5=1,$X6=2),OR(AND($Y5=1,$Y6=2),OR(AND($Z5=1,$Z6),OR(AND($AA5=1,$AA6=2))))))),$B4+2,"")</f>
        <v/>
      </c>
      <c r="BT4" s="38" t="str">
        <f t="shared" ref="BT4:BT40" si="24">IF(BS4="","",BS4+(17*7))</f>
        <v/>
      </c>
      <c r="BU4" s="36" t="str">
        <f t="shared" ref="BU4:BU67" si="25">IF(AND(AC21&gt;0,AC20=0),$AC$2,IF(AND(AD21&gt;0,AD20=0),$AD$2,IF(AND(AE21&gt;0,AE20=0),$AE$2,IF(AND(AF21&gt;0,AF20=0),$AF$2,IF(AND(AG21&gt;0,AG20=0),$AG$2,IF(AND(AH21&gt;0,AH20=0),$AH$2,IF(AND(AI21&gt;0,AI20=0),$AI$2,IF(AND(AJ21&gt;0,AJ20=0),$AJ$2,IF(AND(AK21&gt;0,AK20=0),$AK$2,IF(AND(AL21&gt;0,AL20=0),$AL$2,IF(AND(AM21&gt;0,AM20=0),$AM$2,IF(AND(AN21&gt;0,AN20=0),$AN$2,IF(AND(AO21&gt;0,AO20=0),$AO$2,IF(AND(AP21&gt;0,AP20=0),$AP$2,IF(AND(AQ21&gt;0,AQ20=0),$AQ$2,IF(AND(AR21&gt;0,AR20=0),$AR$2,""))))))))))))))))</f>
        <v/>
      </c>
    </row>
    <row r="5" spans="2:74" ht="15">
      <c r="B5" s="16">
        <f t="shared" ref="B5:B68" si="26">D4+1</f>
        <v>43108</v>
      </c>
      <c r="C5" s="15" t="s">
        <v>1</v>
      </c>
      <c r="D5" s="17">
        <f t="shared" ref="D5:D68" si="27">B5+6</f>
        <v>43114</v>
      </c>
      <c r="E5" s="18">
        <f t="shared" ref="E5:E68" si="28">MONTH(B5)</f>
        <v>1</v>
      </c>
      <c r="F5" s="19">
        <f t="shared" ref="F5:F68" si="29">YEAR(D5)</f>
        <v>2018</v>
      </c>
      <c r="G5" s="14">
        <f>G4</f>
        <v>17</v>
      </c>
      <c r="H5" s="8">
        <f>H4</f>
        <v>96</v>
      </c>
      <c r="I5" s="9"/>
      <c r="J5" s="9"/>
      <c r="K5" s="9"/>
      <c r="L5" s="9"/>
      <c r="M5" s="9"/>
      <c r="N5" s="9"/>
      <c r="O5" s="12"/>
      <c r="P5" s="12"/>
      <c r="Q5" s="12"/>
      <c r="R5" s="12"/>
      <c r="S5" s="12"/>
      <c r="T5" s="12"/>
      <c r="V5" s="20">
        <f t="shared" si="0"/>
        <v>0</v>
      </c>
      <c r="W5" s="20">
        <f t="shared" si="1"/>
        <v>0</v>
      </c>
      <c r="X5" s="20">
        <f t="shared" si="2"/>
        <v>0</v>
      </c>
      <c r="Y5" s="20">
        <f t="shared" si="3"/>
        <v>0</v>
      </c>
      <c r="Z5" s="20">
        <f t="shared" si="4"/>
        <v>0</v>
      </c>
      <c r="AA5" s="20">
        <f t="shared" si="5"/>
        <v>0</v>
      </c>
      <c r="AC5" s="3">
        <f t="shared" si="6"/>
        <v>0</v>
      </c>
      <c r="AD5" s="3">
        <f t="shared" si="7"/>
        <v>0</v>
      </c>
      <c r="AE5" s="3">
        <f t="shared" si="8"/>
        <v>0</v>
      </c>
      <c r="AF5" s="3">
        <f t="shared" si="9"/>
        <v>0</v>
      </c>
      <c r="AG5" s="3">
        <f t="shared" si="10"/>
        <v>0</v>
      </c>
      <c r="AH5" s="3">
        <f t="shared" si="11"/>
        <v>0</v>
      </c>
      <c r="AI5" s="3">
        <f t="shared" si="12"/>
        <v>0</v>
      </c>
      <c r="AJ5" s="3">
        <f t="shared" si="13"/>
        <v>0</v>
      </c>
      <c r="AK5" s="3">
        <f t="shared" si="14"/>
        <v>0</v>
      </c>
      <c r="AL5" s="3">
        <f t="shared" si="15"/>
        <v>0</v>
      </c>
      <c r="AM5" s="3">
        <f t="shared" si="16"/>
        <v>0</v>
      </c>
      <c r="AN5" s="3">
        <f t="shared" si="17"/>
        <v>0</v>
      </c>
      <c r="AO5" s="3">
        <f t="shared" si="18"/>
        <v>0</v>
      </c>
      <c r="AP5" s="3">
        <f t="shared" si="19"/>
        <v>0</v>
      </c>
      <c r="AQ5" s="3">
        <f t="shared" si="20"/>
        <v>0</v>
      </c>
      <c r="AR5" s="3">
        <f t="shared" si="21"/>
        <v>0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M5" s="35"/>
      <c r="BO5" s="35"/>
      <c r="BR5" s="9" t="str">
        <f t="shared" si="22"/>
        <v/>
      </c>
      <c r="BS5" s="37" t="str">
        <f t="shared" si="23"/>
        <v/>
      </c>
      <c r="BT5" s="38" t="str">
        <f t="shared" si="24"/>
        <v/>
      </c>
      <c r="BU5" s="36" t="str">
        <f t="shared" si="25"/>
        <v/>
      </c>
    </row>
    <row r="6" spans="2:74" ht="15">
      <c r="B6" s="16">
        <f t="shared" si="26"/>
        <v>43115</v>
      </c>
      <c r="C6" s="15" t="s">
        <v>1</v>
      </c>
      <c r="D6" s="17">
        <f t="shared" si="27"/>
        <v>43121</v>
      </c>
      <c r="E6" s="18">
        <f t="shared" si="28"/>
        <v>1</v>
      </c>
      <c r="F6" s="19">
        <f t="shared" si="29"/>
        <v>2018</v>
      </c>
      <c r="G6" s="9">
        <f t="shared" ref="G6:H21" si="30">G5</f>
        <v>17</v>
      </c>
      <c r="H6" s="8">
        <f t="shared" si="30"/>
        <v>96</v>
      </c>
      <c r="I6" s="9"/>
      <c r="J6" s="9"/>
      <c r="K6" s="9"/>
      <c r="L6" s="9"/>
      <c r="M6" s="9"/>
      <c r="N6" s="9"/>
      <c r="O6" s="12"/>
      <c r="P6" s="12"/>
      <c r="Q6" s="12"/>
      <c r="R6" s="12"/>
      <c r="S6" s="12"/>
      <c r="T6" s="12"/>
      <c r="V6" s="20">
        <f t="shared" si="0"/>
        <v>0</v>
      </c>
      <c r="W6" s="20">
        <f t="shared" si="1"/>
        <v>0</v>
      </c>
      <c r="X6" s="20">
        <f t="shared" si="2"/>
        <v>0</v>
      </c>
      <c r="Y6" s="20">
        <f t="shared" si="3"/>
        <v>0</v>
      </c>
      <c r="Z6" s="20">
        <f t="shared" si="4"/>
        <v>0</v>
      </c>
      <c r="AA6" s="20">
        <f t="shared" si="5"/>
        <v>0</v>
      </c>
      <c r="AC6" s="3">
        <f t="shared" si="6"/>
        <v>0</v>
      </c>
      <c r="AD6" s="3">
        <f t="shared" si="7"/>
        <v>0</v>
      </c>
      <c r="AE6" s="3">
        <f t="shared" si="8"/>
        <v>0</v>
      </c>
      <c r="AF6" s="3">
        <f t="shared" si="9"/>
        <v>0</v>
      </c>
      <c r="AG6" s="3">
        <f t="shared" si="10"/>
        <v>0</v>
      </c>
      <c r="AH6" s="3">
        <f t="shared" si="11"/>
        <v>0</v>
      </c>
      <c r="AI6" s="3">
        <f t="shared" si="12"/>
        <v>0</v>
      </c>
      <c r="AJ6" s="3">
        <f t="shared" si="13"/>
        <v>0</v>
      </c>
      <c r="AK6" s="3">
        <f t="shared" si="14"/>
        <v>0</v>
      </c>
      <c r="AL6" s="3">
        <f t="shared" si="15"/>
        <v>0</v>
      </c>
      <c r="AM6" s="3">
        <f t="shared" si="16"/>
        <v>0</v>
      </c>
      <c r="AN6" s="3">
        <f t="shared" si="17"/>
        <v>0</v>
      </c>
      <c r="AO6" s="3">
        <f t="shared" si="18"/>
        <v>0</v>
      </c>
      <c r="AP6" s="3">
        <f t="shared" si="19"/>
        <v>0</v>
      </c>
      <c r="AQ6" s="3">
        <f t="shared" si="20"/>
        <v>0</v>
      </c>
      <c r="AR6" s="3">
        <f t="shared" si="21"/>
        <v>0</v>
      </c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M6" s="35"/>
      <c r="BO6" s="35"/>
      <c r="BR6" s="9" t="str">
        <f t="shared" si="22"/>
        <v/>
      </c>
      <c r="BS6" s="37" t="str">
        <f t="shared" si="23"/>
        <v/>
      </c>
      <c r="BT6" s="38" t="str">
        <f t="shared" si="24"/>
        <v/>
      </c>
      <c r="BU6" s="36" t="str">
        <f t="shared" si="25"/>
        <v/>
      </c>
    </row>
    <row r="7" spans="2:74" ht="15">
      <c r="B7" s="16">
        <f t="shared" si="26"/>
        <v>43122</v>
      </c>
      <c r="C7" s="15" t="s">
        <v>1</v>
      </c>
      <c r="D7" s="17">
        <f t="shared" si="27"/>
        <v>43128</v>
      </c>
      <c r="E7" s="18">
        <f t="shared" si="28"/>
        <v>1</v>
      </c>
      <c r="F7" s="19">
        <f t="shared" si="29"/>
        <v>2018</v>
      </c>
      <c r="G7" s="9">
        <f t="shared" si="30"/>
        <v>17</v>
      </c>
      <c r="H7" s="8">
        <f t="shared" si="30"/>
        <v>96</v>
      </c>
      <c r="I7" s="9"/>
      <c r="J7" s="9"/>
      <c r="K7" s="9"/>
      <c r="L7" s="9"/>
      <c r="M7" s="9"/>
      <c r="N7" s="9"/>
      <c r="O7" s="12"/>
      <c r="P7" s="12"/>
      <c r="Q7" s="12"/>
      <c r="R7" s="12"/>
      <c r="S7" s="12"/>
      <c r="T7" s="12"/>
      <c r="V7" s="20">
        <f t="shared" si="0"/>
        <v>0</v>
      </c>
      <c r="W7" s="20">
        <f t="shared" si="1"/>
        <v>0</v>
      </c>
      <c r="X7" s="20">
        <f t="shared" si="2"/>
        <v>0</v>
      </c>
      <c r="Y7" s="20">
        <f t="shared" si="3"/>
        <v>0</v>
      </c>
      <c r="Z7" s="20">
        <f t="shared" si="4"/>
        <v>0</v>
      </c>
      <c r="AA7" s="20">
        <f t="shared" si="5"/>
        <v>0</v>
      </c>
      <c r="AC7" s="3">
        <f t="shared" si="6"/>
        <v>0</v>
      </c>
      <c r="AD7" s="3">
        <f t="shared" si="7"/>
        <v>0</v>
      </c>
      <c r="AE7" s="3">
        <f t="shared" si="8"/>
        <v>0</v>
      </c>
      <c r="AF7" s="3">
        <f t="shared" si="9"/>
        <v>0</v>
      </c>
      <c r="AG7" s="3">
        <f t="shared" si="10"/>
        <v>0</v>
      </c>
      <c r="AH7" s="3">
        <f t="shared" si="11"/>
        <v>0</v>
      </c>
      <c r="AI7" s="3">
        <f t="shared" si="12"/>
        <v>0</v>
      </c>
      <c r="AJ7" s="3">
        <f t="shared" si="13"/>
        <v>0</v>
      </c>
      <c r="AK7" s="3">
        <f t="shared" si="14"/>
        <v>0</v>
      </c>
      <c r="AL7" s="3">
        <f t="shared" si="15"/>
        <v>0</v>
      </c>
      <c r="AM7" s="3">
        <f t="shared" si="16"/>
        <v>0</v>
      </c>
      <c r="AN7" s="3">
        <f t="shared" si="17"/>
        <v>0</v>
      </c>
      <c r="AO7" s="3">
        <f t="shared" si="18"/>
        <v>0</v>
      </c>
      <c r="AP7" s="3">
        <f t="shared" si="19"/>
        <v>0</v>
      </c>
      <c r="AQ7" s="3">
        <f t="shared" si="20"/>
        <v>0</v>
      </c>
      <c r="AR7" s="3">
        <f t="shared" si="21"/>
        <v>0</v>
      </c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M7" s="35"/>
      <c r="BO7" s="35"/>
      <c r="BR7" s="9" t="str">
        <f t="shared" si="22"/>
        <v/>
      </c>
      <c r="BS7" s="37" t="str">
        <f t="shared" si="23"/>
        <v/>
      </c>
      <c r="BT7" s="38" t="str">
        <f t="shared" si="24"/>
        <v/>
      </c>
      <c r="BU7" s="36" t="str">
        <f t="shared" si="25"/>
        <v/>
      </c>
    </row>
    <row r="8" spans="2:74" ht="15">
      <c r="B8" s="16">
        <f t="shared" si="26"/>
        <v>43129</v>
      </c>
      <c r="C8" s="15" t="s">
        <v>1</v>
      </c>
      <c r="D8" s="17">
        <f t="shared" si="27"/>
        <v>43135</v>
      </c>
      <c r="E8" s="18">
        <f t="shared" si="28"/>
        <v>1</v>
      </c>
      <c r="F8" s="19">
        <f t="shared" si="29"/>
        <v>2018</v>
      </c>
      <c r="G8" s="9">
        <f t="shared" si="30"/>
        <v>17</v>
      </c>
      <c r="H8" s="8">
        <f t="shared" si="30"/>
        <v>96</v>
      </c>
      <c r="I8" s="9"/>
      <c r="J8" s="9"/>
      <c r="K8" s="9"/>
      <c r="L8" s="9"/>
      <c r="M8" s="9"/>
      <c r="N8" s="9"/>
      <c r="O8" s="12"/>
      <c r="P8" s="12"/>
      <c r="Q8" s="12"/>
      <c r="R8" s="12"/>
      <c r="S8" s="12"/>
      <c r="T8" s="12"/>
      <c r="V8" s="20">
        <f t="shared" si="0"/>
        <v>0</v>
      </c>
      <c r="W8" s="20">
        <f t="shared" si="1"/>
        <v>0</v>
      </c>
      <c r="X8" s="20">
        <f t="shared" si="2"/>
        <v>0</v>
      </c>
      <c r="Y8" s="20">
        <f t="shared" si="3"/>
        <v>0</v>
      </c>
      <c r="Z8" s="20">
        <f t="shared" si="4"/>
        <v>0</v>
      </c>
      <c r="AA8" s="20">
        <f t="shared" si="5"/>
        <v>0</v>
      </c>
      <c r="AC8" s="3">
        <f t="shared" si="6"/>
        <v>0</v>
      </c>
      <c r="AD8" s="3">
        <f t="shared" si="7"/>
        <v>0</v>
      </c>
      <c r="AE8" s="3">
        <f t="shared" si="8"/>
        <v>0</v>
      </c>
      <c r="AF8" s="3">
        <f t="shared" si="9"/>
        <v>0</v>
      </c>
      <c r="AG8" s="3">
        <f t="shared" si="10"/>
        <v>0</v>
      </c>
      <c r="AH8" s="3">
        <f t="shared" si="11"/>
        <v>0</v>
      </c>
      <c r="AI8" s="3">
        <f t="shared" si="12"/>
        <v>0</v>
      </c>
      <c r="AJ8" s="3">
        <f t="shared" si="13"/>
        <v>0</v>
      </c>
      <c r="AK8" s="3">
        <f t="shared" si="14"/>
        <v>0</v>
      </c>
      <c r="AL8" s="3">
        <f t="shared" si="15"/>
        <v>0</v>
      </c>
      <c r="AM8" s="3">
        <f t="shared" si="16"/>
        <v>0</v>
      </c>
      <c r="AN8" s="3">
        <f t="shared" si="17"/>
        <v>0</v>
      </c>
      <c r="AO8" s="3">
        <f t="shared" si="18"/>
        <v>0</v>
      </c>
      <c r="AP8" s="3">
        <f t="shared" si="19"/>
        <v>0</v>
      </c>
      <c r="AQ8" s="3">
        <f t="shared" si="20"/>
        <v>0</v>
      </c>
      <c r="AR8" s="3">
        <f t="shared" si="21"/>
        <v>0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M8" s="35"/>
      <c r="BO8" s="35"/>
      <c r="BR8" s="9" t="str">
        <f t="shared" si="22"/>
        <v/>
      </c>
      <c r="BS8" s="37" t="str">
        <f t="shared" si="23"/>
        <v/>
      </c>
      <c r="BT8" s="38" t="str">
        <f t="shared" si="24"/>
        <v/>
      </c>
      <c r="BU8" s="36" t="str">
        <f t="shared" si="25"/>
        <v/>
      </c>
    </row>
    <row r="9" spans="2:74" ht="15">
      <c r="B9" s="16">
        <f t="shared" si="26"/>
        <v>43136</v>
      </c>
      <c r="C9" s="15" t="s">
        <v>1</v>
      </c>
      <c r="D9" s="17">
        <f t="shared" si="27"/>
        <v>43142</v>
      </c>
      <c r="E9" s="18">
        <f t="shared" si="28"/>
        <v>2</v>
      </c>
      <c r="F9" s="19">
        <f t="shared" si="29"/>
        <v>2018</v>
      </c>
      <c r="G9" s="9">
        <f t="shared" si="30"/>
        <v>17</v>
      </c>
      <c r="H9" s="8">
        <f t="shared" si="30"/>
        <v>96</v>
      </c>
      <c r="I9" s="9"/>
      <c r="J9" s="9"/>
      <c r="K9" s="9"/>
      <c r="L9" s="9"/>
      <c r="M9" s="9"/>
      <c r="N9" s="9"/>
      <c r="O9" s="12"/>
      <c r="P9" s="12"/>
      <c r="Q9" s="12"/>
      <c r="R9" s="12"/>
      <c r="S9" s="12"/>
      <c r="T9" s="12"/>
      <c r="V9" s="20">
        <f t="shared" si="0"/>
        <v>0</v>
      </c>
      <c r="W9" s="20">
        <f t="shared" si="1"/>
        <v>0</v>
      </c>
      <c r="X9" s="20">
        <f t="shared" si="2"/>
        <v>0</v>
      </c>
      <c r="Y9" s="20">
        <f t="shared" si="3"/>
        <v>0</v>
      </c>
      <c r="Z9" s="20">
        <f t="shared" si="4"/>
        <v>0</v>
      </c>
      <c r="AA9" s="20">
        <f t="shared" si="5"/>
        <v>0</v>
      </c>
      <c r="AC9" s="3">
        <f t="shared" si="6"/>
        <v>0</v>
      </c>
      <c r="AD9" s="3">
        <f t="shared" si="7"/>
        <v>0</v>
      </c>
      <c r="AE9" s="3">
        <f t="shared" si="8"/>
        <v>0</v>
      </c>
      <c r="AF9" s="3">
        <f t="shared" si="9"/>
        <v>0</v>
      </c>
      <c r="AG9" s="3">
        <f t="shared" si="10"/>
        <v>0</v>
      </c>
      <c r="AH9" s="3">
        <f t="shared" si="11"/>
        <v>0</v>
      </c>
      <c r="AI9" s="3">
        <f t="shared" si="12"/>
        <v>0</v>
      </c>
      <c r="AJ9" s="3">
        <f t="shared" si="13"/>
        <v>0</v>
      </c>
      <c r="AK9" s="3">
        <f t="shared" si="14"/>
        <v>0</v>
      </c>
      <c r="AL9" s="3">
        <f t="shared" si="15"/>
        <v>0</v>
      </c>
      <c r="AM9" s="3">
        <f t="shared" si="16"/>
        <v>0</v>
      </c>
      <c r="AN9" s="3">
        <f t="shared" si="17"/>
        <v>0</v>
      </c>
      <c r="AO9" s="3">
        <f t="shared" si="18"/>
        <v>0</v>
      </c>
      <c r="AP9" s="3">
        <f t="shared" si="19"/>
        <v>0</v>
      </c>
      <c r="AQ9" s="3">
        <f t="shared" si="20"/>
        <v>0</v>
      </c>
      <c r="AR9" s="3">
        <f t="shared" si="21"/>
        <v>0</v>
      </c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M9" s="35"/>
      <c r="BO9" s="35"/>
      <c r="BR9" s="9" t="str">
        <f t="shared" si="22"/>
        <v/>
      </c>
      <c r="BS9" s="37" t="str">
        <f t="shared" si="23"/>
        <v/>
      </c>
      <c r="BT9" s="38" t="str">
        <f t="shared" si="24"/>
        <v/>
      </c>
      <c r="BU9" s="36" t="str">
        <f t="shared" si="25"/>
        <v/>
      </c>
    </row>
    <row r="10" spans="2:74" ht="15">
      <c r="B10" s="16">
        <f t="shared" si="26"/>
        <v>43143</v>
      </c>
      <c r="C10" s="15" t="s">
        <v>1</v>
      </c>
      <c r="D10" s="17">
        <f t="shared" si="27"/>
        <v>43149</v>
      </c>
      <c r="E10" s="18">
        <f t="shared" si="28"/>
        <v>2</v>
      </c>
      <c r="F10" s="19">
        <f t="shared" si="29"/>
        <v>2018</v>
      </c>
      <c r="G10" s="9">
        <f t="shared" si="30"/>
        <v>17</v>
      </c>
      <c r="H10" s="8">
        <f t="shared" si="30"/>
        <v>96</v>
      </c>
      <c r="I10" s="9"/>
      <c r="J10" s="9"/>
      <c r="K10" s="9"/>
      <c r="L10" s="9"/>
      <c r="M10" s="9"/>
      <c r="N10" s="9"/>
      <c r="O10" s="12"/>
      <c r="P10" s="12"/>
      <c r="Q10" s="12"/>
      <c r="R10" s="12"/>
      <c r="S10" s="12"/>
      <c r="T10" s="12"/>
      <c r="V10" s="20">
        <f t="shared" si="0"/>
        <v>0</v>
      </c>
      <c r="W10" s="20">
        <f t="shared" si="1"/>
        <v>0</v>
      </c>
      <c r="X10" s="20">
        <f t="shared" si="2"/>
        <v>0</v>
      </c>
      <c r="Y10" s="20">
        <f t="shared" si="3"/>
        <v>0</v>
      </c>
      <c r="Z10" s="20">
        <f t="shared" si="4"/>
        <v>0</v>
      </c>
      <c r="AA10" s="20">
        <f t="shared" si="5"/>
        <v>0</v>
      </c>
      <c r="AC10" s="3">
        <f t="shared" si="6"/>
        <v>0</v>
      </c>
      <c r="AD10" s="3">
        <f t="shared" si="7"/>
        <v>0</v>
      </c>
      <c r="AE10" s="3">
        <f t="shared" si="8"/>
        <v>0</v>
      </c>
      <c r="AF10" s="3">
        <f t="shared" si="9"/>
        <v>0</v>
      </c>
      <c r="AG10" s="3">
        <f t="shared" si="10"/>
        <v>0</v>
      </c>
      <c r="AH10" s="3">
        <f t="shared" si="11"/>
        <v>0</v>
      </c>
      <c r="AI10" s="3">
        <f t="shared" si="12"/>
        <v>0</v>
      </c>
      <c r="AJ10" s="3">
        <f t="shared" si="13"/>
        <v>0</v>
      </c>
      <c r="AK10" s="3">
        <f t="shared" si="14"/>
        <v>0</v>
      </c>
      <c r="AL10" s="3">
        <f t="shared" si="15"/>
        <v>0</v>
      </c>
      <c r="AM10" s="3">
        <f t="shared" si="16"/>
        <v>0</v>
      </c>
      <c r="AN10" s="3">
        <f t="shared" si="17"/>
        <v>0</v>
      </c>
      <c r="AO10" s="3">
        <f t="shared" si="18"/>
        <v>0</v>
      </c>
      <c r="AP10" s="3">
        <f t="shared" si="19"/>
        <v>0</v>
      </c>
      <c r="AQ10" s="3">
        <f t="shared" si="20"/>
        <v>0</v>
      </c>
      <c r="AR10" s="3">
        <f t="shared" si="21"/>
        <v>0</v>
      </c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M10" s="35"/>
      <c r="BO10" s="35"/>
      <c r="BR10" s="9" t="str">
        <f t="shared" si="22"/>
        <v/>
      </c>
      <c r="BS10" s="37" t="str">
        <f t="shared" si="23"/>
        <v/>
      </c>
      <c r="BT10" s="38" t="str">
        <f t="shared" si="24"/>
        <v/>
      </c>
      <c r="BU10" s="36" t="str">
        <f t="shared" si="25"/>
        <v/>
      </c>
    </row>
    <row r="11" spans="2:74" ht="15">
      <c r="B11" s="16">
        <f t="shared" si="26"/>
        <v>43150</v>
      </c>
      <c r="C11" s="15" t="s">
        <v>1</v>
      </c>
      <c r="D11" s="17">
        <f t="shared" si="27"/>
        <v>43156</v>
      </c>
      <c r="E11" s="18">
        <f t="shared" si="28"/>
        <v>2</v>
      </c>
      <c r="F11" s="19">
        <f t="shared" si="29"/>
        <v>2018</v>
      </c>
      <c r="G11" s="9">
        <f t="shared" si="30"/>
        <v>17</v>
      </c>
      <c r="H11" s="8">
        <f t="shared" si="30"/>
        <v>96</v>
      </c>
      <c r="I11" s="9"/>
      <c r="J11" s="9"/>
      <c r="K11" s="9"/>
      <c r="L11" s="9"/>
      <c r="M11" s="9"/>
      <c r="N11" s="9"/>
      <c r="O11" s="12"/>
      <c r="P11" s="12"/>
      <c r="Q11" s="12"/>
      <c r="R11" s="12"/>
      <c r="S11" s="12"/>
      <c r="T11" s="12"/>
      <c r="V11" s="20">
        <f t="shared" si="0"/>
        <v>0</v>
      </c>
      <c r="W11" s="20">
        <f t="shared" si="1"/>
        <v>0</v>
      </c>
      <c r="X11" s="20">
        <f t="shared" si="2"/>
        <v>0</v>
      </c>
      <c r="Y11" s="20">
        <f t="shared" si="3"/>
        <v>0</v>
      </c>
      <c r="Z11" s="20">
        <f t="shared" si="4"/>
        <v>0</v>
      </c>
      <c r="AA11" s="20">
        <f t="shared" si="5"/>
        <v>0</v>
      </c>
      <c r="AC11" s="3">
        <f t="shared" si="6"/>
        <v>0</v>
      </c>
      <c r="AD11" s="3">
        <f t="shared" si="7"/>
        <v>0</v>
      </c>
      <c r="AE11" s="3">
        <f t="shared" si="8"/>
        <v>0</v>
      </c>
      <c r="AF11" s="3">
        <f t="shared" si="9"/>
        <v>0</v>
      </c>
      <c r="AG11" s="3">
        <f t="shared" si="10"/>
        <v>0</v>
      </c>
      <c r="AH11" s="3">
        <f t="shared" si="11"/>
        <v>0</v>
      </c>
      <c r="AI11" s="3">
        <f t="shared" si="12"/>
        <v>0</v>
      </c>
      <c r="AJ11" s="3">
        <f t="shared" si="13"/>
        <v>0</v>
      </c>
      <c r="AK11" s="3">
        <f t="shared" si="14"/>
        <v>0</v>
      </c>
      <c r="AL11" s="3">
        <f t="shared" si="15"/>
        <v>0</v>
      </c>
      <c r="AM11" s="3">
        <f t="shared" si="16"/>
        <v>0</v>
      </c>
      <c r="AN11" s="3">
        <f t="shared" si="17"/>
        <v>0</v>
      </c>
      <c r="AO11" s="3">
        <f t="shared" si="18"/>
        <v>0</v>
      </c>
      <c r="AP11" s="3">
        <f t="shared" si="19"/>
        <v>0</v>
      </c>
      <c r="AQ11" s="3">
        <f t="shared" si="20"/>
        <v>0</v>
      </c>
      <c r="AR11" s="3">
        <f t="shared" si="21"/>
        <v>0</v>
      </c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M11" s="35"/>
      <c r="BO11" s="35"/>
      <c r="BR11" s="9" t="str">
        <f t="shared" si="22"/>
        <v/>
      </c>
      <c r="BS11" s="37" t="str">
        <f t="shared" si="23"/>
        <v/>
      </c>
      <c r="BT11" s="38" t="str">
        <f t="shared" si="24"/>
        <v/>
      </c>
      <c r="BU11" s="36" t="str">
        <f t="shared" si="25"/>
        <v/>
      </c>
    </row>
    <row r="12" spans="2:74" ht="15">
      <c r="B12" s="16">
        <f t="shared" si="26"/>
        <v>43157</v>
      </c>
      <c r="C12" s="15" t="s">
        <v>1</v>
      </c>
      <c r="D12" s="17">
        <f t="shared" si="27"/>
        <v>43163</v>
      </c>
      <c r="E12" s="18">
        <f t="shared" si="28"/>
        <v>2</v>
      </c>
      <c r="F12" s="19">
        <f t="shared" si="29"/>
        <v>2018</v>
      </c>
      <c r="G12" s="14">
        <f t="shared" si="30"/>
        <v>17</v>
      </c>
      <c r="H12" s="8">
        <f t="shared" si="30"/>
        <v>96</v>
      </c>
      <c r="I12" s="9"/>
      <c r="J12" s="9"/>
      <c r="K12" s="9"/>
      <c r="L12" s="9"/>
      <c r="M12" s="9"/>
      <c r="N12" s="9"/>
      <c r="O12" s="12"/>
      <c r="P12" s="12"/>
      <c r="Q12" s="12"/>
      <c r="R12" s="12"/>
      <c r="S12" s="12"/>
      <c r="T12" s="12"/>
      <c r="V12" s="20">
        <f t="shared" si="0"/>
        <v>0</v>
      </c>
      <c r="W12" s="20">
        <f t="shared" si="1"/>
        <v>0</v>
      </c>
      <c r="X12" s="20">
        <f t="shared" si="2"/>
        <v>0</v>
      </c>
      <c r="Y12" s="20">
        <f t="shared" si="3"/>
        <v>0</v>
      </c>
      <c r="Z12" s="20">
        <f t="shared" si="4"/>
        <v>0</v>
      </c>
      <c r="AA12" s="20">
        <f t="shared" si="5"/>
        <v>0</v>
      </c>
      <c r="AC12" s="3">
        <f t="shared" si="6"/>
        <v>0</v>
      </c>
      <c r="AD12" s="3">
        <f t="shared" si="7"/>
        <v>0</v>
      </c>
      <c r="AE12" s="3">
        <f t="shared" si="8"/>
        <v>0</v>
      </c>
      <c r="AF12" s="3">
        <f t="shared" si="9"/>
        <v>0</v>
      </c>
      <c r="AG12" s="3">
        <f t="shared" si="10"/>
        <v>0</v>
      </c>
      <c r="AH12" s="3">
        <f t="shared" si="11"/>
        <v>0</v>
      </c>
      <c r="AI12" s="3">
        <f t="shared" si="12"/>
        <v>0</v>
      </c>
      <c r="AJ12" s="3">
        <f t="shared" si="13"/>
        <v>0</v>
      </c>
      <c r="AK12" s="3">
        <f t="shared" si="14"/>
        <v>0</v>
      </c>
      <c r="AL12" s="3">
        <f t="shared" si="15"/>
        <v>0</v>
      </c>
      <c r="AM12" s="3">
        <f t="shared" si="16"/>
        <v>0</v>
      </c>
      <c r="AN12" s="3">
        <f t="shared" si="17"/>
        <v>0</v>
      </c>
      <c r="AO12" s="3">
        <f t="shared" si="18"/>
        <v>0</v>
      </c>
      <c r="AP12" s="3">
        <f t="shared" si="19"/>
        <v>0</v>
      </c>
      <c r="AQ12" s="3">
        <f t="shared" si="20"/>
        <v>0</v>
      </c>
      <c r="AR12" s="3">
        <f t="shared" si="21"/>
        <v>0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M12" s="35"/>
      <c r="BO12" s="35"/>
      <c r="BR12" s="9" t="str">
        <f t="shared" si="22"/>
        <v/>
      </c>
      <c r="BS12" s="37" t="str">
        <f t="shared" si="23"/>
        <v/>
      </c>
      <c r="BT12" s="38" t="str">
        <f t="shared" si="24"/>
        <v/>
      </c>
      <c r="BU12" s="36" t="str">
        <f t="shared" si="25"/>
        <v/>
      </c>
    </row>
    <row r="13" spans="2:74" ht="15">
      <c r="B13" s="16">
        <f t="shared" si="26"/>
        <v>43164</v>
      </c>
      <c r="C13" s="15" t="s">
        <v>1</v>
      </c>
      <c r="D13" s="17">
        <f t="shared" si="27"/>
        <v>43170</v>
      </c>
      <c r="E13" s="18">
        <f t="shared" si="28"/>
        <v>3</v>
      </c>
      <c r="F13" s="19">
        <f t="shared" si="29"/>
        <v>2018</v>
      </c>
      <c r="G13" s="14">
        <f t="shared" si="30"/>
        <v>17</v>
      </c>
      <c r="H13" s="8">
        <f t="shared" si="30"/>
        <v>96</v>
      </c>
      <c r="I13" s="9"/>
      <c r="J13" s="9"/>
      <c r="K13" s="9"/>
      <c r="L13" s="9"/>
      <c r="M13" s="9"/>
      <c r="N13" s="9"/>
      <c r="O13" s="12"/>
      <c r="P13" s="12"/>
      <c r="Q13" s="12">
        <v>1</v>
      </c>
      <c r="R13" s="12"/>
      <c r="S13" s="12"/>
      <c r="T13" s="12"/>
      <c r="V13" s="20">
        <f t="shared" si="0"/>
        <v>0</v>
      </c>
      <c r="W13" s="20">
        <f t="shared" si="1"/>
        <v>0</v>
      </c>
      <c r="X13" s="20">
        <f t="shared" si="2"/>
        <v>43166</v>
      </c>
      <c r="Y13" s="20">
        <f t="shared" si="3"/>
        <v>0</v>
      </c>
      <c r="Z13" s="20">
        <f t="shared" si="4"/>
        <v>0</v>
      </c>
      <c r="AA13" s="20">
        <f t="shared" si="5"/>
        <v>0</v>
      </c>
      <c r="AC13" s="3">
        <f t="shared" si="6"/>
        <v>0</v>
      </c>
      <c r="AD13" s="3">
        <f t="shared" si="7"/>
        <v>0</v>
      </c>
      <c r="AE13" s="3">
        <f t="shared" si="8"/>
        <v>0</v>
      </c>
      <c r="AF13" s="3">
        <f t="shared" si="9"/>
        <v>0</v>
      </c>
      <c r="AG13" s="3">
        <f t="shared" si="10"/>
        <v>0</v>
      </c>
      <c r="AH13" s="3">
        <f t="shared" si="11"/>
        <v>0</v>
      </c>
      <c r="AI13" s="3">
        <f t="shared" si="12"/>
        <v>0</v>
      </c>
      <c r="AJ13" s="3">
        <f t="shared" si="13"/>
        <v>0</v>
      </c>
      <c r="AK13" s="3">
        <f t="shared" si="14"/>
        <v>0</v>
      </c>
      <c r="AL13" s="3">
        <f t="shared" si="15"/>
        <v>0</v>
      </c>
      <c r="AM13" s="3">
        <f t="shared" si="16"/>
        <v>0</v>
      </c>
      <c r="AN13" s="3">
        <f t="shared" si="17"/>
        <v>0</v>
      </c>
      <c r="AO13" s="3">
        <f t="shared" si="18"/>
        <v>0</v>
      </c>
      <c r="AP13" s="3">
        <f t="shared" si="19"/>
        <v>0</v>
      </c>
      <c r="AQ13" s="3">
        <f t="shared" si="20"/>
        <v>0</v>
      </c>
      <c r="AR13" s="3">
        <f t="shared" si="21"/>
        <v>0</v>
      </c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M13" s="35"/>
      <c r="BO13" s="35"/>
      <c r="BQ13" s="43"/>
      <c r="BR13" s="20">
        <f t="shared" si="22"/>
        <v>3</v>
      </c>
      <c r="BS13" s="39">
        <f t="shared" si="23"/>
        <v>43166</v>
      </c>
      <c r="BT13" s="40">
        <f t="shared" si="24"/>
        <v>43285</v>
      </c>
      <c r="BU13" s="41">
        <f t="shared" si="25"/>
        <v>4</v>
      </c>
      <c r="BV13" t="s">
        <v>13</v>
      </c>
    </row>
    <row r="14" spans="2:74" ht="15">
      <c r="B14" s="16">
        <f t="shared" si="26"/>
        <v>43171</v>
      </c>
      <c r="C14" s="15" t="s">
        <v>1</v>
      </c>
      <c r="D14" s="17">
        <f t="shared" si="27"/>
        <v>43177</v>
      </c>
      <c r="E14" s="18">
        <f t="shared" si="28"/>
        <v>3</v>
      </c>
      <c r="F14" s="19">
        <f t="shared" si="29"/>
        <v>2018</v>
      </c>
      <c r="G14" s="14">
        <f t="shared" si="30"/>
        <v>17</v>
      </c>
      <c r="H14" s="8">
        <f t="shared" si="30"/>
        <v>96</v>
      </c>
      <c r="I14" s="9"/>
      <c r="J14" s="9"/>
      <c r="K14" s="9"/>
      <c r="L14" s="9"/>
      <c r="M14" s="9"/>
      <c r="N14" s="9"/>
      <c r="O14" s="12"/>
      <c r="P14" s="12"/>
      <c r="Q14" s="12"/>
      <c r="R14" s="12"/>
      <c r="S14" s="12"/>
      <c r="T14" s="12"/>
      <c r="V14" s="20">
        <f t="shared" si="0"/>
        <v>0</v>
      </c>
      <c r="W14" s="20">
        <f t="shared" si="1"/>
        <v>0</v>
      </c>
      <c r="X14" s="20">
        <f t="shared" si="2"/>
        <v>1</v>
      </c>
      <c r="Y14" s="20">
        <f t="shared" si="3"/>
        <v>0</v>
      </c>
      <c r="Z14" s="20">
        <f t="shared" si="4"/>
        <v>0</v>
      </c>
      <c r="AA14" s="20">
        <f t="shared" si="5"/>
        <v>0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</v>
      </c>
      <c r="AM14" s="3">
        <f t="shared" si="16"/>
        <v>0</v>
      </c>
      <c r="AN14" s="3">
        <f t="shared" si="17"/>
        <v>0</v>
      </c>
      <c r="AO14" s="3">
        <f t="shared" si="18"/>
        <v>0</v>
      </c>
      <c r="AP14" s="3">
        <f t="shared" si="19"/>
        <v>0</v>
      </c>
      <c r="AQ14" s="3">
        <f t="shared" si="20"/>
        <v>0</v>
      </c>
      <c r="AR14" s="3">
        <f t="shared" si="21"/>
        <v>0</v>
      </c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M14" s="35"/>
      <c r="BO14" s="35"/>
      <c r="BQ14" s="43"/>
      <c r="BR14" s="20" t="str">
        <f t="shared" si="22"/>
        <v/>
      </c>
      <c r="BS14" s="39" t="str">
        <f t="shared" si="23"/>
        <v/>
      </c>
      <c r="BT14" s="40" t="str">
        <f t="shared" si="24"/>
        <v/>
      </c>
      <c r="BU14" s="41" t="str">
        <f t="shared" si="25"/>
        <v/>
      </c>
    </row>
    <row r="15" spans="2:74" ht="15">
      <c r="B15" s="16">
        <f t="shared" si="26"/>
        <v>43178</v>
      </c>
      <c r="C15" s="15" t="s">
        <v>1</v>
      </c>
      <c r="D15" s="17">
        <f t="shared" si="27"/>
        <v>43184</v>
      </c>
      <c r="E15" s="18">
        <f t="shared" si="28"/>
        <v>3</v>
      </c>
      <c r="F15" s="19">
        <f t="shared" si="29"/>
        <v>2018</v>
      </c>
      <c r="G15" s="14">
        <f t="shared" si="30"/>
        <v>17</v>
      </c>
      <c r="H15" s="8">
        <f t="shared" si="30"/>
        <v>96</v>
      </c>
      <c r="I15" s="9"/>
      <c r="J15" s="9"/>
      <c r="K15" s="9"/>
      <c r="L15" s="9"/>
      <c r="M15" s="9"/>
      <c r="N15" s="9"/>
      <c r="O15" s="12"/>
      <c r="P15" s="12"/>
      <c r="Q15" s="12"/>
      <c r="R15" s="12"/>
      <c r="S15" s="12"/>
      <c r="T15" s="12"/>
      <c r="V15" s="20">
        <f t="shared" si="0"/>
        <v>0</v>
      </c>
      <c r="W15" s="20">
        <f t="shared" si="1"/>
        <v>0</v>
      </c>
      <c r="X15" s="20">
        <f t="shared" si="2"/>
        <v>2</v>
      </c>
      <c r="Y15" s="20">
        <f t="shared" si="3"/>
        <v>0</v>
      </c>
      <c r="Z15" s="20">
        <f t="shared" si="4"/>
        <v>0</v>
      </c>
      <c r="AA15" s="20">
        <f t="shared" si="5"/>
        <v>0</v>
      </c>
      <c r="AC15" s="3">
        <f t="shared" si="6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</v>
      </c>
      <c r="AM15" s="3">
        <f t="shared" si="16"/>
        <v>0</v>
      </c>
      <c r="AN15" s="3">
        <f t="shared" si="17"/>
        <v>0</v>
      </c>
      <c r="AO15" s="3">
        <f t="shared" si="18"/>
        <v>0</v>
      </c>
      <c r="AP15" s="3">
        <f t="shared" si="19"/>
        <v>0</v>
      </c>
      <c r="AQ15" s="3">
        <f t="shared" si="20"/>
        <v>0</v>
      </c>
      <c r="AR15" s="3">
        <f t="shared" si="21"/>
        <v>0</v>
      </c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M15" s="35"/>
      <c r="BO15" s="35"/>
      <c r="BQ15" s="43"/>
      <c r="BR15" s="20" t="str">
        <f t="shared" si="22"/>
        <v/>
      </c>
      <c r="BS15" s="39" t="str">
        <f t="shared" si="23"/>
        <v/>
      </c>
      <c r="BT15" s="40" t="str">
        <f t="shared" si="24"/>
        <v/>
      </c>
      <c r="BU15" s="41" t="str">
        <f t="shared" si="25"/>
        <v/>
      </c>
    </row>
    <row r="16" spans="2:74" ht="15">
      <c r="B16" s="16">
        <f t="shared" si="26"/>
        <v>43185</v>
      </c>
      <c r="C16" s="15" t="s">
        <v>1</v>
      </c>
      <c r="D16" s="17">
        <f t="shared" si="27"/>
        <v>43191</v>
      </c>
      <c r="E16" s="18">
        <f t="shared" si="28"/>
        <v>3</v>
      </c>
      <c r="F16" s="19">
        <f t="shared" si="29"/>
        <v>2018</v>
      </c>
      <c r="G16" s="14">
        <f t="shared" si="30"/>
        <v>17</v>
      </c>
      <c r="H16" s="8">
        <f t="shared" si="30"/>
        <v>96</v>
      </c>
      <c r="I16" s="9"/>
      <c r="J16" s="9"/>
      <c r="K16" s="9"/>
      <c r="L16" s="9"/>
      <c r="M16" s="9"/>
      <c r="N16" s="9"/>
      <c r="O16" s="12"/>
      <c r="P16" s="12"/>
      <c r="Q16" s="12"/>
      <c r="R16" s="12"/>
      <c r="S16" s="12"/>
      <c r="T16" s="12"/>
      <c r="V16" s="20">
        <f t="shared" si="0"/>
        <v>0</v>
      </c>
      <c r="W16" s="20">
        <f t="shared" si="1"/>
        <v>0</v>
      </c>
      <c r="X16" s="20">
        <f t="shared" si="2"/>
        <v>3</v>
      </c>
      <c r="Y16" s="20">
        <f t="shared" si="3"/>
        <v>0</v>
      </c>
      <c r="Z16" s="20">
        <f t="shared" si="4"/>
        <v>0</v>
      </c>
      <c r="AA16" s="20">
        <f t="shared" si="5"/>
        <v>0</v>
      </c>
      <c r="AC16" s="3">
        <f t="shared" si="6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</v>
      </c>
      <c r="AM16" s="3">
        <f t="shared" si="16"/>
        <v>0</v>
      </c>
      <c r="AN16" s="3">
        <f t="shared" si="17"/>
        <v>0</v>
      </c>
      <c r="AO16" s="3">
        <f t="shared" si="18"/>
        <v>0</v>
      </c>
      <c r="AP16" s="3">
        <f t="shared" si="19"/>
        <v>0</v>
      </c>
      <c r="AQ16" s="3">
        <f t="shared" si="20"/>
        <v>0</v>
      </c>
      <c r="AR16" s="3">
        <f t="shared" si="21"/>
        <v>0</v>
      </c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M16" s="35"/>
      <c r="BO16" s="35"/>
      <c r="BQ16" s="43"/>
      <c r="BR16" s="20" t="str">
        <f t="shared" si="22"/>
        <v/>
      </c>
      <c r="BS16" s="39" t="str">
        <f t="shared" si="23"/>
        <v/>
      </c>
      <c r="BT16" s="40" t="str">
        <f t="shared" si="24"/>
        <v/>
      </c>
      <c r="BU16" s="41">
        <f t="shared" si="25"/>
        <v>5</v>
      </c>
    </row>
    <row r="17" spans="2:74" ht="15">
      <c r="B17" s="16">
        <f t="shared" si="26"/>
        <v>43192</v>
      </c>
      <c r="C17" s="15" t="s">
        <v>1</v>
      </c>
      <c r="D17" s="17">
        <f t="shared" si="27"/>
        <v>43198</v>
      </c>
      <c r="E17" s="18">
        <f t="shared" si="28"/>
        <v>4</v>
      </c>
      <c r="F17" s="19">
        <f t="shared" si="29"/>
        <v>2018</v>
      </c>
      <c r="G17" s="9">
        <f t="shared" si="30"/>
        <v>17</v>
      </c>
      <c r="H17" s="8">
        <f t="shared" si="30"/>
        <v>96</v>
      </c>
      <c r="I17" s="9"/>
      <c r="J17" s="9"/>
      <c r="K17" s="9"/>
      <c r="L17" s="9"/>
      <c r="M17" s="9"/>
      <c r="N17" s="9"/>
      <c r="O17" s="12"/>
      <c r="P17" s="12"/>
      <c r="Q17" s="12"/>
      <c r="R17" s="12"/>
      <c r="S17" s="12"/>
      <c r="T17" s="12"/>
      <c r="V17" s="20">
        <f t="shared" si="0"/>
        <v>0</v>
      </c>
      <c r="W17" s="20">
        <f t="shared" si="1"/>
        <v>0</v>
      </c>
      <c r="X17" s="20">
        <f t="shared" si="2"/>
        <v>4</v>
      </c>
      <c r="Y17" s="20">
        <f t="shared" si="3"/>
        <v>0</v>
      </c>
      <c r="Z17" s="20">
        <f t="shared" si="4"/>
        <v>0</v>
      </c>
      <c r="AA17" s="20">
        <f t="shared" si="5"/>
        <v>0</v>
      </c>
      <c r="AC17" s="3">
        <f t="shared" si="6"/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</v>
      </c>
      <c r="AM17" s="3">
        <f t="shared" si="16"/>
        <v>0</v>
      </c>
      <c r="AN17" s="3">
        <f t="shared" si="17"/>
        <v>0</v>
      </c>
      <c r="AO17" s="3">
        <f t="shared" si="18"/>
        <v>0</v>
      </c>
      <c r="AP17" s="3">
        <f t="shared" si="19"/>
        <v>0</v>
      </c>
      <c r="AQ17" s="3">
        <f t="shared" si="20"/>
        <v>0</v>
      </c>
      <c r="AR17" s="3">
        <f t="shared" si="21"/>
        <v>0</v>
      </c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M17" s="35"/>
      <c r="BO17" s="35"/>
      <c r="BQ17" s="43"/>
      <c r="BR17" s="20" t="str">
        <f t="shared" si="22"/>
        <v/>
      </c>
      <c r="BS17" s="39" t="str">
        <f t="shared" si="23"/>
        <v/>
      </c>
      <c r="BT17" s="40" t="str">
        <f t="shared" si="24"/>
        <v/>
      </c>
      <c r="BU17" s="41">
        <f t="shared" si="25"/>
        <v>9</v>
      </c>
    </row>
    <row r="18" spans="2:74" ht="15">
      <c r="B18" s="16">
        <f t="shared" si="26"/>
        <v>43199</v>
      </c>
      <c r="C18" s="15" t="s">
        <v>1</v>
      </c>
      <c r="D18" s="17">
        <f t="shared" si="27"/>
        <v>43205</v>
      </c>
      <c r="E18" s="18">
        <f t="shared" si="28"/>
        <v>4</v>
      </c>
      <c r="F18" s="19">
        <f t="shared" si="29"/>
        <v>2018</v>
      </c>
      <c r="G18" s="9">
        <f t="shared" si="30"/>
        <v>17</v>
      </c>
      <c r="H18" s="8">
        <f t="shared" si="30"/>
        <v>96</v>
      </c>
      <c r="I18" s="9"/>
      <c r="J18" s="9"/>
      <c r="K18" s="9"/>
      <c r="L18" s="9"/>
      <c r="M18" s="9"/>
      <c r="N18" s="9"/>
      <c r="O18" s="12"/>
      <c r="P18" s="12"/>
      <c r="Q18" s="12"/>
      <c r="R18" s="12"/>
      <c r="S18" s="12"/>
      <c r="T18" s="12"/>
      <c r="V18" s="20">
        <f t="shared" si="0"/>
        <v>0</v>
      </c>
      <c r="W18" s="20">
        <f t="shared" si="1"/>
        <v>0</v>
      </c>
      <c r="X18" s="20">
        <f t="shared" si="2"/>
        <v>5</v>
      </c>
      <c r="Y18" s="20">
        <f t="shared" si="3"/>
        <v>0</v>
      </c>
      <c r="Z18" s="20">
        <f t="shared" si="4"/>
        <v>0</v>
      </c>
      <c r="AA18" s="20">
        <f t="shared" si="5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</v>
      </c>
      <c r="AM18" s="3">
        <f t="shared" si="16"/>
        <v>0</v>
      </c>
      <c r="AN18" s="3">
        <f t="shared" si="17"/>
        <v>0</v>
      </c>
      <c r="AO18" s="3">
        <f t="shared" si="18"/>
        <v>0</v>
      </c>
      <c r="AP18" s="3">
        <f t="shared" si="19"/>
        <v>0</v>
      </c>
      <c r="AQ18" s="3">
        <f t="shared" si="20"/>
        <v>0</v>
      </c>
      <c r="AR18" s="3">
        <f t="shared" si="21"/>
        <v>0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M18" s="35"/>
      <c r="BO18" s="35"/>
      <c r="BQ18" s="43"/>
      <c r="BR18" s="20" t="str">
        <f t="shared" si="22"/>
        <v/>
      </c>
      <c r="BS18" s="39" t="str">
        <f t="shared" si="23"/>
        <v/>
      </c>
      <c r="BT18" s="40" t="str">
        <f t="shared" si="24"/>
        <v/>
      </c>
      <c r="BU18" s="41" t="str">
        <f t="shared" si="25"/>
        <v/>
      </c>
    </row>
    <row r="19" spans="2:74" ht="15">
      <c r="B19" s="16">
        <f t="shared" si="26"/>
        <v>43206</v>
      </c>
      <c r="C19" s="15" t="s">
        <v>1</v>
      </c>
      <c r="D19" s="17">
        <f t="shared" si="27"/>
        <v>43212</v>
      </c>
      <c r="E19" s="18">
        <f t="shared" si="28"/>
        <v>4</v>
      </c>
      <c r="F19" s="19">
        <f t="shared" si="29"/>
        <v>2018</v>
      </c>
      <c r="G19" s="9">
        <f t="shared" si="30"/>
        <v>17</v>
      </c>
      <c r="H19" s="8">
        <f t="shared" si="30"/>
        <v>96</v>
      </c>
      <c r="I19" s="9"/>
      <c r="J19" s="9"/>
      <c r="K19" s="9"/>
      <c r="L19" s="9"/>
      <c r="M19" s="9"/>
      <c r="N19" s="9"/>
      <c r="O19" s="12">
        <v>1</v>
      </c>
      <c r="P19" s="12">
        <v>1</v>
      </c>
      <c r="Q19" s="12"/>
      <c r="R19" s="12"/>
      <c r="S19" s="12"/>
      <c r="T19" s="12"/>
      <c r="V19" s="20">
        <f t="shared" si="0"/>
        <v>43208</v>
      </c>
      <c r="W19" s="20">
        <f t="shared" si="1"/>
        <v>43208</v>
      </c>
      <c r="X19" s="20">
        <f t="shared" si="2"/>
        <v>6</v>
      </c>
      <c r="Y19" s="20">
        <f t="shared" si="3"/>
        <v>0</v>
      </c>
      <c r="Z19" s="20">
        <f t="shared" si="4"/>
        <v>0</v>
      </c>
      <c r="AA19" s="20">
        <f t="shared" si="5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</v>
      </c>
      <c r="AM19" s="3">
        <f t="shared" si="16"/>
        <v>0</v>
      </c>
      <c r="AN19" s="3">
        <f t="shared" si="17"/>
        <v>0</v>
      </c>
      <c r="AO19" s="3">
        <f t="shared" si="18"/>
        <v>0</v>
      </c>
      <c r="AP19" s="3">
        <f t="shared" si="19"/>
        <v>0</v>
      </c>
      <c r="AQ19" s="3">
        <f t="shared" si="20"/>
        <v>0</v>
      </c>
      <c r="AR19" s="3">
        <f t="shared" si="21"/>
        <v>0</v>
      </c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M19" s="35"/>
      <c r="BO19" s="35"/>
      <c r="BQ19" s="43"/>
      <c r="BR19" s="20">
        <f t="shared" si="22"/>
        <v>1</v>
      </c>
      <c r="BS19" s="39">
        <f t="shared" si="23"/>
        <v>43208</v>
      </c>
      <c r="BT19" s="40">
        <f t="shared" si="24"/>
        <v>43327</v>
      </c>
      <c r="BU19" s="41">
        <f t="shared" si="25"/>
        <v>15</v>
      </c>
      <c r="BV19" t="s">
        <v>13</v>
      </c>
    </row>
    <row r="20" spans="2:74" ht="15">
      <c r="B20" s="16">
        <f t="shared" si="26"/>
        <v>43213</v>
      </c>
      <c r="C20" s="15" t="s">
        <v>1</v>
      </c>
      <c r="D20" s="17">
        <f t="shared" si="27"/>
        <v>43219</v>
      </c>
      <c r="E20" s="18">
        <f t="shared" si="28"/>
        <v>4</v>
      </c>
      <c r="F20" s="19">
        <f t="shared" si="29"/>
        <v>2018</v>
      </c>
      <c r="G20" s="9">
        <f t="shared" si="30"/>
        <v>17</v>
      </c>
      <c r="H20" s="8">
        <f t="shared" si="30"/>
        <v>96</v>
      </c>
      <c r="I20" s="9"/>
      <c r="J20" s="9"/>
      <c r="K20" s="9"/>
      <c r="L20" s="9"/>
      <c r="M20" s="9"/>
      <c r="N20" s="9"/>
      <c r="O20" s="12"/>
      <c r="P20" s="12"/>
      <c r="Q20" s="12"/>
      <c r="R20" s="12"/>
      <c r="S20" s="12"/>
      <c r="T20" s="12"/>
      <c r="V20" s="20">
        <f t="shared" si="0"/>
        <v>1</v>
      </c>
      <c r="W20" s="20">
        <f t="shared" si="1"/>
        <v>1</v>
      </c>
      <c r="X20" s="20">
        <f t="shared" si="2"/>
        <v>7</v>
      </c>
      <c r="Y20" s="20">
        <f t="shared" si="3"/>
        <v>0</v>
      </c>
      <c r="Z20" s="20">
        <f t="shared" si="4"/>
        <v>0</v>
      </c>
      <c r="AA20" s="20">
        <f t="shared" si="5"/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</v>
      </c>
      <c r="AM20" s="3">
        <f t="shared" si="16"/>
        <v>0</v>
      </c>
      <c r="AN20" s="3">
        <f t="shared" si="17"/>
        <v>0</v>
      </c>
      <c r="AO20" s="3">
        <f t="shared" si="18"/>
        <v>0</v>
      </c>
      <c r="AP20" s="3">
        <f t="shared" si="19"/>
        <v>0</v>
      </c>
      <c r="AQ20" s="3">
        <f t="shared" si="20"/>
        <v>0</v>
      </c>
      <c r="AR20" s="3">
        <f t="shared" si="21"/>
        <v>0</v>
      </c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M20" s="35"/>
      <c r="BO20" s="35"/>
      <c r="BR20" s="9" t="str">
        <f t="shared" si="22"/>
        <v/>
      </c>
      <c r="BS20" s="37" t="str">
        <f t="shared" si="23"/>
        <v/>
      </c>
      <c r="BT20" s="38" t="str">
        <f t="shared" si="24"/>
        <v/>
      </c>
      <c r="BU20" s="36" t="str">
        <f t="shared" si="25"/>
        <v/>
      </c>
    </row>
    <row r="21" spans="2:74" ht="15">
      <c r="B21" s="16">
        <f t="shared" si="26"/>
        <v>43220</v>
      </c>
      <c r="C21" s="15" t="s">
        <v>1</v>
      </c>
      <c r="D21" s="17">
        <f t="shared" si="27"/>
        <v>43226</v>
      </c>
      <c r="E21" s="18">
        <f t="shared" si="28"/>
        <v>4</v>
      </c>
      <c r="F21" s="19">
        <f t="shared" si="29"/>
        <v>2018</v>
      </c>
      <c r="G21" s="9">
        <f t="shared" si="30"/>
        <v>17</v>
      </c>
      <c r="H21" s="8">
        <f t="shared" si="30"/>
        <v>96</v>
      </c>
      <c r="I21" s="9"/>
      <c r="J21" s="9"/>
      <c r="K21" s="9"/>
      <c r="L21" s="9"/>
      <c r="M21" s="9"/>
      <c r="N21" s="9"/>
      <c r="O21" s="12"/>
      <c r="P21" s="12"/>
      <c r="Q21" s="12"/>
      <c r="R21" s="12"/>
      <c r="S21" s="12"/>
      <c r="T21" s="12"/>
      <c r="V21" s="20">
        <f t="shared" si="0"/>
        <v>2</v>
      </c>
      <c r="W21" s="20">
        <f t="shared" si="1"/>
        <v>2</v>
      </c>
      <c r="X21" s="20">
        <f t="shared" si="2"/>
        <v>8</v>
      </c>
      <c r="Y21" s="20">
        <f t="shared" si="3"/>
        <v>0</v>
      </c>
      <c r="Z21" s="20">
        <f t="shared" si="4"/>
        <v>0</v>
      </c>
      <c r="AA21" s="20">
        <f t="shared" si="5"/>
        <v>0</v>
      </c>
      <c r="AC21" s="3">
        <f t="shared" si="6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0</v>
      </c>
      <c r="AM21" s="3">
        <f t="shared" si="16"/>
        <v>0</v>
      </c>
      <c r="AN21" s="3">
        <f t="shared" si="17"/>
        <v>0</v>
      </c>
      <c r="AO21" s="3">
        <f t="shared" si="18"/>
        <v>0</v>
      </c>
      <c r="AP21" s="3">
        <f t="shared" si="19"/>
        <v>0</v>
      </c>
      <c r="AQ21" s="3">
        <f t="shared" si="20"/>
        <v>0</v>
      </c>
      <c r="AR21" s="3">
        <f t="shared" si="21"/>
        <v>0</v>
      </c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M21" s="35"/>
      <c r="BO21" s="35"/>
      <c r="BR21" s="9" t="str">
        <f t="shared" si="22"/>
        <v/>
      </c>
      <c r="BS21" s="37" t="str">
        <f t="shared" si="23"/>
        <v/>
      </c>
      <c r="BT21" s="38" t="str">
        <f t="shared" si="24"/>
        <v/>
      </c>
      <c r="BU21" s="36" t="str">
        <f t="shared" si="25"/>
        <v/>
      </c>
    </row>
    <row r="22" spans="2:74" ht="15">
      <c r="B22" s="16">
        <f t="shared" si="26"/>
        <v>43227</v>
      </c>
      <c r="C22" s="15" t="s">
        <v>1</v>
      </c>
      <c r="D22" s="17">
        <f t="shared" si="27"/>
        <v>43233</v>
      </c>
      <c r="E22" s="18">
        <f t="shared" si="28"/>
        <v>5</v>
      </c>
      <c r="F22" s="19">
        <f t="shared" si="29"/>
        <v>2018</v>
      </c>
      <c r="G22" s="9">
        <f t="shared" ref="G22:H37" si="31">G21</f>
        <v>17</v>
      </c>
      <c r="H22" s="8">
        <f t="shared" si="31"/>
        <v>96</v>
      </c>
      <c r="I22" s="9"/>
      <c r="J22" s="9"/>
      <c r="K22" s="9"/>
      <c r="L22" s="9"/>
      <c r="M22" s="9"/>
      <c r="N22" s="9"/>
      <c r="O22" s="12"/>
      <c r="P22" s="12"/>
      <c r="Q22" s="12"/>
      <c r="R22" s="12"/>
      <c r="S22" s="12"/>
      <c r="T22" s="12"/>
      <c r="V22" s="20">
        <f t="shared" si="0"/>
        <v>3</v>
      </c>
      <c r="W22" s="20">
        <f t="shared" si="1"/>
        <v>3</v>
      </c>
      <c r="X22" s="20">
        <f t="shared" si="2"/>
        <v>9</v>
      </c>
      <c r="Y22" s="20">
        <f t="shared" si="3"/>
        <v>0</v>
      </c>
      <c r="Z22" s="20">
        <f t="shared" si="4"/>
        <v>0</v>
      </c>
      <c r="AA22" s="20">
        <f t="shared" si="5"/>
        <v>0</v>
      </c>
      <c r="AC22" s="3">
        <f t="shared" si="6"/>
        <v>0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</v>
      </c>
      <c r="AM22" s="3">
        <f t="shared" si="16"/>
        <v>0</v>
      </c>
      <c r="AN22" s="3">
        <f t="shared" si="17"/>
        <v>0</v>
      </c>
      <c r="AO22" s="3">
        <f t="shared" si="18"/>
        <v>0</v>
      </c>
      <c r="AP22" s="3">
        <f t="shared" si="19"/>
        <v>0</v>
      </c>
      <c r="AQ22" s="3">
        <f t="shared" si="20"/>
        <v>0</v>
      </c>
      <c r="AR22" s="3">
        <f t="shared" si="21"/>
        <v>0</v>
      </c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M22" s="35"/>
      <c r="BO22" s="35"/>
      <c r="BR22" s="9" t="str">
        <f t="shared" si="22"/>
        <v/>
      </c>
      <c r="BS22" s="37" t="str">
        <f t="shared" si="23"/>
        <v/>
      </c>
      <c r="BT22" s="38" t="str">
        <f t="shared" si="24"/>
        <v/>
      </c>
      <c r="BU22" s="36" t="str">
        <f t="shared" si="25"/>
        <v/>
      </c>
    </row>
    <row r="23" spans="2:74" ht="15">
      <c r="B23" s="16">
        <f t="shared" si="26"/>
        <v>43234</v>
      </c>
      <c r="C23" s="15" t="s">
        <v>1</v>
      </c>
      <c r="D23" s="17">
        <f t="shared" si="27"/>
        <v>43240</v>
      </c>
      <c r="E23" s="18">
        <f t="shared" si="28"/>
        <v>5</v>
      </c>
      <c r="F23" s="19">
        <f t="shared" si="29"/>
        <v>2018</v>
      </c>
      <c r="G23" s="9">
        <f t="shared" si="31"/>
        <v>17</v>
      </c>
      <c r="H23" s="8">
        <f t="shared" si="31"/>
        <v>96</v>
      </c>
      <c r="I23" s="9"/>
      <c r="J23" s="9"/>
      <c r="K23" s="9"/>
      <c r="L23" s="9"/>
      <c r="M23" s="9"/>
      <c r="N23" s="9"/>
      <c r="O23" s="12"/>
      <c r="P23" s="12"/>
      <c r="Q23" s="12"/>
      <c r="R23" s="12"/>
      <c r="S23" s="12"/>
      <c r="T23" s="12"/>
      <c r="V23" s="20">
        <f t="shared" si="0"/>
        <v>4</v>
      </c>
      <c r="W23" s="20">
        <f t="shared" si="1"/>
        <v>4</v>
      </c>
      <c r="X23" s="20">
        <f t="shared" si="2"/>
        <v>10</v>
      </c>
      <c r="Y23" s="20">
        <f t="shared" si="3"/>
        <v>0</v>
      </c>
      <c r="Z23" s="20">
        <f t="shared" si="4"/>
        <v>0</v>
      </c>
      <c r="AA23" s="20">
        <f t="shared" si="5"/>
        <v>0</v>
      </c>
      <c r="AC23" s="3">
        <f t="shared" si="6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 t="shared" si="12"/>
        <v>0</v>
      </c>
      <c r="AJ23" s="3">
        <f t="shared" si="13"/>
        <v>0</v>
      </c>
      <c r="AK23" s="3">
        <f t="shared" si="14"/>
        <v>0</v>
      </c>
      <c r="AL23" s="3">
        <f t="shared" si="15"/>
        <v>0</v>
      </c>
      <c r="AM23" s="3">
        <f t="shared" si="16"/>
        <v>0</v>
      </c>
      <c r="AN23" s="3">
        <f t="shared" si="17"/>
        <v>0</v>
      </c>
      <c r="AO23" s="3">
        <f t="shared" si="18"/>
        <v>0</v>
      </c>
      <c r="AP23" s="3">
        <f t="shared" si="19"/>
        <v>0</v>
      </c>
      <c r="AQ23" s="3">
        <f t="shared" si="20"/>
        <v>0</v>
      </c>
      <c r="AR23" s="3">
        <f t="shared" si="21"/>
        <v>0</v>
      </c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M23" s="35"/>
      <c r="BO23" s="35"/>
      <c r="BR23" s="9" t="str">
        <f t="shared" si="22"/>
        <v/>
      </c>
      <c r="BS23" s="37" t="str">
        <f t="shared" si="23"/>
        <v/>
      </c>
      <c r="BT23" s="38" t="str">
        <f t="shared" si="24"/>
        <v/>
      </c>
      <c r="BU23" s="36" t="str">
        <f t="shared" si="25"/>
        <v/>
      </c>
    </row>
    <row r="24" spans="2:74" ht="15">
      <c r="B24" s="16">
        <f t="shared" si="26"/>
        <v>43241</v>
      </c>
      <c r="C24" s="15" t="s">
        <v>1</v>
      </c>
      <c r="D24" s="17">
        <f t="shared" si="27"/>
        <v>43247</v>
      </c>
      <c r="E24" s="18">
        <f t="shared" si="28"/>
        <v>5</v>
      </c>
      <c r="F24" s="19">
        <f t="shared" si="29"/>
        <v>2018</v>
      </c>
      <c r="G24" s="9">
        <f t="shared" si="31"/>
        <v>17</v>
      </c>
      <c r="H24" s="8">
        <f t="shared" si="31"/>
        <v>96</v>
      </c>
      <c r="I24" s="9"/>
      <c r="J24" s="9"/>
      <c r="K24" s="9"/>
      <c r="L24" s="9"/>
      <c r="M24" s="9"/>
      <c r="N24" s="9"/>
      <c r="O24" s="12"/>
      <c r="P24" s="12"/>
      <c r="Q24" s="12"/>
      <c r="R24" s="12"/>
      <c r="S24" s="12"/>
      <c r="T24" s="12"/>
      <c r="V24" s="20">
        <f t="shared" si="0"/>
        <v>5</v>
      </c>
      <c r="W24" s="20">
        <f t="shared" si="1"/>
        <v>5</v>
      </c>
      <c r="X24" s="20">
        <f t="shared" si="2"/>
        <v>11</v>
      </c>
      <c r="Y24" s="20">
        <f t="shared" si="3"/>
        <v>0</v>
      </c>
      <c r="Z24" s="20">
        <f t="shared" si="4"/>
        <v>0</v>
      </c>
      <c r="AA24" s="20">
        <f t="shared" si="5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 t="shared" si="13"/>
        <v>0</v>
      </c>
      <c r="AK24" s="3">
        <f t="shared" si="14"/>
        <v>0</v>
      </c>
      <c r="AL24" s="3">
        <f t="shared" si="15"/>
        <v>0</v>
      </c>
      <c r="AM24" s="3">
        <f t="shared" si="16"/>
        <v>0</v>
      </c>
      <c r="AN24" s="3">
        <f t="shared" si="17"/>
        <v>0</v>
      </c>
      <c r="AO24" s="3">
        <f t="shared" si="18"/>
        <v>0</v>
      </c>
      <c r="AP24" s="3">
        <f t="shared" si="19"/>
        <v>0</v>
      </c>
      <c r="AQ24" s="3">
        <f t="shared" si="20"/>
        <v>0</v>
      </c>
      <c r="AR24" s="3">
        <f t="shared" si="21"/>
        <v>0</v>
      </c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M24" s="35"/>
      <c r="BO24" s="35"/>
      <c r="BR24" s="9" t="str">
        <f t="shared" si="22"/>
        <v/>
      </c>
      <c r="BS24" s="37" t="str">
        <f t="shared" si="23"/>
        <v/>
      </c>
      <c r="BT24" s="38" t="str">
        <f t="shared" si="24"/>
        <v/>
      </c>
      <c r="BU24" s="36" t="str">
        <f t="shared" si="25"/>
        <v/>
      </c>
    </row>
    <row r="25" spans="2:74" ht="15">
      <c r="B25" s="16">
        <f t="shared" si="26"/>
        <v>43248</v>
      </c>
      <c r="C25" s="15" t="s">
        <v>1</v>
      </c>
      <c r="D25" s="17">
        <f t="shared" si="27"/>
        <v>43254</v>
      </c>
      <c r="E25" s="18">
        <f t="shared" si="28"/>
        <v>5</v>
      </c>
      <c r="F25" s="19">
        <f t="shared" si="29"/>
        <v>2018</v>
      </c>
      <c r="G25" s="9">
        <f t="shared" si="31"/>
        <v>17</v>
      </c>
      <c r="H25" s="8">
        <f t="shared" si="31"/>
        <v>96</v>
      </c>
      <c r="I25" s="9"/>
      <c r="J25" s="9"/>
      <c r="K25" s="9"/>
      <c r="L25" s="9"/>
      <c r="M25" s="9"/>
      <c r="N25" s="9"/>
      <c r="O25" s="12"/>
      <c r="P25" s="12"/>
      <c r="Q25" s="12"/>
      <c r="R25" s="12"/>
      <c r="S25" s="12"/>
      <c r="T25" s="12"/>
      <c r="V25" s="20">
        <f t="shared" si="0"/>
        <v>6</v>
      </c>
      <c r="W25" s="20">
        <f t="shared" si="1"/>
        <v>6</v>
      </c>
      <c r="X25" s="20">
        <f t="shared" si="2"/>
        <v>12</v>
      </c>
      <c r="Y25" s="20">
        <f t="shared" si="3"/>
        <v>0</v>
      </c>
      <c r="Z25" s="20">
        <f t="shared" si="4"/>
        <v>0</v>
      </c>
      <c r="AA25" s="20">
        <f t="shared" si="5"/>
        <v>0</v>
      </c>
      <c r="AC25" s="3">
        <f t="shared" si="6"/>
        <v>0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 t="shared" si="14"/>
        <v>0</v>
      </c>
      <c r="AL25" s="3">
        <f t="shared" si="15"/>
        <v>0</v>
      </c>
      <c r="AM25" s="3">
        <f t="shared" si="16"/>
        <v>0</v>
      </c>
      <c r="AN25" s="3">
        <f t="shared" si="17"/>
        <v>0</v>
      </c>
      <c r="AO25" s="3">
        <f t="shared" si="18"/>
        <v>0</v>
      </c>
      <c r="AP25" s="3">
        <f t="shared" si="19"/>
        <v>0</v>
      </c>
      <c r="AQ25" s="3">
        <f t="shared" si="20"/>
        <v>0</v>
      </c>
      <c r="AR25" s="3">
        <f t="shared" si="21"/>
        <v>0</v>
      </c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M25" s="35"/>
      <c r="BO25" s="35"/>
      <c r="BR25" s="9" t="str">
        <f t="shared" si="22"/>
        <v/>
      </c>
      <c r="BS25" s="37" t="str">
        <f t="shared" si="23"/>
        <v/>
      </c>
      <c r="BT25" s="38" t="str">
        <f t="shared" si="24"/>
        <v/>
      </c>
      <c r="BU25" s="36" t="str">
        <f t="shared" si="25"/>
        <v/>
      </c>
    </row>
    <row r="26" spans="2:74" ht="15">
      <c r="B26" s="16">
        <f t="shared" si="26"/>
        <v>43255</v>
      </c>
      <c r="C26" s="15" t="s">
        <v>1</v>
      </c>
      <c r="D26" s="17">
        <f t="shared" si="27"/>
        <v>43261</v>
      </c>
      <c r="E26" s="18">
        <f t="shared" si="28"/>
        <v>6</v>
      </c>
      <c r="F26" s="19">
        <f t="shared" si="29"/>
        <v>2018</v>
      </c>
      <c r="G26" s="9">
        <f t="shared" si="31"/>
        <v>17</v>
      </c>
      <c r="H26" s="8">
        <f t="shared" si="31"/>
        <v>96</v>
      </c>
      <c r="I26" s="9"/>
      <c r="J26" s="9"/>
      <c r="K26" s="9"/>
      <c r="L26" s="9"/>
      <c r="M26" s="9"/>
      <c r="N26" s="9"/>
      <c r="O26" s="12"/>
      <c r="P26" s="12"/>
      <c r="Q26" s="12"/>
      <c r="R26" s="12"/>
      <c r="S26" s="12"/>
      <c r="T26" s="12"/>
      <c r="V26" s="20">
        <f t="shared" si="0"/>
        <v>7</v>
      </c>
      <c r="W26" s="20">
        <f t="shared" si="1"/>
        <v>7</v>
      </c>
      <c r="X26" s="20">
        <f t="shared" si="2"/>
        <v>13</v>
      </c>
      <c r="Y26" s="20">
        <f t="shared" si="3"/>
        <v>0</v>
      </c>
      <c r="Z26" s="20">
        <f t="shared" si="4"/>
        <v>0</v>
      </c>
      <c r="AA26" s="20">
        <f t="shared" si="5"/>
        <v>0</v>
      </c>
      <c r="AC26" s="3">
        <f t="shared" si="6"/>
        <v>0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 t="shared" si="15"/>
        <v>0</v>
      </c>
      <c r="AM26" s="3">
        <f t="shared" si="16"/>
        <v>0</v>
      </c>
      <c r="AN26" s="3">
        <f t="shared" si="17"/>
        <v>0</v>
      </c>
      <c r="AO26" s="3">
        <f t="shared" si="18"/>
        <v>0</v>
      </c>
      <c r="AP26" s="3">
        <f t="shared" si="19"/>
        <v>0</v>
      </c>
      <c r="AQ26" s="3">
        <f t="shared" si="20"/>
        <v>0</v>
      </c>
      <c r="AR26" s="3">
        <f t="shared" si="21"/>
        <v>0</v>
      </c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M26" s="35"/>
      <c r="BO26" s="35"/>
      <c r="BR26" s="9" t="str">
        <f t="shared" si="22"/>
        <v/>
      </c>
      <c r="BS26" s="37" t="str">
        <f t="shared" si="23"/>
        <v/>
      </c>
      <c r="BT26" s="38" t="str">
        <f t="shared" si="24"/>
        <v/>
      </c>
      <c r="BU26" s="36" t="str">
        <f t="shared" si="25"/>
        <v/>
      </c>
    </row>
    <row r="27" spans="2:74" ht="15">
      <c r="B27" s="16">
        <f t="shared" si="26"/>
        <v>43262</v>
      </c>
      <c r="C27" s="15" t="s">
        <v>1</v>
      </c>
      <c r="D27" s="17">
        <f t="shared" si="27"/>
        <v>43268</v>
      </c>
      <c r="E27" s="18">
        <f t="shared" si="28"/>
        <v>6</v>
      </c>
      <c r="F27" s="19">
        <f t="shared" si="29"/>
        <v>2018</v>
      </c>
      <c r="G27" s="9">
        <f t="shared" si="31"/>
        <v>17</v>
      </c>
      <c r="H27" s="8">
        <f t="shared" si="31"/>
        <v>96</v>
      </c>
      <c r="I27" s="9"/>
      <c r="J27" s="9"/>
      <c r="K27" s="9"/>
      <c r="L27" s="9"/>
      <c r="M27" s="9"/>
      <c r="N27" s="9"/>
      <c r="O27" s="12"/>
      <c r="P27" s="12"/>
      <c r="Q27" s="12"/>
      <c r="R27" s="12"/>
      <c r="S27" s="12"/>
      <c r="T27" s="12"/>
      <c r="V27" s="20">
        <f t="shared" si="0"/>
        <v>8</v>
      </c>
      <c r="W27" s="20">
        <f t="shared" si="1"/>
        <v>8</v>
      </c>
      <c r="X27" s="20">
        <f t="shared" si="2"/>
        <v>14</v>
      </c>
      <c r="Y27" s="20">
        <f t="shared" si="3"/>
        <v>0</v>
      </c>
      <c r="Z27" s="20">
        <f t="shared" si="4"/>
        <v>0</v>
      </c>
      <c r="AA27" s="20">
        <f t="shared" si="5"/>
        <v>0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</v>
      </c>
      <c r="AM27" s="3">
        <f t="shared" si="16"/>
        <v>0</v>
      </c>
      <c r="AN27" s="3">
        <f t="shared" si="17"/>
        <v>0</v>
      </c>
      <c r="AO27" s="3">
        <f t="shared" si="18"/>
        <v>0</v>
      </c>
      <c r="AP27" s="3">
        <f t="shared" si="19"/>
        <v>0</v>
      </c>
      <c r="AQ27" s="3">
        <f t="shared" si="20"/>
        <v>0</v>
      </c>
      <c r="AR27" s="3">
        <f t="shared" si="21"/>
        <v>0</v>
      </c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M27" s="35"/>
      <c r="BO27" s="35"/>
      <c r="BR27" s="9" t="str">
        <f t="shared" si="22"/>
        <v/>
      </c>
      <c r="BS27" s="37" t="str">
        <f t="shared" si="23"/>
        <v/>
      </c>
      <c r="BT27" s="38" t="str">
        <f t="shared" si="24"/>
        <v/>
      </c>
      <c r="BU27" s="36" t="str">
        <f t="shared" si="25"/>
        <v/>
      </c>
    </row>
    <row r="28" spans="2:74" ht="15">
      <c r="B28" s="16">
        <f t="shared" si="26"/>
        <v>43269</v>
      </c>
      <c r="C28" s="15" t="s">
        <v>1</v>
      </c>
      <c r="D28" s="17">
        <f t="shared" si="27"/>
        <v>43275</v>
      </c>
      <c r="E28" s="18">
        <f t="shared" si="28"/>
        <v>6</v>
      </c>
      <c r="F28" s="19">
        <f t="shared" si="29"/>
        <v>2018</v>
      </c>
      <c r="G28" s="9">
        <f t="shared" si="31"/>
        <v>17</v>
      </c>
      <c r="H28" s="8">
        <f t="shared" si="31"/>
        <v>96</v>
      </c>
      <c r="I28" s="9"/>
      <c r="J28" s="9"/>
      <c r="K28" s="9"/>
      <c r="L28" s="9"/>
      <c r="M28" s="9"/>
      <c r="N28" s="9"/>
      <c r="O28" s="12"/>
      <c r="P28" s="12"/>
      <c r="Q28" s="12"/>
      <c r="R28" s="12"/>
      <c r="S28" s="12"/>
      <c r="T28" s="12"/>
      <c r="V28" s="20">
        <f t="shared" si="0"/>
        <v>9</v>
      </c>
      <c r="W28" s="20">
        <f t="shared" si="1"/>
        <v>9</v>
      </c>
      <c r="X28" s="20">
        <f t="shared" si="2"/>
        <v>15</v>
      </c>
      <c r="Y28" s="20">
        <f t="shared" si="3"/>
        <v>0</v>
      </c>
      <c r="Z28" s="20">
        <f t="shared" si="4"/>
        <v>0</v>
      </c>
      <c r="AA28" s="20">
        <f t="shared" si="5"/>
        <v>0</v>
      </c>
      <c r="AC28" s="3">
        <f t="shared" si="6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 t="shared" si="15"/>
        <v>0</v>
      </c>
      <c r="AM28" s="3">
        <f t="shared" si="16"/>
        <v>0</v>
      </c>
      <c r="AN28" s="3">
        <f t="shared" si="17"/>
        <v>0</v>
      </c>
      <c r="AO28" s="3">
        <f t="shared" si="18"/>
        <v>0</v>
      </c>
      <c r="AP28" s="3">
        <f t="shared" si="19"/>
        <v>0</v>
      </c>
      <c r="AQ28" s="3">
        <f t="shared" si="20"/>
        <v>0</v>
      </c>
      <c r="AR28" s="3">
        <f t="shared" si="21"/>
        <v>0</v>
      </c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M28" s="35"/>
      <c r="BO28" s="35"/>
      <c r="BR28" s="9" t="str">
        <f t="shared" si="22"/>
        <v/>
      </c>
      <c r="BS28" s="37" t="str">
        <f t="shared" si="23"/>
        <v/>
      </c>
      <c r="BT28" s="38" t="str">
        <f t="shared" si="24"/>
        <v/>
      </c>
      <c r="BU28" s="36" t="str">
        <f t="shared" si="25"/>
        <v/>
      </c>
    </row>
    <row r="29" spans="2:74" ht="15">
      <c r="B29" s="16">
        <f t="shared" si="26"/>
        <v>43276</v>
      </c>
      <c r="C29" s="15" t="s">
        <v>1</v>
      </c>
      <c r="D29" s="17">
        <f t="shared" si="27"/>
        <v>43282</v>
      </c>
      <c r="E29" s="18">
        <f t="shared" si="28"/>
        <v>6</v>
      </c>
      <c r="F29" s="19">
        <f t="shared" si="29"/>
        <v>2018</v>
      </c>
      <c r="G29" s="9">
        <f t="shared" si="31"/>
        <v>17</v>
      </c>
      <c r="H29" s="8">
        <f t="shared" si="31"/>
        <v>96</v>
      </c>
      <c r="I29" s="9"/>
      <c r="J29" s="9"/>
      <c r="K29" s="9"/>
      <c r="L29" s="9"/>
      <c r="M29" s="9"/>
      <c r="N29" s="9"/>
      <c r="O29" s="12"/>
      <c r="P29" s="12"/>
      <c r="Q29" s="12"/>
      <c r="R29" s="12"/>
      <c r="S29" s="12"/>
      <c r="T29" s="12"/>
      <c r="V29" s="20">
        <f t="shared" si="0"/>
        <v>10</v>
      </c>
      <c r="W29" s="20">
        <f t="shared" si="1"/>
        <v>10</v>
      </c>
      <c r="X29" s="20">
        <f t="shared" si="2"/>
        <v>16</v>
      </c>
      <c r="Y29" s="20">
        <f t="shared" si="3"/>
        <v>0</v>
      </c>
      <c r="Z29" s="20">
        <f t="shared" si="4"/>
        <v>0</v>
      </c>
      <c r="AA29" s="20">
        <f t="shared" si="5"/>
        <v>0</v>
      </c>
      <c r="AC29" s="3">
        <f t="shared" si="6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 t="shared" si="15"/>
        <v>0</v>
      </c>
      <c r="AM29" s="3">
        <f t="shared" si="16"/>
        <v>0</v>
      </c>
      <c r="AN29" s="3">
        <f t="shared" si="17"/>
        <v>0</v>
      </c>
      <c r="AO29" s="3">
        <f t="shared" si="18"/>
        <v>0</v>
      </c>
      <c r="AP29" s="3">
        <f t="shared" si="19"/>
        <v>0</v>
      </c>
      <c r="AQ29" s="3">
        <f t="shared" si="20"/>
        <v>0</v>
      </c>
      <c r="AR29" s="3">
        <f t="shared" si="21"/>
        <v>0</v>
      </c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M29" s="35"/>
      <c r="BO29" s="35"/>
      <c r="BR29" s="9" t="str">
        <f t="shared" si="22"/>
        <v/>
      </c>
      <c r="BS29" s="37" t="str">
        <f t="shared" si="23"/>
        <v/>
      </c>
      <c r="BT29" s="38" t="str">
        <f t="shared" si="24"/>
        <v/>
      </c>
      <c r="BU29" s="36" t="str">
        <f t="shared" si="25"/>
        <v/>
      </c>
    </row>
    <row r="30" spans="2:74" ht="15">
      <c r="B30" s="16">
        <f t="shared" si="26"/>
        <v>43283</v>
      </c>
      <c r="C30" s="15" t="s">
        <v>1</v>
      </c>
      <c r="D30" s="17">
        <f t="shared" si="27"/>
        <v>43289</v>
      </c>
      <c r="E30" s="18">
        <f t="shared" si="28"/>
        <v>7</v>
      </c>
      <c r="F30" s="19">
        <f t="shared" si="29"/>
        <v>2018</v>
      </c>
      <c r="G30" s="9">
        <f t="shared" si="31"/>
        <v>17</v>
      </c>
      <c r="H30" s="8">
        <f t="shared" si="31"/>
        <v>96</v>
      </c>
      <c r="I30" s="9"/>
      <c r="J30" s="9"/>
      <c r="K30" s="9"/>
      <c r="L30" s="9"/>
      <c r="M30" s="9"/>
      <c r="N30" s="9"/>
      <c r="O30" s="12"/>
      <c r="P30" s="12"/>
      <c r="Q30" s="12"/>
      <c r="R30" s="12"/>
      <c r="S30" s="12"/>
      <c r="T30" s="12"/>
      <c r="V30" s="20">
        <f t="shared" si="0"/>
        <v>11</v>
      </c>
      <c r="W30" s="20">
        <f t="shared" si="1"/>
        <v>11</v>
      </c>
      <c r="X30" s="20">
        <f t="shared" si="2"/>
        <v>17</v>
      </c>
      <c r="Y30" s="20">
        <f t="shared" si="3"/>
        <v>0</v>
      </c>
      <c r="Z30" s="20">
        <f t="shared" si="4"/>
        <v>0</v>
      </c>
      <c r="AA30" s="20">
        <f t="shared" si="5"/>
        <v>0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 t="shared" si="15"/>
        <v>0</v>
      </c>
      <c r="AM30" s="3">
        <f t="shared" si="16"/>
        <v>17</v>
      </c>
      <c r="AN30" s="3">
        <f t="shared" si="17"/>
        <v>0</v>
      </c>
      <c r="AO30" s="3">
        <f t="shared" si="18"/>
        <v>0</v>
      </c>
      <c r="AP30" s="3">
        <f t="shared" si="19"/>
        <v>0</v>
      </c>
      <c r="AQ30" s="3">
        <f t="shared" si="20"/>
        <v>0</v>
      </c>
      <c r="AR30" s="3">
        <f t="shared" si="21"/>
        <v>0</v>
      </c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>
        <v>3</v>
      </c>
      <c r="BD30" s="8"/>
      <c r="BE30" s="8"/>
      <c r="BF30" s="8"/>
      <c r="BG30" s="8"/>
      <c r="BH30" s="8"/>
      <c r="BM30" s="35"/>
      <c r="BO30" s="35"/>
      <c r="BR30" s="9" t="str">
        <f t="shared" si="22"/>
        <v/>
      </c>
      <c r="BS30" s="37" t="str">
        <f t="shared" si="23"/>
        <v/>
      </c>
      <c r="BT30" s="38" t="str">
        <f t="shared" si="24"/>
        <v/>
      </c>
      <c r="BU30" s="36" t="str">
        <f t="shared" si="25"/>
        <v/>
      </c>
    </row>
    <row r="31" spans="2:74" ht="15">
      <c r="B31" s="16">
        <f t="shared" si="26"/>
        <v>43290</v>
      </c>
      <c r="C31" s="15" t="s">
        <v>1</v>
      </c>
      <c r="D31" s="17">
        <f t="shared" si="27"/>
        <v>43296</v>
      </c>
      <c r="E31" s="18">
        <f t="shared" si="28"/>
        <v>7</v>
      </c>
      <c r="F31" s="19">
        <f t="shared" si="29"/>
        <v>2018</v>
      </c>
      <c r="G31" s="9">
        <f t="shared" si="31"/>
        <v>17</v>
      </c>
      <c r="H31" s="8">
        <f t="shared" si="31"/>
        <v>96</v>
      </c>
      <c r="I31" s="9"/>
      <c r="J31" s="9"/>
      <c r="K31" s="9"/>
      <c r="L31" s="9"/>
      <c r="M31" s="9"/>
      <c r="N31" s="9"/>
      <c r="O31" s="12"/>
      <c r="P31" s="12"/>
      <c r="Q31" s="12"/>
      <c r="R31" s="12"/>
      <c r="S31" s="12"/>
      <c r="T31" s="12"/>
      <c r="V31" s="20">
        <f t="shared" si="0"/>
        <v>12</v>
      </c>
      <c r="W31" s="20">
        <f t="shared" si="1"/>
        <v>12</v>
      </c>
      <c r="X31" s="20">
        <f t="shared" si="2"/>
        <v>0</v>
      </c>
      <c r="Y31" s="20">
        <f t="shared" si="3"/>
        <v>0</v>
      </c>
      <c r="Z31" s="20">
        <f t="shared" si="4"/>
        <v>0</v>
      </c>
      <c r="AA31" s="20">
        <f t="shared" si="5"/>
        <v>0</v>
      </c>
      <c r="AC31" s="3">
        <f t="shared" si="6"/>
        <v>0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</v>
      </c>
      <c r="AM31" s="3">
        <f t="shared" si="16"/>
        <v>18</v>
      </c>
      <c r="AN31" s="3">
        <f t="shared" si="17"/>
        <v>0</v>
      </c>
      <c r="AO31" s="3">
        <f t="shared" si="18"/>
        <v>0</v>
      </c>
      <c r="AP31" s="3">
        <f t="shared" si="19"/>
        <v>0</v>
      </c>
      <c r="AQ31" s="3">
        <f t="shared" si="20"/>
        <v>0</v>
      </c>
      <c r="AR31" s="3">
        <f t="shared" si="21"/>
        <v>0</v>
      </c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M31" s="35"/>
      <c r="BO31" s="35"/>
      <c r="BR31" s="9" t="str">
        <f t="shared" si="22"/>
        <v/>
      </c>
      <c r="BS31" s="37" t="str">
        <f t="shared" si="23"/>
        <v/>
      </c>
      <c r="BT31" s="38" t="str">
        <f t="shared" si="24"/>
        <v/>
      </c>
      <c r="BU31" s="36" t="str">
        <f t="shared" si="25"/>
        <v/>
      </c>
    </row>
    <row r="32" spans="2:74" ht="15">
      <c r="B32" s="16">
        <f t="shared" si="26"/>
        <v>43297</v>
      </c>
      <c r="C32" s="15" t="s">
        <v>1</v>
      </c>
      <c r="D32" s="17">
        <f t="shared" si="27"/>
        <v>43303</v>
      </c>
      <c r="E32" s="18">
        <f t="shared" si="28"/>
        <v>7</v>
      </c>
      <c r="F32" s="19">
        <f t="shared" si="29"/>
        <v>2018</v>
      </c>
      <c r="G32" s="9">
        <f t="shared" si="31"/>
        <v>17</v>
      </c>
      <c r="H32" s="8">
        <f t="shared" si="31"/>
        <v>96</v>
      </c>
      <c r="I32" s="9"/>
      <c r="J32" s="9"/>
      <c r="K32" s="9"/>
      <c r="L32" s="9"/>
      <c r="M32" s="9"/>
      <c r="N32" s="9"/>
      <c r="O32" s="12"/>
      <c r="P32" s="12"/>
      <c r="Q32" s="12"/>
      <c r="R32" s="12"/>
      <c r="S32" s="12"/>
      <c r="T32" s="12"/>
      <c r="V32" s="20">
        <f t="shared" si="0"/>
        <v>13</v>
      </c>
      <c r="W32" s="20">
        <f t="shared" si="1"/>
        <v>13</v>
      </c>
      <c r="X32" s="20">
        <f t="shared" si="2"/>
        <v>0</v>
      </c>
      <c r="Y32" s="20">
        <f t="shared" si="3"/>
        <v>0</v>
      </c>
      <c r="Z32" s="20">
        <f t="shared" si="4"/>
        <v>0</v>
      </c>
      <c r="AA32" s="20">
        <f t="shared" si="5"/>
        <v>0</v>
      </c>
      <c r="AC32" s="3">
        <f t="shared" si="6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</v>
      </c>
      <c r="AM32" s="3">
        <f t="shared" si="16"/>
        <v>19</v>
      </c>
      <c r="AN32" s="3">
        <f t="shared" si="17"/>
        <v>0</v>
      </c>
      <c r="AO32" s="3">
        <f t="shared" si="18"/>
        <v>0</v>
      </c>
      <c r="AP32" s="3">
        <f t="shared" si="19"/>
        <v>0</v>
      </c>
      <c r="AQ32" s="3">
        <f t="shared" si="20"/>
        <v>0</v>
      </c>
      <c r="AR32" s="3">
        <f t="shared" si="21"/>
        <v>0</v>
      </c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M32" s="35"/>
      <c r="BO32" s="35"/>
      <c r="BR32" s="9" t="str">
        <f t="shared" si="22"/>
        <v/>
      </c>
      <c r="BS32" s="37" t="str">
        <f t="shared" si="23"/>
        <v/>
      </c>
      <c r="BT32" s="38" t="str">
        <f t="shared" si="24"/>
        <v/>
      </c>
      <c r="BU32" s="36" t="str">
        <f t="shared" si="25"/>
        <v/>
      </c>
    </row>
    <row r="33" spans="2:75" ht="16" thickBot="1">
      <c r="B33" s="16">
        <f t="shared" si="26"/>
        <v>43304</v>
      </c>
      <c r="C33" s="15" t="s">
        <v>1</v>
      </c>
      <c r="D33" s="17">
        <f t="shared" si="27"/>
        <v>43310</v>
      </c>
      <c r="E33" s="18">
        <f t="shared" si="28"/>
        <v>7</v>
      </c>
      <c r="F33" s="19">
        <f t="shared" si="29"/>
        <v>2018</v>
      </c>
      <c r="G33" s="9">
        <f t="shared" si="31"/>
        <v>17</v>
      </c>
      <c r="H33" s="8">
        <f t="shared" si="31"/>
        <v>96</v>
      </c>
      <c r="I33" s="9"/>
      <c r="J33" s="9"/>
      <c r="K33" s="9"/>
      <c r="L33" s="9"/>
      <c r="M33" s="9"/>
      <c r="N33" s="9"/>
      <c r="O33" s="12"/>
      <c r="P33" s="12">
        <v>2</v>
      </c>
      <c r="Q33" s="12"/>
      <c r="R33" s="12"/>
      <c r="S33" s="12"/>
      <c r="T33" s="12"/>
      <c r="V33" s="20">
        <f t="shared" si="0"/>
        <v>14</v>
      </c>
      <c r="W33" s="20">
        <f t="shared" si="1"/>
        <v>14</v>
      </c>
      <c r="X33" s="20">
        <f t="shared" si="2"/>
        <v>0</v>
      </c>
      <c r="Y33" s="20">
        <f t="shared" si="3"/>
        <v>0</v>
      </c>
      <c r="Z33" s="20">
        <f t="shared" si="4"/>
        <v>0</v>
      </c>
      <c r="AA33" s="20">
        <f t="shared" si="5"/>
        <v>0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</v>
      </c>
      <c r="AM33" s="3">
        <f t="shared" si="16"/>
        <v>20</v>
      </c>
      <c r="AN33" s="3">
        <f t="shared" si="17"/>
        <v>14</v>
      </c>
      <c r="AO33" s="3">
        <f t="shared" si="18"/>
        <v>0</v>
      </c>
      <c r="AP33" s="3">
        <f t="shared" si="19"/>
        <v>0</v>
      </c>
      <c r="AQ33" s="3">
        <f t="shared" si="20"/>
        <v>0</v>
      </c>
      <c r="AR33" s="3">
        <f t="shared" si="21"/>
        <v>0</v>
      </c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>
        <v>2</v>
      </c>
      <c r="BE33" s="8"/>
      <c r="BF33" s="8"/>
      <c r="BG33" s="8"/>
      <c r="BH33" s="8"/>
      <c r="BM33" s="35"/>
      <c r="BO33" s="35"/>
      <c r="BR33" s="9" t="str">
        <f t="shared" si="22"/>
        <v/>
      </c>
      <c r="BS33" s="37" t="str">
        <f t="shared" si="23"/>
        <v/>
      </c>
      <c r="BT33" s="38" t="str">
        <f t="shared" si="24"/>
        <v/>
      </c>
      <c r="BU33" s="36" t="str">
        <f t="shared" si="25"/>
        <v/>
      </c>
    </row>
    <row r="34" spans="2:75" ht="17" thickTop="1" thickBot="1">
      <c r="B34" s="16">
        <f t="shared" si="26"/>
        <v>43311</v>
      </c>
      <c r="C34" s="15" t="s">
        <v>1</v>
      </c>
      <c r="D34" s="17">
        <f t="shared" si="27"/>
        <v>43317</v>
      </c>
      <c r="E34" s="18">
        <f t="shared" si="28"/>
        <v>7</v>
      </c>
      <c r="F34" s="19">
        <f t="shared" si="29"/>
        <v>2018</v>
      </c>
      <c r="G34" s="9">
        <f t="shared" si="31"/>
        <v>17</v>
      </c>
      <c r="H34" s="8">
        <f t="shared" si="31"/>
        <v>96</v>
      </c>
      <c r="I34" s="9"/>
      <c r="J34" s="9"/>
      <c r="K34" s="9"/>
      <c r="L34" s="9"/>
      <c r="M34" s="9"/>
      <c r="N34" s="9"/>
      <c r="O34" s="12"/>
      <c r="P34" s="12"/>
      <c r="Q34" s="12"/>
      <c r="R34" s="12"/>
      <c r="S34" s="12"/>
      <c r="T34" s="12"/>
      <c r="V34" s="20">
        <f t="shared" si="0"/>
        <v>15</v>
      </c>
      <c r="W34" s="20">
        <f t="shared" si="1"/>
        <v>0</v>
      </c>
      <c r="X34" s="20">
        <f t="shared" si="2"/>
        <v>0</v>
      </c>
      <c r="Y34" s="20">
        <f t="shared" si="3"/>
        <v>0</v>
      </c>
      <c r="Z34" s="20">
        <f t="shared" si="4"/>
        <v>0</v>
      </c>
      <c r="AA34" s="20">
        <f t="shared" si="5"/>
        <v>0</v>
      </c>
      <c r="AC34" s="22">
        <v>73</v>
      </c>
      <c r="AD34" s="3">
        <v>67</v>
      </c>
      <c r="AE34" s="3">
        <f>IF(AND(AU34&gt;=$R$2,AU34&lt;=$U$2),LOOKUP(AU34,$R$2:$U$2,$R34:$U34),IF(AU33="A",0,IF(AE33=$H34,0,IF(AE33=0,0,AE33+1))))</f>
        <v>0</v>
      </c>
      <c r="AF34" s="3">
        <v>59</v>
      </c>
      <c r="AG34" s="3">
        <v>55</v>
      </c>
      <c r="AH34" s="3">
        <v>53</v>
      </c>
      <c r="AI34" s="3">
        <v>46</v>
      </c>
      <c r="AJ34" s="3">
        <v>42</v>
      </c>
      <c r="AK34" s="3">
        <v>37</v>
      </c>
      <c r="AL34" s="3">
        <v>34</v>
      </c>
      <c r="AM34" s="3">
        <f>IF(AND(BC34&gt;=$R$2,BC34&lt;=$U$2),LOOKUP(BC34,$R$2:$U$2,$R34:$U34),IF(BC33="A",0,IF(AM33=$H34,0,IF(AM33=0,0,AM33+1))))</f>
        <v>21</v>
      </c>
      <c r="AN34" s="3">
        <f>IF(AND(BD34&gt;=$R$2,BD34&lt;=$U$2),LOOKUP(BD34,$R$2:$U$2,$R34:$U34),IF(BD33="A",0,IF(AN33=$H34,0,IF(AN33=0,0,AN33+1))))</f>
        <v>15</v>
      </c>
      <c r="AO34" s="3">
        <f>IF(AND(BE34&gt;=$R$2,BE34&lt;=$U$2),LOOKUP(BE34,$R$2:$U$2,$R34:$U34),IF(BE33="A",0,IF(AO33=$H34,0,IF(AO33=0,0,AO33+1))))</f>
        <v>0</v>
      </c>
      <c r="AP34" s="21">
        <v>28</v>
      </c>
      <c r="AQ34" s="23">
        <v>12</v>
      </c>
      <c r="AR34" s="3">
        <f>IF(AND(BH34&gt;=$R$2,BH34&lt;=$U$2),LOOKUP(BH34,$R$2:$U$2,$R34:$U34),IF(BH33="A",0,IF(AR33=$H34,0,IF(AR33=0,0,AR33+1))))</f>
        <v>0</v>
      </c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M34" s="35"/>
      <c r="BO34" s="35"/>
      <c r="BR34" s="9" t="str">
        <f t="shared" si="22"/>
        <v/>
      </c>
      <c r="BS34" s="37" t="str">
        <f t="shared" si="23"/>
        <v/>
      </c>
      <c r="BT34" s="38" t="str">
        <f t="shared" si="24"/>
        <v/>
      </c>
      <c r="BU34" s="36" t="str">
        <f t="shared" si="25"/>
        <v/>
      </c>
    </row>
    <row r="35" spans="2:75" ht="17" thickTop="1" thickBot="1">
      <c r="B35" s="16">
        <f t="shared" si="26"/>
        <v>43318</v>
      </c>
      <c r="C35" s="15" t="s">
        <v>1</v>
      </c>
      <c r="D35" s="17">
        <f t="shared" si="27"/>
        <v>43324</v>
      </c>
      <c r="E35" s="18">
        <f t="shared" si="28"/>
        <v>8</v>
      </c>
      <c r="F35" s="19">
        <f t="shared" si="29"/>
        <v>2018</v>
      </c>
      <c r="G35" s="9">
        <f t="shared" si="31"/>
        <v>17</v>
      </c>
      <c r="H35" s="8">
        <f t="shared" si="31"/>
        <v>96</v>
      </c>
      <c r="I35" s="9"/>
      <c r="J35" s="9"/>
      <c r="K35" s="9"/>
      <c r="L35" s="9"/>
      <c r="M35" s="9"/>
      <c r="N35" s="9"/>
      <c r="O35" s="12"/>
      <c r="P35" s="12"/>
      <c r="Q35" s="12"/>
      <c r="R35" s="12"/>
      <c r="S35" s="12"/>
      <c r="T35" s="12"/>
      <c r="V35" s="20">
        <f t="shared" si="0"/>
        <v>16</v>
      </c>
      <c r="W35" s="20">
        <f t="shared" si="1"/>
        <v>0</v>
      </c>
      <c r="X35" s="20">
        <f t="shared" si="2"/>
        <v>0</v>
      </c>
      <c r="Y35" s="20">
        <f t="shared" si="3"/>
        <v>0</v>
      </c>
      <c r="Z35" s="20">
        <f t="shared" si="4"/>
        <v>0</v>
      </c>
      <c r="AA35" s="20">
        <f t="shared" si="5"/>
        <v>0</v>
      </c>
      <c r="AC35" s="3">
        <f t="shared" ref="AC35:AC98" si="32">IF(AND(AS35&gt;=$V$2,AS35&lt;=$AA$2),LOOKUP(AS35,$V$2:$AA$2,$V35:$AA35),IF(AS34="A",0,IF(AC34=$H35,0,IF(AC34=0,0,AC34+1))))</f>
        <v>74</v>
      </c>
      <c r="AD35" s="3">
        <f t="shared" ref="AD35:AD98" si="33">IF(AND(AT35&gt;=$V$2,AT35&lt;=$AA$2),LOOKUP(AT35,$V$2:$AA$2,$V35:$AA35),IF(AT34="A",0,IF(AD34=$H35,0,IF(AD34=0,0,AD34+1))))</f>
        <v>68</v>
      </c>
      <c r="AE35" s="3">
        <f t="shared" ref="AE35:AE98" si="34">IF(AND(AU35&gt;=$V$2,AU35&lt;=$AA$2),LOOKUP(AU35,$V$2:$AA$2,$V35:$AA35),IF(AU34="A",0,IF(AE34=$H35,0,IF(AE34=0,0,AE34+1))))</f>
        <v>0</v>
      </c>
      <c r="AF35" s="3">
        <f t="shared" ref="AF35:AF98" si="35">IF(AND(AV35&gt;=$V$2,AV35&lt;=$AA$2),LOOKUP(AV35,$V$2:$AA$2,$V35:$AA35),IF(AV34="A",0,IF(AF34=$H35,0,IF(AF34=0,0,AF34+1))))</f>
        <v>60</v>
      </c>
      <c r="AG35" s="3">
        <f t="shared" ref="AG35:AG98" si="36">IF(AND(AW35&gt;=$V$2,AW35&lt;=$AA$2),LOOKUP(AW35,$V$2:$AA$2,$V35:$AA35),IF(AW34="A",0,IF(AG34=$H35,0,IF(AG34=0,0,AG34+1))))</f>
        <v>56</v>
      </c>
      <c r="AH35" s="3">
        <f t="shared" ref="AH35:AH98" si="37">IF(AND(AX35&gt;=$V$2,AX35&lt;=$AA$2),LOOKUP(AX35,$V$2:$AA$2,$V35:$AA35),IF(AX34="A",0,IF(AH34=$H35,0,IF(AH34=0,0,AH34+1))))</f>
        <v>54</v>
      </c>
      <c r="AI35" s="3">
        <f t="shared" ref="AI35:AI98" si="38">IF(AND(AY35&gt;=$V$2,AY35&lt;=$AA$2),LOOKUP(AY35,$V$2:$AA$2,$V35:$AA35),IF(AY34="A",0,IF(AI34=$H35,0,IF(AI34=0,0,AI34+1))))</f>
        <v>47</v>
      </c>
      <c r="AJ35" s="3">
        <f t="shared" ref="AJ35:AJ98" si="39">IF(AND(AZ35&gt;=$V$2,AZ35&lt;=$AA$2),LOOKUP(AZ35,$V$2:$AA$2,$V35:$AA35),IF(AZ34="A",0,IF(AJ34=$H35,0,IF(AJ34=0,0,AJ34+1))))</f>
        <v>43</v>
      </c>
      <c r="AK35" s="3">
        <f t="shared" ref="AK35:AK98" si="40">IF(AND(BA35&gt;=$V$2,BA35&lt;=$AA$2),LOOKUP(BA35,$V$2:$AA$2,$V35:$AA35),IF(BA34="A",0,IF(AK34=$H35,0,IF(AK34=0,0,AK34+1))))</f>
        <v>38</v>
      </c>
      <c r="AL35" s="3">
        <f t="shared" ref="AL35:AL98" si="41">IF(AND(BB35&gt;=$V$2,BB35&lt;=$AA$2),LOOKUP(BB35,$V$2:$AA$2,$V35:$AA35),IF(BB34="A",0,IF(AL34=$H35,0,IF(AL34=0,0,AL34+1))))</f>
        <v>35</v>
      </c>
      <c r="AM35" s="3">
        <f t="shared" ref="AM35:AM98" si="42">IF(AND(BC35&gt;=$V$2,BC35&lt;=$AA$2),LOOKUP(BC35,$V$2:$AA$2,$V35:$AA35),IF(BC34="A",0,IF(AM34=$H35,0,IF(AM34=0,0,AM34+1))))</f>
        <v>22</v>
      </c>
      <c r="AN35" s="3">
        <f t="shared" ref="AN35:AN98" si="43">IF(AND(BD35&gt;=$V$2,BD35&lt;=$AA$2),LOOKUP(BD35,$V$2:$AA$2,$V35:$AA35),IF(BD34="A",0,IF(AN34=$H35,0,IF(AN34=0,0,AN34+1))))</f>
        <v>16</v>
      </c>
      <c r="AO35" s="3">
        <f t="shared" ref="AO35:AO98" si="44">IF(AND(BE35&gt;=$V$2,BE35&lt;=$AA$2),LOOKUP(BE35,$V$2:$AA$2,$V35:$AA35),IF(BE34="A",0,IF(AO34=$H35,0,IF(AO34=0,0,AO34+1))))</f>
        <v>0</v>
      </c>
      <c r="AP35" s="3">
        <f t="shared" ref="AP35:AP98" si="45">IF(AND(BF35&gt;=$V$2,BF35&lt;=$AA$2),LOOKUP(BF35,$V$2:$AA$2,$V35:$AA35),IF(BF34="A",0,IF(AP34=$H35,0,IF(AP34=0,0,AP34+1))))</f>
        <v>29</v>
      </c>
      <c r="AQ35" s="23">
        <f t="shared" ref="AQ35:AQ98" si="46">IF(AND(BG35&gt;=$V$2,BG35&lt;=$AA$2),LOOKUP(BG35,$V$2:$AA$2,$V35:$AA35),IF(BG34="A",0,IF(AQ34=$H35,0,IF(AQ34=0,0,AQ34+1))))</f>
        <v>13</v>
      </c>
      <c r="AR35" s="3">
        <f t="shared" ref="AR35:AR98" si="47">IF(AND(BH35&gt;=$V$2,BH35&lt;=$AA$2),LOOKUP(BH35,$V$2:$AA$2,$V35:$AA35),IF(BH34="A",0,IF(AR34=$H35,0,IF(AR34=0,0,AR34+1))))</f>
        <v>0</v>
      </c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 t="s">
        <v>5</v>
      </c>
      <c r="BG35" s="8"/>
      <c r="BH35" s="8"/>
      <c r="BM35" s="35"/>
      <c r="BO35" s="35"/>
      <c r="BR35" s="9" t="str">
        <f t="shared" si="22"/>
        <v/>
      </c>
      <c r="BS35" s="37" t="str">
        <f t="shared" si="23"/>
        <v/>
      </c>
      <c r="BT35" s="38" t="str">
        <f t="shared" si="24"/>
        <v/>
      </c>
      <c r="BU35" s="36" t="str">
        <f t="shared" si="25"/>
        <v/>
      </c>
    </row>
    <row r="36" spans="2:75" ht="17" thickTop="1" thickBot="1">
      <c r="B36" s="16">
        <f t="shared" si="26"/>
        <v>43325</v>
      </c>
      <c r="C36" s="15" t="s">
        <v>1</v>
      </c>
      <c r="D36" s="17">
        <f t="shared" si="27"/>
        <v>43331</v>
      </c>
      <c r="E36" s="18">
        <f t="shared" si="28"/>
        <v>8</v>
      </c>
      <c r="F36" s="19">
        <f t="shared" si="29"/>
        <v>2018</v>
      </c>
      <c r="G36" s="9">
        <f t="shared" si="31"/>
        <v>17</v>
      </c>
      <c r="H36" s="8">
        <f t="shared" si="31"/>
        <v>96</v>
      </c>
      <c r="I36" s="9"/>
      <c r="J36" s="9"/>
      <c r="K36" s="9"/>
      <c r="L36" s="9"/>
      <c r="M36" s="9"/>
      <c r="N36" s="9"/>
      <c r="O36" s="12"/>
      <c r="P36" s="12"/>
      <c r="Q36" s="12"/>
      <c r="R36" s="12"/>
      <c r="S36" s="12"/>
      <c r="T36" s="12"/>
      <c r="V36" s="20">
        <f t="shared" si="0"/>
        <v>17</v>
      </c>
      <c r="W36" s="20">
        <f t="shared" si="1"/>
        <v>0</v>
      </c>
      <c r="X36" s="20">
        <f t="shared" si="2"/>
        <v>0</v>
      </c>
      <c r="Y36" s="20">
        <f t="shared" si="3"/>
        <v>0</v>
      </c>
      <c r="Z36" s="20">
        <f t="shared" si="4"/>
        <v>0</v>
      </c>
      <c r="AA36" s="20">
        <f t="shared" si="5"/>
        <v>0</v>
      </c>
      <c r="AC36" s="3">
        <f t="shared" si="32"/>
        <v>75</v>
      </c>
      <c r="AD36" s="3">
        <f t="shared" si="33"/>
        <v>69</v>
      </c>
      <c r="AE36" s="3">
        <f t="shared" si="34"/>
        <v>0</v>
      </c>
      <c r="AF36" s="3">
        <f t="shared" si="35"/>
        <v>61</v>
      </c>
      <c r="AG36" s="3">
        <f t="shared" si="36"/>
        <v>57</v>
      </c>
      <c r="AH36" s="3">
        <f t="shared" si="37"/>
        <v>55</v>
      </c>
      <c r="AI36" s="3">
        <f t="shared" si="38"/>
        <v>48</v>
      </c>
      <c r="AJ36" s="3">
        <f t="shared" si="39"/>
        <v>44</v>
      </c>
      <c r="AK36" s="3">
        <f t="shared" si="40"/>
        <v>39</v>
      </c>
      <c r="AL36" s="3">
        <f t="shared" si="41"/>
        <v>36</v>
      </c>
      <c r="AM36" s="3">
        <f t="shared" si="42"/>
        <v>23</v>
      </c>
      <c r="AN36" s="3">
        <f t="shared" si="43"/>
        <v>17</v>
      </c>
      <c r="AO36" s="3">
        <f t="shared" si="44"/>
        <v>17</v>
      </c>
      <c r="AP36" s="3">
        <f t="shared" si="45"/>
        <v>0</v>
      </c>
      <c r="AQ36" s="23">
        <f t="shared" si="46"/>
        <v>14</v>
      </c>
      <c r="AR36" s="3">
        <f t="shared" si="47"/>
        <v>0</v>
      </c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>
        <v>1</v>
      </c>
      <c r="BF36" s="8"/>
      <c r="BG36" s="8"/>
      <c r="BH36" s="8"/>
      <c r="BM36" s="35"/>
      <c r="BO36" s="35"/>
      <c r="BR36" s="9" t="str">
        <f t="shared" si="22"/>
        <v/>
      </c>
      <c r="BS36" s="37" t="str">
        <f t="shared" si="23"/>
        <v/>
      </c>
      <c r="BT36" s="38" t="str">
        <f t="shared" si="24"/>
        <v/>
      </c>
      <c r="BU36" s="36" t="str">
        <f t="shared" si="25"/>
        <v/>
      </c>
    </row>
    <row r="37" spans="2:75" ht="17" thickTop="1" thickBot="1">
      <c r="B37" s="16">
        <f t="shared" si="26"/>
        <v>43332</v>
      </c>
      <c r="C37" s="15" t="s">
        <v>1</v>
      </c>
      <c r="D37" s="17">
        <f t="shared" si="27"/>
        <v>43338</v>
      </c>
      <c r="E37" s="18">
        <f t="shared" si="28"/>
        <v>8</v>
      </c>
      <c r="F37" s="19">
        <f t="shared" si="29"/>
        <v>2018</v>
      </c>
      <c r="G37" s="9">
        <f t="shared" si="31"/>
        <v>17</v>
      </c>
      <c r="H37" s="8">
        <f t="shared" si="31"/>
        <v>96</v>
      </c>
      <c r="I37" s="9"/>
      <c r="J37" s="9"/>
      <c r="K37" s="9"/>
      <c r="L37" s="9"/>
      <c r="M37" s="9"/>
      <c r="N37" s="9"/>
      <c r="O37" s="12"/>
      <c r="P37" s="12"/>
      <c r="Q37" s="12"/>
      <c r="R37" s="12"/>
      <c r="S37" s="12"/>
      <c r="T37" s="12"/>
      <c r="V37" s="20">
        <f t="shared" si="0"/>
        <v>0</v>
      </c>
      <c r="W37" s="20">
        <f t="shared" si="1"/>
        <v>0</v>
      </c>
      <c r="X37" s="20">
        <f t="shared" si="2"/>
        <v>0</v>
      </c>
      <c r="Y37" s="20">
        <f t="shared" si="3"/>
        <v>0</v>
      </c>
      <c r="Z37" s="20">
        <f t="shared" si="4"/>
        <v>0</v>
      </c>
      <c r="AA37" s="20">
        <f t="shared" si="5"/>
        <v>0</v>
      </c>
      <c r="AC37" s="3">
        <f t="shared" si="32"/>
        <v>76</v>
      </c>
      <c r="AD37" s="3">
        <f t="shared" si="33"/>
        <v>70</v>
      </c>
      <c r="AE37" s="3">
        <f t="shared" si="34"/>
        <v>0</v>
      </c>
      <c r="AF37" s="3">
        <f t="shared" si="35"/>
        <v>62</v>
      </c>
      <c r="AG37" s="3">
        <f t="shared" si="36"/>
        <v>58</v>
      </c>
      <c r="AH37" s="3">
        <f t="shared" si="37"/>
        <v>56</v>
      </c>
      <c r="AI37" s="3">
        <f t="shared" si="38"/>
        <v>49</v>
      </c>
      <c r="AJ37" s="3">
        <f t="shared" si="39"/>
        <v>45</v>
      </c>
      <c r="AK37" s="3">
        <f t="shared" si="40"/>
        <v>40</v>
      </c>
      <c r="AL37" s="3">
        <f t="shared" si="41"/>
        <v>37</v>
      </c>
      <c r="AM37" s="3">
        <f t="shared" si="42"/>
        <v>24</v>
      </c>
      <c r="AN37" s="3">
        <f t="shared" si="43"/>
        <v>18</v>
      </c>
      <c r="AO37" s="3">
        <f t="shared" si="44"/>
        <v>18</v>
      </c>
      <c r="AP37" s="3">
        <f t="shared" si="45"/>
        <v>0</v>
      </c>
      <c r="AQ37" s="23">
        <f t="shared" si="46"/>
        <v>15</v>
      </c>
      <c r="AR37" s="3">
        <f t="shared" si="47"/>
        <v>0</v>
      </c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M37" s="35"/>
      <c r="BO37" s="35"/>
      <c r="BR37" s="9" t="str">
        <f t="shared" si="22"/>
        <v/>
      </c>
      <c r="BS37" s="37" t="str">
        <f t="shared" si="23"/>
        <v/>
      </c>
      <c r="BT37" s="38" t="str">
        <f t="shared" si="24"/>
        <v/>
      </c>
      <c r="BU37" s="36" t="str">
        <f t="shared" si="25"/>
        <v/>
      </c>
    </row>
    <row r="38" spans="2:75" ht="18" thickTop="1" thickBot="1">
      <c r="B38" s="16">
        <f t="shared" si="26"/>
        <v>43339</v>
      </c>
      <c r="C38" s="15" t="s">
        <v>1</v>
      </c>
      <c r="D38" s="17">
        <f t="shared" si="27"/>
        <v>43345</v>
      </c>
      <c r="E38" s="18">
        <f t="shared" si="28"/>
        <v>8</v>
      </c>
      <c r="F38" s="19">
        <f t="shared" si="29"/>
        <v>2018</v>
      </c>
      <c r="G38" s="9">
        <f t="shared" ref="G38:H53" si="48">G37</f>
        <v>17</v>
      </c>
      <c r="H38" s="8">
        <f t="shared" si="48"/>
        <v>96</v>
      </c>
      <c r="I38" s="9"/>
      <c r="J38" s="9"/>
      <c r="K38" s="9"/>
      <c r="L38" s="9">
        <v>1</v>
      </c>
      <c r="M38" s="9"/>
      <c r="N38" s="9"/>
      <c r="O38" s="12"/>
      <c r="P38" s="12"/>
      <c r="Q38" s="12"/>
      <c r="R38" s="12">
        <v>1</v>
      </c>
      <c r="S38" s="12"/>
      <c r="T38" s="12"/>
      <c r="V38" s="20">
        <f t="shared" si="0"/>
        <v>0</v>
      </c>
      <c r="W38" s="20">
        <f t="shared" si="1"/>
        <v>0</v>
      </c>
      <c r="X38" s="20">
        <f t="shared" si="2"/>
        <v>0</v>
      </c>
      <c r="Y38" s="20">
        <f t="shared" si="3"/>
        <v>1</v>
      </c>
      <c r="Z38" s="20">
        <f t="shared" si="4"/>
        <v>0</v>
      </c>
      <c r="AA38" s="20">
        <f t="shared" si="5"/>
        <v>0</v>
      </c>
      <c r="AC38" s="3">
        <f t="shared" si="32"/>
        <v>77</v>
      </c>
      <c r="AD38" s="3">
        <f t="shared" si="33"/>
        <v>71</v>
      </c>
      <c r="AE38" s="3">
        <f t="shared" si="34"/>
        <v>0</v>
      </c>
      <c r="AF38" s="3">
        <f t="shared" si="35"/>
        <v>63</v>
      </c>
      <c r="AG38" s="3">
        <f t="shared" si="36"/>
        <v>59</v>
      </c>
      <c r="AH38" s="3">
        <f t="shared" si="37"/>
        <v>57</v>
      </c>
      <c r="AI38" s="3">
        <f t="shared" si="38"/>
        <v>50</v>
      </c>
      <c r="AJ38" s="3">
        <f t="shared" si="39"/>
        <v>46</v>
      </c>
      <c r="AK38" s="3">
        <f t="shared" si="40"/>
        <v>41</v>
      </c>
      <c r="AL38" s="3">
        <f t="shared" si="41"/>
        <v>38</v>
      </c>
      <c r="AM38" s="3">
        <f t="shared" si="42"/>
        <v>25</v>
      </c>
      <c r="AN38" s="3">
        <f t="shared" si="43"/>
        <v>19</v>
      </c>
      <c r="AO38" s="3">
        <f t="shared" si="44"/>
        <v>19</v>
      </c>
      <c r="AP38" s="3">
        <f t="shared" si="45"/>
        <v>0</v>
      </c>
      <c r="AQ38" s="23">
        <f t="shared" si="46"/>
        <v>16</v>
      </c>
      <c r="AR38" s="3">
        <f t="shared" si="47"/>
        <v>0</v>
      </c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J38" s="30">
        <f>B38+5</f>
        <v>43344</v>
      </c>
      <c r="BK38" s="26" t="s">
        <v>6</v>
      </c>
      <c r="BL38">
        <v>7</v>
      </c>
      <c r="BM38" s="35">
        <v>43344</v>
      </c>
      <c r="BN38" s="26" t="s">
        <v>6</v>
      </c>
      <c r="BO38" s="35">
        <f>B55</f>
        <v>43458</v>
      </c>
      <c r="BP38">
        <v>92</v>
      </c>
      <c r="BQ38" s="46" t="s">
        <v>6</v>
      </c>
      <c r="BR38" s="9">
        <f t="shared" si="22"/>
        <v>4</v>
      </c>
      <c r="BS38" s="37">
        <f>IF(OR(AND($V39=1,$V40=2),OR(AND($W39=1,$W40=2),OR(AND($X39=1,$X40=2),OR(AND($Y39=1,$Y40=2),OR(AND($Z39=1,$Z40),OR(AND($AA39=1,$AA40=2))))))),$B38+2,"")</f>
        <v>43341</v>
      </c>
      <c r="BT38" s="38">
        <f t="shared" si="24"/>
        <v>43460</v>
      </c>
      <c r="BU38" s="36">
        <f t="shared" si="25"/>
        <v>7</v>
      </c>
      <c r="BW38" s="45" t="s">
        <v>18</v>
      </c>
    </row>
    <row r="39" spans="2:75" ht="17" thickTop="1" thickBot="1">
      <c r="B39" s="16">
        <f t="shared" si="26"/>
        <v>43346</v>
      </c>
      <c r="C39" s="15" t="s">
        <v>1</v>
      </c>
      <c r="D39" s="17">
        <f t="shared" si="27"/>
        <v>43352</v>
      </c>
      <c r="E39" s="18">
        <f t="shared" si="28"/>
        <v>9</v>
      </c>
      <c r="F39" s="19">
        <f t="shared" si="29"/>
        <v>2018</v>
      </c>
      <c r="G39" s="9">
        <f t="shared" si="48"/>
        <v>17</v>
      </c>
      <c r="H39" s="8">
        <f t="shared" si="48"/>
        <v>96</v>
      </c>
      <c r="I39" s="9"/>
      <c r="J39" s="9"/>
      <c r="K39" s="9"/>
      <c r="L39" s="9"/>
      <c r="M39" s="9"/>
      <c r="N39" s="9"/>
      <c r="O39" s="12"/>
      <c r="P39" s="12"/>
      <c r="Q39" s="12"/>
      <c r="R39" s="12"/>
      <c r="S39" s="12"/>
      <c r="T39" s="12"/>
      <c r="V39" s="20">
        <f t="shared" si="0"/>
        <v>0</v>
      </c>
      <c r="W39" s="20">
        <f t="shared" si="1"/>
        <v>0</v>
      </c>
      <c r="X39" s="20">
        <f t="shared" si="2"/>
        <v>0</v>
      </c>
      <c r="Y39" s="20">
        <f t="shared" si="3"/>
        <v>1</v>
      </c>
      <c r="Z39" s="20">
        <f t="shared" si="4"/>
        <v>0</v>
      </c>
      <c r="AA39" s="20">
        <f t="shared" si="5"/>
        <v>0</v>
      </c>
      <c r="AC39" s="3">
        <f t="shared" si="32"/>
        <v>78</v>
      </c>
      <c r="AD39" s="3">
        <f t="shared" si="33"/>
        <v>72</v>
      </c>
      <c r="AE39" s="3">
        <f t="shared" si="34"/>
        <v>0</v>
      </c>
      <c r="AF39" s="3">
        <f t="shared" si="35"/>
        <v>64</v>
      </c>
      <c r="AG39" s="3">
        <f t="shared" si="36"/>
        <v>60</v>
      </c>
      <c r="AH39" s="3">
        <f t="shared" si="37"/>
        <v>58</v>
      </c>
      <c r="AI39" s="3">
        <f t="shared" si="38"/>
        <v>51</v>
      </c>
      <c r="AJ39" s="3">
        <f t="shared" si="39"/>
        <v>47</v>
      </c>
      <c r="AK39" s="3">
        <f t="shared" si="40"/>
        <v>42</v>
      </c>
      <c r="AL39" s="3">
        <f t="shared" si="41"/>
        <v>39</v>
      </c>
      <c r="AM39" s="3">
        <f t="shared" si="42"/>
        <v>26</v>
      </c>
      <c r="AN39" s="3">
        <f t="shared" si="43"/>
        <v>20</v>
      </c>
      <c r="AO39" s="3">
        <f t="shared" si="44"/>
        <v>20</v>
      </c>
      <c r="AP39" s="3">
        <f t="shared" si="45"/>
        <v>0</v>
      </c>
      <c r="AQ39" s="23">
        <f t="shared" si="46"/>
        <v>17</v>
      </c>
      <c r="AR39" s="3">
        <f t="shared" si="47"/>
        <v>0</v>
      </c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M39" s="35" t="s">
        <v>12</v>
      </c>
      <c r="BO39" s="35"/>
      <c r="BR39" s="9" t="str">
        <f t="shared" si="22"/>
        <v/>
      </c>
      <c r="BS39" s="37" t="str">
        <f t="shared" si="23"/>
        <v/>
      </c>
      <c r="BT39" s="38" t="str">
        <f t="shared" si="24"/>
        <v/>
      </c>
      <c r="BU39" s="36" t="str">
        <f t="shared" si="25"/>
        <v/>
      </c>
    </row>
    <row r="40" spans="2:75" ht="17" thickTop="1" thickBot="1">
      <c r="B40" s="16">
        <f t="shared" si="26"/>
        <v>43353</v>
      </c>
      <c r="C40" s="15" t="s">
        <v>1</v>
      </c>
      <c r="D40" s="17">
        <f t="shared" si="27"/>
        <v>43359</v>
      </c>
      <c r="E40" s="18">
        <f t="shared" si="28"/>
        <v>9</v>
      </c>
      <c r="F40" s="19">
        <f t="shared" si="29"/>
        <v>2018</v>
      </c>
      <c r="G40" s="9">
        <f t="shared" si="48"/>
        <v>17</v>
      </c>
      <c r="H40" s="8">
        <f t="shared" si="48"/>
        <v>96</v>
      </c>
      <c r="I40" s="9"/>
      <c r="J40" s="9"/>
      <c r="K40" s="9"/>
      <c r="L40" s="9"/>
      <c r="M40" s="9"/>
      <c r="N40" s="9"/>
      <c r="O40" s="12"/>
      <c r="P40" s="12"/>
      <c r="Q40" s="12"/>
      <c r="R40" s="12"/>
      <c r="S40" s="12"/>
      <c r="T40" s="12"/>
      <c r="V40" s="20">
        <f t="shared" si="0"/>
        <v>0</v>
      </c>
      <c r="W40" s="20">
        <f t="shared" si="1"/>
        <v>0</v>
      </c>
      <c r="X40" s="20">
        <f t="shared" si="2"/>
        <v>0</v>
      </c>
      <c r="Y40" s="20">
        <f t="shared" si="3"/>
        <v>2</v>
      </c>
      <c r="Z40" s="20">
        <f t="shared" si="4"/>
        <v>0</v>
      </c>
      <c r="AA40" s="20">
        <f t="shared" si="5"/>
        <v>0</v>
      </c>
      <c r="AC40" s="3">
        <f t="shared" si="32"/>
        <v>79</v>
      </c>
      <c r="AD40" s="3">
        <f t="shared" si="33"/>
        <v>73</v>
      </c>
      <c r="AE40" s="3">
        <f t="shared" si="34"/>
        <v>0</v>
      </c>
      <c r="AF40" s="3">
        <f t="shared" si="35"/>
        <v>65</v>
      </c>
      <c r="AG40" s="3">
        <f t="shared" si="36"/>
        <v>61</v>
      </c>
      <c r="AH40" s="3">
        <f t="shared" si="37"/>
        <v>59</v>
      </c>
      <c r="AI40" s="3">
        <f t="shared" si="38"/>
        <v>52</v>
      </c>
      <c r="AJ40" s="3">
        <f t="shared" si="39"/>
        <v>48</v>
      </c>
      <c r="AK40" s="3">
        <f t="shared" si="40"/>
        <v>43</v>
      </c>
      <c r="AL40" s="3">
        <f t="shared" si="41"/>
        <v>40</v>
      </c>
      <c r="AM40" s="3">
        <f t="shared" si="42"/>
        <v>27</v>
      </c>
      <c r="AN40" s="3">
        <f t="shared" si="43"/>
        <v>21</v>
      </c>
      <c r="AO40" s="3">
        <f t="shared" si="44"/>
        <v>21</v>
      </c>
      <c r="AP40" s="3">
        <f t="shared" si="45"/>
        <v>0</v>
      </c>
      <c r="AQ40" s="23">
        <f t="shared" si="46"/>
        <v>18</v>
      </c>
      <c r="AR40" s="3">
        <f t="shared" si="47"/>
        <v>0</v>
      </c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M40" s="35" t="s">
        <v>12</v>
      </c>
      <c r="BO40" s="35"/>
      <c r="BR40" s="9" t="str">
        <f t="shared" si="22"/>
        <v/>
      </c>
      <c r="BS40" s="37" t="str">
        <f t="shared" si="23"/>
        <v/>
      </c>
      <c r="BT40" s="38" t="str">
        <f t="shared" si="24"/>
        <v/>
      </c>
      <c r="BU40" s="41">
        <f t="shared" si="25"/>
        <v>16</v>
      </c>
      <c r="BV40" t="s">
        <v>13</v>
      </c>
    </row>
    <row r="41" spans="2:75" ht="17" thickTop="1" thickBot="1">
      <c r="B41" s="16">
        <f t="shared" si="26"/>
        <v>43360</v>
      </c>
      <c r="C41" s="15" t="s">
        <v>1</v>
      </c>
      <c r="D41" s="17">
        <f t="shared" si="27"/>
        <v>43366</v>
      </c>
      <c r="E41" s="18">
        <f t="shared" si="28"/>
        <v>9</v>
      </c>
      <c r="F41" s="19">
        <f t="shared" si="29"/>
        <v>2018</v>
      </c>
      <c r="G41" s="9">
        <f t="shared" si="48"/>
        <v>17</v>
      </c>
      <c r="H41" s="8">
        <f t="shared" si="48"/>
        <v>96</v>
      </c>
      <c r="I41" s="9"/>
      <c r="J41" s="9"/>
      <c r="K41" s="9">
        <v>23</v>
      </c>
      <c r="L41" s="9"/>
      <c r="M41" s="9"/>
      <c r="N41" s="9"/>
      <c r="O41" s="12"/>
      <c r="P41" s="12"/>
      <c r="Q41" s="12">
        <v>1</v>
      </c>
      <c r="R41" s="12"/>
      <c r="S41" s="12"/>
      <c r="T41" s="12"/>
      <c r="V41" s="20">
        <f t="shared" si="0"/>
        <v>0</v>
      </c>
      <c r="W41" s="20">
        <f t="shared" si="1"/>
        <v>0</v>
      </c>
      <c r="X41" s="20">
        <f t="shared" si="2"/>
        <v>23</v>
      </c>
      <c r="Y41" s="20">
        <f t="shared" si="3"/>
        <v>3</v>
      </c>
      <c r="Z41" s="20">
        <f t="shared" si="4"/>
        <v>0</v>
      </c>
      <c r="AA41" s="20">
        <f t="shared" si="5"/>
        <v>0</v>
      </c>
      <c r="AC41" s="3">
        <f t="shared" si="32"/>
        <v>80</v>
      </c>
      <c r="AD41" s="3">
        <f t="shared" si="33"/>
        <v>74</v>
      </c>
      <c r="AE41" s="3">
        <f t="shared" si="34"/>
        <v>0</v>
      </c>
      <c r="AF41" s="3">
        <f t="shared" si="35"/>
        <v>66</v>
      </c>
      <c r="AG41" s="3">
        <f t="shared" si="36"/>
        <v>62</v>
      </c>
      <c r="AH41" s="3">
        <f t="shared" si="37"/>
        <v>60</v>
      </c>
      <c r="AI41" s="3">
        <f t="shared" si="38"/>
        <v>53</v>
      </c>
      <c r="AJ41" s="3">
        <f t="shared" si="39"/>
        <v>49</v>
      </c>
      <c r="AK41" s="3">
        <f t="shared" si="40"/>
        <v>44</v>
      </c>
      <c r="AL41" s="3">
        <f t="shared" si="41"/>
        <v>41</v>
      </c>
      <c r="AM41" s="3">
        <f t="shared" si="42"/>
        <v>28</v>
      </c>
      <c r="AN41" s="3">
        <f t="shared" si="43"/>
        <v>22</v>
      </c>
      <c r="AO41" s="3">
        <f t="shared" si="44"/>
        <v>22</v>
      </c>
      <c r="AP41" s="3">
        <f t="shared" si="45"/>
        <v>0</v>
      </c>
      <c r="AQ41" s="23">
        <f t="shared" si="46"/>
        <v>19</v>
      </c>
      <c r="AR41" s="3">
        <f t="shared" si="47"/>
        <v>0</v>
      </c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J41" s="30">
        <v>43366</v>
      </c>
      <c r="BK41" t="s">
        <v>8</v>
      </c>
      <c r="BL41">
        <v>8</v>
      </c>
      <c r="BM41" s="35">
        <v>43366</v>
      </c>
      <c r="BN41" t="s">
        <v>8</v>
      </c>
      <c r="BO41" s="35">
        <f>B58</f>
        <v>43479</v>
      </c>
      <c r="BP41">
        <v>93</v>
      </c>
      <c r="BQ41" s="47" t="s">
        <v>8</v>
      </c>
      <c r="BR41" s="9">
        <f t="shared" si="22"/>
        <v>3</v>
      </c>
      <c r="BS41" s="37">
        <f t="shared" si="23"/>
        <v>43362</v>
      </c>
      <c r="BT41" s="38">
        <f>IF(BS41="","",BS41+(17*7))</f>
        <v>43481</v>
      </c>
      <c r="BU41" s="36">
        <f t="shared" si="25"/>
        <v>8</v>
      </c>
    </row>
    <row r="42" spans="2:75" ht="17" thickTop="1" thickBot="1">
      <c r="B42" s="16">
        <f t="shared" si="26"/>
        <v>43367</v>
      </c>
      <c r="C42" s="15" t="s">
        <v>1</v>
      </c>
      <c r="D42" s="17">
        <f t="shared" si="27"/>
        <v>43373</v>
      </c>
      <c r="E42" s="18">
        <f t="shared" si="28"/>
        <v>9</v>
      </c>
      <c r="F42" s="19">
        <f t="shared" si="29"/>
        <v>2018</v>
      </c>
      <c r="G42" s="9">
        <f t="shared" si="48"/>
        <v>17</v>
      </c>
      <c r="H42" s="8">
        <f t="shared" si="48"/>
        <v>96</v>
      </c>
      <c r="I42" s="9"/>
      <c r="J42" s="9"/>
      <c r="K42" s="9"/>
      <c r="L42" s="9"/>
      <c r="M42" s="9"/>
      <c r="N42" s="9"/>
      <c r="O42" s="12"/>
      <c r="P42" s="12"/>
      <c r="Q42" s="12"/>
      <c r="R42" s="12"/>
      <c r="S42" s="12"/>
      <c r="T42" s="12"/>
      <c r="V42" s="20">
        <f t="shared" si="0"/>
        <v>0</v>
      </c>
      <c r="W42" s="20">
        <f t="shared" si="1"/>
        <v>0</v>
      </c>
      <c r="X42" s="20">
        <f t="shared" si="2"/>
        <v>1</v>
      </c>
      <c r="Y42" s="20">
        <f t="shared" si="3"/>
        <v>4</v>
      </c>
      <c r="Z42" s="20">
        <f t="shared" si="4"/>
        <v>0</v>
      </c>
      <c r="AA42" s="20">
        <f t="shared" si="5"/>
        <v>0</v>
      </c>
      <c r="AC42" s="3">
        <f t="shared" si="32"/>
        <v>81</v>
      </c>
      <c r="AD42" s="3">
        <f t="shared" si="33"/>
        <v>75</v>
      </c>
      <c r="AE42" s="3">
        <f t="shared" si="34"/>
        <v>0</v>
      </c>
      <c r="AF42" s="3">
        <f t="shared" si="35"/>
        <v>67</v>
      </c>
      <c r="AG42" s="3">
        <f t="shared" si="36"/>
        <v>63</v>
      </c>
      <c r="AH42" s="3">
        <f t="shared" si="37"/>
        <v>61</v>
      </c>
      <c r="AI42" s="3">
        <f t="shared" si="38"/>
        <v>54</v>
      </c>
      <c r="AJ42" s="3">
        <f t="shared" si="39"/>
        <v>50</v>
      </c>
      <c r="AK42" s="3">
        <f t="shared" si="40"/>
        <v>45</v>
      </c>
      <c r="AL42" s="3">
        <f t="shared" si="41"/>
        <v>42</v>
      </c>
      <c r="AM42" s="3">
        <f t="shared" si="42"/>
        <v>29</v>
      </c>
      <c r="AN42" s="3">
        <f t="shared" si="43"/>
        <v>23</v>
      </c>
      <c r="AO42" s="3">
        <f t="shared" si="44"/>
        <v>23</v>
      </c>
      <c r="AP42" s="3">
        <f t="shared" si="45"/>
        <v>0</v>
      </c>
      <c r="AQ42" s="23">
        <f t="shared" si="46"/>
        <v>20</v>
      </c>
      <c r="AR42" s="3">
        <f t="shared" si="47"/>
        <v>0</v>
      </c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M42" s="35" t="s">
        <v>12</v>
      </c>
      <c r="BO42" s="35"/>
      <c r="BR42" s="9" t="str">
        <f t="shared" si="22"/>
        <v/>
      </c>
      <c r="BS42" s="37" t="str">
        <f t="shared" si="23"/>
        <v/>
      </c>
      <c r="BT42" s="38" t="str">
        <f t="shared" ref="BT42:BT105" si="49">IF(BS42="","",BS42+(17*7))</f>
        <v/>
      </c>
      <c r="BU42" s="36" t="str">
        <f t="shared" si="25"/>
        <v/>
      </c>
    </row>
    <row r="43" spans="2:75" ht="17" thickTop="1" thickBot="1">
      <c r="B43" s="16">
        <f t="shared" si="26"/>
        <v>43374</v>
      </c>
      <c r="C43" s="15" t="s">
        <v>1</v>
      </c>
      <c r="D43" s="17">
        <f t="shared" si="27"/>
        <v>43380</v>
      </c>
      <c r="E43" s="18">
        <f t="shared" si="28"/>
        <v>10</v>
      </c>
      <c r="F43" s="19">
        <f t="shared" si="29"/>
        <v>2018</v>
      </c>
      <c r="G43" s="9">
        <f t="shared" si="48"/>
        <v>17</v>
      </c>
      <c r="H43" s="8">
        <f t="shared" si="48"/>
        <v>96</v>
      </c>
      <c r="I43" s="9"/>
      <c r="J43" s="9"/>
      <c r="K43" s="9"/>
      <c r="L43" s="9"/>
      <c r="M43" s="9"/>
      <c r="N43" s="9"/>
      <c r="O43" s="12"/>
      <c r="P43" s="12"/>
      <c r="Q43" s="12"/>
      <c r="R43" s="12"/>
      <c r="S43" s="12"/>
      <c r="T43" s="12"/>
      <c r="V43" s="20">
        <f t="shared" si="0"/>
        <v>0</v>
      </c>
      <c r="W43" s="20">
        <f t="shared" si="1"/>
        <v>0</v>
      </c>
      <c r="X43" s="20">
        <f t="shared" si="2"/>
        <v>2</v>
      </c>
      <c r="Y43" s="20">
        <f t="shared" si="3"/>
        <v>5</v>
      </c>
      <c r="Z43" s="20">
        <f t="shared" si="4"/>
        <v>0</v>
      </c>
      <c r="AA43" s="20">
        <f t="shared" si="5"/>
        <v>0</v>
      </c>
      <c r="AC43" s="3">
        <f t="shared" si="32"/>
        <v>82</v>
      </c>
      <c r="AD43" s="3">
        <f t="shared" si="33"/>
        <v>76</v>
      </c>
      <c r="AE43" s="3">
        <f t="shared" si="34"/>
        <v>0</v>
      </c>
      <c r="AF43" s="3">
        <f t="shared" si="35"/>
        <v>68</v>
      </c>
      <c r="AG43" s="3">
        <f t="shared" si="36"/>
        <v>64</v>
      </c>
      <c r="AH43" s="3">
        <f t="shared" si="37"/>
        <v>62</v>
      </c>
      <c r="AI43" s="3">
        <f t="shared" si="38"/>
        <v>55</v>
      </c>
      <c r="AJ43" s="3">
        <f t="shared" si="39"/>
        <v>51</v>
      </c>
      <c r="AK43" s="3">
        <f t="shared" si="40"/>
        <v>46</v>
      </c>
      <c r="AL43" s="3">
        <f t="shared" si="41"/>
        <v>43</v>
      </c>
      <c r="AM43" s="3">
        <f t="shared" si="42"/>
        <v>30</v>
      </c>
      <c r="AN43" s="3">
        <f t="shared" si="43"/>
        <v>24</v>
      </c>
      <c r="AO43" s="3">
        <f t="shared" si="44"/>
        <v>24</v>
      </c>
      <c r="AP43" s="3">
        <f t="shared" si="45"/>
        <v>0</v>
      </c>
      <c r="AQ43" s="23">
        <f t="shared" si="46"/>
        <v>21</v>
      </c>
      <c r="AR43" s="3">
        <f t="shared" si="47"/>
        <v>0</v>
      </c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M43" s="35" t="s">
        <v>12</v>
      </c>
      <c r="BO43" s="35"/>
      <c r="BR43" s="9" t="str">
        <f t="shared" si="22"/>
        <v/>
      </c>
      <c r="BS43" s="37" t="str">
        <f t="shared" si="23"/>
        <v/>
      </c>
      <c r="BT43" s="38" t="str">
        <f t="shared" si="49"/>
        <v/>
      </c>
      <c r="BU43" s="36" t="str">
        <f t="shared" si="25"/>
        <v/>
      </c>
    </row>
    <row r="44" spans="2:75" ht="17" thickTop="1" thickBot="1">
      <c r="B44" s="16">
        <f t="shared" si="26"/>
        <v>43381</v>
      </c>
      <c r="C44" s="15" t="s">
        <v>1</v>
      </c>
      <c r="D44" s="17">
        <f t="shared" si="27"/>
        <v>43387</v>
      </c>
      <c r="E44" s="18">
        <f t="shared" si="28"/>
        <v>10</v>
      </c>
      <c r="F44" s="19">
        <f t="shared" si="29"/>
        <v>2018</v>
      </c>
      <c r="G44" s="9">
        <f t="shared" si="48"/>
        <v>17</v>
      </c>
      <c r="H44" s="8">
        <f t="shared" si="48"/>
        <v>96</v>
      </c>
      <c r="I44" s="9"/>
      <c r="J44" s="9"/>
      <c r="K44" s="9"/>
      <c r="L44" s="9"/>
      <c r="M44" s="9"/>
      <c r="N44" s="9"/>
      <c r="O44" s="12"/>
      <c r="P44" s="12"/>
      <c r="Q44" s="12"/>
      <c r="R44" s="12"/>
      <c r="S44" s="12">
        <v>1</v>
      </c>
      <c r="T44" s="12"/>
      <c r="V44" s="20">
        <f t="shared" si="0"/>
        <v>0</v>
      </c>
      <c r="W44" s="20">
        <f t="shared" si="1"/>
        <v>0</v>
      </c>
      <c r="X44" s="20">
        <f t="shared" si="2"/>
        <v>3</v>
      </c>
      <c r="Y44" s="20">
        <f t="shared" si="3"/>
        <v>6</v>
      </c>
      <c r="Z44" s="20">
        <f t="shared" si="4"/>
        <v>43383</v>
      </c>
      <c r="AA44" s="20">
        <f t="shared" si="5"/>
        <v>0</v>
      </c>
      <c r="AC44" s="3">
        <f t="shared" si="32"/>
        <v>83</v>
      </c>
      <c r="AD44" s="3">
        <f t="shared" si="33"/>
        <v>77</v>
      </c>
      <c r="AE44" s="22">
        <f t="shared" si="34"/>
        <v>0</v>
      </c>
      <c r="AF44" s="3">
        <f t="shared" si="35"/>
        <v>69</v>
      </c>
      <c r="AG44" s="3">
        <f t="shared" si="36"/>
        <v>65</v>
      </c>
      <c r="AH44" s="3">
        <f t="shared" si="37"/>
        <v>63</v>
      </c>
      <c r="AI44" s="3">
        <f t="shared" si="38"/>
        <v>56</v>
      </c>
      <c r="AJ44" s="3">
        <f t="shared" si="39"/>
        <v>52</v>
      </c>
      <c r="AK44" s="3">
        <f t="shared" si="40"/>
        <v>47</v>
      </c>
      <c r="AL44" s="3">
        <f t="shared" si="41"/>
        <v>44</v>
      </c>
      <c r="AM44" s="3">
        <f t="shared" si="42"/>
        <v>31</v>
      </c>
      <c r="AN44" s="3">
        <f t="shared" si="43"/>
        <v>25</v>
      </c>
      <c r="AO44" s="3">
        <f t="shared" si="44"/>
        <v>25</v>
      </c>
      <c r="AP44" s="3">
        <f t="shared" si="45"/>
        <v>0</v>
      </c>
      <c r="AQ44" s="23">
        <f t="shared" si="46"/>
        <v>22</v>
      </c>
      <c r="AR44" s="3">
        <f t="shared" si="47"/>
        <v>0</v>
      </c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J44" s="30">
        <f>B44+2</f>
        <v>43383</v>
      </c>
      <c r="BK44" t="s">
        <v>7</v>
      </c>
      <c r="BL44">
        <v>16</v>
      </c>
      <c r="BM44" s="35">
        <v>43383</v>
      </c>
      <c r="BN44" t="s">
        <v>7</v>
      </c>
      <c r="BO44" s="35">
        <f>B57</f>
        <v>43472</v>
      </c>
      <c r="BP44">
        <v>94</v>
      </c>
      <c r="BQ44" s="47" t="s">
        <v>7</v>
      </c>
      <c r="BR44" s="9">
        <f t="shared" si="22"/>
        <v>5</v>
      </c>
      <c r="BS44" s="37">
        <f t="shared" si="23"/>
        <v>43383</v>
      </c>
      <c r="BT44" s="38">
        <f t="shared" si="49"/>
        <v>43502</v>
      </c>
      <c r="BU44" s="36" t="str">
        <f t="shared" si="25"/>
        <v/>
      </c>
      <c r="BV44" s="36">
        <v>16</v>
      </c>
    </row>
    <row r="45" spans="2:75" ht="17" thickTop="1" thickBot="1">
      <c r="B45" s="16">
        <f t="shared" si="26"/>
        <v>43388</v>
      </c>
      <c r="C45" s="15" t="s">
        <v>1</v>
      </c>
      <c r="D45" s="17">
        <f t="shared" si="27"/>
        <v>43394</v>
      </c>
      <c r="E45" s="18">
        <f t="shared" si="28"/>
        <v>10</v>
      </c>
      <c r="F45" s="19">
        <f t="shared" si="29"/>
        <v>2018</v>
      </c>
      <c r="G45" s="9">
        <f t="shared" si="48"/>
        <v>17</v>
      </c>
      <c r="H45" s="8">
        <f t="shared" si="48"/>
        <v>96</v>
      </c>
      <c r="I45" s="9"/>
      <c r="J45" s="9"/>
      <c r="K45" s="9"/>
      <c r="L45" s="9"/>
      <c r="M45" s="9"/>
      <c r="N45" s="9"/>
      <c r="O45" s="12"/>
      <c r="P45" s="12"/>
      <c r="Q45" s="12"/>
      <c r="R45" s="12"/>
      <c r="S45" s="12"/>
      <c r="T45" s="12"/>
      <c r="V45" s="20">
        <f t="shared" si="0"/>
        <v>0</v>
      </c>
      <c r="W45" s="20">
        <f t="shared" si="1"/>
        <v>0</v>
      </c>
      <c r="X45" s="20">
        <f t="shared" si="2"/>
        <v>4</v>
      </c>
      <c r="Y45" s="20">
        <f t="shared" si="3"/>
        <v>7</v>
      </c>
      <c r="Z45" s="20">
        <f t="shared" si="4"/>
        <v>1</v>
      </c>
      <c r="AA45" s="20">
        <f t="shared" si="5"/>
        <v>0</v>
      </c>
      <c r="AC45" s="3">
        <f t="shared" si="32"/>
        <v>84</v>
      </c>
      <c r="AD45" s="3">
        <f t="shared" si="33"/>
        <v>78</v>
      </c>
      <c r="AE45" s="22">
        <f t="shared" si="34"/>
        <v>0</v>
      </c>
      <c r="AF45" s="3">
        <f t="shared" si="35"/>
        <v>70</v>
      </c>
      <c r="AG45" s="3">
        <f t="shared" si="36"/>
        <v>66</v>
      </c>
      <c r="AH45" s="3">
        <f t="shared" si="37"/>
        <v>64</v>
      </c>
      <c r="AI45" s="3">
        <f t="shared" si="38"/>
        <v>57</v>
      </c>
      <c r="AJ45" s="3">
        <f t="shared" si="39"/>
        <v>53</v>
      </c>
      <c r="AK45" s="3">
        <f t="shared" si="40"/>
        <v>48</v>
      </c>
      <c r="AL45" s="3">
        <f t="shared" si="41"/>
        <v>45</v>
      </c>
      <c r="AM45" s="3">
        <f t="shared" si="42"/>
        <v>32</v>
      </c>
      <c r="AN45" s="3">
        <f t="shared" si="43"/>
        <v>26</v>
      </c>
      <c r="AO45" s="3">
        <f t="shared" si="44"/>
        <v>26</v>
      </c>
      <c r="AP45" s="3">
        <f t="shared" si="45"/>
        <v>0</v>
      </c>
      <c r="AQ45" s="23">
        <f t="shared" si="46"/>
        <v>23</v>
      </c>
      <c r="AR45" s="3">
        <f t="shared" si="47"/>
        <v>0</v>
      </c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M45" s="35" t="s">
        <v>12</v>
      </c>
      <c r="BO45" s="35"/>
      <c r="BR45" s="9" t="str">
        <f t="shared" si="22"/>
        <v/>
      </c>
      <c r="BS45" s="37" t="str">
        <f t="shared" si="23"/>
        <v/>
      </c>
      <c r="BT45" s="38" t="str">
        <f t="shared" si="49"/>
        <v/>
      </c>
      <c r="BU45" s="36" t="str">
        <f t="shared" si="25"/>
        <v/>
      </c>
    </row>
    <row r="46" spans="2:75" ht="17" thickTop="1" thickBot="1">
      <c r="B46" s="16">
        <f t="shared" si="26"/>
        <v>43395</v>
      </c>
      <c r="C46" s="15" t="s">
        <v>1</v>
      </c>
      <c r="D46" s="17">
        <f t="shared" si="27"/>
        <v>43401</v>
      </c>
      <c r="E46" s="18">
        <f t="shared" si="28"/>
        <v>10</v>
      </c>
      <c r="F46" s="19">
        <f t="shared" si="29"/>
        <v>2018</v>
      </c>
      <c r="G46" s="9">
        <f t="shared" si="48"/>
        <v>17</v>
      </c>
      <c r="H46" s="8">
        <f t="shared" si="48"/>
        <v>96</v>
      </c>
      <c r="I46" s="9"/>
      <c r="J46" s="9"/>
      <c r="K46" s="9"/>
      <c r="L46" s="9"/>
      <c r="M46" s="9"/>
      <c r="N46" s="9"/>
      <c r="O46" s="12"/>
      <c r="P46" s="12"/>
      <c r="Q46" s="12"/>
      <c r="R46" s="12"/>
      <c r="S46" s="12"/>
      <c r="T46" s="12"/>
      <c r="V46" s="20">
        <f t="shared" si="0"/>
        <v>0</v>
      </c>
      <c r="W46" s="20">
        <f t="shared" si="1"/>
        <v>0</v>
      </c>
      <c r="X46" s="20">
        <f t="shared" si="2"/>
        <v>5</v>
      </c>
      <c r="Y46" s="20">
        <f t="shared" si="3"/>
        <v>8</v>
      </c>
      <c r="Z46" s="20">
        <f t="shared" si="4"/>
        <v>2</v>
      </c>
      <c r="AA46" s="20">
        <f t="shared" si="5"/>
        <v>0</v>
      </c>
      <c r="AC46" s="3">
        <f t="shared" si="32"/>
        <v>85</v>
      </c>
      <c r="AD46" s="3">
        <f t="shared" si="33"/>
        <v>79</v>
      </c>
      <c r="AE46" s="22">
        <f t="shared" si="34"/>
        <v>0</v>
      </c>
      <c r="AF46" s="3">
        <f t="shared" si="35"/>
        <v>71</v>
      </c>
      <c r="AG46" s="3">
        <f t="shared" si="36"/>
        <v>67</v>
      </c>
      <c r="AH46" s="3">
        <f t="shared" si="37"/>
        <v>65</v>
      </c>
      <c r="AI46" s="3">
        <f t="shared" si="38"/>
        <v>58</v>
      </c>
      <c r="AJ46" s="3">
        <f t="shared" si="39"/>
        <v>54</v>
      </c>
      <c r="AK46" s="3">
        <f t="shared" si="40"/>
        <v>49</v>
      </c>
      <c r="AL46" s="3">
        <f t="shared" si="41"/>
        <v>46</v>
      </c>
      <c r="AM46" s="3">
        <f t="shared" si="42"/>
        <v>33</v>
      </c>
      <c r="AN46" s="3">
        <f t="shared" si="43"/>
        <v>27</v>
      </c>
      <c r="AO46" s="3">
        <f t="shared" si="44"/>
        <v>27</v>
      </c>
      <c r="AP46" s="3">
        <f t="shared" si="45"/>
        <v>0</v>
      </c>
      <c r="AQ46" s="23">
        <f t="shared" si="46"/>
        <v>24</v>
      </c>
      <c r="AR46" s="3">
        <f t="shared" si="47"/>
        <v>0</v>
      </c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M46" s="35" t="s">
        <v>12</v>
      </c>
      <c r="BO46" s="35"/>
      <c r="BR46" s="9" t="str">
        <f t="shared" si="22"/>
        <v/>
      </c>
      <c r="BS46" s="37" t="str">
        <f t="shared" si="23"/>
        <v/>
      </c>
      <c r="BT46" s="38" t="str">
        <f t="shared" si="49"/>
        <v/>
      </c>
      <c r="BU46" s="36" t="str">
        <f t="shared" si="25"/>
        <v/>
      </c>
    </row>
    <row r="47" spans="2:75" ht="17" thickTop="1" thickBot="1">
      <c r="B47" s="16">
        <f t="shared" si="26"/>
        <v>43402</v>
      </c>
      <c r="C47" s="15" t="s">
        <v>1</v>
      </c>
      <c r="D47" s="17">
        <f t="shared" si="27"/>
        <v>43408</v>
      </c>
      <c r="E47" s="18">
        <f t="shared" si="28"/>
        <v>10</v>
      </c>
      <c r="F47" s="19">
        <f t="shared" si="29"/>
        <v>2018</v>
      </c>
      <c r="G47" s="9">
        <f t="shared" si="48"/>
        <v>17</v>
      </c>
      <c r="H47" s="8">
        <f t="shared" si="48"/>
        <v>96</v>
      </c>
      <c r="I47" s="9"/>
      <c r="J47" s="9"/>
      <c r="K47" s="9"/>
      <c r="L47" s="9"/>
      <c r="M47" s="9"/>
      <c r="N47" s="9"/>
      <c r="O47" s="12"/>
      <c r="P47" s="12">
        <v>1</v>
      </c>
      <c r="Q47" s="12"/>
      <c r="R47" s="12"/>
      <c r="S47" s="12"/>
      <c r="T47" s="12"/>
      <c r="V47" s="20">
        <f t="shared" si="0"/>
        <v>0</v>
      </c>
      <c r="W47" s="20">
        <f t="shared" si="1"/>
        <v>43404</v>
      </c>
      <c r="X47" s="20">
        <f t="shared" si="2"/>
        <v>6</v>
      </c>
      <c r="Y47" s="20">
        <f t="shared" si="3"/>
        <v>9</v>
      </c>
      <c r="Z47" s="20">
        <f t="shared" si="4"/>
        <v>3</v>
      </c>
      <c r="AA47" s="20">
        <f t="shared" si="5"/>
        <v>0</v>
      </c>
      <c r="AC47" s="3">
        <f t="shared" si="32"/>
        <v>86</v>
      </c>
      <c r="AD47" s="3">
        <f t="shared" si="33"/>
        <v>80</v>
      </c>
      <c r="AE47" s="22">
        <f t="shared" si="34"/>
        <v>0</v>
      </c>
      <c r="AF47" s="3">
        <f t="shared" si="35"/>
        <v>72</v>
      </c>
      <c r="AG47" s="3">
        <f t="shared" si="36"/>
        <v>68</v>
      </c>
      <c r="AH47" s="3">
        <f t="shared" si="37"/>
        <v>66</v>
      </c>
      <c r="AI47" s="3">
        <f t="shared" si="38"/>
        <v>59</v>
      </c>
      <c r="AJ47" s="3">
        <f t="shared" si="39"/>
        <v>55</v>
      </c>
      <c r="AK47" s="3">
        <f t="shared" si="40"/>
        <v>50</v>
      </c>
      <c r="AL47" s="3">
        <f t="shared" si="41"/>
        <v>47</v>
      </c>
      <c r="AM47" s="3">
        <f t="shared" si="42"/>
        <v>34</v>
      </c>
      <c r="AN47" s="3">
        <f t="shared" si="43"/>
        <v>28</v>
      </c>
      <c r="AO47" s="3">
        <f t="shared" si="44"/>
        <v>28</v>
      </c>
      <c r="AP47" s="3">
        <f t="shared" si="45"/>
        <v>0</v>
      </c>
      <c r="AQ47" s="23">
        <f t="shared" si="46"/>
        <v>25</v>
      </c>
      <c r="AR47" s="3">
        <f t="shared" si="47"/>
        <v>0</v>
      </c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J47" s="30">
        <f>B47+2</f>
        <v>43404</v>
      </c>
      <c r="BK47" t="s">
        <v>8</v>
      </c>
      <c r="BL47">
        <v>9</v>
      </c>
      <c r="BM47" s="35">
        <v>43404</v>
      </c>
      <c r="BN47" t="s">
        <v>8</v>
      </c>
      <c r="BO47" s="35">
        <f>B64</f>
        <v>43521</v>
      </c>
      <c r="BP47">
        <v>96</v>
      </c>
      <c r="BQ47" s="47" t="s">
        <v>8</v>
      </c>
      <c r="BR47" s="9">
        <f t="shared" si="22"/>
        <v>2</v>
      </c>
      <c r="BS47" s="37">
        <f t="shared" si="23"/>
        <v>43404</v>
      </c>
      <c r="BT47" s="38">
        <f t="shared" si="49"/>
        <v>43523</v>
      </c>
      <c r="BU47" s="36">
        <f t="shared" si="25"/>
        <v>9</v>
      </c>
    </row>
    <row r="48" spans="2:75" ht="17" thickTop="1" thickBot="1">
      <c r="B48" s="16">
        <f t="shared" si="26"/>
        <v>43409</v>
      </c>
      <c r="C48" s="15" t="s">
        <v>1</v>
      </c>
      <c r="D48" s="17">
        <f t="shared" si="27"/>
        <v>43415</v>
      </c>
      <c r="E48" s="18">
        <f t="shared" si="28"/>
        <v>11</v>
      </c>
      <c r="F48" s="19">
        <f t="shared" si="29"/>
        <v>2018</v>
      </c>
      <c r="G48" s="9">
        <f t="shared" si="48"/>
        <v>17</v>
      </c>
      <c r="H48" s="8">
        <f t="shared" si="48"/>
        <v>96</v>
      </c>
      <c r="I48" s="9"/>
      <c r="J48" s="9"/>
      <c r="K48" s="9"/>
      <c r="L48" s="9"/>
      <c r="M48" s="9"/>
      <c r="N48" s="9"/>
      <c r="O48" s="12"/>
      <c r="P48" s="12"/>
      <c r="Q48" s="12"/>
      <c r="R48" s="12"/>
      <c r="S48" s="12"/>
      <c r="T48" s="12"/>
      <c r="V48" s="20">
        <f t="shared" si="0"/>
        <v>0</v>
      </c>
      <c r="W48" s="20">
        <f t="shared" si="1"/>
        <v>1</v>
      </c>
      <c r="X48" s="20">
        <f t="shared" si="2"/>
        <v>7</v>
      </c>
      <c r="Y48" s="20">
        <f t="shared" si="3"/>
        <v>10</v>
      </c>
      <c r="Z48" s="20">
        <f t="shared" si="4"/>
        <v>4</v>
      </c>
      <c r="AA48" s="20">
        <f t="shared" si="5"/>
        <v>0</v>
      </c>
      <c r="AC48" s="3">
        <f t="shared" si="32"/>
        <v>87</v>
      </c>
      <c r="AD48" s="3">
        <f t="shared" si="33"/>
        <v>81</v>
      </c>
      <c r="AE48" s="22">
        <f t="shared" si="34"/>
        <v>0</v>
      </c>
      <c r="AF48" s="3">
        <f t="shared" si="35"/>
        <v>73</v>
      </c>
      <c r="AG48" s="3">
        <f t="shared" si="36"/>
        <v>69</v>
      </c>
      <c r="AH48" s="3">
        <f t="shared" si="37"/>
        <v>67</v>
      </c>
      <c r="AI48" s="3">
        <f t="shared" si="38"/>
        <v>60</v>
      </c>
      <c r="AJ48" s="3">
        <f t="shared" si="39"/>
        <v>56</v>
      </c>
      <c r="AK48" s="3">
        <f t="shared" si="40"/>
        <v>51</v>
      </c>
      <c r="AL48" s="3">
        <f t="shared" si="41"/>
        <v>48</v>
      </c>
      <c r="AM48" s="3">
        <f t="shared" si="42"/>
        <v>35</v>
      </c>
      <c r="AN48" s="3">
        <f t="shared" si="43"/>
        <v>29</v>
      </c>
      <c r="AO48" s="3">
        <f t="shared" si="44"/>
        <v>29</v>
      </c>
      <c r="AP48" s="3">
        <f t="shared" si="45"/>
        <v>0</v>
      </c>
      <c r="AQ48" s="23">
        <f t="shared" si="46"/>
        <v>26</v>
      </c>
      <c r="AR48" s="3">
        <f t="shared" si="47"/>
        <v>0</v>
      </c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M48" s="35" t="s">
        <v>12</v>
      </c>
      <c r="BO48" s="35"/>
      <c r="BR48" s="9" t="str">
        <f t="shared" si="22"/>
        <v/>
      </c>
      <c r="BS48" s="37" t="str">
        <f t="shared" si="23"/>
        <v/>
      </c>
      <c r="BT48" s="38" t="str">
        <f t="shared" si="49"/>
        <v/>
      </c>
      <c r="BU48" s="36" t="str">
        <f t="shared" si="25"/>
        <v/>
      </c>
    </row>
    <row r="49" spans="2:74" ht="17" thickTop="1" thickBot="1">
      <c r="B49" s="16">
        <f t="shared" si="26"/>
        <v>43416</v>
      </c>
      <c r="C49" s="15" t="s">
        <v>1</v>
      </c>
      <c r="D49" s="17">
        <f t="shared" si="27"/>
        <v>43422</v>
      </c>
      <c r="E49" s="18">
        <f t="shared" si="28"/>
        <v>11</v>
      </c>
      <c r="F49" s="19">
        <f t="shared" si="29"/>
        <v>2018</v>
      </c>
      <c r="G49" s="9">
        <f t="shared" si="48"/>
        <v>17</v>
      </c>
      <c r="H49" s="8">
        <f t="shared" si="48"/>
        <v>96</v>
      </c>
      <c r="I49" s="9"/>
      <c r="J49" s="9"/>
      <c r="K49" s="9"/>
      <c r="L49" s="9"/>
      <c r="M49" s="9"/>
      <c r="N49" s="9"/>
      <c r="O49" s="12"/>
      <c r="P49" s="12"/>
      <c r="Q49" s="12"/>
      <c r="R49" s="12"/>
      <c r="S49" s="12"/>
      <c r="T49" s="12"/>
      <c r="V49" s="20">
        <f t="shared" si="0"/>
        <v>0</v>
      </c>
      <c r="W49" s="20">
        <f t="shared" si="1"/>
        <v>2</v>
      </c>
      <c r="X49" s="20">
        <f t="shared" si="2"/>
        <v>8</v>
      </c>
      <c r="Y49" s="20">
        <f t="shared" si="3"/>
        <v>11</v>
      </c>
      <c r="Z49" s="20">
        <f t="shared" si="4"/>
        <v>5</v>
      </c>
      <c r="AA49" s="20">
        <f t="shared" si="5"/>
        <v>0</v>
      </c>
      <c r="AC49" s="3">
        <f t="shared" si="32"/>
        <v>88</v>
      </c>
      <c r="AD49" s="3">
        <f t="shared" si="33"/>
        <v>82</v>
      </c>
      <c r="AE49" s="22">
        <f t="shared" si="34"/>
        <v>0</v>
      </c>
      <c r="AF49" s="3">
        <f t="shared" si="35"/>
        <v>74</v>
      </c>
      <c r="AG49" s="3">
        <f t="shared" si="36"/>
        <v>70</v>
      </c>
      <c r="AH49" s="3">
        <f t="shared" si="37"/>
        <v>68</v>
      </c>
      <c r="AI49" s="3">
        <f t="shared" si="38"/>
        <v>61</v>
      </c>
      <c r="AJ49" s="3">
        <f t="shared" si="39"/>
        <v>57</v>
      </c>
      <c r="AK49" s="3">
        <f t="shared" si="40"/>
        <v>52</v>
      </c>
      <c r="AL49" s="3">
        <f t="shared" si="41"/>
        <v>49</v>
      </c>
      <c r="AM49" s="3">
        <f t="shared" si="42"/>
        <v>36</v>
      </c>
      <c r="AN49" s="3">
        <f t="shared" si="43"/>
        <v>30</v>
      </c>
      <c r="AO49" s="3">
        <f t="shared" si="44"/>
        <v>30</v>
      </c>
      <c r="AP49" s="3">
        <f t="shared" si="45"/>
        <v>0</v>
      </c>
      <c r="AQ49" s="23">
        <f t="shared" si="46"/>
        <v>27</v>
      </c>
      <c r="AR49" s="3">
        <f t="shared" si="47"/>
        <v>0</v>
      </c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M49" s="35" t="s">
        <v>12</v>
      </c>
      <c r="BO49" s="35"/>
      <c r="BR49" s="9" t="str">
        <f t="shared" si="22"/>
        <v/>
      </c>
      <c r="BS49" s="37" t="str">
        <f t="shared" si="23"/>
        <v/>
      </c>
      <c r="BT49" s="38" t="str">
        <f t="shared" si="49"/>
        <v/>
      </c>
      <c r="BU49" s="36" t="str">
        <f t="shared" si="25"/>
        <v/>
      </c>
    </row>
    <row r="50" spans="2:74" ht="17" thickTop="1" thickBot="1">
      <c r="B50" s="16">
        <f t="shared" si="26"/>
        <v>43423</v>
      </c>
      <c r="C50" s="15" t="s">
        <v>1</v>
      </c>
      <c r="D50" s="17">
        <f t="shared" si="27"/>
        <v>43429</v>
      </c>
      <c r="E50" s="18">
        <f t="shared" si="28"/>
        <v>11</v>
      </c>
      <c r="F50" s="19">
        <f t="shared" si="29"/>
        <v>2018</v>
      </c>
      <c r="G50" s="9">
        <f t="shared" si="48"/>
        <v>17</v>
      </c>
      <c r="H50" s="8">
        <f t="shared" si="48"/>
        <v>96</v>
      </c>
      <c r="I50" s="9"/>
      <c r="J50" s="9"/>
      <c r="K50" s="9"/>
      <c r="L50" s="9"/>
      <c r="M50" s="9"/>
      <c r="N50" s="9"/>
      <c r="O50" s="12"/>
      <c r="P50" s="12"/>
      <c r="Q50" s="12"/>
      <c r="R50" s="12"/>
      <c r="S50" s="12"/>
      <c r="T50" s="12"/>
      <c r="V50" s="20">
        <f t="shared" si="0"/>
        <v>0</v>
      </c>
      <c r="W50" s="20">
        <f t="shared" si="1"/>
        <v>3</v>
      </c>
      <c r="X50" s="20">
        <f t="shared" si="2"/>
        <v>9</v>
      </c>
      <c r="Y50" s="20">
        <f t="shared" si="3"/>
        <v>12</v>
      </c>
      <c r="Z50" s="20">
        <f t="shared" si="4"/>
        <v>6</v>
      </c>
      <c r="AA50" s="20">
        <f t="shared" si="5"/>
        <v>0</v>
      </c>
      <c r="AC50" s="3">
        <f t="shared" si="32"/>
        <v>89</v>
      </c>
      <c r="AD50" s="3">
        <f t="shared" si="33"/>
        <v>83</v>
      </c>
      <c r="AE50" s="22">
        <f t="shared" si="34"/>
        <v>0</v>
      </c>
      <c r="AF50" s="3">
        <f t="shared" si="35"/>
        <v>75</v>
      </c>
      <c r="AG50" s="3">
        <f t="shared" si="36"/>
        <v>71</v>
      </c>
      <c r="AH50" s="3">
        <f t="shared" si="37"/>
        <v>69</v>
      </c>
      <c r="AI50" s="3">
        <f t="shared" si="38"/>
        <v>62</v>
      </c>
      <c r="AJ50" s="3">
        <f t="shared" si="39"/>
        <v>58</v>
      </c>
      <c r="AK50" s="3">
        <f t="shared" si="40"/>
        <v>53</v>
      </c>
      <c r="AL50" s="3">
        <f t="shared" si="41"/>
        <v>50</v>
      </c>
      <c r="AM50" s="3">
        <f t="shared" si="42"/>
        <v>37</v>
      </c>
      <c r="AN50" s="3">
        <f t="shared" si="43"/>
        <v>31</v>
      </c>
      <c r="AO50" s="3">
        <f t="shared" si="44"/>
        <v>31</v>
      </c>
      <c r="AP50" s="3">
        <f t="shared" si="45"/>
        <v>0</v>
      </c>
      <c r="AQ50" s="23">
        <f t="shared" si="46"/>
        <v>28</v>
      </c>
      <c r="AR50" s="3">
        <f t="shared" si="47"/>
        <v>0</v>
      </c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 t="s">
        <v>5</v>
      </c>
      <c r="BH50" s="8"/>
      <c r="BM50" s="35" t="s">
        <v>12</v>
      </c>
      <c r="BO50" s="35"/>
      <c r="BR50" s="9" t="str">
        <f t="shared" si="22"/>
        <v/>
      </c>
      <c r="BS50" s="37" t="str">
        <f t="shared" si="23"/>
        <v/>
      </c>
      <c r="BT50" s="38" t="str">
        <f t="shared" si="49"/>
        <v/>
      </c>
      <c r="BU50" s="36" t="str">
        <f t="shared" si="25"/>
        <v/>
      </c>
    </row>
    <row r="51" spans="2:74" ht="16" thickTop="1">
      <c r="B51" s="16">
        <f t="shared" si="26"/>
        <v>43430</v>
      </c>
      <c r="C51" s="15" t="s">
        <v>1</v>
      </c>
      <c r="D51" s="17">
        <f t="shared" si="27"/>
        <v>43436</v>
      </c>
      <c r="E51" s="18">
        <f t="shared" si="28"/>
        <v>11</v>
      </c>
      <c r="F51" s="19">
        <f t="shared" si="29"/>
        <v>2018</v>
      </c>
      <c r="G51" s="9">
        <f t="shared" si="48"/>
        <v>17</v>
      </c>
      <c r="H51" s="8">
        <f t="shared" si="48"/>
        <v>96</v>
      </c>
      <c r="I51" s="9">
        <v>29</v>
      </c>
      <c r="J51" s="9"/>
      <c r="K51" s="9"/>
      <c r="L51" s="9"/>
      <c r="M51" s="9"/>
      <c r="N51" s="9"/>
      <c r="O51" s="12">
        <v>1</v>
      </c>
      <c r="P51" s="12"/>
      <c r="Q51" s="12"/>
      <c r="R51" s="12"/>
      <c r="S51" s="12"/>
      <c r="T51" s="12"/>
      <c r="V51" s="20">
        <f t="shared" si="0"/>
        <v>29</v>
      </c>
      <c r="W51" s="20">
        <f t="shared" si="1"/>
        <v>4</v>
      </c>
      <c r="X51" s="20">
        <f t="shared" si="2"/>
        <v>10</v>
      </c>
      <c r="Y51" s="20">
        <f t="shared" si="3"/>
        <v>13</v>
      </c>
      <c r="Z51" s="20">
        <f t="shared" si="4"/>
        <v>7</v>
      </c>
      <c r="AA51" s="20">
        <f t="shared" si="5"/>
        <v>0</v>
      </c>
      <c r="AC51" s="3">
        <f t="shared" si="32"/>
        <v>90</v>
      </c>
      <c r="AD51" s="3">
        <f t="shared" si="33"/>
        <v>84</v>
      </c>
      <c r="AE51" s="22">
        <f t="shared" si="34"/>
        <v>0</v>
      </c>
      <c r="AF51" s="3">
        <f t="shared" si="35"/>
        <v>76</v>
      </c>
      <c r="AG51" s="3">
        <f t="shared" si="36"/>
        <v>72</v>
      </c>
      <c r="AH51" s="3">
        <f t="shared" si="37"/>
        <v>70</v>
      </c>
      <c r="AI51" s="3">
        <f t="shared" si="38"/>
        <v>63</v>
      </c>
      <c r="AJ51" s="3">
        <f t="shared" si="39"/>
        <v>59</v>
      </c>
      <c r="AK51" s="3">
        <f t="shared" si="40"/>
        <v>54</v>
      </c>
      <c r="AL51" s="3">
        <f t="shared" si="41"/>
        <v>51</v>
      </c>
      <c r="AM51" s="3">
        <f t="shared" si="42"/>
        <v>38</v>
      </c>
      <c r="AN51" s="3">
        <f t="shared" si="43"/>
        <v>32</v>
      </c>
      <c r="AO51" s="3">
        <f t="shared" si="44"/>
        <v>32</v>
      </c>
      <c r="AP51" s="3">
        <f t="shared" si="45"/>
        <v>0</v>
      </c>
      <c r="AQ51" s="24">
        <f t="shared" si="46"/>
        <v>0</v>
      </c>
      <c r="AR51" s="3">
        <f t="shared" si="47"/>
        <v>0</v>
      </c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J51" s="30">
        <f>B51+3</f>
        <v>43433</v>
      </c>
      <c r="BK51" s="26" t="s">
        <v>6</v>
      </c>
      <c r="BL51">
        <v>10</v>
      </c>
      <c r="BM51" s="35">
        <v>43433</v>
      </c>
      <c r="BN51" s="26" t="s">
        <v>6</v>
      </c>
      <c r="BO51" s="35">
        <f>B68</f>
        <v>43549</v>
      </c>
      <c r="BP51">
        <v>98</v>
      </c>
      <c r="BQ51" s="44" t="s">
        <v>6</v>
      </c>
      <c r="BR51" s="9">
        <f t="shared" si="22"/>
        <v>1</v>
      </c>
      <c r="BS51" s="37">
        <f t="shared" si="23"/>
        <v>43432</v>
      </c>
      <c r="BT51" s="38">
        <f t="shared" si="49"/>
        <v>43551</v>
      </c>
      <c r="BU51" s="36">
        <f t="shared" si="25"/>
        <v>11</v>
      </c>
    </row>
    <row r="52" spans="2:74" ht="15">
      <c r="B52" s="16">
        <f t="shared" si="26"/>
        <v>43437</v>
      </c>
      <c r="C52" s="15" t="s">
        <v>1</v>
      </c>
      <c r="D52" s="17">
        <f t="shared" si="27"/>
        <v>43443</v>
      </c>
      <c r="E52" s="18">
        <f t="shared" si="28"/>
        <v>12</v>
      </c>
      <c r="F52" s="19">
        <f t="shared" si="29"/>
        <v>2018</v>
      </c>
      <c r="G52" s="9">
        <f t="shared" si="48"/>
        <v>17</v>
      </c>
      <c r="H52" s="8">
        <f t="shared" si="48"/>
        <v>96</v>
      </c>
      <c r="I52" s="9"/>
      <c r="J52" s="9"/>
      <c r="K52" s="9"/>
      <c r="L52" s="9"/>
      <c r="M52" s="9"/>
      <c r="N52" s="9"/>
      <c r="O52" s="12"/>
      <c r="P52" s="12"/>
      <c r="Q52" s="12"/>
      <c r="R52" s="12"/>
      <c r="S52" s="12"/>
      <c r="T52" s="12"/>
      <c r="V52" s="20">
        <f t="shared" si="0"/>
        <v>1</v>
      </c>
      <c r="W52" s="20">
        <f t="shared" si="1"/>
        <v>5</v>
      </c>
      <c r="X52" s="20">
        <f t="shared" si="2"/>
        <v>11</v>
      </c>
      <c r="Y52" s="20">
        <f t="shared" si="3"/>
        <v>14</v>
      </c>
      <c r="Z52" s="20">
        <f t="shared" si="4"/>
        <v>8</v>
      </c>
      <c r="AA52" s="20">
        <f t="shared" si="5"/>
        <v>0</v>
      </c>
      <c r="AC52" s="3">
        <f t="shared" si="32"/>
        <v>91</v>
      </c>
      <c r="AD52" s="3">
        <f t="shared" si="33"/>
        <v>85</v>
      </c>
      <c r="AE52" s="22">
        <f t="shared" si="34"/>
        <v>0</v>
      </c>
      <c r="AF52" s="3">
        <f t="shared" si="35"/>
        <v>77</v>
      </c>
      <c r="AG52" s="3">
        <f t="shared" si="36"/>
        <v>73</v>
      </c>
      <c r="AH52" s="3">
        <f t="shared" si="37"/>
        <v>71</v>
      </c>
      <c r="AI52" s="3">
        <f t="shared" si="38"/>
        <v>64</v>
      </c>
      <c r="AJ52" s="3">
        <f t="shared" si="39"/>
        <v>60</v>
      </c>
      <c r="AK52" s="3">
        <f t="shared" si="40"/>
        <v>55</v>
      </c>
      <c r="AL52" s="3">
        <f t="shared" si="41"/>
        <v>52</v>
      </c>
      <c r="AM52" s="3">
        <f t="shared" si="42"/>
        <v>39</v>
      </c>
      <c r="AN52" s="3">
        <f t="shared" si="43"/>
        <v>33</v>
      </c>
      <c r="AO52" s="3">
        <f t="shared" si="44"/>
        <v>33</v>
      </c>
      <c r="AP52" s="3">
        <f t="shared" si="45"/>
        <v>0</v>
      </c>
      <c r="AQ52" s="21">
        <f t="shared" si="46"/>
        <v>0</v>
      </c>
      <c r="AR52" s="3">
        <f t="shared" si="47"/>
        <v>0</v>
      </c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M52" s="35" t="s">
        <v>12</v>
      </c>
      <c r="BO52" s="35"/>
      <c r="BR52" s="9" t="str">
        <f t="shared" si="22"/>
        <v/>
      </c>
      <c r="BS52" s="37" t="str">
        <f t="shared" si="23"/>
        <v/>
      </c>
      <c r="BT52" s="38" t="str">
        <f t="shared" si="49"/>
        <v/>
      </c>
      <c r="BU52" s="41">
        <f t="shared" si="25"/>
        <v>10</v>
      </c>
      <c r="BV52" t="s">
        <v>13</v>
      </c>
    </row>
    <row r="53" spans="2:74" ht="15">
      <c r="B53" s="16">
        <f t="shared" si="26"/>
        <v>43444</v>
      </c>
      <c r="C53" s="15" t="s">
        <v>1</v>
      </c>
      <c r="D53" s="17">
        <f t="shared" si="27"/>
        <v>43450</v>
      </c>
      <c r="E53" s="18">
        <f t="shared" si="28"/>
        <v>12</v>
      </c>
      <c r="F53" s="19">
        <f t="shared" si="29"/>
        <v>2018</v>
      </c>
      <c r="G53" s="9">
        <f t="shared" si="48"/>
        <v>17</v>
      </c>
      <c r="H53" s="8">
        <f t="shared" si="48"/>
        <v>96</v>
      </c>
      <c r="I53" s="9"/>
      <c r="J53" s="9"/>
      <c r="K53" s="9"/>
      <c r="L53" s="9"/>
      <c r="M53" s="9"/>
      <c r="N53" s="9"/>
      <c r="O53" s="12"/>
      <c r="P53" s="12"/>
      <c r="Q53" s="12"/>
      <c r="R53" s="12"/>
      <c r="S53" s="12"/>
      <c r="T53" s="12"/>
      <c r="V53" s="20">
        <f t="shared" si="0"/>
        <v>2</v>
      </c>
      <c r="W53" s="20">
        <f t="shared" si="1"/>
        <v>6</v>
      </c>
      <c r="X53" s="20">
        <f t="shared" si="2"/>
        <v>12</v>
      </c>
      <c r="Y53" s="20">
        <f t="shared" si="3"/>
        <v>15</v>
      </c>
      <c r="Z53" s="20">
        <f t="shared" si="4"/>
        <v>9</v>
      </c>
      <c r="AA53" s="20">
        <f t="shared" si="5"/>
        <v>0</v>
      </c>
      <c r="AC53" s="3">
        <f t="shared" si="32"/>
        <v>92</v>
      </c>
      <c r="AD53" s="3">
        <f t="shared" si="33"/>
        <v>86</v>
      </c>
      <c r="AE53" s="22">
        <f t="shared" si="34"/>
        <v>0</v>
      </c>
      <c r="AF53" s="3">
        <f t="shared" si="35"/>
        <v>78</v>
      </c>
      <c r="AG53" s="3">
        <f t="shared" si="36"/>
        <v>74</v>
      </c>
      <c r="AH53" s="3">
        <f t="shared" si="37"/>
        <v>72</v>
      </c>
      <c r="AI53" s="3">
        <f t="shared" si="38"/>
        <v>65</v>
      </c>
      <c r="AJ53" s="3">
        <f t="shared" si="39"/>
        <v>61</v>
      </c>
      <c r="AK53" s="3">
        <f t="shared" si="40"/>
        <v>56</v>
      </c>
      <c r="AL53" s="3">
        <f t="shared" si="41"/>
        <v>53</v>
      </c>
      <c r="AM53" s="3">
        <f t="shared" si="42"/>
        <v>40</v>
      </c>
      <c r="AN53" s="3">
        <f t="shared" si="43"/>
        <v>34</v>
      </c>
      <c r="AO53" s="3">
        <f t="shared" si="44"/>
        <v>34</v>
      </c>
      <c r="AP53" s="3">
        <f t="shared" si="45"/>
        <v>0</v>
      </c>
      <c r="AQ53" s="21">
        <f t="shared" si="46"/>
        <v>0</v>
      </c>
      <c r="AR53" s="3">
        <f t="shared" si="47"/>
        <v>0</v>
      </c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M53" s="35" t="s">
        <v>12</v>
      </c>
      <c r="BO53" s="35"/>
      <c r="BR53" s="9" t="str">
        <f t="shared" si="22"/>
        <v/>
      </c>
      <c r="BS53" s="37" t="str">
        <f t="shared" si="23"/>
        <v/>
      </c>
      <c r="BT53" s="38" t="str">
        <f t="shared" si="49"/>
        <v/>
      </c>
      <c r="BU53" s="36" t="str">
        <f t="shared" si="25"/>
        <v/>
      </c>
    </row>
    <row r="54" spans="2:74" ht="15">
      <c r="B54" s="16">
        <f t="shared" si="26"/>
        <v>43451</v>
      </c>
      <c r="C54" s="15" t="s">
        <v>1</v>
      </c>
      <c r="D54" s="17">
        <f t="shared" si="27"/>
        <v>43457</v>
      </c>
      <c r="E54" s="18">
        <f t="shared" si="28"/>
        <v>12</v>
      </c>
      <c r="F54" s="19">
        <f t="shared" si="29"/>
        <v>2018</v>
      </c>
      <c r="G54" s="9">
        <f t="shared" ref="G54:H69" si="50">G53</f>
        <v>17</v>
      </c>
      <c r="H54" s="8">
        <f t="shared" si="50"/>
        <v>96</v>
      </c>
      <c r="I54" s="9"/>
      <c r="J54" s="9"/>
      <c r="K54" s="9"/>
      <c r="L54" s="9"/>
      <c r="M54" s="9"/>
      <c r="N54" s="9"/>
      <c r="O54" s="12"/>
      <c r="P54" s="12"/>
      <c r="Q54" s="12"/>
      <c r="R54" s="12"/>
      <c r="S54" s="12"/>
      <c r="T54" s="12"/>
      <c r="V54" s="20">
        <f t="shared" si="0"/>
        <v>3</v>
      </c>
      <c r="W54" s="20">
        <f t="shared" si="1"/>
        <v>7</v>
      </c>
      <c r="X54" s="20">
        <f t="shared" si="2"/>
        <v>13</v>
      </c>
      <c r="Y54" s="20">
        <f t="shared" si="3"/>
        <v>16</v>
      </c>
      <c r="Z54" s="20">
        <f t="shared" si="4"/>
        <v>10</v>
      </c>
      <c r="AA54" s="20">
        <f t="shared" si="5"/>
        <v>0</v>
      </c>
      <c r="AC54" s="3">
        <f t="shared" si="32"/>
        <v>93</v>
      </c>
      <c r="AD54" s="3">
        <f t="shared" si="33"/>
        <v>87</v>
      </c>
      <c r="AE54" s="22">
        <f t="shared" si="34"/>
        <v>0</v>
      </c>
      <c r="AF54" s="3">
        <f t="shared" si="35"/>
        <v>79</v>
      </c>
      <c r="AG54" s="3">
        <f t="shared" si="36"/>
        <v>75</v>
      </c>
      <c r="AH54" s="3">
        <f t="shared" si="37"/>
        <v>73</v>
      </c>
      <c r="AI54" s="3">
        <f t="shared" si="38"/>
        <v>66</v>
      </c>
      <c r="AJ54" s="3">
        <f t="shared" si="39"/>
        <v>62</v>
      </c>
      <c r="AK54" s="3">
        <f t="shared" si="40"/>
        <v>57</v>
      </c>
      <c r="AL54" s="3">
        <f t="shared" si="41"/>
        <v>54</v>
      </c>
      <c r="AM54" s="3">
        <f t="shared" si="42"/>
        <v>41</v>
      </c>
      <c r="AN54" s="3">
        <f t="shared" si="43"/>
        <v>35</v>
      </c>
      <c r="AO54" s="3">
        <f t="shared" si="44"/>
        <v>35</v>
      </c>
      <c r="AP54" s="3">
        <f t="shared" si="45"/>
        <v>0</v>
      </c>
      <c r="AQ54" s="21">
        <f t="shared" si="46"/>
        <v>0</v>
      </c>
      <c r="AR54" s="3">
        <f t="shared" si="47"/>
        <v>0</v>
      </c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J54" s="31">
        <f>B54+2</f>
        <v>43453</v>
      </c>
      <c r="BK54" t="s">
        <v>8</v>
      </c>
      <c r="BM54" s="35" t="s">
        <v>12</v>
      </c>
      <c r="BO54" s="35"/>
      <c r="BR54" s="9" t="str">
        <f t="shared" si="22"/>
        <v/>
      </c>
      <c r="BS54" s="37" t="str">
        <f t="shared" si="23"/>
        <v/>
      </c>
      <c r="BT54" s="38" t="str">
        <f t="shared" si="49"/>
        <v/>
      </c>
      <c r="BU54" s="36" t="str">
        <f t="shared" si="25"/>
        <v/>
      </c>
      <c r="BV54" s="31">
        <f>B54+2</f>
        <v>43453</v>
      </c>
    </row>
    <row r="55" spans="2:74" ht="15">
      <c r="B55" s="16">
        <f t="shared" si="26"/>
        <v>43458</v>
      </c>
      <c r="C55" s="15" t="s">
        <v>1</v>
      </c>
      <c r="D55" s="17">
        <f t="shared" si="27"/>
        <v>43464</v>
      </c>
      <c r="E55" s="18">
        <f t="shared" si="28"/>
        <v>12</v>
      </c>
      <c r="F55" s="19">
        <f t="shared" si="29"/>
        <v>2018</v>
      </c>
      <c r="G55" s="9">
        <f t="shared" si="50"/>
        <v>17</v>
      </c>
      <c r="H55" s="8">
        <f t="shared" si="50"/>
        <v>96</v>
      </c>
      <c r="I55" s="9"/>
      <c r="J55" s="9"/>
      <c r="K55" s="9"/>
      <c r="L55" s="9"/>
      <c r="M55" s="9"/>
      <c r="N55" s="9"/>
      <c r="O55" s="12"/>
      <c r="P55" s="12"/>
      <c r="Q55" s="12"/>
      <c r="R55" s="12"/>
      <c r="S55" s="12"/>
      <c r="T55" s="12"/>
      <c r="V55" s="20">
        <f t="shared" si="0"/>
        <v>4</v>
      </c>
      <c r="W55" s="20">
        <f t="shared" si="1"/>
        <v>8</v>
      </c>
      <c r="X55" s="20">
        <f t="shared" si="2"/>
        <v>14</v>
      </c>
      <c r="Y55" s="20">
        <f t="shared" si="3"/>
        <v>17</v>
      </c>
      <c r="Z55" s="20">
        <f t="shared" si="4"/>
        <v>11</v>
      </c>
      <c r="AA55" s="20">
        <f t="shared" si="5"/>
        <v>0</v>
      </c>
      <c r="AC55" s="3">
        <f t="shared" si="32"/>
        <v>94</v>
      </c>
      <c r="AD55" s="3">
        <f t="shared" si="33"/>
        <v>88</v>
      </c>
      <c r="AE55" s="22">
        <f t="shared" si="34"/>
        <v>0</v>
      </c>
      <c r="AF55" s="3">
        <f t="shared" si="35"/>
        <v>80</v>
      </c>
      <c r="AG55" s="3">
        <f t="shared" si="36"/>
        <v>76</v>
      </c>
      <c r="AH55" s="3">
        <f t="shared" si="37"/>
        <v>74</v>
      </c>
      <c r="AI55" s="3">
        <f t="shared" si="38"/>
        <v>67</v>
      </c>
      <c r="AJ55" s="3">
        <f t="shared" si="39"/>
        <v>63</v>
      </c>
      <c r="AK55" s="3">
        <f t="shared" si="40"/>
        <v>58</v>
      </c>
      <c r="AL55" s="3">
        <f t="shared" si="41"/>
        <v>55</v>
      </c>
      <c r="AM55" s="3">
        <f t="shared" si="42"/>
        <v>42</v>
      </c>
      <c r="AN55" s="3">
        <f t="shared" si="43"/>
        <v>36</v>
      </c>
      <c r="AO55" s="3">
        <f t="shared" si="44"/>
        <v>36</v>
      </c>
      <c r="AP55" s="3">
        <f t="shared" si="45"/>
        <v>17</v>
      </c>
      <c r="AQ55" s="21">
        <f t="shared" si="46"/>
        <v>0</v>
      </c>
      <c r="AR55" s="3">
        <f t="shared" si="47"/>
        <v>0</v>
      </c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>
        <v>4</v>
      </c>
      <c r="BG55" s="8"/>
      <c r="BH55" s="8"/>
      <c r="BM55" s="35" t="s">
        <v>12</v>
      </c>
      <c r="BO55" s="35"/>
      <c r="BR55" s="9" t="str">
        <f t="shared" si="22"/>
        <v/>
      </c>
      <c r="BS55" s="37" t="str">
        <f t="shared" si="23"/>
        <v/>
      </c>
      <c r="BT55" s="38" t="str">
        <f t="shared" si="49"/>
        <v/>
      </c>
      <c r="BU55" s="36" t="str">
        <f t="shared" si="25"/>
        <v/>
      </c>
    </row>
    <row r="56" spans="2:74" ht="15">
      <c r="B56" s="16">
        <f t="shared" si="26"/>
        <v>43465</v>
      </c>
      <c r="C56" s="15" t="s">
        <v>1</v>
      </c>
      <c r="D56" s="17">
        <f t="shared" si="27"/>
        <v>43471</v>
      </c>
      <c r="E56" s="18">
        <f t="shared" si="28"/>
        <v>12</v>
      </c>
      <c r="F56" s="19">
        <f t="shared" si="29"/>
        <v>2019</v>
      </c>
      <c r="G56" s="9">
        <f t="shared" si="50"/>
        <v>17</v>
      </c>
      <c r="H56" s="8">
        <f t="shared" si="50"/>
        <v>96</v>
      </c>
      <c r="I56" s="9"/>
      <c r="J56" s="9"/>
      <c r="K56" s="9"/>
      <c r="L56" s="9"/>
      <c r="M56" s="9"/>
      <c r="N56" s="9"/>
      <c r="O56" s="12"/>
      <c r="P56" s="12"/>
      <c r="Q56" s="12"/>
      <c r="R56" s="12"/>
      <c r="S56" s="12"/>
      <c r="T56" s="12">
        <v>1</v>
      </c>
      <c r="V56" s="20">
        <f t="shared" si="0"/>
        <v>5</v>
      </c>
      <c r="W56" s="20">
        <f t="shared" si="1"/>
        <v>9</v>
      </c>
      <c r="X56" s="20">
        <f t="shared" si="2"/>
        <v>15</v>
      </c>
      <c r="Y56" s="20">
        <f t="shared" si="3"/>
        <v>0</v>
      </c>
      <c r="Z56" s="20">
        <f t="shared" si="4"/>
        <v>12</v>
      </c>
      <c r="AA56" s="20">
        <f t="shared" si="5"/>
        <v>43467</v>
      </c>
      <c r="AC56" s="3">
        <f t="shared" si="32"/>
        <v>95</v>
      </c>
      <c r="AD56" s="3">
        <f t="shared" si="33"/>
        <v>89</v>
      </c>
      <c r="AE56" s="22">
        <f t="shared" si="34"/>
        <v>0</v>
      </c>
      <c r="AF56" s="3">
        <f t="shared" si="35"/>
        <v>81</v>
      </c>
      <c r="AG56" s="3">
        <f t="shared" si="36"/>
        <v>77</v>
      </c>
      <c r="AH56" s="3">
        <f t="shared" si="37"/>
        <v>75</v>
      </c>
      <c r="AI56" s="3">
        <f t="shared" si="38"/>
        <v>68</v>
      </c>
      <c r="AJ56" s="3">
        <f t="shared" si="39"/>
        <v>64</v>
      </c>
      <c r="AK56" s="3">
        <f t="shared" si="40"/>
        <v>59</v>
      </c>
      <c r="AL56" s="3">
        <f t="shared" si="41"/>
        <v>56</v>
      </c>
      <c r="AM56" s="3">
        <f t="shared" si="42"/>
        <v>43</v>
      </c>
      <c r="AN56" s="3">
        <f t="shared" si="43"/>
        <v>37</v>
      </c>
      <c r="AO56" s="3">
        <f t="shared" si="44"/>
        <v>37</v>
      </c>
      <c r="AP56" s="3">
        <f t="shared" si="45"/>
        <v>18</v>
      </c>
      <c r="AQ56" s="21">
        <f t="shared" si="46"/>
        <v>0</v>
      </c>
      <c r="AR56" s="3">
        <f t="shared" si="47"/>
        <v>0</v>
      </c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M56" s="35" t="s">
        <v>12</v>
      </c>
      <c r="BO56" s="35"/>
      <c r="BQ56" s="47" t="s">
        <v>8</v>
      </c>
      <c r="BR56" s="9">
        <f t="shared" si="22"/>
        <v>6</v>
      </c>
      <c r="BS56" s="37">
        <f t="shared" si="23"/>
        <v>43467</v>
      </c>
      <c r="BT56" s="38">
        <f t="shared" si="49"/>
        <v>43586</v>
      </c>
      <c r="BU56" s="36" t="str">
        <f t="shared" si="25"/>
        <v/>
      </c>
      <c r="BV56" s="36">
        <v>10</v>
      </c>
    </row>
    <row r="57" spans="2:74" ht="15">
      <c r="B57" s="16">
        <f t="shared" si="26"/>
        <v>43472</v>
      </c>
      <c r="C57" s="15" t="s">
        <v>1</v>
      </c>
      <c r="D57" s="17">
        <f t="shared" si="27"/>
        <v>43478</v>
      </c>
      <c r="E57" s="18">
        <f t="shared" si="28"/>
        <v>1</v>
      </c>
      <c r="F57" s="19">
        <f t="shared" si="29"/>
        <v>2019</v>
      </c>
      <c r="G57" s="9">
        <f t="shared" si="50"/>
        <v>17</v>
      </c>
      <c r="H57" s="8">
        <f t="shared" si="50"/>
        <v>96</v>
      </c>
      <c r="I57" s="9"/>
      <c r="J57" s="9"/>
      <c r="K57" s="9"/>
      <c r="L57" s="9"/>
      <c r="M57" s="9"/>
      <c r="N57" s="9"/>
      <c r="O57" s="12"/>
      <c r="P57" s="12"/>
      <c r="Q57" s="12"/>
      <c r="R57" s="12"/>
      <c r="S57" s="12">
        <v>2</v>
      </c>
      <c r="T57" s="12"/>
      <c r="V57" s="20">
        <f t="shared" si="0"/>
        <v>6</v>
      </c>
      <c r="W57" s="20">
        <f t="shared" si="1"/>
        <v>10</v>
      </c>
      <c r="X57" s="20">
        <f t="shared" si="2"/>
        <v>16</v>
      </c>
      <c r="Y57" s="20">
        <f t="shared" si="3"/>
        <v>0</v>
      </c>
      <c r="Z57" s="20">
        <f t="shared" si="4"/>
        <v>13</v>
      </c>
      <c r="AA57" s="20">
        <f t="shared" si="5"/>
        <v>1</v>
      </c>
      <c r="AC57" s="3">
        <f t="shared" si="32"/>
        <v>96</v>
      </c>
      <c r="AD57" s="3">
        <f t="shared" si="33"/>
        <v>90</v>
      </c>
      <c r="AE57" s="22">
        <f t="shared" si="34"/>
        <v>0</v>
      </c>
      <c r="AF57" s="3">
        <f t="shared" si="35"/>
        <v>82</v>
      </c>
      <c r="AG57" s="3">
        <f t="shared" si="36"/>
        <v>78</v>
      </c>
      <c r="AH57" s="3">
        <f t="shared" si="37"/>
        <v>76</v>
      </c>
      <c r="AI57" s="3">
        <f t="shared" si="38"/>
        <v>69</v>
      </c>
      <c r="AJ57" s="3">
        <f t="shared" si="39"/>
        <v>65</v>
      </c>
      <c r="AK57" s="3">
        <f t="shared" si="40"/>
        <v>60</v>
      </c>
      <c r="AL57" s="3">
        <f t="shared" si="41"/>
        <v>57</v>
      </c>
      <c r="AM57" s="3">
        <f t="shared" si="42"/>
        <v>44</v>
      </c>
      <c r="AN57" s="3">
        <f t="shared" si="43"/>
        <v>38</v>
      </c>
      <c r="AO57" s="3">
        <f t="shared" si="44"/>
        <v>38</v>
      </c>
      <c r="AP57" s="3">
        <f t="shared" si="45"/>
        <v>19</v>
      </c>
      <c r="AQ57" s="21">
        <f t="shared" si="46"/>
        <v>0</v>
      </c>
      <c r="AR57" s="3">
        <f t="shared" si="47"/>
        <v>13</v>
      </c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>
        <v>5</v>
      </c>
      <c r="BM57" s="35" t="s">
        <v>12</v>
      </c>
      <c r="BO57" s="35"/>
      <c r="BR57" s="9" t="str">
        <f t="shared" si="22"/>
        <v/>
      </c>
      <c r="BS57" s="37" t="str">
        <f t="shared" si="23"/>
        <v/>
      </c>
      <c r="BT57" s="38" t="str">
        <f t="shared" si="49"/>
        <v/>
      </c>
      <c r="BU57" s="36" t="str">
        <f t="shared" si="25"/>
        <v/>
      </c>
    </row>
    <row r="58" spans="2:74" ht="15">
      <c r="B58" s="16">
        <f t="shared" si="26"/>
        <v>43479</v>
      </c>
      <c r="C58" s="15" t="s">
        <v>1</v>
      </c>
      <c r="D58" s="17">
        <f t="shared" si="27"/>
        <v>43485</v>
      </c>
      <c r="E58" s="18">
        <f t="shared" si="28"/>
        <v>1</v>
      </c>
      <c r="F58" s="19">
        <f t="shared" si="29"/>
        <v>2019</v>
      </c>
      <c r="G58" s="9">
        <f t="shared" si="50"/>
        <v>17</v>
      </c>
      <c r="H58" s="8">
        <f t="shared" si="50"/>
        <v>96</v>
      </c>
      <c r="I58" s="9"/>
      <c r="J58" s="9"/>
      <c r="K58" s="9"/>
      <c r="L58" s="9"/>
      <c r="M58" s="9"/>
      <c r="N58" s="9"/>
      <c r="O58" s="12"/>
      <c r="P58" s="12"/>
      <c r="Q58" s="12"/>
      <c r="R58" s="12"/>
      <c r="S58" s="12"/>
      <c r="T58" s="12"/>
      <c r="V58" s="20">
        <f t="shared" si="0"/>
        <v>7</v>
      </c>
      <c r="W58" s="20">
        <f t="shared" si="1"/>
        <v>11</v>
      </c>
      <c r="X58" s="20">
        <f t="shared" si="2"/>
        <v>17</v>
      </c>
      <c r="Y58" s="20">
        <f t="shared" si="3"/>
        <v>0</v>
      </c>
      <c r="Z58" s="20">
        <f t="shared" si="4"/>
        <v>0</v>
      </c>
      <c r="AA58" s="20">
        <f t="shared" si="5"/>
        <v>2</v>
      </c>
      <c r="AC58" s="3">
        <f t="shared" si="32"/>
        <v>0</v>
      </c>
      <c r="AD58" s="3">
        <f t="shared" si="33"/>
        <v>91</v>
      </c>
      <c r="AE58" s="22">
        <f t="shared" si="34"/>
        <v>0</v>
      </c>
      <c r="AF58" s="3">
        <f t="shared" si="35"/>
        <v>83</v>
      </c>
      <c r="AG58" s="3">
        <f t="shared" si="36"/>
        <v>79</v>
      </c>
      <c r="AH58" s="3">
        <f t="shared" si="37"/>
        <v>77</v>
      </c>
      <c r="AI58" s="3">
        <f t="shared" si="38"/>
        <v>70</v>
      </c>
      <c r="AJ58" s="3">
        <f t="shared" si="39"/>
        <v>66</v>
      </c>
      <c r="AK58" s="3">
        <f t="shared" si="40"/>
        <v>61</v>
      </c>
      <c r="AL58" s="3">
        <f t="shared" si="41"/>
        <v>58</v>
      </c>
      <c r="AM58" s="3">
        <f t="shared" si="42"/>
        <v>45</v>
      </c>
      <c r="AN58" s="3">
        <f t="shared" si="43"/>
        <v>39</v>
      </c>
      <c r="AO58" s="3">
        <f t="shared" si="44"/>
        <v>39</v>
      </c>
      <c r="AP58" s="3">
        <f t="shared" si="45"/>
        <v>20</v>
      </c>
      <c r="AQ58" s="21">
        <f t="shared" si="46"/>
        <v>17</v>
      </c>
      <c r="AR58" s="3">
        <f t="shared" si="47"/>
        <v>14</v>
      </c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>
        <v>3</v>
      </c>
      <c r="BH58" s="8"/>
      <c r="BM58" s="35" t="s">
        <v>12</v>
      </c>
      <c r="BO58" s="35"/>
      <c r="BR58" s="9" t="str">
        <f t="shared" si="22"/>
        <v/>
      </c>
      <c r="BS58" s="37" t="str">
        <f t="shared" si="23"/>
        <v/>
      </c>
      <c r="BT58" s="38" t="str">
        <f t="shared" si="49"/>
        <v/>
      </c>
      <c r="BU58" s="36" t="str">
        <f t="shared" si="25"/>
        <v/>
      </c>
    </row>
    <row r="59" spans="2:74" ht="15">
      <c r="B59" s="16">
        <f t="shared" si="26"/>
        <v>43486</v>
      </c>
      <c r="C59" s="15" t="s">
        <v>1</v>
      </c>
      <c r="D59" s="17">
        <f t="shared" si="27"/>
        <v>43492</v>
      </c>
      <c r="E59" s="18">
        <f t="shared" si="28"/>
        <v>1</v>
      </c>
      <c r="F59" s="19">
        <f t="shared" si="29"/>
        <v>2019</v>
      </c>
      <c r="G59" s="9">
        <f t="shared" si="50"/>
        <v>17</v>
      </c>
      <c r="H59" s="8">
        <f t="shared" si="50"/>
        <v>96</v>
      </c>
      <c r="I59" s="9"/>
      <c r="J59" s="9"/>
      <c r="K59" s="9"/>
      <c r="L59" s="9"/>
      <c r="M59" s="9"/>
      <c r="N59" s="9"/>
      <c r="O59" s="12"/>
      <c r="P59" s="12"/>
      <c r="Q59" s="12"/>
      <c r="R59" s="12"/>
      <c r="S59" s="12"/>
      <c r="T59" s="12"/>
      <c r="V59" s="20">
        <f t="shared" si="0"/>
        <v>8</v>
      </c>
      <c r="W59" s="20">
        <f t="shared" si="1"/>
        <v>12</v>
      </c>
      <c r="X59" s="20">
        <f t="shared" si="2"/>
        <v>0</v>
      </c>
      <c r="Y59" s="20">
        <f t="shared" si="3"/>
        <v>0</v>
      </c>
      <c r="Z59" s="20">
        <f t="shared" si="4"/>
        <v>0</v>
      </c>
      <c r="AA59" s="20">
        <f t="shared" si="5"/>
        <v>3</v>
      </c>
      <c r="AC59" s="3">
        <f t="shared" si="32"/>
        <v>0</v>
      </c>
      <c r="AD59" s="3">
        <f t="shared" si="33"/>
        <v>92</v>
      </c>
      <c r="AE59" s="22">
        <f t="shared" si="34"/>
        <v>0</v>
      </c>
      <c r="AF59" s="3">
        <f t="shared" si="35"/>
        <v>84</v>
      </c>
      <c r="AG59" s="3">
        <f t="shared" si="36"/>
        <v>80</v>
      </c>
      <c r="AH59" s="3">
        <f t="shared" si="37"/>
        <v>78</v>
      </c>
      <c r="AI59" s="3">
        <f t="shared" si="38"/>
        <v>71</v>
      </c>
      <c r="AJ59" s="3">
        <f t="shared" si="39"/>
        <v>67</v>
      </c>
      <c r="AK59" s="3">
        <f t="shared" si="40"/>
        <v>62</v>
      </c>
      <c r="AL59" s="3">
        <f t="shared" si="41"/>
        <v>59</v>
      </c>
      <c r="AM59" s="3">
        <f t="shared" si="42"/>
        <v>46</v>
      </c>
      <c r="AN59" s="3">
        <f t="shared" si="43"/>
        <v>40</v>
      </c>
      <c r="AO59" s="3">
        <f t="shared" si="44"/>
        <v>40</v>
      </c>
      <c r="AP59" s="3">
        <f t="shared" si="45"/>
        <v>21</v>
      </c>
      <c r="AQ59" s="21">
        <f t="shared" si="46"/>
        <v>18</v>
      </c>
      <c r="AR59" s="3">
        <f t="shared" si="47"/>
        <v>15</v>
      </c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J59" s="31">
        <f>B59+2</f>
        <v>43488</v>
      </c>
      <c r="BK59" t="s">
        <v>7</v>
      </c>
      <c r="BL59">
        <v>11</v>
      </c>
      <c r="BM59" s="35">
        <v>43488</v>
      </c>
      <c r="BO59" s="35">
        <f>B76</f>
        <v>43605</v>
      </c>
      <c r="BP59">
        <v>97</v>
      </c>
      <c r="BR59" s="9" t="str">
        <f t="shared" si="22"/>
        <v/>
      </c>
      <c r="BS59" s="37" t="str">
        <f t="shared" si="23"/>
        <v/>
      </c>
      <c r="BT59" s="38" t="str">
        <f t="shared" si="49"/>
        <v/>
      </c>
      <c r="BU59" s="36" t="str">
        <f t="shared" si="25"/>
        <v/>
      </c>
      <c r="BV59" s="31">
        <f>B59+2</f>
        <v>43488</v>
      </c>
    </row>
    <row r="60" spans="2:74" ht="15">
      <c r="B60" s="16">
        <f t="shared" si="26"/>
        <v>43493</v>
      </c>
      <c r="C60" s="15" t="s">
        <v>1</v>
      </c>
      <c r="D60" s="17">
        <f t="shared" si="27"/>
        <v>43499</v>
      </c>
      <c r="E60" s="18">
        <f t="shared" si="28"/>
        <v>1</v>
      </c>
      <c r="F60" s="19">
        <f t="shared" si="29"/>
        <v>2019</v>
      </c>
      <c r="G60" s="9">
        <f t="shared" si="50"/>
        <v>17</v>
      </c>
      <c r="H60" s="8">
        <f t="shared" si="50"/>
        <v>96</v>
      </c>
      <c r="I60" s="9"/>
      <c r="J60" s="9"/>
      <c r="K60" s="9"/>
      <c r="L60" s="9"/>
      <c r="M60" s="9"/>
      <c r="N60" s="9"/>
      <c r="O60" s="12"/>
      <c r="P60" s="12"/>
      <c r="Q60" s="12"/>
      <c r="R60" s="12">
        <v>1</v>
      </c>
      <c r="S60" s="12"/>
      <c r="T60" s="12"/>
      <c r="V60" s="20">
        <f t="shared" si="0"/>
        <v>9</v>
      </c>
      <c r="W60" s="20">
        <f t="shared" si="1"/>
        <v>13</v>
      </c>
      <c r="X60" s="20">
        <f t="shared" si="2"/>
        <v>0</v>
      </c>
      <c r="Y60" s="20">
        <f t="shared" si="3"/>
        <v>43495</v>
      </c>
      <c r="Z60" s="20">
        <f t="shared" si="4"/>
        <v>0</v>
      </c>
      <c r="AA60" s="20">
        <f t="shared" si="5"/>
        <v>4</v>
      </c>
      <c r="AC60" s="3">
        <f t="shared" si="32"/>
        <v>0</v>
      </c>
      <c r="AD60" s="3">
        <f t="shared" si="33"/>
        <v>93</v>
      </c>
      <c r="AE60" s="22">
        <f t="shared" si="34"/>
        <v>0</v>
      </c>
      <c r="AF60" s="3">
        <f t="shared" si="35"/>
        <v>85</v>
      </c>
      <c r="AG60" s="3">
        <f t="shared" si="36"/>
        <v>81</v>
      </c>
      <c r="AH60" s="3">
        <f t="shared" si="37"/>
        <v>79</v>
      </c>
      <c r="AI60" s="3">
        <f t="shared" si="38"/>
        <v>72</v>
      </c>
      <c r="AJ60" s="3">
        <f t="shared" si="39"/>
        <v>68</v>
      </c>
      <c r="AK60" s="3">
        <f t="shared" si="40"/>
        <v>63</v>
      </c>
      <c r="AL60" s="3">
        <f t="shared" si="41"/>
        <v>60</v>
      </c>
      <c r="AM60" s="3">
        <f t="shared" si="42"/>
        <v>47</v>
      </c>
      <c r="AN60" s="3">
        <f t="shared" si="43"/>
        <v>41</v>
      </c>
      <c r="AO60" s="3">
        <f t="shared" si="44"/>
        <v>41</v>
      </c>
      <c r="AP60" s="3">
        <f t="shared" si="45"/>
        <v>22</v>
      </c>
      <c r="AQ60" s="21">
        <f t="shared" si="46"/>
        <v>19</v>
      </c>
      <c r="AR60" s="3">
        <f t="shared" si="47"/>
        <v>16</v>
      </c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M60" s="35" t="s">
        <v>12</v>
      </c>
      <c r="BO60" s="35"/>
      <c r="BQ60" s="47" t="s">
        <v>7</v>
      </c>
      <c r="BR60" s="9">
        <f t="shared" si="22"/>
        <v>4</v>
      </c>
      <c r="BS60" s="37">
        <f t="shared" si="23"/>
        <v>43495</v>
      </c>
      <c r="BT60" s="38">
        <f t="shared" si="49"/>
        <v>43614</v>
      </c>
      <c r="BU60" s="36">
        <f t="shared" si="25"/>
        <v>12</v>
      </c>
    </row>
    <row r="61" spans="2:74" ht="15">
      <c r="B61" s="16">
        <f t="shared" si="26"/>
        <v>43500</v>
      </c>
      <c r="C61" s="15" t="s">
        <v>1</v>
      </c>
      <c r="D61" s="17">
        <f t="shared" si="27"/>
        <v>43506</v>
      </c>
      <c r="E61" s="18">
        <f t="shared" si="28"/>
        <v>2</v>
      </c>
      <c r="F61" s="19">
        <f t="shared" si="29"/>
        <v>2019</v>
      </c>
      <c r="G61" s="9">
        <f t="shared" si="50"/>
        <v>17</v>
      </c>
      <c r="H61" s="8">
        <f t="shared" si="50"/>
        <v>96</v>
      </c>
      <c r="I61" s="9"/>
      <c r="J61" s="9"/>
      <c r="K61" s="9"/>
      <c r="L61" s="9"/>
      <c r="M61" s="9"/>
      <c r="N61" s="9"/>
      <c r="O61" s="12"/>
      <c r="P61" s="12"/>
      <c r="Q61" s="12"/>
      <c r="R61" s="12"/>
      <c r="S61" s="12"/>
      <c r="T61" s="12"/>
      <c r="V61" s="20">
        <f t="shared" si="0"/>
        <v>10</v>
      </c>
      <c r="W61" s="20">
        <f t="shared" si="1"/>
        <v>14</v>
      </c>
      <c r="X61" s="20">
        <f t="shared" si="2"/>
        <v>0</v>
      </c>
      <c r="Y61" s="20">
        <f t="shared" si="3"/>
        <v>1</v>
      </c>
      <c r="Z61" s="20">
        <f t="shared" si="4"/>
        <v>0</v>
      </c>
      <c r="AA61" s="20">
        <f t="shared" si="5"/>
        <v>5</v>
      </c>
      <c r="AC61" s="3">
        <f t="shared" si="32"/>
        <v>0</v>
      </c>
      <c r="AD61" s="3">
        <f t="shared" si="33"/>
        <v>94</v>
      </c>
      <c r="AE61" s="22">
        <f t="shared" si="34"/>
        <v>0</v>
      </c>
      <c r="AF61" s="3">
        <f t="shared" si="35"/>
        <v>86</v>
      </c>
      <c r="AG61" s="3">
        <f t="shared" si="36"/>
        <v>82</v>
      </c>
      <c r="AH61" s="3">
        <f t="shared" si="37"/>
        <v>80</v>
      </c>
      <c r="AI61" s="3">
        <f t="shared" si="38"/>
        <v>73</v>
      </c>
      <c r="AJ61" s="3">
        <f t="shared" si="39"/>
        <v>69</v>
      </c>
      <c r="AK61" s="3">
        <f t="shared" si="40"/>
        <v>64</v>
      </c>
      <c r="AL61" s="3">
        <f t="shared" si="41"/>
        <v>61</v>
      </c>
      <c r="AM61" s="3">
        <f t="shared" si="42"/>
        <v>48</v>
      </c>
      <c r="AN61" s="3">
        <f t="shared" si="43"/>
        <v>42</v>
      </c>
      <c r="AO61" s="3">
        <f t="shared" si="44"/>
        <v>42</v>
      </c>
      <c r="AP61" s="3">
        <f t="shared" si="45"/>
        <v>23</v>
      </c>
      <c r="AQ61" s="21">
        <f t="shared" si="46"/>
        <v>20</v>
      </c>
      <c r="AR61" s="3">
        <f t="shared" si="47"/>
        <v>17</v>
      </c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M61" s="35" t="s">
        <v>12</v>
      </c>
      <c r="BO61" s="35"/>
      <c r="BR61" s="9" t="str">
        <f t="shared" si="22"/>
        <v/>
      </c>
      <c r="BS61" s="37" t="str">
        <f t="shared" si="23"/>
        <v/>
      </c>
      <c r="BT61" s="38" t="str">
        <f t="shared" si="49"/>
        <v/>
      </c>
      <c r="BU61" s="36" t="str">
        <f t="shared" si="25"/>
        <v/>
      </c>
    </row>
    <row r="62" spans="2:74" ht="15">
      <c r="B62" s="16">
        <f t="shared" si="26"/>
        <v>43507</v>
      </c>
      <c r="C62" s="15" t="s">
        <v>1</v>
      </c>
      <c r="D62" s="17">
        <f t="shared" si="27"/>
        <v>43513</v>
      </c>
      <c r="E62" s="18">
        <f t="shared" si="28"/>
        <v>2</v>
      </c>
      <c r="F62" s="19">
        <f t="shared" si="29"/>
        <v>2019</v>
      </c>
      <c r="G62" s="9">
        <f t="shared" si="50"/>
        <v>17</v>
      </c>
      <c r="H62" s="8">
        <f t="shared" si="50"/>
        <v>96</v>
      </c>
      <c r="I62" s="9"/>
      <c r="J62" s="9"/>
      <c r="K62" s="9"/>
      <c r="L62" s="9"/>
      <c r="M62" s="9"/>
      <c r="N62" s="9"/>
      <c r="O62" s="12"/>
      <c r="P62" s="12"/>
      <c r="Q62" s="12"/>
      <c r="R62" s="12"/>
      <c r="S62" s="12"/>
      <c r="T62" s="12"/>
      <c r="V62" s="20">
        <f t="shared" si="0"/>
        <v>11</v>
      </c>
      <c r="W62" s="20">
        <f t="shared" si="1"/>
        <v>15</v>
      </c>
      <c r="X62" s="20">
        <f t="shared" si="2"/>
        <v>0</v>
      </c>
      <c r="Y62" s="20">
        <f t="shared" si="3"/>
        <v>2</v>
      </c>
      <c r="Z62" s="20">
        <f t="shared" si="4"/>
        <v>0</v>
      </c>
      <c r="AA62" s="20">
        <f t="shared" si="5"/>
        <v>6</v>
      </c>
      <c r="AC62" s="3">
        <f t="shared" si="32"/>
        <v>0</v>
      </c>
      <c r="AD62" s="3">
        <f t="shared" si="33"/>
        <v>95</v>
      </c>
      <c r="AE62" s="22">
        <f t="shared" si="34"/>
        <v>0</v>
      </c>
      <c r="AF62" s="3">
        <f t="shared" si="35"/>
        <v>87</v>
      </c>
      <c r="AG62" s="3">
        <f t="shared" si="36"/>
        <v>83</v>
      </c>
      <c r="AH62" s="3">
        <f t="shared" si="37"/>
        <v>81</v>
      </c>
      <c r="AI62" s="3">
        <f t="shared" si="38"/>
        <v>74</v>
      </c>
      <c r="AJ62" s="3">
        <f t="shared" si="39"/>
        <v>70</v>
      </c>
      <c r="AK62" s="3">
        <f t="shared" si="40"/>
        <v>65</v>
      </c>
      <c r="AL62" s="3">
        <f t="shared" si="41"/>
        <v>62</v>
      </c>
      <c r="AM62" s="3">
        <f t="shared" si="42"/>
        <v>49</v>
      </c>
      <c r="AN62" s="3">
        <f t="shared" si="43"/>
        <v>43</v>
      </c>
      <c r="AO62" s="3">
        <f t="shared" si="44"/>
        <v>43</v>
      </c>
      <c r="AP62" s="3">
        <f t="shared" si="45"/>
        <v>24</v>
      </c>
      <c r="AQ62" s="21">
        <f t="shared" si="46"/>
        <v>21</v>
      </c>
      <c r="AR62" s="3">
        <f t="shared" si="47"/>
        <v>18</v>
      </c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M62" s="35" t="s">
        <v>12</v>
      </c>
      <c r="BO62" s="35"/>
      <c r="BR62" s="9" t="str">
        <f t="shared" si="22"/>
        <v/>
      </c>
      <c r="BS62" s="37" t="str">
        <f t="shared" si="23"/>
        <v/>
      </c>
      <c r="BT62" s="38" t="str">
        <f t="shared" si="49"/>
        <v/>
      </c>
      <c r="BU62" s="36" t="str">
        <f t="shared" si="25"/>
        <v/>
      </c>
    </row>
    <row r="63" spans="2:74" ht="15">
      <c r="B63" s="16">
        <f t="shared" si="26"/>
        <v>43514</v>
      </c>
      <c r="C63" s="15" t="s">
        <v>1</v>
      </c>
      <c r="D63" s="17">
        <f t="shared" si="27"/>
        <v>43520</v>
      </c>
      <c r="E63" s="18">
        <f t="shared" si="28"/>
        <v>2</v>
      </c>
      <c r="F63" s="19">
        <f t="shared" si="29"/>
        <v>2019</v>
      </c>
      <c r="G63" s="9">
        <f t="shared" si="50"/>
        <v>17</v>
      </c>
      <c r="H63" s="8">
        <f t="shared" si="50"/>
        <v>96</v>
      </c>
      <c r="I63" s="9"/>
      <c r="J63" s="9"/>
      <c r="K63" s="9"/>
      <c r="L63" s="9"/>
      <c r="M63" s="9"/>
      <c r="N63" s="9"/>
      <c r="O63" s="12"/>
      <c r="P63" s="12"/>
      <c r="Q63" s="12"/>
      <c r="R63" s="12"/>
      <c r="S63" s="12"/>
      <c r="T63" s="12"/>
      <c r="V63" s="20">
        <f t="shared" si="0"/>
        <v>12</v>
      </c>
      <c r="W63" s="20">
        <f t="shared" si="1"/>
        <v>16</v>
      </c>
      <c r="X63" s="20">
        <f t="shared" si="2"/>
        <v>0</v>
      </c>
      <c r="Y63" s="20">
        <f t="shared" si="3"/>
        <v>3</v>
      </c>
      <c r="Z63" s="20">
        <f t="shared" si="4"/>
        <v>0</v>
      </c>
      <c r="AA63" s="20">
        <f t="shared" si="5"/>
        <v>7</v>
      </c>
      <c r="AC63" s="3">
        <f t="shared" si="32"/>
        <v>0</v>
      </c>
      <c r="AD63" s="3">
        <f t="shared" si="33"/>
        <v>96</v>
      </c>
      <c r="AE63" s="22">
        <f t="shared" si="34"/>
        <v>0</v>
      </c>
      <c r="AF63" s="3">
        <f t="shared" si="35"/>
        <v>88</v>
      </c>
      <c r="AG63" s="3">
        <f t="shared" si="36"/>
        <v>84</v>
      </c>
      <c r="AH63" s="3">
        <f t="shared" si="37"/>
        <v>82</v>
      </c>
      <c r="AI63" s="3">
        <f t="shared" si="38"/>
        <v>75</v>
      </c>
      <c r="AJ63" s="3">
        <f t="shared" si="39"/>
        <v>71</v>
      </c>
      <c r="AK63" s="3">
        <f t="shared" si="40"/>
        <v>66</v>
      </c>
      <c r="AL63" s="3">
        <f t="shared" si="41"/>
        <v>63</v>
      </c>
      <c r="AM63" s="3">
        <f t="shared" si="42"/>
        <v>50</v>
      </c>
      <c r="AN63" s="3">
        <f t="shared" si="43"/>
        <v>44</v>
      </c>
      <c r="AO63" s="3">
        <f t="shared" si="44"/>
        <v>44</v>
      </c>
      <c r="AP63" s="3">
        <f t="shared" si="45"/>
        <v>25</v>
      </c>
      <c r="AQ63" s="21">
        <f t="shared" si="46"/>
        <v>22</v>
      </c>
      <c r="AR63" s="3">
        <f t="shared" si="47"/>
        <v>19</v>
      </c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L63">
        <v>12</v>
      </c>
      <c r="BM63" s="35">
        <v>43514</v>
      </c>
      <c r="BO63" s="35">
        <f>B80</f>
        <v>43633</v>
      </c>
      <c r="BP63">
        <v>97</v>
      </c>
      <c r="BR63" s="9" t="str">
        <f t="shared" si="22"/>
        <v/>
      </c>
      <c r="BS63" s="37" t="str">
        <f t="shared" si="23"/>
        <v/>
      </c>
      <c r="BT63" s="38" t="str">
        <f t="shared" si="49"/>
        <v/>
      </c>
      <c r="BU63" s="36" t="str">
        <f t="shared" si="25"/>
        <v/>
      </c>
    </row>
    <row r="64" spans="2:74" ht="15">
      <c r="B64" s="16">
        <f t="shared" si="26"/>
        <v>43521</v>
      </c>
      <c r="C64" s="15" t="s">
        <v>1</v>
      </c>
      <c r="D64" s="17">
        <f t="shared" si="27"/>
        <v>43527</v>
      </c>
      <c r="E64" s="18">
        <f t="shared" si="28"/>
        <v>2</v>
      </c>
      <c r="F64" s="19">
        <f t="shared" si="29"/>
        <v>2019</v>
      </c>
      <c r="G64" s="9">
        <f t="shared" si="50"/>
        <v>17</v>
      </c>
      <c r="H64" s="8">
        <f t="shared" si="50"/>
        <v>96</v>
      </c>
      <c r="I64" s="9"/>
      <c r="J64" s="9"/>
      <c r="K64" s="9"/>
      <c r="L64" s="9"/>
      <c r="M64" s="9"/>
      <c r="N64" s="9"/>
      <c r="O64" s="12"/>
      <c r="P64" s="12"/>
      <c r="Q64" s="12">
        <v>1</v>
      </c>
      <c r="R64" s="12"/>
      <c r="S64" s="12"/>
      <c r="T64" s="12"/>
      <c r="V64" s="20">
        <f t="shared" si="0"/>
        <v>13</v>
      </c>
      <c r="W64" s="20">
        <f t="shared" si="1"/>
        <v>17</v>
      </c>
      <c r="X64" s="20">
        <f t="shared" si="2"/>
        <v>43523</v>
      </c>
      <c r="Y64" s="20">
        <f t="shared" si="3"/>
        <v>4</v>
      </c>
      <c r="Z64" s="20">
        <f t="shared" si="4"/>
        <v>0</v>
      </c>
      <c r="AA64" s="20">
        <f t="shared" si="5"/>
        <v>8</v>
      </c>
      <c r="AC64" s="3">
        <f t="shared" si="32"/>
        <v>17</v>
      </c>
      <c r="AD64" s="3">
        <f t="shared" si="33"/>
        <v>0</v>
      </c>
      <c r="AE64" s="22">
        <f t="shared" si="34"/>
        <v>0</v>
      </c>
      <c r="AF64" s="3">
        <f t="shared" si="35"/>
        <v>89</v>
      </c>
      <c r="AG64" s="3">
        <f t="shared" si="36"/>
        <v>85</v>
      </c>
      <c r="AH64" s="3">
        <f t="shared" si="37"/>
        <v>83</v>
      </c>
      <c r="AI64" s="3">
        <f t="shared" si="38"/>
        <v>76</v>
      </c>
      <c r="AJ64" s="3">
        <f t="shared" si="39"/>
        <v>72</v>
      </c>
      <c r="AK64" s="3">
        <f t="shared" si="40"/>
        <v>67</v>
      </c>
      <c r="AL64" s="3">
        <f t="shared" si="41"/>
        <v>64</v>
      </c>
      <c r="AM64" s="3">
        <f t="shared" si="42"/>
        <v>51</v>
      </c>
      <c r="AN64" s="3">
        <f t="shared" si="43"/>
        <v>45</v>
      </c>
      <c r="AO64" s="3">
        <f t="shared" si="44"/>
        <v>45</v>
      </c>
      <c r="AP64" s="3">
        <f t="shared" si="45"/>
        <v>26</v>
      </c>
      <c r="AQ64" s="21">
        <f t="shared" si="46"/>
        <v>23</v>
      </c>
      <c r="AR64" s="3">
        <f t="shared" si="47"/>
        <v>20</v>
      </c>
      <c r="AS64" s="8">
        <v>2</v>
      </c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M64" s="35" t="s">
        <v>12</v>
      </c>
      <c r="BO64" s="35"/>
      <c r="BR64" s="9">
        <f t="shared" si="22"/>
        <v>3</v>
      </c>
      <c r="BS64" s="37">
        <f t="shared" si="23"/>
        <v>43523</v>
      </c>
      <c r="BT64" s="38">
        <f t="shared" si="49"/>
        <v>43642</v>
      </c>
      <c r="BU64" s="36">
        <f>IF(AND(AC81&gt;0,AC80=0),$AC$2,IF(AND(AD81&gt;0,AD80=0),$AD$2,IF(AND(AE81&gt;0,AE80=0),$AE$2,IF(AND(AF81&gt;0,AF80=0),$AF$2,IF(AND(AG81&gt;0,AG80=0),$AG$2,IF(AND(AH81&gt;0,AH80=0),$AH$2,IF(AND(AI81&gt;0,AI80=0),$AI$2,IF(AND(AJ81&gt;0,AJ80=0),$AJ$2,IF(AND(AK81&gt;0,AK80=0),$AK$2,IF(AND(AL81&gt;0,AL80=0),$AL$2,IF(AND(AM81&gt;0,AM80=0),$AM$2,IF(AND(AN81&gt;0,AN80=0),$AN$2,IF(AND(AO81&gt;0,AO80=0),$AO$2,IF(AND(AP81&gt;0,AP80=0),$AP$2,IF(AND(AQ81&gt;0,AQ80=0),$AQ$2,IF(AND(AR81&gt;0,AR80=0),$AR$2,""))))))))))))))))</f>
        <v>1</v>
      </c>
    </row>
    <row r="65" spans="2:73" ht="15">
      <c r="B65" s="16">
        <f t="shared" si="26"/>
        <v>43528</v>
      </c>
      <c r="C65" s="15" t="s">
        <v>1</v>
      </c>
      <c r="D65" s="17">
        <f t="shared" si="27"/>
        <v>43534</v>
      </c>
      <c r="E65" s="18">
        <f t="shared" si="28"/>
        <v>3</v>
      </c>
      <c r="F65" s="19">
        <f t="shared" si="29"/>
        <v>2019</v>
      </c>
      <c r="G65" s="9">
        <f t="shared" si="50"/>
        <v>17</v>
      </c>
      <c r="H65" s="8">
        <f t="shared" si="50"/>
        <v>96</v>
      </c>
      <c r="I65" s="9"/>
      <c r="J65" s="9"/>
      <c r="K65" s="9"/>
      <c r="L65" s="9"/>
      <c r="M65" s="9"/>
      <c r="N65" s="9"/>
      <c r="O65" s="12"/>
      <c r="P65" s="12"/>
      <c r="Q65" s="12"/>
      <c r="R65" s="12"/>
      <c r="S65" s="12"/>
      <c r="T65" s="12"/>
      <c r="V65" s="20">
        <f t="shared" si="0"/>
        <v>14</v>
      </c>
      <c r="W65" s="20">
        <f t="shared" si="1"/>
        <v>0</v>
      </c>
      <c r="X65" s="20">
        <f t="shared" si="2"/>
        <v>1</v>
      </c>
      <c r="Y65" s="20">
        <f t="shared" si="3"/>
        <v>5</v>
      </c>
      <c r="Z65" s="20">
        <f t="shared" si="4"/>
        <v>0</v>
      </c>
      <c r="AA65" s="20">
        <f t="shared" si="5"/>
        <v>9</v>
      </c>
      <c r="AC65" s="3">
        <f t="shared" si="32"/>
        <v>18</v>
      </c>
      <c r="AD65" s="3">
        <f t="shared" si="33"/>
        <v>0</v>
      </c>
      <c r="AE65" s="22">
        <f t="shared" si="34"/>
        <v>0</v>
      </c>
      <c r="AF65" s="3">
        <f t="shared" si="35"/>
        <v>90</v>
      </c>
      <c r="AG65" s="3">
        <f t="shared" si="36"/>
        <v>86</v>
      </c>
      <c r="AH65" s="3">
        <f t="shared" si="37"/>
        <v>84</v>
      </c>
      <c r="AI65" s="3">
        <f t="shared" si="38"/>
        <v>77</v>
      </c>
      <c r="AJ65" s="3">
        <f t="shared" si="39"/>
        <v>73</v>
      </c>
      <c r="AK65" s="3">
        <f t="shared" si="40"/>
        <v>68</v>
      </c>
      <c r="AL65" s="3">
        <f t="shared" si="41"/>
        <v>65</v>
      </c>
      <c r="AM65" s="3">
        <f t="shared" si="42"/>
        <v>52</v>
      </c>
      <c r="AN65" s="3">
        <f t="shared" si="43"/>
        <v>46</v>
      </c>
      <c r="AO65" s="3">
        <f t="shared" si="44"/>
        <v>46</v>
      </c>
      <c r="AP65" s="3">
        <f t="shared" si="45"/>
        <v>27</v>
      </c>
      <c r="AQ65" s="21">
        <f t="shared" si="46"/>
        <v>24</v>
      </c>
      <c r="AR65" s="3">
        <f t="shared" si="47"/>
        <v>21</v>
      </c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M65" s="35" t="s">
        <v>12</v>
      </c>
      <c r="BO65" s="35"/>
      <c r="BR65" s="9" t="str">
        <f t="shared" si="22"/>
        <v/>
      </c>
      <c r="BS65" s="37" t="str">
        <f t="shared" si="23"/>
        <v/>
      </c>
      <c r="BT65" s="38" t="str">
        <f t="shared" si="49"/>
        <v/>
      </c>
      <c r="BU65" s="36" t="str">
        <f>IF(AND(AC82&gt;0,AC81=0),$AC$2,IF(AND(AD82&gt;0,AD81=0),$AD$2,IF(AND(AE82&gt;0,AE81=0),$AE$2,IF(AND(AF82&gt;0,AF81=0),$AF$2,IF(AND(AG82&gt;0,AG81=0),$AG$2,IF(AND(AH82&gt;0,AH81=0),$AH$2,IF(AND(AI82&gt;0,AI81=0),$AI$2,IF(AND(AJ82&gt;0,AJ81=0),$AJ$2,IF(AND(AK82&gt;0,AK81=0),$AK$2,IF(AND(AL82&gt;0,AL81=0),$AL$2,IF(AND(AM82&gt;0,AM81=0),$AM$2,IF(AND(AN82&gt;0,AN81=0),$AN$2,IF(AND(AO82&gt;0,AO81=0),$AO$2,IF(AND(AP82&gt;0,AP81=0),$AP$2,IF(AND(AQ82&gt;0,AQ81=0),$AQ$2,IF(AND(AR82&gt;0,AR81=0),$AR$2,""))))))))))))))))</f>
        <v/>
      </c>
    </row>
    <row r="66" spans="2:73" ht="15">
      <c r="B66" s="16">
        <f t="shared" si="26"/>
        <v>43535</v>
      </c>
      <c r="C66" s="15" t="s">
        <v>1</v>
      </c>
      <c r="D66" s="17">
        <f t="shared" si="27"/>
        <v>43541</v>
      </c>
      <c r="E66" s="18">
        <f t="shared" si="28"/>
        <v>3</v>
      </c>
      <c r="F66" s="19">
        <f t="shared" si="29"/>
        <v>2019</v>
      </c>
      <c r="G66" s="9">
        <f t="shared" si="50"/>
        <v>17</v>
      </c>
      <c r="H66" s="8">
        <f t="shared" si="50"/>
        <v>96</v>
      </c>
      <c r="I66" s="9"/>
      <c r="J66" s="9"/>
      <c r="K66" s="9"/>
      <c r="L66" s="9"/>
      <c r="M66" s="9"/>
      <c r="N66" s="9"/>
      <c r="O66" s="12"/>
      <c r="P66" s="12"/>
      <c r="Q66" s="12"/>
      <c r="R66" s="12"/>
      <c r="S66" s="12"/>
      <c r="T66" s="12"/>
      <c r="V66" s="20">
        <f t="shared" si="0"/>
        <v>15</v>
      </c>
      <c r="W66" s="20">
        <f t="shared" si="1"/>
        <v>0</v>
      </c>
      <c r="X66" s="20">
        <f t="shared" si="2"/>
        <v>2</v>
      </c>
      <c r="Y66" s="20">
        <f t="shared" si="3"/>
        <v>6</v>
      </c>
      <c r="Z66" s="20">
        <f t="shared" si="4"/>
        <v>0</v>
      </c>
      <c r="AA66" s="20">
        <f t="shared" si="5"/>
        <v>10</v>
      </c>
      <c r="AC66" s="3">
        <f t="shared" si="32"/>
        <v>19</v>
      </c>
      <c r="AD66" s="3">
        <f t="shared" si="33"/>
        <v>0</v>
      </c>
      <c r="AE66" s="22">
        <f t="shared" si="34"/>
        <v>0</v>
      </c>
      <c r="AF66" s="3">
        <f t="shared" si="35"/>
        <v>91</v>
      </c>
      <c r="AG66" s="3">
        <f t="shared" si="36"/>
        <v>87</v>
      </c>
      <c r="AH66" s="3">
        <f t="shared" si="37"/>
        <v>85</v>
      </c>
      <c r="AI66" s="3">
        <f t="shared" si="38"/>
        <v>78</v>
      </c>
      <c r="AJ66" s="3">
        <f t="shared" si="39"/>
        <v>74</v>
      </c>
      <c r="AK66" s="3">
        <f t="shared" si="40"/>
        <v>69</v>
      </c>
      <c r="AL66" s="3">
        <f t="shared" si="41"/>
        <v>66</v>
      </c>
      <c r="AM66" s="3">
        <f t="shared" si="42"/>
        <v>53</v>
      </c>
      <c r="AN66" s="3">
        <f t="shared" si="43"/>
        <v>47</v>
      </c>
      <c r="AO66" s="3">
        <f t="shared" si="44"/>
        <v>47</v>
      </c>
      <c r="AP66" s="3">
        <f t="shared" si="45"/>
        <v>28</v>
      </c>
      <c r="AQ66" s="21">
        <f t="shared" si="46"/>
        <v>25</v>
      </c>
      <c r="AR66" s="3">
        <f t="shared" si="47"/>
        <v>22</v>
      </c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M66" s="35" t="s">
        <v>12</v>
      </c>
      <c r="BO66" s="35"/>
      <c r="BR66" s="9" t="str">
        <f t="shared" si="22"/>
        <v/>
      </c>
      <c r="BS66" s="37" t="str">
        <f t="shared" si="23"/>
        <v/>
      </c>
      <c r="BT66" s="38" t="str">
        <f t="shared" si="49"/>
        <v/>
      </c>
      <c r="BU66" s="36" t="str">
        <f t="shared" si="25"/>
        <v/>
      </c>
    </row>
    <row r="67" spans="2:73" ht="15">
      <c r="B67" s="16">
        <f t="shared" si="26"/>
        <v>43542</v>
      </c>
      <c r="C67" s="15" t="s">
        <v>1</v>
      </c>
      <c r="D67" s="17">
        <f t="shared" si="27"/>
        <v>43548</v>
      </c>
      <c r="E67" s="18">
        <f t="shared" si="28"/>
        <v>3</v>
      </c>
      <c r="F67" s="19">
        <f t="shared" si="29"/>
        <v>2019</v>
      </c>
      <c r="G67" s="9">
        <f t="shared" si="50"/>
        <v>17</v>
      </c>
      <c r="H67" s="8">
        <f t="shared" si="50"/>
        <v>96</v>
      </c>
      <c r="I67" s="9"/>
      <c r="J67" s="9"/>
      <c r="K67" s="9"/>
      <c r="L67" s="9"/>
      <c r="M67" s="9"/>
      <c r="N67" s="9"/>
      <c r="O67" s="12"/>
      <c r="P67" s="12"/>
      <c r="Q67" s="12"/>
      <c r="R67" s="12"/>
      <c r="S67" s="12"/>
      <c r="T67" s="12"/>
      <c r="V67" s="20">
        <f t="shared" si="0"/>
        <v>16</v>
      </c>
      <c r="W67" s="20">
        <f t="shared" si="1"/>
        <v>0</v>
      </c>
      <c r="X67" s="20">
        <f t="shared" si="2"/>
        <v>3</v>
      </c>
      <c r="Y67" s="20">
        <f t="shared" si="3"/>
        <v>7</v>
      </c>
      <c r="Z67" s="20">
        <f t="shared" si="4"/>
        <v>0</v>
      </c>
      <c r="AA67" s="20">
        <f t="shared" si="5"/>
        <v>11</v>
      </c>
      <c r="AC67" s="3">
        <f t="shared" si="32"/>
        <v>20</v>
      </c>
      <c r="AD67" s="3">
        <f t="shared" si="33"/>
        <v>0</v>
      </c>
      <c r="AE67" s="22">
        <f t="shared" si="34"/>
        <v>0</v>
      </c>
      <c r="AF67" s="3">
        <f t="shared" si="35"/>
        <v>92</v>
      </c>
      <c r="AG67" s="3">
        <f t="shared" si="36"/>
        <v>88</v>
      </c>
      <c r="AH67" s="3">
        <f t="shared" si="37"/>
        <v>86</v>
      </c>
      <c r="AI67" s="3">
        <f t="shared" si="38"/>
        <v>79</v>
      </c>
      <c r="AJ67" s="3">
        <f t="shared" si="39"/>
        <v>75</v>
      </c>
      <c r="AK67" s="3">
        <f t="shared" si="40"/>
        <v>70</v>
      </c>
      <c r="AL67" s="3">
        <f t="shared" si="41"/>
        <v>67</v>
      </c>
      <c r="AM67" s="3">
        <f t="shared" si="42"/>
        <v>54</v>
      </c>
      <c r="AN67" s="3">
        <f t="shared" si="43"/>
        <v>48</v>
      </c>
      <c r="AO67" s="3">
        <f t="shared" si="44"/>
        <v>48</v>
      </c>
      <c r="AP67" s="3">
        <f t="shared" si="45"/>
        <v>29</v>
      </c>
      <c r="AQ67" s="21">
        <f t="shared" si="46"/>
        <v>26</v>
      </c>
      <c r="AR67" s="3">
        <f t="shared" si="47"/>
        <v>23</v>
      </c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M67" s="35" t="s">
        <v>12</v>
      </c>
      <c r="BO67" s="35"/>
      <c r="BR67" s="9" t="str">
        <f t="shared" si="22"/>
        <v/>
      </c>
      <c r="BS67" s="37" t="str">
        <f t="shared" si="23"/>
        <v/>
      </c>
      <c r="BT67" s="38" t="str">
        <f t="shared" si="49"/>
        <v/>
      </c>
      <c r="BU67" s="36" t="str">
        <f t="shared" si="25"/>
        <v/>
      </c>
    </row>
    <row r="68" spans="2:73" ht="15">
      <c r="B68" s="16">
        <f t="shared" si="26"/>
        <v>43549</v>
      </c>
      <c r="C68" s="15" t="s">
        <v>1</v>
      </c>
      <c r="D68" s="17">
        <f t="shared" si="27"/>
        <v>43555</v>
      </c>
      <c r="E68" s="18">
        <f t="shared" si="28"/>
        <v>3</v>
      </c>
      <c r="F68" s="19">
        <f t="shared" si="29"/>
        <v>2019</v>
      </c>
      <c r="G68" s="9">
        <f t="shared" si="50"/>
        <v>17</v>
      </c>
      <c r="H68" s="8">
        <f t="shared" si="50"/>
        <v>96</v>
      </c>
      <c r="I68" s="9"/>
      <c r="J68" s="9"/>
      <c r="K68" s="9"/>
      <c r="L68" s="9"/>
      <c r="M68" s="9"/>
      <c r="N68" s="9"/>
      <c r="O68" s="12"/>
      <c r="P68" s="12">
        <v>1</v>
      </c>
      <c r="Q68" s="12"/>
      <c r="R68" s="12"/>
      <c r="S68" s="12"/>
      <c r="T68" s="12"/>
      <c r="V68" s="20">
        <f t="shared" ref="V68:V131" si="51">IF(I68&gt;0,I68,IF(O68=1,$B68+2,IF(O67=1,1,IF(O67=2,0,IF(V67=$G67,0,(IF(V67&gt;=1,V67+1,0)))))))</f>
        <v>17</v>
      </c>
      <c r="W68" s="20">
        <f t="shared" ref="W68:W131" si="52">IF(J68&gt;0,J68,IF(P68=1,$B68+2,IF(P67=1,1,IF(P67=2,0,IF(W67=$G67,0,(IF(W67&gt;=1,W67+1,0)))))))</f>
        <v>43551</v>
      </c>
      <c r="X68" s="20">
        <f t="shared" ref="X68:X131" si="53">IF(K68&gt;0,K68,IF(Q68=1,$B68+2,IF(Q67=1,1,IF(Q67=2,0,IF(X67=$G67,0,(IF(X67&gt;=1,X67+1,0)))))))</f>
        <v>4</v>
      </c>
      <c r="Y68" s="20">
        <f t="shared" ref="Y68:Y131" si="54">IF(L68&gt;0,L68,IF(R68=1,$B68+2,IF(R67=1,1,IF(R67=2,0,IF(Y67=$G67,0,(IF(Y67&gt;=1,Y67+1,0)))))))</f>
        <v>8</v>
      </c>
      <c r="Z68" s="20">
        <f t="shared" ref="Z68:Z131" si="55">IF(M68&gt;0,M68,IF(S68=1,$B68+2,IF(S67=1,1,IF(S67=2,0,IF(Z67=$G67,0,(IF(Z67&gt;=1,Z67+1,0)))))))</f>
        <v>0</v>
      </c>
      <c r="AA68" s="20">
        <f t="shared" ref="AA68:AA131" si="56">IF(N68&gt;0,N68,IF(T68=1,$B68+2,IF(T67=1,1,IF(T67=2,0,IF(AA67=$G67,0,(IF(AA67&gt;=1,AA67+1,0)))))))</f>
        <v>12</v>
      </c>
      <c r="AC68" s="3">
        <f t="shared" si="32"/>
        <v>21</v>
      </c>
      <c r="AD68" s="3">
        <f t="shared" si="33"/>
        <v>17</v>
      </c>
      <c r="AE68" s="22">
        <f t="shared" si="34"/>
        <v>0</v>
      </c>
      <c r="AF68" s="3">
        <f t="shared" si="35"/>
        <v>93</v>
      </c>
      <c r="AG68" s="3">
        <f t="shared" si="36"/>
        <v>89</v>
      </c>
      <c r="AH68" s="3">
        <f t="shared" si="37"/>
        <v>87</v>
      </c>
      <c r="AI68" s="3">
        <f t="shared" si="38"/>
        <v>80</v>
      </c>
      <c r="AJ68" s="3">
        <f t="shared" si="39"/>
        <v>76</v>
      </c>
      <c r="AK68" s="3">
        <f t="shared" si="40"/>
        <v>71</v>
      </c>
      <c r="AL68" s="3">
        <f t="shared" si="41"/>
        <v>68</v>
      </c>
      <c r="AM68" s="3">
        <f t="shared" si="42"/>
        <v>55</v>
      </c>
      <c r="AN68" s="3">
        <f t="shared" si="43"/>
        <v>49</v>
      </c>
      <c r="AO68" s="3">
        <f t="shared" si="44"/>
        <v>49</v>
      </c>
      <c r="AP68" s="3">
        <f t="shared" si="45"/>
        <v>30</v>
      </c>
      <c r="AQ68" s="21">
        <f t="shared" si="46"/>
        <v>27</v>
      </c>
      <c r="AR68" s="3">
        <f t="shared" si="47"/>
        <v>24</v>
      </c>
      <c r="AS68" s="8"/>
      <c r="AT68" s="8">
        <v>1</v>
      </c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M68" s="35" t="s">
        <v>12</v>
      </c>
      <c r="BO68" s="35"/>
      <c r="BQ68" s="47" t="s">
        <v>7</v>
      </c>
      <c r="BR68" s="9">
        <f t="shared" ref="BR68:BR131" si="57">IF(AND(V68&gt;0,V67=0),$V$2,IF(AND(W68&gt;0,W67=0),$W$2,IF(AND(X68&gt;0,X67=0),$X$2,IF(AND(Y68&gt;0,Y67=0),$Y$2,IF(AND(Z68&gt;0,Z67=0),$Z$2,IF(AND(AA68&gt;0,AA67=0),$AA$2,""))))))</f>
        <v>2</v>
      </c>
      <c r="BS68" s="37">
        <f t="shared" ref="BS68:BS131" si="58">IF(OR(AND($V69=1,$V70=2),OR(AND($W69=1,$W70=2),OR(AND($X69=1,$X70=2),OR(AND($Y69=1,$Y70=2),OR(AND($Z69=1,$Z70),OR(AND($AA69=1,$AA70=2))))))),$B68+2,"")</f>
        <v>43551</v>
      </c>
      <c r="BT68" s="38">
        <f t="shared" si="49"/>
        <v>43670</v>
      </c>
      <c r="BU68" s="36">
        <f t="shared" ref="BU68:BU131" si="59">IF(AND(AC85&gt;0,AC84=0),$AC$2,IF(AND(AD85&gt;0,AD84=0),$AD$2,IF(AND(AE85&gt;0,AE84=0),$AE$2,IF(AND(AF85&gt;0,AF84=0),$AF$2,IF(AND(AG85&gt;0,AG84=0),$AG$2,IF(AND(AH85&gt;0,AH84=0),$AH$2,IF(AND(AI85&gt;0,AI84=0),$AI$2,IF(AND(AJ85&gt;0,AJ84=0),$AJ$2,IF(AND(AK85&gt;0,AK84=0),$AK$2,IF(AND(AL85&gt;0,AL84=0),$AL$2,IF(AND(AM85&gt;0,AM84=0),$AM$2,IF(AND(AN85&gt;0,AN84=0),$AN$2,IF(AND(AO85&gt;0,AO84=0),$AO$2,IF(AND(AP85&gt;0,AP84=0),$AP$2,IF(AND(AQ85&gt;0,AQ84=0),$AQ$2,IF(AND(AR85&gt;0,AR84=0),$AR$2,""))))))))))))))))</f>
        <v>6</v>
      </c>
    </row>
    <row r="69" spans="2:73" ht="15">
      <c r="B69" s="16">
        <f t="shared" ref="B69:B132" si="60">D68+1</f>
        <v>43556</v>
      </c>
      <c r="C69" s="15" t="s">
        <v>1</v>
      </c>
      <c r="D69" s="17">
        <f t="shared" ref="D69:D132" si="61">B69+6</f>
        <v>43562</v>
      </c>
      <c r="E69" s="18">
        <f t="shared" ref="E69:E132" si="62">MONTH(B69)</f>
        <v>4</v>
      </c>
      <c r="F69" s="19">
        <f t="shared" ref="F69:F132" si="63">YEAR(D69)</f>
        <v>2019</v>
      </c>
      <c r="G69" s="9">
        <f t="shared" si="50"/>
        <v>17</v>
      </c>
      <c r="H69" s="8">
        <f t="shared" si="50"/>
        <v>96</v>
      </c>
      <c r="I69" s="9"/>
      <c r="J69" s="9"/>
      <c r="K69" s="9"/>
      <c r="L69" s="9"/>
      <c r="M69" s="9"/>
      <c r="N69" s="9"/>
      <c r="O69" s="12"/>
      <c r="P69" s="12"/>
      <c r="Q69" s="12"/>
      <c r="R69" s="12"/>
      <c r="S69" s="12"/>
      <c r="T69" s="12">
        <v>2</v>
      </c>
      <c r="V69" s="20">
        <f t="shared" si="51"/>
        <v>0</v>
      </c>
      <c r="W69" s="20">
        <f t="shared" si="52"/>
        <v>1</v>
      </c>
      <c r="X69" s="20">
        <f t="shared" si="53"/>
        <v>5</v>
      </c>
      <c r="Y69" s="20">
        <f t="shared" si="54"/>
        <v>9</v>
      </c>
      <c r="Z69" s="20">
        <f t="shared" si="55"/>
        <v>0</v>
      </c>
      <c r="AA69" s="20">
        <f t="shared" si="56"/>
        <v>13</v>
      </c>
      <c r="AC69" s="3">
        <f t="shared" si="32"/>
        <v>22</v>
      </c>
      <c r="AD69" s="3">
        <f t="shared" si="33"/>
        <v>18</v>
      </c>
      <c r="AE69" s="22">
        <f t="shared" si="34"/>
        <v>13</v>
      </c>
      <c r="AF69" s="3">
        <f t="shared" si="35"/>
        <v>94</v>
      </c>
      <c r="AG69" s="3">
        <f t="shared" si="36"/>
        <v>90</v>
      </c>
      <c r="AH69" s="3">
        <f t="shared" si="37"/>
        <v>88</v>
      </c>
      <c r="AI69" s="3">
        <f t="shared" si="38"/>
        <v>81</v>
      </c>
      <c r="AJ69" s="3">
        <f t="shared" si="39"/>
        <v>77</v>
      </c>
      <c r="AK69" s="3">
        <f t="shared" si="40"/>
        <v>72</v>
      </c>
      <c r="AL69" s="3">
        <f t="shared" si="41"/>
        <v>69</v>
      </c>
      <c r="AM69" s="3">
        <f t="shared" si="42"/>
        <v>56</v>
      </c>
      <c r="AN69" s="3">
        <f t="shared" si="43"/>
        <v>50</v>
      </c>
      <c r="AO69" s="3">
        <f t="shared" si="44"/>
        <v>50</v>
      </c>
      <c r="AP69" s="3">
        <f t="shared" si="45"/>
        <v>31</v>
      </c>
      <c r="AQ69" s="21">
        <f t="shared" si="46"/>
        <v>28</v>
      </c>
      <c r="AR69" s="3">
        <f t="shared" si="47"/>
        <v>25</v>
      </c>
      <c r="AS69" s="8"/>
      <c r="AT69" s="8"/>
      <c r="AU69" s="8">
        <v>6</v>
      </c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L69">
        <v>1</v>
      </c>
      <c r="BM69" s="35">
        <v>43556</v>
      </c>
      <c r="BO69" s="35">
        <f>B86</f>
        <v>43675</v>
      </c>
      <c r="BP69">
        <v>95</v>
      </c>
      <c r="BR69" s="9" t="str">
        <f t="shared" si="57"/>
        <v/>
      </c>
      <c r="BS69" s="37" t="str">
        <f t="shared" si="58"/>
        <v/>
      </c>
      <c r="BT69" s="38" t="str">
        <f t="shared" si="49"/>
        <v/>
      </c>
      <c r="BU69" s="36" t="str">
        <f>IF(AND(AC86&gt;0,AC85=0),$AC$2,IF(AND(AD86&gt;0,AD85=0),$AD$2,IF(AND(AE86&gt;0,AE85=0),$AE$2,IF(AND(AF86&gt;0,AF85=0),$AF$2,IF(AND(AG86&gt;0,AG85=0),$AG$2,IF(AND(AH86&gt;0,AH85=0),$AH$2,IF(AND(AI86&gt;0,AI85=0),$AI$2,IF(AND(AJ86&gt;0,AJ85=0),$AJ$2,IF(AND(AK86&gt;0,AK85=0),$AK$2,IF(AND(AL86&gt;0,AL85=0),$AL$2,IF(AND(AM86&gt;0,AM85=0),$AM$2,IF(AND(AN86&gt;0,AN85=0),$AN$2,IF(AND(AO86&gt;0,AO85=0),$AO$2,IF(AND(AP86&gt;0,AP85=0),$AP$2,IF(AND(AQ86&gt;0,AQ85=0),$AQ$2,IF(AND(AR86&gt;0,AR85=0),$AR$2,""))))))))))))))))</f>
        <v/>
      </c>
    </row>
    <row r="70" spans="2:73" ht="15">
      <c r="B70" s="16">
        <f t="shared" si="60"/>
        <v>43563</v>
      </c>
      <c r="C70" s="15" t="s">
        <v>1</v>
      </c>
      <c r="D70" s="17">
        <f t="shared" si="61"/>
        <v>43569</v>
      </c>
      <c r="E70" s="18">
        <f t="shared" si="62"/>
        <v>4</v>
      </c>
      <c r="F70" s="19">
        <f t="shared" si="63"/>
        <v>2019</v>
      </c>
      <c r="G70" s="9">
        <f t="shared" ref="G70:H85" si="64">G69</f>
        <v>17</v>
      </c>
      <c r="H70" s="8">
        <f t="shared" si="64"/>
        <v>96</v>
      </c>
      <c r="I70" s="9"/>
      <c r="J70" s="9"/>
      <c r="K70" s="9"/>
      <c r="L70" s="9"/>
      <c r="M70" s="9"/>
      <c r="N70" s="9"/>
      <c r="O70" s="12"/>
      <c r="P70" s="12"/>
      <c r="Q70" s="12"/>
      <c r="R70" s="12"/>
      <c r="S70" s="12"/>
      <c r="T70" s="12"/>
      <c r="V70" s="20">
        <f t="shared" si="51"/>
        <v>0</v>
      </c>
      <c r="W70" s="20">
        <f t="shared" si="52"/>
        <v>2</v>
      </c>
      <c r="X70" s="20">
        <f t="shared" si="53"/>
        <v>6</v>
      </c>
      <c r="Y70" s="20">
        <f t="shared" si="54"/>
        <v>10</v>
      </c>
      <c r="Z70" s="20">
        <f t="shared" si="55"/>
        <v>0</v>
      </c>
      <c r="AA70" s="20">
        <f t="shared" si="56"/>
        <v>0</v>
      </c>
      <c r="AC70" s="3">
        <f t="shared" si="32"/>
        <v>23</v>
      </c>
      <c r="AD70" s="3">
        <f t="shared" si="33"/>
        <v>19</v>
      </c>
      <c r="AE70" s="3">
        <f t="shared" si="34"/>
        <v>14</v>
      </c>
      <c r="AF70" s="3">
        <f t="shared" si="35"/>
        <v>95</v>
      </c>
      <c r="AG70" s="3">
        <f t="shared" si="36"/>
        <v>91</v>
      </c>
      <c r="AH70" s="3">
        <f t="shared" si="37"/>
        <v>89</v>
      </c>
      <c r="AI70" s="3">
        <f t="shared" si="38"/>
        <v>82</v>
      </c>
      <c r="AJ70" s="3">
        <f t="shared" si="39"/>
        <v>78</v>
      </c>
      <c r="AK70" s="3">
        <f t="shared" si="40"/>
        <v>73</v>
      </c>
      <c r="AL70" s="3">
        <f t="shared" si="41"/>
        <v>70</v>
      </c>
      <c r="AM70" s="3">
        <f t="shared" si="42"/>
        <v>57</v>
      </c>
      <c r="AN70" s="3">
        <f t="shared" si="43"/>
        <v>51</v>
      </c>
      <c r="AO70" s="3">
        <f t="shared" si="44"/>
        <v>51</v>
      </c>
      <c r="AP70" s="3">
        <f t="shared" si="45"/>
        <v>32</v>
      </c>
      <c r="AQ70" s="3">
        <f t="shared" si="46"/>
        <v>29</v>
      </c>
      <c r="AR70" s="3">
        <f t="shared" si="47"/>
        <v>26</v>
      </c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M70" s="35" t="s">
        <v>12</v>
      </c>
      <c r="BO70" s="35"/>
      <c r="BR70" s="9" t="str">
        <f t="shared" si="57"/>
        <v/>
      </c>
      <c r="BS70" s="37" t="str">
        <f t="shared" si="58"/>
        <v/>
      </c>
      <c r="BT70" s="38" t="str">
        <f t="shared" si="49"/>
        <v/>
      </c>
      <c r="BU70" s="36" t="str">
        <f>IF(AND(AC87&gt;0,AC86=0),$AC$2,IF(AND(AD87&gt;0,AD86=0),$AD$2,IF(AND(AE87&gt;0,AE86=0),$AE$2,IF(AND(AF87&gt;0,AF86=0),$AF$2,IF(AND(AG87&gt;0,AG86=0),$AG$2,IF(AND(AH87&gt;0,AH86=0),$AH$2,IF(AND(AI87&gt;0,AI86=0),$AI$2,IF(AND(AJ87&gt;0,AJ86=0),$AJ$2,IF(AND(AK87&gt;0,AK86=0),$AK$2,IF(AND(AL87&gt;0,AL86=0),$AL$2,IF(AND(AM87&gt;0,AM86=0),$AM$2,IF(AND(AN87&gt;0,AN86=0),$AN$2,IF(AND(AO87&gt;0,AO86=0),$AO$2,IF(AND(AP87&gt;0,AP86=0),$AP$2,IF(AND(AQ87&gt;0,AQ86=0),$AQ$2,IF(AND(AR87&gt;0,AR86=0),$AR$2,""))))))))))))))))</f>
        <v/>
      </c>
    </row>
    <row r="71" spans="2:73" ht="15">
      <c r="B71" s="16">
        <f t="shared" si="60"/>
        <v>43570</v>
      </c>
      <c r="C71" s="15" t="s">
        <v>1</v>
      </c>
      <c r="D71" s="17">
        <f t="shared" si="61"/>
        <v>43576</v>
      </c>
      <c r="E71" s="18">
        <f t="shared" si="62"/>
        <v>4</v>
      </c>
      <c r="F71" s="19">
        <f t="shared" si="63"/>
        <v>2019</v>
      </c>
      <c r="G71" s="9">
        <f t="shared" si="64"/>
        <v>17</v>
      </c>
      <c r="H71" s="8">
        <f t="shared" si="64"/>
        <v>96</v>
      </c>
      <c r="I71" s="9"/>
      <c r="J71" s="9"/>
      <c r="K71" s="9"/>
      <c r="L71" s="9"/>
      <c r="M71" s="9"/>
      <c r="N71" s="9"/>
      <c r="O71" s="12"/>
      <c r="P71" s="12"/>
      <c r="Q71" s="12"/>
      <c r="R71" s="12"/>
      <c r="S71" s="12"/>
      <c r="T71" s="12"/>
      <c r="V71" s="20">
        <f t="shared" si="51"/>
        <v>0</v>
      </c>
      <c r="W71" s="20">
        <f t="shared" si="52"/>
        <v>3</v>
      </c>
      <c r="X71" s="20">
        <f t="shared" si="53"/>
        <v>7</v>
      </c>
      <c r="Y71" s="20">
        <f t="shared" si="54"/>
        <v>11</v>
      </c>
      <c r="Z71" s="20">
        <f t="shared" si="55"/>
        <v>0</v>
      </c>
      <c r="AA71" s="20">
        <f t="shared" si="56"/>
        <v>0</v>
      </c>
      <c r="AC71" s="3">
        <f t="shared" si="32"/>
        <v>24</v>
      </c>
      <c r="AD71" s="3">
        <f t="shared" si="33"/>
        <v>20</v>
      </c>
      <c r="AE71" s="3">
        <f t="shared" si="34"/>
        <v>15</v>
      </c>
      <c r="AF71" s="3">
        <f t="shared" si="35"/>
        <v>96</v>
      </c>
      <c r="AG71" s="3">
        <f t="shared" si="36"/>
        <v>92</v>
      </c>
      <c r="AH71" s="3">
        <f t="shared" si="37"/>
        <v>90</v>
      </c>
      <c r="AI71" s="3">
        <f t="shared" si="38"/>
        <v>83</v>
      </c>
      <c r="AJ71" s="3">
        <f t="shared" si="39"/>
        <v>79</v>
      </c>
      <c r="AK71" s="3">
        <f t="shared" si="40"/>
        <v>74</v>
      </c>
      <c r="AL71" s="3">
        <f t="shared" si="41"/>
        <v>71</v>
      </c>
      <c r="AM71" s="3">
        <f t="shared" si="42"/>
        <v>58</v>
      </c>
      <c r="AN71" s="3">
        <f t="shared" si="43"/>
        <v>52</v>
      </c>
      <c r="AO71" s="3">
        <f t="shared" si="44"/>
        <v>52</v>
      </c>
      <c r="AP71" s="3">
        <f t="shared" si="45"/>
        <v>33</v>
      </c>
      <c r="AQ71" s="3">
        <f t="shared" si="46"/>
        <v>30</v>
      </c>
      <c r="AR71" s="3">
        <f t="shared" si="47"/>
        <v>27</v>
      </c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M71" s="35" t="s">
        <v>12</v>
      </c>
      <c r="BO71" s="35"/>
      <c r="BR71" s="9" t="str">
        <f t="shared" si="57"/>
        <v/>
      </c>
      <c r="BS71" s="37" t="str">
        <f t="shared" si="58"/>
        <v/>
      </c>
      <c r="BT71" s="38" t="str">
        <f t="shared" si="49"/>
        <v/>
      </c>
      <c r="BU71" s="36" t="str">
        <f t="shared" si="59"/>
        <v/>
      </c>
    </row>
    <row r="72" spans="2:73" ht="15">
      <c r="B72" s="16">
        <f t="shared" si="60"/>
        <v>43577</v>
      </c>
      <c r="C72" s="15" t="s">
        <v>1</v>
      </c>
      <c r="D72" s="17">
        <f t="shared" si="61"/>
        <v>43583</v>
      </c>
      <c r="E72" s="18">
        <f t="shared" si="62"/>
        <v>4</v>
      </c>
      <c r="F72" s="19">
        <f t="shared" si="63"/>
        <v>2019</v>
      </c>
      <c r="G72" s="9">
        <f t="shared" si="64"/>
        <v>17</v>
      </c>
      <c r="H72" s="8">
        <f t="shared" si="64"/>
        <v>96</v>
      </c>
      <c r="I72" s="9"/>
      <c r="J72" s="9"/>
      <c r="K72" s="9"/>
      <c r="L72" s="9"/>
      <c r="M72" s="9"/>
      <c r="N72" s="9"/>
      <c r="O72" s="12">
        <v>1</v>
      </c>
      <c r="P72" s="12"/>
      <c r="Q72" s="12"/>
      <c r="R72" s="12"/>
      <c r="S72" s="12"/>
      <c r="T72" s="12"/>
      <c r="V72" s="20">
        <f t="shared" si="51"/>
        <v>43579</v>
      </c>
      <c r="W72" s="20">
        <f t="shared" si="52"/>
        <v>4</v>
      </c>
      <c r="X72" s="20">
        <f t="shared" si="53"/>
        <v>8</v>
      </c>
      <c r="Y72" s="20">
        <f t="shared" si="54"/>
        <v>12</v>
      </c>
      <c r="Z72" s="20">
        <f t="shared" si="55"/>
        <v>0</v>
      </c>
      <c r="AA72" s="20">
        <f t="shared" si="56"/>
        <v>0</v>
      </c>
      <c r="AC72" s="3">
        <f t="shared" si="32"/>
        <v>25</v>
      </c>
      <c r="AD72" s="3">
        <f t="shared" si="33"/>
        <v>21</v>
      </c>
      <c r="AE72" s="3">
        <f t="shared" si="34"/>
        <v>16</v>
      </c>
      <c r="AF72" s="3">
        <f t="shared" si="35"/>
        <v>0</v>
      </c>
      <c r="AG72" s="3">
        <f t="shared" si="36"/>
        <v>93</v>
      </c>
      <c r="AH72" s="3">
        <f t="shared" si="37"/>
        <v>91</v>
      </c>
      <c r="AI72" s="3">
        <f t="shared" si="38"/>
        <v>84</v>
      </c>
      <c r="AJ72" s="3">
        <f t="shared" si="39"/>
        <v>80</v>
      </c>
      <c r="AK72" s="3">
        <f t="shared" si="40"/>
        <v>75</v>
      </c>
      <c r="AL72" s="3">
        <f t="shared" si="41"/>
        <v>72</v>
      </c>
      <c r="AM72" s="3">
        <f t="shared" si="42"/>
        <v>59</v>
      </c>
      <c r="AN72" s="3">
        <f t="shared" si="43"/>
        <v>53</v>
      </c>
      <c r="AO72" s="3">
        <f t="shared" si="44"/>
        <v>53</v>
      </c>
      <c r="AP72" s="3">
        <f t="shared" si="45"/>
        <v>34</v>
      </c>
      <c r="AQ72" s="3">
        <f t="shared" si="46"/>
        <v>31</v>
      </c>
      <c r="AR72" s="3">
        <f t="shared" si="47"/>
        <v>28</v>
      </c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M72" s="35" t="s">
        <v>12</v>
      </c>
      <c r="BO72" s="35"/>
      <c r="BR72" s="9">
        <f t="shared" si="57"/>
        <v>1</v>
      </c>
      <c r="BS72" s="37">
        <f t="shared" si="58"/>
        <v>43579</v>
      </c>
      <c r="BT72" s="38">
        <f t="shared" si="49"/>
        <v>43698</v>
      </c>
      <c r="BU72" s="36">
        <f t="shared" si="59"/>
        <v>2</v>
      </c>
    </row>
    <row r="73" spans="2:73" ht="15">
      <c r="B73" s="16">
        <f t="shared" si="60"/>
        <v>43584</v>
      </c>
      <c r="C73" s="15" t="s">
        <v>1</v>
      </c>
      <c r="D73" s="17">
        <f t="shared" si="61"/>
        <v>43590</v>
      </c>
      <c r="E73" s="18">
        <f t="shared" si="62"/>
        <v>4</v>
      </c>
      <c r="F73" s="19">
        <f t="shared" si="63"/>
        <v>2019</v>
      </c>
      <c r="G73" s="9">
        <f t="shared" si="64"/>
        <v>17</v>
      </c>
      <c r="H73" s="8">
        <f t="shared" si="64"/>
        <v>96</v>
      </c>
      <c r="I73" s="9"/>
      <c r="J73" s="9"/>
      <c r="K73" s="9"/>
      <c r="L73" s="9"/>
      <c r="M73" s="9"/>
      <c r="N73" s="9"/>
      <c r="O73" s="12"/>
      <c r="P73" s="12"/>
      <c r="Q73" s="12"/>
      <c r="R73" s="12"/>
      <c r="S73" s="12"/>
      <c r="T73" s="12"/>
      <c r="V73" s="20">
        <f t="shared" si="51"/>
        <v>1</v>
      </c>
      <c r="W73" s="20">
        <f t="shared" si="52"/>
        <v>5</v>
      </c>
      <c r="X73" s="20">
        <f t="shared" si="53"/>
        <v>9</v>
      </c>
      <c r="Y73" s="20">
        <f t="shared" si="54"/>
        <v>13</v>
      </c>
      <c r="Z73" s="20">
        <f t="shared" si="55"/>
        <v>0</v>
      </c>
      <c r="AA73" s="20">
        <f t="shared" si="56"/>
        <v>0</v>
      </c>
      <c r="AC73" s="3">
        <f t="shared" si="32"/>
        <v>26</v>
      </c>
      <c r="AD73" s="3">
        <f t="shared" si="33"/>
        <v>22</v>
      </c>
      <c r="AE73" s="3">
        <f t="shared" si="34"/>
        <v>17</v>
      </c>
      <c r="AF73" s="3">
        <f t="shared" si="35"/>
        <v>0</v>
      </c>
      <c r="AG73" s="3">
        <f t="shared" si="36"/>
        <v>94</v>
      </c>
      <c r="AH73" s="3">
        <f t="shared" si="37"/>
        <v>92</v>
      </c>
      <c r="AI73" s="3">
        <f t="shared" si="38"/>
        <v>85</v>
      </c>
      <c r="AJ73" s="3">
        <f t="shared" si="39"/>
        <v>81</v>
      </c>
      <c r="AK73" s="3">
        <f t="shared" si="40"/>
        <v>76</v>
      </c>
      <c r="AL73" s="3">
        <f t="shared" si="41"/>
        <v>73</v>
      </c>
      <c r="AM73" s="3">
        <f t="shared" si="42"/>
        <v>60</v>
      </c>
      <c r="AN73" s="3">
        <f t="shared" si="43"/>
        <v>54</v>
      </c>
      <c r="AO73" s="3">
        <f t="shared" si="44"/>
        <v>54</v>
      </c>
      <c r="AP73" s="3">
        <f t="shared" si="45"/>
        <v>35</v>
      </c>
      <c r="AQ73" s="3">
        <f t="shared" si="46"/>
        <v>32</v>
      </c>
      <c r="AR73" s="3">
        <f t="shared" si="47"/>
        <v>29</v>
      </c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M73" s="35" t="s">
        <v>12</v>
      </c>
      <c r="BO73" s="35"/>
      <c r="BR73" s="9" t="str">
        <f t="shared" si="57"/>
        <v/>
      </c>
      <c r="BS73" s="37" t="str">
        <f t="shared" si="58"/>
        <v/>
      </c>
      <c r="BT73" s="38" t="str">
        <f t="shared" si="49"/>
        <v/>
      </c>
      <c r="BU73" s="36" t="str">
        <f t="shared" si="59"/>
        <v/>
      </c>
    </row>
    <row r="74" spans="2:73" ht="15">
      <c r="B74" s="16">
        <f t="shared" si="60"/>
        <v>43591</v>
      </c>
      <c r="C74" s="15" t="s">
        <v>1</v>
      </c>
      <c r="D74" s="17">
        <f t="shared" si="61"/>
        <v>43597</v>
      </c>
      <c r="E74" s="18">
        <f t="shared" si="62"/>
        <v>5</v>
      </c>
      <c r="F74" s="19">
        <f t="shared" si="63"/>
        <v>2019</v>
      </c>
      <c r="G74" s="9">
        <f t="shared" si="64"/>
        <v>17</v>
      </c>
      <c r="H74" s="8">
        <f t="shared" si="64"/>
        <v>96</v>
      </c>
      <c r="I74" s="9"/>
      <c r="J74" s="9"/>
      <c r="K74" s="9"/>
      <c r="L74" s="9"/>
      <c r="M74" s="9"/>
      <c r="N74" s="9"/>
      <c r="O74" s="12"/>
      <c r="P74" s="12"/>
      <c r="Q74" s="12"/>
      <c r="R74" s="12"/>
      <c r="S74" s="12"/>
      <c r="T74" s="12"/>
      <c r="V74" s="20">
        <f t="shared" si="51"/>
        <v>2</v>
      </c>
      <c r="W74" s="20">
        <f t="shared" si="52"/>
        <v>6</v>
      </c>
      <c r="X74" s="20">
        <f t="shared" si="53"/>
        <v>10</v>
      </c>
      <c r="Y74" s="20">
        <f t="shared" si="54"/>
        <v>14</v>
      </c>
      <c r="Z74" s="20">
        <f t="shared" si="55"/>
        <v>0</v>
      </c>
      <c r="AA74" s="20">
        <f t="shared" si="56"/>
        <v>0</v>
      </c>
      <c r="AC74" s="3">
        <f t="shared" si="32"/>
        <v>27</v>
      </c>
      <c r="AD74" s="3">
        <f t="shared" si="33"/>
        <v>23</v>
      </c>
      <c r="AE74" s="3">
        <f t="shared" si="34"/>
        <v>18</v>
      </c>
      <c r="AF74" s="3">
        <f t="shared" si="35"/>
        <v>0</v>
      </c>
      <c r="AG74" s="3">
        <f t="shared" si="36"/>
        <v>95</v>
      </c>
      <c r="AH74" s="3">
        <f t="shared" si="37"/>
        <v>93</v>
      </c>
      <c r="AI74" s="3">
        <f t="shared" si="38"/>
        <v>86</v>
      </c>
      <c r="AJ74" s="3">
        <f t="shared" si="39"/>
        <v>82</v>
      </c>
      <c r="AK74" s="3">
        <f t="shared" si="40"/>
        <v>77</v>
      </c>
      <c r="AL74" s="3">
        <f t="shared" si="41"/>
        <v>74</v>
      </c>
      <c r="AM74" s="3">
        <f t="shared" si="42"/>
        <v>61</v>
      </c>
      <c r="AN74" s="3">
        <f t="shared" si="43"/>
        <v>55</v>
      </c>
      <c r="AO74" s="3">
        <f t="shared" si="44"/>
        <v>55</v>
      </c>
      <c r="AP74" s="3">
        <f t="shared" si="45"/>
        <v>36</v>
      </c>
      <c r="AQ74" s="3">
        <f t="shared" si="46"/>
        <v>33</v>
      </c>
      <c r="AR74" s="3">
        <f t="shared" si="47"/>
        <v>30</v>
      </c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J74" s="33"/>
      <c r="BK74" s="34"/>
      <c r="BL74">
        <v>6</v>
      </c>
      <c r="BM74" s="35">
        <v>43591</v>
      </c>
      <c r="BO74" s="35">
        <f>B91</f>
        <v>43710</v>
      </c>
      <c r="BP74">
        <v>95</v>
      </c>
      <c r="BR74" s="9" t="str">
        <f t="shared" si="57"/>
        <v/>
      </c>
      <c r="BS74" s="37" t="str">
        <f t="shared" si="58"/>
        <v/>
      </c>
      <c r="BT74" s="38" t="str">
        <f t="shared" si="49"/>
        <v/>
      </c>
      <c r="BU74" s="36" t="str">
        <f t="shared" si="59"/>
        <v/>
      </c>
    </row>
    <row r="75" spans="2:73" ht="15">
      <c r="B75" s="16">
        <f t="shared" si="60"/>
        <v>43598</v>
      </c>
      <c r="C75" s="15" t="s">
        <v>1</v>
      </c>
      <c r="D75" s="17">
        <f t="shared" si="61"/>
        <v>43604</v>
      </c>
      <c r="E75" s="18">
        <f t="shared" si="62"/>
        <v>5</v>
      </c>
      <c r="F75" s="19">
        <f t="shared" si="63"/>
        <v>2019</v>
      </c>
      <c r="G75" s="9">
        <f t="shared" si="64"/>
        <v>17</v>
      </c>
      <c r="H75" s="8">
        <f t="shared" si="64"/>
        <v>96</v>
      </c>
      <c r="I75" s="9"/>
      <c r="J75" s="9"/>
      <c r="K75" s="9"/>
      <c r="L75" s="9"/>
      <c r="M75" s="9"/>
      <c r="N75" s="9"/>
      <c r="O75" s="12"/>
      <c r="P75" s="12"/>
      <c r="Q75" s="12"/>
      <c r="R75" s="12"/>
      <c r="S75" s="12"/>
      <c r="T75" s="12"/>
      <c r="V75" s="20">
        <f t="shared" si="51"/>
        <v>3</v>
      </c>
      <c r="W75" s="20">
        <f t="shared" si="52"/>
        <v>7</v>
      </c>
      <c r="X75" s="20">
        <f t="shared" si="53"/>
        <v>11</v>
      </c>
      <c r="Y75" s="20">
        <f t="shared" si="54"/>
        <v>15</v>
      </c>
      <c r="Z75" s="20">
        <f t="shared" si="55"/>
        <v>0</v>
      </c>
      <c r="AA75" s="20">
        <f t="shared" si="56"/>
        <v>0</v>
      </c>
      <c r="AC75" s="3">
        <f t="shared" si="32"/>
        <v>28</v>
      </c>
      <c r="AD75" s="3">
        <f t="shared" si="33"/>
        <v>24</v>
      </c>
      <c r="AE75" s="3">
        <f t="shared" si="34"/>
        <v>19</v>
      </c>
      <c r="AF75" s="3">
        <f t="shared" si="35"/>
        <v>0</v>
      </c>
      <c r="AG75" s="3">
        <f t="shared" si="36"/>
        <v>96</v>
      </c>
      <c r="AH75" s="3">
        <f t="shared" si="37"/>
        <v>94</v>
      </c>
      <c r="AI75" s="3">
        <f t="shared" si="38"/>
        <v>87</v>
      </c>
      <c r="AJ75" s="3">
        <f t="shared" si="39"/>
        <v>83</v>
      </c>
      <c r="AK75" s="3">
        <f t="shared" si="40"/>
        <v>78</v>
      </c>
      <c r="AL75" s="3">
        <f t="shared" si="41"/>
        <v>75</v>
      </c>
      <c r="AM75" s="3">
        <f t="shared" si="42"/>
        <v>62</v>
      </c>
      <c r="AN75" s="3">
        <f t="shared" si="43"/>
        <v>56</v>
      </c>
      <c r="AO75" s="3">
        <f t="shared" si="44"/>
        <v>56</v>
      </c>
      <c r="AP75" s="3">
        <f t="shared" si="45"/>
        <v>37</v>
      </c>
      <c r="AQ75" s="3">
        <f t="shared" si="46"/>
        <v>34</v>
      </c>
      <c r="AR75" s="3">
        <f t="shared" si="47"/>
        <v>31</v>
      </c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M75" s="35" t="s">
        <v>12</v>
      </c>
      <c r="BO75" s="35"/>
      <c r="BR75" s="9" t="str">
        <f t="shared" si="57"/>
        <v/>
      </c>
      <c r="BS75" s="37" t="str">
        <f t="shared" si="58"/>
        <v/>
      </c>
      <c r="BT75" s="38" t="str">
        <f t="shared" si="49"/>
        <v/>
      </c>
      <c r="BU75" s="36" t="str">
        <f t="shared" si="59"/>
        <v/>
      </c>
    </row>
    <row r="76" spans="2:73" ht="15">
      <c r="B76" s="16">
        <f t="shared" si="60"/>
        <v>43605</v>
      </c>
      <c r="C76" s="15" t="s">
        <v>1</v>
      </c>
      <c r="D76" s="17">
        <f t="shared" si="61"/>
        <v>43611</v>
      </c>
      <c r="E76" s="18">
        <f t="shared" si="62"/>
        <v>5</v>
      </c>
      <c r="F76" s="19">
        <f t="shared" si="63"/>
        <v>2019</v>
      </c>
      <c r="G76" s="9">
        <f t="shared" si="64"/>
        <v>17</v>
      </c>
      <c r="H76" s="8">
        <f t="shared" si="64"/>
        <v>96</v>
      </c>
      <c r="I76" s="9"/>
      <c r="J76" s="9"/>
      <c r="K76" s="9"/>
      <c r="L76" s="9"/>
      <c r="M76" s="9"/>
      <c r="N76" s="9"/>
      <c r="O76" s="12"/>
      <c r="P76" s="12"/>
      <c r="Q76" s="12"/>
      <c r="R76" s="12"/>
      <c r="S76" s="12"/>
      <c r="T76" s="12"/>
      <c r="V76" s="20">
        <f t="shared" si="51"/>
        <v>4</v>
      </c>
      <c r="W76" s="20">
        <f t="shared" si="52"/>
        <v>8</v>
      </c>
      <c r="X76" s="20">
        <f t="shared" si="53"/>
        <v>12</v>
      </c>
      <c r="Y76" s="20">
        <f t="shared" si="54"/>
        <v>16</v>
      </c>
      <c r="Z76" s="20">
        <f t="shared" si="55"/>
        <v>0</v>
      </c>
      <c r="AA76" s="20">
        <f t="shared" si="56"/>
        <v>0</v>
      </c>
      <c r="AC76" s="3">
        <f t="shared" si="32"/>
        <v>29</v>
      </c>
      <c r="AD76" s="3">
        <f t="shared" si="33"/>
        <v>25</v>
      </c>
      <c r="AE76" s="3">
        <f t="shared" si="34"/>
        <v>20</v>
      </c>
      <c r="AF76" s="3">
        <f t="shared" si="35"/>
        <v>0</v>
      </c>
      <c r="AG76" s="3">
        <f t="shared" si="36"/>
        <v>0</v>
      </c>
      <c r="AH76" s="3">
        <f t="shared" si="37"/>
        <v>95</v>
      </c>
      <c r="AI76" s="3">
        <f t="shared" si="38"/>
        <v>88</v>
      </c>
      <c r="AJ76" s="3">
        <f t="shared" si="39"/>
        <v>84</v>
      </c>
      <c r="AK76" s="3">
        <f t="shared" si="40"/>
        <v>79</v>
      </c>
      <c r="AL76" s="3">
        <f t="shared" si="41"/>
        <v>76</v>
      </c>
      <c r="AM76" s="3">
        <f t="shared" si="42"/>
        <v>63</v>
      </c>
      <c r="AN76" s="3">
        <f t="shared" si="43"/>
        <v>57</v>
      </c>
      <c r="AO76" s="3">
        <f t="shared" si="44"/>
        <v>57</v>
      </c>
      <c r="AP76" s="3">
        <f t="shared" si="45"/>
        <v>38</v>
      </c>
      <c r="AQ76" s="3">
        <f t="shared" si="46"/>
        <v>35</v>
      </c>
      <c r="AR76" s="3">
        <f t="shared" si="47"/>
        <v>32</v>
      </c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M76" s="35" t="s">
        <v>12</v>
      </c>
      <c r="BO76" s="35"/>
      <c r="BR76" s="9" t="str">
        <f t="shared" si="57"/>
        <v/>
      </c>
      <c r="BS76" s="37" t="str">
        <f t="shared" si="58"/>
        <v/>
      </c>
      <c r="BT76" s="38" t="str">
        <f t="shared" si="49"/>
        <v/>
      </c>
      <c r="BU76" s="36" t="str">
        <f t="shared" si="59"/>
        <v/>
      </c>
    </row>
    <row r="77" spans="2:73" ht="15">
      <c r="B77" s="16">
        <f t="shared" si="60"/>
        <v>43612</v>
      </c>
      <c r="C77" s="15" t="s">
        <v>1</v>
      </c>
      <c r="D77" s="17">
        <f t="shared" si="61"/>
        <v>43618</v>
      </c>
      <c r="E77" s="18">
        <f t="shared" si="62"/>
        <v>5</v>
      </c>
      <c r="F77" s="19">
        <f t="shared" si="63"/>
        <v>2019</v>
      </c>
      <c r="G77" s="9">
        <f t="shared" si="64"/>
        <v>17</v>
      </c>
      <c r="H77" s="8">
        <f t="shared" si="64"/>
        <v>96</v>
      </c>
      <c r="I77" s="9"/>
      <c r="J77" s="9"/>
      <c r="K77" s="9"/>
      <c r="L77" s="9"/>
      <c r="M77" s="9"/>
      <c r="N77" s="9"/>
      <c r="O77" s="12"/>
      <c r="P77" s="12"/>
      <c r="Q77" s="12"/>
      <c r="R77" s="12"/>
      <c r="S77" s="12"/>
      <c r="T77" s="12"/>
      <c r="V77" s="20">
        <f t="shared" si="51"/>
        <v>5</v>
      </c>
      <c r="W77" s="20">
        <f t="shared" si="52"/>
        <v>9</v>
      </c>
      <c r="X77" s="20">
        <f t="shared" si="53"/>
        <v>13</v>
      </c>
      <c r="Y77" s="20">
        <f t="shared" si="54"/>
        <v>17</v>
      </c>
      <c r="Z77" s="20">
        <f t="shared" si="55"/>
        <v>0</v>
      </c>
      <c r="AA77" s="20">
        <f t="shared" si="56"/>
        <v>0</v>
      </c>
      <c r="AC77" s="3">
        <f t="shared" si="32"/>
        <v>30</v>
      </c>
      <c r="AD77" s="3">
        <f t="shared" si="33"/>
        <v>26</v>
      </c>
      <c r="AE77" s="3">
        <f t="shared" si="34"/>
        <v>21</v>
      </c>
      <c r="AF77" s="3">
        <f t="shared" si="35"/>
        <v>17</v>
      </c>
      <c r="AG77" s="3">
        <f t="shared" si="36"/>
        <v>0</v>
      </c>
      <c r="AH77" s="3">
        <f t="shared" si="37"/>
        <v>96</v>
      </c>
      <c r="AI77" s="3">
        <f t="shared" si="38"/>
        <v>89</v>
      </c>
      <c r="AJ77" s="3">
        <f t="shared" si="39"/>
        <v>85</v>
      </c>
      <c r="AK77" s="3">
        <f t="shared" si="40"/>
        <v>80</v>
      </c>
      <c r="AL77" s="3">
        <f t="shared" si="41"/>
        <v>77</v>
      </c>
      <c r="AM77" s="3">
        <f t="shared" si="42"/>
        <v>64</v>
      </c>
      <c r="AN77" s="3">
        <f t="shared" si="43"/>
        <v>58</v>
      </c>
      <c r="AO77" s="3">
        <f t="shared" si="44"/>
        <v>58</v>
      </c>
      <c r="AP77" s="3">
        <f t="shared" si="45"/>
        <v>39</v>
      </c>
      <c r="AQ77" s="3">
        <f t="shared" si="46"/>
        <v>36</v>
      </c>
      <c r="AR77" s="3">
        <f t="shared" si="47"/>
        <v>33</v>
      </c>
      <c r="AS77" s="8"/>
      <c r="AT77" s="8"/>
      <c r="AU77" s="8"/>
      <c r="AV77" s="8">
        <v>4</v>
      </c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M77" s="35" t="s">
        <v>12</v>
      </c>
      <c r="BO77" s="35"/>
      <c r="BR77" s="9" t="str">
        <f t="shared" si="57"/>
        <v/>
      </c>
      <c r="BS77" s="37" t="str">
        <f t="shared" si="58"/>
        <v/>
      </c>
      <c r="BT77" s="38" t="str">
        <f t="shared" si="49"/>
        <v/>
      </c>
      <c r="BU77" s="36" t="str">
        <f t="shared" si="59"/>
        <v/>
      </c>
    </row>
    <row r="78" spans="2:73" ht="15">
      <c r="B78" s="16">
        <f t="shared" si="60"/>
        <v>43619</v>
      </c>
      <c r="C78" s="15" t="s">
        <v>1</v>
      </c>
      <c r="D78" s="17">
        <f t="shared" si="61"/>
        <v>43625</v>
      </c>
      <c r="E78" s="18">
        <f t="shared" si="62"/>
        <v>6</v>
      </c>
      <c r="F78" s="19">
        <f t="shared" si="63"/>
        <v>2019</v>
      </c>
      <c r="G78" s="9">
        <f t="shared" si="64"/>
        <v>17</v>
      </c>
      <c r="H78" s="8">
        <f t="shared" si="64"/>
        <v>96</v>
      </c>
      <c r="I78" s="9"/>
      <c r="J78" s="9"/>
      <c r="K78" s="9"/>
      <c r="L78" s="9"/>
      <c r="M78" s="9"/>
      <c r="N78" s="9"/>
      <c r="O78" s="12"/>
      <c r="P78" s="12"/>
      <c r="Q78" s="12"/>
      <c r="R78" s="12"/>
      <c r="S78" s="12"/>
      <c r="T78" s="12"/>
      <c r="V78" s="20">
        <f t="shared" si="51"/>
        <v>6</v>
      </c>
      <c r="W78" s="20">
        <f t="shared" si="52"/>
        <v>10</v>
      </c>
      <c r="X78" s="20">
        <f t="shared" si="53"/>
        <v>14</v>
      </c>
      <c r="Y78" s="20">
        <f t="shared" si="54"/>
        <v>0</v>
      </c>
      <c r="Z78" s="20">
        <f t="shared" si="55"/>
        <v>0</v>
      </c>
      <c r="AA78" s="20">
        <f t="shared" si="56"/>
        <v>0</v>
      </c>
      <c r="AC78" s="3">
        <f t="shared" si="32"/>
        <v>31</v>
      </c>
      <c r="AD78" s="3">
        <f t="shared" si="33"/>
        <v>27</v>
      </c>
      <c r="AE78" s="3">
        <f t="shared" si="34"/>
        <v>22</v>
      </c>
      <c r="AF78" s="3">
        <f t="shared" si="35"/>
        <v>18</v>
      </c>
      <c r="AG78" s="3">
        <f t="shared" si="36"/>
        <v>0</v>
      </c>
      <c r="AH78" s="3">
        <f t="shared" si="37"/>
        <v>0</v>
      </c>
      <c r="AI78" s="3">
        <f t="shared" si="38"/>
        <v>90</v>
      </c>
      <c r="AJ78" s="3">
        <f t="shared" si="39"/>
        <v>86</v>
      </c>
      <c r="AK78" s="3">
        <f t="shared" si="40"/>
        <v>81</v>
      </c>
      <c r="AL78" s="3">
        <f t="shared" si="41"/>
        <v>78</v>
      </c>
      <c r="AM78" s="3">
        <f t="shared" si="42"/>
        <v>65</v>
      </c>
      <c r="AN78" s="3">
        <f t="shared" si="43"/>
        <v>59</v>
      </c>
      <c r="AO78" s="3">
        <f t="shared" si="44"/>
        <v>59</v>
      </c>
      <c r="AP78" s="3">
        <f t="shared" si="45"/>
        <v>40</v>
      </c>
      <c r="AQ78" s="3">
        <f t="shared" si="46"/>
        <v>37</v>
      </c>
      <c r="AR78" s="3">
        <f t="shared" si="47"/>
        <v>34</v>
      </c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M78" s="35" t="s">
        <v>12</v>
      </c>
      <c r="BO78" s="35"/>
      <c r="BR78" s="9" t="str">
        <f t="shared" si="57"/>
        <v/>
      </c>
      <c r="BS78" s="37" t="str">
        <f t="shared" si="58"/>
        <v/>
      </c>
      <c r="BT78" s="38" t="str">
        <f t="shared" si="49"/>
        <v/>
      </c>
      <c r="BU78" s="36" t="str">
        <f t="shared" si="59"/>
        <v/>
      </c>
    </row>
    <row r="79" spans="2:73" ht="15">
      <c r="B79" s="16">
        <f t="shared" si="60"/>
        <v>43626</v>
      </c>
      <c r="C79" s="15" t="s">
        <v>1</v>
      </c>
      <c r="D79" s="17">
        <f t="shared" si="61"/>
        <v>43632</v>
      </c>
      <c r="E79" s="18">
        <f t="shared" si="62"/>
        <v>6</v>
      </c>
      <c r="F79" s="19">
        <f t="shared" si="63"/>
        <v>2019</v>
      </c>
      <c r="G79" s="9">
        <f t="shared" si="64"/>
        <v>17</v>
      </c>
      <c r="H79" s="8">
        <f t="shared" si="64"/>
        <v>96</v>
      </c>
      <c r="I79" s="9"/>
      <c r="J79" s="9"/>
      <c r="K79" s="9"/>
      <c r="L79" s="9"/>
      <c r="M79" s="9"/>
      <c r="N79" s="9"/>
      <c r="O79" s="12"/>
      <c r="P79" s="12"/>
      <c r="Q79" s="12"/>
      <c r="R79" s="12"/>
      <c r="S79" s="12"/>
      <c r="T79" s="12"/>
      <c r="V79" s="20">
        <f t="shared" si="51"/>
        <v>7</v>
      </c>
      <c r="W79" s="20">
        <f t="shared" si="52"/>
        <v>11</v>
      </c>
      <c r="X79" s="20">
        <f t="shared" si="53"/>
        <v>15</v>
      </c>
      <c r="Y79" s="20">
        <f t="shared" si="54"/>
        <v>0</v>
      </c>
      <c r="Z79" s="20">
        <f t="shared" si="55"/>
        <v>0</v>
      </c>
      <c r="AA79" s="20">
        <f t="shared" si="56"/>
        <v>0</v>
      </c>
      <c r="AC79" s="3">
        <f t="shared" si="32"/>
        <v>32</v>
      </c>
      <c r="AD79" s="3">
        <f t="shared" si="33"/>
        <v>28</v>
      </c>
      <c r="AE79" s="3">
        <f t="shared" si="34"/>
        <v>23</v>
      </c>
      <c r="AF79" s="3">
        <f t="shared" si="35"/>
        <v>19</v>
      </c>
      <c r="AG79" s="3">
        <f t="shared" si="36"/>
        <v>0</v>
      </c>
      <c r="AH79" s="3">
        <f t="shared" si="37"/>
        <v>0</v>
      </c>
      <c r="AI79" s="3">
        <f t="shared" si="38"/>
        <v>91</v>
      </c>
      <c r="AJ79" s="3">
        <f t="shared" si="39"/>
        <v>87</v>
      </c>
      <c r="AK79" s="3">
        <f t="shared" si="40"/>
        <v>82</v>
      </c>
      <c r="AL79" s="3">
        <f t="shared" si="41"/>
        <v>79</v>
      </c>
      <c r="AM79" s="3">
        <f t="shared" si="42"/>
        <v>66</v>
      </c>
      <c r="AN79" s="3">
        <f t="shared" si="43"/>
        <v>60</v>
      </c>
      <c r="AO79" s="3">
        <f t="shared" si="44"/>
        <v>60</v>
      </c>
      <c r="AP79" s="3">
        <f t="shared" si="45"/>
        <v>41</v>
      </c>
      <c r="AQ79" s="3">
        <f t="shared" si="46"/>
        <v>38</v>
      </c>
      <c r="AR79" s="3">
        <f t="shared" si="47"/>
        <v>35</v>
      </c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M79" s="35" t="s">
        <v>12</v>
      </c>
      <c r="BO79" s="35"/>
      <c r="BR79" s="9" t="str">
        <f t="shared" si="57"/>
        <v/>
      </c>
      <c r="BS79" s="37" t="str">
        <f t="shared" si="58"/>
        <v/>
      </c>
      <c r="BT79" s="38" t="str">
        <f t="shared" si="49"/>
        <v/>
      </c>
      <c r="BU79" s="36" t="str">
        <f t="shared" si="59"/>
        <v/>
      </c>
    </row>
    <row r="80" spans="2:73" ht="15">
      <c r="B80" s="16">
        <f t="shared" si="60"/>
        <v>43633</v>
      </c>
      <c r="C80" s="15" t="s">
        <v>1</v>
      </c>
      <c r="D80" s="17">
        <f t="shared" si="61"/>
        <v>43639</v>
      </c>
      <c r="E80" s="18">
        <f t="shared" si="62"/>
        <v>6</v>
      </c>
      <c r="F80" s="19">
        <f t="shared" si="63"/>
        <v>2019</v>
      </c>
      <c r="G80" s="9">
        <f t="shared" si="64"/>
        <v>17</v>
      </c>
      <c r="H80" s="8">
        <f t="shared" si="64"/>
        <v>96</v>
      </c>
      <c r="I80" s="9"/>
      <c r="J80" s="9"/>
      <c r="K80" s="9"/>
      <c r="L80" s="9"/>
      <c r="M80" s="9"/>
      <c r="N80" s="9"/>
      <c r="O80" s="12"/>
      <c r="P80" s="12"/>
      <c r="Q80" s="12"/>
      <c r="R80" s="12"/>
      <c r="S80" s="12"/>
      <c r="T80" s="12"/>
      <c r="V80" s="20">
        <f t="shared" si="51"/>
        <v>8</v>
      </c>
      <c r="W80" s="20">
        <f t="shared" si="52"/>
        <v>12</v>
      </c>
      <c r="X80" s="20">
        <f t="shared" si="53"/>
        <v>16</v>
      </c>
      <c r="Y80" s="20">
        <f t="shared" si="54"/>
        <v>0</v>
      </c>
      <c r="Z80" s="20">
        <f t="shared" si="55"/>
        <v>0</v>
      </c>
      <c r="AA80" s="20">
        <f t="shared" si="56"/>
        <v>0</v>
      </c>
      <c r="AC80" s="3">
        <f t="shared" si="32"/>
        <v>33</v>
      </c>
      <c r="AD80" s="3">
        <f t="shared" si="33"/>
        <v>29</v>
      </c>
      <c r="AE80" s="3">
        <f t="shared" si="34"/>
        <v>24</v>
      </c>
      <c r="AF80" s="3">
        <f t="shared" si="35"/>
        <v>20</v>
      </c>
      <c r="AG80" s="3">
        <f t="shared" si="36"/>
        <v>0</v>
      </c>
      <c r="AH80" s="3">
        <f t="shared" si="37"/>
        <v>0</v>
      </c>
      <c r="AI80" s="3">
        <f t="shared" si="38"/>
        <v>92</v>
      </c>
      <c r="AJ80" s="3">
        <f t="shared" si="39"/>
        <v>88</v>
      </c>
      <c r="AK80" s="3">
        <f t="shared" si="40"/>
        <v>83</v>
      </c>
      <c r="AL80" s="3">
        <f t="shared" si="41"/>
        <v>80</v>
      </c>
      <c r="AM80" s="3">
        <f t="shared" si="42"/>
        <v>67</v>
      </c>
      <c r="AN80" s="3">
        <f t="shared" si="43"/>
        <v>61</v>
      </c>
      <c r="AO80" s="3">
        <f t="shared" si="44"/>
        <v>61</v>
      </c>
      <c r="AP80" s="3">
        <f t="shared" si="45"/>
        <v>42</v>
      </c>
      <c r="AQ80" s="3">
        <f t="shared" si="46"/>
        <v>39</v>
      </c>
      <c r="AR80" s="3">
        <f t="shared" si="47"/>
        <v>36</v>
      </c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M80" s="35" t="s">
        <v>12</v>
      </c>
      <c r="BO80" s="35"/>
      <c r="BR80" s="9" t="str">
        <f t="shared" si="57"/>
        <v/>
      </c>
      <c r="BS80" s="37" t="str">
        <f t="shared" si="58"/>
        <v/>
      </c>
      <c r="BT80" s="38" t="str">
        <f t="shared" si="49"/>
        <v/>
      </c>
      <c r="BU80" s="36" t="str">
        <f t="shared" si="59"/>
        <v/>
      </c>
    </row>
    <row r="81" spans="2:73" ht="15">
      <c r="B81" s="16">
        <f t="shared" si="60"/>
        <v>43640</v>
      </c>
      <c r="C81" s="15" t="s">
        <v>1</v>
      </c>
      <c r="D81" s="17">
        <f t="shared" si="61"/>
        <v>43646</v>
      </c>
      <c r="E81" s="18">
        <f t="shared" si="62"/>
        <v>6</v>
      </c>
      <c r="F81" s="19">
        <f t="shared" si="63"/>
        <v>2019</v>
      </c>
      <c r="G81" s="9">
        <f t="shared" si="64"/>
        <v>17</v>
      </c>
      <c r="H81" s="8">
        <f t="shared" si="64"/>
        <v>96</v>
      </c>
      <c r="I81" s="9"/>
      <c r="J81" s="9"/>
      <c r="K81" s="9"/>
      <c r="L81" s="9"/>
      <c r="M81" s="9"/>
      <c r="N81" s="9"/>
      <c r="O81" s="12"/>
      <c r="P81" s="12"/>
      <c r="Q81" s="12"/>
      <c r="R81" s="12"/>
      <c r="S81" s="12"/>
      <c r="T81" s="12"/>
      <c r="V81" s="20">
        <f t="shared" si="51"/>
        <v>9</v>
      </c>
      <c r="W81" s="20">
        <f t="shared" si="52"/>
        <v>13</v>
      </c>
      <c r="X81" s="20">
        <f t="shared" si="53"/>
        <v>17</v>
      </c>
      <c r="Y81" s="20">
        <f t="shared" si="54"/>
        <v>0</v>
      </c>
      <c r="Z81" s="20">
        <f t="shared" si="55"/>
        <v>0</v>
      </c>
      <c r="AA81" s="20">
        <f t="shared" si="56"/>
        <v>0</v>
      </c>
      <c r="AC81" s="3">
        <f>IF(AND(AS81&gt;=$V$2,AS81&lt;=$AA$2),LOOKUP(AS81,$V$2:$AA$2,$V81:$AA81),IF(AS80="A",0,IF(AC80=$H81,0,IF(AC80=0,0,AC80+1))))</f>
        <v>34</v>
      </c>
      <c r="AD81" s="3">
        <f t="shared" si="33"/>
        <v>30</v>
      </c>
      <c r="AE81" s="3">
        <f t="shared" si="34"/>
        <v>25</v>
      </c>
      <c r="AF81" s="3">
        <f t="shared" si="35"/>
        <v>21</v>
      </c>
      <c r="AG81" s="3">
        <f t="shared" si="36"/>
        <v>17</v>
      </c>
      <c r="AH81" s="3">
        <f t="shared" si="37"/>
        <v>0</v>
      </c>
      <c r="AI81" s="3">
        <f t="shared" si="38"/>
        <v>93</v>
      </c>
      <c r="AJ81" s="3">
        <f t="shared" si="39"/>
        <v>89</v>
      </c>
      <c r="AK81" s="3">
        <f t="shared" si="40"/>
        <v>84</v>
      </c>
      <c r="AL81" s="3">
        <f t="shared" si="41"/>
        <v>81</v>
      </c>
      <c r="AM81" s="3">
        <f t="shared" si="42"/>
        <v>68</v>
      </c>
      <c r="AN81" s="3">
        <f t="shared" si="43"/>
        <v>62</v>
      </c>
      <c r="AO81" s="3">
        <f t="shared" si="44"/>
        <v>62</v>
      </c>
      <c r="AP81" s="3">
        <f t="shared" si="45"/>
        <v>43</v>
      </c>
      <c r="AQ81" s="3">
        <f t="shared" si="46"/>
        <v>40</v>
      </c>
      <c r="AR81" s="3">
        <f t="shared" si="47"/>
        <v>37</v>
      </c>
      <c r="AS81" s="8"/>
      <c r="AT81" s="8"/>
      <c r="AU81" s="8"/>
      <c r="AV81" s="8"/>
      <c r="AW81" s="8">
        <v>3</v>
      </c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L81">
        <v>13</v>
      </c>
      <c r="BM81" s="35">
        <v>43640</v>
      </c>
      <c r="BO81" s="35">
        <f>B98</f>
        <v>43759</v>
      </c>
      <c r="BP81">
        <v>98</v>
      </c>
      <c r="BR81" s="9" t="str">
        <f t="shared" si="57"/>
        <v/>
      </c>
      <c r="BS81" s="37" t="str">
        <f t="shared" si="58"/>
        <v/>
      </c>
      <c r="BT81" s="38" t="str">
        <f t="shared" si="49"/>
        <v/>
      </c>
      <c r="BU81" s="36" t="str">
        <f t="shared" si="59"/>
        <v/>
      </c>
    </row>
    <row r="82" spans="2:73" ht="15">
      <c r="B82" s="16">
        <f t="shared" si="60"/>
        <v>43647</v>
      </c>
      <c r="C82" s="15" t="s">
        <v>1</v>
      </c>
      <c r="D82" s="17">
        <f t="shared" si="61"/>
        <v>43653</v>
      </c>
      <c r="E82" s="18">
        <f t="shared" si="62"/>
        <v>7</v>
      </c>
      <c r="F82" s="19">
        <f t="shared" si="63"/>
        <v>2019</v>
      </c>
      <c r="G82" s="9">
        <f t="shared" si="64"/>
        <v>17</v>
      </c>
      <c r="H82" s="8">
        <f t="shared" si="64"/>
        <v>96</v>
      </c>
      <c r="I82" s="9"/>
      <c r="J82" s="9"/>
      <c r="K82" s="9"/>
      <c r="L82" s="9"/>
      <c r="M82" s="9"/>
      <c r="N82" s="9"/>
      <c r="O82" s="12"/>
      <c r="P82" s="12"/>
      <c r="Q82" s="12"/>
      <c r="R82" s="12">
        <v>1</v>
      </c>
      <c r="S82" s="12"/>
      <c r="T82" s="12"/>
      <c r="V82" s="20">
        <f t="shared" si="51"/>
        <v>10</v>
      </c>
      <c r="W82" s="20">
        <f t="shared" si="52"/>
        <v>14</v>
      </c>
      <c r="X82" s="20">
        <f t="shared" si="53"/>
        <v>0</v>
      </c>
      <c r="Y82" s="20">
        <f t="shared" si="54"/>
        <v>43649</v>
      </c>
      <c r="Z82" s="20">
        <f t="shared" si="55"/>
        <v>0</v>
      </c>
      <c r="AA82" s="20">
        <f t="shared" si="56"/>
        <v>0</v>
      </c>
      <c r="AC82" s="3">
        <f>IF(AND(AS82&gt;=$V$2,AS82&lt;=$AA$2),LOOKUP(AS82,$V$2:$AA$2,$V82:$AA82),IF(AS81="A",0,IF(AC81=$H82,0,IF(AC81=0,0,AC81+1))))</f>
        <v>35</v>
      </c>
      <c r="AD82" s="3">
        <f t="shared" si="33"/>
        <v>31</v>
      </c>
      <c r="AE82" s="3">
        <f t="shared" si="34"/>
        <v>26</v>
      </c>
      <c r="AF82" s="3">
        <f t="shared" si="35"/>
        <v>22</v>
      </c>
      <c r="AG82" s="3">
        <f t="shared" si="36"/>
        <v>18</v>
      </c>
      <c r="AH82" s="3">
        <f t="shared" si="37"/>
        <v>0</v>
      </c>
      <c r="AI82" s="3">
        <f t="shared" si="38"/>
        <v>94</v>
      </c>
      <c r="AJ82" s="3">
        <f t="shared" si="39"/>
        <v>90</v>
      </c>
      <c r="AK82" s="3">
        <f t="shared" si="40"/>
        <v>85</v>
      </c>
      <c r="AL82" s="3">
        <f t="shared" si="41"/>
        <v>82</v>
      </c>
      <c r="AM82" s="3">
        <f t="shared" si="42"/>
        <v>69</v>
      </c>
      <c r="AN82" s="3">
        <f t="shared" si="43"/>
        <v>63</v>
      </c>
      <c r="AO82" s="3">
        <f t="shared" si="44"/>
        <v>63</v>
      </c>
      <c r="AP82" s="3">
        <f t="shared" si="45"/>
        <v>44</v>
      </c>
      <c r="AQ82" s="3">
        <f t="shared" si="46"/>
        <v>41</v>
      </c>
      <c r="AR82" s="3">
        <f t="shared" si="47"/>
        <v>38</v>
      </c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M82" s="35" t="s">
        <v>12</v>
      </c>
      <c r="BO82" s="35"/>
      <c r="BQ82" s="47" t="s">
        <v>7</v>
      </c>
      <c r="BR82" s="9">
        <f t="shared" si="57"/>
        <v>4</v>
      </c>
      <c r="BS82" s="37">
        <f t="shared" si="58"/>
        <v>43649</v>
      </c>
      <c r="BT82" s="38">
        <f t="shared" si="49"/>
        <v>43768</v>
      </c>
      <c r="BU82" s="36">
        <f t="shared" si="59"/>
        <v>13</v>
      </c>
    </row>
    <row r="83" spans="2:73" ht="15">
      <c r="B83" s="16">
        <f t="shared" si="60"/>
        <v>43654</v>
      </c>
      <c r="C83" s="15" t="s">
        <v>1</v>
      </c>
      <c r="D83" s="17">
        <f t="shared" si="61"/>
        <v>43660</v>
      </c>
      <c r="E83" s="18">
        <f t="shared" si="62"/>
        <v>7</v>
      </c>
      <c r="F83" s="19">
        <f t="shared" si="63"/>
        <v>2019</v>
      </c>
      <c r="G83" s="9">
        <f t="shared" si="64"/>
        <v>17</v>
      </c>
      <c r="H83" s="8">
        <f t="shared" si="64"/>
        <v>96</v>
      </c>
      <c r="I83" s="9"/>
      <c r="J83" s="9"/>
      <c r="K83" s="9"/>
      <c r="L83" s="9"/>
      <c r="M83" s="9"/>
      <c r="N83" s="9"/>
      <c r="O83" s="12"/>
      <c r="P83" s="12"/>
      <c r="Q83" s="12"/>
      <c r="R83" s="12"/>
      <c r="S83" s="12"/>
      <c r="T83" s="12"/>
      <c r="V83" s="20">
        <f t="shared" si="51"/>
        <v>11</v>
      </c>
      <c r="W83" s="20">
        <f t="shared" si="52"/>
        <v>15</v>
      </c>
      <c r="X83" s="20">
        <f t="shared" si="53"/>
        <v>0</v>
      </c>
      <c r="Y83" s="20">
        <f t="shared" si="54"/>
        <v>1</v>
      </c>
      <c r="Z83" s="20">
        <f t="shared" si="55"/>
        <v>0</v>
      </c>
      <c r="AA83" s="20">
        <f t="shared" si="56"/>
        <v>0</v>
      </c>
      <c r="AC83" s="3">
        <f t="shared" si="32"/>
        <v>36</v>
      </c>
      <c r="AD83" s="3">
        <f t="shared" si="33"/>
        <v>32</v>
      </c>
      <c r="AE83" s="3">
        <f t="shared" si="34"/>
        <v>27</v>
      </c>
      <c r="AF83" s="3">
        <f t="shared" si="35"/>
        <v>23</v>
      </c>
      <c r="AG83" s="3">
        <f t="shared" si="36"/>
        <v>19</v>
      </c>
      <c r="AH83" s="3">
        <f t="shared" si="37"/>
        <v>0</v>
      </c>
      <c r="AI83" s="3">
        <f t="shared" si="38"/>
        <v>95</v>
      </c>
      <c r="AJ83" s="3">
        <f t="shared" si="39"/>
        <v>91</v>
      </c>
      <c r="AK83" s="3">
        <f t="shared" si="40"/>
        <v>86</v>
      </c>
      <c r="AL83" s="3">
        <f t="shared" si="41"/>
        <v>83</v>
      </c>
      <c r="AM83" s="3">
        <f t="shared" si="42"/>
        <v>70</v>
      </c>
      <c r="AN83" s="3">
        <f t="shared" si="43"/>
        <v>64</v>
      </c>
      <c r="AO83" s="3">
        <f t="shared" si="44"/>
        <v>64</v>
      </c>
      <c r="AP83" s="3">
        <f t="shared" si="45"/>
        <v>45</v>
      </c>
      <c r="AQ83" s="3">
        <f t="shared" si="46"/>
        <v>42</v>
      </c>
      <c r="AR83" s="3">
        <f t="shared" si="47"/>
        <v>39</v>
      </c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M83" s="35" t="s">
        <v>12</v>
      </c>
      <c r="BO83" s="35"/>
      <c r="BR83" s="9" t="str">
        <f t="shared" si="57"/>
        <v/>
      </c>
      <c r="BS83" s="37" t="str">
        <f t="shared" si="58"/>
        <v/>
      </c>
      <c r="BT83" s="38" t="str">
        <f t="shared" si="49"/>
        <v/>
      </c>
      <c r="BU83" s="36" t="str">
        <f t="shared" si="59"/>
        <v/>
      </c>
    </row>
    <row r="84" spans="2:73" ht="15">
      <c r="B84" s="16">
        <f t="shared" si="60"/>
        <v>43661</v>
      </c>
      <c r="C84" s="15" t="s">
        <v>1</v>
      </c>
      <c r="D84" s="17">
        <f t="shared" si="61"/>
        <v>43667</v>
      </c>
      <c r="E84" s="18">
        <f t="shared" si="62"/>
        <v>7</v>
      </c>
      <c r="F84" s="19">
        <f t="shared" si="63"/>
        <v>2019</v>
      </c>
      <c r="G84" s="9">
        <f t="shared" si="64"/>
        <v>17</v>
      </c>
      <c r="H84" s="8">
        <f t="shared" si="64"/>
        <v>96</v>
      </c>
      <c r="I84" s="9"/>
      <c r="J84" s="9"/>
      <c r="K84" s="9"/>
      <c r="L84" s="9"/>
      <c r="M84" s="9"/>
      <c r="N84" s="9"/>
      <c r="O84" s="12"/>
      <c r="P84" s="12"/>
      <c r="Q84" s="12"/>
      <c r="R84" s="12"/>
      <c r="S84" s="12"/>
      <c r="T84" s="12"/>
      <c r="V84" s="20">
        <f t="shared" si="51"/>
        <v>12</v>
      </c>
      <c r="W84" s="20">
        <f t="shared" si="52"/>
        <v>16</v>
      </c>
      <c r="X84" s="20">
        <f t="shared" si="53"/>
        <v>0</v>
      </c>
      <c r="Y84" s="20">
        <f t="shared" si="54"/>
        <v>2</v>
      </c>
      <c r="Z84" s="20">
        <f t="shared" si="55"/>
        <v>0</v>
      </c>
      <c r="AA84" s="20">
        <f t="shared" si="56"/>
        <v>0</v>
      </c>
      <c r="AC84" s="3">
        <f t="shared" si="32"/>
        <v>37</v>
      </c>
      <c r="AD84" s="3">
        <f t="shared" si="33"/>
        <v>33</v>
      </c>
      <c r="AE84" s="3">
        <f t="shared" si="34"/>
        <v>28</v>
      </c>
      <c r="AF84" s="3">
        <f t="shared" si="35"/>
        <v>24</v>
      </c>
      <c r="AG84" s="3">
        <f t="shared" si="36"/>
        <v>20</v>
      </c>
      <c r="AH84" s="3">
        <f t="shared" si="37"/>
        <v>0</v>
      </c>
      <c r="AI84" s="3">
        <f t="shared" si="38"/>
        <v>96</v>
      </c>
      <c r="AJ84" s="3">
        <f t="shared" si="39"/>
        <v>92</v>
      </c>
      <c r="AK84" s="3">
        <f t="shared" si="40"/>
        <v>87</v>
      </c>
      <c r="AL84" s="3">
        <f t="shared" si="41"/>
        <v>84</v>
      </c>
      <c r="AM84" s="3">
        <f t="shared" si="42"/>
        <v>71</v>
      </c>
      <c r="AN84" s="3">
        <f t="shared" si="43"/>
        <v>65</v>
      </c>
      <c r="AO84" s="3">
        <f t="shared" si="44"/>
        <v>65</v>
      </c>
      <c r="AP84" s="3">
        <f t="shared" si="45"/>
        <v>46</v>
      </c>
      <c r="AQ84" s="3">
        <f t="shared" si="46"/>
        <v>43</v>
      </c>
      <c r="AR84" s="3">
        <f t="shared" si="47"/>
        <v>40</v>
      </c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M84" s="35" t="s">
        <v>12</v>
      </c>
      <c r="BO84" s="35"/>
      <c r="BR84" s="9" t="str">
        <f t="shared" si="57"/>
        <v/>
      </c>
      <c r="BS84" s="37" t="str">
        <f t="shared" si="58"/>
        <v/>
      </c>
      <c r="BT84" s="38" t="str">
        <f t="shared" si="49"/>
        <v/>
      </c>
      <c r="BU84" s="36" t="str">
        <f t="shared" si="59"/>
        <v/>
      </c>
    </row>
    <row r="85" spans="2:73" ht="15">
      <c r="B85" s="16">
        <f t="shared" si="60"/>
        <v>43668</v>
      </c>
      <c r="C85" s="15" t="s">
        <v>1</v>
      </c>
      <c r="D85" s="17">
        <f t="shared" si="61"/>
        <v>43674</v>
      </c>
      <c r="E85" s="18">
        <f t="shared" si="62"/>
        <v>7</v>
      </c>
      <c r="F85" s="19">
        <f t="shared" si="63"/>
        <v>2019</v>
      </c>
      <c r="G85" s="9">
        <f t="shared" si="64"/>
        <v>17</v>
      </c>
      <c r="H85" s="8">
        <f t="shared" si="64"/>
        <v>96</v>
      </c>
      <c r="I85" s="9"/>
      <c r="J85" s="9"/>
      <c r="K85" s="9"/>
      <c r="L85" s="9"/>
      <c r="M85" s="9"/>
      <c r="N85" s="9"/>
      <c r="O85" s="12"/>
      <c r="P85" s="12"/>
      <c r="Q85" s="12"/>
      <c r="R85" s="12"/>
      <c r="S85" s="12"/>
      <c r="T85" s="12"/>
      <c r="V85" s="20">
        <f t="shared" si="51"/>
        <v>13</v>
      </c>
      <c r="W85" s="20">
        <f t="shared" si="52"/>
        <v>17</v>
      </c>
      <c r="X85" s="20">
        <f t="shared" si="53"/>
        <v>0</v>
      </c>
      <c r="Y85" s="20">
        <f t="shared" si="54"/>
        <v>3</v>
      </c>
      <c r="Z85" s="20">
        <f t="shared" si="55"/>
        <v>0</v>
      </c>
      <c r="AA85" s="20">
        <f t="shared" si="56"/>
        <v>0</v>
      </c>
      <c r="AC85" s="3">
        <f t="shared" si="32"/>
        <v>38</v>
      </c>
      <c r="AD85" s="3">
        <f t="shared" si="33"/>
        <v>34</v>
      </c>
      <c r="AE85" s="3">
        <f t="shared" si="34"/>
        <v>29</v>
      </c>
      <c r="AF85" s="3">
        <f t="shared" si="35"/>
        <v>25</v>
      </c>
      <c r="AG85" s="3">
        <f t="shared" si="36"/>
        <v>21</v>
      </c>
      <c r="AH85" s="3">
        <f t="shared" si="37"/>
        <v>17</v>
      </c>
      <c r="AI85" s="3">
        <f t="shared" si="38"/>
        <v>0</v>
      </c>
      <c r="AJ85" s="3">
        <f t="shared" si="39"/>
        <v>93</v>
      </c>
      <c r="AK85" s="3">
        <f t="shared" si="40"/>
        <v>88</v>
      </c>
      <c r="AL85" s="3">
        <f t="shared" si="41"/>
        <v>85</v>
      </c>
      <c r="AM85" s="3">
        <f t="shared" si="42"/>
        <v>72</v>
      </c>
      <c r="AN85" s="3">
        <f t="shared" si="43"/>
        <v>66</v>
      </c>
      <c r="AO85" s="3">
        <f t="shared" si="44"/>
        <v>66</v>
      </c>
      <c r="AP85" s="3">
        <f t="shared" si="45"/>
        <v>47</v>
      </c>
      <c r="AQ85" s="3">
        <f t="shared" si="46"/>
        <v>44</v>
      </c>
      <c r="AR85" s="3">
        <f t="shared" si="47"/>
        <v>41</v>
      </c>
      <c r="AS85" s="8"/>
      <c r="AT85" s="8"/>
      <c r="AU85" s="8"/>
      <c r="AV85" s="8"/>
      <c r="AW85" s="8"/>
      <c r="AX85" s="8">
        <v>2</v>
      </c>
      <c r="AY85" s="8"/>
      <c r="AZ85" s="8"/>
      <c r="BA85" s="8"/>
      <c r="BB85" s="8"/>
      <c r="BC85" s="8"/>
      <c r="BD85" s="8"/>
      <c r="BE85" s="8"/>
      <c r="BF85" s="8"/>
      <c r="BG85" s="8"/>
      <c r="BH85" s="8"/>
      <c r="BM85" s="35" t="s">
        <v>12</v>
      </c>
      <c r="BO85" s="35"/>
      <c r="BR85" s="9" t="str">
        <f t="shared" si="57"/>
        <v/>
      </c>
      <c r="BS85" s="37" t="str">
        <f t="shared" si="58"/>
        <v/>
      </c>
      <c r="BT85" s="38" t="str">
        <f t="shared" si="49"/>
        <v/>
      </c>
      <c r="BU85" s="36" t="str">
        <f t="shared" si="59"/>
        <v/>
      </c>
    </row>
    <row r="86" spans="2:73" ht="15">
      <c r="B86" s="16">
        <f t="shared" si="60"/>
        <v>43675</v>
      </c>
      <c r="C86" s="15" t="s">
        <v>1</v>
      </c>
      <c r="D86" s="17">
        <f t="shared" si="61"/>
        <v>43681</v>
      </c>
      <c r="E86" s="18">
        <f t="shared" si="62"/>
        <v>7</v>
      </c>
      <c r="F86" s="19">
        <f t="shared" si="63"/>
        <v>2019</v>
      </c>
      <c r="G86" s="9">
        <f t="shared" ref="G86:H101" si="65">G85</f>
        <v>17</v>
      </c>
      <c r="H86" s="8">
        <f t="shared" si="65"/>
        <v>96</v>
      </c>
      <c r="I86" s="9"/>
      <c r="J86" s="9"/>
      <c r="K86" s="9"/>
      <c r="L86" s="9"/>
      <c r="M86" s="9"/>
      <c r="N86" s="9"/>
      <c r="O86" s="12"/>
      <c r="P86" s="12"/>
      <c r="Q86" s="12"/>
      <c r="R86" s="12"/>
      <c r="S86" s="12"/>
      <c r="T86" s="12"/>
      <c r="V86" s="20">
        <f t="shared" si="51"/>
        <v>14</v>
      </c>
      <c r="W86" s="20">
        <f t="shared" si="52"/>
        <v>0</v>
      </c>
      <c r="X86" s="20">
        <f t="shared" si="53"/>
        <v>0</v>
      </c>
      <c r="Y86" s="20">
        <f t="shared" si="54"/>
        <v>4</v>
      </c>
      <c r="Z86" s="20">
        <f t="shared" si="55"/>
        <v>0</v>
      </c>
      <c r="AA86" s="20">
        <f t="shared" si="56"/>
        <v>0</v>
      </c>
      <c r="AC86" s="3">
        <f t="shared" si="32"/>
        <v>39</v>
      </c>
      <c r="AD86" s="3">
        <f t="shared" si="33"/>
        <v>35</v>
      </c>
      <c r="AE86" s="3">
        <f t="shared" si="34"/>
        <v>30</v>
      </c>
      <c r="AF86" s="3">
        <f t="shared" si="35"/>
        <v>26</v>
      </c>
      <c r="AG86" s="3">
        <f t="shared" si="36"/>
        <v>22</v>
      </c>
      <c r="AH86" s="3">
        <f t="shared" si="37"/>
        <v>18</v>
      </c>
      <c r="AI86" s="3">
        <f t="shared" si="38"/>
        <v>0</v>
      </c>
      <c r="AJ86" s="3">
        <f t="shared" si="39"/>
        <v>94</v>
      </c>
      <c r="AK86" s="3">
        <f t="shared" si="40"/>
        <v>89</v>
      </c>
      <c r="AL86" s="3">
        <f t="shared" si="41"/>
        <v>86</v>
      </c>
      <c r="AM86" s="3">
        <f t="shared" si="42"/>
        <v>73</v>
      </c>
      <c r="AN86" s="3">
        <f t="shared" si="43"/>
        <v>67</v>
      </c>
      <c r="AO86" s="3">
        <f t="shared" si="44"/>
        <v>67</v>
      </c>
      <c r="AP86" s="3">
        <f t="shared" si="45"/>
        <v>48</v>
      </c>
      <c r="AQ86" s="3">
        <f t="shared" si="46"/>
        <v>45</v>
      </c>
      <c r="AR86" s="3">
        <f t="shared" si="47"/>
        <v>42</v>
      </c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L86">
        <v>14</v>
      </c>
      <c r="BM86" s="35">
        <v>43675</v>
      </c>
      <c r="BO86" s="35">
        <f>B103</f>
        <v>43794</v>
      </c>
      <c r="BP86">
        <v>98</v>
      </c>
      <c r="BR86" s="9" t="str">
        <f t="shared" si="57"/>
        <v/>
      </c>
      <c r="BS86" s="37" t="str">
        <f t="shared" si="58"/>
        <v/>
      </c>
      <c r="BT86" s="38" t="str">
        <f t="shared" si="49"/>
        <v/>
      </c>
      <c r="BU86" s="36" t="str">
        <f t="shared" si="59"/>
        <v/>
      </c>
    </row>
    <row r="87" spans="2:73" ht="15">
      <c r="B87" s="16">
        <f t="shared" si="60"/>
        <v>43682</v>
      </c>
      <c r="C87" s="15" t="s">
        <v>1</v>
      </c>
      <c r="D87" s="17">
        <f t="shared" si="61"/>
        <v>43688</v>
      </c>
      <c r="E87" s="18">
        <f t="shared" si="62"/>
        <v>8</v>
      </c>
      <c r="F87" s="19">
        <f t="shared" si="63"/>
        <v>2019</v>
      </c>
      <c r="G87" s="9">
        <f t="shared" si="65"/>
        <v>17</v>
      </c>
      <c r="H87" s="8">
        <f t="shared" si="65"/>
        <v>96</v>
      </c>
      <c r="I87" s="9"/>
      <c r="J87" s="9"/>
      <c r="K87" s="9"/>
      <c r="L87" s="9"/>
      <c r="M87" s="9"/>
      <c r="N87" s="9"/>
      <c r="O87" s="12"/>
      <c r="P87" s="12"/>
      <c r="Q87" s="12">
        <v>1</v>
      </c>
      <c r="R87" s="12"/>
      <c r="S87" s="12"/>
      <c r="T87" s="12"/>
      <c r="V87" s="20">
        <f t="shared" si="51"/>
        <v>15</v>
      </c>
      <c r="W87" s="20">
        <f t="shared" si="52"/>
        <v>0</v>
      </c>
      <c r="X87" s="20">
        <f t="shared" si="53"/>
        <v>43684</v>
      </c>
      <c r="Y87" s="20">
        <f t="shared" si="54"/>
        <v>5</v>
      </c>
      <c r="Z87" s="20">
        <f t="shared" si="55"/>
        <v>0</v>
      </c>
      <c r="AA87" s="20">
        <f t="shared" si="56"/>
        <v>0</v>
      </c>
      <c r="AC87" s="3">
        <f t="shared" si="32"/>
        <v>40</v>
      </c>
      <c r="AD87" s="3">
        <f t="shared" si="33"/>
        <v>36</v>
      </c>
      <c r="AE87" s="3">
        <f t="shared" si="34"/>
        <v>31</v>
      </c>
      <c r="AF87" s="3">
        <f t="shared" si="35"/>
        <v>27</v>
      </c>
      <c r="AG87" s="3">
        <f t="shared" si="36"/>
        <v>23</v>
      </c>
      <c r="AH87" s="3">
        <f>IF(AND(AX87&gt;=$V$2,AX87&lt;=$AA$2),LOOKUP(AX87,$V$2:$AA$2,$V87:$AA87),IF(AX86="A",0,IF(AH86=$H87,0,IF(AH86=0,0,AH86+1))))</f>
        <v>19</v>
      </c>
      <c r="AI87" s="3">
        <f t="shared" si="38"/>
        <v>0</v>
      </c>
      <c r="AJ87" s="3">
        <f t="shared" si="39"/>
        <v>95</v>
      </c>
      <c r="AK87" s="3">
        <f t="shared" si="40"/>
        <v>90</v>
      </c>
      <c r="AL87" s="3">
        <f t="shared" si="41"/>
        <v>87</v>
      </c>
      <c r="AM87" s="3">
        <f t="shared" si="42"/>
        <v>74</v>
      </c>
      <c r="AN87" s="3">
        <f t="shared" si="43"/>
        <v>68</v>
      </c>
      <c r="AO87" s="3">
        <f t="shared" si="44"/>
        <v>68</v>
      </c>
      <c r="AP87" s="3">
        <f t="shared" si="45"/>
        <v>49</v>
      </c>
      <c r="AQ87" s="3">
        <f t="shared" si="46"/>
        <v>46</v>
      </c>
      <c r="AR87" s="3">
        <f t="shared" si="47"/>
        <v>43</v>
      </c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M87" s="35" t="s">
        <v>12</v>
      </c>
      <c r="BO87" s="35"/>
      <c r="BR87" s="9">
        <f t="shared" si="57"/>
        <v>3</v>
      </c>
      <c r="BS87" s="37">
        <f t="shared" si="58"/>
        <v>43684</v>
      </c>
      <c r="BT87" s="38">
        <f t="shared" si="49"/>
        <v>43803</v>
      </c>
      <c r="BU87" s="36">
        <f t="shared" si="59"/>
        <v>14</v>
      </c>
    </row>
    <row r="88" spans="2:73" ht="15">
      <c r="B88" s="16">
        <f t="shared" si="60"/>
        <v>43689</v>
      </c>
      <c r="C88" s="15" t="s">
        <v>1</v>
      </c>
      <c r="D88" s="17">
        <f t="shared" si="61"/>
        <v>43695</v>
      </c>
      <c r="E88" s="18">
        <f t="shared" si="62"/>
        <v>8</v>
      </c>
      <c r="F88" s="19">
        <f t="shared" si="63"/>
        <v>2019</v>
      </c>
      <c r="G88" s="9">
        <f t="shared" si="65"/>
        <v>17</v>
      </c>
      <c r="H88" s="8">
        <f t="shared" si="65"/>
        <v>96</v>
      </c>
      <c r="I88" s="9"/>
      <c r="J88" s="9"/>
      <c r="K88" s="9"/>
      <c r="L88" s="9"/>
      <c r="M88" s="9"/>
      <c r="N88" s="9"/>
      <c r="O88" s="12"/>
      <c r="P88" s="12"/>
      <c r="Q88" s="12"/>
      <c r="R88" s="12"/>
      <c r="S88" s="12"/>
      <c r="T88" s="12"/>
      <c r="V88" s="20">
        <f t="shared" si="51"/>
        <v>16</v>
      </c>
      <c r="W88" s="20">
        <f t="shared" si="52"/>
        <v>0</v>
      </c>
      <c r="X88" s="20">
        <f t="shared" si="53"/>
        <v>1</v>
      </c>
      <c r="Y88" s="20">
        <f t="shared" si="54"/>
        <v>6</v>
      </c>
      <c r="Z88" s="20">
        <f t="shared" si="55"/>
        <v>0</v>
      </c>
      <c r="AA88" s="20">
        <f t="shared" si="56"/>
        <v>0</v>
      </c>
      <c r="AC88" s="3">
        <f t="shared" si="32"/>
        <v>41</v>
      </c>
      <c r="AD88" s="3">
        <f t="shared" si="33"/>
        <v>37</v>
      </c>
      <c r="AE88" s="3">
        <f t="shared" si="34"/>
        <v>32</v>
      </c>
      <c r="AF88" s="3">
        <f t="shared" si="35"/>
        <v>28</v>
      </c>
      <c r="AG88" s="3">
        <f t="shared" si="36"/>
        <v>24</v>
      </c>
      <c r="AH88" s="3">
        <f t="shared" si="37"/>
        <v>20</v>
      </c>
      <c r="AI88" s="3">
        <f t="shared" si="38"/>
        <v>0</v>
      </c>
      <c r="AJ88" s="3">
        <f t="shared" si="39"/>
        <v>96</v>
      </c>
      <c r="AK88" s="3">
        <f t="shared" si="40"/>
        <v>91</v>
      </c>
      <c r="AL88" s="3">
        <f t="shared" si="41"/>
        <v>88</v>
      </c>
      <c r="AM88" s="3">
        <f t="shared" si="42"/>
        <v>75</v>
      </c>
      <c r="AN88" s="3">
        <f t="shared" si="43"/>
        <v>69</v>
      </c>
      <c r="AO88" s="3">
        <f t="shared" si="44"/>
        <v>69</v>
      </c>
      <c r="AP88" s="3">
        <f t="shared" si="45"/>
        <v>50</v>
      </c>
      <c r="AQ88" s="3">
        <f t="shared" si="46"/>
        <v>47</v>
      </c>
      <c r="AR88" s="3">
        <f t="shared" si="47"/>
        <v>44</v>
      </c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M88" s="35" t="s">
        <v>12</v>
      </c>
      <c r="BO88" s="35"/>
      <c r="BR88" s="9" t="str">
        <f t="shared" si="57"/>
        <v/>
      </c>
      <c r="BS88" s="37" t="str">
        <f t="shared" si="58"/>
        <v/>
      </c>
      <c r="BT88" s="38" t="str">
        <f t="shared" si="49"/>
        <v/>
      </c>
      <c r="BU88" s="36" t="str">
        <f t="shared" si="59"/>
        <v/>
      </c>
    </row>
    <row r="89" spans="2:73" ht="15">
      <c r="B89" s="16">
        <f t="shared" si="60"/>
        <v>43696</v>
      </c>
      <c r="C89" s="15" t="s">
        <v>1</v>
      </c>
      <c r="D89" s="17">
        <f t="shared" si="61"/>
        <v>43702</v>
      </c>
      <c r="E89" s="18">
        <f t="shared" si="62"/>
        <v>8</v>
      </c>
      <c r="F89" s="19">
        <f t="shared" si="63"/>
        <v>2019</v>
      </c>
      <c r="G89" s="9">
        <f t="shared" si="65"/>
        <v>17</v>
      </c>
      <c r="H89" s="8">
        <f t="shared" si="65"/>
        <v>96</v>
      </c>
      <c r="I89" s="9"/>
      <c r="J89" s="9"/>
      <c r="K89" s="9"/>
      <c r="L89" s="9"/>
      <c r="M89" s="9"/>
      <c r="N89" s="9"/>
      <c r="O89" s="12"/>
      <c r="P89" s="12"/>
      <c r="Q89" s="12"/>
      <c r="R89" s="12"/>
      <c r="S89" s="12"/>
      <c r="T89" s="12"/>
      <c r="V89" s="20">
        <f t="shared" si="51"/>
        <v>17</v>
      </c>
      <c r="W89" s="20">
        <f t="shared" si="52"/>
        <v>0</v>
      </c>
      <c r="X89" s="20">
        <f t="shared" si="53"/>
        <v>2</v>
      </c>
      <c r="Y89" s="20">
        <f t="shared" si="54"/>
        <v>7</v>
      </c>
      <c r="Z89" s="20">
        <f t="shared" si="55"/>
        <v>0</v>
      </c>
      <c r="AA89" s="20">
        <f t="shared" si="56"/>
        <v>0</v>
      </c>
      <c r="AC89" s="3">
        <f t="shared" si="32"/>
        <v>42</v>
      </c>
      <c r="AD89" s="3">
        <f t="shared" si="33"/>
        <v>38</v>
      </c>
      <c r="AE89" s="3">
        <f t="shared" si="34"/>
        <v>33</v>
      </c>
      <c r="AF89" s="3">
        <f t="shared" si="35"/>
        <v>29</v>
      </c>
      <c r="AG89" s="3">
        <f t="shared" si="36"/>
        <v>25</v>
      </c>
      <c r="AH89" s="3">
        <f t="shared" si="37"/>
        <v>21</v>
      </c>
      <c r="AI89" s="3">
        <f t="shared" si="38"/>
        <v>17</v>
      </c>
      <c r="AJ89" s="3">
        <f t="shared" si="39"/>
        <v>0</v>
      </c>
      <c r="AK89" s="3">
        <f t="shared" si="40"/>
        <v>92</v>
      </c>
      <c r="AL89" s="3">
        <f t="shared" si="41"/>
        <v>89</v>
      </c>
      <c r="AM89" s="3">
        <f t="shared" si="42"/>
        <v>76</v>
      </c>
      <c r="AN89" s="3">
        <f t="shared" si="43"/>
        <v>70</v>
      </c>
      <c r="AO89" s="3">
        <f t="shared" si="44"/>
        <v>70</v>
      </c>
      <c r="AP89" s="3">
        <f t="shared" si="45"/>
        <v>51</v>
      </c>
      <c r="AQ89" s="3">
        <f t="shared" si="46"/>
        <v>48</v>
      </c>
      <c r="AR89" s="3">
        <f t="shared" si="47"/>
        <v>45</v>
      </c>
      <c r="AS89" s="8"/>
      <c r="AT89" s="8"/>
      <c r="AU89" s="8"/>
      <c r="AV89" s="8"/>
      <c r="AW89" s="8"/>
      <c r="AX89" s="8"/>
      <c r="AY89" s="8">
        <v>1</v>
      </c>
      <c r="AZ89" s="8"/>
      <c r="BA89" s="8"/>
      <c r="BB89" s="8"/>
      <c r="BC89" s="8"/>
      <c r="BD89" s="8"/>
      <c r="BE89" s="8"/>
      <c r="BF89" s="8"/>
      <c r="BG89" s="8"/>
      <c r="BH89" s="8"/>
      <c r="BM89" s="35" t="s">
        <v>12</v>
      </c>
      <c r="BO89" s="35"/>
      <c r="BR89" s="9" t="str">
        <f t="shared" si="57"/>
        <v/>
      </c>
      <c r="BS89" s="37" t="str">
        <f t="shared" si="58"/>
        <v/>
      </c>
      <c r="BT89" s="38" t="str">
        <f t="shared" si="49"/>
        <v/>
      </c>
      <c r="BU89" s="36" t="str">
        <f t="shared" si="59"/>
        <v/>
      </c>
    </row>
    <row r="90" spans="2:73" ht="15">
      <c r="B90" s="16">
        <f t="shared" si="60"/>
        <v>43703</v>
      </c>
      <c r="C90" s="15" t="s">
        <v>1</v>
      </c>
      <c r="D90" s="17">
        <f t="shared" si="61"/>
        <v>43709</v>
      </c>
      <c r="E90" s="18">
        <f t="shared" si="62"/>
        <v>8</v>
      </c>
      <c r="F90" s="19">
        <f t="shared" si="63"/>
        <v>2019</v>
      </c>
      <c r="G90" s="9">
        <f t="shared" si="65"/>
        <v>17</v>
      </c>
      <c r="H90" s="8">
        <f t="shared" si="65"/>
        <v>96</v>
      </c>
      <c r="I90" s="9"/>
      <c r="J90" s="9"/>
      <c r="K90" s="9"/>
      <c r="L90" s="9"/>
      <c r="M90" s="9"/>
      <c r="N90" s="9"/>
      <c r="O90" s="12"/>
      <c r="P90" s="12"/>
      <c r="Q90" s="12"/>
      <c r="R90" s="12"/>
      <c r="S90" s="12"/>
      <c r="T90" s="12"/>
      <c r="V90" s="20">
        <f t="shared" si="51"/>
        <v>0</v>
      </c>
      <c r="W90" s="20">
        <f t="shared" si="52"/>
        <v>0</v>
      </c>
      <c r="X90" s="20">
        <f t="shared" si="53"/>
        <v>3</v>
      </c>
      <c r="Y90" s="20">
        <f t="shared" si="54"/>
        <v>8</v>
      </c>
      <c r="Z90" s="20">
        <f t="shared" si="55"/>
        <v>0</v>
      </c>
      <c r="AA90" s="20">
        <f t="shared" si="56"/>
        <v>0</v>
      </c>
      <c r="AC90" s="3">
        <f t="shared" si="32"/>
        <v>43</v>
      </c>
      <c r="AD90" s="3">
        <f t="shared" si="33"/>
        <v>39</v>
      </c>
      <c r="AE90" s="3">
        <f t="shared" si="34"/>
        <v>34</v>
      </c>
      <c r="AF90" s="3">
        <f t="shared" si="35"/>
        <v>30</v>
      </c>
      <c r="AG90" s="3">
        <f t="shared" si="36"/>
        <v>26</v>
      </c>
      <c r="AH90" s="3">
        <f t="shared" si="37"/>
        <v>22</v>
      </c>
      <c r="AI90" s="3">
        <f t="shared" si="38"/>
        <v>18</v>
      </c>
      <c r="AJ90" s="3">
        <f t="shared" si="39"/>
        <v>0</v>
      </c>
      <c r="AK90" s="3">
        <f t="shared" si="40"/>
        <v>93</v>
      </c>
      <c r="AL90" s="3">
        <f t="shared" si="41"/>
        <v>90</v>
      </c>
      <c r="AM90" s="3">
        <f t="shared" si="42"/>
        <v>77</v>
      </c>
      <c r="AN90" s="3">
        <f t="shared" si="43"/>
        <v>71</v>
      </c>
      <c r="AO90" s="3">
        <f t="shared" si="44"/>
        <v>71</v>
      </c>
      <c r="AP90" s="3">
        <f t="shared" si="45"/>
        <v>52</v>
      </c>
      <c r="AQ90" s="3">
        <f t="shared" si="46"/>
        <v>49</v>
      </c>
      <c r="AR90" s="3">
        <f t="shared" si="47"/>
        <v>46</v>
      </c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M90" s="35" t="s">
        <v>12</v>
      </c>
      <c r="BO90" s="35"/>
      <c r="BR90" s="9" t="str">
        <f t="shared" si="57"/>
        <v/>
      </c>
      <c r="BS90" s="37" t="str">
        <f t="shared" si="58"/>
        <v/>
      </c>
      <c r="BT90" s="38" t="str">
        <f t="shared" si="49"/>
        <v/>
      </c>
      <c r="BU90" s="36" t="str">
        <f t="shared" si="59"/>
        <v/>
      </c>
    </row>
    <row r="91" spans="2:73" ht="15">
      <c r="B91" s="16">
        <f t="shared" si="60"/>
        <v>43710</v>
      </c>
      <c r="C91" s="15" t="s">
        <v>1</v>
      </c>
      <c r="D91" s="17">
        <f t="shared" si="61"/>
        <v>43716</v>
      </c>
      <c r="E91" s="18">
        <f t="shared" si="62"/>
        <v>9</v>
      </c>
      <c r="F91" s="19">
        <f t="shared" si="63"/>
        <v>2019</v>
      </c>
      <c r="G91" s="9">
        <f t="shared" si="65"/>
        <v>17</v>
      </c>
      <c r="H91" s="8">
        <f t="shared" si="65"/>
        <v>96</v>
      </c>
      <c r="I91" s="9"/>
      <c r="J91" s="9"/>
      <c r="K91" s="9"/>
      <c r="L91" s="9"/>
      <c r="M91" s="9"/>
      <c r="N91" s="9"/>
      <c r="O91" s="12"/>
      <c r="P91" s="12"/>
      <c r="Q91" s="12"/>
      <c r="R91" s="12"/>
      <c r="S91" s="12"/>
      <c r="T91" s="12"/>
      <c r="V91" s="20">
        <f t="shared" si="51"/>
        <v>0</v>
      </c>
      <c r="W91" s="20">
        <f t="shared" si="52"/>
        <v>0</v>
      </c>
      <c r="X91" s="20">
        <f t="shared" si="53"/>
        <v>4</v>
      </c>
      <c r="Y91" s="20">
        <f t="shared" si="54"/>
        <v>9</v>
      </c>
      <c r="Z91" s="20">
        <f t="shared" si="55"/>
        <v>0</v>
      </c>
      <c r="AA91" s="20">
        <f t="shared" si="56"/>
        <v>0</v>
      </c>
      <c r="AC91" s="3">
        <f t="shared" si="32"/>
        <v>44</v>
      </c>
      <c r="AD91" s="3">
        <f t="shared" si="33"/>
        <v>40</v>
      </c>
      <c r="AE91" s="3">
        <f t="shared" si="34"/>
        <v>35</v>
      </c>
      <c r="AF91" s="3">
        <f t="shared" si="35"/>
        <v>31</v>
      </c>
      <c r="AG91" s="3">
        <f t="shared" si="36"/>
        <v>27</v>
      </c>
      <c r="AH91" s="3">
        <f t="shared" si="37"/>
        <v>23</v>
      </c>
      <c r="AI91" s="3">
        <f t="shared" si="38"/>
        <v>19</v>
      </c>
      <c r="AJ91" s="3">
        <f t="shared" si="39"/>
        <v>0</v>
      </c>
      <c r="AK91" s="3">
        <f t="shared" si="40"/>
        <v>94</v>
      </c>
      <c r="AL91" s="3">
        <f t="shared" si="41"/>
        <v>91</v>
      </c>
      <c r="AM91" s="3">
        <f t="shared" si="42"/>
        <v>78</v>
      </c>
      <c r="AN91" s="3">
        <f t="shared" si="43"/>
        <v>72</v>
      </c>
      <c r="AO91" s="3">
        <f t="shared" si="44"/>
        <v>72</v>
      </c>
      <c r="AP91" s="3">
        <f t="shared" si="45"/>
        <v>53</v>
      </c>
      <c r="AQ91" s="3">
        <f t="shared" si="46"/>
        <v>50</v>
      </c>
      <c r="AR91" s="3">
        <f t="shared" si="47"/>
        <v>47</v>
      </c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M91" s="35" t="s">
        <v>12</v>
      </c>
      <c r="BO91" s="35"/>
      <c r="BR91" s="9" t="str">
        <f t="shared" si="57"/>
        <v/>
      </c>
      <c r="BS91" s="37" t="str">
        <f t="shared" si="58"/>
        <v/>
      </c>
      <c r="BT91" s="38" t="str">
        <f t="shared" si="49"/>
        <v/>
      </c>
      <c r="BU91" s="36" t="str">
        <f t="shared" si="59"/>
        <v/>
      </c>
    </row>
    <row r="92" spans="2:73" ht="15">
      <c r="B92" s="16">
        <f t="shared" si="60"/>
        <v>43717</v>
      </c>
      <c r="C92" s="15" t="s">
        <v>1</v>
      </c>
      <c r="D92" s="17">
        <f t="shared" si="61"/>
        <v>43723</v>
      </c>
      <c r="E92" s="18">
        <f t="shared" si="62"/>
        <v>9</v>
      </c>
      <c r="F92" s="19">
        <f t="shared" si="63"/>
        <v>2019</v>
      </c>
      <c r="G92" s="9">
        <f t="shared" si="65"/>
        <v>17</v>
      </c>
      <c r="H92" s="8">
        <f t="shared" si="65"/>
        <v>96</v>
      </c>
      <c r="I92" s="9"/>
      <c r="J92" s="9"/>
      <c r="K92" s="9"/>
      <c r="L92" s="9"/>
      <c r="M92" s="9"/>
      <c r="N92" s="9"/>
      <c r="O92" s="12"/>
      <c r="P92" s="12">
        <v>1</v>
      </c>
      <c r="Q92" s="12"/>
      <c r="R92" s="12"/>
      <c r="S92" s="12"/>
      <c r="T92" s="12"/>
      <c r="V92" s="20">
        <f t="shared" si="51"/>
        <v>0</v>
      </c>
      <c r="W92" s="20">
        <f t="shared" si="52"/>
        <v>43719</v>
      </c>
      <c r="X92" s="20">
        <f t="shared" si="53"/>
        <v>5</v>
      </c>
      <c r="Y92" s="20">
        <f t="shared" si="54"/>
        <v>10</v>
      </c>
      <c r="Z92" s="20">
        <f t="shared" si="55"/>
        <v>0</v>
      </c>
      <c r="AA92" s="20">
        <f t="shared" si="56"/>
        <v>0</v>
      </c>
      <c r="AC92" s="3">
        <f t="shared" si="32"/>
        <v>45</v>
      </c>
      <c r="AD92" s="3">
        <f t="shared" si="33"/>
        <v>41</v>
      </c>
      <c r="AE92" s="3">
        <f t="shared" si="34"/>
        <v>36</v>
      </c>
      <c r="AF92" s="3">
        <f t="shared" si="35"/>
        <v>32</v>
      </c>
      <c r="AG92" s="3">
        <f t="shared" si="36"/>
        <v>28</v>
      </c>
      <c r="AH92" s="3">
        <f t="shared" si="37"/>
        <v>24</v>
      </c>
      <c r="AI92" s="3">
        <f t="shared" si="38"/>
        <v>20</v>
      </c>
      <c r="AJ92" s="3">
        <f t="shared" si="39"/>
        <v>0</v>
      </c>
      <c r="AK92" s="3">
        <f t="shared" si="40"/>
        <v>95</v>
      </c>
      <c r="AL92" s="3">
        <f t="shared" si="41"/>
        <v>92</v>
      </c>
      <c r="AM92" s="3">
        <f t="shared" si="42"/>
        <v>79</v>
      </c>
      <c r="AN92" s="3">
        <f t="shared" si="43"/>
        <v>73</v>
      </c>
      <c r="AO92" s="3">
        <f t="shared" si="44"/>
        <v>73</v>
      </c>
      <c r="AP92" s="3">
        <f t="shared" si="45"/>
        <v>54</v>
      </c>
      <c r="AQ92" s="3">
        <f t="shared" si="46"/>
        <v>51</v>
      </c>
      <c r="AR92" s="3">
        <f t="shared" si="47"/>
        <v>48</v>
      </c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L92">
        <v>3</v>
      </c>
      <c r="BM92" s="35">
        <v>43717</v>
      </c>
      <c r="BO92" s="35">
        <f>B109</f>
        <v>43836</v>
      </c>
      <c r="BP92">
        <v>98</v>
      </c>
      <c r="BQ92" s="47" t="s">
        <v>7</v>
      </c>
      <c r="BR92" s="9">
        <f t="shared" si="57"/>
        <v>2</v>
      </c>
      <c r="BS92" s="37">
        <f t="shared" si="58"/>
        <v>43719</v>
      </c>
      <c r="BT92" s="38">
        <f t="shared" si="49"/>
        <v>43838</v>
      </c>
      <c r="BU92" s="36">
        <f t="shared" si="59"/>
        <v>3</v>
      </c>
    </row>
    <row r="93" spans="2:73" ht="15">
      <c r="B93" s="16">
        <f t="shared" si="60"/>
        <v>43724</v>
      </c>
      <c r="C93" s="15" t="s">
        <v>1</v>
      </c>
      <c r="D93" s="17">
        <f t="shared" si="61"/>
        <v>43730</v>
      </c>
      <c r="E93" s="18">
        <f t="shared" si="62"/>
        <v>9</v>
      </c>
      <c r="F93" s="19">
        <f t="shared" si="63"/>
        <v>2019</v>
      </c>
      <c r="G93" s="9">
        <f t="shared" si="65"/>
        <v>17</v>
      </c>
      <c r="H93" s="8">
        <f t="shared" si="65"/>
        <v>96</v>
      </c>
      <c r="I93" s="9"/>
      <c r="J93" s="9"/>
      <c r="K93" s="9"/>
      <c r="L93" s="9"/>
      <c r="M93" s="9"/>
      <c r="N93" s="9"/>
      <c r="O93" s="12"/>
      <c r="P93" s="12"/>
      <c r="Q93" s="12"/>
      <c r="R93" s="12"/>
      <c r="S93" s="12"/>
      <c r="T93" s="12"/>
      <c r="V93" s="20">
        <f t="shared" si="51"/>
        <v>0</v>
      </c>
      <c r="W93" s="20">
        <f t="shared" si="52"/>
        <v>1</v>
      </c>
      <c r="X93" s="20">
        <f t="shared" si="53"/>
        <v>6</v>
      </c>
      <c r="Y93" s="20">
        <f t="shared" si="54"/>
        <v>11</v>
      </c>
      <c r="Z93" s="20">
        <f t="shared" si="55"/>
        <v>0</v>
      </c>
      <c r="AA93" s="20">
        <f t="shared" si="56"/>
        <v>0</v>
      </c>
      <c r="AC93" s="3">
        <f t="shared" si="32"/>
        <v>46</v>
      </c>
      <c r="AD93" s="3">
        <f t="shared" si="33"/>
        <v>42</v>
      </c>
      <c r="AE93" s="3">
        <f t="shared" si="34"/>
        <v>37</v>
      </c>
      <c r="AF93" s="3">
        <f t="shared" si="35"/>
        <v>33</v>
      </c>
      <c r="AG93" s="3">
        <f t="shared" si="36"/>
        <v>29</v>
      </c>
      <c r="AH93" s="3">
        <f t="shared" si="37"/>
        <v>25</v>
      </c>
      <c r="AI93" s="3">
        <f t="shared" si="38"/>
        <v>21</v>
      </c>
      <c r="AJ93" s="3">
        <f t="shared" si="39"/>
        <v>0</v>
      </c>
      <c r="AK93" s="3">
        <f t="shared" si="40"/>
        <v>96</v>
      </c>
      <c r="AL93" s="3">
        <f t="shared" si="41"/>
        <v>93</v>
      </c>
      <c r="AM93" s="3">
        <f t="shared" si="42"/>
        <v>80</v>
      </c>
      <c r="AN93" s="3">
        <f t="shared" si="43"/>
        <v>74</v>
      </c>
      <c r="AO93" s="3">
        <f t="shared" si="44"/>
        <v>74</v>
      </c>
      <c r="AP93" s="3">
        <f t="shared" si="45"/>
        <v>55</v>
      </c>
      <c r="AQ93" s="3">
        <f t="shared" si="46"/>
        <v>52</v>
      </c>
      <c r="AR93" s="3">
        <f t="shared" si="47"/>
        <v>49</v>
      </c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M93" s="35" t="s">
        <v>12</v>
      </c>
      <c r="BO93" s="35"/>
      <c r="BR93" s="9" t="str">
        <f t="shared" si="57"/>
        <v/>
      </c>
      <c r="BS93" s="37" t="str">
        <f t="shared" si="58"/>
        <v/>
      </c>
      <c r="BT93" s="38" t="str">
        <f t="shared" si="49"/>
        <v/>
      </c>
      <c r="BU93" s="36" t="str">
        <f t="shared" si="59"/>
        <v/>
      </c>
    </row>
    <row r="94" spans="2:73" ht="15">
      <c r="B94" s="16">
        <f t="shared" si="60"/>
        <v>43731</v>
      </c>
      <c r="C94" s="15" t="s">
        <v>1</v>
      </c>
      <c r="D94" s="17">
        <f t="shared" si="61"/>
        <v>43737</v>
      </c>
      <c r="E94" s="18">
        <f t="shared" si="62"/>
        <v>9</v>
      </c>
      <c r="F94" s="19">
        <f t="shared" si="63"/>
        <v>2019</v>
      </c>
      <c r="G94" s="9">
        <f t="shared" si="65"/>
        <v>17</v>
      </c>
      <c r="H94" s="8">
        <f t="shared" si="65"/>
        <v>96</v>
      </c>
      <c r="I94" s="9"/>
      <c r="J94" s="9"/>
      <c r="K94" s="9"/>
      <c r="L94" s="9"/>
      <c r="M94" s="9"/>
      <c r="N94" s="9"/>
      <c r="O94" s="12"/>
      <c r="P94" s="12"/>
      <c r="Q94" s="12"/>
      <c r="R94" s="12"/>
      <c r="S94" s="12"/>
      <c r="T94" s="12"/>
      <c r="V94" s="20">
        <f t="shared" si="51"/>
        <v>0</v>
      </c>
      <c r="W94" s="20">
        <f t="shared" si="52"/>
        <v>2</v>
      </c>
      <c r="X94" s="20">
        <f t="shared" si="53"/>
        <v>7</v>
      </c>
      <c r="Y94" s="20">
        <f t="shared" si="54"/>
        <v>12</v>
      </c>
      <c r="Z94" s="20">
        <f t="shared" si="55"/>
        <v>0</v>
      </c>
      <c r="AA94" s="20">
        <f t="shared" si="56"/>
        <v>0</v>
      </c>
      <c r="AC94" s="3">
        <f t="shared" si="32"/>
        <v>47</v>
      </c>
      <c r="AD94" s="3">
        <f t="shared" si="33"/>
        <v>43</v>
      </c>
      <c r="AE94" s="3">
        <f t="shared" si="34"/>
        <v>38</v>
      </c>
      <c r="AF94" s="3">
        <f t="shared" si="35"/>
        <v>34</v>
      </c>
      <c r="AG94" s="3">
        <f t="shared" si="36"/>
        <v>30</v>
      </c>
      <c r="AH94" s="3">
        <f t="shared" si="37"/>
        <v>26</v>
      </c>
      <c r="AI94" s="3">
        <f t="shared" si="38"/>
        <v>22</v>
      </c>
      <c r="AJ94" s="3">
        <f t="shared" si="39"/>
        <v>0</v>
      </c>
      <c r="AK94" s="3">
        <f t="shared" si="40"/>
        <v>0</v>
      </c>
      <c r="AL94" s="3">
        <f t="shared" si="41"/>
        <v>94</v>
      </c>
      <c r="AM94" s="3">
        <f t="shared" si="42"/>
        <v>81</v>
      </c>
      <c r="AN94" s="3">
        <f t="shared" si="43"/>
        <v>75</v>
      </c>
      <c r="AO94" s="3">
        <f t="shared" si="44"/>
        <v>75</v>
      </c>
      <c r="AP94" s="3">
        <f t="shared" si="45"/>
        <v>56</v>
      </c>
      <c r="AQ94" s="3">
        <f t="shared" si="46"/>
        <v>53</v>
      </c>
      <c r="AR94" s="3">
        <f t="shared" si="47"/>
        <v>50</v>
      </c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M94" s="35" t="s">
        <v>12</v>
      </c>
      <c r="BO94" s="35"/>
      <c r="BR94" s="9" t="str">
        <f t="shared" si="57"/>
        <v/>
      </c>
      <c r="BS94" s="37" t="str">
        <f t="shared" si="58"/>
        <v/>
      </c>
      <c r="BT94" s="38" t="str">
        <f t="shared" si="49"/>
        <v/>
      </c>
      <c r="BU94" s="36" t="str">
        <f t="shared" si="59"/>
        <v/>
      </c>
    </row>
    <row r="95" spans="2:73" ht="15">
      <c r="B95" s="16">
        <f t="shared" si="60"/>
        <v>43738</v>
      </c>
      <c r="C95" s="15" t="s">
        <v>1</v>
      </c>
      <c r="D95" s="17">
        <f t="shared" si="61"/>
        <v>43744</v>
      </c>
      <c r="E95" s="18">
        <f t="shared" si="62"/>
        <v>9</v>
      </c>
      <c r="F95" s="19">
        <f t="shared" si="63"/>
        <v>2019</v>
      </c>
      <c r="G95" s="9">
        <f t="shared" si="65"/>
        <v>17</v>
      </c>
      <c r="H95" s="8">
        <f t="shared" si="65"/>
        <v>96</v>
      </c>
      <c r="I95" s="9"/>
      <c r="J95" s="9"/>
      <c r="K95" s="9"/>
      <c r="L95" s="9"/>
      <c r="M95" s="9"/>
      <c r="N95" s="9"/>
      <c r="O95" s="12"/>
      <c r="P95" s="12"/>
      <c r="Q95" s="12"/>
      <c r="R95" s="12"/>
      <c r="S95" s="12"/>
      <c r="T95" s="12"/>
      <c r="V95" s="20">
        <f t="shared" si="51"/>
        <v>0</v>
      </c>
      <c r="W95" s="20">
        <f t="shared" si="52"/>
        <v>3</v>
      </c>
      <c r="X95" s="20">
        <f t="shared" si="53"/>
        <v>8</v>
      </c>
      <c r="Y95" s="20">
        <f t="shared" si="54"/>
        <v>13</v>
      </c>
      <c r="Z95" s="20">
        <f t="shared" si="55"/>
        <v>0</v>
      </c>
      <c r="AA95" s="20">
        <f t="shared" si="56"/>
        <v>0</v>
      </c>
      <c r="AC95" s="3">
        <f t="shared" si="32"/>
        <v>48</v>
      </c>
      <c r="AD95" s="3">
        <f t="shared" si="33"/>
        <v>44</v>
      </c>
      <c r="AE95" s="3">
        <f t="shared" si="34"/>
        <v>39</v>
      </c>
      <c r="AF95" s="3">
        <f t="shared" si="35"/>
        <v>35</v>
      </c>
      <c r="AG95" s="3">
        <f t="shared" si="36"/>
        <v>31</v>
      </c>
      <c r="AH95" s="3">
        <f t="shared" si="37"/>
        <v>27</v>
      </c>
      <c r="AI95" s="3">
        <f t="shared" si="38"/>
        <v>23</v>
      </c>
      <c r="AJ95" s="3">
        <f t="shared" si="39"/>
        <v>0</v>
      </c>
      <c r="AK95" s="3">
        <f t="shared" si="40"/>
        <v>0</v>
      </c>
      <c r="AL95" s="3">
        <f t="shared" si="41"/>
        <v>95</v>
      </c>
      <c r="AM95" s="3">
        <f t="shared" si="42"/>
        <v>82</v>
      </c>
      <c r="AN95" s="3">
        <f t="shared" si="43"/>
        <v>76</v>
      </c>
      <c r="AO95" s="3">
        <f t="shared" si="44"/>
        <v>76</v>
      </c>
      <c r="AP95" s="3">
        <f t="shared" si="45"/>
        <v>57</v>
      </c>
      <c r="AQ95" s="3">
        <f t="shared" si="46"/>
        <v>54</v>
      </c>
      <c r="AR95" s="3">
        <f t="shared" si="47"/>
        <v>51</v>
      </c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M95" s="35" t="s">
        <v>12</v>
      </c>
      <c r="BO95" s="35"/>
      <c r="BR95" s="9" t="str">
        <f t="shared" si="57"/>
        <v/>
      </c>
      <c r="BS95" s="37" t="str">
        <f t="shared" si="58"/>
        <v/>
      </c>
      <c r="BT95" s="38" t="str">
        <f t="shared" si="49"/>
        <v/>
      </c>
      <c r="BU95" s="36" t="str">
        <f t="shared" si="59"/>
        <v/>
      </c>
    </row>
    <row r="96" spans="2:73" ht="15">
      <c r="B96" s="16">
        <f t="shared" si="60"/>
        <v>43745</v>
      </c>
      <c r="C96" s="15" t="s">
        <v>1</v>
      </c>
      <c r="D96" s="17">
        <f t="shared" si="61"/>
        <v>43751</v>
      </c>
      <c r="E96" s="18">
        <f t="shared" si="62"/>
        <v>10</v>
      </c>
      <c r="F96" s="19">
        <f t="shared" si="63"/>
        <v>2019</v>
      </c>
      <c r="G96" s="9">
        <f t="shared" si="65"/>
        <v>17</v>
      </c>
      <c r="H96" s="8">
        <f t="shared" si="65"/>
        <v>96</v>
      </c>
      <c r="I96" s="9"/>
      <c r="J96" s="9"/>
      <c r="K96" s="9"/>
      <c r="L96" s="9"/>
      <c r="M96" s="9"/>
      <c r="N96" s="9"/>
      <c r="O96" s="12"/>
      <c r="P96" s="12"/>
      <c r="Q96" s="12"/>
      <c r="R96" s="12"/>
      <c r="S96" s="12"/>
      <c r="T96" s="12"/>
      <c r="V96" s="20">
        <f t="shared" si="51"/>
        <v>0</v>
      </c>
      <c r="W96" s="20">
        <f t="shared" si="52"/>
        <v>4</v>
      </c>
      <c r="X96" s="20">
        <f t="shared" si="53"/>
        <v>9</v>
      </c>
      <c r="Y96" s="20">
        <f t="shared" si="54"/>
        <v>14</v>
      </c>
      <c r="Z96" s="20">
        <f t="shared" si="55"/>
        <v>0</v>
      </c>
      <c r="AA96" s="20">
        <f t="shared" si="56"/>
        <v>0</v>
      </c>
      <c r="AC96" s="3">
        <f t="shared" si="32"/>
        <v>49</v>
      </c>
      <c r="AD96" s="3">
        <f t="shared" si="33"/>
        <v>45</v>
      </c>
      <c r="AE96" s="3">
        <f t="shared" si="34"/>
        <v>40</v>
      </c>
      <c r="AF96" s="3">
        <f t="shared" si="35"/>
        <v>36</v>
      </c>
      <c r="AG96" s="3">
        <f t="shared" si="36"/>
        <v>32</v>
      </c>
      <c r="AH96" s="3">
        <f t="shared" si="37"/>
        <v>28</v>
      </c>
      <c r="AI96" s="3">
        <f t="shared" si="38"/>
        <v>24</v>
      </c>
      <c r="AJ96" s="3">
        <f t="shared" si="39"/>
        <v>0</v>
      </c>
      <c r="AK96" s="3">
        <f t="shared" si="40"/>
        <v>0</v>
      </c>
      <c r="AL96" s="3">
        <f t="shared" si="41"/>
        <v>96</v>
      </c>
      <c r="AM96" s="3">
        <f t="shared" si="42"/>
        <v>83</v>
      </c>
      <c r="AN96" s="3">
        <f t="shared" si="43"/>
        <v>77</v>
      </c>
      <c r="AO96" s="3">
        <f t="shared" si="44"/>
        <v>77</v>
      </c>
      <c r="AP96" s="3">
        <f t="shared" si="45"/>
        <v>58</v>
      </c>
      <c r="AQ96" s="3">
        <f t="shared" si="46"/>
        <v>55</v>
      </c>
      <c r="AR96" s="3">
        <f t="shared" si="47"/>
        <v>52</v>
      </c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M96" s="35" t="s">
        <v>12</v>
      </c>
      <c r="BO96" s="35"/>
      <c r="BR96" s="9" t="str">
        <f t="shared" si="57"/>
        <v/>
      </c>
      <c r="BS96" s="37" t="str">
        <f t="shared" si="58"/>
        <v/>
      </c>
      <c r="BT96" s="38" t="str">
        <f t="shared" si="49"/>
        <v/>
      </c>
      <c r="BU96" s="36" t="str">
        <f t="shared" si="59"/>
        <v/>
      </c>
    </row>
    <row r="97" spans="2:73" ht="15">
      <c r="B97" s="16">
        <f t="shared" si="60"/>
        <v>43752</v>
      </c>
      <c r="C97" s="15" t="s">
        <v>1</v>
      </c>
      <c r="D97" s="17">
        <f t="shared" si="61"/>
        <v>43758</v>
      </c>
      <c r="E97" s="18">
        <f t="shared" si="62"/>
        <v>10</v>
      </c>
      <c r="F97" s="19">
        <f t="shared" si="63"/>
        <v>2019</v>
      </c>
      <c r="G97" s="9">
        <f t="shared" si="65"/>
        <v>17</v>
      </c>
      <c r="H97" s="8">
        <f t="shared" si="65"/>
        <v>96</v>
      </c>
      <c r="I97" s="9"/>
      <c r="J97" s="9"/>
      <c r="K97" s="9"/>
      <c r="L97" s="9"/>
      <c r="M97" s="9"/>
      <c r="N97" s="9"/>
      <c r="O97" s="12">
        <v>1</v>
      </c>
      <c r="P97" s="12"/>
      <c r="Q97" s="12"/>
      <c r="R97" s="12"/>
      <c r="S97" s="12"/>
      <c r="T97" s="12"/>
      <c r="V97" s="20">
        <f t="shared" si="51"/>
        <v>43754</v>
      </c>
      <c r="W97" s="20">
        <f t="shared" si="52"/>
        <v>5</v>
      </c>
      <c r="X97" s="20">
        <f t="shared" si="53"/>
        <v>10</v>
      </c>
      <c r="Y97" s="20">
        <f t="shared" si="54"/>
        <v>15</v>
      </c>
      <c r="Z97" s="20">
        <f t="shared" si="55"/>
        <v>0</v>
      </c>
      <c r="AA97" s="20">
        <f t="shared" si="56"/>
        <v>0</v>
      </c>
      <c r="AC97" s="3">
        <f t="shared" si="32"/>
        <v>50</v>
      </c>
      <c r="AD97" s="3">
        <f t="shared" si="33"/>
        <v>46</v>
      </c>
      <c r="AE97" s="3">
        <f t="shared" si="34"/>
        <v>41</v>
      </c>
      <c r="AF97" s="3">
        <f t="shared" si="35"/>
        <v>37</v>
      </c>
      <c r="AG97" s="3">
        <f t="shared" si="36"/>
        <v>33</v>
      </c>
      <c r="AH97" s="3">
        <f t="shared" si="37"/>
        <v>29</v>
      </c>
      <c r="AI97" s="3">
        <f t="shared" si="38"/>
        <v>25</v>
      </c>
      <c r="AJ97" s="3">
        <f t="shared" si="39"/>
        <v>0</v>
      </c>
      <c r="AK97" s="3">
        <f t="shared" si="40"/>
        <v>0</v>
      </c>
      <c r="AL97" s="3">
        <f t="shared" si="41"/>
        <v>0</v>
      </c>
      <c r="AM97" s="3">
        <f t="shared" si="42"/>
        <v>84</v>
      </c>
      <c r="AN97" s="3">
        <f t="shared" si="43"/>
        <v>78</v>
      </c>
      <c r="AO97" s="3">
        <f t="shared" si="44"/>
        <v>78</v>
      </c>
      <c r="AP97" s="3">
        <f t="shared" si="45"/>
        <v>59</v>
      </c>
      <c r="AQ97" s="3">
        <f t="shared" si="46"/>
        <v>56</v>
      </c>
      <c r="AR97" s="3">
        <f t="shared" si="47"/>
        <v>53</v>
      </c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L97">
        <v>4</v>
      </c>
      <c r="BM97" s="35">
        <v>43752</v>
      </c>
      <c r="BO97" s="35">
        <f>B114</f>
        <v>43871</v>
      </c>
      <c r="BP97">
        <v>98</v>
      </c>
      <c r="BQ97" s="28" t="s">
        <v>19</v>
      </c>
      <c r="BR97" s="9">
        <f t="shared" si="57"/>
        <v>1</v>
      </c>
      <c r="BS97" s="37">
        <f t="shared" si="58"/>
        <v>43754</v>
      </c>
      <c r="BT97" s="38">
        <f t="shared" si="49"/>
        <v>43873</v>
      </c>
      <c r="BU97" s="36">
        <f t="shared" si="59"/>
        <v>4</v>
      </c>
    </row>
    <row r="98" spans="2:73" ht="15">
      <c r="B98" s="16">
        <f t="shared" si="60"/>
        <v>43759</v>
      </c>
      <c r="C98" s="15" t="s">
        <v>1</v>
      </c>
      <c r="D98" s="17">
        <f t="shared" si="61"/>
        <v>43765</v>
      </c>
      <c r="E98" s="18">
        <f t="shared" si="62"/>
        <v>10</v>
      </c>
      <c r="F98" s="19">
        <f t="shared" si="63"/>
        <v>2019</v>
      </c>
      <c r="G98" s="9">
        <f t="shared" si="65"/>
        <v>17</v>
      </c>
      <c r="H98" s="8">
        <f t="shared" si="65"/>
        <v>96</v>
      </c>
      <c r="I98" s="9"/>
      <c r="J98" s="9"/>
      <c r="K98" s="9"/>
      <c r="L98" s="9"/>
      <c r="M98" s="9"/>
      <c r="N98" s="9"/>
      <c r="O98" s="12"/>
      <c r="P98" s="12"/>
      <c r="Q98" s="12"/>
      <c r="R98" s="12"/>
      <c r="S98" s="12"/>
      <c r="T98" s="12"/>
      <c r="V98" s="20">
        <f t="shared" si="51"/>
        <v>1</v>
      </c>
      <c r="W98" s="20">
        <f t="shared" si="52"/>
        <v>6</v>
      </c>
      <c r="X98" s="20">
        <f t="shared" si="53"/>
        <v>11</v>
      </c>
      <c r="Y98" s="20">
        <f t="shared" si="54"/>
        <v>16</v>
      </c>
      <c r="Z98" s="20">
        <f t="shared" si="55"/>
        <v>0</v>
      </c>
      <c r="AA98" s="20">
        <f t="shared" si="56"/>
        <v>0</v>
      </c>
      <c r="AC98" s="3">
        <f t="shared" si="32"/>
        <v>51</v>
      </c>
      <c r="AD98" s="3">
        <f t="shared" si="33"/>
        <v>47</v>
      </c>
      <c r="AE98" s="3">
        <f t="shared" si="34"/>
        <v>42</v>
      </c>
      <c r="AF98" s="3">
        <f t="shared" si="35"/>
        <v>38</v>
      </c>
      <c r="AG98" s="3">
        <f t="shared" si="36"/>
        <v>34</v>
      </c>
      <c r="AH98" s="3">
        <f t="shared" si="37"/>
        <v>30</v>
      </c>
      <c r="AI98" s="3">
        <f t="shared" si="38"/>
        <v>26</v>
      </c>
      <c r="AJ98" s="3">
        <f t="shared" si="39"/>
        <v>0</v>
      </c>
      <c r="AK98" s="3">
        <f t="shared" si="40"/>
        <v>0</v>
      </c>
      <c r="AL98" s="3">
        <f t="shared" si="41"/>
        <v>0</v>
      </c>
      <c r="AM98" s="3">
        <f t="shared" si="42"/>
        <v>85</v>
      </c>
      <c r="AN98" s="3">
        <f t="shared" si="43"/>
        <v>79</v>
      </c>
      <c r="AO98" s="3">
        <f t="shared" si="44"/>
        <v>79</v>
      </c>
      <c r="AP98" s="3">
        <f t="shared" si="45"/>
        <v>60</v>
      </c>
      <c r="AQ98" s="3">
        <f t="shared" si="46"/>
        <v>57</v>
      </c>
      <c r="AR98" s="3">
        <f t="shared" si="47"/>
        <v>54</v>
      </c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M98" s="35" t="s">
        <v>12</v>
      </c>
      <c r="BO98" s="35"/>
      <c r="BR98" s="9" t="str">
        <f t="shared" si="57"/>
        <v/>
      </c>
      <c r="BS98" s="37" t="str">
        <f t="shared" si="58"/>
        <v/>
      </c>
      <c r="BT98" s="38" t="str">
        <f t="shared" si="49"/>
        <v/>
      </c>
      <c r="BU98" s="36" t="str">
        <f t="shared" si="59"/>
        <v/>
      </c>
    </row>
    <row r="99" spans="2:73" ht="15">
      <c r="B99" s="16">
        <f t="shared" si="60"/>
        <v>43766</v>
      </c>
      <c r="C99" s="15" t="s">
        <v>1</v>
      </c>
      <c r="D99" s="17">
        <f t="shared" si="61"/>
        <v>43772</v>
      </c>
      <c r="E99" s="18">
        <f t="shared" si="62"/>
        <v>10</v>
      </c>
      <c r="F99" s="19">
        <f t="shared" si="63"/>
        <v>2019</v>
      </c>
      <c r="G99" s="9">
        <f t="shared" si="65"/>
        <v>17</v>
      </c>
      <c r="H99" s="8">
        <f t="shared" si="65"/>
        <v>96</v>
      </c>
      <c r="I99" s="9"/>
      <c r="J99" s="9"/>
      <c r="K99" s="9"/>
      <c r="L99" s="9"/>
      <c r="M99" s="9"/>
      <c r="N99" s="9"/>
      <c r="O99" s="12"/>
      <c r="P99" s="12"/>
      <c r="Q99" s="12"/>
      <c r="R99" s="12"/>
      <c r="S99" s="12"/>
      <c r="T99" s="12"/>
      <c r="V99" s="20">
        <f t="shared" si="51"/>
        <v>2</v>
      </c>
      <c r="W99" s="20">
        <f t="shared" si="52"/>
        <v>7</v>
      </c>
      <c r="X99" s="20">
        <f t="shared" si="53"/>
        <v>12</v>
      </c>
      <c r="Y99" s="20">
        <f t="shared" si="54"/>
        <v>17</v>
      </c>
      <c r="Z99" s="20">
        <f t="shared" si="55"/>
        <v>0</v>
      </c>
      <c r="AA99" s="20">
        <f t="shared" si="56"/>
        <v>0</v>
      </c>
      <c r="AC99" s="3">
        <f t="shared" ref="AC99:AC162" si="66">IF(AND(AS99&gt;=$V$2,AS99&lt;=$AA$2),LOOKUP(AS99,$V$2:$AA$2,$V99:$AA99),IF(AS98="A",0,IF(AC98=$H99,0,IF(AC98=0,0,AC98+1))))</f>
        <v>52</v>
      </c>
      <c r="AD99" s="3">
        <f t="shared" ref="AD99:AD162" si="67">IF(AND(AT99&gt;=$V$2,AT99&lt;=$AA$2),LOOKUP(AT99,$V$2:$AA$2,$V99:$AA99),IF(AT98="A",0,IF(AD98=$H99,0,IF(AD98=0,0,AD98+1))))</f>
        <v>48</v>
      </c>
      <c r="AE99" s="3">
        <f t="shared" ref="AE99:AE162" si="68">IF(AND(AU99&gt;=$V$2,AU99&lt;=$AA$2),LOOKUP(AU99,$V$2:$AA$2,$V99:$AA99),IF(AU98="A",0,IF(AE98=$H99,0,IF(AE98=0,0,AE98+1))))</f>
        <v>43</v>
      </c>
      <c r="AF99" s="3">
        <f t="shared" ref="AF99:AF162" si="69">IF(AND(AV99&gt;=$V$2,AV99&lt;=$AA$2),LOOKUP(AV99,$V$2:$AA$2,$V99:$AA99),IF(AV98="A",0,IF(AF98=$H99,0,IF(AF98=0,0,AF98+1))))</f>
        <v>39</v>
      </c>
      <c r="AG99" s="3">
        <f t="shared" ref="AG99:AG162" si="70">IF(AND(AW99&gt;=$V$2,AW99&lt;=$AA$2),LOOKUP(AW99,$V$2:$AA$2,$V99:$AA99),IF(AW98="A",0,IF(AG98=$H99,0,IF(AG98=0,0,AG98+1))))</f>
        <v>35</v>
      </c>
      <c r="AH99" s="3">
        <f t="shared" ref="AH99:AH162" si="71">IF(AND(AX99&gt;=$V$2,AX99&lt;=$AA$2),LOOKUP(AX99,$V$2:$AA$2,$V99:$AA99),IF(AX98="A",0,IF(AH98=$H99,0,IF(AH98=0,0,AH98+1))))</f>
        <v>31</v>
      </c>
      <c r="AI99" s="3">
        <f t="shared" ref="AI99:AI162" si="72">IF(AND(AY99&gt;=$V$2,AY99&lt;=$AA$2),LOOKUP(AY99,$V$2:$AA$2,$V99:$AA99),IF(AY98="A",0,IF(AI98=$H99,0,IF(AI98=0,0,AI98+1))))</f>
        <v>27</v>
      </c>
      <c r="AJ99" s="3">
        <f t="shared" ref="AJ99:AJ162" si="73">IF(AND(AZ99&gt;=$V$2,AZ99&lt;=$AA$2),LOOKUP(AZ99,$V$2:$AA$2,$V99:$AA99),IF(AZ98="A",0,IF(AJ98=$H99,0,IF(AJ98=0,0,AJ98+1))))</f>
        <v>17</v>
      </c>
      <c r="AK99" s="3">
        <f t="shared" ref="AK99:AK162" si="74">IF(AND(BA99&gt;=$V$2,BA99&lt;=$AA$2),LOOKUP(BA99,$V$2:$AA$2,$V99:$AA99),IF(BA98="A",0,IF(AK98=$H99,0,IF(AK98=0,0,AK98+1))))</f>
        <v>0</v>
      </c>
      <c r="AL99" s="3">
        <f t="shared" ref="AL99:AL162" si="75">IF(AND(BB99&gt;=$V$2,BB99&lt;=$AA$2),LOOKUP(BB99,$V$2:$AA$2,$V99:$AA99),IF(BB98="A",0,IF(AL98=$H99,0,IF(AL98=0,0,AL98+1))))</f>
        <v>0</v>
      </c>
      <c r="AM99" s="3">
        <f t="shared" ref="AM99:AM162" si="76">IF(AND(BC99&gt;=$V$2,BC99&lt;=$AA$2),LOOKUP(BC99,$V$2:$AA$2,$V99:$AA99),IF(BC98="A",0,IF(AM98=$H99,0,IF(AM98=0,0,AM98+1))))</f>
        <v>86</v>
      </c>
      <c r="AN99" s="3">
        <f t="shared" ref="AN99:AN162" si="77">IF(AND(BD99&gt;=$V$2,BD99&lt;=$AA$2),LOOKUP(BD99,$V$2:$AA$2,$V99:$AA99),IF(BD98="A",0,IF(AN98=$H99,0,IF(AN98=0,0,AN98+1))))</f>
        <v>80</v>
      </c>
      <c r="AO99" s="3">
        <f t="shared" ref="AO99:AO162" si="78">IF(AND(BE99&gt;=$V$2,BE99&lt;=$AA$2),LOOKUP(BE99,$V$2:$AA$2,$V99:$AA99),IF(BE98="A",0,IF(AO98=$H99,0,IF(AO98=0,0,AO98+1))))</f>
        <v>80</v>
      </c>
      <c r="AP99" s="3">
        <f t="shared" ref="AP99:AP162" si="79">IF(AND(BF99&gt;=$V$2,BF99&lt;=$AA$2),LOOKUP(BF99,$V$2:$AA$2,$V99:$AA99),IF(BF98="A",0,IF(AP98=$H99,0,IF(AP98=0,0,AP98+1))))</f>
        <v>61</v>
      </c>
      <c r="AQ99" s="3">
        <f t="shared" ref="AQ99:AQ162" si="80">IF(AND(BG99&gt;=$V$2,BG99&lt;=$AA$2),LOOKUP(BG99,$V$2:$AA$2,$V99:$AA99),IF(BG98="A",0,IF(AQ98=$H99,0,IF(AQ98=0,0,AQ98+1))))</f>
        <v>58</v>
      </c>
      <c r="AR99" s="3">
        <f t="shared" ref="AR99:AR162" si="81">IF(AND(BH99&gt;=$V$2,BH99&lt;=$AA$2),LOOKUP(BH99,$V$2:$AA$2,$V99:$AA99),IF(BH98="A",0,IF(AR98=$H99,0,IF(AR98=0,0,AR98+1))))</f>
        <v>55</v>
      </c>
      <c r="AS99" s="8"/>
      <c r="AT99" s="8"/>
      <c r="AU99" s="8"/>
      <c r="AV99" s="8"/>
      <c r="AW99" s="8"/>
      <c r="AX99" s="8"/>
      <c r="AY99" s="8"/>
      <c r="AZ99" s="8">
        <v>4</v>
      </c>
      <c r="BA99" s="8"/>
      <c r="BB99" s="8"/>
      <c r="BC99" s="8"/>
      <c r="BD99" s="8"/>
      <c r="BE99" s="8"/>
      <c r="BF99" s="8"/>
      <c r="BG99" s="8"/>
      <c r="BH99" s="8"/>
      <c r="BM99" s="35" t="s">
        <v>12</v>
      </c>
      <c r="BO99" s="35"/>
      <c r="BR99" s="9" t="str">
        <f t="shared" si="57"/>
        <v/>
      </c>
      <c r="BS99" s="37" t="str">
        <f t="shared" si="58"/>
        <v/>
      </c>
      <c r="BT99" s="38" t="str">
        <f t="shared" si="49"/>
        <v/>
      </c>
      <c r="BU99" s="36" t="str">
        <f t="shared" si="59"/>
        <v/>
      </c>
    </row>
    <row r="100" spans="2:73" ht="15">
      <c r="B100" s="16">
        <f t="shared" si="60"/>
        <v>43773</v>
      </c>
      <c r="C100" s="15" t="s">
        <v>1</v>
      </c>
      <c r="D100" s="17">
        <f t="shared" si="61"/>
        <v>43779</v>
      </c>
      <c r="E100" s="18">
        <f t="shared" si="62"/>
        <v>11</v>
      </c>
      <c r="F100" s="19">
        <f t="shared" si="63"/>
        <v>2019</v>
      </c>
      <c r="G100" s="9">
        <f t="shared" si="65"/>
        <v>17</v>
      </c>
      <c r="H100" s="8">
        <f t="shared" si="65"/>
        <v>96</v>
      </c>
      <c r="I100" s="9"/>
      <c r="J100" s="9"/>
      <c r="K100" s="9"/>
      <c r="L100" s="9"/>
      <c r="M100" s="9"/>
      <c r="N100" s="9"/>
      <c r="O100" s="12"/>
      <c r="P100" s="12"/>
      <c r="Q100" s="12"/>
      <c r="R100" s="12"/>
      <c r="S100" s="12"/>
      <c r="T100" s="12"/>
      <c r="V100" s="20">
        <f t="shared" si="51"/>
        <v>3</v>
      </c>
      <c r="W100" s="20">
        <f t="shared" si="52"/>
        <v>8</v>
      </c>
      <c r="X100" s="20">
        <f t="shared" si="53"/>
        <v>13</v>
      </c>
      <c r="Y100" s="20">
        <f t="shared" si="54"/>
        <v>0</v>
      </c>
      <c r="Z100" s="20">
        <f t="shared" si="55"/>
        <v>0</v>
      </c>
      <c r="AA100" s="20">
        <f t="shared" si="56"/>
        <v>0</v>
      </c>
      <c r="AC100" s="3">
        <f t="shared" si="66"/>
        <v>53</v>
      </c>
      <c r="AD100" s="3">
        <f t="shared" si="67"/>
        <v>49</v>
      </c>
      <c r="AE100" s="3">
        <f t="shared" si="68"/>
        <v>44</v>
      </c>
      <c r="AF100" s="3">
        <f t="shared" si="69"/>
        <v>40</v>
      </c>
      <c r="AG100" s="3">
        <f t="shared" si="70"/>
        <v>36</v>
      </c>
      <c r="AH100" s="3">
        <f t="shared" si="71"/>
        <v>32</v>
      </c>
      <c r="AI100" s="3">
        <f t="shared" si="72"/>
        <v>28</v>
      </c>
      <c r="AJ100" s="3">
        <f t="shared" si="73"/>
        <v>18</v>
      </c>
      <c r="AK100" s="3">
        <f t="shared" si="74"/>
        <v>0</v>
      </c>
      <c r="AL100" s="3">
        <f t="shared" si="75"/>
        <v>0</v>
      </c>
      <c r="AM100" s="3">
        <f t="shared" si="76"/>
        <v>87</v>
      </c>
      <c r="AN100" s="3">
        <f t="shared" si="77"/>
        <v>81</v>
      </c>
      <c r="AO100" s="3">
        <f t="shared" si="78"/>
        <v>81</v>
      </c>
      <c r="AP100" s="3">
        <f t="shared" si="79"/>
        <v>62</v>
      </c>
      <c r="AQ100" s="3">
        <f t="shared" si="80"/>
        <v>59</v>
      </c>
      <c r="AR100" s="3">
        <f t="shared" si="81"/>
        <v>56</v>
      </c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M100" s="35" t="s">
        <v>12</v>
      </c>
      <c r="BO100" s="35"/>
      <c r="BR100" s="9" t="str">
        <f t="shared" si="57"/>
        <v/>
      </c>
      <c r="BS100" s="37" t="str">
        <f t="shared" si="58"/>
        <v/>
      </c>
      <c r="BT100" s="38" t="str">
        <f t="shared" si="49"/>
        <v/>
      </c>
      <c r="BU100" s="36" t="str">
        <f t="shared" si="59"/>
        <v/>
      </c>
    </row>
    <row r="101" spans="2:73" ht="15">
      <c r="B101" s="16">
        <f t="shared" si="60"/>
        <v>43780</v>
      </c>
      <c r="C101" s="15" t="s">
        <v>1</v>
      </c>
      <c r="D101" s="17">
        <f t="shared" si="61"/>
        <v>43786</v>
      </c>
      <c r="E101" s="18">
        <f t="shared" si="62"/>
        <v>11</v>
      </c>
      <c r="F101" s="19">
        <f t="shared" si="63"/>
        <v>2019</v>
      </c>
      <c r="G101" s="9">
        <f t="shared" si="65"/>
        <v>17</v>
      </c>
      <c r="H101" s="8">
        <f t="shared" si="65"/>
        <v>96</v>
      </c>
      <c r="I101" s="9"/>
      <c r="J101" s="9"/>
      <c r="K101" s="9"/>
      <c r="L101" s="9"/>
      <c r="M101" s="9"/>
      <c r="N101" s="9"/>
      <c r="O101" s="12"/>
      <c r="P101" s="12"/>
      <c r="Q101" s="12"/>
      <c r="R101" s="12"/>
      <c r="S101" s="12"/>
      <c r="T101" s="12"/>
      <c r="V101" s="20">
        <f t="shared" si="51"/>
        <v>4</v>
      </c>
      <c r="W101" s="20">
        <f t="shared" si="52"/>
        <v>9</v>
      </c>
      <c r="X101" s="20">
        <f t="shared" si="53"/>
        <v>14</v>
      </c>
      <c r="Y101" s="20">
        <f t="shared" si="54"/>
        <v>0</v>
      </c>
      <c r="Z101" s="20">
        <f t="shared" si="55"/>
        <v>0</v>
      </c>
      <c r="AA101" s="20">
        <f t="shared" si="56"/>
        <v>0</v>
      </c>
      <c r="AC101" s="3">
        <f t="shared" si="66"/>
        <v>54</v>
      </c>
      <c r="AD101" s="3">
        <f t="shared" si="67"/>
        <v>50</v>
      </c>
      <c r="AE101" s="3">
        <f t="shared" si="68"/>
        <v>45</v>
      </c>
      <c r="AF101" s="3">
        <f t="shared" si="69"/>
        <v>41</v>
      </c>
      <c r="AG101" s="3">
        <f t="shared" si="70"/>
        <v>37</v>
      </c>
      <c r="AH101" s="3">
        <f t="shared" si="71"/>
        <v>33</v>
      </c>
      <c r="AI101" s="3">
        <f t="shared" si="72"/>
        <v>29</v>
      </c>
      <c r="AJ101" s="3">
        <f t="shared" si="73"/>
        <v>19</v>
      </c>
      <c r="AK101" s="3">
        <f t="shared" si="74"/>
        <v>0</v>
      </c>
      <c r="AL101" s="3">
        <f t="shared" si="75"/>
        <v>0</v>
      </c>
      <c r="AM101" s="3">
        <f t="shared" si="76"/>
        <v>88</v>
      </c>
      <c r="AN101" s="3">
        <f t="shared" si="77"/>
        <v>82</v>
      </c>
      <c r="AO101" s="3">
        <f t="shared" si="78"/>
        <v>82</v>
      </c>
      <c r="AP101" s="3">
        <f t="shared" si="79"/>
        <v>63</v>
      </c>
      <c r="AQ101" s="3">
        <f t="shared" si="80"/>
        <v>60</v>
      </c>
      <c r="AR101" s="3">
        <f t="shared" si="81"/>
        <v>57</v>
      </c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M101" s="35" t="s">
        <v>12</v>
      </c>
      <c r="BO101" s="35"/>
      <c r="BR101" s="9" t="str">
        <f t="shared" si="57"/>
        <v/>
      </c>
      <c r="BS101" s="37" t="str">
        <f t="shared" si="58"/>
        <v/>
      </c>
      <c r="BT101" s="38" t="str">
        <f t="shared" si="49"/>
        <v/>
      </c>
      <c r="BU101" s="36" t="str">
        <f t="shared" si="59"/>
        <v/>
      </c>
    </row>
    <row r="102" spans="2:73" ht="15">
      <c r="B102" s="16">
        <f t="shared" si="60"/>
        <v>43787</v>
      </c>
      <c r="C102" s="15" t="s">
        <v>1</v>
      </c>
      <c r="D102" s="17">
        <f t="shared" si="61"/>
        <v>43793</v>
      </c>
      <c r="E102" s="18">
        <f t="shared" si="62"/>
        <v>11</v>
      </c>
      <c r="F102" s="19">
        <f t="shared" si="63"/>
        <v>2019</v>
      </c>
      <c r="G102" s="9">
        <f t="shared" ref="G102:H117" si="82">G101</f>
        <v>17</v>
      </c>
      <c r="H102" s="8">
        <f t="shared" si="82"/>
        <v>96</v>
      </c>
      <c r="I102" s="9"/>
      <c r="J102" s="9"/>
      <c r="K102" s="9"/>
      <c r="L102" s="9"/>
      <c r="M102" s="9"/>
      <c r="N102" s="9"/>
      <c r="O102" s="12"/>
      <c r="P102" s="12"/>
      <c r="Q102" s="12"/>
      <c r="R102" s="12"/>
      <c r="S102" s="12"/>
      <c r="T102" s="12"/>
      <c r="V102" s="20">
        <f t="shared" si="51"/>
        <v>5</v>
      </c>
      <c r="W102" s="20">
        <f t="shared" si="52"/>
        <v>10</v>
      </c>
      <c r="X102" s="20">
        <f t="shared" si="53"/>
        <v>15</v>
      </c>
      <c r="Y102" s="20">
        <f t="shared" si="54"/>
        <v>0</v>
      </c>
      <c r="Z102" s="20">
        <f t="shared" si="55"/>
        <v>0</v>
      </c>
      <c r="AA102" s="20">
        <f t="shared" si="56"/>
        <v>0</v>
      </c>
      <c r="AC102" s="3">
        <f t="shared" si="66"/>
        <v>55</v>
      </c>
      <c r="AD102" s="3">
        <f t="shared" si="67"/>
        <v>51</v>
      </c>
      <c r="AE102" s="3">
        <f t="shared" si="68"/>
        <v>46</v>
      </c>
      <c r="AF102" s="3">
        <f t="shared" si="69"/>
        <v>42</v>
      </c>
      <c r="AG102" s="3">
        <f t="shared" si="70"/>
        <v>38</v>
      </c>
      <c r="AH102" s="3">
        <f t="shared" si="71"/>
        <v>34</v>
      </c>
      <c r="AI102" s="3">
        <f t="shared" si="72"/>
        <v>30</v>
      </c>
      <c r="AJ102" s="3">
        <f t="shared" si="73"/>
        <v>20</v>
      </c>
      <c r="AK102" s="3">
        <f t="shared" si="74"/>
        <v>0</v>
      </c>
      <c r="AL102" s="3">
        <f t="shared" si="75"/>
        <v>0</v>
      </c>
      <c r="AM102" s="3">
        <f t="shared" si="76"/>
        <v>89</v>
      </c>
      <c r="AN102" s="3">
        <f t="shared" si="77"/>
        <v>83</v>
      </c>
      <c r="AO102" s="3">
        <f t="shared" si="78"/>
        <v>83</v>
      </c>
      <c r="AP102" s="3">
        <f t="shared" si="79"/>
        <v>64</v>
      </c>
      <c r="AQ102" s="3">
        <f t="shared" si="80"/>
        <v>61</v>
      </c>
      <c r="AR102" s="3">
        <f t="shared" si="81"/>
        <v>58</v>
      </c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M102" s="35" t="s">
        <v>12</v>
      </c>
      <c r="BO102" s="35"/>
      <c r="BR102" s="9" t="str">
        <f t="shared" si="57"/>
        <v/>
      </c>
      <c r="BS102" s="37" t="str">
        <f t="shared" si="58"/>
        <v/>
      </c>
      <c r="BT102" s="38" t="str">
        <f t="shared" si="49"/>
        <v/>
      </c>
      <c r="BU102" s="36" t="str">
        <f t="shared" si="59"/>
        <v/>
      </c>
    </row>
    <row r="103" spans="2:73" ht="15">
      <c r="B103" s="16">
        <f t="shared" si="60"/>
        <v>43794</v>
      </c>
      <c r="C103" s="15" t="s">
        <v>1</v>
      </c>
      <c r="D103" s="17">
        <f t="shared" si="61"/>
        <v>43800</v>
      </c>
      <c r="E103" s="18">
        <f t="shared" si="62"/>
        <v>11</v>
      </c>
      <c r="F103" s="19">
        <f t="shared" si="63"/>
        <v>2019</v>
      </c>
      <c r="G103" s="9">
        <f t="shared" si="82"/>
        <v>17</v>
      </c>
      <c r="H103" s="8">
        <f t="shared" si="82"/>
        <v>96</v>
      </c>
      <c r="I103" s="9"/>
      <c r="J103" s="9"/>
      <c r="K103" s="9"/>
      <c r="L103" s="9"/>
      <c r="M103" s="9"/>
      <c r="N103" s="9"/>
      <c r="O103" s="12"/>
      <c r="P103" s="12"/>
      <c r="Q103" s="12"/>
      <c r="R103" s="12"/>
      <c r="S103" s="12"/>
      <c r="T103" s="12"/>
      <c r="V103" s="20">
        <f t="shared" si="51"/>
        <v>6</v>
      </c>
      <c r="W103" s="20">
        <f t="shared" si="52"/>
        <v>11</v>
      </c>
      <c r="X103" s="20">
        <f t="shared" si="53"/>
        <v>16</v>
      </c>
      <c r="Y103" s="20">
        <f t="shared" si="54"/>
        <v>0</v>
      </c>
      <c r="Z103" s="20">
        <f t="shared" si="55"/>
        <v>0</v>
      </c>
      <c r="AA103" s="20">
        <f t="shared" si="56"/>
        <v>0</v>
      </c>
      <c r="AC103" s="3">
        <f t="shared" si="66"/>
        <v>56</v>
      </c>
      <c r="AD103" s="3">
        <f t="shared" si="67"/>
        <v>52</v>
      </c>
      <c r="AE103" s="3">
        <f t="shared" si="68"/>
        <v>47</v>
      </c>
      <c r="AF103" s="3">
        <f t="shared" si="69"/>
        <v>43</v>
      </c>
      <c r="AG103" s="3">
        <f t="shared" si="70"/>
        <v>39</v>
      </c>
      <c r="AH103" s="3">
        <f t="shared" si="71"/>
        <v>35</v>
      </c>
      <c r="AI103" s="3">
        <f t="shared" si="72"/>
        <v>31</v>
      </c>
      <c r="AJ103" s="3">
        <f t="shared" si="73"/>
        <v>21</v>
      </c>
      <c r="AK103" s="3">
        <f t="shared" si="74"/>
        <v>0</v>
      </c>
      <c r="AL103" s="3">
        <f t="shared" si="75"/>
        <v>0</v>
      </c>
      <c r="AM103" s="3">
        <f t="shared" si="76"/>
        <v>90</v>
      </c>
      <c r="AN103" s="3">
        <f t="shared" si="77"/>
        <v>84</v>
      </c>
      <c r="AO103" s="3">
        <f t="shared" si="78"/>
        <v>84</v>
      </c>
      <c r="AP103" s="3">
        <f t="shared" si="79"/>
        <v>65</v>
      </c>
      <c r="AQ103" s="3">
        <f t="shared" si="80"/>
        <v>62</v>
      </c>
      <c r="AR103" s="3">
        <f t="shared" si="81"/>
        <v>59</v>
      </c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M103" s="35" t="s">
        <v>12</v>
      </c>
      <c r="BO103" s="35"/>
      <c r="BR103" s="9" t="str">
        <f t="shared" si="57"/>
        <v/>
      </c>
      <c r="BS103" s="37" t="str">
        <f t="shared" si="58"/>
        <v/>
      </c>
      <c r="BT103" s="38" t="str">
        <f t="shared" si="49"/>
        <v/>
      </c>
      <c r="BU103" s="36" t="str">
        <f t="shared" si="59"/>
        <v/>
      </c>
    </row>
    <row r="104" spans="2:73" ht="15">
      <c r="B104" s="16">
        <f t="shared" si="60"/>
        <v>43801</v>
      </c>
      <c r="C104" s="15" t="s">
        <v>1</v>
      </c>
      <c r="D104" s="17">
        <f t="shared" si="61"/>
        <v>43807</v>
      </c>
      <c r="E104" s="18">
        <f t="shared" si="62"/>
        <v>12</v>
      </c>
      <c r="F104" s="19">
        <f t="shared" si="63"/>
        <v>2019</v>
      </c>
      <c r="G104" s="9">
        <f t="shared" si="82"/>
        <v>17</v>
      </c>
      <c r="H104" s="8">
        <f t="shared" si="82"/>
        <v>96</v>
      </c>
      <c r="I104" s="9"/>
      <c r="J104" s="9"/>
      <c r="K104" s="9"/>
      <c r="L104" s="9"/>
      <c r="M104" s="9"/>
      <c r="N104" s="9"/>
      <c r="O104" s="12"/>
      <c r="P104" s="12"/>
      <c r="Q104" s="12"/>
      <c r="R104" s="12">
        <v>1</v>
      </c>
      <c r="S104" s="12"/>
      <c r="T104" s="12"/>
      <c r="V104" s="20">
        <f t="shared" si="51"/>
        <v>7</v>
      </c>
      <c r="W104" s="20">
        <f t="shared" si="52"/>
        <v>12</v>
      </c>
      <c r="X104" s="20">
        <f t="shared" si="53"/>
        <v>17</v>
      </c>
      <c r="Y104" s="20">
        <f t="shared" si="54"/>
        <v>43803</v>
      </c>
      <c r="Z104" s="20">
        <f t="shared" si="55"/>
        <v>0</v>
      </c>
      <c r="AA104" s="20">
        <f t="shared" si="56"/>
        <v>0</v>
      </c>
      <c r="AC104" s="3">
        <f t="shared" si="66"/>
        <v>57</v>
      </c>
      <c r="AD104" s="3">
        <f t="shared" si="67"/>
        <v>53</v>
      </c>
      <c r="AE104" s="3">
        <f t="shared" si="68"/>
        <v>48</v>
      </c>
      <c r="AF104" s="3">
        <f t="shared" si="69"/>
        <v>44</v>
      </c>
      <c r="AG104" s="3">
        <f t="shared" si="70"/>
        <v>40</v>
      </c>
      <c r="AH104" s="3">
        <f t="shared" si="71"/>
        <v>36</v>
      </c>
      <c r="AI104" s="3">
        <f t="shared" si="72"/>
        <v>32</v>
      </c>
      <c r="AJ104" s="3">
        <f t="shared" si="73"/>
        <v>22</v>
      </c>
      <c r="AK104" s="3">
        <f t="shared" si="74"/>
        <v>17</v>
      </c>
      <c r="AL104" s="3">
        <f t="shared" si="75"/>
        <v>0</v>
      </c>
      <c r="AM104" s="3">
        <f t="shared" si="76"/>
        <v>91</v>
      </c>
      <c r="AN104" s="3">
        <f t="shared" si="77"/>
        <v>85</v>
      </c>
      <c r="AO104" s="3">
        <f t="shared" si="78"/>
        <v>85</v>
      </c>
      <c r="AP104" s="3">
        <f t="shared" si="79"/>
        <v>66</v>
      </c>
      <c r="AQ104" s="3">
        <f t="shared" si="80"/>
        <v>63</v>
      </c>
      <c r="AR104" s="3">
        <f t="shared" si="81"/>
        <v>60</v>
      </c>
      <c r="AS104" s="8"/>
      <c r="AT104" s="8"/>
      <c r="AU104" s="8"/>
      <c r="AV104" s="8"/>
      <c r="AW104" s="8"/>
      <c r="AX104" s="8"/>
      <c r="AY104" s="8"/>
      <c r="AZ104" s="8"/>
      <c r="BA104" s="8">
        <v>3</v>
      </c>
      <c r="BB104" s="8"/>
      <c r="BC104" s="8"/>
      <c r="BD104" s="8"/>
      <c r="BE104" s="8"/>
      <c r="BF104" s="8"/>
      <c r="BG104" s="8"/>
      <c r="BH104" s="8"/>
      <c r="BL104">
        <v>5</v>
      </c>
      <c r="BM104" s="35">
        <v>43801</v>
      </c>
      <c r="BO104" s="35">
        <f>B121</f>
        <v>43920</v>
      </c>
      <c r="BP104">
        <v>98</v>
      </c>
      <c r="BQ104" s="47" t="s">
        <v>7</v>
      </c>
      <c r="BR104" s="9">
        <f t="shared" si="57"/>
        <v>4</v>
      </c>
      <c r="BS104" s="37">
        <f t="shared" si="58"/>
        <v>43803</v>
      </c>
      <c r="BT104" s="38">
        <f t="shared" si="49"/>
        <v>43922</v>
      </c>
      <c r="BU104" s="36">
        <f t="shared" si="59"/>
        <v>5</v>
      </c>
    </row>
    <row r="105" spans="2:73" ht="15">
      <c r="B105" s="16">
        <f t="shared" si="60"/>
        <v>43808</v>
      </c>
      <c r="C105" s="15" t="s">
        <v>1</v>
      </c>
      <c r="D105" s="17">
        <f t="shared" si="61"/>
        <v>43814</v>
      </c>
      <c r="E105" s="18">
        <f t="shared" si="62"/>
        <v>12</v>
      </c>
      <c r="F105" s="19">
        <f t="shared" si="63"/>
        <v>2019</v>
      </c>
      <c r="G105" s="9">
        <f t="shared" si="82"/>
        <v>17</v>
      </c>
      <c r="H105" s="8">
        <f t="shared" si="82"/>
        <v>96</v>
      </c>
      <c r="I105" s="9"/>
      <c r="J105" s="9"/>
      <c r="K105" s="9"/>
      <c r="L105" s="9"/>
      <c r="M105" s="9"/>
      <c r="N105" s="9"/>
      <c r="O105" s="12"/>
      <c r="P105" s="12"/>
      <c r="Q105" s="12"/>
      <c r="R105" s="12"/>
      <c r="S105" s="12"/>
      <c r="T105" s="12"/>
      <c r="V105" s="20">
        <f t="shared" si="51"/>
        <v>8</v>
      </c>
      <c r="W105" s="20">
        <f t="shared" si="52"/>
        <v>13</v>
      </c>
      <c r="X105" s="20">
        <f t="shared" si="53"/>
        <v>0</v>
      </c>
      <c r="Y105" s="20">
        <f t="shared" si="54"/>
        <v>1</v>
      </c>
      <c r="Z105" s="20">
        <f t="shared" si="55"/>
        <v>0</v>
      </c>
      <c r="AA105" s="20">
        <f t="shared" si="56"/>
        <v>0</v>
      </c>
      <c r="AC105" s="3">
        <f t="shared" si="66"/>
        <v>58</v>
      </c>
      <c r="AD105" s="3">
        <f t="shared" si="67"/>
        <v>54</v>
      </c>
      <c r="AE105" s="3">
        <f t="shared" si="68"/>
        <v>49</v>
      </c>
      <c r="AF105" s="3">
        <f t="shared" si="69"/>
        <v>45</v>
      </c>
      <c r="AG105" s="3">
        <f t="shared" si="70"/>
        <v>41</v>
      </c>
      <c r="AH105" s="3">
        <f t="shared" si="71"/>
        <v>37</v>
      </c>
      <c r="AI105" s="3">
        <f t="shared" si="72"/>
        <v>33</v>
      </c>
      <c r="AJ105" s="3">
        <f t="shared" si="73"/>
        <v>23</v>
      </c>
      <c r="AK105" s="3">
        <f t="shared" si="74"/>
        <v>18</v>
      </c>
      <c r="AL105" s="3">
        <f t="shared" si="75"/>
        <v>0</v>
      </c>
      <c r="AM105" s="3">
        <f t="shared" si="76"/>
        <v>92</v>
      </c>
      <c r="AN105" s="3">
        <f t="shared" si="77"/>
        <v>86</v>
      </c>
      <c r="AO105" s="3">
        <f t="shared" si="78"/>
        <v>86</v>
      </c>
      <c r="AP105" s="3">
        <f t="shared" si="79"/>
        <v>67</v>
      </c>
      <c r="AQ105" s="3">
        <f t="shared" si="80"/>
        <v>64</v>
      </c>
      <c r="AR105" s="3">
        <f t="shared" si="81"/>
        <v>61</v>
      </c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M105" s="35" t="s">
        <v>12</v>
      </c>
      <c r="BO105" s="35"/>
      <c r="BR105" s="9" t="str">
        <f t="shared" si="57"/>
        <v/>
      </c>
      <c r="BS105" s="37" t="str">
        <f t="shared" si="58"/>
        <v/>
      </c>
      <c r="BT105" s="38" t="str">
        <f t="shared" si="49"/>
        <v/>
      </c>
      <c r="BU105" s="36" t="str">
        <f t="shared" si="59"/>
        <v/>
      </c>
    </row>
    <row r="106" spans="2:73" ht="15">
      <c r="B106" s="16">
        <f t="shared" si="60"/>
        <v>43815</v>
      </c>
      <c r="C106" s="15" t="s">
        <v>1</v>
      </c>
      <c r="D106" s="17">
        <f t="shared" si="61"/>
        <v>43821</v>
      </c>
      <c r="E106" s="18">
        <f t="shared" si="62"/>
        <v>12</v>
      </c>
      <c r="F106" s="19">
        <f t="shared" si="63"/>
        <v>2019</v>
      </c>
      <c r="G106" s="9">
        <f t="shared" si="82"/>
        <v>17</v>
      </c>
      <c r="H106" s="8">
        <f t="shared" si="82"/>
        <v>96</v>
      </c>
      <c r="I106" s="9"/>
      <c r="J106" s="9"/>
      <c r="K106" s="9"/>
      <c r="L106" s="9"/>
      <c r="M106" s="9"/>
      <c r="N106" s="9"/>
      <c r="O106" s="12"/>
      <c r="P106" s="12"/>
      <c r="Q106" s="12"/>
      <c r="R106" s="12"/>
      <c r="S106" s="12"/>
      <c r="T106" s="12"/>
      <c r="V106" s="20">
        <f t="shared" si="51"/>
        <v>9</v>
      </c>
      <c r="W106" s="20">
        <f t="shared" si="52"/>
        <v>14</v>
      </c>
      <c r="X106" s="20">
        <f t="shared" si="53"/>
        <v>0</v>
      </c>
      <c r="Y106" s="20">
        <f t="shared" si="54"/>
        <v>2</v>
      </c>
      <c r="Z106" s="20">
        <f t="shared" si="55"/>
        <v>0</v>
      </c>
      <c r="AA106" s="20">
        <f t="shared" si="56"/>
        <v>0</v>
      </c>
      <c r="AC106" s="3">
        <f t="shared" si="66"/>
        <v>59</v>
      </c>
      <c r="AD106" s="3">
        <f t="shared" si="67"/>
        <v>55</v>
      </c>
      <c r="AE106" s="3">
        <f t="shared" si="68"/>
        <v>50</v>
      </c>
      <c r="AF106" s="3">
        <f t="shared" si="69"/>
        <v>46</v>
      </c>
      <c r="AG106" s="3">
        <f t="shared" si="70"/>
        <v>42</v>
      </c>
      <c r="AH106" s="3">
        <f t="shared" si="71"/>
        <v>38</v>
      </c>
      <c r="AI106" s="3">
        <f t="shared" si="72"/>
        <v>34</v>
      </c>
      <c r="AJ106" s="3">
        <f t="shared" si="73"/>
        <v>24</v>
      </c>
      <c r="AK106" s="3">
        <f t="shared" si="74"/>
        <v>19</v>
      </c>
      <c r="AL106" s="3">
        <f t="shared" si="75"/>
        <v>0</v>
      </c>
      <c r="AM106" s="3">
        <f t="shared" si="76"/>
        <v>93</v>
      </c>
      <c r="AN106" s="3">
        <f t="shared" si="77"/>
        <v>87</v>
      </c>
      <c r="AO106" s="3">
        <f t="shared" si="78"/>
        <v>87</v>
      </c>
      <c r="AP106" s="3">
        <f t="shared" si="79"/>
        <v>68</v>
      </c>
      <c r="AQ106" s="3">
        <f t="shared" si="80"/>
        <v>65</v>
      </c>
      <c r="AR106" s="3">
        <f t="shared" si="81"/>
        <v>62</v>
      </c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M106" s="35" t="s">
        <v>12</v>
      </c>
      <c r="BO106" s="35"/>
      <c r="BR106" s="9" t="str">
        <f t="shared" si="57"/>
        <v/>
      </c>
      <c r="BS106" s="37" t="str">
        <f t="shared" si="58"/>
        <v/>
      </c>
      <c r="BT106" s="38" t="str">
        <f t="shared" ref="BT106:BT169" si="83">IF(BS106="","",BS106+(17*7))</f>
        <v/>
      </c>
      <c r="BU106" s="36" t="str">
        <f t="shared" si="59"/>
        <v/>
      </c>
    </row>
    <row r="107" spans="2:73" ht="15">
      <c r="B107" s="16">
        <f t="shared" si="60"/>
        <v>43822</v>
      </c>
      <c r="C107" s="15" t="s">
        <v>1</v>
      </c>
      <c r="D107" s="17">
        <f t="shared" si="61"/>
        <v>43828</v>
      </c>
      <c r="E107" s="18">
        <f t="shared" si="62"/>
        <v>12</v>
      </c>
      <c r="F107" s="19">
        <f t="shared" si="63"/>
        <v>2019</v>
      </c>
      <c r="G107" s="9">
        <f t="shared" si="82"/>
        <v>17</v>
      </c>
      <c r="H107" s="8">
        <f t="shared" si="82"/>
        <v>96</v>
      </c>
      <c r="I107" s="9"/>
      <c r="J107" s="9"/>
      <c r="K107" s="9"/>
      <c r="L107" s="9"/>
      <c r="M107" s="9"/>
      <c r="N107" s="9"/>
      <c r="O107" s="12"/>
      <c r="P107" s="12"/>
      <c r="Q107" s="12"/>
      <c r="R107" s="12"/>
      <c r="S107" s="12"/>
      <c r="T107" s="12"/>
      <c r="V107" s="20">
        <f t="shared" si="51"/>
        <v>10</v>
      </c>
      <c r="W107" s="20">
        <f t="shared" si="52"/>
        <v>15</v>
      </c>
      <c r="X107" s="20">
        <f t="shared" si="53"/>
        <v>0</v>
      </c>
      <c r="Y107" s="20">
        <f t="shared" si="54"/>
        <v>3</v>
      </c>
      <c r="Z107" s="20">
        <f t="shared" si="55"/>
        <v>0</v>
      </c>
      <c r="AA107" s="20">
        <f t="shared" si="56"/>
        <v>0</v>
      </c>
      <c r="AC107" s="3">
        <f t="shared" si="66"/>
        <v>60</v>
      </c>
      <c r="AD107" s="3">
        <f t="shared" si="67"/>
        <v>56</v>
      </c>
      <c r="AE107" s="3">
        <f t="shared" si="68"/>
        <v>51</v>
      </c>
      <c r="AF107" s="3">
        <f t="shared" si="69"/>
        <v>47</v>
      </c>
      <c r="AG107" s="3">
        <f t="shared" si="70"/>
        <v>43</v>
      </c>
      <c r="AH107" s="3">
        <f t="shared" si="71"/>
        <v>39</v>
      </c>
      <c r="AI107" s="3">
        <f t="shared" si="72"/>
        <v>35</v>
      </c>
      <c r="AJ107" s="3">
        <f t="shared" si="73"/>
        <v>25</v>
      </c>
      <c r="AK107" s="3">
        <f t="shared" si="74"/>
        <v>20</v>
      </c>
      <c r="AL107" s="3">
        <f t="shared" si="75"/>
        <v>0</v>
      </c>
      <c r="AM107" s="3">
        <f t="shared" si="76"/>
        <v>94</v>
      </c>
      <c r="AN107" s="3">
        <f t="shared" si="77"/>
        <v>88</v>
      </c>
      <c r="AO107" s="3">
        <f t="shared" si="78"/>
        <v>88</v>
      </c>
      <c r="AP107" s="3">
        <f t="shared" si="79"/>
        <v>69</v>
      </c>
      <c r="AQ107" s="3">
        <f t="shared" si="80"/>
        <v>66</v>
      </c>
      <c r="AR107" s="3">
        <f t="shared" si="81"/>
        <v>63</v>
      </c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M107" s="35" t="s">
        <v>12</v>
      </c>
      <c r="BO107" s="35"/>
      <c r="BR107" s="9" t="str">
        <f t="shared" si="57"/>
        <v/>
      </c>
      <c r="BS107" s="37" t="str">
        <f t="shared" si="58"/>
        <v/>
      </c>
      <c r="BT107" s="38" t="str">
        <f t="shared" si="83"/>
        <v/>
      </c>
      <c r="BU107" s="36" t="str">
        <f t="shared" si="59"/>
        <v/>
      </c>
    </row>
    <row r="108" spans="2:73" ht="15">
      <c r="B108" s="16">
        <f t="shared" si="60"/>
        <v>43829</v>
      </c>
      <c r="C108" s="15" t="s">
        <v>1</v>
      </c>
      <c r="D108" s="17">
        <f t="shared" si="61"/>
        <v>43835</v>
      </c>
      <c r="E108" s="18">
        <f t="shared" si="62"/>
        <v>12</v>
      </c>
      <c r="F108" s="19">
        <f t="shared" si="63"/>
        <v>2020</v>
      </c>
      <c r="G108" s="9">
        <f t="shared" si="82"/>
        <v>17</v>
      </c>
      <c r="H108" s="8">
        <f t="shared" si="82"/>
        <v>96</v>
      </c>
      <c r="I108" s="9"/>
      <c r="J108" s="9"/>
      <c r="K108" s="9"/>
      <c r="L108" s="9"/>
      <c r="M108" s="9"/>
      <c r="N108" s="9"/>
      <c r="O108" s="12"/>
      <c r="P108" s="12"/>
      <c r="Q108" s="12"/>
      <c r="R108" s="12"/>
      <c r="S108" s="12"/>
      <c r="T108" s="12"/>
      <c r="V108" s="20">
        <f t="shared" si="51"/>
        <v>11</v>
      </c>
      <c r="W108" s="20">
        <f t="shared" si="52"/>
        <v>16</v>
      </c>
      <c r="X108" s="20">
        <f t="shared" si="53"/>
        <v>0</v>
      </c>
      <c r="Y108" s="20">
        <f t="shared" si="54"/>
        <v>4</v>
      </c>
      <c r="Z108" s="20">
        <f t="shared" si="55"/>
        <v>0</v>
      </c>
      <c r="AA108" s="20">
        <f t="shared" si="56"/>
        <v>0</v>
      </c>
      <c r="AC108" s="3">
        <f t="shared" si="66"/>
        <v>61</v>
      </c>
      <c r="AD108" s="3">
        <f t="shared" si="67"/>
        <v>57</v>
      </c>
      <c r="AE108" s="3">
        <f t="shared" si="68"/>
        <v>52</v>
      </c>
      <c r="AF108" s="3">
        <f t="shared" si="69"/>
        <v>48</v>
      </c>
      <c r="AG108" s="3">
        <f t="shared" si="70"/>
        <v>44</v>
      </c>
      <c r="AH108" s="3">
        <f t="shared" si="71"/>
        <v>40</v>
      </c>
      <c r="AI108" s="3">
        <f t="shared" si="72"/>
        <v>36</v>
      </c>
      <c r="AJ108" s="3">
        <f t="shared" si="73"/>
        <v>26</v>
      </c>
      <c r="AK108" s="3">
        <f t="shared" si="74"/>
        <v>21</v>
      </c>
      <c r="AL108" s="3">
        <f t="shared" si="75"/>
        <v>0</v>
      </c>
      <c r="AM108" s="3">
        <f t="shared" si="76"/>
        <v>95</v>
      </c>
      <c r="AN108" s="3">
        <f t="shared" si="77"/>
        <v>89</v>
      </c>
      <c r="AO108" s="3">
        <f t="shared" si="78"/>
        <v>89</v>
      </c>
      <c r="AP108" s="3">
        <f t="shared" si="79"/>
        <v>70</v>
      </c>
      <c r="AQ108" s="3">
        <f t="shared" si="80"/>
        <v>67</v>
      </c>
      <c r="AR108" s="3">
        <f t="shared" si="81"/>
        <v>64</v>
      </c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M108" s="35" t="s">
        <v>12</v>
      </c>
      <c r="BO108" s="35"/>
      <c r="BR108" s="9" t="str">
        <f t="shared" si="57"/>
        <v/>
      </c>
      <c r="BS108" s="37" t="str">
        <f t="shared" si="58"/>
        <v/>
      </c>
      <c r="BT108" s="38" t="str">
        <f t="shared" si="83"/>
        <v/>
      </c>
      <c r="BU108" s="36" t="str">
        <f t="shared" si="59"/>
        <v/>
      </c>
    </row>
    <row r="109" spans="2:73" ht="15">
      <c r="B109" s="16">
        <f t="shared" si="60"/>
        <v>43836</v>
      </c>
      <c r="C109" s="15" t="s">
        <v>1</v>
      </c>
      <c r="D109" s="17">
        <f t="shared" si="61"/>
        <v>43842</v>
      </c>
      <c r="E109" s="18">
        <f t="shared" si="62"/>
        <v>1</v>
      </c>
      <c r="F109" s="19">
        <f t="shared" si="63"/>
        <v>2020</v>
      </c>
      <c r="G109" s="9">
        <f t="shared" si="82"/>
        <v>17</v>
      </c>
      <c r="H109" s="8">
        <f t="shared" si="82"/>
        <v>96</v>
      </c>
      <c r="I109" s="9"/>
      <c r="J109" s="9"/>
      <c r="K109" s="9"/>
      <c r="L109" s="9"/>
      <c r="M109" s="9"/>
      <c r="N109" s="9"/>
      <c r="O109" s="12"/>
      <c r="P109" s="12"/>
      <c r="Q109" s="12">
        <v>1</v>
      </c>
      <c r="R109" s="12"/>
      <c r="S109" s="12"/>
      <c r="T109" s="12"/>
      <c r="V109" s="20">
        <f t="shared" si="51"/>
        <v>12</v>
      </c>
      <c r="W109" s="20">
        <f t="shared" si="52"/>
        <v>17</v>
      </c>
      <c r="X109" s="20">
        <f t="shared" si="53"/>
        <v>43838</v>
      </c>
      <c r="Y109" s="20">
        <f t="shared" si="54"/>
        <v>5</v>
      </c>
      <c r="Z109" s="20">
        <f t="shared" si="55"/>
        <v>0</v>
      </c>
      <c r="AA109" s="20">
        <f t="shared" si="56"/>
        <v>0</v>
      </c>
      <c r="AC109" s="3">
        <f t="shared" si="66"/>
        <v>62</v>
      </c>
      <c r="AD109" s="3">
        <f t="shared" si="67"/>
        <v>58</v>
      </c>
      <c r="AE109" s="3">
        <f t="shared" si="68"/>
        <v>53</v>
      </c>
      <c r="AF109" s="3">
        <f t="shared" si="69"/>
        <v>49</v>
      </c>
      <c r="AG109" s="3">
        <f t="shared" si="70"/>
        <v>45</v>
      </c>
      <c r="AH109" s="3">
        <f t="shared" si="71"/>
        <v>41</v>
      </c>
      <c r="AI109" s="3">
        <f t="shared" si="72"/>
        <v>37</v>
      </c>
      <c r="AJ109" s="3">
        <f t="shared" si="73"/>
        <v>27</v>
      </c>
      <c r="AK109" s="3">
        <f t="shared" si="74"/>
        <v>22</v>
      </c>
      <c r="AL109" s="3">
        <f t="shared" si="75"/>
        <v>17</v>
      </c>
      <c r="AM109" s="3">
        <f t="shared" si="76"/>
        <v>96</v>
      </c>
      <c r="AN109" s="3">
        <f t="shared" si="77"/>
        <v>90</v>
      </c>
      <c r="AO109" s="3">
        <f t="shared" si="78"/>
        <v>90</v>
      </c>
      <c r="AP109" s="3">
        <f t="shared" si="79"/>
        <v>71</v>
      </c>
      <c r="AQ109" s="3">
        <f t="shared" si="80"/>
        <v>68</v>
      </c>
      <c r="AR109" s="3">
        <f t="shared" si="81"/>
        <v>65</v>
      </c>
      <c r="AS109" s="8"/>
      <c r="AT109" s="8"/>
      <c r="AU109" s="8"/>
      <c r="AV109" s="8"/>
      <c r="AW109" s="8"/>
      <c r="AX109" s="8"/>
      <c r="AY109" s="8"/>
      <c r="AZ109" s="8"/>
      <c r="BA109" s="8"/>
      <c r="BB109" s="8">
        <v>2</v>
      </c>
      <c r="BC109" s="8"/>
      <c r="BD109" s="8"/>
      <c r="BE109" s="8"/>
      <c r="BF109" s="8"/>
      <c r="BG109" s="8"/>
      <c r="BH109" s="8"/>
      <c r="BL109">
        <v>15</v>
      </c>
      <c r="BM109" s="35">
        <v>43836</v>
      </c>
      <c r="BO109" s="35">
        <f>B126</f>
        <v>43955</v>
      </c>
      <c r="BP109">
        <v>98</v>
      </c>
      <c r="BR109" s="9">
        <f t="shared" si="57"/>
        <v>3</v>
      </c>
      <c r="BS109" s="37">
        <f t="shared" si="58"/>
        <v>43838</v>
      </c>
      <c r="BT109" s="38">
        <f t="shared" si="83"/>
        <v>43957</v>
      </c>
      <c r="BU109" s="36">
        <f t="shared" si="59"/>
        <v>15</v>
      </c>
    </row>
    <row r="110" spans="2:73" ht="15">
      <c r="B110" s="16">
        <f t="shared" si="60"/>
        <v>43843</v>
      </c>
      <c r="C110" s="15" t="s">
        <v>1</v>
      </c>
      <c r="D110" s="17">
        <f t="shared" si="61"/>
        <v>43849</v>
      </c>
      <c r="E110" s="18">
        <f t="shared" si="62"/>
        <v>1</v>
      </c>
      <c r="F110" s="19">
        <f t="shared" si="63"/>
        <v>2020</v>
      </c>
      <c r="G110" s="9">
        <f t="shared" si="82"/>
        <v>17</v>
      </c>
      <c r="H110" s="8">
        <f t="shared" si="82"/>
        <v>96</v>
      </c>
      <c r="I110" s="9"/>
      <c r="J110" s="9"/>
      <c r="K110" s="9"/>
      <c r="L110" s="9"/>
      <c r="M110" s="9"/>
      <c r="N110" s="9"/>
      <c r="O110" s="12"/>
      <c r="P110" s="12"/>
      <c r="Q110" s="12"/>
      <c r="R110" s="12"/>
      <c r="S110" s="12"/>
      <c r="T110" s="12"/>
      <c r="V110" s="20">
        <f t="shared" si="51"/>
        <v>13</v>
      </c>
      <c r="W110" s="20">
        <f t="shared" si="52"/>
        <v>0</v>
      </c>
      <c r="X110" s="20">
        <f t="shared" si="53"/>
        <v>1</v>
      </c>
      <c r="Y110" s="20">
        <f t="shared" si="54"/>
        <v>6</v>
      </c>
      <c r="Z110" s="20">
        <f t="shared" si="55"/>
        <v>0</v>
      </c>
      <c r="AA110" s="20">
        <f t="shared" si="56"/>
        <v>0</v>
      </c>
      <c r="AC110" s="3">
        <f t="shared" si="66"/>
        <v>63</v>
      </c>
      <c r="AD110" s="3">
        <f t="shared" si="67"/>
        <v>59</v>
      </c>
      <c r="AE110" s="3">
        <f t="shared" si="68"/>
        <v>54</v>
      </c>
      <c r="AF110" s="3">
        <f t="shared" si="69"/>
        <v>50</v>
      </c>
      <c r="AG110" s="3">
        <f t="shared" si="70"/>
        <v>46</v>
      </c>
      <c r="AH110" s="3">
        <f t="shared" si="71"/>
        <v>42</v>
      </c>
      <c r="AI110" s="3">
        <f t="shared" si="72"/>
        <v>38</v>
      </c>
      <c r="AJ110" s="3">
        <f t="shared" si="73"/>
        <v>28</v>
      </c>
      <c r="AK110" s="3">
        <f t="shared" si="74"/>
        <v>23</v>
      </c>
      <c r="AL110" s="3">
        <f t="shared" si="75"/>
        <v>18</v>
      </c>
      <c r="AM110" s="3">
        <f t="shared" si="76"/>
        <v>0</v>
      </c>
      <c r="AN110" s="3">
        <f t="shared" si="77"/>
        <v>91</v>
      </c>
      <c r="AO110" s="3">
        <f t="shared" si="78"/>
        <v>91</v>
      </c>
      <c r="AP110" s="3">
        <f t="shared" si="79"/>
        <v>72</v>
      </c>
      <c r="AQ110" s="3">
        <f t="shared" si="80"/>
        <v>69</v>
      </c>
      <c r="AR110" s="3">
        <f t="shared" si="81"/>
        <v>66</v>
      </c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M110" s="35" t="s">
        <v>12</v>
      </c>
      <c r="BO110" s="35"/>
      <c r="BR110" s="9" t="str">
        <f t="shared" si="57"/>
        <v/>
      </c>
      <c r="BS110" s="37" t="str">
        <f t="shared" si="58"/>
        <v/>
      </c>
      <c r="BT110" s="38" t="str">
        <f t="shared" si="83"/>
        <v/>
      </c>
      <c r="BU110" s="36" t="str">
        <f t="shared" si="59"/>
        <v/>
      </c>
    </row>
    <row r="111" spans="2:73" ht="15">
      <c r="B111" s="16">
        <f t="shared" si="60"/>
        <v>43850</v>
      </c>
      <c r="C111" s="15" t="s">
        <v>1</v>
      </c>
      <c r="D111" s="17">
        <f t="shared" si="61"/>
        <v>43856</v>
      </c>
      <c r="E111" s="18">
        <f t="shared" si="62"/>
        <v>1</v>
      </c>
      <c r="F111" s="19">
        <f t="shared" si="63"/>
        <v>2020</v>
      </c>
      <c r="G111" s="9">
        <f t="shared" si="82"/>
        <v>17</v>
      </c>
      <c r="H111" s="8">
        <f t="shared" si="82"/>
        <v>96</v>
      </c>
      <c r="I111" s="9"/>
      <c r="J111" s="9"/>
      <c r="K111" s="9"/>
      <c r="L111" s="9"/>
      <c r="M111" s="9"/>
      <c r="N111" s="9"/>
      <c r="O111" s="12"/>
      <c r="P111" s="12"/>
      <c r="Q111" s="12"/>
      <c r="R111" s="12"/>
      <c r="S111" s="12"/>
      <c r="T111" s="12"/>
      <c r="V111" s="20">
        <f t="shared" si="51"/>
        <v>14</v>
      </c>
      <c r="W111" s="20">
        <f t="shared" si="52"/>
        <v>0</v>
      </c>
      <c r="X111" s="20">
        <f t="shared" si="53"/>
        <v>2</v>
      </c>
      <c r="Y111" s="20">
        <f t="shared" si="54"/>
        <v>7</v>
      </c>
      <c r="Z111" s="20">
        <f t="shared" si="55"/>
        <v>0</v>
      </c>
      <c r="AA111" s="20">
        <f t="shared" si="56"/>
        <v>0</v>
      </c>
      <c r="AC111" s="3">
        <f t="shared" si="66"/>
        <v>64</v>
      </c>
      <c r="AD111" s="3">
        <f t="shared" si="67"/>
        <v>60</v>
      </c>
      <c r="AE111" s="3">
        <f t="shared" si="68"/>
        <v>55</v>
      </c>
      <c r="AF111" s="3">
        <f t="shared" si="69"/>
        <v>51</v>
      </c>
      <c r="AG111" s="3">
        <f t="shared" si="70"/>
        <v>47</v>
      </c>
      <c r="AH111" s="3">
        <f t="shared" si="71"/>
        <v>43</v>
      </c>
      <c r="AI111" s="3">
        <f t="shared" si="72"/>
        <v>39</v>
      </c>
      <c r="AJ111" s="3">
        <f t="shared" si="73"/>
        <v>29</v>
      </c>
      <c r="AK111" s="3">
        <f t="shared" si="74"/>
        <v>24</v>
      </c>
      <c r="AL111" s="3">
        <f t="shared" si="75"/>
        <v>19</v>
      </c>
      <c r="AM111" s="3">
        <f t="shared" si="76"/>
        <v>0</v>
      </c>
      <c r="AN111" s="3">
        <f t="shared" si="77"/>
        <v>92</v>
      </c>
      <c r="AO111" s="3">
        <f t="shared" si="78"/>
        <v>92</v>
      </c>
      <c r="AP111" s="3">
        <f t="shared" si="79"/>
        <v>73</v>
      </c>
      <c r="AQ111" s="3">
        <f t="shared" si="80"/>
        <v>70</v>
      </c>
      <c r="AR111" s="3">
        <f t="shared" si="81"/>
        <v>67</v>
      </c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M111" s="35" t="s">
        <v>12</v>
      </c>
      <c r="BO111" s="35"/>
      <c r="BR111" s="9" t="str">
        <f t="shared" si="57"/>
        <v/>
      </c>
      <c r="BS111" s="37" t="str">
        <f t="shared" si="58"/>
        <v/>
      </c>
      <c r="BT111" s="38" t="str">
        <f t="shared" si="83"/>
        <v/>
      </c>
      <c r="BU111" s="36" t="str">
        <f t="shared" si="59"/>
        <v/>
      </c>
    </row>
    <row r="112" spans="2:73" ht="15">
      <c r="B112" s="16">
        <f t="shared" si="60"/>
        <v>43857</v>
      </c>
      <c r="C112" s="15" t="s">
        <v>1</v>
      </c>
      <c r="D112" s="17">
        <f t="shared" si="61"/>
        <v>43863</v>
      </c>
      <c r="E112" s="18">
        <f t="shared" si="62"/>
        <v>1</v>
      </c>
      <c r="F112" s="19">
        <f t="shared" si="63"/>
        <v>2020</v>
      </c>
      <c r="G112" s="9">
        <f t="shared" si="82"/>
        <v>17</v>
      </c>
      <c r="H112" s="8">
        <f t="shared" si="82"/>
        <v>96</v>
      </c>
      <c r="I112" s="9"/>
      <c r="J112" s="9"/>
      <c r="K112" s="9"/>
      <c r="L112" s="9"/>
      <c r="M112" s="9"/>
      <c r="N112" s="9"/>
      <c r="O112" s="12"/>
      <c r="P112" s="12"/>
      <c r="Q112" s="12"/>
      <c r="R112" s="12"/>
      <c r="S112" s="12"/>
      <c r="T112" s="12"/>
      <c r="V112" s="20">
        <f t="shared" si="51"/>
        <v>15</v>
      </c>
      <c r="W112" s="20">
        <f t="shared" si="52"/>
        <v>0</v>
      </c>
      <c r="X112" s="20">
        <f t="shared" si="53"/>
        <v>3</v>
      </c>
      <c r="Y112" s="20">
        <f t="shared" si="54"/>
        <v>8</v>
      </c>
      <c r="Z112" s="20">
        <f t="shared" si="55"/>
        <v>0</v>
      </c>
      <c r="AA112" s="20">
        <f t="shared" si="56"/>
        <v>0</v>
      </c>
      <c r="AC112" s="3">
        <f t="shared" si="66"/>
        <v>65</v>
      </c>
      <c r="AD112" s="3">
        <f t="shared" si="67"/>
        <v>61</v>
      </c>
      <c r="AE112" s="3">
        <f t="shared" si="68"/>
        <v>56</v>
      </c>
      <c r="AF112" s="3">
        <f t="shared" si="69"/>
        <v>52</v>
      </c>
      <c r="AG112" s="3">
        <f t="shared" si="70"/>
        <v>48</v>
      </c>
      <c r="AH112" s="3">
        <f t="shared" si="71"/>
        <v>44</v>
      </c>
      <c r="AI112" s="3">
        <f t="shared" si="72"/>
        <v>40</v>
      </c>
      <c r="AJ112" s="3">
        <f t="shared" si="73"/>
        <v>30</v>
      </c>
      <c r="AK112" s="3">
        <f t="shared" si="74"/>
        <v>25</v>
      </c>
      <c r="AL112" s="3">
        <f t="shared" si="75"/>
        <v>20</v>
      </c>
      <c r="AM112" s="3">
        <f t="shared" si="76"/>
        <v>0</v>
      </c>
      <c r="AN112" s="3">
        <f t="shared" si="77"/>
        <v>93</v>
      </c>
      <c r="AO112" s="3">
        <f t="shared" si="78"/>
        <v>93</v>
      </c>
      <c r="AP112" s="3">
        <f t="shared" si="79"/>
        <v>74</v>
      </c>
      <c r="AQ112" s="3">
        <f t="shared" si="80"/>
        <v>71</v>
      </c>
      <c r="AR112" s="3">
        <f t="shared" si="81"/>
        <v>68</v>
      </c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M112" s="35" t="s">
        <v>12</v>
      </c>
      <c r="BO112" s="35"/>
      <c r="BR112" s="9" t="str">
        <f t="shared" si="57"/>
        <v/>
      </c>
      <c r="BS112" s="37" t="str">
        <f t="shared" si="58"/>
        <v/>
      </c>
      <c r="BT112" s="38" t="str">
        <f t="shared" si="83"/>
        <v/>
      </c>
      <c r="BU112" s="36" t="str">
        <f t="shared" si="59"/>
        <v/>
      </c>
    </row>
    <row r="113" spans="2:73" ht="15">
      <c r="B113" s="16">
        <f t="shared" si="60"/>
        <v>43864</v>
      </c>
      <c r="C113" s="15" t="s">
        <v>1</v>
      </c>
      <c r="D113" s="17">
        <f t="shared" si="61"/>
        <v>43870</v>
      </c>
      <c r="E113" s="18">
        <f t="shared" si="62"/>
        <v>2</v>
      </c>
      <c r="F113" s="19">
        <f t="shared" si="63"/>
        <v>2020</v>
      </c>
      <c r="G113" s="9">
        <f t="shared" si="82"/>
        <v>17</v>
      </c>
      <c r="H113" s="8">
        <f t="shared" si="82"/>
        <v>96</v>
      </c>
      <c r="I113" s="9"/>
      <c r="J113" s="9"/>
      <c r="K113" s="9"/>
      <c r="L113" s="9"/>
      <c r="M113" s="9"/>
      <c r="N113" s="9"/>
      <c r="O113" s="12"/>
      <c r="P113" s="12"/>
      <c r="Q113" s="12"/>
      <c r="R113" s="12"/>
      <c r="S113" s="12"/>
      <c r="T113" s="12"/>
      <c r="V113" s="20">
        <f t="shared" si="51"/>
        <v>16</v>
      </c>
      <c r="W113" s="20">
        <f t="shared" si="52"/>
        <v>0</v>
      </c>
      <c r="X113" s="20">
        <f t="shared" si="53"/>
        <v>4</v>
      </c>
      <c r="Y113" s="20">
        <f t="shared" si="54"/>
        <v>9</v>
      </c>
      <c r="Z113" s="20">
        <f t="shared" si="55"/>
        <v>0</v>
      </c>
      <c r="AA113" s="20">
        <f t="shared" si="56"/>
        <v>0</v>
      </c>
      <c r="AC113" s="3">
        <f t="shared" si="66"/>
        <v>66</v>
      </c>
      <c r="AD113" s="3">
        <f t="shared" si="67"/>
        <v>62</v>
      </c>
      <c r="AE113" s="3">
        <f t="shared" si="68"/>
        <v>57</v>
      </c>
      <c r="AF113" s="3">
        <f t="shared" si="69"/>
        <v>53</v>
      </c>
      <c r="AG113" s="3">
        <f t="shared" si="70"/>
        <v>49</v>
      </c>
      <c r="AH113" s="3">
        <f t="shared" si="71"/>
        <v>45</v>
      </c>
      <c r="AI113" s="3">
        <f t="shared" si="72"/>
        <v>41</v>
      </c>
      <c r="AJ113" s="3">
        <f t="shared" si="73"/>
        <v>31</v>
      </c>
      <c r="AK113" s="3">
        <f t="shared" si="74"/>
        <v>26</v>
      </c>
      <c r="AL113" s="3">
        <f t="shared" si="75"/>
        <v>21</v>
      </c>
      <c r="AM113" s="3">
        <f t="shared" si="76"/>
        <v>0</v>
      </c>
      <c r="AN113" s="3">
        <f t="shared" si="77"/>
        <v>94</v>
      </c>
      <c r="AO113" s="3">
        <f t="shared" si="78"/>
        <v>94</v>
      </c>
      <c r="AP113" s="3">
        <f t="shared" si="79"/>
        <v>75</v>
      </c>
      <c r="AQ113" s="3">
        <f t="shared" si="80"/>
        <v>72</v>
      </c>
      <c r="AR113" s="3">
        <f t="shared" si="81"/>
        <v>69</v>
      </c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M113" s="35" t="s">
        <v>12</v>
      </c>
      <c r="BO113" s="35"/>
      <c r="BR113" s="9" t="str">
        <f t="shared" si="57"/>
        <v/>
      </c>
      <c r="BS113" s="37" t="str">
        <f t="shared" si="58"/>
        <v/>
      </c>
      <c r="BT113" s="38" t="str">
        <f t="shared" si="83"/>
        <v/>
      </c>
      <c r="BU113" s="36" t="str">
        <f t="shared" si="59"/>
        <v/>
      </c>
    </row>
    <row r="114" spans="2:73" ht="15">
      <c r="B114" s="16">
        <f t="shared" si="60"/>
        <v>43871</v>
      </c>
      <c r="C114" s="15" t="s">
        <v>1</v>
      </c>
      <c r="D114" s="17">
        <f t="shared" si="61"/>
        <v>43877</v>
      </c>
      <c r="E114" s="18">
        <f t="shared" si="62"/>
        <v>2</v>
      </c>
      <c r="F114" s="19">
        <f t="shared" si="63"/>
        <v>2020</v>
      </c>
      <c r="G114" s="9">
        <f t="shared" si="82"/>
        <v>17</v>
      </c>
      <c r="H114" s="8">
        <f t="shared" si="82"/>
        <v>96</v>
      </c>
      <c r="I114" s="9"/>
      <c r="J114" s="9"/>
      <c r="K114" s="9"/>
      <c r="L114" s="9"/>
      <c r="M114" s="9"/>
      <c r="N114" s="9"/>
      <c r="O114" s="12"/>
      <c r="P114" s="12">
        <v>1</v>
      </c>
      <c r="Q114" s="12"/>
      <c r="R114" s="12"/>
      <c r="S114" s="12"/>
      <c r="T114" s="12"/>
      <c r="V114" s="20">
        <f t="shared" si="51"/>
        <v>17</v>
      </c>
      <c r="W114" s="20">
        <f t="shared" si="52"/>
        <v>43873</v>
      </c>
      <c r="X114" s="20">
        <f t="shared" si="53"/>
        <v>5</v>
      </c>
      <c r="Y114" s="20">
        <f t="shared" si="54"/>
        <v>10</v>
      </c>
      <c r="Z114" s="20">
        <f t="shared" si="55"/>
        <v>0</v>
      </c>
      <c r="AA114" s="20">
        <f t="shared" si="56"/>
        <v>0</v>
      </c>
      <c r="AC114" s="3">
        <f t="shared" si="66"/>
        <v>67</v>
      </c>
      <c r="AD114" s="3">
        <f t="shared" si="67"/>
        <v>63</v>
      </c>
      <c r="AE114" s="3">
        <f t="shared" si="68"/>
        <v>58</v>
      </c>
      <c r="AF114" s="3">
        <f t="shared" si="69"/>
        <v>54</v>
      </c>
      <c r="AG114" s="3">
        <f t="shared" si="70"/>
        <v>50</v>
      </c>
      <c r="AH114" s="3">
        <f t="shared" si="71"/>
        <v>46</v>
      </c>
      <c r="AI114" s="3">
        <f t="shared" si="72"/>
        <v>42</v>
      </c>
      <c r="AJ114" s="3">
        <f t="shared" si="73"/>
        <v>32</v>
      </c>
      <c r="AK114" s="3">
        <f t="shared" si="74"/>
        <v>27</v>
      </c>
      <c r="AL114" s="3">
        <f t="shared" si="75"/>
        <v>22</v>
      </c>
      <c r="AM114" s="3">
        <f t="shared" si="76"/>
        <v>17</v>
      </c>
      <c r="AN114" s="3">
        <f t="shared" si="77"/>
        <v>95</v>
      </c>
      <c r="AO114" s="3">
        <f t="shared" si="78"/>
        <v>95</v>
      </c>
      <c r="AP114" s="3">
        <f t="shared" si="79"/>
        <v>76</v>
      </c>
      <c r="AQ114" s="3">
        <f t="shared" si="80"/>
        <v>73</v>
      </c>
      <c r="AR114" s="3">
        <f t="shared" si="81"/>
        <v>70</v>
      </c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>
        <v>1</v>
      </c>
      <c r="BD114" s="8"/>
      <c r="BE114" s="8"/>
      <c r="BF114" s="8"/>
      <c r="BG114" s="8"/>
      <c r="BH114" s="8"/>
      <c r="BM114" s="35" t="s">
        <v>12</v>
      </c>
      <c r="BO114" s="35"/>
      <c r="BR114" s="9">
        <f t="shared" si="57"/>
        <v>2</v>
      </c>
      <c r="BS114" s="37">
        <f t="shared" si="58"/>
        <v>43873</v>
      </c>
      <c r="BT114" s="38">
        <f t="shared" si="83"/>
        <v>43992</v>
      </c>
      <c r="BU114" s="36">
        <f t="shared" si="59"/>
        <v>7</v>
      </c>
    </row>
    <row r="115" spans="2:73" ht="15">
      <c r="B115" s="16">
        <f t="shared" si="60"/>
        <v>43878</v>
      </c>
      <c r="C115" s="15" t="s">
        <v>1</v>
      </c>
      <c r="D115" s="17">
        <f t="shared" si="61"/>
        <v>43884</v>
      </c>
      <c r="E115" s="18">
        <f t="shared" si="62"/>
        <v>2</v>
      </c>
      <c r="F115" s="19">
        <f t="shared" si="63"/>
        <v>2020</v>
      </c>
      <c r="G115" s="9">
        <f t="shared" si="82"/>
        <v>17</v>
      </c>
      <c r="H115" s="8">
        <f t="shared" si="82"/>
        <v>96</v>
      </c>
      <c r="I115" s="9"/>
      <c r="J115" s="9"/>
      <c r="K115" s="9"/>
      <c r="L115" s="9"/>
      <c r="M115" s="9"/>
      <c r="N115" s="9"/>
      <c r="O115" s="12"/>
      <c r="P115" s="12"/>
      <c r="Q115" s="12"/>
      <c r="R115" s="12"/>
      <c r="S115" s="12"/>
      <c r="T115" s="12"/>
      <c r="V115" s="20">
        <f t="shared" si="51"/>
        <v>0</v>
      </c>
      <c r="W115" s="20">
        <f t="shared" si="52"/>
        <v>1</v>
      </c>
      <c r="X115" s="20">
        <f t="shared" si="53"/>
        <v>6</v>
      </c>
      <c r="Y115" s="20">
        <f t="shared" si="54"/>
        <v>11</v>
      </c>
      <c r="Z115" s="20">
        <f t="shared" si="55"/>
        <v>0</v>
      </c>
      <c r="AA115" s="20">
        <f t="shared" si="56"/>
        <v>0</v>
      </c>
      <c r="AC115" s="3">
        <f t="shared" si="66"/>
        <v>68</v>
      </c>
      <c r="AD115" s="3">
        <f t="shared" si="67"/>
        <v>64</v>
      </c>
      <c r="AE115" s="3">
        <f t="shared" si="68"/>
        <v>59</v>
      </c>
      <c r="AF115" s="3">
        <f t="shared" si="69"/>
        <v>55</v>
      </c>
      <c r="AG115" s="3">
        <f t="shared" si="70"/>
        <v>51</v>
      </c>
      <c r="AH115" s="3">
        <f t="shared" si="71"/>
        <v>47</v>
      </c>
      <c r="AI115" s="3">
        <f t="shared" si="72"/>
        <v>43</v>
      </c>
      <c r="AJ115" s="3">
        <f t="shared" si="73"/>
        <v>33</v>
      </c>
      <c r="AK115" s="3">
        <f t="shared" si="74"/>
        <v>28</v>
      </c>
      <c r="AL115" s="3">
        <f t="shared" si="75"/>
        <v>23</v>
      </c>
      <c r="AM115" s="3">
        <f t="shared" si="76"/>
        <v>18</v>
      </c>
      <c r="AN115" s="3">
        <f t="shared" si="77"/>
        <v>96</v>
      </c>
      <c r="AO115" s="3">
        <f t="shared" si="78"/>
        <v>96</v>
      </c>
      <c r="AP115" s="3">
        <f t="shared" si="79"/>
        <v>77</v>
      </c>
      <c r="AQ115" s="3">
        <f t="shared" si="80"/>
        <v>74</v>
      </c>
      <c r="AR115" s="3">
        <f t="shared" si="81"/>
        <v>71</v>
      </c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M115" s="35" t="s">
        <v>12</v>
      </c>
      <c r="BO115" s="35"/>
      <c r="BR115" s="9" t="str">
        <f t="shared" si="57"/>
        <v/>
      </c>
      <c r="BS115" s="37" t="str">
        <f t="shared" si="58"/>
        <v/>
      </c>
      <c r="BT115" s="38" t="str">
        <f t="shared" si="83"/>
        <v/>
      </c>
      <c r="BU115" s="36" t="str">
        <f t="shared" si="59"/>
        <v/>
      </c>
    </row>
    <row r="116" spans="2:73" ht="15">
      <c r="B116" s="16">
        <f t="shared" si="60"/>
        <v>43885</v>
      </c>
      <c r="C116" s="15" t="s">
        <v>1</v>
      </c>
      <c r="D116" s="17">
        <f t="shared" si="61"/>
        <v>43891</v>
      </c>
      <c r="E116" s="18">
        <f t="shared" si="62"/>
        <v>2</v>
      </c>
      <c r="F116" s="19">
        <f t="shared" si="63"/>
        <v>2020</v>
      </c>
      <c r="G116" s="9">
        <f t="shared" si="82"/>
        <v>17</v>
      </c>
      <c r="H116" s="8">
        <f t="shared" si="82"/>
        <v>96</v>
      </c>
      <c r="I116" s="9"/>
      <c r="J116" s="9"/>
      <c r="K116" s="9"/>
      <c r="L116" s="9"/>
      <c r="M116" s="9"/>
      <c r="N116" s="9"/>
      <c r="O116" s="12"/>
      <c r="P116" s="12"/>
      <c r="Q116" s="12"/>
      <c r="R116" s="12"/>
      <c r="S116" s="12"/>
      <c r="T116" s="12"/>
      <c r="V116" s="20">
        <f t="shared" si="51"/>
        <v>0</v>
      </c>
      <c r="W116" s="20">
        <f t="shared" si="52"/>
        <v>2</v>
      </c>
      <c r="X116" s="20">
        <f t="shared" si="53"/>
        <v>7</v>
      </c>
      <c r="Y116" s="20">
        <f t="shared" si="54"/>
        <v>12</v>
      </c>
      <c r="Z116" s="20">
        <f t="shared" si="55"/>
        <v>0</v>
      </c>
      <c r="AA116" s="20">
        <f t="shared" si="56"/>
        <v>0</v>
      </c>
      <c r="AC116" s="3">
        <f t="shared" si="66"/>
        <v>69</v>
      </c>
      <c r="AD116" s="3">
        <f t="shared" si="67"/>
        <v>65</v>
      </c>
      <c r="AE116" s="3">
        <f t="shared" si="68"/>
        <v>60</v>
      </c>
      <c r="AF116" s="3">
        <f t="shared" si="69"/>
        <v>56</v>
      </c>
      <c r="AG116" s="3">
        <f t="shared" si="70"/>
        <v>52</v>
      </c>
      <c r="AH116" s="3">
        <f t="shared" si="71"/>
        <v>48</v>
      </c>
      <c r="AI116" s="3">
        <f t="shared" si="72"/>
        <v>44</v>
      </c>
      <c r="AJ116" s="3">
        <f t="shared" si="73"/>
        <v>34</v>
      </c>
      <c r="AK116" s="3">
        <f t="shared" si="74"/>
        <v>29</v>
      </c>
      <c r="AL116" s="3">
        <f t="shared" si="75"/>
        <v>24</v>
      </c>
      <c r="AM116" s="3">
        <f t="shared" si="76"/>
        <v>19</v>
      </c>
      <c r="AN116" s="3">
        <f t="shared" si="77"/>
        <v>0</v>
      </c>
      <c r="AO116" s="3">
        <f t="shared" si="78"/>
        <v>0</v>
      </c>
      <c r="AP116" s="3">
        <f t="shared" si="79"/>
        <v>78</v>
      </c>
      <c r="AQ116" s="3">
        <f t="shared" si="80"/>
        <v>75</v>
      </c>
      <c r="AR116" s="3">
        <f t="shared" si="81"/>
        <v>72</v>
      </c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M116" s="35" t="s">
        <v>12</v>
      </c>
      <c r="BO116" s="35"/>
      <c r="BR116" s="9" t="str">
        <f t="shared" si="57"/>
        <v/>
      </c>
      <c r="BS116" s="37" t="str">
        <f t="shared" si="58"/>
        <v/>
      </c>
      <c r="BT116" s="38" t="str">
        <f t="shared" si="83"/>
        <v/>
      </c>
      <c r="BU116" s="36" t="str">
        <f t="shared" si="59"/>
        <v/>
      </c>
    </row>
    <row r="117" spans="2:73" ht="15">
      <c r="B117" s="16">
        <f t="shared" si="60"/>
        <v>43892</v>
      </c>
      <c r="C117" s="15" t="s">
        <v>1</v>
      </c>
      <c r="D117" s="17">
        <f t="shared" si="61"/>
        <v>43898</v>
      </c>
      <c r="E117" s="18">
        <f t="shared" si="62"/>
        <v>3</v>
      </c>
      <c r="F117" s="19">
        <f t="shared" si="63"/>
        <v>2020</v>
      </c>
      <c r="G117" s="9">
        <f t="shared" si="82"/>
        <v>17</v>
      </c>
      <c r="H117" s="8">
        <f t="shared" si="82"/>
        <v>96</v>
      </c>
      <c r="I117" s="9"/>
      <c r="J117" s="9"/>
      <c r="K117" s="9"/>
      <c r="L117" s="9"/>
      <c r="M117" s="9"/>
      <c r="N117" s="9"/>
      <c r="O117" s="12"/>
      <c r="P117" s="12"/>
      <c r="Q117" s="12"/>
      <c r="R117" s="12"/>
      <c r="S117" s="12"/>
      <c r="T117" s="12"/>
      <c r="V117" s="20">
        <f t="shared" si="51"/>
        <v>0</v>
      </c>
      <c r="W117" s="20">
        <f t="shared" si="52"/>
        <v>3</v>
      </c>
      <c r="X117" s="20">
        <f t="shared" si="53"/>
        <v>8</v>
      </c>
      <c r="Y117" s="20">
        <f t="shared" si="54"/>
        <v>13</v>
      </c>
      <c r="Z117" s="20">
        <f t="shared" si="55"/>
        <v>0</v>
      </c>
      <c r="AA117" s="20">
        <f t="shared" si="56"/>
        <v>0</v>
      </c>
      <c r="AC117" s="3">
        <f t="shared" si="66"/>
        <v>70</v>
      </c>
      <c r="AD117" s="3">
        <f t="shared" si="67"/>
        <v>66</v>
      </c>
      <c r="AE117" s="3">
        <f t="shared" si="68"/>
        <v>61</v>
      </c>
      <c r="AF117" s="3">
        <f t="shared" si="69"/>
        <v>57</v>
      </c>
      <c r="AG117" s="3">
        <f t="shared" si="70"/>
        <v>53</v>
      </c>
      <c r="AH117" s="3">
        <f t="shared" si="71"/>
        <v>49</v>
      </c>
      <c r="AI117" s="3">
        <f t="shared" si="72"/>
        <v>45</v>
      </c>
      <c r="AJ117" s="3">
        <f t="shared" si="73"/>
        <v>35</v>
      </c>
      <c r="AK117" s="3">
        <f t="shared" si="74"/>
        <v>30</v>
      </c>
      <c r="AL117" s="3">
        <f t="shared" si="75"/>
        <v>25</v>
      </c>
      <c r="AM117" s="3">
        <f t="shared" si="76"/>
        <v>20</v>
      </c>
      <c r="AN117" s="3">
        <f t="shared" si="77"/>
        <v>0</v>
      </c>
      <c r="AO117" s="3">
        <f t="shared" si="78"/>
        <v>0</v>
      </c>
      <c r="AP117" s="3">
        <f t="shared" si="79"/>
        <v>79</v>
      </c>
      <c r="AQ117" s="3">
        <f t="shared" si="80"/>
        <v>76</v>
      </c>
      <c r="AR117" s="3">
        <f t="shared" si="81"/>
        <v>73</v>
      </c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L117">
        <v>7</v>
      </c>
      <c r="BM117" s="35">
        <v>43892</v>
      </c>
      <c r="BO117" s="35">
        <f>B134</f>
        <v>44011</v>
      </c>
      <c r="BP117">
        <v>95</v>
      </c>
      <c r="BR117" s="9" t="str">
        <f t="shared" si="57"/>
        <v/>
      </c>
      <c r="BS117" s="37" t="str">
        <f t="shared" si="58"/>
        <v/>
      </c>
      <c r="BT117" s="38" t="str">
        <f t="shared" si="83"/>
        <v/>
      </c>
      <c r="BU117" s="36" t="str">
        <f t="shared" si="59"/>
        <v/>
      </c>
    </row>
    <row r="118" spans="2:73" ht="15">
      <c r="B118" s="16">
        <f t="shared" si="60"/>
        <v>43899</v>
      </c>
      <c r="C118" s="15" t="s">
        <v>1</v>
      </c>
      <c r="D118" s="17">
        <f t="shared" si="61"/>
        <v>43905</v>
      </c>
      <c r="E118" s="18">
        <f t="shared" si="62"/>
        <v>3</v>
      </c>
      <c r="F118" s="19">
        <f t="shared" si="63"/>
        <v>2020</v>
      </c>
      <c r="G118" s="9">
        <f t="shared" ref="G118:H133" si="84">G117</f>
        <v>17</v>
      </c>
      <c r="H118" s="8">
        <f t="shared" si="84"/>
        <v>96</v>
      </c>
      <c r="I118" s="9"/>
      <c r="J118" s="9"/>
      <c r="K118" s="9"/>
      <c r="L118" s="9"/>
      <c r="M118" s="9"/>
      <c r="N118" s="9"/>
      <c r="O118" s="12"/>
      <c r="P118" s="12"/>
      <c r="Q118" s="12"/>
      <c r="R118" s="12"/>
      <c r="S118" s="12"/>
      <c r="T118" s="12"/>
      <c r="V118" s="20">
        <f t="shared" si="51"/>
        <v>0</v>
      </c>
      <c r="W118" s="20">
        <f t="shared" si="52"/>
        <v>4</v>
      </c>
      <c r="X118" s="20">
        <f t="shared" si="53"/>
        <v>9</v>
      </c>
      <c r="Y118" s="20">
        <f t="shared" si="54"/>
        <v>14</v>
      </c>
      <c r="Z118" s="20">
        <f t="shared" si="55"/>
        <v>0</v>
      </c>
      <c r="AA118" s="20">
        <f t="shared" si="56"/>
        <v>0</v>
      </c>
      <c r="AC118" s="3">
        <f t="shared" si="66"/>
        <v>71</v>
      </c>
      <c r="AD118" s="3">
        <f t="shared" si="67"/>
        <v>67</v>
      </c>
      <c r="AE118" s="3">
        <f t="shared" si="68"/>
        <v>62</v>
      </c>
      <c r="AF118" s="3">
        <f t="shared" si="69"/>
        <v>58</v>
      </c>
      <c r="AG118" s="3">
        <f t="shared" si="70"/>
        <v>54</v>
      </c>
      <c r="AH118" s="3">
        <f t="shared" si="71"/>
        <v>50</v>
      </c>
      <c r="AI118" s="3">
        <f t="shared" si="72"/>
        <v>46</v>
      </c>
      <c r="AJ118" s="3">
        <f t="shared" si="73"/>
        <v>36</v>
      </c>
      <c r="AK118" s="3">
        <f t="shared" si="74"/>
        <v>31</v>
      </c>
      <c r="AL118" s="3">
        <f t="shared" si="75"/>
        <v>26</v>
      </c>
      <c r="AM118" s="3">
        <f t="shared" si="76"/>
        <v>21</v>
      </c>
      <c r="AN118" s="3">
        <f t="shared" si="77"/>
        <v>0</v>
      </c>
      <c r="AO118" s="3">
        <f t="shared" si="78"/>
        <v>0</v>
      </c>
      <c r="AP118" s="3">
        <f t="shared" si="79"/>
        <v>80</v>
      </c>
      <c r="AQ118" s="3">
        <f t="shared" si="80"/>
        <v>77</v>
      </c>
      <c r="AR118" s="3">
        <f t="shared" si="81"/>
        <v>74</v>
      </c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M118" s="35" t="s">
        <v>12</v>
      </c>
      <c r="BO118" s="35"/>
      <c r="BR118" s="9" t="str">
        <f t="shared" si="57"/>
        <v/>
      </c>
      <c r="BS118" s="37" t="str">
        <f t="shared" si="58"/>
        <v/>
      </c>
      <c r="BT118" s="38" t="str">
        <f t="shared" si="83"/>
        <v/>
      </c>
      <c r="BU118" s="36">
        <f t="shared" si="59"/>
        <v>8</v>
      </c>
    </row>
    <row r="119" spans="2:73" ht="15">
      <c r="B119" s="16">
        <f t="shared" si="60"/>
        <v>43906</v>
      </c>
      <c r="C119" s="15" t="s">
        <v>1</v>
      </c>
      <c r="D119" s="17">
        <f t="shared" si="61"/>
        <v>43912</v>
      </c>
      <c r="E119" s="18">
        <f t="shared" si="62"/>
        <v>3</v>
      </c>
      <c r="F119" s="19">
        <f t="shared" si="63"/>
        <v>2020</v>
      </c>
      <c r="G119" s="9">
        <f t="shared" si="84"/>
        <v>17</v>
      </c>
      <c r="H119" s="8">
        <f t="shared" si="84"/>
        <v>96</v>
      </c>
      <c r="I119" s="9"/>
      <c r="J119" s="9"/>
      <c r="K119" s="9"/>
      <c r="L119" s="9"/>
      <c r="M119" s="9"/>
      <c r="N119" s="9"/>
      <c r="O119" s="12">
        <v>1</v>
      </c>
      <c r="P119" s="12"/>
      <c r="Q119" s="12"/>
      <c r="R119" s="12"/>
      <c r="S119" s="12"/>
      <c r="T119" s="12"/>
      <c r="V119" s="20">
        <f t="shared" si="51"/>
        <v>43908</v>
      </c>
      <c r="W119" s="20">
        <f t="shared" si="52"/>
        <v>5</v>
      </c>
      <c r="X119" s="20">
        <f t="shared" si="53"/>
        <v>10</v>
      </c>
      <c r="Y119" s="20">
        <f t="shared" si="54"/>
        <v>15</v>
      </c>
      <c r="Z119" s="20">
        <f t="shared" si="55"/>
        <v>0</v>
      </c>
      <c r="AA119" s="20">
        <f t="shared" si="56"/>
        <v>0</v>
      </c>
      <c r="AC119" s="3">
        <f t="shared" si="66"/>
        <v>72</v>
      </c>
      <c r="AD119" s="3">
        <f t="shared" si="67"/>
        <v>68</v>
      </c>
      <c r="AE119" s="3">
        <f t="shared" si="68"/>
        <v>63</v>
      </c>
      <c r="AF119" s="3">
        <f t="shared" si="69"/>
        <v>59</v>
      </c>
      <c r="AG119" s="3">
        <f t="shared" si="70"/>
        <v>55</v>
      </c>
      <c r="AH119" s="3">
        <f t="shared" si="71"/>
        <v>51</v>
      </c>
      <c r="AI119" s="3">
        <f t="shared" si="72"/>
        <v>47</v>
      </c>
      <c r="AJ119" s="3">
        <f t="shared" si="73"/>
        <v>37</v>
      </c>
      <c r="AK119" s="3">
        <f t="shared" si="74"/>
        <v>32</v>
      </c>
      <c r="AL119" s="3">
        <f t="shared" si="75"/>
        <v>27</v>
      </c>
      <c r="AM119" s="3">
        <f t="shared" si="76"/>
        <v>22</v>
      </c>
      <c r="AN119" s="3">
        <f t="shared" si="77"/>
        <v>0</v>
      </c>
      <c r="AO119" s="3">
        <f t="shared" si="78"/>
        <v>0</v>
      </c>
      <c r="AP119" s="3">
        <f t="shared" si="79"/>
        <v>81</v>
      </c>
      <c r="AQ119" s="3">
        <f t="shared" si="80"/>
        <v>78</v>
      </c>
      <c r="AR119" s="3">
        <f t="shared" si="81"/>
        <v>75</v>
      </c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M119" s="35" t="s">
        <v>12</v>
      </c>
      <c r="BO119" s="35"/>
      <c r="BR119" s="9">
        <f t="shared" si="57"/>
        <v>1</v>
      </c>
      <c r="BS119" s="37">
        <f t="shared" si="58"/>
        <v>43908</v>
      </c>
      <c r="BT119" s="38">
        <f t="shared" si="83"/>
        <v>44027</v>
      </c>
      <c r="BU119" s="36" t="str">
        <f t="shared" si="59"/>
        <v/>
      </c>
    </row>
    <row r="120" spans="2:73" ht="15">
      <c r="B120" s="16">
        <f t="shared" si="60"/>
        <v>43913</v>
      </c>
      <c r="C120" s="15" t="s">
        <v>1</v>
      </c>
      <c r="D120" s="17">
        <f t="shared" si="61"/>
        <v>43919</v>
      </c>
      <c r="E120" s="18">
        <f t="shared" si="62"/>
        <v>3</v>
      </c>
      <c r="F120" s="19">
        <f t="shared" si="63"/>
        <v>2020</v>
      </c>
      <c r="G120" s="9">
        <f t="shared" si="84"/>
        <v>17</v>
      </c>
      <c r="H120" s="8">
        <f t="shared" si="84"/>
        <v>96</v>
      </c>
      <c r="I120" s="9"/>
      <c r="J120" s="9"/>
      <c r="K120" s="9"/>
      <c r="L120" s="9"/>
      <c r="M120" s="9"/>
      <c r="N120" s="9"/>
      <c r="O120" s="12"/>
      <c r="P120" s="12"/>
      <c r="Q120" s="12"/>
      <c r="R120" s="12"/>
      <c r="S120" s="12"/>
      <c r="T120" s="12"/>
      <c r="V120" s="20">
        <f t="shared" si="51"/>
        <v>1</v>
      </c>
      <c r="W120" s="20">
        <f t="shared" si="52"/>
        <v>6</v>
      </c>
      <c r="X120" s="20">
        <f t="shared" si="53"/>
        <v>11</v>
      </c>
      <c r="Y120" s="20">
        <f t="shared" si="54"/>
        <v>16</v>
      </c>
      <c r="Z120" s="20">
        <f t="shared" si="55"/>
        <v>0</v>
      </c>
      <c r="AA120" s="20">
        <f t="shared" si="56"/>
        <v>0</v>
      </c>
      <c r="AC120" s="3">
        <f t="shared" si="66"/>
        <v>73</v>
      </c>
      <c r="AD120" s="3">
        <f t="shared" si="67"/>
        <v>69</v>
      </c>
      <c r="AE120" s="3">
        <f t="shared" si="68"/>
        <v>64</v>
      </c>
      <c r="AF120" s="3">
        <f t="shared" si="69"/>
        <v>60</v>
      </c>
      <c r="AG120" s="3">
        <f t="shared" si="70"/>
        <v>56</v>
      </c>
      <c r="AH120" s="3">
        <f t="shared" si="71"/>
        <v>52</v>
      </c>
      <c r="AI120" s="3">
        <f t="shared" si="72"/>
        <v>48</v>
      </c>
      <c r="AJ120" s="3">
        <f t="shared" si="73"/>
        <v>38</v>
      </c>
      <c r="AK120" s="3">
        <f t="shared" si="74"/>
        <v>33</v>
      </c>
      <c r="AL120" s="3">
        <f t="shared" si="75"/>
        <v>28</v>
      </c>
      <c r="AM120" s="3">
        <f t="shared" si="76"/>
        <v>23</v>
      </c>
      <c r="AN120" s="3">
        <f t="shared" si="77"/>
        <v>0</v>
      </c>
      <c r="AO120" s="3">
        <f t="shared" si="78"/>
        <v>0</v>
      </c>
      <c r="AP120" s="3">
        <f t="shared" si="79"/>
        <v>82</v>
      </c>
      <c r="AQ120" s="3">
        <f t="shared" si="80"/>
        <v>79</v>
      </c>
      <c r="AR120" s="3">
        <f t="shared" si="81"/>
        <v>76</v>
      </c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M120" s="35" t="s">
        <v>12</v>
      </c>
      <c r="BO120" s="35"/>
      <c r="BR120" s="9" t="str">
        <f t="shared" si="57"/>
        <v/>
      </c>
      <c r="BS120" s="37" t="str">
        <f t="shared" si="58"/>
        <v/>
      </c>
      <c r="BT120" s="38" t="str">
        <f t="shared" si="83"/>
        <v/>
      </c>
      <c r="BU120" s="36" t="str">
        <f t="shared" si="59"/>
        <v/>
      </c>
    </row>
    <row r="121" spans="2:73" ht="15">
      <c r="B121" s="16">
        <f t="shared" si="60"/>
        <v>43920</v>
      </c>
      <c r="C121" s="15" t="s">
        <v>1</v>
      </c>
      <c r="D121" s="17">
        <f t="shared" si="61"/>
        <v>43926</v>
      </c>
      <c r="E121" s="18">
        <f t="shared" si="62"/>
        <v>3</v>
      </c>
      <c r="F121" s="19">
        <f t="shared" si="63"/>
        <v>2020</v>
      </c>
      <c r="G121" s="9">
        <f t="shared" si="84"/>
        <v>17</v>
      </c>
      <c r="H121" s="8">
        <f t="shared" si="84"/>
        <v>96</v>
      </c>
      <c r="I121" s="9"/>
      <c r="J121" s="9"/>
      <c r="K121" s="9"/>
      <c r="L121" s="9"/>
      <c r="M121" s="9"/>
      <c r="N121" s="9"/>
      <c r="O121" s="12"/>
      <c r="P121" s="12"/>
      <c r="Q121" s="12"/>
      <c r="R121" s="12"/>
      <c r="S121" s="12"/>
      <c r="T121" s="12"/>
      <c r="V121" s="20">
        <f t="shared" si="51"/>
        <v>2</v>
      </c>
      <c r="W121" s="20">
        <f t="shared" si="52"/>
        <v>7</v>
      </c>
      <c r="X121" s="20">
        <f t="shared" si="53"/>
        <v>12</v>
      </c>
      <c r="Y121" s="20">
        <f t="shared" si="54"/>
        <v>17</v>
      </c>
      <c r="Z121" s="20">
        <f t="shared" si="55"/>
        <v>0</v>
      </c>
      <c r="AA121" s="20">
        <f t="shared" si="56"/>
        <v>0</v>
      </c>
      <c r="AC121" s="3">
        <f t="shared" si="66"/>
        <v>74</v>
      </c>
      <c r="AD121" s="3">
        <f t="shared" si="67"/>
        <v>70</v>
      </c>
      <c r="AE121" s="3">
        <f t="shared" si="68"/>
        <v>65</v>
      </c>
      <c r="AF121" s="3">
        <f t="shared" si="69"/>
        <v>61</v>
      </c>
      <c r="AG121" s="3">
        <f t="shared" si="70"/>
        <v>57</v>
      </c>
      <c r="AH121" s="3">
        <f t="shared" si="71"/>
        <v>53</v>
      </c>
      <c r="AI121" s="3">
        <f t="shared" si="72"/>
        <v>49</v>
      </c>
      <c r="AJ121" s="3">
        <f t="shared" si="73"/>
        <v>39</v>
      </c>
      <c r="AK121" s="3">
        <f t="shared" si="74"/>
        <v>34</v>
      </c>
      <c r="AL121" s="3">
        <f t="shared" si="75"/>
        <v>29</v>
      </c>
      <c r="AM121" s="3">
        <f t="shared" si="76"/>
        <v>24</v>
      </c>
      <c r="AN121" s="3">
        <f t="shared" si="77"/>
        <v>17</v>
      </c>
      <c r="AO121" s="3">
        <f t="shared" si="78"/>
        <v>0</v>
      </c>
      <c r="AP121" s="3">
        <f t="shared" si="79"/>
        <v>83</v>
      </c>
      <c r="AQ121" s="3">
        <f t="shared" si="80"/>
        <v>80</v>
      </c>
      <c r="AR121" s="3">
        <f t="shared" si="81"/>
        <v>77</v>
      </c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>
        <v>4</v>
      </c>
      <c r="BE121" s="8"/>
      <c r="BF121" s="8"/>
      <c r="BG121" s="8"/>
      <c r="BH121" s="8"/>
      <c r="BM121" s="35" t="s">
        <v>12</v>
      </c>
      <c r="BO121" s="35"/>
      <c r="BR121" s="9" t="str">
        <f t="shared" si="57"/>
        <v/>
      </c>
      <c r="BS121" s="37" t="str">
        <f t="shared" si="58"/>
        <v/>
      </c>
      <c r="BT121" s="38" t="str">
        <f t="shared" si="83"/>
        <v/>
      </c>
      <c r="BU121" s="36" t="str">
        <f t="shared" si="59"/>
        <v/>
      </c>
    </row>
    <row r="122" spans="2:73" ht="15">
      <c r="B122" s="16">
        <f t="shared" si="60"/>
        <v>43927</v>
      </c>
      <c r="C122" s="15" t="s">
        <v>1</v>
      </c>
      <c r="D122" s="17">
        <f t="shared" si="61"/>
        <v>43933</v>
      </c>
      <c r="E122" s="18">
        <f t="shared" si="62"/>
        <v>4</v>
      </c>
      <c r="F122" s="19">
        <f t="shared" si="63"/>
        <v>2020</v>
      </c>
      <c r="G122" s="9">
        <f t="shared" si="84"/>
        <v>17</v>
      </c>
      <c r="H122" s="8">
        <f t="shared" si="84"/>
        <v>96</v>
      </c>
      <c r="I122" s="9"/>
      <c r="J122" s="9"/>
      <c r="K122" s="9"/>
      <c r="L122" s="9"/>
      <c r="M122" s="9"/>
      <c r="N122" s="9"/>
      <c r="O122" s="12"/>
      <c r="P122" s="12"/>
      <c r="Q122" s="12"/>
      <c r="R122" s="12"/>
      <c r="S122" s="12"/>
      <c r="T122" s="12"/>
      <c r="V122" s="20">
        <f t="shared" si="51"/>
        <v>3</v>
      </c>
      <c r="W122" s="20">
        <f t="shared" si="52"/>
        <v>8</v>
      </c>
      <c r="X122" s="20">
        <f t="shared" si="53"/>
        <v>13</v>
      </c>
      <c r="Y122" s="20">
        <f t="shared" si="54"/>
        <v>0</v>
      </c>
      <c r="Z122" s="20">
        <f t="shared" si="55"/>
        <v>0</v>
      </c>
      <c r="AA122" s="20">
        <f t="shared" si="56"/>
        <v>0</v>
      </c>
      <c r="AC122" s="3">
        <f t="shared" si="66"/>
        <v>75</v>
      </c>
      <c r="AD122" s="3">
        <f t="shared" si="67"/>
        <v>71</v>
      </c>
      <c r="AE122" s="3">
        <f t="shared" si="68"/>
        <v>66</v>
      </c>
      <c r="AF122" s="3">
        <f t="shared" si="69"/>
        <v>62</v>
      </c>
      <c r="AG122" s="3">
        <f t="shared" si="70"/>
        <v>58</v>
      </c>
      <c r="AH122" s="3">
        <f t="shared" si="71"/>
        <v>54</v>
      </c>
      <c r="AI122" s="3">
        <f t="shared" si="72"/>
        <v>50</v>
      </c>
      <c r="AJ122" s="3">
        <f t="shared" si="73"/>
        <v>40</v>
      </c>
      <c r="AK122" s="3">
        <f t="shared" si="74"/>
        <v>35</v>
      </c>
      <c r="AL122" s="3">
        <f t="shared" si="75"/>
        <v>30</v>
      </c>
      <c r="AM122" s="3">
        <f t="shared" si="76"/>
        <v>25</v>
      </c>
      <c r="AN122" s="3">
        <f t="shared" si="77"/>
        <v>18</v>
      </c>
      <c r="AO122" s="3">
        <f t="shared" si="78"/>
        <v>0</v>
      </c>
      <c r="AP122" s="3">
        <f t="shared" si="79"/>
        <v>84</v>
      </c>
      <c r="AQ122" s="3">
        <f t="shared" si="80"/>
        <v>81</v>
      </c>
      <c r="AR122" s="3">
        <f t="shared" si="81"/>
        <v>78</v>
      </c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L122">
        <v>8</v>
      </c>
      <c r="BM122" s="35">
        <v>43927</v>
      </c>
      <c r="BO122" s="35">
        <f>B139</f>
        <v>44046</v>
      </c>
      <c r="BP122">
        <v>95</v>
      </c>
      <c r="BR122" s="9" t="str">
        <f t="shared" si="57"/>
        <v/>
      </c>
      <c r="BS122" s="37" t="str">
        <f t="shared" si="58"/>
        <v/>
      </c>
      <c r="BT122" s="38" t="str">
        <f t="shared" si="83"/>
        <v/>
      </c>
      <c r="BU122" s="36" t="str">
        <f t="shared" si="59"/>
        <v/>
      </c>
    </row>
    <row r="123" spans="2:73" ht="15">
      <c r="B123" s="16">
        <f t="shared" si="60"/>
        <v>43934</v>
      </c>
      <c r="C123" s="15" t="s">
        <v>1</v>
      </c>
      <c r="D123" s="17">
        <f t="shared" si="61"/>
        <v>43940</v>
      </c>
      <c r="E123" s="18">
        <f t="shared" si="62"/>
        <v>4</v>
      </c>
      <c r="F123" s="19">
        <f t="shared" si="63"/>
        <v>2020</v>
      </c>
      <c r="G123" s="9">
        <f t="shared" si="84"/>
        <v>17</v>
      </c>
      <c r="H123" s="8">
        <f t="shared" si="84"/>
        <v>96</v>
      </c>
      <c r="I123" s="9"/>
      <c r="J123" s="9"/>
      <c r="K123" s="9"/>
      <c r="L123" s="9"/>
      <c r="M123" s="9"/>
      <c r="N123" s="9"/>
      <c r="O123" s="12"/>
      <c r="P123" s="12"/>
      <c r="Q123" s="12"/>
      <c r="R123" s="12"/>
      <c r="S123" s="12"/>
      <c r="T123" s="12"/>
      <c r="V123" s="20">
        <f t="shared" si="51"/>
        <v>4</v>
      </c>
      <c r="W123" s="20">
        <f t="shared" si="52"/>
        <v>9</v>
      </c>
      <c r="X123" s="20">
        <f t="shared" si="53"/>
        <v>14</v>
      </c>
      <c r="Y123" s="20">
        <f t="shared" si="54"/>
        <v>0</v>
      </c>
      <c r="Z123" s="20">
        <f t="shared" si="55"/>
        <v>0</v>
      </c>
      <c r="AA123" s="20">
        <f t="shared" si="56"/>
        <v>0</v>
      </c>
      <c r="AC123" s="3">
        <f t="shared" si="66"/>
        <v>76</v>
      </c>
      <c r="AD123" s="3">
        <f t="shared" si="67"/>
        <v>72</v>
      </c>
      <c r="AE123" s="3">
        <f t="shared" si="68"/>
        <v>67</v>
      </c>
      <c r="AF123" s="3">
        <f t="shared" si="69"/>
        <v>63</v>
      </c>
      <c r="AG123" s="3">
        <f t="shared" si="70"/>
        <v>59</v>
      </c>
      <c r="AH123" s="3">
        <f t="shared" si="71"/>
        <v>55</v>
      </c>
      <c r="AI123" s="3">
        <f t="shared" si="72"/>
        <v>51</v>
      </c>
      <c r="AJ123" s="3">
        <f t="shared" si="73"/>
        <v>41</v>
      </c>
      <c r="AK123" s="3">
        <f t="shared" si="74"/>
        <v>36</v>
      </c>
      <c r="AL123" s="3">
        <f t="shared" si="75"/>
        <v>31</v>
      </c>
      <c r="AM123" s="3">
        <f t="shared" si="76"/>
        <v>26</v>
      </c>
      <c r="AN123" s="3">
        <f t="shared" si="77"/>
        <v>19</v>
      </c>
      <c r="AO123" s="3">
        <f t="shared" si="78"/>
        <v>0</v>
      </c>
      <c r="AP123" s="3">
        <f t="shared" si="79"/>
        <v>85</v>
      </c>
      <c r="AQ123" s="3">
        <f t="shared" si="80"/>
        <v>82</v>
      </c>
      <c r="AR123" s="3">
        <f t="shared" si="81"/>
        <v>79</v>
      </c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M123" s="35" t="s">
        <v>12</v>
      </c>
      <c r="BO123" s="35"/>
      <c r="BR123" s="9" t="str">
        <f t="shared" si="57"/>
        <v/>
      </c>
      <c r="BS123" s="37" t="str">
        <f t="shared" si="58"/>
        <v/>
      </c>
      <c r="BT123" s="38" t="str">
        <f t="shared" si="83"/>
        <v/>
      </c>
      <c r="BU123" s="36" t="str">
        <f t="shared" si="59"/>
        <v/>
      </c>
    </row>
    <row r="124" spans="2:73" ht="15">
      <c r="B124" s="16">
        <f t="shared" si="60"/>
        <v>43941</v>
      </c>
      <c r="C124" s="15" t="s">
        <v>1</v>
      </c>
      <c r="D124" s="17">
        <f t="shared" si="61"/>
        <v>43947</v>
      </c>
      <c r="E124" s="18">
        <f t="shared" si="62"/>
        <v>4</v>
      </c>
      <c r="F124" s="19">
        <f t="shared" si="63"/>
        <v>2020</v>
      </c>
      <c r="G124" s="9">
        <f t="shared" si="84"/>
        <v>17</v>
      </c>
      <c r="H124" s="8">
        <f t="shared" si="84"/>
        <v>96</v>
      </c>
      <c r="I124" s="9"/>
      <c r="J124" s="9"/>
      <c r="K124" s="9"/>
      <c r="L124" s="9"/>
      <c r="M124" s="9"/>
      <c r="N124" s="9"/>
      <c r="O124" s="12"/>
      <c r="P124" s="12"/>
      <c r="Q124" s="12"/>
      <c r="R124" s="12"/>
      <c r="S124" s="12"/>
      <c r="T124" s="12"/>
      <c r="V124" s="20">
        <f t="shared" si="51"/>
        <v>5</v>
      </c>
      <c r="W124" s="20">
        <f t="shared" si="52"/>
        <v>10</v>
      </c>
      <c r="X124" s="20">
        <f t="shared" si="53"/>
        <v>15</v>
      </c>
      <c r="Y124" s="20">
        <f t="shared" si="54"/>
        <v>0</v>
      </c>
      <c r="Z124" s="20">
        <f t="shared" si="55"/>
        <v>0</v>
      </c>
      <c r="AA124" s="20">
        <f t="shared" si="56"/>
        <v>0</v>
      </c>
      <c r="AC124" s="3">
        <f t="shared" si="66"/>
        <v>77</v>
      </c>
      <c r="AD124" s="3">
        <f t="shared" si="67"/>
        <v>73</v>
      </c>
      <c r="AE124" s="3">
        <f t="shared" si="68"/>
        <v>68</v>
      </c>
      <c r="AF124" s="3">
        <f t="shared" si="69"/>
        <v>64</v>
      </c>
      <c r="AG124" s="3">
        <f t="shared" si="70"/>
        <v>60</v>
      </c>
      <c r="AH124" s="3">
        <f t="shared" si="71"/>
        <v>56</v>
      </c>
      <c r="AI124" s="3">
        <f t="shared" si="72"/>
        <v>52</v>
      </c>
      <c r="AJ124" s="3">
        <f t="shared" si="73"/>
        <v>42</v>
      </c>
      <c r="AK124" s="3">
        <f t="shared" si="74"/>
        <v>37</v>
      </c>
      <c r="AL124" s="3">
        <f t="shared" si="75"/>
        <v>32</v>
      </c>
      <c r="AM124" s="3">
        <f t="shared" si="76"/>
        <v>27</v>
      </c>
      <c r="AN124" s="3">
        <f t="shared" si="77"/>
        <v>20</v>
      </c>
      <c r="AO124" s="3">
        <f t="shared" si="78"/>
        <v>0</v>
      </c>
      <c r="AP124" s="3">
        <f t="shared" si="79"/>
        <v>86</v>
      </c>
      <c r="AQ124" s="3">
        <f t="shared" si="80"/>
        <v>83</v>
      </c>
      <c r="AR124" s="3">
        <f t="shared" si="81"/>
        <v>80</v>
      </c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M124" s="35" t="s">
        <v>12</v>
      </c>
      <c r="BO124" s="35"/>
      <c r="BR124" s="9" t="str">
        <f t="shared" si="57"/>
        <v/>
      </c>
      <c r="BS124" s="37" t="str">
        <f t="shared" si="58"/>
        <v/>
      </c>
      <c r="BT124" s="38" t="str">
        <f t="shared" si="83"/>
        <v/>
      </c>
      <c r="BU124" s="36" t="str">
        <f t="shared" si="59"/>
        <v/>
      </c>
    </row>
    <row r="125" spans="2:73" ht="15">
      <c r="B125" s="16">
        <f t="shared" si="60"/>
        <v>43948</v>
      </c>
      <c r="C125" s="15" t="s">
        <v>1</v>
      </c>
      <c r="D125" s="17">
        <f t="shared" si="61"/>
        <v>43954</v>
      </c>
      <c r="E125" s="18">
        <f t="shared" si="62"/>
        <v>4</v>
      </c>
      <c r="F125" s="19">
        <f t="shared" si="63"/>
        <v>2020</v>
      </c>
      <c r="G125" s="9">
        <f t="shared" si="84"/>
        <v>17</v>
      </c>
      <c r="H125" s="8">
        <f t="shared" si="84"/>
        <v>96</v>
      </c>
      <c r="I125" s="9"/>
      <c r="J125" s="9"/>
      <c r="K125" s="9"/>
      <c r="L125" s="9"/>
      <c r="M125" s="9"/>
      <c r="N125" s="9"/>
      <c r="O125" s="12"/>
      <c r="P125" s="12"/>
      <c r="Q125" s="12"/>
      <c r="R125" s="12">
        <v>1</v>
      </c>
      <c r="S125" s="12"/>
      <c r="T125" s="12"/>
      <c r="V125" s="20">
        <f t="shared" si="51"/>
        <v>6</v>
      </c>
      <c r="W125" s="20">
        <f t="shared" si="52"/>
        <v>11</v>
      </c>
      <c r="X125" s="20">
        <f t="shared" si="53"/>
        <v>16</v>
      </c>
      <c r="Y125" s="20">
        <f t="shared" si="54"/>
        <v>43950</v>
      </c>
      <c r="Z125" s="20">
        <f t="shared" si="55"/>
        <v>0</v>
      </c>
      <c r="AA125" s="20">
        <f t="shared" si="56"/>
        <v>0</v>
      </c>
      <c r="AC125" s="3">
        <f t="shared" si="66"/>
        <v>78</v>
      </c>
      <c r="AD125" s="3">
        <f t="shared" si="67"/>
        <v>74</v>
      </c>
      <c r="AE125" s="3">
        <f t="shared" si="68"/>
        <v>69</v>
      </c>
      <c r="AF125" s="3">
        <f t="shared" si="69"/>
        <v>65</v>
      </c>
      <c r="AG125" s="3">
        <f t="shared" si="70"/>
        <v>61</v>
      </c>
      <c r="AH125" s="3">
        <f t="shared" si="71"/>
        <v>57</v>
      </c>
      <c r="AI125" s="3">
        <f t="shared" si="72"/>
        <v>53</v>
      </c>
      <c r="AJ125" s="3">
        <f t="shared" si="73"/>
        <v>43</v>
      </c>
      <c r="AK125" s="3">
        <f t="shared" si="74"/>
        <v>38</v>
      </c>
      <c r="AL125" s="3">
        <f t="shared" si="75"/>
        <v>33</v>
      </c>
      <c r="AM125" s="3">
        <f t="shared" si="76"/>
        <v>28</v>
      </c>
      <c r="AN125" s="3">
        <f t="shared" si="77"/>
        <v>21</v>
      </c>
      <c r="AO125" s="3">
        <f t="shared" si="78"/>
        <v>0</v>
      </c>
      <c r="AP125" s="3">
        <f t="shared" si="79"/>
        <v>87</v>
      </c>
      <c r="AQ125" s="3">
        <f t="shared" si="80"/>
        <v>84</v>
      </c>
      <c r="AR125" s="3">
        <f t="shared" si="81"/>
        <v>81</v>
      </c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M125" s="35" t="s">
        <v>12</v>
      </c>
      <c r="BO125" s="35"/>
      <c r="BR125" s="9">
        <f t="shared" si="57"/>
        <v>4</v>
      </c>
      <c r="BS125" s="37">
        <f t="shared" si="58"/>
        <v>43950</v>
      </c>
      <c r="BT125" s="38">
        <f t="shared" si="83"/>
        <v>44069</v>
      </c>
      <c r="BU125" s="36">
        <f t="shared" si="59"/>
        <v>16</v>
      </c>
    </row>
    <row r="126" spans="2:73" ht="15">
      <c r="B126" s="16">
        <f t="shared" si="60"/>
        <v>43955</v>
      </c>
      <c r="C126" s="15" t="s">
        <v>1</v>
      </c>
      <c r="D126" s="17">
        <f t="shared" si="61"/>
        <v>43961</v>
      </c>
      <c r="E126" s="18">
        <f t="shared" si="62"/>
        <v>5</v>
      </c>
      <c r="F126" s="19">
        <f t="shared" si="63"/>
        <v>2020</v>
      </c>
      <c r="G126" s="9">
        <f t="shared" si="84"/>
        <v>17</v>
      </c>
      <c r="H126" s="8">
        <f t="shared" si="84"/>
        <v>96</v>
      </c>
      <c r="I126" s="9"/>
      <c r="J126" s="9"/>
      <c r="K126" s="9"/>
      <c r="L126" s="9"/>
      <c r="M126" s="9"/>
      <c r="N126" s="9"/>
      <c r="O126" s="12"/>
      <c r="P126" s="12"/>
      <c r="Q126" s="12"/>
      <c r="R126" s="12"/>
      <c r="S126" s="12"/>
      <c r="T126" s="12"/>
      <c r="V126" s="20">
        <f t="shared" si="51"/>
        <v>7</v>
      </c>
      <c r="W126" s="20">
        <f t="shared" si="52"/>
        <v>12</v>
      </c>
      <c r="X126" s="20">
        <f t="shared" si="53"/>
        <v>17</v>
      </c>
      <c r="Y126" s="20">
        <f t="shared" si="54"/>
        <v>1</v>
      </c>
      <c r="Z126" s="20">
        <f t="shared" si="55"/>
        <v>0</v>
      </c>
      <c r="AA126" s="20">
        <f t="shared" si="56"/>
        <v>0</v>
      </c>
      <c r="AC126" s="3">
        <f t="shared" si="66"/>
        <v>79</v>
      </c>
      <c r="AD126" s="3">
        <f t="shared" si="67"/>
        <v>75</v>
      </c>
      <c r="AE126" s="3">
        <f t="shared" si="68"/>
        <v>70</v>
      </c>
      <c r="AF126" s="3">
        <f t="shared" si="69"/>
        <v>66</v>
      </c>
      <c r="AG126" s="3">
        <f t="shared" si="70"/>
        <v>62</v>
      </c>
      <c r="AH126" s="3">
        <f t="shared" si="71"/>
        <v>58</v>
      </c>
      <c r="AI126" s="3">
        <f t="shared" si="72"/>
        <v>54</v>
      </c>
      <c r="AJ126" s="3">
        <f t="shared" si="73"/>
        <v>44</v>
      </c>
      <c r="AK126" s="3">
        <f t="shared" si="74"/>
        <v>39</v>
      </c>
      <c r="AL126" s="3">
        <f t="shared" si="75"/>
        <v>34</v>
      </c>
      <c r="AM126" s="3">
        <f t="shared" si="76"/>
        <v>29</v>
      </c>
      <c r="AN126" s="3">
        <f t="shared" si="77"/>
        <v>22</v>
      </c>
      <c r="AO126" s="3">
        <f t="shared" si="78"/>
        <v>17</v>
      </c>
      <c r="AP126" s="3">
        <f t="shared" si="79"/>
        <v>88</v>
      </c>
      <c r="AQ126" s="3">
        <f t="shared" si="80"/>
        <v>85</v>
      </c>
      <c r="AR126" s="3">
        <f t="shared" si="81"/>
        <v>82</v>
      </c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>
        <v>3</v>
      </c>
      <c r="BF126" s="8"/>
      <c r="BG126" s="8"/>
      <c r="BH126" s="8"/>
      <c r="BL126">
        <v>16</v>
      </c>
      <c r="BM126" s="35">
        <v>43955</v>
      </c>
      <c r="BO126" s="35">
        <f>B143</f>
        <v>44074</v>
      </c>
      <c r="BP126">
        <v>98</v>
      </c>
      <c r="BR126" s="9" t="str">
        <f t="shared" si="57"/>
        <v/>
      </c>
      <c r="BS126" s="37" t="str">
        <f t="shared" si="58"/>
        <v/>
      </c>
      <c r="BT126" s="38" t="str">
        <f t="shared" si="83"/>
        <v/>
      </c>
      <c r="BU126" s="36" t="str">
        <f t="shared" si="59"/>
        <v/>
      </c>
    </row>
    <row r="127" spans="2:73" ht="15">
      <c r="B127" s="16">
        <f t="shared" si="60"/>
        <v>43962</v>
      </c>
      <c r="C127" s="15" t="s">
        <v>1</v>
      </c>
      <c r="D127" s="17">
        <f t="shared" si="61"/>
        <v>43968</v>
      </c>
      <c r="E127" s="18">
        <f t="shared" si="62"/>
        <v>5</v>
      </c>
      <c r="F127" s="19">
        <f t="shared" si="63"/>
        <v>2020</v>
      </c>
      <c r="G127" s="9">
        <f t="shared" si="84"/>
        <v>17</v>
      </c>
      <c r="H127" s="8">
        <f t="shared" si="84"/>
        <v>96</v>
      </c>
      <c r="I127" s="9"/>
      <c r="J127" s="9"/>
      <c r="K127" s="9"/>
      <c r="L127" s="9"/>
      <c r="M127" s="9"/>
      <c r="N127" s="9"/>
      <c r="O127" s="12"/>
      <c r="P127" s="12"/>
      <c r="Q127" s="12"/>
      <c r="R127" s="12"/>
      <c r="S127" s="12"/>
      <c r="T127" s="12"/>
      <c r="V127" s="20">
        <f t="shared" si="51"/>
        <v>8</v>
      </c>
      <c r="W127" s="20">
        <f t="shared" si="52"/>
        <v>13</v>
      </c>
      <c r="X127" s="20">
        <f t="shared" si="53"/>
        <v>0</v>
      </c>
      <c r="Y127" s="20">
        <f t="shared" si="54"/>
        <v>2</v>
      </c>
      <c r="Z127" s="20">
        <f t="shared" si="55"/>
        <v>0</v>
      </c>
      <c r="AA127" s="20">
        <f t="shared" si="56"/>
        <v>0</v>
      </c>
      <c r="AC127" s="3">
        <f t="shared" si="66"/>
        <v>80</v>
      </c>
      <c r="AD127" s="3">
        <f t="shared" si="67"/>
        <v>76</v>
      </c>
      <c r="AE127" s="3">
        <f t="shared" si="68"/>
        <v>71</v>
      </c>
      <c r="AF127" s="3">
        <f t="shared" si="69"/>
        <v>67</v>
      </c>
      <c r="AG127" s="3">
        <f t="shared" si="70"/>
        <v>63</v>
      </c>
      <c r="AH127" s="3">
        <f t="shared" si="71"/>
        <v>59</v>
      </c>
      <c r="AI127" s="3">
        <f t="shared" si="72"/>
        <v>55</v>
      </c>
      <c r="AJ127" s="3">
        <f t="shared" si="73"/>
        <v>45</v>
      </c>
      <c r="AK127" s="3">
        <f t="shared" si="74"/>
        <v>40</v>
      </c>
      <c r="AL127" s="3">
        <f t="shared" si="75"/>
        <v>35</v>
      </c>
      <c r="AM127" s="3">
        <f t="shared" si="76"/>
        <v>30</v>
      </c>
      <c r="AN127" s="3">
        <f t="shared" si="77"/>
        <v>23</v>
      </c>
      <c r="AO127" s="3">
        <f t="shared" si="78"/>
        <v>18</v>
      </c>
      <c r="AP127" s="3">
        <f t="shared" si="79"/>
        <v>89</v>
      </c>
      <c r="AQ127" s="3">
        <f t="shared" si="80"/>
        <v>86</v>
      </c>
      <c r="AR127" s="3">
        <f t="shared" si="81"/>
        <v>83</v>
      </c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 t="s">
        <v>5</v>
      </c>
      <c r="BG127" s="8"/>
      <c r="BH127" s="8"/>
      <c r="BM127" s="35" t="s">
        <v>12</v>
      </c>
      <c r="BO127" s="35"/>
      <c r="BR127" s="9" t="str">
        <f t="shared" si="57"/>
        <v/>
      </c>
      <c r="BS127" s="37" t="str">
        <f t="shared" si="58"/>
        <v/>
      </c>
      <c r="BT127" s="38" t="str">
        <f t="shared" si="83"/>
        <v/>
      </c>
      <c r="BU127" s="36" t="str">
        <f t="shared" si="59"/>
        <v/>
      </c>
    </row>
    <row r="128" spans="2:73" ht="15">
      <c r="B128" s="16">
        <f t="shared" si="60"/>
        <v>43969</v>
      </c>
      <c r="C128" s="15" t="s">
        <v>1</v>
      </c>
      <c r="D128" s="17">
        <f t="shared" si="61"/>
        <v>43975</v>
      </c>
      <c r="E128" s="18">
        <f t="shared" si="62"/>
        <v>5</v>
      </c>
      <c r="F128" s="19">
        <f t="shared" si="63"/>
        <v>2020</v>
      </c>
      <c r="G128" s="9">
        <f t="shared" si="84"/>
        <v>17</v>
      </c>
      <c r="H128" s="8">
        <v>95</v>
      </c>
      <c r="I128" s="9"/>
      <c r="J128" s="9"/>
      <c r="K128" s="9"/>
      <c r="L128" s="9"/>
      <c r="M128" s="9"/>
      <c r="N128" s="9"/>
      <c r="O128" s="12"/>
      <c r="P128" s="12"/>
      <c r="Q128" s="12"/>
      <c r="R128" s="12"/>
      <c r="S128" s="12"/>
      <c r="T128" s="12"/>
      <c r="V128" s="20">
        <f t="shared" si="51"/>
        <v>9</v>
      </c>
      <c r="W128" s="20">
        <f t="shared" si="52"/>
        <v>14</v>
      </c>
      <c r="X128" s="20">
        <f t="shared" si="53"/>
        <v>0</v>
      </c>
      <c r="Y128" s="20">
        <f t="shared" si="54"/>
        <v>3</v>
      </c>
      <c r="Z128" s="20">
        <f t="shared" si="55"/>
        <v>0</v>
      </c>
      <c r="AA128" s="20">
        <f t="shared" si="56"/>
        <v>0</v>
      </c>
      <c r="AC128" s="3">
        <f t="shared" si="66"/>
        <v>81</v>
      </c>
      <c r="AD128" s="3">
        <f t="shared" si="67"/>
        <v>77</v>
      </c>
      <c r="AE128" s="3">
        <f t="shared" si="68"/>
        <v>72</v>
      </c>
      <c r="AF128" s="3">
        <f t="shared" si="69"/>
        <v>68</v>
      </c>
      <c r="AG128" s="3">
        <f t="shared" si="70"/>
        <v>64</v>
      </c>
      <c r="AH128" s="3">
        <f t="shared" si="71"/>
        <v>60</v>
      </c>
      <c r="AI128" s="3">
        <f t="shared" si="72"/>
        <v>56</v>
      </c>
      <c r="AJ128" s="3">
        <f t="shared" si="73"/>
        <v>46</v>
      </c>
      <c r="AK128" s="3">
        <f t="shared" si="74"/>
        <v>41</v>
      </c>
      <c r="AL128" s="3">
        <f t="shared" si="75"/>
        <v>36</v>
      </c>
      <c r="AM128" s="3">
        <f t="shared" si="76"/>
        <v>31</v>
      </c>
      <c r="AN128" s="3">
        <f t="shared" si="77"/>
        <v>24</v>
      </c>
      <c r="AO128" s="3">
        <f t="shared" si="78"/>
        <v>19</v>
      </c>
      <c r="AP128" s="3">
        <f t="shared" si="79"/>
        <v>0</v>
      </c>
      <c r="AQ128" s="3">
        <f t="shared" si="80"/>
        <v>87</v>
      </c>
      <c r="AR128" s="3">
        <f t="shared" si="81"/>
        <v>84</v>
      </c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M128" s="35" t="s">
        <v>12</v>
      </c>
      <c r="BO128" s="35"/>
      <c r="BR128" s="9" t="str">
        <f t="shared" si="57"/>
        <v/>
      </c>
      <c r="BS128" s="37" t="str">
        <f t="shared" si="58"/>
        <v/>
      </c>
      <c r="BT128" s="38" t="str">
        <f t="shared" si="83"/>
        <v/>
      </c>
      <c r="BU128" s="36" t="str">
        <f t="shared" si="59"/>
        <v/>
      </c>
    </row>
    <row r="129" spans="2:73" ht="15">
      <c r="B129" s="16">
        <f t="shared" si="60"/>
        <v>43976</v>
      </c>
      <c r="C129" s="15" t="s">
        <v>1</v>
      </c>
      <c r="D129" s="17">
        <f t="shared" si="61"/>
        <v>43982</v>
      </c>
      <c r="E129" s="18">
        <f t="shared" si="62"/>
        <v>5</v>
      </c>
      <c r="F129" s="19">
        <f t="shared" si="63"/>
        <v>2020</v>
      </c>
      <c r="G129" s="9">
        <f t="shared" si="84"/>
        <v>17</v>
      </c>
      <c r="H129" s="8">
        <f t="shared" si="84"/>
        <v>95</v>
      </c>
      <c r="I129" s="9"/>
      <c r="J129" s="9"/>
      <c r="K129" s="9"/>
      <c r="L129" s="9"/>
      <c r="M129" s="9"/>
      <c r="N129" s="9"/>
      <c r="O129" s="12"/>
      <c r="P129" s="12"/>
      <c r="Q129" s="12"/>
      <c r="R129" s="12"/>
      <c r="S129" s="12"/>
      <c r="T129" s="12"/>
      <c r="V129" s="20">
        <f t="shared" si="51"/>
        <v>10</v>
      </c>
      <c r="W129" s="20">
        <f t="shared" si="52"/>
        <v>15</v>
      </c>
      <c r="X129" s="20">
        <f t="shared" si="53"/>
        <v>0</v>
      </c>
      <c r="Y129" s="20">
        <f t="shared" si="54"/>
        <v>4</v>
      </c>
      <c r="Z129" s="20">
        <f t="shared" si="55"/>
        <v>0</v>
      </c>
      <c r="AA129" s="20">
        <f t="shared" si="56"/>
        <v>0</v>
      </c>
      <c r="AC129" s="3">
        <f t="shared" si="66"/>
        <v>82</v>
      </c>
      <c r="AD129" s="3">
        <f t="shared" si="67"/>
        <v>78</v>
      </c>
      <c r="AE129" s="3">
        <f t="shared" si="68"/>
        <v>73</v>
      </c>
      <c r="AF129" s="3">
        <f t="shared" si="69"/>
        <v>69</v>
      </c>
      <c r="AG129" s="3">
        <f t="shared" si="70"/>
        <v>65</v>
      </c>
      <c r="AH129" s="3">
        <f t="shared" si="71"/>
        <v>61</v>
      </c>
      <c r="AI129" s="3">
        <f t="shared" si="72"/>
        <v>57</v>
      </c>
      <c r="AJ129" s="3">
        <f t="shared" si="73"/>
        <v>47</v>
      </c>
      <c r="AK129" s="3">
        <f t="shared" si="74"/>
        <v>42</v>
      </c>
      <c r="AL129" s="3">
        <f t="shared" si="75"/>
        <v>37</v>
      </c>
      <c r="AM129" s="3">
        <f t="shared" si="76"/>
        <v>32</v>
      </c>
      <c r="AN129" s="3">
        <f t="shared" si="77"/>
        <v>25</v>
      </c>
      <c r="AO129" s="3">
        <f t="shared" si="78"/>
        <v>20</v>
      </c>
      <c r="AP129" s="3">
        <f t="shared" si="79"/>
        <v>0</v>
      </c>
      <c r="AQ129" s="3">
        <f t="shared" si="80"/>
        <v>88</v>
      </c>
      <c r="AR129" s="3">
        <f t="shared" si="81"/>
        <v>85</v>
      </c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M129" s="35" t="s">
        <v>12</v>
      </c>
      <c r="BO129" s="35"/>
      <c r="BR129" s="9" t="str">
        <f t="shared" si="57"/>
        <v/>
      </c>
      <c r="BS129" s="37" t="str">
        <f t="shared" si="58"/>
        <v/>
      </c>
      <c r="BT129" s="38" t="str">
        <f t="shared" si="83"/>
        <v/>
      </c>
      <c r="BU129" s="36" t="str">
        <f t="shared" si="59"/>
        <v/>
      </c>
    </row>
    <row r="130" spans="2:73" ht="15">
      <c r="B130" s="16">
        <f t="shared" si="60"/>
        <v>43983</v>
      </c>
      <c r="C130" s="15" t="s">
        <v>1</v>
      </c>
      <c r="D130" s="17">
        <f t="shared" si="61"/>
        <v>43989</v>
      </c>
      <c r="E130" s="18">
        <f t="shared" si="62"/>
        <v>6</v>
      </c>
      <c r="F130" s="19">
        <f t="shared" si="63"/>
        <v>2020</v>
      </c>
      <c r="G130" s="9">
        <f t="shared" si="84"/>
        <v>17</v>
      </c>
      <c r="H130" s="8">
        <f t="shared" si="84"/>
        <v>95</v>
      </c>
      <c r="I130" s="9"/>
      <c r="J130" s="9"/>
      <c r="K130" s="9"/>
      <c r="L130" s="9"/>
      <c r="M130" s="9"/>
      <c r="N130" s="9"/>
      <c r="O130" s="12"/>
      <c r="P130" s="12"/>
      <c r="Q130" s="12">
        <v>1</v>
      </c>
      <c r="R130" s="12"/>
      <c r="S130" s="12"/>
      <c r="T130" s="12"/>
      <c r="V130" s="20">
        <f t="shared" si="51"/>
        <v>11</v>
      </c>
      <c r="W130" s="20">
        <f t="shared" si="52"/>
        <v>16</v>
      </c>
      <c r="X130" s="20">
        <f t="shared" si="53"/>
        <v>43985</v>
      </c>
      <c r="Y130" s="20">
        <f t="shared" si="54"/>
        <v>5</v>
      </c>
      <c r="Z130" s="20">
        <f t="shared" si="55"/>
        <v>0</v>
      </c>
      <c r="AA130" s="20">
        <f t="shared" si="56"/>
        <v>0</v>
      </c>
      <c r="AC130" s="3">
        <f t="shared" si="66"/>
        <v>83</v>
      </c>
      <c r="AD130" s="3">
        <f t="shared" si="67"/>
        <v>79</v>
      </c>
      <c r="AE130" s="3">
        <f t="shared" si="68"/>
        <v>74</v>
      </c>
      <c r="AF130" s="3">
        <f t="shared" si="69"/>
        <v>70</v>
      </c>
      <c r="AG130" s="3">
        <f t="shared" si="70"/>
        <v>66</v>
      </c>
      <c r="AH130" s="3">
        <f t="shared" si="71"/>
        <v>62</v>
      </c>
      <c r="AI130" s="3">
        <f t="shared" si="72"/>
        <v>58</v>
      </c>
      <c r="AJ130" s="3">
        <f t="shared" si="73"/>
        <v>48</v>
      </c>
      <c r="AK130" s="3">
        <f t="shared" si="74"/>
        <v>43</v>
      </c>
      <c r="AL130" s="3">
        <f t="shared" si="75"/>
        <v>38</v>
      </c>
      <c r="AM130" s="3">
        <f t="shared" si="76"/>
        <v>33</v>
      </c>
      <c r="AN130" s="3">
        <f t="shared" si="77"/>
        <v>26</v>
      </c>
      <c r="AO130" s="3">
        <f t="shared" si="78"/>
        <v>21</v>
      </c>
      <c r="AP130" s="3">
        <f t="shared" si="79"/>
        <v>0</v>
      </c>
      <c r="AQ130" s="3">
        <f t="shared" si="80"/>
        <v>89</v>
      </c>
      <c r="AR130" s="3">
        <f t="shared" si="81"/>
        <v>86</v>
      </c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M130" s="35" t="s">
        <v>12</v>
      </c>
      <c r="BO130" s="35"/>
      <c r="BR130" s="9">
        <f t="shared" si="57"/>
        <v>3</v>
      </c>
      <c r="BS130" s="37">
        <f t="shared" si="58"/>
        <v>43985</v>
      </c>
      <c r="BT130" s="38">
        <f t="shared" si="83"/>
        <v>44104</v>
      </c>
      <c r="BU130" s="36">
        <f t="shared" si="59"/>
        <v>9</v>
      </c>
    </row>
    <row r="131" spans="2:73" ht="15">
      <c r="B131" s="16">
        <f t="shared" si="60"/>
        <v>43990</v>
      </c>
      <c r="C131" s="15" t="s">
        <v>1</v>
      </c>
      <c r="D131" s="17">
        <f t="shared" si="61"/>
        <v>43996</v>
      </c>
      <c r="E131" s="18">
        <f t="shared" si="62"/>
        <v>6</v>
      </c>
      <c r="F131" s="19">
        <f t="shared" si="63"/>
        <v>2020</v>
      </c>
      <c r="G131" s="9">
        <f t="shared" si="84"/>
        <v>17</v>
      </c>
      <c r="H131" s="8">
        <f t="shared" si="84"/>
        <v>95</v>
      </c>
      <c r="I131" s="9"/>
      <c r="J131" s="9"/>
      <c r="K131" s="9"/>
      <c r="L131" s="9"/>
      <c r="M131" s="9"/>
      <c r="N131" s="9"/>
      <c r="O131" s="12"/>
      <c r="P131" s="12"/>
      <c r="Q131" s="12"/>
      <c r="R131" s="12"/>
      <c r="S131" s="12"/>
      <c r="T131" s="12"/>
      <c r="V131" s="20">
        <f t="shared" si="51"/>
        <v>12</v>
      </c>
      <c r="W131" s="20">
        <f t="shared" si="52"/>
        <v>17</v>
      </c>
      <c r="X131" s="20">
        <f t="shared" si="53"/>
        <v>1</v>
      </c>
      <c r="Y131" s="20">
        <f t="shared" si="54"/>
        <v>6</v>
      </c>
      <c r="Z131" s="20">
        <f t="shared" si="55"/>
        <v>0</v>
      </c>
      <c r="AA131" s="20">
        <f t="shared" si="56"/>
        <v>0</v>
      </c>
      <c r="AC131" s="3">
        <f t="shared" si="66"/>
        <v>84</v>
      </c>
      <c r="AD131" s="3">
        <f t="shared" si="67"/>
        <v>80</v>
      </c>
      <c r="AE131" s="3">
        <f t="shared" si="68"/>
        <v>75</v>
      </c>
      <c r="AF131" s="3">
        <f t="shared" si="69"/>
        <v>71</v>
      </c>
      <c r="AG131" s="3">
        <f t="shared" si="70"/>
        <v>67</v>
      </c>
      <c r="AH131" s="3">
        <f t="shared" si="71"/>
        <v>63</v>
      </c>
      <c r="AI131" s="3">
        <f t="shared" si="72"/>
        <v>59</v>
      </c>
      <c r="AJ131" s="3">
        <f t="shared" si="73"/>
        <v>49</v>
      </c>
      <c r="AK131" s="3">
        <f t="shared" si="74"/>
        <v>44</v>
      </c>
      <c r="AL131" s="3">
        <f t="shared" si="75"/>
        <v>39</v>
      </c>
      <c r="AM131" s="3">
        <f t="shared" si="76"/>
        <v>34</v>
      </c>
      <c r="AN131" s="3">
        <f t="shared" si="77"/>
        <v>27</v>
      </c>
      <c r="AO131" s="3">
        <f t="shared" si="78"/>
        <v>22</v>
      </c>
      <c r="AP131" s="3">
        <f t="shared" si="79"/>
        <v>17</v>
      </c>
      <c r="AQ131" s="3">
        <f t="shared" si="80"/>
        <v>90</v>
      </c>
      <c r="AR131" s="3">
        <f t="shared" si="81"/>
        <v>87</v>
      </c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>
        <v>2</v>
      </c>
      <c r="BG131" s="8" t="s">
        <v>5</v>
      </c>
      <c r="BH131" s="8"/>
      <c r="BL131">
        <v>9</v>
      </c>
      <c r="BM131" s="35">
        <v>43990</v>
      </c>
      <c r="BO131" s="35">
        <f>B148</f>
        <v>44109</v>
      </c>
      <c r="BP131">
        <v>98</v>
      </c>
      <c r="BR131" s="9" t="str">
        <f t="shared" si="57"/>
        <v/>
      </c>
      <c r="BS131" s="37" t="str">
        <f t="shared" si="58"/>
        <v/>
      </c>
      <c r="BT131" s="38" t="str">
        <f t="shared" si="83"/>
        <v/>
      </c>
      <c r="BU131" s="36" t="str">
        <f t="shared" si="59"/>
        <v/>
      </c>
    </row>
    <row r="132" spans="2:73" ht="15">
      <c r="B132" s="16">
        <f t="shared" si="60"/>
        <v>43997</v>
      </c>
      <c r="C132" s="15" t="s">
        <v>1</v>
      </c>
      <c r="D132" s="17">
        <f t="shared" si="61"/>
        <v>44003</v>
      </c>
      <c r="E132" s="18">
        <f t="shared" si="62"/>
        <v>6</v>
      </c>
      <c r="F132" s="19">
        <f t="shared" si="63"/>
        <v>2020</v>
      </c>
      <c r="G132" s="9">
        <f t="shared" si="84"/>
        <v>17</v>
      </c>
      <c r="H132" s="8">
        <f t="shared" si="84"/>
        <v>95</v>
      </c>
      <c r="I132" s="9"/>
      <c r="J132" s="9"/>
      <c r="K132" s="9"/>
      <c r="L132" s="9"/>
      <c r="M132" s="9"/>
      <c r="N132" s="9"/>
      <c r="O132" s="12"/>
      <c r="P132" s="12"/>
      <c r="Q132" s="12"/>
      <c r="R132" s="12"/>
      <c r="S132" s="12"/>
      <c r="T132" s="12"/>
      <c r="V132" s="20">
        <f t="shared" ref="V132:V195" si="85">IF(I132&gt;0,I132,IF(O132=1,$B132+2,IF(O131=1,1,IF(O131=2,0,IF(V131=$G131,0,(IF(V131&gt;=1,V131+1,0)))))))</f>
        <v>13</v>
      </c>
      <c r="W132" s="20">
        <f t="shared" ref="W132:W195" si="86">IF(J132&gt;0,J132,IF(P132=1,$B132+2,IF(P131=1,1,IF(P131=2,0,IF(W131=$G131,0,(IF(W131&gt;=1,W131+1,0)))))))</f>
        <v>0</v>
      </c>
      <c r="X132" s="20">
        <f t="shared" ref="X132:X195" si="87">IF(K132&gt;0,K132,IF(Q132=1,$B132+2,IF(Q131=1,1,IF(Q131=2,0,IF(X131=$G131,0,(IF(X131&gt;=1,X131+1,0)))))))</f>
        <v>2</v>
      </c>
      <c r="Y132" s="20">
        <f t="shared" ref="Y132:Y195" si="88">IF(L132&gt;0,L132,IF(R132=1,$B132+2,IF(R131=1,1,IF(R131=2,0,IF(Y131=$G131,0,(IF(Y131&gt;=1,Y131+1,0)))))))</f>
        <v>7</v>
      </c>
      <c r="Z132" s="20">
        <f t="shared" ref="Z132:Z195" si="89">IF(M132&gt;0,M132,IF(S132=1,$B132+2,IF(S131=1,1,IF(S131=2,0,IF(Z131=$G131,0,(IF(Z131&gt;=1,Z131+1,0)))))))</f>
        <v>0</v>
      </c>
      <c r="AA132" s="20">
        <f t="shared" ref="AA132:AA195" si="90">IF(N132&gt;0,N132,IF(T132=1,$B132+2,IF(T131=1,1,IF(T131=2,0,IF(AA131=$G131,0,(IF(AA131&gt;=1,AA131+1,0)))))))</f>
        <v>0</v>
      </c>
      <c r="AC132" s="3">
        <f t="shared" si="66"/>
        <v>85</v>
      </c>
      <c r="AD132" s="3">
        <f t="shared" si="67"/>
        <v>81</v>
      </c>
      <c r="AE132" s="3">
        <f t="shared" si="68"/>
        <v>76</v>
      </c>
      <c r="AF132" s="3">
        <f t="shared" si="69"/>
        <v>72</v>
      </c>
      <c r="AG132" s="3">
        <f t="shared" si="70"/>
        <v>68</v>
      </c>
      <c r="AH132" s="3">
        <f t="shared" si="71"/>
        <v>64</v>
      </c>
      <c r="AI132" s="3">
        <f t="shared" si="72"/>
        <v>60</v>
      </c>
      <c r="AJ132" s="3">
        <f t="shared" si="73"/>
        <v>50</v>
      </c>
      <c r="AK132" s="3">
        <f t="shared" si="74"/>
        <v>45</v>
      </c>
      <c r="AL132" s="3">
        <f t="shared" si="75"/>
        <v>40</v>
      </c>
      <c r="AM132" s="3">
        <f t="shared" si="76"/>
        <v>35</v>
      </c>
      <c r="AN132" s="3">
        <f t="shared" si="77"/>
        <v>28</v>
      </c>
      <c r="AO132" s="3">
        <f t="shared" si="78"/>
        <v>23</v>
      </c>
      <c r="AP132" s="3">
        <f t="shared" si="79"/>
        <v>18</v>
      </c>
      <c r="AQ132" s="3">
        <f t="shared" si="80"/>
        <v>0</v>
      </c>
      <c r="AR132" s="3">
        <f t="shared" si="81"/>
        <v>88</v>
      </c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M132" s="35" t="s">
        <v>12</v>
      </c>
      <c r="BO132" s="35"/>
      <c r="BR132" s="9" t="str">
        <f t="shared" ref="BR132:BR195" si="91">IF(AND(V132&gt;0,V131=0),$V$2,IF(AND(W132&gt;0,W131=0),$W$2,IF(AND(X132&gt;0,X131=0),$X$2,IF(AND(Y132&gt;0,Y131=0),$Y$2,IF(AND(Z132&gt;0,Z131=0),$Z$2,IF(AND(AA132&gt;0,AA131=0),$AA$2,""))))))</f>
        <v/>
      </c>
      <c r="BS132" s="37" t="str">
        <f t="shared" ref="BS132:BS195" si="92">IF(OR(AND($V133=1,$V134=2),OR(AND($W133=1,$W134=2),OR(AND($X133=1,$X134=2),OR(AND($Y133=1,$Y134=2),OR(AND($Z133=1,$Z134),OR(AND($AA133=1,$AA134=2))))))),$B132+2,"")</f>
        <v/>
      </c>
      <c r="BT132" s="38" t="str">
        <f t="shared" si="83"/>
        <v/>
      </c>
      <c r="BU132" s="36" t="str">
        <f t="shared" ref="BU132:BU195" si="93">IF(AND(AC149&gt;0,AC148=0),$AC$2,IF(AND(AD149&gt;0,AD148=0),$AD$2,IF(AND(AE149&gt;0,AE148=0),$AE$2,IF(AND(AF149&gt;0,AF148=0),$AF$2,IF(AND(AG149&gt;0,AG148=0),$AG$2,IF(AND(AH149&gt;0,AH148=0),$AH$2,IF(AND(AI149&gt;0,AI148=0),$AI$2,IF(AND(AJ149&gt;0,AJ148=0),$AJ$2,IF(AND(AK149&gt;0,AK148=0),$AK$2,IF(AND(AL149&gt;0,AL148=0),$AL$2,IF(AND(AM149&gt;0,AM148=0),$AM$2,IF(AND(AN149&gt;0,AN148=0),$AN$2,IF(AND(AO149&gt;0,AO148=0),$AO$2,IF(AND(AP149&gt;0,AP148=0),$AP$2,IF(AND(AQ149&gt;0,AQ148=0),$AQ$2,IF(AND(AR149&gt;0,AR148=0),$AR$2,""))))))))))))))))</f>
        <v/>
      </c>
    </row>
    <row r="133" spans="2:73" ht="15">
      <c r="B133" s="16">
        <f t="shared" ref="B133:B196" si="94">D132+1</f>
        <v>44004</v>
      </c>
      <c r="C133" s="15" t="s">
        <v>1</v>
      </c>
      <c r="D133" s="17">
        <f t="shared" ref="D133:D196" si="95">B133+6</f>
        <v>44010</v>
      </c>
      <c r="E133" s="18">
        <f t="shared" ref="E133:E196" si="96">MONTH(B133)</f>
        <v>6</v>
      </c>
      <c r="F133" s="19">
        <f t="shared" ref="F133:F196" si="97">YEAR(D133)</f>
        <v>2020</v>
      </c>
      <c r="G133" s="9">
        <f t="shared" si="84"/>
        <v>17</v>
      </c>
      <c r="H133" s="8">
        <f t="shared" si="84"/>
        <v>95</v>
      </c>
      <c r="I133" s="9"/>
      <c r="J133" s="9"/>
      <c r="K133" s="9"/>
      <c r="L133" s="9"/>
      <c r="M133" s="9"/>
      <c r="N133" s="9"/>
      <c r="O133" s="12"/>
      <c r="P133" s="12"/>
      <c r="Q133" s="12"/>
      <c r="R133" s="12"/>
      <c r="S133" s="12"/>
      <c r="T133" s="12"/>
      <c r="V133" s="20">
        <f t="shared" si="85"/>
        <v>14</v>
      </c>
      <c r="W133" s="20">
        <f t="shared" si="86"/>
        <v>0</v>
      </c>
      <c r="X133" s="20">
        <f t="shared" si="87"/>
        <v>3</v>
      </c>
      <c r="Y133" s="20">
        <f t="shared" si="88"/>
        <v>8</v>
      </c>
      <c r="Z133" s="20">
        <f t="shared" si="89"/>
        <v>0</v>
      </c>
      <c r="AA133" s="20">
        <f t="shared" si="90"/>
        <v>0</v>
      </c>
      <c r="AC133" s="3">
        <f t="shared" si="66"/>
        <v>86</v>
      </c>
      <c r="AD133" s="3">
        <f t="shared" si="67"/>
        <v>82</v>
      </c>
      <c r="AE133" s="3">
        <f t="shared" si="68"/>
        <v>77</v>
      </c>
      <c r="AF133" s="3">
        <f t="shared" si="69"/>
        <v>73</v>
      </c>
      <c r="AG133" s="3">
        <f t="shared" si="70"/>
        <v>69</v>
      </c>
      <c r="AH133" s="3">
        <f t="shared" si="71"/>
        <v>65</v>
      </c>
      <c r="AI133" s="3">
        <f t="shared" si="72"/>
        <v>61</v>
      </c>
      <c r="AJ133" s="3">
        <f t="shared" si="73"/>
        <v>51</v>
      </c>
      <c r="AK133" s="3">
        <f t="shared" si="74"/>
        <v>46</v>
      </c>
      <c r="AL133" s="3">
        <f t="shared" si="75"/>
        <v>41</v>
      </c>
      <c r="AM133" s="3">
        <f t="shared" si="76"/>
        <v>36</v>
      </c>
      <c r="AN133" s="3">
        <f t="shared" si="77"/>
        <v>29</v>
      </c>
      <c r="AO133" s="3">
        <f t="shared" si="78"/>
        <v>24</v>
      </c>
      <c r="AP133" s="3">
        <f t="shared" si="79"/>
        <v>19</v>
      </c>
      <c r="AQ133" s="3">
        <f t="shared" si="80"/>
        <v>0</v>
      </c>
      <c r="AR133" s="3">
        <f t="shared" si="81"/>
        <v>89</v>
      </c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M133" s="35" t="s">
        <v>12</v>
      </c>
      <c r="BO133" s="35"/>
      <c r="BR133" s="9" t="str">
        <f t="shared" si="91"/>
        <v/>
      </c>
      <c r="BS133" s="37" t="str">
        <f t="shared" si="92"/>
        <v/>
      </c>
      <c r="BT133" s="38" t="str">
        <f t="shared" si="83"/>
        <v/>
      </c>
      <c r="BU133" s="36" t="str">
        <f t="shared" si="93"/>
        <v/>
      </c>
    </row>
    <row r="134" spans="2:73" ht="15">
      <c r="B134" s="16">
        <f t="shared" si="94"/>
        <v>44011</v>
      </c>
      <c r="C134" s="15" t="s">
        <v>1</v>
      </c>
      <c r="D134" s="17">
        <f t="shared" si="95"/>
        <v>44017</v>
      </c>
      <c r="E134" s="18">
        <f t="shared" si="96"/>
        <v>6</v>
      </c>
      <c r="F134" s="19">
        <f t="shared" si="97"/>
        <v>2020</v>
      </c>
      <c r="G134" s="9">
        <f t="shared" ref="G134:H149" si="98">G133</f>
        <v>17</v>
      </c>
      <c r="H134" s="8">
        <f t="shared" si="98"/>
        <v>95</v>
      </c>
      <c r="I134" s="9"/>
      <c r="J134" s="9"/>
      <c r="K134" s="9"/>
      <c r="L134" s="9"/>
      <c r="M134" s="9"/>
      <c r="N134" s="9"/>
      <c r="O134" s="12"/>
      <c r="P134" s="12"/>
      <c r="Q134" s="12"/>
      <c r="R134" s="12"/>
      <c r="S134" s="12"/>
      <c r="T134" s="12"/>
      <c r="V134" s="20">
        <f t="shared" si="85"/>
        <v>15</v>
      </c>
      <c r="W134" s="20">
        <f t="shared" si="86"/>
        <v>0</v>
      </c>
      <c r="X134" s="20">
        <f t="shared" si="87"/>
        <v>4</v>
      </c>
      <c r="Y134" s="20">
        <f t="shared" si="88"/>
        <v>9</v>
      </c>
      <c r="Z134" s="20">
        <f t="shared" si="89"/>
        <v>0</v>
      </c>
      <c r="AA134" s="20">
        <f t="shared" si="90"/>
        <v>0</v>
      </c>
      <c r="AC134" s="3">
        <f t="shared" si="66"/>
        <v>87</v>
      </c>
      <c r="AD134" s="3">
        <f t="shared" si="67"/>
        <v>83</v>
      </c>
      <c r="AE134" s="3">
        <f t="shared" si="68"/>
        <v>78</v>
      </c>
      <c r="AF134" s="3">
        <f t="shared" si="69"/>
        <v>74</v>
      </c>
      <c r="AG134" s="3">
        <f t="shared" si="70"/>
        <v>70</v>
      </c>
      <c r="AH134" s="3">
        <f t="shared" si="71"/>
        <v>66</v>
      </c>
      <c r="AI134" s="3">
        <f t="shared" si="72"/>
        <v>62</v>
      </c>
      <c r="AJ134" s="3">
        <f t="shared" si="73"/>
        <v>52</v>
      </c>
      <c r="AK134" s="3">
        <f t="shared" si="74"/>
        <v>47</v>
      </c>
      <c r="AL134" s="3">
        <f t="shared" si="75"/>
        <v>42</v>
      </c>
      <c r="AM134" s="3">
        <f t="shared" si="76"/>
        <v>37</v>
      </c>
      <c r="AN134" s="3">
        <f t="shared" si="77"/>
        <v>30</v>
      </c>
      <c r="AO134" s="3">
        <f t="shared" si="78"/>
        <v>25</v>
      </c>
      <c r="AP134" s="3">
        <f t="shared" si="79"/>
        <v>20</v>
      </c>
      <c r="AQ134" s="3">
        <f t="shared" si="80"/>
        <v>0</v>
      </c>
      <c r="AR134" s="3">
        <f t="shared" si="81"/>
        <v>90</v>
      </c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M134" s="35" t="s">
        <v>12</v>
      </c>
      <c r="BO134" s="35"/>
      <c r="BR134" s="9" t="str">
        <f t="shared" si="91"/>
        <v/>
      </c>
      <c r="BS134" s="37" t="str">
        <f t="shared" si="92"/>
        <v/>
      </c>
      <c r="BT134" s="38" t="str">
        <f t="shared" si="83"/>
        <v/>
      </c>
      <c r="BU134" s="36" t="str">
        <f t="shared" si="93"/>
        <v/>
      </c>
    </row>
    <row r="135" spans="2:73" ht="15">
      <c r="B135" s="16">
        <f t="shared" si="94"/>
        <v>44018</v>
      </c>
      <c r="C135" s="15" t="s">
        <v>1</v>
      </c>
      <c r="D135" s="17">
        <f t="shared" si="95"/>
        <v>44024</v>
      </c>
      <c r="E135" s="18">
        <f t="shared" si="96"/>
        <v>7</v>
      </c>
      <c r="F135" s="19">
        <f t="shared" si="97"/>
        <v>2020</v>
      </c>
      <c r="G135" s="9">
        <f t="shared" si="98"/>
        <v>17</v>
      </c>
      <c r="H135" s="8">
        <f t="shared" si="98"/>
        <v>95</v>
      </c>
      <c r="I135" s="9"/>
      <c r="J135" s="9"/>
      <c r="K135" s="9"/>
      <c r="L135" s="9"/>
      <c r="M135" s="9"/>
      <c r="N135" s="9"/>
      <c r="O135" s="12"/>
      <c r="P135" s="12">
        <v>1</v>
      </c>
      <c r="Q135" s="12"/>
      <c r="R135" s="12"/>
      <c r="S135" s="12"/>
      <c r="T135" s="12"/>
      <c r="V135" s="20">
        <f t="shared" si="85"/>
        <v>16</v>
      </c>
      <c r="W135" s="20">
        <f t="shared" si="86"/>
        <v>44020</v>
      </c>
      <c r="X135" s="20">
        <f t="shared" si="87"/>
        <v>5</v>
      </c>
      <c r="Y135" s="20">
        <f t="shared" si="88"/>
        <v>10</v>
      </c>
      <c r="Z135" s="20">
        <f t="shared" si="89"/>
        <v>0</v>
      </c>
      <c r="AA135" s="20">
        <f t="shared" si="90"/>
        <v>0</v>
      </c>
      <c r="AC135" s="3">
        <f t="shared" si="66"/>
        <v>88</v>
      </c>
      <c r="AD135" s="3">
        <f t="shared" si="67"/>
        <v>84</v>
      </c>
      <c r="AE135" s="3">
        <f t="shared" si="68"/>
        <v>79</v>
      </c>
      <c r="AF135" s="3">
        <f t="shared" si="69"/>
        <v>75</v>
      </c>
      <c r="AG135" s="3">
        <f t="shared" si="70"/>
        <v>71</v>
      </c>
      <c r="AH135" s="3">
        <f t="shared" si="71"/>
        <v>67</v>
      </c>
      <c r="AI135" s="3">
        <f t="shared" si="72"/>
        <v>63</v>
      </c>
      <c r="AJ135" s="3">
        <f t="shared" si="73"/>
        <v>53</v>
      </c>
      <c r="AK135" s="3">
        <f t="shared" si="74"/>
        <v>48</v>
      </c>
      <c r="AL135" s="3">
        <f t="shared" si="75"/>
        <v>43</v>
      </c>
      <c r="AM135" s="3">
        <f t="shared" si="76"/>
        <v>38</v>
      </c>
      <c r="AN135" s="3">
        <f t="shared" si="77"/>
        <v>31</v>
      </c>
      <c r="AO135" s="3">
        <f t="shared" si="78"/>
        <v>26</v>
      </c>
      <c r="AP135" s="3">
        <f t="shared" si="79"/>
        <v>21</v>
      </c>
      <c r="AQ135" s="3">
        <f t="shared" si="80"/>
        <v>16</v>
      </c>
      <c r="AR135" s="3">
        <f t="shared" si="81"/>
        <v>91</v>
      </c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>
        <v>1</v>
      </c>
      <c r="BH135" s="8"/>
      <c r="BM135" s="35" t="s">
        <v>12</v>
      </c>
      <c r="BO135" s="35"/>
      <c r="BR135" s="9">
        <f t="shared" si="91"/>
        <v>2</v>
      </c>
      <c r="BS135" s="37">
        <f t="shared" si="92"/>
        <v>44020</v>
      </c>
      <c r="BT135" s="38">
        <f t="shared" si="83"/>
        <v>44139</v>
      </c>
      <c r="BU135" s="36">
        <f t="shared" si="93"/>
        <v>11</v>
      </c>
    </row>
    <row r="136" spans="2:73" ht="15">
      <c r="B136" s="16">
        <f t="shared" si="94"/>
        <v>44025</v>
      </c>
      <c r="C136" s="15" t="s">
        <v>1</v>
      </c>
      <c r="D136" s="17">
        <f t="shared" si="95"/>
        <v>44031</v>
      </c>
      <c r="E136" s="18">
        <f t="shared" si="96"/>
        <v>7</v>
      </c>
      <c r="F136" s="19">
        <f t="shared" si="97"/>
        <v>2020</v>
      </c>
      <c r="G136" s="9">
        <f t="shared" si="98"/>
        <v>17</v>
      </c>
      <c r="H136" s="8">
        <f t="shared" si="98"/>
        <v>95</v>
      </c>
      <c r="I136" s="9"/>
      <c r="J136" s="9"/>
      <c r="K136" s="9"/>
      <c r="L136" s="9"/>
      <c r="M136" s="9"/>
      <c r="N136" s="9"/>
      <c r="O136" s="12"/>
      <c r="P136" s="12"/>
      <c r="Q136" s="12"/>
      <c r="R136" s="12"/>
      <c r="S136" s="12"/>
      <c r="T136" s="12"/>
      <c r="V136" s="20">
        <f t="shared" si="85"/>
        <v>17</v>
      </c>
      <c r="W136" s="20">
        <f t="shared" si="86"/>
        <v>1</v>
      </c>
      <c r="X136" s="20">
        <f t="shared" si="87"/>
        <v>6</v>
      </c>
      <c r="Y136" s="20">
        <f t="shared" si="88"/>
        <v>11</v>
      </c>
      <c r="Z136" s="20">
        <f t="shared" si="89"/>
        <v>0</v>
      </c>
      <c r="AA136" s="20">
        <f t="shared" si="90"/>
        <v>0</v>
      </c>
      <c r="AC136" s="3">
        <f t="shared" si="66"/>
        <v>89</v>
      </c>
      <c r="AD136" s="3">
        <f t="shared" si="67"/>
        <v>85</v>
      </c>
      <c r="AE136" s="3">
        <f t="shared" si="68"/>
        <v>80</v>
      </c>
      <c r="AF136" s="3">
        <f t="shared" si="69"/>
        <v>76</v>
      </c>
      <c r="AG136" s="3">
        <f t="shared" si="70"/>
        <v>72</v>
      </c>
      <c r="AH136" s="3">
        <f t="shared" si="71"/>
        <v>68</v>
      </c>
      <c r="AI136" s="3">
        <f t="shared" si="72"/>
        <v>64</v>
      </c>
      <c r="AJ136" s="3">
        <f t="shared" si="73"/>
        <v>54</v>
      </c>
      <c r="AK136" s="3">
        <f t="shared" si="74"/>
        <v>49</v>
      </c>
      <c r="AL136" s="3">
        <f t="shared" si="75"/>
        <v>44</v>
      </c>
      <c r="AM136" s="3">
        <f t="shared" si="76"/>
        <v>39</v>
      </c>
      <c r="AN136" s="3">
        <f t="shared" si="77"/>
        <v>32</v>
      </c>
      <c r="AO136" s="3">
        <f t="shared" si="78"/>
        <v>27</v>
      </c>
      <c r="AP136" s="3">
        <f t="shared" si="79"/>
        <v>22</v>
      </c>
      <c r="AQ136" s="3">
        <f t="shared" si="80"/>
        <v>17</v>
      </c>
      <c r="AR136" s="3">
        <f t="shared" si="81"/>
        <v>92</v>
      </c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M136" s="35" t="s">
        <v>12</v>
      </c>
      <c r="BO136" s="35"/>
      <c r="BR136" s="9" t="str">
        <f t="shared" si="91"/>
        <v/>
      </c>
      <c r="BS136" s="37" t="str">
        <f t="shared" si="92"/>
        <v/>
      </c>
      <c r="BT136" s="38" t="str">
        <f t="shared" si="83"/>
        <v/>
      </c>
      <c r="BU136" s="36" t="str">
        <f t="shared" si="93"/>
        <v/>
      </c>
    </row>
    <row r="137" spans="2:73" ht="15">
      <c r="B137" s="16">
        <f t="shared" si="94"/>
        <v>44032</v>
      </c>
      <c r="C137" s="15" t="s">
        <v>1</v>
      </c>
      <c r="D137" s="17">
        <f t="shared" si="95"/>
        <v>44038</v>
      </c>
      <c r="E137" s="18">
        <f t="shared" si="96"/>
        <v>7</v>
      </c>
      <c r="F137" s="19">
        <f t="shared" si="97"/>
        <v>2020</v>
      </c>
      <c r="G137" s="9">
        <f t="shared" si="98"/>
        <v>17</v>
      </c>
      <c r="H137" s="8">
        <f t="shared" si="98"/>
        <v>95</v>
      </c>
      <c r="I137" s="9"/>
      <c r="J137" s="9"/>
      <c r="K137" s="9"/>
      <c r="L137" s="9"/>
      <c r="M137" s="9"/>
      <c r="N137" s="9"/>
      <c r="O137" s="12"/>
      <c r="P137" s="12"/>
      <c r="Q137" s="12"/>
      <c r="R137" s="12"/>
      <c r="S137" s="12"/>
      <c r="T137" s="12"/>
      <c r="V137" s="20">
        <f t="shared" si="85"/>
        <v>0</v>
      </c>
      <c r="W137" s="20">
        <f t="shared" si="86"/>
        <v>2</v>
      </c>
      <c r="X137" s="20">
        <f t="shared" si="87"/>
        <v>7</v>
      </c>
      <c r="Y137" s="20">
        <f t="shared" si="88"/>
        <v>12</v>
      </c>
      <c r="Z137" s="20">
        <f t="shared" si="89"/>
        <v>0</v>
      </c>
      <c r="AA137" s="20">
        <f t="shared" si="90"/>
        <v>0</v>
      </c>
      <c r="AC137" s="3">
        <f t="shared" si="66"/>
        <v>90</v>
      </c>
      <c r="AD137" s="3">
        <f t="shared" si="67"/>
        <v>86</v>
      </c>
      <c r="AE137" s="3">
        <f t="shared" si="68"/>
        <v>81</v>
      </c>
      <c r="AF137" s="3">
        <f t="shared" si="69"/>
        <v>77</v>
      </c>
      <c r="AG137" s="3">
        <f t="shared" si="70"/>
        <v>73</v>
      </c>
      <c r="AH137" s="3">
        <f t="shared" si="71"/>
        <v>69</v>
      </c>
      <c r="AI137" s="3">
        <f t="shared" si="72"/>
        <v>65</v>
      </c>
      <c r="AJ137" s="3">
        <f t="shared" si="73"/>
        <v>55</v>
      </c>
      <c r="AK137" s="3">
        <f t="shared" si="74"/>
        <v>50</v>
      </c>
      <c r="AL137" s="3">
        <f t="shared" si="75"/>
        <v>45</v>
      </c>
      <c r="AM137" s="3">
        <f t="shared" si="76"/>
        <v>40</v>
      </c>
      <c r="AN137" s="3">
        <f t="shared" si="77"/>
        <v>33</v>
      </c>
      <c r="AO137" s="3">
        <f t="shared" si="78"/>
        <v>28</v>
      </c>
      <c r="AP137" s="3">
        <f t="shared" si="79"/>
        <v>23</v>
      </c>
      <c r="AQ137" s="3">
        <f t="shared" si="80"/>
        <v>18</v>
      </c>
      <c r="AR137" s="3">
        <f t="shared" si="81"/>
        <v>93</v>
      </c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M137" s="35" t="s">
        <v>12</v>
      </c>
      <c r="BO137" s="35"/>
      <c r="BR137" s="9" t="str">
        <f t="shared" si="91"/>
        <v/>
      </c>
      <c r="BS137" s="37" t="str">
        <f t="shared" si="92"/>
        <v/>
      </c>
      <c r="BT137" s="38" t="str">
        <f t="shared" si="83"/>
        <v/>
      </c>
      <c r="BU137" s="36" t="str">
        <f t="shared" si="93"/>
        <v/>
      </c>
    </row>
    <row r="138" spans="2:73" ht="15">
      <c r="B138" s="16">
        <f t="shared" si="94"/>
        <v>44039</v>
      </c>
      <c r="C138" s="15" t="s">
        <v>1</v>
      </c>
      <c r="D138" s="17">
        <f t="shared" si="95"/>
        <v>44045</v>
      </c>
      <c r="E138" s="18">
        <f t="shared" si="96"/>
        <v>7</v>
      </c>
      <c r="F138" s="19">
        <f t="shared" si="97"/>
        <v>2020</v>
      </c>
      <c r="G138" s="9">
        <f t="shared" si="98"/>
        <v>17</v>
      </c>
      <c r="H138" s="8">
        <f t="shared" si="98"/>
        <v>95</v>
      </c>
      <c r="I138" s="9"/>
      <c r="J138" s="9"/>
      <c r="K138" s="9"/>
      <c r="L138" s="9"/>
      <c r="M138" s="9"/>
      <c r="N138" s="9"/>
      <c r="O138" s="12"/>
      <c r="P138" s="12"/>
      <c r="Q138" s="12"/>
      <c r="R138" s="12"/>
      <c r="S138" s="12"/>
      <c r="T138" s="12"/>
      <c r="V138" s="20">
        <f t="shared" si="85"/>
        <v>0</v>
      </c>
      <c r="W138" s="20">
        <f t="shared" si="86"/>
        <v>3</v>
      </c>
      <c r="X138" s="20">
        <f t="shared" si="87"/>
        <v>8</v>
      </c>
      <c r="Y138" s="20">
        <f t="shared" si="88"/>
        <v>13</v>
      </c>
      <c r="Z138" s="20">
        <f t="shared" si="89"/>
        <v>0</v>
      </c>
      <c r="AA138" s="20">
        <f t="shared" si="90"/>
        <v>0</v>
      </c>
      <c r="AC138" s="3">
        <f t="shared" si="66"/>
        <v>91</v>
      </c>
      <c r="AD138" s="3">
        <f t="shared" si="67"/>
        <v>87</v>
      </c>
      <c r="AE138" s="3">
        <f t="shared" si="68"/>
        <v>82</v>
      </c>
      <c r="AF138" s="3">
        <f t="shared" si="69"/>
        <v>78</v>
      </c>
      <c r="AG138" s="3">
        <f t="shared" si="70"/>
        <v>74</v>
      </c>
      <c r="AH138" s="3">
        <f t="shared" si="71"/>
        <v>70</v>
      </c>
      <c r="AI138" s="3">
        <f t="shared" si="72"/>
        <v>66</v>
      </c>
      <c r="AJ138" s="3">
        <f t="shared" si="73"/>
        <v>56</v>
      </c>
      <c r="AK138" s="3">
        <f t="shared" si="74"/>
        <v>51</v>
      </c>
      <c r="AL138" s="3">
        <f t="shared" si="75"/>
        <v>46</v>
      </c>
      <c r="AM138" s="3">
        <f t="shared" si="76"/>
        <v>41</v>
      </c>
      <c r="AN138" s="3">
        <f t="shared" si="77"/>
        <v>34</v>
      </c>
      <c r="AO138" s="3">
        <f t="shared" si="78"/>
        <v>29</v>
      </c>
      <c r="AP138" s="3">
        <f t="shared" si="79"/>
        <v>24</v>
      </c>
      <c r="AQ138" s="3">
        <f t="shared" si="80"/>
        <v>19</v>
      </c>
      <c r="AR138" s="3">
        <f t="shared" si="81"/>
        <v>94</v>
      </c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 t="s">
        <v>5</v>
      </c>
      <c r="BM138" s="35" t="s">
        <v>12</v>
      </c>
      <c r="BO138" s="35"/>
      <c r="BR138" s="9" t="str">
        <f t="shared" si="91"/>
        <v/>
      </c>
      <c r="BS138" s="37" t="str">
        <f t="shared" si="92"/>
        <v/>
      </c>
      <c r="BT138" s="38" t="str">
        <f t="shared" si="83"/>
        <v/>
      </c>
      <c r="BU138" s="36" t="str">
        <f t="shared" si="93"/>
        <v/>
      </c>
    </row>
    <row r="139" spans="2:73" ht="15">
      <c r="B139" s="16">
        <f t="shared" si="94"/>
        <v>44046</v>
      </c>
      <c r="C139" s="15" t="s">
        <v>1</v>
      </c>
      <c r="D139" s="17">
        <f t="shared" si="95"/>
        <v>44052</v>
      </c>
      <c r="E139" s="18">
        <f t="shared" si="96"/>
        <v>8</v>
      </c>
      <c r="F139" s="19">
        <f t="shared" si="97"/>
        <v>2020</v>
      </c>
      <c r="G139" s="9">
        <f t="shared" si="98"/>
        <v>17</v>
      </c>
      <c r="H139" s="8">
        <f t="shared" si="98"/>
        <v>95</v>
      </c>
      <c r="I139" s="9"/>
      <c r="J139" s="9"/>
      <c r="K139" s="9"/>
      <c r="L139" s="9"/>
      <c r="M139" s="9"/>
      <c r="N139" s="9"/>
      <c r="O139" s="12"/>
      <c r="P139" s="12"/>
      <c r="Q139" s="12"/>
      <c r="R139" s="12"/>
      <c r="S139" s="12"/>
      <c r="T139" s="12"/>
      <c r="V139" s="20">
        <f t="shared" si="85"/>
        <v>0</v>
      </c>
      <c r="W139" s="20">
        <f t="shared" si="86"/>
        <v>4</v>
      </c>
      <c r="X139" s="20">
        <f t="shared" si="87"/>
        <v>9</v>
      </c>
      <c r="Y139" s="20">
        <f t="shared" si="88"/>
        <v>14</v>
      </c>
      <c r="Z139" s="20">
        <f t="shared" si="89"/>
        <v>0</v>
      </c>
      <c r="AA139" s="20">
        <f t="shared" si="90"/>
        <v>0</v>
      </c>
      <c r="AC139" s="3">
        <f t="shared" si="66"/>
        <v>92</v>
      </c>
      <c r="AD139" s="3">
        <f t="shared" si="67"/>
        <v>88</v>
      </c>
      <c r="AE139" s="3">
        <f t="shared" si="68"/>
        <v>83</v>
      </c>
      <c r="AF139" s="3">
        <f t="shared" si="69"/>
        <v>79</v>
      </c>
      <c r="AG139" s="3">
        <f t="shared" si="70"/>
        <v>75</v>
      </c>
      <c r="AH139" s="3">
        <f t="shared" si="71"/>
        <v>71</v>
      </c>
      <c r="AI139" s="3">
        <f t="shared" si="72"/>
        <v>67</v>
      </c>
      <c r="AJ139" s="3">
        <f t="shared" si="73"/>
        <v>57</v>
      </c>
      <c r="AK139" s="3">
        <f t="shared" si="74"/>
        <v>52</v>
      </c>
      <c r="AL139" s="3">
        <f t="shared" si="75"/>
        <v>47</v>
      </c>
      <c r="AM139" s="3">
        <f t="shared" si="76"/>
        <v>42</v>
      </c>
      <c r="AN139" s="3">
        <f t="shared" si="77"/>
        <v>35</v>
      </c>
      <c r="AO139" s="3">
        <f t="shared" si="78"/>
        <v>30</v>
      </c>
      <c r="AP139" s="3">
        <f t="shared" si="79"/>
        <v>25</v>
      </c>
      <c r="AQ139" s="3">
        <f t="shared" si="80"/>
        <v>20</v>
      </c>
      <c r="AR139" s="3">
        <f t="shared" si="81"/>
        <v>0</v>
      </c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L139">
        <v>10</v>
      </c>
      <c r="BM139" s="35">
        <v>44046</v>
      </c>
      <c r="BO139" s="35">
        <f>B154</f>
        <v>44151</v>
      </c>
      <c r="BP139">
        <v>95</v>
      </c>
      <c r="BR139" s="9" t="str">
        <f t="shared" si="91"/>
        <v/>
      </c>
      <c r="BS139" s="37" t="str">
        <f t="shared" si="92"/>
        <v/>
      </c>
      <c r="BT139" s="38" t="str">
        <f t="shared" si="83"/>
        <v/>
      </c>
      <c r="BU139" s="36" t="str">
        <f t="shared" si="93"/>
        <v/>
      </c>
    </row>
    <row r="140" spans="2:73" ht="15">
      <c r="B140" s="16">
        <f t="shared" si="94"/>
        <v>44053</v>
      </c>
      <c r="C140" s="15" t="s">
        <v>1</v>
      </c>
      <c r="D140" s="17">
        <f t="shared" si="95"/>
        <v>44059</v>
      </c>
      <c r="E140" s="18">
        <f t="shared" si="96"/>
        <v>8</v>
      </c>
      <c r="F140" s="19">
        <f t="shared" si="97"/>
        <v>2020</v>
      </c>
      <c r="G140" s="9">
        <f t="shared" si="98"/>
        <v>17</v>
      </c>
      <c r="H140" s="8">
        <f t="shared" si="98"/>
        <v>95</v>
      </c>
      <c r="I140" s="9"/>
      <c r="J140" s="9"/>
      <c r="K140" s="9"/>
      <c r="L140" s="9"/>
      <c r="M140" s="9"/>
      <c r="N140" s="9"/>
      <c r="O140" s="12">
        <v>1</v>
      </c>
      <c r="P140" s="12"/>
      <c r="Q140" s="12"/>
      <c r="R140" s="12"/>
      <c r="S140" s="12"/>
      <c r="T140" s="12"/>
      <c r="V140" s="20">
        <f t="shared" si="85"/>
        <v>44055</v>
      </c>
      <c r="W140" s="20">
        <f t="shared" si="86"/>
        <v>5</v>
      </c>
      <c r="X140" s="20">
        <f t="shared" si="87"/>
        <v>10</v>
      </c>
      <c r="Y140" s="20">
        <f t="shared" si="88"/>
        <v>15</v>
      </c>
      <c r="Z140" s="20">
        <f t="shared" si="89"/>
        <v>0</v>
      </c>
      <c r="AA140" s="20">
        <f t="shared" si="90"/>
        <v>0</v>
      </c>
      <c r="AC140" s="3">
        <f t="shared" si="66"/>
        <v>93</v>
      </c>
      <c r="AD140" s="3">
        <f t="shared" si="67"/>
        <v>89</v>
      </c>
      <c r="AE140" s="3">
        <f t="shared" si="68"/>
        <v>84</v>
      </c>
      <c r="AF140" s="3">
        <f t="shared" si="69"/>
        <v>80</v>
      </c>
      <c r="AG140" s="3">
        <f t="shared" si="70"/>
        <v>76</v>
      </c>
      <c r="AH140" s="3">
        <f t="shared" si="71"/>
        <v>72</v>
      </c>
      <c r="AI140" s="3">
        <f t="shared" si="72"/>
        <v>68</v>
      </c>
      <c r="AJ140" s="3">
        <f t="shared" si="73"/>
        <v>58</v>
      </c>
      <c r="AK140" s="3">
        <f t="shared" si="74"/>
        <v>53</v>
      </c>
      <c r="AL140" s="3">
        <f t="shared" si="75"/>
        <v>48</v>
      </c>
      <c r="AM140" s="3">
        <f t="shared" si="76"/>
        <v>43</v>
      </c>
      <c r="AN140" s="3">
        <f t="shared" si="77"/>
        <v>36</v>
      </c>
      <c r="AO140" s="3">
        <f t="shared" si="78"/>
        <v>31</v>
      </c>
      <c r="AP140" s="3">
        <f t="shared" si="79"/>
        <v>26</v>
      </c>
      <c r="AQ140" s="3">
        <f t="shared" si="80"/>
        <v>21</v>
      </c>
      <c r="AR140" s="3">
        <f t="shared" si="81"/>
        <v>0</v>
      </c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M140" s="35" t="s">
        <v>12</v>
      </c>
      <c r="BO140" s="35"/>
      <c r="BR140" s="9">
        <f t="shared" si="91"/>
        <v>1</v>
      </c>
      <c r="BS140" s="37">
        <f t="shared" si="92"/>
        <v>44055</v>
      </c>
      <c r="BT140" s="38">
        <f t="shared" si="83"/>
        <v>44174</v>
      </c>
      <c r="BU140" s="36">
        <f t="shared" si="93"/>
        <v>10</v>
      </c>
    </row>
    <row r="141" spans="2:73" ht="15">
      <c r="B141" s="16">
        <f t="shared" si="94"/>
        <v>44060</v>
      </c>
      <c r="C141" s="15" t="s">
        <v>1</v>
      </c>
      <c r="D141" s="17">
        <f t="shared" si="95"/>
        <v>44066</v>
      </c>
      <c r="E141" s="18">
        <f t="shared" si="96"/>
        <v>8</v>
      </c>
      <c r="F141" s="19">
        <f t="shared" si="97"/>
        <v>2020</v>
      </c>
      <c r="G141" s="9">
        <f t="shared" si="98"/>
        <v>17</v>
      </c>
      <c r="H141" s="8">
        <f t="shared" si="98"/>
        <v>95</v>
      </c>
      <c r="I141" s="9"/>
      <c r="J141" s="9"/>
      <c r="K141" s="9"/>
      <c r="L141" s="9"/>
      <c r="M141" s="9"/>
      <c r="N141" s="9"/>
      <c r="O141" s="12"/>
      <c r="P141" s="12"/>
      <c r="Q141" s="12"/>
      <c r="R141" s="12"/>
      <c r="S141" s="12"/>
      <c r="T141" s="12"/>
      <c r="V141" s="20">
        <f t="shared" si="85"/>
        <v>1</v>
      </c>
      <c r="W141" s="20">
        <f t="shared" si="86"/>
        <v>6</v>
      </c>
      <c r="X141" s="20">
        <f t="shared" si="87"/>
        <v>11</v>
      </c>
      <c r="Y141" s="20">
        <f t="shared" si="88"/>
        <v>16</v>
      </c>
      <c r="Z141" s="20">
        <f t="shared" si="89"/>
        <v>0</v>
      </c>
      <c r="AA141" s="20">
        <f t="shared" si="90"/>
        <v>0</v>
      </c>
      <c r="AC141" s="3">
        <f t="shared" si="66"/>
        <v>94</v>
      </c>
      <c r="AD141" s="3">
        <f t="shared" si="67"/>
        <v>90</v>
      </c>
      <c r="AE141" s="3">
        <f t="shared" si="68"/>
        <v>85</v>
      </c>
      <c r="AF141" s="3">
        <f t="shared" si="69"/>
        <v>81</v>
      </c>
      <c r="AG141" s="3">
        <f t="shared" si="70"/>
        <v>77</v>
      </c>
      <c r="AH141" s="3">
        <f t="shared" si="71"/>
        <v>73</v>
      </c>
      <c r="AI141" s="3">
        <f t="shared" si="72"/>
        <v>69</v>
      </c>
      <c r="AJ141" s="3">
        <f t="shared" si="73"/>
        <v>59</v>
      </c>
      <c r="AK141" s="3">
        <f t="shared" si="74"/>
        <v>54</v>
      </c>
      <c r="AL141" s="3">
        <f t="shared" si="75"/>
        <v>49</v>
      </c>
      <c r="AM141" s="3">
        <f t="shared" si="76"/>
        <v>44</v>
      </c>
      <c r="AN141" s="3">
        <f t="shared" si="77"/>
        <v>37</v>
      </c>
      <c r="AO141" s="3">
        <f t="shared" si="78"/>
        <v>32</v>
      </c>
      <c r="AP141" s="3">
        <f t="shared" si="79"/>
        <v>27</v>
      </c>
      <c r="AQ141" s="3">
        <f t="shared" si="80"/>
        <v>22</v>
      </c>
      <c r="AR141" s="3">
        <f t="shared" si="81"/>
        <v>0</v>
      </c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M141" s="35" t="s">
        <v>12</v>
      </c>
      <c r="BO141" s="35"/>
      <c r="BR141" s="9" t="str">
        <f t="shared" si="91"/>
        <v/>
      </c>
      <c r="BS141" s="37" t="str">
        <f t="shared" si="92"/>
        <v/>
      </c>
      <c r="BT141" s="38" t="str">
        <f t="shared" si="83"/>
        <v/>
      </c>
      <c r="BU141" s="36" t="str">
        <f t="shared" si="93"/>
        <v/>
      </c>
    </row>
    <row r="142" spans="2:73" ht="15">
      <c r="B142" s="16">
        <f t="shared" si="94"/>
        <v>44067</v>
      </c>
      <c r="C142" s="15" t="s">
        <v>1</v>
      </c>
      <c r="D142" s="17">
        <f t="shared" si="95"/>
        <v>44073</v>
      </c>
      <c r="E142" s="18">
        <f t="shared" si="96"/>
        <v>8</v>
      </c>
      <c r="F142" s="19">
        <f t="shared" si="97"/>
        <v>2020</v>
      </c>
      <c r="G142" s="9">
        <f t="shared" si="98"/>
        <v>17</v>
      </c>
      <c r="H142" s="8">
        <f t="shared" si="98"/>
        <v>95</v>
      </c>
      <c r="I142" s="9"/>
      <c r="J142" s="9"/>
      <c r="K142" s="9"/>
      <c r="L142" s="9"/>
      <c r="M142" s="9"/>
      <c r="N142" s="9"/>
      <c r="O142" s="12"/>
      <c r="P142" s="12"/>
      <c r="Q142" s="12"/>
      <c r="R142" s="12"/>
      <c r="S142" s="12"/>
      <c r="T142" s="12"/>
      <c r="V142" s="20">
        <f t="shared" si="85"/>
        <v>2</v>
      </c>
      <c r="W142" s="20">
        <f t="shared" si="86"/>
        <v>7</v>
      </c>
      <c r="X142" s="20">
        <f t="shared" si="87"/>
        <v>12</v>
      </c>
      <c r="Y142" s="20">
        <f t="shared" si="88"/>
        <v>17</v>
      </c>
      <c r="Z142" s="20">
        <f t="shared" si="89"/>
        <v>0</v>
      </c>
      <c r="AA142" s="20">
        <f t="shared" si="90"/>
        <v>0</v>
      </c>
      <c r="AC142" s="3">
        <f t="shared" si="66"/>
        <v>95</v>
      </c>
      <c r="AD142" s="3">
        <f t="shared" si="67"/>
        <v>91</v>
      </c>
      <c r="AE142" s="3">
        <f t="shared" si="68"/>
        <v>86</v>
      </c>
      <c r="AF142" s="3">
        <f t="shared" si="69"/>
        <v>82</v>
      </c>
      <c r="AG142" s="3">
        <f t="shared" si="70"/>
        <v>78</v>
      </c>
      <c r="AH142" s="3">
        <f t="shared" si="71"/>
        <v>74</v>
      </c>
      <c r="AI142" s="3">
        <f t="shared" si="72"/>
        <v>70</v>
      </c>
      <c r="AJ142" s="3">
        <f t="shared" si="73"/>
        <v>60</v>
      </c>
      <c r="AK142" s="3">
        <f t="shared" si="74"/>
        <v>55</v>
      </c>
      <c r="AL142" s="3">
        <f t="shared" si="75"/>
        <v>50</v>
      </c>
      <c r="AM142" s="3">
        <f t="shared" si="76"/>
        <v>45</v>
      </c>
      <c r="AN142" s="3">
        <f t="shared" si="77"/>
        <v>38</v>
      </c>
      <c r="AO142" s="3">
        <f t="shared" si="78"/>
        <v>33</v>
      </c>
      <c r="AP142" s="3">
        <f t="shared" si="79"/>
        <v>28</v>
      </c>
      <c r="AQ142" s="3">
        <f t="shared" si="80"/>
        <v>23</v>
      </c>
      <c r="AR142" s="3">
        <f t="shared" si="81"/>
        <v>17</v>
      </c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>
        <v>4</v>
      </c>
      <c r="BM142" s="35" t="s">
        <v>12</v>
      </c>
      <c r="BO142" s="35"/>
      <c r="BR142" s="9" t="str">
        <f t="shared" si="91"/>
        <v/>
      </c>
      <c r="BS142" s="37" t="str">
        <f t="shared" si="92"/>
        <v/>
      </c>
      <c r="BT142" s="38" t="str">
        <f t="shared" si="83"/>
        <v/>
      </c>
      <c r="BU142" s="36" t="str">
        <f t="shared" si="93"/>
        <v/>
      </c>
    </row>
    <row r="143" spans="2:73" ht="15">
      <c r="B143" s="16">
        <f t="shared" si="94"/>
        <v>44074</v>
      </c>
      <c r="C143" s="15" t="s">
        <v>1</v>
      </c>
      <c r="D143" s="17">
        <f t="shared" si="95"/>
        <v>44080</v>
      </c>
      <c r="E143" s="18">
        <f t="shared" si="96"/>
        <v>8</v>
      </c>
      <c r="F143" s="19">
        <f t="shared" si="97"/>
        <v>2020</v>
      </c>
      <c r="G143" s="9">
        <f t="shared" si="98"/>
        <v>17</v>
      </c>
      <c r="H143" s="8">
        <f t="shared" si="98"/>
        <v>95</v>
      </c>
      <c r="I143" s="9"/>
      <c r="J143" s="9"/>
      <c r="K143" s="9"/>
      <c r="L143" s="9"/>
      <c r="M143" s="9"/>
      <c r="N143" s="9"/>
      <c r="O143" s="12"/>
      <c r="P143" s="12"/>
      <c r="Q143" s="12"/>
      <c r="R143" s="12"/>
      <c r="S143" s="12"/>
      <c r="T143" s="12"/>
      <c r="V143" s="20">
        <f t="shared" si="85"/>
        <v>3</v>
      </c>
      <c r="W143" s="20">
        <f t="shared" si="86"/>
        <v>8</v>
      </c>
      <c r="X143" s="20">
        <f t="shared" si="87"/>
        <v>13</v>
      </c>
      <c r="Y143" s="20">
        <f t="shared" si="88"/>
        <v>0</v>
      </c>
      <c r="Z143" s="20">
        <f t="shared" si="89"/>
        <v>0</v>
      </c>
      <c r="AA143" s="20">
        <f t="shared" si="90"/>
        <v>0</v>
      </c>
      <c r="AC143" s="3">
        <f t="shared" si="66"/>
        <v>0</v>
      </c>
      <c r="AD143" s="3">
        <f t="shared" si="67"/>
        <v>92</v>
      </c>
      <c r="AE143" s="3">
        <f t="shared" si="68"/>
        <v>87</v>
      </c>
      <c r="AF143" s="3">
        <f t="shared" si="69"/>
        <v>83</v>
      </c>
      <c r="AG143" s="3">
        <f t="shared" si="70"/>
        <v>79</v>
      </c>
      <c r="AH143" s="3">
        <f t="shared" si="71"/>
        <v>75</v>
      </c>
      <c r="AI143" s="3">
        <f t="shared" si="72"/>
        <v>71</v>
      </c>
      <c r="AJ143" s="3">
        <f t="shared" si="73"/>
        <v>61</v>
      </c>
      <c r="AK143" s="3">
        <f t="shared" si="74"/>
        <v>56</v>
      </c>
      <c r="AL143" s="3">
        <f t="shared" si="75"/>
        <v>51</v>
      </c>
      <c r="AM143" s="3">
        <f t="shared" si="76"/>
        <v>46</v>
      </c>
      <c r="AN143" s="3">
        <f t="shared" si="77"/>
        <v>39</v>
      </c>
      <c r="AO143" s="3">
        <f t="shared" si="78"/>
        <v>34</v>
      </c>
      <c r="AP143" s="3">
        <f t="shared" si="79"/>
        <v>29</v>
      </c>
      <c r="AQ143" s="3">
        <f t="shared" si="80"/>
        <v>24</v>
      </c>
      <c r="AR143" s="3">
        <f t="shared" si="81"/>
        <v>18</v>
      </c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M143" s="35" t="s">
        <v>12</v>
      </c>
      <c r="BO143" s="35"/>
      <c r="BR143" s="9" t="str">
        <f t="shared" si="91"/>
        <v/>
      </c>
      <c r="BS143" s="37" t="str">
        <f t="shared" si="92"/>
        <v/>
      </c>
      <c r="BT143" s="38" t="str">
        <f t="shared" si="83"/>
        <v/>
      </c>
      <c r="BU143" s="36" t="str">
        <f t="shared" si="93"/>
        <v/>
      </c>
    </row>
    <row r="144" spans="2:73" ht="15">
      <c r="B144" s="16">
        <f t="shared" si="94"/>
        <v>44081</v>
      </c>
      <c r="C144" s="15" t="s">
        <v>1</v>
      </c>
      <c r="D144" s="17">
        <f t="shared" si="95"/>
        <v>44087</v>
      </c>
      <c r="E144" s="18">
        <f t="shared" si="96"/>
        <v>9</v>
      </c>
      <c r="F144" s="19">
        <f t="shared" si="97"/>
        <v>2020</v>
      </c>
      <c r="G144" s="9">
        <f t="shared" si="98"/>
        <v>17</v>
      </c>
      <c r="H144" s="8">
        <f t="shared" si="98"/>
        <v>95</v>
      </c>
      <c r="I144" s="9"/>
      <c r="J144" s="9"/>
      <c r="K144" s="9"/>
      <c r="L144" s="9"/>
      <c r="M144" s="9"/>
      <c r="N144" s="9"/>
      <c r="O144" s="12"/>
      <c r="P144" s="12"/>
      <c r="Q144" s="12"/>
      <c r="R144" s="12"/>
      <c r="S144" s="12"/>
      <c r="T144" s="12"/>
      <c r="V144" s="20">
        <f t="shared" si="85"/>
        <v>4</v>
      </c>
      <c r="W144" s="20">
        <f t="shared" si="86"/>
        <v>9</v>
      </c>
      <c r="X144" s="20">
        <f t="shared" si="87"/>
        <v>14</v>
      </c>
      <c r="Y144" s="20">
        <f t="shared" si="88"/>
        <v>0</v>
      </c>
      <c r="Z144" s="20">
        <f t="shared" si="89"/>
        <v>0</v>
      </c>
      <c r="AA144" s="20">
        <f t="shared" si="90"/>
        <v>0</v>
      </c>
      <c r="AC144" s="3">
        <f t="shared" si="66"/>
        <v>0</v>
      </c>
      <c r="AD144" s="3">
        <f t="shared" si="67"/>
        <v>93</v>
      </c>
      <c r="AE144" s="3">
        <f t="shared" si="68"/>
        <v>88</v>
      </c>
      <c r="AF144" s="3">
        <f t="shared" si="69"/>
        <v>84</v>
      </c>
      <c r="AG144" s="3">
        <f t="shared" si="70"/>
        <v>80</v>
      </c>
      <c r="AH144" s="3">
        <f t="shared" si="71"/>
        <v>76</v>
      </c>
      <c r="AI144" s="3">
        <f t="shared" si="72"/>
        <v>72</v>
      </c>
      <c r="AJ144" s="3">
        <f t="shared" si="73"/>
        <v>62</v>
      </c>
      <c r="AK144" s="3">
        <f t="shared" si="74"/>
        <v>57</v>
      </c>
      <c r="AL144" s="3">
        <f t="shared" si="75"/>
        <v>52</v>
      </c>
      <c r="AM144" s="3">
        <f t="shared" si="76"/>
        <v>47</v>
      </c>
      <c r="AN144" s="3">
        <f t="shared" si="77"/>
        <v>40</v>
      </c>
      <c r="AO144" s="3">
        <f t="shared" si="78"/>
        <v>35</v>
      </c>
      <c r="AP144" s="3">
        <f t="shared" si="79"/>
        <v>30</v>
      </c>
      <c r="AQ144" s="3">
        <f t="shared" si="80"/>
        <v>25</v>
      </c>
      <c r="AR144" s="3">
        <f t="shared" si="81"/>
        <v>19</v>
      </c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L144">
        <v>11</v>
      </c>
      <c r="BM144" s="35">
        <v>44081</v>
      </c>
      <c r="BO144" s="35">
        <f>B161</f>
        <v>44200</v>
      </c>
      <c r="BP144">
        <v>95</v>
      </c>
      <c r="BR144" s="9" t="str">
        <f t="shared" si="91"/>
        <v/>
      </c>
      <c r="BS144" s="37" t="str">
        <f t="shared" si="92"/>
        <v/>
      </c>
      <c r="BT144" s="38" t="str">
        <f t="shared" si="83"/>
        <v/>
      </c>
      <c r="BU144" s="36" t="str">
        <f t="shared" si="93"/>
        <v/>
      </c>
    </row>
    <row r="145" spans="2:73" ht="15">
      <c r="B145" s="16">
        <f t="shared" si="94"/>
        <v>44088</v>
      </c>
      <c r="C145" s="15" t="s">
        <v>1</v>
      </c>
      <c r="D145" s="17">
        <f t="shared" si="95"/>
        <v>44094</v>
      </c>
      <c r="E145" s="18">
        <f t="shared" si="96"/>
        <v>9</v>
      </c>
      <c r="F145" s="19">
        <f t="shared" si="97"/>
        <v>2020</v>
      </c>
      <c r="G145" s="9">
        <f t="shared" si="98"/>
        <v>17</v>
      </c>
      <c r="H145" s="8">
        <f t="shared" si="98"/>
        <v>95</v>
      </c>
      <c r="I145" s="9"/>
      <c r="J145" s="9"/>
      <c r="K145" s="9"/>
      <c r="L145" s="9"/>
      <c r="M145" s="9"/>
      <c r="N145" s="9"/>
      <c r="O145" s="12"/>
      <c r="P145" s="12"/>
      <c r="Q145" s="12"/>
      <c r="R145" s="12"/>
      <c r="S145" s="12"/>
      <c r="T145" s="12"/>
      <c r="V145" s="20">
        <f t="shared" si="85"/>
        <v>5</v>
      </c>
      <c r="W145" s="20">
        <f t="shared" si="86"/>
        <v>10</v>
      </c>
      <c r="X145" s="20">
        <f t="shared" si="87"/>
        <v>15</v>
      </c>
      <c r="Y145" s="20">
        <f t="shared" si="88"/>
        <v>0</v>
      </c>
      <c r="Z145" s="20">
        <f t="shared" si="89"/>
        <v>0</v>
      </c>
      <c r="AA145" s="20">
        <f t="shared" si="90"/>
        <v>0</v>
      </c>
      <c r="AC145" s="3">
        <f t="shared" si="66"/>
        <v>0</v>
      </c>
      <c r="AD145" s="3">
        <f t="shared" si="67"/>
        <v>94</v>
      </c>
      <c r="AE145" s="3">
        <f t="shared" si="68"/>
        <v>89</v>
      </c>
      <c r="AF145" s="3">
        <f t="shared" si="69"/>
        <v>85</v>
      </c>
      <c r="AG145" s="3">
        <f t="shared" si="70"/>
        <v>81</v>
      </c>
      <c r="AH145" s="3">
        <f t="shared" si="71"/>
        <v>77</v>
      </c>
      <c r="AI145" s="3">
        <f t="shared" si="72"/>
        <v>73</v>
      </c>
      <c r="AJ145" s="3">
        <f t="shared" si="73"/>
        <v>63</v>
      </c>
      <c r="AK145" s="3">
        <f t="shared" si="74"/>
        <v>58</v>
      </c>
      <c r="AL145" s="3">
        <f t="shared" si="75"/>
        <v>53</v>
      </c>
      <c r="AM145" s="3">
        <f t="shared" si="76"/>
        <v>48</v>
      </c>
      <c r="AN145" s="3">
        <f t="shared" si="77"/>
        <v>41</v>
      </c>
      <c r="AO145" s="3">
        <f t="shared" si="78"/>
        <v>36</v>
      </c>
      <c r="AP145" s="3">
        <f t="shared" si="79"/>
        <v>31</v>
      </c>
      <c r="AQ145" s="3">
        <f t="shared" si="80"/>
        <v>26</v>
      </c>
      <c r="AR145" s="3">
        <f t="shared" si="81"/>
        <v>20</v>
      </c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M145" s="35" t="s">
        <v>12</v>
      </c>
      <c r="BO145" s="35"/>
      <c r="BR145" s="9" t="str">
        <f t="shared" si="91"/>
        <v/>
      </c>
      <c r="BS145" s="37" t="str">
        <f t="shared" si="92"/>
        <v/>
      </c>
      <c r="BT145" s="38" t="str">
        <f t="shared" si="83"/>
        <v/>
      </c>
      <c r="BU145" s="36" t="str">
        <f t="shared" si="93"/>
        <v/>
      </c>
    </row>
    <row r="146" spans="2:73" ht="15">
      <c r="B146" s="16">
        <f t="shared" si="94"/>
        <v>44095</v>
      </c>
      <c r="C146" s="15" t="s">
        <v>1</v>
      </c>
      <c r="D146" s="17">
        <f t="shared" si="95"/>
        <v>44101</v>
      </c>
      <c r="E146" s="18">
        <f t="shared" si="96"/>
        <v>9</v>
      </c>
      <c r="F146" s="19">
        <f t="shared" si="97"/>
        <v>2020</v>
      </c>
      <c r="G146" s="9">
        <f t="shared" si="98"/>
        <v>17</v>
      </c>
      <c r="H146" s="8">
        <f t="shared" si="98"/>
        <v>95</v>
      </c>
      <c r="I146" s="9"/>
      <c r="J146" s="9"/>
      <c r="K146" s="9"/>
      <c r="L146" s="9"/>
      <c r="M146" s="9"/>
      <c r="N146" s="9"/>
      <c r="O146" s="12"/>
      <c r="P146" s="12"/>
      <c r="Q146" s="12"/>
      <c r="R146" s="12">
        <v>1</v>
      </c>
      <c r="S146" s="12"/>
      <c r="T146" s="12"/>
      <c r="V146" s="20">
        <f t="shared" si="85"/>
        <v>6</v>
      </c>
      <c r="W146" s="20">
        <f t="shared" si="86"/>
        <v>11</v>
      </c>
      <c r="X146" s="20">
        <f t="shared" si="87"/>
        <v>16</v>
      </c>
      <c r="Y146" s="20">
        <f t="shared" si="88"/>
        <v>44097</v>
      </c>
      <c r="Z146" s="20">
        <f t="shared" si="89"/>
        <v>0</v>
      </c>
      <c r="AA146" s="20">
        <f t="shared" si="90"/>
        <v>0</v>
      </c>
      <c r="AC146" s="3">
        <f t="shared" si="66"/>
        <v>0</v>
      </c>
      <c r="AD146" s="3">
        <f t="shared" si="67"/>
        <v>95</v>
      </c>
      <c r="AE146" s="3">
        <f t="shared" si="68"/>
        <v>90</v>
      </c>
      <c r="AF146" s="3">
        <f t="shared" si="69"/>
        <v>86</v>
      </c>
      <c r="AG146" s="3">
        <f t="shared" si="70"/>
        <v>82</v>
      </c>
      <c r="AH146" s="3">
        <f t="shared" si="71"/>
        <v>78</v>
      </c>
      <c r="AI146" s="3">
        <f t="shared" si="72"/>
        <v>74</v>
      </c>
      <c r="AJ146" s="3">
        <f t="shared" si="73"/>
        <v>64</v>
      </c>
      <c r="AK146" s="3">
        <f t="shared" si="74"/>
        <v>59</v>
      </c>
      <c r="AL146" s="3">
        <f t="shared" si="75"/>
        <v>54</v>
      </c>
      <c r="AM146" s="3">
        <f t="shared" si="76"/>
        <v>49</v>
      </c>
      <c r="AN146" s="3">
        <f t="shared" si="77"/>
        <v>42</v>
      </c>
      <c r="AO146" s="3">
        <f t="shared" si="78"/>
        <v>37</v>
      </c>
      <c r="AP146" s="3">
        <f t="shared" si="79"/>
        <v>32</v>
      </c>
      <c r="AQ146" s="3">
        <f t="shared" si="80"/>
        <v>27</v>
      </c>
      <c r="AR146" s="3">
        <f t="shared" si="81"/>
        <v>21</v>
      </c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M146" s="35" t="s">
        <v>12</v>
      </c>
      <c r="BO146" s="35"/>
      <c r="BR146" s="9">
        <f t="shared" si="91"/>
        <v>4</v>
      </c>
      <c r="BS146" s="37">
        <f t="shared" si="92"/>
        <v>44097</v>
      </c>
      <c r="BT146" s="38">
        <f t="shared" si="83"/>
        <v>44216</v>
      </c>
      <c r="BU146" s="36">
        <f t="shared" si="93"/>
        <v>12</v>
      </c>
    </row>
    <row r="147" spans="2:73" ht="15">
      <c r="B147" s="16">
        <f t="shared" si="94"/>
        <v>44102</v>
      </c>
      <c r="C147" s="15" t="s">
        <v>1</v>
      </c>
      <c r="D147" s="17">
        <f t="shared" si="95"/>
        <v>44108</v>
      </c>
      <c r="E147" s="18">
        <f t="shared" si="96"/>
        <v>9</v>
      </c>
      <c r="F147" s="19">
        <f t="shared" si="97"/>
        <v>2020</v>
      </c>
      <c r="G147" s="9">
        <f t="shared" si="98"/>
        <v>17</v>
      </c>
      <c r="H147" s="8">
        <f t="shared" si="98"/>
        <v>95</v>
      </c>
      <c r="I147" s="9"/>
      <c r="J147" s="9"/>
      <c r="K147" s="9"/>
      <c r="L147" s="9"/>
      <c r="M147" s="9"/>
      <c r="N147" s="9"/>
      <c r="O147" s="12"/>
      <c r="P147" s="12"/>
      <c r="Q147" s="12"/>
      <c r="R147" s="12"/>
      <c r="S147" s="12"/>
      <c r="T147" s="12"/>
      <c r="V147" s="20">
        <f t="shared" si="85"/>
        <v>7</v>
      </c>
      <c r="W147" s="20">
        <f t="shared" si="86"/>
        <v>12</v>
      </c>
      <c r="X147" s="20">
        <f t="shared" si="87"/>
        <v>17</v>
      </c>
      <c r="Y147" s="20">
        <f t="shared" si="88"/>
        <v>1</v>
      </c>
      <c r="Z147" s="20">
        <f t="shared" si="89"/>
        <v>0</v>
      </c>
      <c r="AA147" s="20">
        <f t="shared" si="90"/>
        <v>0</v>
      </c>
      <c r="AC147" s="3">
        <f t="shared" si="66"/>
        <v>17</v>
      </c>
      <c r="AD147" s="3">
        <f t="shared" si="67"/>
        <v>0</v>
      </c>
      <c r="AE147" s="3">
        <f t="shared" si="68"/>
        <v>91</v>
      </c>
      <c r="AF147" s="3">
        <f t="shared" si="69"/>
        <v>87</v>
      </c>
      <c r="AG147" s="3">
        <f t="shared" si="70"/>
        <v>83</v>
      </c>
      <c r="AH147" s="3">
        <f t="shared" si="71"/>
        <v>79</v>
      </c>
      <c r="AI147" s="3">
        <f t="shared" si="72"/>
        <v>75</v>
      </c>
      <c r="AJ147" s="3">
        <f t="shared" si="73"/>
        <v>65</v>
      </c>
      <c r="AK147" s="3">
        <f t="shared" si="74"/>
        <v>60</v>
      </c>
      <c r="AL147" s="3">
        <f t="shared" si="75"/>
        <v>55</v>
      </c>
      <c r="AM147" s="3">
        <f t="shared" si="76"/>
        <v>50</v>
      </c>
      <c r="AN147" s="3">
        <f t="shared" si="77"/>
        <v>43</v>
      </c>
      <c r="AO147" s="3">
        <f t="shared" si="78"/>
        <v>38</v>
      </c>
      <c r="AP147" s="3">
        <f t="shared" si="79"/>
        <v>33</v>
      </c>
      <c r="AQ147" s="3">
        <f t="shared" si="80"/>
        <v>28</v>
      </c>
      <c r="AR147" s="3">
        <f t="shared" si="81"/>
        <v>22</v>
      </c>
      <c r="AS147" s="8">
        <v>3</v>
      </c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M147" s="35" t="s">
        <v>12</v>
      </c>
      <c r="BO147" s="35"/>
      <c r="BR147" s="9" t="str">
        <f t="shared" si="91"/>
        <v/>
      </c>
      <c r="BS147" s="37" t="str">
        <f t="shared" si="92"/>
        <v/>
      </c>
      <c r="BT147" s="38" t="str">
        <f t="shared" si="83"/>
        <v/>
      </c>
      <c r="BU147" s="36" t="str">
        <f t="shared" si="93"/>
        <v/>
      </c>
    </row>
    <row r="148" spans="2:73" ht="15">
      <c r="B148" s="16">
        <f t="shared" si="94"/>
        <v>44109</v>
      </c>
      <c r="C148" s="15" t="s">
        <v>1</v>
      </c>
      <c r="D148" s="17">
        <f t="shared" si="95"/>
        <v>44115</v>
      </c>
      <c r="E148" s="18">
        <f t="shared" si="96"/>
        <v>10</v>
      </c>
      <c r="F148" s="19">
        <f t="shared" si="97"/>
        <v>2020</v>
      </c>
      <c r="G148" s="9">
        <f t="shared" si="98"/>
        <v>17</v>
      </c>
      <c r="H148" s="8">
        <f t="shared" si="98"/>
        <v>95</v>
      </c>
      <c r="I148" s="9"/>
      <c r="J148" s="9"/>
      <c r="K148" s="9"/>
      <c r="L148" s="9"/>
      <c r="M148" s="9"/>
      <c r="N148" s="9"/>
      <c r="O148" s="12"/>
      <c r="P148" s="12"/>
      <c r="Q148" s="12"/>
      <c r="R148" s="12"/>
      <c r="S148" s="12"/>
      <c r="T148" s="12"/>
      <c r="V148" s="20">
        <f t="shared" si="85"/>
        <v>8</v>
      </c>
      <c r="W148" s="20">
        <f t="shared" si="86"/>
        <v>13</v>
      </c>
      <c r="X148" s="20">
        <f t="shared" si="87"/>
        <v>0</v>
      </c>
      <c r="Y148" s="20">
        <f t="shared" si="88"/>
        <v>2</v>
      </c>
      <c r="Z148" s="20">
        <f t="shared" si="89"/>
        <v>0</v>
      </c>
      <c r="AA148" s="20">
        <f t="shared" si="90"/>
        <v>0</v>
      </c>
      <c r="AC148" s="3">
        <f t="shared" si="66"/>
        <v>18</v>
      </c>
      <c r="AD148" s="3">
        <f t="shared" si="67"/>
        <v>0</v>
      </c>
      <c r="AE148" s="3">
        <f t="shared" si="68"/>
        <v>92</v>
      </c>
      <c r="AF148" s="3">
        <f t="shared" si="69"/>
        <v>88</v>
      </c>
      <c r="AG148" s="3">
        <f t="shared" si="70"/>
        <v>84</v>
      </c>
      <c r="AH148" s="3">
        <f t="shared" si="71"/>
        <v>80</v>
      </c>
      <c r="AI148" s="3">
        <f t="shared" si="72"/>
        <v>76</v>
      </c>
      <c r="AJ148" s="3">
        <f t="shared" si="73"/>
        <v>66</v>
      </c>
      <c r="AK148" s="3">
        <f t="shared" si="74"/>
        <v>61</v>
      </c>
      <c r="AL148" s="3">
        <f t="shared" si="75"/>
        <v>56</v>
      </c>
      <c r="AM148" s="3">
        <f t="shared" si="76"/>
        <v>51</v>
      </c>
      <c r="AN148" s="3">
        <f t="shared" si="77"/>
        <v>44</v>
      </c>
      <c r="AO148" s="3">
        <f t="shared" si="78"/>
        <v>39</v>
      </c>
      <c r="AP148" s="3">
        <f t="shared" si="79"/>
        <v>34</v>
      </c>
      <c r="AQ148" s="3">
        <f t="shared" si="80"/>
        <v>29</v>
      </c>
      <c r="AR148" s="3">
        <f t="shared" si="81"/>
        <v>23</v>
      </c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L148">
        <v>12</v>
      </c>
      <c r="BM148" s="35">
        <v>44109</v>
      </c>
      <c r="BO148" s="35">
        <f>B165</f>
        <v>44228</v>
      </c>
      <c r="BP148">
        <v>98</v>
      </c>
      <c r="BR148" s="9" t="str">
        <f t="shared" si="91"/>
        <v/>
      </c>
      <c r="BS148" s="37" t="str">
        <f t="shared" si="92"/>
        <v/>
      </c>
      <c r="BT148" s="38" t="str">
        <f t="shared" si="83"/>
        <v/>
      </c>
      <c r="BU148" s="36" t="str">
        <f t="shared" si="93"/>
        <v/>
      </c>
    </row>
    <row r="149" spans="2:73" ht="15">
      <c r="B149" s="16">
        <f t="shared" si="94"/>
        <v>44116</v>
      </c>
      <c r="C149" s="15" t="s">
        <v>1</v>
      </c>
      <c r="D149" s="17">
        <f t="shared" si="95"/>
        <v>44122</v>
      </c>
      <c r="E149" s="18">
        <f t="shared" si="96"/>
        <v>10</v>
      </c>
      <c r="F149" s="19">
        <f t="shared" si="97"/>
        <v>2020</v>
      </c>
      <c r="G149" s="9">
        <f t="shared" si="98"/>
        <v>17</v>
      </c>
      <c r="H149" s="8">
        <f t="shared" si="98"/>
        <v>95</v>
      </c>
      <c r="I149" s="9"/>
      <c r="J149" s="9"/>
      <c r="K149" s="9"/>
      <c r="L149" s="9"/>
      <c r="M149" s="9"/>
      <c r="N149" s="9"/>
      <c r="O149" s="12"/>
      <c r="P149" s="12"/>
      <c r="Q149" s="12"/>
      <c r="R149" s="12"/>
      <c r="S149" s="12"/>
      <c r="T149" s="12"/>
      <c r="V149" s="20">
        <f t="shared" si="85"/>
        <v>9</v>
      </c>
      <c r="W149" s="20">
        <f t="shared" si="86"/>
        <v>14</v>
      </c>
      <c r="X149" s="20">
        <f t="shared" si="87"/>
        <v>0</v>
      </c>
      <c r="Y149" s="20">
        <f t="shared" si="88"/>
        <v>3</v>
      </c>
      <c r="Z149" s="20">
        <f t="shared" si="89"/>
        <v>0</v>
      </c>
      <c r="AA149" s="20">
        <f t="shared" si="90"/>
        <v>0</v>
      </c>
      <c r="AC149" s="3">
        <f t="shared" si="66"/>
        <v>19</v>
      </c>
      <c r="AD149" s="3">
        <f t="shared" si="67"/>
        <v>0</v>
      </c>
      <c r="AE149" s="3">
        <f t="shared" si="68"/>
        <v>93</v>
      </c>
      <c r="AF149" s="3">
        <f t="shared" si="69"/>
        <v>89</v>
      </c>
      <c r="AG149" s="3">
        <f t="shared" si="70"/>
        <v>85</v>
      </c>
      <c r="AH149" s="3">
        <f t="shared" si="71"/>
        <v>81</v>
      </c>
      <c r="AI149" s="3">
        <f t="shared" si="72"/>
        <v>77</v>
      </c>
      <c r="AJ149" s="3">
        <f t="shared" si="73"/>
        <v>67</v>
      </c>
      <c r="AK149" s="3">
        <f t="shared" si="74"/>
        <v>62</v>
      </c>
      <c r="AL149" s="3">
        <f t="shared" si="75"/>
        <v>57</v>
      </c>
      <c r="AM149" s="3">
        <f t="shared" si="76"/>
        <v>52</v>
      </c>
      <c r="AN149" s="3">
        <f t="shared" si="77"/>
        <v>45</v>
      </c>
      <c r="AO149" s="3">
        <f t="shared" si="78"/>
        <v>40</v>
      </c>
      <c r="AP149" s="3">
        <f t="shared" si="79"/>
        <v>35</v>
      </c>
      <c r="AQ149" s="3">
        <f t="shared" si="80"/>
        <v>30</v>
      </c>
      <c r="AR149" s="3">
        <f t="shared" si="81"/>
        <v>24</v>
      </c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M149" s="35" t="s">
        <v>12</v>
      </c>
      <c r="BO149" s="35"/>
      <c r="BR149" s="9" t="str">
        <f t="shared" si="91"/>
        <v/>
      </c>
      <c r="BS149" s="37" t="str">
        <f t="shared" si="92"/>
        <v/>
      </c>
      <c r="BT149" s="38" t="str">
        <f t="shared" si="83"/>
        <v/>
      </c>
      <c r="BU149" s="36" t="str">
        <f t="shared" si="93"/>
        <v/>
      </c>
    </row>
    <row r="150" spans="2:73" ht="15">
      <c r="B150" s="16">
        <f t="shared" si="94"/>
        <v>44123</v>
      </c>
      <c r="C150" s="15" t="s">
        <v>1</v>
      </c>
      <c r="D150" s="17">
        <f t="shared" si="95"/>
        <v>44129</v>
      </c>
      <c r="E150" s="18">
        <f t="shared" si="96"/>
        <v>10</v>
      </c>
      <c r="F150" s="19">
        <f t="shared" si="97"/>
        <v>2020</v>
      </c>
      <c r="G150" s="9">
        <f t="shared" ref="G150:H165" si="99">G149</f>
        <v>17</v>
      </c>
      <c r="H150" s="8">
        <f t="shared" si="99"/>
        <v>95</v>
      </c>
      <c r="I150" s="9"/>
      <c r="J150" s="9"/>
      <c r="K150" s="9"/>
      <c r="L150" s="9"/>
      <c r="M150" s="9"/>
      <c r="N150" s="9"/>
      <c r="O150" s="12"/>
      <c r="P150" s="12"/>
      <c r="Q150" s="12"/>
      <c r="R150" s="12"/>
      <c r="S150" s="12"/>
      <c r="T150" s="12"/>
      <c r="V150" s="20">
        <f t="shared" si="85"/>
        <v>10</v>
      </c>
      <c r="W150" s="20">
        <f t="shared" si="86"/>
        <v>15</v>
      </c>
      <c r="X150" s="20">
        <f t="shared" si="87"/>
        <v>0</v>
      </c>
      <c r="Y150" s="20">
        <f t="shared" si="88"/>
        <v>4</v>
      </c>
      <c r="Z150" s="20">
        <f t="shared" si="89"/>
        <v>0</v>
      </c>
      <c r="AA150" s="20">
        <f t="shared" si="90"/>
        <v>0</v>
      </c>
      <c r="AC150" s="3">
        <f t="shared" si="66"/>
        <v>20</v>
      </c>
      <c r="AD150" s="3">
        <f t="shared" si="67"/>
        <v>0</v>
      </c>
      <c r="AE150" s="3">
        <f t="shared" si="68"/>
        <v>94</v>
      </c>
      <c r="AF150" s="3">
        <f t="shared" si="69"/>
        <v>90</v>
      </c>
      <c r="AG150" s="3">
        <f t="shared" si="70"/>
        <v>86</v>
      </c>
      <c r="AH150" s="3">
        <f t="shared" si="71"/>
        <v>82</v>
      </c>
      <c r="AI150" s="3">
        <f t="shared" si="72"/>
        <v>78</v>
      </c>
      <c r="AJ150" s="3">
        <f t="shared" si="73"/>
        <v>68</v>
      </c>
      <c r="AK150" s="3">
        <f t="shared" si="74"/>
        <v>63</v>
      </c>
      <c r="AL150" s="3">
        <f t="shared" si="75"/>
        <v>58</v>
      </c>
      <c r="AM150" s="3">
        <f t="shared" si="76"/>
        <v>53</v>
      </c>
      <c r="AN150" s="3">
        <f t="shared" si="77"/>
        <v>46</v>
      </c>
      <c r="AO150" s="3">
        <f t="shared" si="78"/>
        <v>41</v>
      </c>
      <c r="AP150" s="3">
        <f t="shared" si="79"/>
        <v>36</v>
      </c>
      <c r="AQ150" s="3">
        <f t="shared" si="80"/>
        <v>31</v>
      </c>
      <c r="AR150" s="3">
        <f t="shared" si="81"/>
        <v>25</v>
      </c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M150" s="35" t="s">
        <v>12</v>
      </c>
      <c r="BO150" s="35"/>
      <c r="BR150" s="9" t="str">
        <f t="shared" si="91"/>
        <v/>
      </c>
      <c r="BS150" s="37" t="str">
        <f t="shared" si="92"/>
        <v/>
      </c>
      <c r="BT150" s="38" t="str">
        <f t="shared" si="83"/>
        <v/>
      </c>
      <c r="BU150" s="36" t="str">
        <f t="shared" si="93"/>
        <v/>
      </c>
    </row>
    <row r="151" spans="2:73" ht="15">
      <c r="B151" s="16">
        <f t="shared" si="94"/>
        <v>44130</v>
      </c>
      <c r="C151" s="15" t="s">
        <v>1</v>
      </c>
      <c r="D151" s="17">
        <f t="shared" si="95"/>
        <v>44136</v>
      </c>
      <c r="E151" s="18">
        <f t="shared" si="96"/>
        <v>10</v>
      </c>
      <c r="F151" s="19">
        <f t="shared" si="97"/>
        <v>2020</v>
      </c>
      <c r="G151" s="9">
        <f t="shared" si="99"/>
        <v>17</v>
      </c>
      <c r="H151" s="8">
        <f t="shared" si="99"/>
        <v>95</v>
      </c>
      <c r="I151" s="9"/>
      <c r="J151" s="9"/>
      <c r="K151" s="9"/>
      <c r="L151" s="9"/>
      <c r="M151" s="9"/>
      <c r="N151" s="9"/>
      <c r="O151" s="12"/>
      <c r="P151" s="12"/>
      <c r="Q151" s="12">
        <v>1</v>
      </c>
      <c r="R151" s="12"/>
      <c r="S151" s="12"/>
      <c r="T151" s="12"/>
      <c r="V151" s="20">
        <f t="shared" si="85"/>
        <v>11</v>
      </c>
      <c r="W151" s="20">
        <f t="shared" si="86"/>
        <v>16</v>
      </c>
      <c r="X151" s="20">
        <f t="shared" si="87"/>
        <v>44132</v>
      </c>
      <c r="Y151" s="20">
        <f t="shared" si="88"/>
        <v>5</v>
      </c>
      <c r="Z151" s="20">
        <f t="shared" si="89"/>
        <v>0</v>
      </c>
      <c r="AA151" s="20">
        <f t="shared" si="90"/>
        <v>0</v>
      </c>
      <c r="AC151" s="3">
        <f t="shared" si="66"/>
        <v>21</v>
      </c>
      <c r="AD151" s="3">
        <f t="shared" si="67"/>
        <v>0</v>
      </c>
      <c r="AE151" s="3">
        <f t="shared" si="68"/>
        <v>95</v>
      </c>
      <c r="AF151" s="3">
        <f t="shared" si="69"/>
        <v>91</v>
      </c>
      <c r="AG151" s="3">
        <f t="shared" si="70"/>
        <v>87</v>
      </c>
      <c r="AH151" s="3">
        <f t="shared" si="71"/>
        <v>83</v>
      </c>
      <c r="AI151" s="3">
        <f t="shared" si="72"/>
        <v>79</v>
      </c>
      <c r="AJ151" s="3">
        <f t="shared" si="73"/>
        <v>69</v>
      </c>
      <c r="AK151" s="3">
        <f t="shared" si="74"/>
        <v>64</v>
      </c>
      <c r="AL151" s="3">
        <f t="shared" si="75"/>
        <v>59</v>
      </c>
      <c r="AM151" s="3">
        <f t="shared" si="76"/>
        <v>54</v>
      </c>
      <c r="AN151" s="3">
        <f t="shared" si="77"/>
        <v>47</v>
      </c>
      <c r="AO151" s="3">
        <f t="shared" si="78"/>
        <v>42</v>
      </c>
      <c r="AP151" s="3">
        <f t="shared" si="79"/>
        <v>37</v>
      </c>
      <c r="AQ151" s="3">
        <f t="shared" si="80"/>
        <v>32</v>
      </c>
      <c r="AR151" s="3">
        <f t="shared" si="81"/>
        <v>26</v>
      </c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M151" s="35" t="s">
        <v>12</v>
      </c>
      <c r="BO151" s="35"/>
      <c r="BR151" s="9">
        <f t="shared" si="91"/>
        <v>3</v>
      </c>
      <c r="BS151" s="37">
        <f t="shared" si="92"/>
        <v>44132</v>
      </c>
      <c r="BT151" s="38">
        <f t="shared" si="83"/>
        <v>44251</v>
      </c>
      <c r="BU151" s="36">
        <f t="shared" si="93"/>
        <v>1</v>
      </c>
    </row>
    <row r="152" spans="2:73" ht="15">
      <c r="B152" s="16">
        <f t="shared" si="94"/>
        <v>44137</v>
      </c>
      <c r="C152" s="15" t="s">
        <v>1</v>
      </c>
      <c r="D152" s="17">
        <f t="shared" si="95"/>
        <v>44143</v>
      </c>
      <c r="E152" s="18">
        <f t="shared" si="96"/>
        <v>11</v>
      </c>
      <c r="F152" s="19">
        <f t="shared" si="97"/>
        <v>2020</v>
      </c>
      <c r="G152" s="9">
        <f t="shared" si="99"/>
        <v>17</v>
      </c>
      <c r="H152" s="8">
        <f t="shared" si="99"/>
        <v>95</v>
      </c>
      <c r="I152" s="9"/>
      <c r="J152" s="9"/>
      <c r="K152" s="9"/>
      <c r="L152" s="9"/>
      <c r="M152" s="9"/>
      <c r="N152" s="9"/>
      <c r="O152" s="12"/>
      <c r="P152" s="12"/>
      <c r="Q152" s="12"/>
      <c r="R152" s="12"/>
      <c r="S152" s="12"/>
      <c r="T152" s="12"/>
      <c r="V152" s="20">
        <f t="shared" si="85"/>
        <v>12</v>
      </c>
      <c r="W152" s="20">
        <f t="shared" si="86"/>
        <v>17</v>
      </c>
      <c r="X152" s="20">
        <f t="shared" si="87"/>
        <v>1</v>
      </c>
      <c r="Y152" s="20">
        <f t="shared" si="88"/>
        <v>6</v>
      </c>
      <c r="Z152" s="20">
        <f t="shared" si="89"/>
        <v>0</v>
      </c>
      <c r="AA152" s="20">
        <f t="shared" si="90"/>
        <v>0</v>
      </c>
      <c r="AC152" s="3">
        <f t="shared" si="66"/>
        <v>22</v>
      </c>
      <c r="AD152" s="3">
        <f t="shared" si="67"/>
        <v>17</v>
      </c>
      <c r="AE152" s="3">
        <f t="shared" si="68"/>
        <v>0</v>
      </c>
      <c r="AF152" s="3">
        <f t="shared" si="69"/>
        <v>92</v>
      </c>
      <c r="AG152" s="3">
        <f t="shared" si="70"/>
        <v>88</v>
      </c>
      <c r="AH152" s="3">
        <f t="shared" si="71"/>
        <v>84</v>
      </c>
      <c r="AI152" s="3">
        <f t="shared" si="72"/>
        <v>80</v>
      </c>
      <c r="AJ152" s="3">
        <f t="shared" si="73"/>
        <v>70</v>
      </c>
      <c r="AK152" s="3">
        <f t="shared" si="74"/>
        <v>65</v>
      </c>
      <c r="AL152" s="3">
        <f t="shared" si="75"/>
        <v>60</v>
      </c>
      <c r="AM152" s="3">
        <f t="shared" si="76"/>
        <v>55</v>
      </c>
      <c r="AN152" s="3">
        <f t="shared" si="77"/>
        <v>48</v>
      </c>
      <c r="AO152" s="3">
        <f t="shared" si="78"/>
        <v>43</v>
      </c>
      <c r="AP152" s="3">
        <f t="shared" si="79"/>
        <v>38</v>
      </c>
      <c r="AQ152" s="3">
        <f t="shared" si="80"/>
        <v>33</v>
      </c>
      <c r="AR152" s="3">
        <f t="shared" si="81"/>
        <v>27</v>
      </c>
      <c r="AS152" s="8"/>
      <c r="AT152" s="8">
        <v>2</v>
      </c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M152" s="35" t="s">
        <v>12</v>
      </c>
      <c r="BO152" s="35"/>
      <c r="BR152" s="9" t="str">
        <f t="shared" si="91"/>
        <v/>
      </c>
      <c r="BS152" s="37" t="str">
        <f t="shared" si="92"/>
        <v/>
      </c>
      <c r="BT152" s="38" t="str">
        <f t="shared" si="83"/>
        <v/>
      </c>
      <c r="BU152" s="36" t="str">
        <f t="shared" si="93"/>
        <v/>
      </c>
    </row>
    <row r="153" spans="2:73" ht="15">
      <c r="B153" s="16">
        <f t="shared" si="94"/>
        <v>44144</v>
      </c>
      <c r="C153" s="15" t="s">
        <v>1</v>
      </c>
      <c r="D153" s="17">
        <f t="shared" si="95"/>
        <v>44150</v>
      </c>
      <c r="E153" s="18">
        <f t="shared" si="96"/>
        <v>11</v>
      </c>
      <c r="F153" s="19">
        <f t="shared" si="97"/>
        <v>2020</v>
      </c>
      <c r="G153" s="9">
        <f t="shared" si="99"/>
        <v>17</v>
      </c>
      <c r="H153" s="8">
        <f t="shared" si="99"/>
        <v>95</v>
      </c>
      <c r="I153" s="9"/>
      <c r="J153" s="9"/>
      <c r="K153" s="9"/>
      <c r="L153" s="9"/>
      <c r="M153" s="9"/>
      <c r="N153" s="9"/>
      <c r="O153" s="12"/>
      <c r="P153" s="12"/>
      <c r="Q153" s="12"/>
      <c r="R153" s="12"/>
      <c r="S153" s="12"/>
      <c r="T153" s="12"/>
      <c r="V153" s="20">
        <f t="shared" si="85"/>
        <v>13</v>
      </c>
      <c r="W153" s="20">
        <f t="shared" si="86"/>
        <v>0</v>
      </c>
      <c r="X153" s="20">
        <f t="shared" si="87"/>
        <v>2</v>
      </c>
      <c r="Y153" s="20">
        <f t="shared" si="88"/>
        <v>7</v>
      </c>
      <c r="Z153" s="20">
        <f t="shared" si="89"/>
        <v>0</v>
      </c>
      <c r="AA153" s="20">
        <f t="shared" si="90"/>
        <v>0</v>
      </c>
      <c r="AC153" s="3">
        <f t="shared" si="66"/>
        <v>23</v>
      </c>
      <c r="AD153" s="3">
        <f t="shared" si="67"/>
        <v>18</v>
      </c>
      <c r="AE153" s="3">
        <f t="shared" si="68"/>
        <v>0</v>
      </c>
      <c r="AF153" s="3">
        <f t="shared" si="69"/>
        <v>93</v>
      </c>
      <c r="AG153" s="3">
        <f t="shared" si="70"/>
        <v>89</v>
      </c>
      <c r="AH153" s="3">
        <f t="shared" si="71"/>
        <v>85</v>
      </c>
      <c r="AI153" s="3">
        <f t="shared" si="72"/>
        <v>81</v>
      </c>
      <c r="AJ153" s="3">
        <f t="shared" si="73"/>
        <v>71</v>
      </c>
      <c r="AK153" s="3">
        <f t="shared" si="74"/>
        <v>66</v>
      </c>
      <c r="AL153" s="3">
        <f t="shared" si="75"/>
        <v>61</v>
      </c>
      <c r="AM153" s="3">
        <f t="shared" si="76"/>
        <v>56</v>
      </c>
      <c r="AN153" s="3">
        <f t="shared" si="77"/>
        <v>49</v>
      </c>
      <c r="AO153" s="3">
        <f t="shared" si="78"/>
        <v>44</v>
      </c>
      <c r="AP153" s="3">
        <f t="shared" si="79"/>
        <v>39</v>
      </c>
      <c r="AQ153" s="3">
        <f t="shared" si="80"/>
        <v>34</v>
      </c>
      <c r="AR153" s="3">
        <f t="shared" si="81"/>
        <v>28</v>
      </c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L153">
        <v>1</v>
      </c>
      <c r="BM153" s="35">
        <v>44144</v>
      </c>
      <c r="BO153" s="35">
        <f>B170</f>
        <v>44263</v>
      </c>
      <c r="BP153">
        <v>98</v>
      </c>
      <c r="BR153" s="9" t="str">
        <f t="shared" si="91"/>
        <v/>
      </c>
      <c r="BS153" s="37" t="str">
        <f t="shared" si="92"/>
        <v/>
      </c>
      <c r="BT153" s="38" t="str">
        <f t="shared" si="83"/>
        <v/>
      </c>
      <c r="BU153" s="36" t="str">
        <f t="shared" si="93"/>
        <v/>
      </c>
    </row>
    <row r="154" spans="2:73" ht="15">
      <c r="B154" s="16">
        <f t="shared" si="94"/>
        <v>44151</v>
      </c>
      <c r="C154" s="15" t="s">
        <v>1</v>
      </c>
      <c r="D154" s="17">
        <f t="shared" si="95"/>
        <v>44157</v>
      </c>
      <c r="E154" s="18">
        <f t="shared" si="96"/>
        <v>11</v>
      </c>
      <c r="F154" s="19">
        <f t="shared" si="97"/>
        <v>2020</v>
      </c>
      <c r="G154" s="9">
        <f t="shared" si="99"/>
        <v>17</v>
      </c>
      <c r="H154" s="8">
        <f t="shared" si="99"/>
        <v>95</v>
      </c>
      <c r="I154" s="9"/>
      <c r="J154" s="9"/>
      <c r="K154" s="9"/>
      <c r="L154" s="9"/>
      <c r="M154" s="9"/>
      <c r="N154" s="9"/>
      <c r="O154" s="12"/>
      <c r="P154" s="12"/>
      <c r="Q154" s="12"/>
      <c r="R154" s="12"/>
      <c r="S154" s="12"/>
      <c r="T154" s="12"/>
      <c r="V154" s="20">
        <f t="shared" si="85"/>
        <v>14</v>
      </c>
      <c r="W154" s="20">
        <f t="shared" si="86"/>
        <v>0</v>
      </c>
      <c r="X154" s="20">
        <f t="shared" si="87"/>
        <v>3</v>
      </c>
      <c r="Y154" s="20">
        <f t="shared" si="88"/>
        <v>8</v>
      </c>
      <c r="Z154" s="20">
        <f t="shared" si="89"/>
        <v>0</v>
      </c>
      <c r="AA154" s="20">
        <f t="shared" si="90"/>
        <v>0</v>
      </c>
      <c r="AC154" s="3">
        <f t="shared" si="66"/>
        <v>24</v>
      </c>
      <c r="AD154" s="3">
        <f t="shared" si="67"/>
        <v>19</v>
      </c>
      <c r="AE154" s="3">
        <f t="shared" si="68"/>
        <v>0</v>
      </c>
      <c r="AF154" s="3">
        <f t="shared" si="69"/>
        <v>94</v>
      </c>
      <c r="AG154" s="3">
        <f t="shared" si="70"/>
        <v>90</v>
      </c>
      <c r="AH154" s="3">
        <f t="shared" si="71"/>
        <v>86</v>
      </c>
      <c r="AI154" s="3">
        <f t="shared" si="72"/>
        <v>82</v>
      </c>
      <c r="AJ154" s="3">
        <f t="shared" si="73"/>
        <v>72</v>
      </c>
      <c r="AK154" s="3">
        <f t="shared" si="74"/>
        <v>67</v>
      </c>
      <c r="AL154" s="3">
        <f t="shared" si="75"/>
        <v>62</v>
      </c>
      <c r="AM154" s="3">
        <f t="shared" si="76"/>
        <v>57</v>
      </c>
      <c r="AN154" s="3">
        <f t="shared" si="77"/>
        <v>50</v>
      </c>
      <c r="AO154" s="3">
        <f t="shared" si="78"/>
        <v>45</v>
      </c>
      <c r="AP154" s="3">
        <f t="shared" si="79"/>
        <v>40</v>
      </c>
      <c r="AQ154" s="3">
        <f t="shared" si="80"/>
        <v>35</v>
      </c>
      <c r="AR154" s="3">
        <f t="shared" si="81"/>
        <v>29</v>
      </c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M154" s="35" t="s">
        <v>12</v>
      </c>
      <c r="BO154" s="35"/>
      <c r="BR154" s="9" t="str">
        <f t="shared" si="91"/>
        <v/>
      </c>
      <c r="BS154" s="37" t="str">
        <f t="shared" si="92"/>
        <v/>
      </c>
      <c r="BT154" s="38" t="str">
        <f t="shared" si="83"/>
        <v/>
      </c>
      <c r="BU154" s="36" t="str">
        <f t="shared" si="93"/>
        <v/>
      </c>
    </row>
    <row r="155" spans="2:73" ht="15">
      <c r="B155" s="16">
        <f t="shared" si="94"/>
        <v>44158</v>
      </c>
      <c r="C155" s="15" t="s">
        <v>1</v>
      </c>
      <c r="D155" s="17">
        <f t="shared" si="95"/>
        <v>44164</v>
      </c>
      <c r="E155" s="18">
        <f t="shared" si="96"/>
        <v>11</v>
      </c>
      <c r="F155" s="19">
        <f t="shared" si="97"/>
        <v>2020</v>
      </c>
      <c r="G155" s="9">
        <f t="shared" si="99"/>
        <v>17</v>
      </c>
      <c r="H155" s="8">
        <f t="shared" si="99"/>
        <v>95</v>
      </c>
      <c r="I155" s="9"/>
      <c r="J155" s="9"/>
      <c r="K155" s="9"/>
      <c r="L155" s="9"/>
      <c r="M155" s="9"/>
      <c r="N155" s="9"/>
      <c r="O155" s="12"/>
      <c r="P155" s="12"/>
      <c r="Q155" s="12"/>
      <c r="R155" s="12"/>
      <c r="S155" s="12"/>
      <c r="T155" s="12"/>
      <c r="V155" s="20">
        <f t="shared" si="85"/>
        <v>15</v>
      </c>
      <c r="W155" s="20">
        <f t="shared" si="86"/>
        <v>0</v>
      </c>
      <c r="X155" s="20">
        <f t="shared" si="87"/>
        <v>4</v>
      </c>
      <c r="Y155" s="20">
        <f t="shared" si="88"/>
        <v>9</v>
      </c>
      <c r="Z155" s="20">
        <f t="shared" si="89"/>
        <v>0</v>
      </c>
      <c r="AA155" s="20">
        <f t="shared" si="90"/>
        <v>0</v>
      </c>
      <c r="AC155" s="3">
        <f t="shared" si="66"/>
        <v>25</v>
      </c>
      <c r="AD155" s="3">
        <f t="shared" si="67"/>
        <v>20</v>
      </c>
      <c r="AE155" s="3">
        <f t="shared" si="68"/>
        <v>0</v>
      </c>
      <c r="AF155" s="3">
        <f t="shared" si="69"/>
        <v>95</v>
      </c>
      <c r="AG155" s="3">
        <f t="shared" si="70"/>
        <v>91</v>
      </c>
      <c r="AH155" s="3">
        <f t="shared" si="71"/>
        <v>87</v>
      </c>
      <c r="AI155" s="3">
        <f t="shared" si="72"/>
        <v>83</v>
      </c>
      <c r="AJ155" s="3">
        <f t="shared" si="73"/>
        <v>73</v>
      </c>
      <c r="AK155" s="3">
        <f t="shared" si="74"/>
        <v>68</v>
      </c>
      <c r="AL155" s="3">
        <f t="shared" si="75"/>
        <v>63</v>
      </c>
      <c r="AM155" s="3">
        <f t="shared" si="76"/>
        <v>58</v>
      </c>
      <c r="AN155" s="3">
        <f t="shared" si="77"/>
        <v>51</v>
      </c>
      <c r="AO155" s="3">
        <f t="shared" si="78"/>
        <v>46</v>
      </c>
      <c r="AP155" s="3">
        <f t="shared" si="79"/>
        <v>41</v>
      </c>
      <c r="AQ155" s="3">
        <f t="shared" si="80"/>
        <v>36</v>
      </c>
      <c r="AR155" s="3">
        <f t="shared" si="81"/>
        <v>30</v>
      </c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M155" s="35" t="s">
        <v>12</v>
      </c>
      <c r="BO155" s="35"/>
      <c r="BR155" s="9" t="str">
        <f t="shared" si="91"/>
        <v/>
      </c>
      <c r="BS155" s="37" t="str">
        <f t="shared" si="92"/>
        <v/>
      </c>
      <c r="BT155" s="38" t="str">
        <f t="shared" si="83"/>
        <v/>
      </c>
      <c r="BU155" s="36" t="str">
        <f t="shared" si="93"/>
        <v/>
      </c>
    </row>
    <row r="156" spans="2:73" ht="15">
      <c r="B156" s="16">
        <f t="shared" si="94"/>
        <v>44165</v>
      </c>
      <c r="C156" s="15" t="s">
        <v>1</v>
      </c>
      <c r="D156" s="17">
        <f t="shared" si="95"/>
        <v>44171</v>
      </c>
      <c r="E156" s="18">
        <f t="shared" si="96"/>
        <v>11</v>
      </c>
      <c r="F156" s="19">
        <f t="shared" si="97"/>
        <v>2020</v>
      </c>
      <c r="G156" s="9">
        <f t="shared" si="99"/>
        <v>17</v>
      </c>
      <c r="H156" s="8">
        <f t="shared" si="99"/>
        <v>95</v>
      </c>
      <c r="I156" s="9"/>
      <c r="J156" s="9"/>
      <c r="K156" s="9"/>
      <c r="L156" s="9"/>
      <c r="M156" s="9"/>
      <c r="N156" s="9"/>
      <c r="O156" s="12"/>
      <c r="P156" s="12">
        <v>1</v>
      </c>
      <c r="Q156" s="12"/>
      <c r="R156" s="12"/>
      <c r="S156" s="12"/>
      <c r="T156" s="12"/>
      <c r="V156" s="20">
        <f t="shared" si="85"/>
        <v>16</v>
      </c>
      <c r="W156" s="20">
        <f t="shared" si="86"/>
        <v>44167</v>
      </c>
      <c r="X156" s="20">
        <f t="shared" si="87"/>
        <v>5</v>
      </c>
      <c r="Y156" s="20">
        <f t="shared" si="88"/>
        <v>10</v>
      </c>
      <c r="Z156" s="20">
        <f t="shared" si="89"/>
        <v>0</v>
      </c>
      <c r="AA156" s="20">
        <f t="shared" si="90"/>
        <v>0</v>
      </c>
      <c r="AC156" s="3">
        <f t="shared" si="66"/>
        <v>26</v>
      </c>
      <c r="AD156" s="3">
        <f t="shared" si="67"/>
        <v>21</v>
      </c>
      <c r="AE156" s="3">
        <f t="shared" si="68"/>
        <v>0</v>
      </c>
      <c r="AF156" s="3">
        <f t="shared" si="69"/>
        <v>0</v>
      </c>
      <c r="AG156" s="3">
        <f t="shared" si="70"/>
        <v>92</v>
      </c>
      <c r="AH156" s="3">
        <f t="shared" si="71"/>
        <v>88</v>
      </c>
      <c r="AI156" s="3">
        <f t="shared" si="72"/>
        <v>84</v>
      </c>
      <c r="AJ156" s="3">
        <f t="shared" si="73"/>
        <v>74</v>
      </c>
      <c r="AK156" s="3">
        <f t="shared" si="74"/>
        <v>69</v>
      </c>
      <c r="AL156" s="3">
        <f t="shared" si="75"/>
        <v>64</v>
      </c>
      <c r="AM156" s="3">
        <f t="shared" si="76"/>
        <v>59</v>
      </c>
      <c r="AN156" s="3">
        <f t="shared" si="77"/>
        <v>52</v>
      </c>
      <c r="AO156" s="3">
        <f t="shared" si="78"/>
        <v>47</v>
      </c>
      <c r="AP156" s="3">
        <f t="shared" si="79"/>
        <v>42</v>
      </c>
      <c r="AQ156" s="3">
        <f t="shared" si="80"/>
        <v>37</v>
      </c>
      <c r="AR156" s="3">
        <f t="shared" si="81"/>
        <v>31</v>
      </c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M156" s="35" t="s">
        <v>12</v>
      </c>
      <c r="BO156" s="35"/>
      <c r="BR156" s="9">
        <f t="shared" si="91"/>
        <v>2</v>
      </c>
      <c r="BS156" s="37">
        <f t="shared" si="92"/>
        <v>44167</v>
      </c>
      <c r="BT156" s="38">
        <f t="shared" si="83"/>
        <v>44286</v>
      </c>
      <c r="BU156" s="36">
        <f t="shared" si="93"/>
        <v>6</v>
      </c>
    </row>
    <row r="157" spans="2:73" ht="15">
      <c r="B157" s="16">
        <f t="shared" si="94"/>
        <v>44172</v>
      </c>
      <c r="C157" s="15" t="s">
        <v>1</v>
      </c>
      <c r="D157" s="17">
        <f t="shared" si="95"/>
        <v>44178</v>
      </c>
      <c r="E157" s="18">
        <f t="shared" si="96"/>
        <v>12</v>
      </c>
      <c r="F157" s="19">
        <f t="shared" si="97"/>
        <v>2020</v>
      </c>
      <c r="G157" s="9">
        <f t="shared" si="99"/>
        <v>17</v>
      </c>
      <c r="H157" s="8">
        <f t="shared" si="99"/>
        <v>95</v>
      </c>
      <c r="I157" s="9"/>
      <c r="J157" s="9"/>
      <c r="K157" s="9"/>
      <c r="L157" s="9"/>
      <c r="M157" s="9"/>
      <c r="N157" s="9"/>
      <c r="O157" s="12"/>
      <c r="P157" s="12"/>
      <c r="Q157" s="12"/>
      <c r="R157" s="12"/>
      <c r="S157" s="12"/>
      <c r="T157" s="12"/>
      <c r="V157" s="20">
        <f t="shared" si="85"/>
        <v>17</v>
      </c>
      <c r="W157" s="20">
        <f t="shared" si="86"/>
        <v>1</v>
      </c>
      <c r="X157" s="20">
        <f t="shared" si="87"/>
        <v>6</v>
      </c>
      <c r="Y157" s="20">
        <f t="shared" si="88"/>
        <v>11</v>
      </c>
      <c r="Z157" s="20">
        <f t="shared" si="89"/>
        <v>0</v>
      </c>
      <c r="AA157" s="20">
        <f t="shared" si="90"/>
        <v>0</v>
      </c>
      <c r="AC157" s="3">
        <f t="shared" si="66"/>
        <v>27</v>
      </c>
      <c r="AD157" s="3">
        <f t="shared" si="67"/>
        <v>22</v>
      </c>
      <c r="AE157" s="3">
        <f t="shared" si="68"/>
        <v>17</v>
      </c>
      <c r="AF157" s="3">
        <f t="shared" si="69"/>
        <v>0</v>
      </c>
      <c r="AG157" s="3">
        <f t="shared" si="70"/>
        <v>93</v>
      </c>
      <c r="AH157" s="3">
        <f t="shared" si="71"/>
        <v>89</v>
      </c>
      <c r="AI157" s="3">
        <f t="shared" si="72"/>
        <v>85</v>
      </c>
      <c r="AJ157" s="3">
        <f t="shared" si="73"/>
        <v>75</v>
      </c>
      <c r="AK157" s="3">
        <f t="shared" si="74"/>
        <v>70</v>
      </c>
      <c r="AL157" s="3">
        <f t="shared" si="75"/>
        <v>65</v>
      </c>
      <c r="AM157" s="3">
        <f t="shared" si="76"/>
        <v>60</v>
      </c>
      <c r="AN157" s="3">
        <f t="shared" si="77"/>
        <v>53</v>
      </c>
      <c r="AO157" s="3">
        <f t="shared" si="78"/>
        <v>48</v>
      </c>
      <c r="AP157" s="3">
        <f t="shared" si="79"/>
        <v>43</v>
      </c>
      <c r="AQ157" s="3">
        <f t="shared" si="80"/>
        <v>38</v>
      </c>
      <c r="AR157" s="3">
        <f t="shared" si="81"/>
        <v>32</v>
      </c>
      <c r="AS157" s="8"/>
      <c r="AT157" s="8"/>
      <c r="AU157" s="8">
        <v>1</v>
      </c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M157" s="35" t="s">
        <v>12</v>
      </c>
      <c r="BO157" s="35"/>
      <c r="BR157" s="9" t="str">
        <f t="shared" si="91"/>
        <v/>
      </c>
      <c r="BS157" s="37" t="str">
        <f t="shared" si="92"/>
        <v/>
      </c>
      <c r="BT157" s="38" t="str">
        <f t="shared" si="83"/>
        <v/>
      </c>
      <c r="BU157" s="36" t="str">
        <f t="shared" si="93"/>
        <v/>
      </c>
    </row>
    <row r="158" spans="2:73" ht="15">
      <c r="B158" s="16">
        <f t="shared" si="94"/>
        <v>44179</v>
      </c>
      <c r="C158" s="15" t="s">
        <v>1</v>
      </c>
      <c r="D158" s="17">
        <f t="shared" si="95"/>
        <v>44185</v>
      </c>
      <c r="E158" s="18">
        <f t="shared" si="96"/>
        <v>12</v>
      </c>
      <c r="F158" s="19">
        <f t="shared" si="97"/>
        <v>2020</v>
      </c>
      <c r="G158" s="9">
        <f t="shared" si="99"/>
        <v>17</v>
      </c>
      <c r="H158" s="8">
        <f t="shared" si="99"/>
        <v>95</v>
      </c>
      <c r="I158" s="9"/>
      <c r="J158" s="9"/>
      <c r="K158" s="9"/>
      <c r="L158" s="9"/>
      <c r="M158" s="9"/>
      <c r="N158" s="9"/>
      <c r="O158" s="12"/>
      <c r="P158" s="12"/>
      <c r="Q158" s="12"/>
      <c r="R158" s="12"/>
      <c r="S158" s="12"/>
      <c r="T158" s="12"/>
      <c r="V158" s="20">
        <f t="shared" si="85"/>
        <v>0</v>
      </c>
      <c r="W158" s="20">
        <f t="shared" si="86"/>
        <v>2</v>
      </c>
      <c r="X158" s="20">
        <f t="shared" si="87"/>
        <v>7</v>
      </c>
      <c r="Y158" s="20">
        <f t="shared" si="88"/>
        <v>12</v>
      </c>
      <c r="Z158" s="20">
        <f t="shared" si="89"/>
        <v>0</v>
      </c>
      <c r="AA158" s="20">
        <f t="shared" si="90"/>
        <v>0</v>
      </c>
      <c r="AC158" s="3">
        <f t="shared" si="66"/>
        <v>28</v>
      </c>
      <c r="AD158" s="3">
        <f t="shared" si="67"/>
        <v>23</v>
      </c>
      <c r="AE158" s="3">
        <f t="shared" si="68"/>
        <v>18</v>
      </c>
      <c r="AF158" s="3">
        <f t="shared" si="69"/>
        <v>0</v>
      </c>
      <c r="AG158" s="3">
        <f t="shared" si="70"/>
        <v>94</v>
      </c>
      <c r="AH158" s="3">
        <f t="shared" si="71"/>
        <v>90</v>
      </c>
      <c r="AI158" s="3">
        <f t="shared" si="72"/>
        <v>86</v>
      </c>
      <c r="AJ158" s="3">
        <f t="shared" si="73"/>
        <v>76</v>
      </c>
      <c r="AK158" s="3">
        <f t="shared" si="74"/>
        <v>71</v>
      </c>
      <c r="AL158" s="3">
        <f t="shared" si="75"/>
        <v>66</v>
      </c>
      <c r="AM158" s="3">
        <f t="shared" si="76"/>
        <v>61</v>
      </c>
      <c r="AN158" s="3">
        <f t="shared" si="77"/>
        <v>54</v>
      </c>
      <c r="AO158" s="3">
        <f t="shared" si="78"/>
        <v>49</v>
      </c>
      <c r="AP158" s="3">
        <f t="shared" si="79"/>
        <v>44</v>
      </c>
      <c r="AQ158" s="3">
        <f t="shared" si="80"/>
        <v>39</v>
      </c>
      <c r="AR158" s="3">
        <f t="shared" si="81"/>
        <v>33</v>
      </c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L158">
        <v>6</v>
      </c>
      <c r="BM158" s="35">
        <v>44179</v>
      </c>
      <c r="BO158" s="35">
        <f>B175</f>
        <v>44298</v>
      </c>
      <c r="BP158">
        <v>98</v>
      </c>
      <c r="BR158" s="9" t="str">
        <f t="shared" si="91"/>
        <v/>
      </c>
      <c r="BS158" s="37" t="str">
        <f t="shared" si="92"/>
        <v/>
      </c>
      <c r="BT158" s="38" t="str">
        <f t="shared" si="83"/>
        <v/>
      </c>
      <c r="BU158" s="36" t="str">
        <f t="shared" si="93"/>
        <v/>
      </c>
    </row>
    <row r="159" spans="2:73" ht="15">
      <c r="B159" s="16">
        <f t="shared" si="94"/>
        <v>44186</v>
      </c>
      <c r="C159" s="15" t="s">
        <v>1</v>
      </c>
      <c r="D159" s="17">
        <f t="shared" si="95"/>
        <v>44192</v>
      </c>
      <c r="E159" s="18">
        <f t="shared" si="96"/>
        <v>12</v>
      </c>
      <c r="F159" s="19">
        <f t="shared" si="97"/>
        <v>2020</v>
      </c>
      <c r="G159" s="9">
        <f t="shared" si="99"/>
        <v>17</v>
      </c>
      <c r="H159" s="8">
        <f t="shared" si="99"/>
        <v>95</v>
      </c>
      <c r="I159" s="9"/>
      <c r="J159" s="9"/>
      <c r="K159" s="9"/>
      <c r="L159" s="9"/>
      <c r="M159" s="9"/>
      <c r="N159" s="9"/>
      <c r="O159" s="12"/>
      <c r="P159" s="12"/>
      <c r="Q159" s="12"/>
      <c r="R159" s="12"/>
      <c r="S159" s="12"/>
      <c r="T159" s="12"/>
      <c r="V159" s="20">
        <f t="shared" si="85"/>
        <v>0</v>
      </c>
      <c r="W159" s="20">
        <f t="shared" si="86"/>
        <v>3</v>
      </c>
      <c r="X159" s="20">
        <f t="shared" si="87"/>
        <v>8</v>
      </c>
      <c r="Y159" s="20">
        <f t="shared" si="88"/>
        <v>13</v>
      </c>
      <c r="Z159" s="20">
        <f t="shared" si="89"/>
        <v>0</v>
      </c>
      <c r="AA159" s="20">
        <f t="shared" si="90"/>
        <v>0</v>
      </c>
      <c r="AC159" s="3">
        <f t="shared" si="66"/>
        <v>29</v>
      </c>
      <c r="AD159" s="3">
        <f t="shared" si="67"/>
        <v>24</v>
      </c>
      <c r="AE159" s="3">
        <f t="shared" si="68"/>
        <v>19</v>
      </c>
      <c r="AF159" s="3">
        <f t="shared" si="69"/>
        <v>0</v>
      </c>
      <c r="AG159" s="3">
        <f t="shared" si="70"/>
        <v>95</v>
      </c>
      <c r="AH159" s="3">
        <f t="shared" si="71"/>
        <v>91</v>
      </c>
      <c r="AI159" s="3">
        <f t="shared" si="72"/>
        <v>87</v>
      </c>
      <c r="AJ159" s="3">
        <f t="shared" si="73"/>
        <v>77</v>
      </c>
      <c r="AK159" s="3">
        <f t="shared" si="74"/>
        <v>72</v>
      </c>
      <c r="AL159" s="3">
        <f t="shared" si="75"/>
        <v>67</v>
      </c>
      <c r="AM159" s="3">
        <f t="shared" si="76"/>
        <v>62</v>
      </c>
      <c r="AN159" s="3">
        <f t="shared" si="77"/>
        <v>55</v>
      </c>
      <c r="AO159" s="3">
        <f t="shared" si="78"/>
        <v>50</v>
      </c>
      <c r="AP159" s="3">
        <f t="shared" si="79"/>
        <v>45</v>
      </c>
      <c r="AQ159" s="3">
        <f t="shared" si="80"/>
        <v>40</v>
      </c>
      <c r="AR159" s="3">
        <f t="shared" si="81"/>
        <v>34</v>
      </c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M159" s="35" t="s">
        <v>12</v>
      </c>
      <c r="BO159" s="35"/>
      <c r="BR159" s="9" t="str">
        <f t="shared" si="91"/>
        <v/>
      </c>
      <c r="BS159" s="37" t="str">
        <f t="shared" si="92"/>
        <v/>
      </c>
      <c r="BT159" s="38" t="str">
        <f t="shared" si="83"/>
        <v/>
      </c>
      <c r="BU159" s="36" t="str">
        <f t="shared" si="93"/>
        <v/>
      </c>
    </row>
    <row r="160" spans="2:73" ht="15">
      <c r="B160" s="16">
        <f t="shared" si="94"/>
        <v>44193</v>
      </c>
      <c r="C160" s="15" t="s">
        <v>1</v>
      </c>
      <c r="D160" s="17">
        <f t="shared" si="95"/>
        <v>44199</v>
      </c>
      <c r="E160" s="18">
        <f t="shared" si="96"/>
        <v>12</v>
      </c>
      <c r="F160" s="19">
        <f t="shared" si="97"/>
        <v>2021</v>
      </c>
      <c r="G160" s="9">
        <f t="shared" si="99"/>
        <v>17</v>
      </c>
      <c r="H160" s="8">
        <f t="shared" si="99"/>
        <v>95</v>
      </c>
      <c r="I160" s="9"/>
      <c r="J160" s="9"/>
      <c r="K160" s="9"/>
      <c r="L160" s="9"/>
      <c r="M160" s="9"/>
      <c r="N160" s="9"/>
      <c r="O160" s="12"/>
      <c r="P160" s="12"/>
      <c r="Q160" s="12"/>
      <c r="R160" s="12"/>
      <c r="S160" s="12"/>
      <c r="T160" s="12"/>
      <c r="V160" s="20">
        <f t="shared" si="85"/>
        <v>0</v>
      </c>
      <c r="W160" s="20">
        <f t="shared" si="86"/>
        <v>4</v>
      </c>
      <c r="X160" s="20">
        <f t="shared" si="87"/>
        <v>9</v>
      </c>
      <c r="Y160" s="20">
        <f t="shared" si="88"/>
        <v>14</v>
      </c>
      <c r="Z160" s="20">
        <f t="shared" si="89"/>
        <v>0</v>
      </c>
      <c r="AA160" s="20">
        <f t="shared" si="90"/>
        <v>0</v>
      </c>
      <c r="AC160" s="3">
        <f t="shared" si="66"/>
        <v>30</v>
      </c>
      <c r="AD160" s="3">
        <f t="shared" si="67"/>
        <v>25</v>
      </c>
      <c r="AE160" s="3">
        <f t="shared" si="68"/>
        <v>20</v>
      </c>
      <c r="AF160" s="3">
        <f t="shared" si="69"/>
        <v>0</v>
      </c>
      <c r="AG160" s="3">
        <f t="shared" si="70"/>
        <v>0</v>
      </c>
      <c r="AH160" s="3">
        <f t="shared" si="71"/>
        <v>92</v>
      </c>
      <c r="AI160" s="3">
        <f t="shared" si="72"/>
        <v>88</v>
      </c>
      <c r="AJ160" s="3">
        <f t="shared" si="73"/>
        <v>78</v>
      </c>
      <c r="AK160" s="3">
        <f t="shared" si="74"/>
        <v>73</v>
      </c>
      <c r="AL160" s="3">
        <f t="shared" si="75"/>
        <v>68</v>
      </c>
      <c r="AM160" s="3">
        <f t="shared" si="76"/>
        <v>63</v>
      </c>
      <c r="AN160" s="3">
        <f t="shared" si="77"/>
        <v>56</v>
      </c>
      <c r="AO160" s="3">
        <f t="shared" si="78"/>
        <v>51</v>
      </c>
      <c r="AP160" s="3">
        <f t="shared" si="79"/>
        <v>46</v>
      </c>
      <c r="AQ160" s="3">
        <f t="shared" si="80"/>
        <v>41</v>
      </c>
      <c r="AR160" s="3">
        <f t="shared" si="81"/>
        <v>35</v>
      </c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M160" s="35" t="s">
        <v>12</v>
      </c>
      <c r="BO160" s="35"/>
      <c r="BR160" s="9" t="str">
        <f t="shared" si="91"/>
        <v/>
      </c>
      <c r="BS160" s="37" t="str">
        <f t="shared" si="92"/>
        <v/>
      </c>
      <c r="BT160" s="38" t="str">
        <f t="shared" si="83"/>
        <v/>
      </c>
      <c r="BU160" s="36" t="str">
        <f t="shared" si="93"/>
        <v/>
      </c>
    </row>
    <row r="161" spans="2:73" ht="15">
      <c r="B161" s="16">
        <f t="shared" si="94"/>
        <v>44200</v>
      </c>
      <c r="C161" s="15" t="s">
        <v>1</v>
      </c>
      <c r="D161" s="17">
        <f t="shared" si="95"/>
        <v>44206</v>
      </c>
      <c r="E161" s="18">
        <f t="shared" si="96"/>
        <v>1</v>
      </c>
      <c r="F161" s="19">
        <f t="shared" si="97"/>
        <v>2021</v>
      </c>
      <c r="G161" s="9">
        <f t="shared" si="99"/>
        <v>17</v>
      </c>
      <c r="H161" s="8">
        <f t="shared" si="99"/>
        <v>95</v>
      </c>
      <c r="I161" s="9"/>
      <c r="J161" s="9"/>
      <c r="K161" s="9"/>
      <c r="L161" s="9"/>
      <c r="M161" s="9"/>
      <c r="N161" s="9"/>
      <c r="O161" s="12">
        <v>1</v>
      </c>
      <c r="P161" s="12"/>
      <c r="Q161" s="12"/>
      <c r="R161" s="12"/>
      <c r="S161" s="12"/>
      <c r="T161" s="12"/>
      <c r="V161" s="20">
        <f t="shared" si="85"/>
        <v>44202</v>
      </c>
      <c r="W161" s="20">
        <f t="shared" si="86"/>
        <v>5</v>
      </c>
      <c r="X161" s="20">
        <f t="shared" si="87"/>
        <v>10</v>
      </c>
      <c r="Y161" s="20">
        <f t="shared" si="88"/>
        <v>15</v>
      </c>
      <c r="Z161" s="20">
        <f t="shared" si="89"/>
        <v>0</v>
      </c>
      <c r="AA161" s="20">
        <f t="shared" si="90"/>
        <v>0</v>
      </c>
      <c r="AC161" s="3">
        <f t="shared" si="66"/>
        <v>31</v>
      </c>
      <c r="AD161" s="3">
        <f t="shared" si="67"/>
        <v>26</v>
      </c>
      <c r="AE161" s="3">
        <f t="shared" si="68"/>
        <v>21</v>
      </c>
      <c r="AF161" s="3">
        <f t="shared" si="69"/>
        <v>0</v>
      </c>
      <c r="AG161" s="3">
        <f t="shared" si="70"/>
        <v>0</v>
      </c>
      <c r="AH161" s="3">
        <f t="shared" si="71"/>
        <v>93</v>
      </c>
      <c r="AI161" s="3">
        <f t="shared" si="72"/>
        <v>89</v>
      </c>
      <c r="AJ161" s="3">
        <f t="shared" si="73"/>
        <v>79</v>
      </c>
      <c r="AK161" s="3">
        <f t="shared" si="74"/>
        <v>74</v>
      </c>
      <c r="AL161" s="3">
        <f t="shared" si="75"/>
        <v>69</v>
      </c>
      <c r="AM161" s="3">
        <f t="shared" si="76"/>
        <v>64</v>
      </c>
      <c r="AN161" s="3">
        <f t="shared" si="77"/>
        <v>57</v>
      </c>
      <c r="AO161" s="3">
        <f t="shared" si="78"/>
        <v>52</v>
      </c>
      <c r="AP161" s="3">
        <f t="shared" si="79"/>
        <v>47</v>
      </c>
      <c r="AQ161" s="3">
        <f t="shared" si="80"/>
        <v>42</v>
      </c>
      <c r="AR161" s="3">
        <f t="shared" si="81"/>
        <v>36</v>
      </c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M161" s="35" t="s">
        <v>12</v>
      </c>
      <c r="BO161" s="35"/>
      <c r="BR161" s="9">
        <f t="shared" si="91"/>
        <v>1</v>
      </c>
      <c r="BS161" s="37">
        <f t="shared" si="92"/>
        <v>44202</v>
      </c>
      <c r="BT161" s="38">
        <f t="shared" si="83"/>
        <v>44321</v>
      </c>
      <c r="BU161" s="36">
        <f t="shared" si="93"/>
        <v>2</v>
      </c>
    </row>
    <row r="162" spans="2:73" ht="15">
      <c r="B162" s="16">
        <f t="shared" si="94"/>
        <v>44207</v>
      </c>
      <c r="C162" s="15" t="s">
        <v>1</v>
      </c>
      <c r="D162" s="17">
        <f t="shared" si="95"/>
        <v>44213</v>
      </c>
      <c r="E162" s="18">
        <f t="shared" si="96"/>
        <v>1</v>
      </c>
      <c r="F162" s="19">
        <f t="shared" si="97"/>
        <v>2021</v>
      </c>
      <c r="G162" s="9">
        <f t="shared" si="99"/>
        <v>17</v>
      </c>
      <c r="H162" s="8">
        <f t="shared" si="99"/>
        <v>95</v>
      </c>
      <c r="I162" s="9"/>
      <c r="J162" s="9"/>
      <c r="K162" s="9"/>
      <c r="L162" s="9"/>
      <c r="M162" s="9"/>
      <c r="N162" s="9"/>
      <c r="O162" s="12"/>
      <c r="P162" s="12"/>
      <c r="Q162" s="12"/>
      <c r="R162" s="12"/>
      <c r="S162" s="12"/>
      <c r="T162" s="12"/>
      <c r="V162" s="20">
        <f t="shared" si="85"/>
        <v>1</v>
      </c>
      <c r="W162" s="20">
        <f t="shared" si="86"/>
        <v>6</v>
      </c>
      <c r="X162" s="20">
        <f t="shared" si="87"/>
        <v>11</v>
      </c>
      <c r="Y162" s="20">
        <f t="shared" si="88"/>
        <v>16</v>
      </c>
      <c r="Z162" s="20">
        <f t="shared" si="89"/>
        <v>0</v>
      </c>
      <c r="AA162" s="20">
        <f t="shared" si="90"/>
        <v>0</v>
      </c>
      <c r="AC162" s="3">
        <f t="shared" si="66"/>
        <v>32</v>
      </c>
      <c r="AD162" s="3">
        <f t="shared" si="67"/>
        <v>27</v>
      </c>
      <c r="AE162" s="3">
        <f t="shared" si="68"/>
        <v>22</v>
      </c>
      <c r="AF162" s="3">
        <f t="shared" si="69"/>
        <v>0</v>
      </c>
      <c r="AG162" s="3">
        <f t="shared" si="70"/>
        <v>0</v>
      </c>
      <c r="AH162" s="3">
        <f t="shared" si="71"/>
        <v>94</v>
      </c>
      <c r="AI162" s="3">
        <f t="shared" si="72"/>
        <v>90</v>
      </c>
      <c r="AJ162" s="3">
        <f t="shared" si="73"/>
        <v>80</v>
      </c>
      <c r="AK162" s="3">
        <f t="shared" si="74"/>
        <v>75</v>
      </c>
      <c r="AL162" s="3">
        <f t="shared" si="75"/>
        <v>70</v>
      </c>
      <c r="AM162" s="3">
        <f t="shared" si="76"/>
        <v>65</v>
      </c>
      <c r="AN162" s="3">
        <f t="shared" si="77"/>
        <v>58</v>
      </c>
      <c r="AO162" s="3">
        <f t="shared" si="78"/>
        <v>53</v>
      </c>
      <c r="AP162" s="3">
        <f t="shared" si="79"/>
        <v>48</v>
      </c>
      <c r="AQ162" s="3">
        <f t="shared" si="80"/>
        <v>43</v>
      </c>
      <c r="AR162" s="3">
        <f t="shared" si="81"/>
        <v>37</v>
      </c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M162" s="35" t="s">
        <v>12</v>
      </c>
      <c r="BO162" s="35"/>
      <c r="BR162" s="9" t="str">
        <f t="shared" si="91"/>
        <v/>
      </c>
      <c r="BS162" s="37" t="str">
        <f t="shared" si="92"/>
        <v/>
      </c>
      <c r="BT162" s="38" t="str">
        <f t="shared" si="83"/>
        <v/>
      </c>
      <c r="BU162" s="36" t="str">
        <f t="shared" si="93"/>
        <v/>
      </c>
    </row>
    <row r="163" spans="2:73" ht="15">
      <c r="B163" s="16">
        <f t="shared" si="94"/>
        <v>44214</v>
      </c>
      <c r="C163" s="15" t="s">
        <v>1</v>
      </c>
      <c r="D163" s="17">
        <f t="shared" si="95"/>
        <v>44220</v>
      </c>
      <c r="E163" s="18">
        <f t="shared" si="96"/>
        <v>1</v>
      </c>
      <c r="F163" s="19">
        <f t="shared" si="97"/>
        <v>2021</v>
      </c>
      <c r="G163" s="9">
        <f t="shared" si="99"/>
        <v>17</v>
      </c>
      <c r="H163" s="8">
        <f t="shared" si="99"/>
        <v>95</v>
      </c>
      <c r="I163" s="9"/>
      <c r="J163" s="9"/>
      <c r="K163" s="9"/>
      <c r="L163" s="9"/>
      <c r="M163" s="9"/>
      <c r="N163" s="9"/>
      <c r="O163" s="12"/>
      <c r="P163" s="12"/>
      <c r="Q163" s="12"/>
      <c r="R163" s="12"/>
      <c r="S163" s="12"/>
      <c r="T163" s="12"/>
      <c r="V163" s="20">
        <f t="shared" si="85"/>
        <v>2</v>
      </c>
      <c r="W163" s="20">
        <f t="shared" si="86"/>
        <v>7</v>
      </c>
      <c r="X163" s="20">
        <f t="shared" si="87"/>
        <v>12</v>
      </c>
      <c r="Y163" s="20">
        <f t="shared" si="88"/>
        <v>17</v>
      </c>
      <c r="Z163" s="20">
        <f t="shared" si="89"/>
        <v>0</v>
      </c>
      <c r="AA163" s="20">
        <f t="shared" si="90"/>
        <v>0</v>
      </c>
      <c r="AC163" s="3">
        <f t="shared" ref="AC163:AC226" si="100">IF(AND(AS163&gt;=$V$2,AS163&lt;=$AA$2),LOOKUP(AS163,$V$2:$AA$2,$V163:$AA163),IF(AS162="A",0,IF(AC162=$H163,0,IF(AC162=0,0,AC162+1))))</f>
        <v>33</v>
      </c>
      <c r="AD163" s="3">
        <f t="shared" ref="AD163:AD226" si="101">IF(AND(AT163&gt;=$V$2,AT163&lt;=$AA$2),LOOKUP(AT163,$V$2:$AA$2,$V163:$AA163),IF(AT162="A",0,IF(AD162=$H163,0,IF(AD162=0,0,AD162+1))))</f>
        <v>28</v>
      </c>
      <c r="AE163" s="3">
        <f t="shared" ref="AE163:AE226" si="102">IF(AND(AU163&gt;=$V$2,AU163&lt;=$AA$2),LOOKUP(AU163,$V$2:$AA$2,$V163:$AA163),IF(AU162="A",0,IF(AE162=$H163,0,IF(AE162=0,0,AE162+1))))</f>
        <v>23</v>
      </c>
      <c r="AF163" s="3">
        <f t="shared" ref="AF163:AF226" si="103">IF(AND(AV163&gt;=$V$2,AV163&lt;=$AA$2),LOOKUP(AV163,$V$2:$AA$2,$V163:$AA163),IF(AV162="A",0,IF(AF162=$H163,0,IF(AF162=0,0,AF162+1))))</f>
        <v>17</v>
      </c>
      <c r="AG163" s="3">
        <f t="shared" ref="AG163:AG226" si="104">IF(AND(AW163&gt;=$V$2,AW163&lt;=$AA$2),LOOKUP(AW163,$V$2:$AA$2,$V163:$AA163),IF(AW162="A",0,IF(AG162=$H163,0,IF(AG162=0,0,AG162+1))))</f>
        <v>0</v>
      </c>
      <c r="AH163" s="3">
        <f t="shared" ref="AH163:AH226" si="105">IF(AND(AX163&gt;=$V$2,AX163&lt;=$AA$2),LOOKUP(AX163,$V$2:$AA$2,$V163:$AA163),IF(AX162="A",0,IF(AH162=$H163,0,IF(AH162=0,0,AH162+1))))</f>
        <v>95</v>
      </c>
      <c r="AI163" s="3">
        <f t="shared" ref="AI163:AI226" si="106">IF(AND(AY163&gt;=$V$2,AY163&lt;=$AA$2),LOOKUP(AY163,$V$2:$AA$2,$V163:$AA163),IF(AY162="A",0,IF(AI162=$H163,0,IF(AI162=0,0,AI162+1))))</f>
        <v>91</v>
      </c>
      <c r="AJ163" s="3">
        <f t="shared" ref="AJ163:AJ226" si="107">IF(AND(AZ163&gt;=$V$2,AZ163&lt;=$AA$2),LOOKUP(AZ163,$V$2:$AA$2,$V163:$AA163),IF(AZ162="A",0,IF(AJ162=$H163,0,IF(AJ162=0,0,AJ162+1))))</f>
        <v>81</v>
      </c>
      <c r="AK163" s="3">
        <f t="shared" ref="AK163:AK226" si="108">IF(AND(BA163&gt;=$V$2,BA163&lt;=$AA$2),LOOKUP(BA163,$V$2:$AA$2,$V163:$AA163),IF(BA162="A",0,IF(AK162=$H163,0,IF(AK162=0,0,AK162+1))))</f>
        <v>76</v>
      </c>
      <c r="AL163" s="3">
        <f t="shared" ref="AL163:AL226" si="109">IF(AND(BB163&gt;=$V$2,BB163&lt;=$AA$2),LOOKUP(BB163,$V$2:$AA$2,$V163:$AA163),IF(BB162="A",0,IF(AL162=$H163,0,IF(AL162=0,0,AL162+1))))</f>
        <v>71</v>
      </c>
      <c r="AM163" s="3">
        <f t="shared" ref="AM163:AM226" si="110">IF(AND(BC163&gt;=$V$2,BC163&lt;=$AA$2),LOOKUP(BC163,$V$2:$AA$2,$V163:$AA163),IF(BC162="A",0,IF(AM162=$H163,0,IF(AM162=0,0,AM162+1))))</f>
        <v>66</v>
      </c>
      <c r="AN163" s="3">
        <f t="shared" ref="AN163:AN226" si="111">IF(AND(BD163&gt;=$V$2,BD163&lt;=$AA$2),LOOKUP(BD163,$V$2:$AA$2,$V163:$AA163),IF(BD162="A",0,IF(AN162=$H163,0,IF(AN162=0,0,AN162+1))))</f>
        <v>59</v>
      </c>
      <c r="AO163" s="3">
        <f t="shared" ref="AO163:AO226" si="112">IF(AND(BE163&gt;=$V$2,BE163&lt;=$AA$2),LOOKUP(BE163,$V$2:$AA$2,$V163:$AA163),IF(BE162="A",0,IF(AO162=$H163,0,IF(AO162=0,0,AO162+1))))</f>
        <v>54</v>
      </c>
      <c r="AP163" s="3">
        <f t="shared" ref="AP163:AP226" si="113">IF(AND(BF163&gt;=$V$2,BF163&lt;=$AA$2),LOOKUP(BF163,$V$2:$AA$2,$V163:$AA163),IF(BF162="A",0,IF(AP162=$H163,0,IF(AP162=0,0,AP162+1))))</f>
        <v>49</v>
      </c>
      <c r="AQ163" s="3">
        <f t="shared" ref="AQ163:AQ226" si="114">IF(AND(BG163&gt;=$V$2,BG163&lt;=$AA$2),LOOKUP(BG163,$V$2:$AA$2,$V163:$AA163),IF(BG162="A",0,IF(AQ162=$H163,0,IF(AQ162=0,0,AQ162+1))))</f>
        <v>44</v>
      </c>
      <c r="AR163" s="3">
        <f t="shared" ref="AR163:AR226" si="115">IF(AND(BH163&gt;=$V$2,BH163&lt;=$AA$2),LOOKUP(BH163,$V$2:$AA$2,$V163:$AA163),IF(BH162="A",0,IF(AR162=$H163,0,IF(AR162=0,0,AR162+1))))</f>
        <v>38</v>
      </c>
      <c r="AS163" s="8"/>
      <c r="AT163" s="8"/>
      <c r="AU163" s="8"/>
      <c r="AV163" s="8">
        <v>4</v>
      </c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M163" s="35" t="s">
        <v>12</v>
      </c>
      <c r="BO163" s="35"/>
      <c r="BR163" s="9" t="str">
        <f t="shared" si="91"/>
        <v/>
      </c>
      <c r="BS163" s="37" t="str">
        <f t="shared" si="92"/>
        <v/>
      </c>
      <c r="BT163" s="38" t="str">
        <f t="shared" si="83"/>
        <v/>
      </c>
      <c r="BU163" s="36" t="str">
        <f t="shared" si="93"/>
        <v/>
      </c>
    </row>
    <row r="164" spans="2:73" ht="15">
      <c r="B164" s="16">
        <f t="shared" si="94"/>
        <v>44221</v>
      </c>
      <c r="C164" s="15" t="s">
        <v>1</v>
      </c>
      <c r="D164" s="17">
        <f t="shared" si="95"/>
        <v>44227</v>
      </c>
      <c r="E164" s="18">
        <f t="shared" si="96"/>
        <v>1</v>
      </c>
      <c r="F164" s="19">
        <f t="shared" si="97"/>
        <v>2021</v>
      </c>
      <c r="G164" s="9">
        <f t="shared" si="99"/>
        <v>17</v>
      </c>
      <c r="H164" s="8">
        <f t="shared" si="99"/>
        <v>95</v>
      </c>
      <c r="I164" s="9"/>
      <c r="J164" s="9"/>
      <c r="K164" s="9"/>
      <c r="L164" s="9"/>
      <c r="M164" s="9"/>
      <c r="N164" s="9"/>
      <c r="O164" s="12"/>
      <c r="P164" s="12"/>
      <c r="Q164" s="12"/>
      <c r="R164" s="12"/>
      <c r="S164" s="12"/>
      <c r="T164" s="12"/>
      <c r="V164" s="20">
        <f t="shared" si="85"/>
        <v>3</v>
      </c>
      <c r="W164" s="20">
        <f t="shared" si="86"/>
        <v>8</v>
      </c>
      <c r="X164" s="20">
        <f t="shared" si="87"/>
        <v>13</v>
      </c>
      <c r="Y164" s="20">
        <f t="shared" si="88"/>
        <v>0</v>
      </c>
      <c r="Z164" s="20">
        <f t="shared" si="89"/>
        <v>0</v>
      </c>
      <c r="AA164" s="20">
        <f t="shared" si="90"/>
        <v>0</v>
      </c>
      <c r="AC164" s="3">
        <f t="shared" si="100"/>
        <v>34</v>
      </c>
      <c r="AD164" s="3">
        <f t="shared" si="101"/>
        <v>29</v>
      </c>
      <c r="AE164" s="3">
        <f t="shared" si="102"/>
        <v>24</v>
      </c>
      <c r="AF164" s="3">
        <f t="shared" si="103"/>
        <v>18</v>
      </c>
      <c r="AG164" s="3">
        <f t="shared" si="104"/>
        <v>0</v>
      </c>
      <c r="AH164" s="3">
        <f t="shared" si="105"/>
        <v>0</v>
      </c>
      <c r="AI164" s="3">
        <f t="shared" si="106"/>
        <v>92</v>
      </c>
      <c r="AJ164" s="3">
        <f t="shared" si="107"/>
        <v>82</v>
      </c>
      <c r="AK164" s="3">
        <f t="shared" si="108"/>
        <v>77</v>
      </c>
      <c r="AL164" s="3">
        <f t="shared" si="109"/>
        <v>72</v>
      </c>
      <c r="AM164" s="3">
        <f t="shared" si="110"/>
        <v>67</v>
      </c>
      <c r="AN164" s="3">
        <f t="shared" si="111"/>
        <v>60</v>
      </c>
      <c r="AO164" s="3">
        <f t="shared" si="112"/>
        <v>55</v>
      </c>
      <c r="AP164" s="3">
        <f t="shared" si="113"/>
        <v>50</v>
      </c>
      <c r="AQ164" s="3">
        <f t="shared" si="114"/>
        <v>45</v>
      </c>
      <c r="AR164" s="3">
        <f t="shared" si="115"/>
        <v>39</v>
      </c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M164" s="35" t="s">
        <v>12</v>
      </c>
      <c r="BO164" s="35"/>
      <c r="BR164" s="9" t="str">
        <f t="shared" si="91"/>
        <v/>
      </c>
      <c r="BS164" s="37" t="str">
        <f t="shared" si="92"/>
        <v/>
      </c>
      <c r="BT164" s="38" t="str">
        <f t="shared" si="83"/>
        <v/>
      </c>
      <c r="BU164" s="36" t="str">
        <f t="shared" si="93"/>
        <v/>
      </c>
    </row>
    <row r="165" spans="2:73" ht="15">
      <c r="B165" s="16">
        <f t="shared" si="94"/>
        <v>44228</v>
      </c>
      <c r="C165" s="15" t="s">
        <v>1</v>
      </c>
      <c r="D165" s="17">
        <f t="shared" si="95"/>
        <v>44234</v>
      </c>
      <c r="E165" s="18">
        <f t="shared" si="96"/>
        <v>2</v>
      </c>
      <c r="F165" s="19">
        <f t="shared" si="97"/>
        <v>2021</v>
      </c>
      <c r="G165" s="9">
        <f t="shared" si="99"/>
        <v>17</v>
      </c>
      <c r="H165" s="8">
        <f t="shared" si="99"/>
        <v>95</v>
      </c>
      <c r="I165" s="9"/>
      <c r="J165" s="9"/>
      <c r="K165" s="9"/>
      <c r="L165" s="9"/>
      <c r="M165" s="9"/>
      <c r="N165" s="9"/>
      <c r="O165" s="12"/>
      <c r="P165" s="12"/>
      <c r="Q165" s="12"/>
      <c r="R165" s="12"/>
      <c r="S165" s="12"/>
      <c r="T165" s="12"/>
      <c r="V165" s="20">
        <f t="shared" si="85"/>
        <v>4</v>
      </c>
      <c r="W165" s="20">
        <f t="shared" si="86"/>
        <v>9</v>
      </c>
      <c r="X165" s="20">
        <f t="shared" si="87"/>
        <v>14</v>
      </c>
      <c r="Y165" s="20">
        <f t="shared" si="88"/>
        <v>0</v>
      </c>
      <c r="Z165" s="20">
        <f t="shared" si="89"/>
        <v>0</v>
      </c>
      <c r="AA165" s="20">
        <f t="shared" si="90"/>
        <v>0</v>
      </c>
      <c r="AC165" s="3">
        <f t="shared" si="100"/>
        <v>35</v>
      </c>
      <c r="AD165" s="3">
        <f t="shared" si="101"/>
        <v>30</v>
      </c>
      <c r="AE165" s="3">
        <f t="shared" si="102"/>
        <v>25</v>
      </c>
      <c r="AF165" s="3">
        <f t="shared" si="103"/>
        <v>19</v>
      </c>
      <c r="AG165" s="3">
        <f t="shared" si="104"/>
        <v>0</v>
      </c>
      <c r="AH165" s="3">
        <f t="shared" si="105"/>
        <v>0</v>
      </c>
      <c r="AI165" s="3">
        <f t="shared" si="106"/>
        <v>93</v>
      </c>
      <c r="AJ165" s="3">
        <f t="shared" si="107"/>
        <v>83</v>
      </c>
      <c r="AK165" s="3">
        <f t="shared" si="108"/>
        <v>78</v>
      </c>
      <c r="AL165" s="3">
        <f t="shared" si="109"/>
        <v>73</v>
      </c>
      <c r="AM165" s="3">
        <f t="shared" si="110"/>
        <v>68</v>
      </c>
      <c r="AN165" s="3">
        <f t="shared" si="111"/>
        <v>61</v>
      </c>
      <c r="AO165" s="3">
        <f t="shared" si="112"/>
        <v>56</v>
      </c>
      <c r="AP165" s="3">
        <f t="shared" si="113"/>
        <v>51</v>
      </c>
      <c r="AQ165" s="3">
        <f t="shared" si="114"/>
        <v>46</v>
      </c>
      <c r="AR165" s="3">
        <f t="shared" si="115"/>
        <v>40</v>
      </c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L165">
        <v>2</v>
      </c>
      <c r="BM165" s="35">
        <v>44228</v>
      </c>
      <c r="BO165" s="35">
        <f>B182</f>
        <v>44347</v>
      </c>
      <c r="BP165">
        <v>95</v>
      </c>
      <c r="BR165" s="9" t="str">
        <f t="shared" si="91"/>
        <v/>
      </c>
      <c r="BS165" s="37" t="str">
        <f t="shared" si="92"/>
        <v/>
      </c>
      <c r="BT165" s="38" t="str">
        <f t="shared" si="83"/>
        <v/>
      </c>
      <c r="BU165" s="36" t="str">
        <f t="shared" si="93"/>
        <v/>
      </c>
    </row>
    <row r="166" spans="2:73" ht="15">
      <c r="B166" s="16">
        <f t="shared" si="94"/>
        <v>44235</v>
      </c>
      <c r="C166" s="15" t="s">
        <v>1</v>
      </c>
      <c r="D166" s="17">
        <f t="shared" si="95"/>
        <v>44241</v>
      </c>
      <c r="E166" s="18">
        <f t="shared" si="96"/>
        <v>2</v>
      </c>
      <c r="F166" s="19">
        <f t="shared" si="97"/>
        <v>2021</v>
      </c>
      <c r="G166" s="9">
        <f t="shared" ref="G166:H181" si="116">G165</f>
        <v>17</v>
      </c>
      <c r="H166" s="8">
        <f t="shared" si="116"/>
        <v>95</v>
      </c>
      <c r="I166" s="9"/>
      <c r="J166" s="9"/>
      <c r="K166" s="9"/>
      <c r="L166" s="9"/>
      <c r="M166" s="9"/>
      <c r="N166" s="9"/>
      <c r="O166" s="12"/>
      <c r="P166" s="12"/>
      <c r="Q166" s="12"/>
      <c r="R166" s="12"/>
      <c r="S166" s="12"/>
      <c r="T166" s="12"/>
      <c r="V166" s="20">
        <f t="shared" si="85"/>
        <v>5</v>
      </c>
      <c r="W166" s="20">
        <f t="shared" si="86"/>
        <v>10</v>
      </c>
      <c r="X166" s="20">
        <f t="shared" si="87"/>
        <v>15</v>
      </c>
      <c r="Y166" s="20">
        <f t="shared" si="88"/>
        <v>0</v>
      </c>
      <c r="Z166" s="20">
        <f t="shared" si="89"/>
        <v>0</v>
      </c>
      <c r="AA166" s="20">
        <f t="shared" si="90"/>
        <v>0</v>
      </c>
      <c r="AC166" s="3">
        <f t="shared" si="100"/>
        <v>36</v>
      </c>
      <c r="AD166" s="3">
        <f t="shared" si="101"/>
        <v>31</v>
      </c>
      <c r="AE166" s="3">
        <f t="shared" si="102"/>
        <v>26</v>
      </c>
      <c r="AF166" s="3">
        <f t="shared" si="103"/>
        <v>20</v>
      </c>
      <c r="AG166" s="3">
        <f t="shared" si="104"/>
        <v>0</v>
      </c>
      <c r="AH166" s="3">
        <f t="shared" si="105"/>
        <v>0</v>
      </c>
      <c r="AI166" s="3">
        <f t="shared" si="106"/>
        <v>94</v>
      </c>
      <c r="AJ166" s="3">
        <f t="shared" si="107"/>
        <v>84</v>
      </c>
      <c r="AK166" s="3">
        <f t="shared" si="108"/>
        <v>79</v>
      </c>
      <c r="AL166" s="3">
        <f t="shared" si="109"/>
        <v>74</v>
      </c>
      <c r="AM166" s="3">
        <f t="shared" si="110"/>
        <v>69</v>
      </c>
      <c r="AN166" s="3">
        <f t="shared" si="111"/>
        <v>62</v>
      </c>
      <c r="AO166" s="3">
        <f t="shared" si="112"/>
        <v>57</v>
      </c>
      <c r="AP166" s="3">
        <f t="shared" si="113"/>
        <v>52</v>
      </c>
      <c r="AQ166" s="3">
        <f t="shared" si="114"/>
        <v>47</v>
      </c>
      <c r="AR166" s="3">
        <f t="shared" si="115"/>
        <v>41</v>
      </c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M166" s="35" t="s">
        <v>12</v>
      </c>
      <c r="BO166" s="35"/>
      <c r="BR166" s="9" t="str">
        <f t="shared" si="91"/>
        <v/>
      </c>
      <c r="BS166" s="37" t="str">
        <f t="shared" si="92"/>
        <v/>
      </c>
      <c r="BT166" s="38" t="str">
        <f t="shared" si="83"/>
        <v/>
      </c>
      <c r="BU166" s="36" t="str">
        <f t="shared" si="93"/>
        <v/>
      </c>
    </row>
    <row r="167" spans="2:73" ht="15">
      <c r="B167" s="16">
        <f t="shared" si="94"/>
        <v>44242</v>
      </c>
      <c r="C167" s="15" t="s">
        <v>1</v>
      </c>
      <c r="D167" s="17">
        <f t="shared" si="95"/>
        <v>44248</v>
      </c>
      <c r="E167" s="18">
        <f t="shared" si="96"/>
        <v>2</v>
      </c>
      <c r="F167" s="19">
        <f t="shared" si="97"/>
        <v>2021</v>
      </c>
      <c r="G167" s="9">
        <f t="shared" si="116"/>
        <v>17</v>
      </c>
      <c r="H167" s="8">
        <f t="shared" si="116"/>
        <v>95</v>
      </c>
      <c r="I167" s="9"/>
      <c r="J167" s="9"/>
      <c r="K167" s="9"/>
      <c r="L167" s="9"/>
      <c r="M167" s="9"/>
      <c r="N167" s="9"/>
      <c r="O167" s="12"/>
      <c r="P167" s="12"/>
      <c r="Q167" s="12"/>
      <c r="R167" s="12"/>
      <c r="S167" s="12"/>
      <c r="T167" s="12"/>
      <c r="V167" s="20">
        <f t="shared" si="85"/>
        <v>6</v>
      </c>
      <c r="W167" s="20">
        <f t="shared" si="86"/>
        <v>11</v>
      </c>
      <c r="X167" s="20">
        <f t="shared" si="87"/>
        <v>16</v>
      </c>
      <c r="Y167" s="20">
        <f t="shared" si="88"/>
        <v>0</v>
      </c>
      <c r="Z167" s="20">
        <f t="shared" si="89"/>
        <v>0</v>
      </c>
      <c r="AA167" s="20">
        <f t="shared" si="90"/>
        <v>0</v>
      </c>
      <c r="AC167" s="3">
        <f t="shared" si="100"/>
        <v>37</v>
      </c>
      <c r="AD167" s="3">
        <f t="shared" si="101"/>
        <v>32</v>
      </c>
      <c r="AE167" s="3">
        <f t="shared" si="102"/>
        <v>27</v>
      </c>
      <c r="AF167" s="3">
        <f t="shared" si="103"/>
        <v>21</v>
      </c>
      <c r="AG167" s="3">
        <f t="shared" si="104"/>
        <v>0</v>
      </c>
      <c r="AH167" s="3">
        <f t="shared" si="105"/>
        <v>0</v>
      </c>
      <c r="AI167" s="3">
        <f t="shared" si="106"/>
        <v>95</v>
      </c>
      <c r="AJ167" s="3">
        <f t="shared" si="107"/>
        <v>85</v>
      </c>
      <c r="AK167" s="3">
        <f t="shared" si="108"/>
        <v>80</v>
      </c>
      <c r="AL167" s="3">
        <f t="shared" si="109"/>
        <v>75</v>
      </c>
      <c r="AM167" s="3">
        <f t="shared" si="110"/>
        <v>70</v>
      </c>
      <c r="AN167" s="3">
        <f t="shared" si="111"/>
        <v>63</v>
      </c>
      <c r="AO167" s="3">
        <f t="shared" si="112"/>
        <v>58</v>
      </c>
      <c r="AP167" s="3">
        <f t="shared" si="113"/>
        <v>53</v>
      </c>
      <c r="AQ167" s="3">
        <f t="shared" si="114"/>
        <v>48</v>
      </c>
      <c r="AR167" s="3">
        <f t="shared" si="115"/>
        <v>42</v>
      </c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M167" s="35" t="s">
        <v>12</v>
      </c>
      <c r="BO167" s="35"/>
      <c r="BR167" s="9" t="str">
        <f t="shared" si="91"/>
        <v/>
      </c>
      <c r="BS167" s="37" t="str">
        <f t="shared" si="92"/>
        <v/>
      </c>
      <c r="BT167" s="38" t="str">
        <f t="shared" si="83"/>
        <v/>
      </c>
      <c r="BU167" s="36" t="str">
        <f t="shared" si="93"/>
        <v/>
      </c>
    </row>
    <row r="168" spans="2:73" ht="15">
      <c r="B168" s="16">
        <f t="shared" si="94"/>
        <v>44249</v>
      </c>
      <c r="C168" s="15" t="s">
        <v>1</v>
      </c>
      <c r="D168" s="17">
        <f t="shared" si="95"/>
        <v>44255</v>
      </c>
      <c r="E168" s="18">
        <f t="shared" si="96"/>
        <v>2</v>
      </c>
      <c r="F168" s="19">
        <f t="shared" si="97"/>
        <v>2021</v>
      </c>
      <c r="G168" s="9">
        <f t="shared" si="116"/>
        <v>17</v>
      </c>
      <c r="H168" s="8">
        <f t="shared" si="116"/>
        <v>95</v>
      </c>
      <c r="I168" s="9"/>
      <c r="J168" s="9"/>
      <c r="K168" s="9"/>
      <c r="L168" s="9"/>
      <c r="M168" s="9"/>
      <c r="N168" s="9"/>
      <c r="O168" s="12"/>
      <c r="P168" s="12"/>
      <c r="Q168" s="12"/>
      <c r="R168" s="12">
        <v>1</v>
      </c>
      <c r="S168" s="12"/>
      <c r="T168" s="12"/>
      <c r="V168" s="20">
        <f t="shared" si="85"/>
        <v>7</v>
      </c>
      <c r="W168" s="20">
        <f t="shared" si="86"/>
        <v>12</v>
      </c>
      <c r="X168" s="20">
        <f t="shared" si="87"/>
        <v>17</v>
      </c>
      <c r="Y168" s="20">
        <f t="shared" si="88"/>
        <v>44251</v>
      </c>
      <c r="Z168" s="20">
        <f t="shared" si="89"/>
        <v>0</v>
      </c>
      <c r="AA168" s="20">
        <f t="shared" si="90"/>
        <v>0</v>
      </c>
      <c r="AC168" s="3">
        <f t="shared" si="100"/>
        <v>38</v>
      </c>
      <c r="AD168" s="3">
        <f t="shared" si="101"/>
        <v>33</v>
      </c>
      <c r="AE168" s="3">
        <f t="shared" si="102"/>
        <v>28</v>
      </c>
      <c r="AF168" s="3">
        <f t="shared" si="103"/>
        <v>22</v>
      </c>
      <c r="AG168" s="3">
        <f t="shared" si="104"/>
        <v>17</v>
      </c>
      <c r="AH168" s="3">
        <f t="shared" si="105"/>
        <v>0</v>
      </c>
      <c r="AI168" s="3">
        <f t="shared" si="106"/>
        <v>0</v>
      </c>
      <c r="AJ168" s="3">
        <f t="shared" si="107"/>
        <v>86</v>
      </c>
      <c r="AK168" s="3">
        <f t="shared" si="108"/>
        <v>81</v>
      </c>
      <c r="AL168" s="3">
        <f t="shared" si="109"/>
        <v>76</v>
      </c>
      <c r="AM168" s="3">
        <f t="shared" si="110"/>
        <v>71</v>
      </c>
      <c r="AN168" s="3">
        <f t="shared" si="111"/>
        <v>64</v>
      </c>
      <c r="AO168" s="3">
        <f t="shared" si="112"/>
        <v>59</v>
      </c>
      <c r="AP168" s="3">
        <f t="shared" si="113"/>
        <v>54</v>
      </c>
      <c r="AQ168" s="3">
        <f t="shared" si="114"/>
        <v>49</v>
      </c>
      <c r="AR168" s="3">
        <f t="shared" si="115"/>
        <v>43</v>
      </c>
      <c r="AS168" s="8"/>
      <c r="AT168" s="8"/>
      <c r="AU168" s="8"/>
      <c r="AV168" s="8"/>
      <c r="AW168" s="8">
        <v>3</v>
      </c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M168" s="35" t="s">
        <v>12</v>
      </c>
      <c r="BO168" s="35"/>
      <c r="BR168" s="9">
        <f t="shared" si="91"/>
        <v>4</v>
      </c>
      <c r="BS168" s="37">
        <f t="shared" si="92"/>
        <v>44251</v>
      </c>
      <c r="BT168" s="38">
        <f t="shared" si="83"/>
        <v>44370</v>
      </c>
      <c r="BU168" s="36">
        <f t="shared" si="93"/>
        <v>13</v>
      </c>
    </row>
    <row r="169" spans="2:73" ht="15">
      <c r="B169" s="16">
        <f t="shared" si="94"/>
        <v>44256</v>
      </c>
      <c r="C169" s="15" t="s">
        <v>1</v>
      </c>
      <c r="D169" s="17">
        <f t="shared" si="95"/>
        <v>44262</v>
      </c>
      <c r="E169" s="18">
        <f t="shared" si="96"/>
        <v>3</v>
      </c>
      <c r="F169" s="19">
        <f t="shared" si="97"/>
        <v>2021</v>
      </c>
      <c r="G169" s="9">
        <f t="shared" si="116"/>
        <v>17</v>
      </c>
      <c r="H169" s="8">
        <f t="shared" si="116"/>
        <v>95</v>
      </c>
      <c r="I169" s="9"/>
      <c r="J169" s="9"/>
      <c r="K169" s="9"/>
      <c r="L169" s="9"/>
      <c r="M169" s="9"/>
      <c r="N169" s="9"/>
      <c r="O169" s="12"/>
      <c r="P169" s="12"/>
      <c r="Q169" s="12"/>
      <c r="R169" s="12"/>
      <c r="S169" s="12"/>
      <c r="T169" s="12"/>
      <c r="V169" s="20">
        <f t="shared" si="85"/>
        <v>8</v>
      </c>
      <c r="W169" s="20">
        <f t="shared" si="86"/>
        <v>13</v>
      </c>
      <c r="X169" s="20">
        <f t="shared" si="87"/>
        <v>0</v>
      </c>
      <c r="Y169" s="20">
        <f t="shared" si="88"/>
        <v>1</v>
      </c>
      <c r="Z169" s="20">
        <f t="shared" si="89"/>
        <v>0</v>
      </c>
      <c r="AA169" s="20">
        <f t="shared" si="90"/>
        <v>0</v>
      </c>
      <c r="AC169" s="3">
        <f t="shared" si="100"/>
        <v>39</v>
      </c>
      <c r="AD169" s="3">
        <f t="shared" si="101"/>
        <v>34</v>
      </c>
      <c r="AE169" s="3">
        <f t="shared" si="102"/>
        <v>29</v>
      </c>
      <c r="AF169" s="3">
        <f t="shared" si="103"/>
        <v>23</v>
      </c>
      <c r="AG169" s="3">
        <f t="shared" si="104"/>
        <v>18</v>
      </c>
      <c r="AH169" s="3">
        <f t="shared" si="105"/>
        <v>0</v>
      </c>
      <c r="AI169" s="3">
        <f t="shared" si="106"/>
        <v>0</v>
      </c>
      <c r="AJ169" s="3">
        <f t="shared" si="107"/>
        <v>87</v>
      </c>
      <c r="AK169" s="3">
        <f t="shared" si="108"/>
        <v>82</v>
      </c>
      <c r="AL169" s="3">
        <f t="shared" si="109"/>
        <v>77</v>
      </c>
      <c r="AM169" s="3">
        <f t="shared" si="110"/>
        <v>72</v>
      </c>
      <c r="AN169" s="3">
        <f t="shared" si="111"/>
        <v>65</v>
      </c>
      <c r="AO169" s="3">
        <f t="shared" si="112"/>
        <v>60</v>
      </c>
      <c r="AP169" s="3">
        <f t="shared" si="113"/>
        <v>55</v>
      </c>
      <c r="AQ169" s="3">
        <f t="shared" si="114"/>
        <v>50</v>
      </c>
      <c r="AR169" s="3">
        <f t="shared" si="115"/>
        <v>44</v>
      </c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L169">
        <v>13</v>
      </c>
      <c r="BM169" s="35">
        <v>44256</v>
      </c>
      <c r="BO169" s="35">
        <f>B186</f>
        <v>44375</v>
      </c>
      <c r="BP169">
        <v>98</v>
      </c>
      <c r="BR169" s="9" t="str">
        <f t="shared" si="91"/>
        <v/>
      </c>
      <c r="BS169" s="37" t="str">
        <f t="shared" si="92"/>
        <v/>
      </c>
      <c r="BT169" s="38" t="str">
        <f t="shared" si="83"/>
        <v/>
      </c>
      <c r="BU169" s="36" t="str">
        <f t="shared" si="93"/>
        <v/>
      </c>
    </row>
    <row r="170" spans="2:73" ht="15">
      <c r="B170" s="16">
        <f t="shared" si="94"/>
        <v>44263</v>
      </c>
      <c r="C170" s="15" t="s">
        <v>1</v>
      </c>
      <c r="D170" s="17">
        <f t="shared" si="95"/>
        <v>44269</v>
      </c>
      <c r="E170" s="18">
        <f t="shared" si="96"/>
        <v>3</v>
      </c>
      <c r="F170" s="19">
        <f t="shared" si="97"/>
        <v>2021</v>
      </c>
      <c r="G170" s="9">
        <f t="shared" si="116"/>
        <v>17</v>
      </c>
      <c r="H170" s="8">
        <f t="shared" si="116"/>
        <v>95</v>
      </c>
      <c r="I170" s="9"/>
      <c r="J170" s="9"/>
      <c r="K170" s="9"/>
      <c r="L170" s="9"/>
      <c r="M170" s="9"/>
      <c r="N170" s="9"/>
      <c r="O170" s="12"/>
      <c r="P170" s="12"/>
      <c r="Q170" s="12"/>
      <c r="R170" s="12"/>
      <c r="S170" s="12"/>
      <c r="T170" s="12"/>
      <c r="V170" s="20">
        <f t="shared" si="85"/>
        <v>9</v>
      </c>
      <c r="W170" s="20">
        <f t="shared" si="86"/>
        <v>14</v>
      </c>
      <c r="X170" s="20">
        <f t="shared" si="87"/>
        <v>0</v>
      </c>
      <c r="Y170" s="20">
        <f t="shared" si="88"/>
        <v>2</v>
      </c>
      <c r="Z170" s="20">
        <f t="shared" si="89"/>
        <v>0</v>
      </c>
      <c r="AA170" s="20">
        <f t="shared" si="90"/>
        <v>0</v>
      </c>
      <c r="AC170" s="3">
        <f t="shared" si="100"/>
        <v>40</v>
      </c>
      <c r="AD170" s="3">
        <f t="shared" si="101"/>
        <v>35</v>
      </c>
      <c r="AE170" s="3">
        <f t="shared" si="102"/>
        <v>30</v>
      </c>
      <c r="AF170" s="3">
        <f t="shared" si="103"/>
        <v>24</v>
      </c>
      <c r="AG170" s="3">
        <f t="shared" si="104"/>
        <v>19</v>
      </c>
      <c r="AH170" s="3">
        <f t="shared" si="105"/>
        <v>0</v>
      </c>
      <c r="AI170" s="3">
        <f t="shared" si="106"/>
        <v>0</v>
      </c>
      <c r="AJ170" s="3">
        <f t="shared" si="107"/>
        <v>88</v>
      </c>
      <c r="AK170" s="3">
        <f t="shared" si="108"/>
        <v>83</v>
      </c>
      <c r="AL170" s="3">
        <f t="shared" si="109"/>
        <v>78</v>
      </c>
      <c r="AM170" s="3">
        <f t="shared" si="110"/>
        <v>73</v>
      </c>
      <c r="AN170" s="3">
        <f t="shared" si="111"/>
        <v>66</v>
      </c>
      <c r="AO170" s="3">
        <f t="shared" si="112"/>
        <v>61</v>
      </c>
      <c r="AP170" s="3">
        <f t="shared" si="113"/>
        <v>56</v>
      </c>
      <c r="AQ170" s="3">
        <f t="shared" si="114"/>
        <v>51</v>
      </c>
      <c r="AR170" s="3">
        <f t="shared" si="115"/>
        <v>45</v>
      </c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M170" s="35" t="s">
        <v>12</v>
      </c>
      <c r="BO170" s="35"/>
      <c r="BR170" s="9" t="str">
        <f t="shared" si="91"/>
        <v/>
      </c>
      <c r="BS170" s="37" t="str">
        <f t="shared" si="92"/>
        <v/>
      </c>
      <c r="BT170" s="38" t="str">
        <f t="shared" ref="BT170:BT233" si="117">IF(BS170="","",BS170+(17*7))</f>
        <v/>
      </c>
      <c r="BU170" s="36" t="str">
        <f t="shared" si="93"/>
        <v/>
      </c>
    </row>
    <row r="171" spans="2:73" ht="15">
      <c r="B171" s="16">
        <f t="shared" si="94"/>
        <v>44270</v>
      </c>
      <c r="C171" s="15" t="s">
        <v>1</v>
      </c>
      <c r="D171" s="17">
        <f t="shared" si="95"/>
        <v>44276</v>
      </c>
      <c r="E171" s="18">
        <f t="shared" si="96"/>
        <v>3</v>
      </c>
      <c r="F171" s="19">
        <f t="shared" si="97"/>
        <v>2021</v>
      </c>
      <c r="G171" s="9">
        <f t="shared" si="116"/>
        <v>17</v>
      </c>
      <c r="H171" s="8">
        <f t="shared" si="116"/>
        <v>95</v>
      </c>
      <c r="I171" s="9"/>
      <c r="J171" s="9"/>
      <c r="K171" s="9"/>
      <c r="L171" s="9"/>
      <c r="M171" s="9"/>
      <c r="N171" s="9"/>
      <c r="O171" s="12"/>
      <c r="P171" s="12"/>
      <c r="Q171" s="12"/>
      <c r="R171" s="12"/>
      <c r="S171" s="12"/>
      <c r="T171" s="12"/>
      <c r="V171" s="20">
        <f t="shared" si="85"/>
        <v>10</v>
      </c>
      <c r="W171" s="20">
        <f t="shared" si="86"/>
        <v>15</v>
      </c>
      <c r="X171" s="20">
        <f t="shared" si="87"/>
        <v>0</v>
      </c>
      <c r="Y171" s="20">
        <f t="shared" si="88"/>
        <v>3</v>
      </c>
      <c r="Z171" s="20">
        <f t="shared" si="89"/>
        <v>0</v>
      </c>
      <c r="AA171" s="20">
        <f t="shared" si="90"/>
        <v>0</v>
      </c>
      <c r="AC171" s="3">
        <f t="shared" si="100"/>
        <v>41</v>
      </c>
      <c r="AD171" s="3">
        <f t="shared" si="101"/>
        <v>36</v>
      </c>
      <c r="AE171" s="3">
        <f t="shared" si="102"/>
        <v>31</v>
      </c>
      <c r="AF171" s="3">
        <f t="shared" si="103"/>
        <v>25</v>
      </c>
      <c r="AG171" s="3">
        <f t="shared" si="104"/>
        <v>20</v>
      </c>
      <c r="AH171" s="3">
        <f t="shared" si="105"/>
        <v>0</v>
      </c>
      <c r="AI171" s="3">
        <f t="shared" si="106"/>
        <v>0</v>
      </c>
      <c r="AJ171" s="3">
        <f t="shared" si="107"/>
        <v>89</v>
      </c>
      <c r="AK171" s="3">
        <f t="shared" si="108"/>
        <v>84</v>
      </c>
      <c r="AL171" s="3">
        <f t="shared" si="109"/>
        <v>79</v>
      </c>
      <c r="AM171" s="3">
        <f t="shared" si="110"/>
        <v>74</v>
      </c>
      <c r="AN171" s="3">
        <f t="shared" si="111"/>
        <v>67</v>
      </c>
      <c r="AO171" s="3">
        <f t="shared" si="112"/>
        <v>62</v>
      </c>
      <c r="AP171" s="3">
        <f t="shared" si="113"/>
        <v>57</v>
      </c>
      <c r="AQ171" s="3">
        <f t="shared" si="114"/>
        <v>52</v>
      </c>
      <c r="AR171" s="3">
        <f t="shared" si="115"/>
        <v>46</v>
      </c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M171" s="35" t="s">
        <v>12</v>
      </c>
      <c r="BO171" s="35"/>
      <c r="BR171" s="9" t="str">
        <f t="shared" si="91"/>
        <v/>
      </c>
      <c r="BS171" s="37" t="str">
        <f t="shared" si="92"/>
        <v/>
      </c>
      <c r="BT171" s="38" t="str">
        <f t="shared" si="117"/>
        <v/>
      </c>
      <c r="BU171" s="36" t="str">
        <f t="shared" si="93"/>
        <v/>
      </c>
    </row>
    <row r="172" spans="2:73" ht="15">
      <c r="B172" s="16">
        <f t="shared" si="94"/>
        <v>44277</v>
      </c>
      <c r="C172" s="15" t="s">
        <v>1</v>
      </c>
      <c r="D172" s="17">
        <f t="shared" si="95"/>
        <v>44283</v>
      </c>
      <c r="E172" s="18">
        <f t="shared" si="96"/>
        <v>3</v>
      </c>
      <c r="F172" s="19">
        <f t="shared" si="97"/>
        <v>2021</v>
      </c>
      <c r="G172" s="9">
        <f t="shared" si="116"/>
        <v>17</v>
      </c>
      <c r="H172" s="8">
        <f t="shared" si="116"/>
        <v>95</v>
      </c>
      <c r="I172" s="9"/>
      <c r="J172" s="9"/>
      <c r="K172" s="9"/>
      <c r="L172" s="9"/>
      <c r="M172" s="9"/>
      <c r="N172" s="9"/>
      <c r="O172" s="12"/>
      <c r="P172" s="12"/>
      <c r="Q172" s="12"/>
      <c r="R172" s="12"/>
      <c r="S172" s="12"/>
      <c r="T172" s="12"/>
      <c r="V172" s="20">
        <f t="shared" si="85"/>
        <v>11</v>
      </c>
      <c r="W172" s="20">
        <f t="shared" si="86"/>
        <v>16</v>
      </c>
      <c r="X172" s="20">
        <f t="shared" si="87"/>
        <v>0</v>
      </c>
      <c r="Y172" s="20">
        <f t="shared" si="88"/>
        <v>4</v>
      </c>
      <c r="Z172" s="20">
        <f t="shared" si="89"/>
        <v>0</v>
      </c>
      <c r="AA172" s="20">
        <f t="shared" si="90"/>
        <v>0</v>
      </c>
      <c r="AC172" s="3">
        <f t="shared" si="100"/>
        <v>42</v>
      </c>
      <c r="AD172" s="3">
        <f t="shared" si="101"/>
        <v>37</v>
      </c>
      <c r="AE172" s="3">
        <f t="shared" si="102"/>
        <v>32</v>
      </c>
      <c r="AF172" s="3">
        <f t="shared" si="103"/>
        <v>26</v>
      </c>
      <c r="AG172" s="3">
        <f t="shared" si="104"/>
        <v>21</v>
      </c>
      <c r="AH172" s="3">
        <f t="shared" si="105"/>
        <v>0</v>
      </c>
      <c r="AI172" s="3">
        <f t="shared" si="106"/>
        <v>0</v>
      </c>
      <c r="AJ172" s="3">
        <f t="shared" si="107"/>
        <v>90</v>
      </c>
      <c r="AK172" s="3">
        <f t="shared" si="108"/>
        <v>85</v>
      </c>
      <c r="AL172" s="3">
        <f t="shared" si="109"/>
        <v>80</v>
      </c>
      <c r="AM172" s="3">
        <f t="shared" si="110"/>
        <v>75</v>
      </c>
      <c r="AN172" s="3">
        <f t="shared" si="111"/>
        <v>68</v>
      </c>
      <c r="AO172" s="3">
        <f t="shared" si="112"/>
        <v>63</v>
      </c>
      <c r="AP172" s="3">
        <f t="shared" si="113"/>
        <v>58</v>
      </c>
      <c r="AQ172" s="3">
        <f t="shared" si="114"/>
        <v>53</v>
      </c>
      <c r="AR172" s="3">
        <f t="shared" si="115"/>
        <v>47</v>
      </c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M172" s="35" t="s">
        <v>12</v>
      </c>
      <c r="BO172" s="35"/>
      <c r="BR172" s="9" t="str">
        <f t="shared" si="91"/>
        <v/>
      </c>
      <c r="BS172" s="37" t="str">
        <f t="shared" si="92"/>
        <v/>
      </c>
      <c r="BT172" s="38" t="str">
        <f t="shared" si="117"/>
        <v/>
      </c>
      <c r="BU172" s="36" t="str">
        <f t="shared" si="93"/>
        <v/>
      </c>
    </row>
    <row r="173" spans="2:73" ht="15">
      <c r="B173" s="16">
        <f t="shared" si="94"/>
        <v>44284</v>
      </c>
      <c r="C173" s="15" t="s">
        <v>1</v>
      </c>
      <c r="D173" s="17">
        <f t="shared" si="95"/>
        <v>44290</v>
      </c>
      <c r="E173" s="18">
        <f t="shared" si="96"/>
        <v>3</v>
      </c>
      <c r="F173" s="19">
        <f t="shared" si="97"/>
        <v>2021</v>
      </c>
      <c r="G173" s="9">
        <f t="shared" si="116"/>
        <v>17</v>
      </c>
      <c r="H173" s="8">
        <f t="shared" si="116"/>
        <v>95</v>
      </c>
      <c r="I173" s="9"/>
      <c r="J173" s="9"/>
      <c r="K173" s="9"/>
      <c r="L173" s="9"/>
      <c r="M173" s="9"/>
      <c r="N173" s="9"/>
      <c r="O173" s="12"/>
      <c r="P173" s="12"/>
      <c r="Q173" s="12">
        <v>1</v>
      </c>
      <c r="R173" s="12"/>
      <c r="S173" s="12"/>
      <c r="T173" s="12"/>
      <c r="V173" s="20">
        <f t="shared" si="85"/>
        <v>12</v>
      </c>
      <c r="W173" s="20">
        <f t="shared" si="86"/>
        <v>17</v>
      </c>
      <c r="X173" s="20">
        <f t="shared" si="87"/>
        <v>44286</v>
      </c>
      <c r="Y173" s="20">
        <f t="shared" si="88"/>
        <v>5</v>
      </c>
      <c r="Z173" s="20">
        <f t="shared" si="89"/>
        <v>0</v>
      </c>
      <c r="AA173" s="20">
        <f t="shared" si="90"/>
        <v>0</v>
      </c>
      <c r="AC173" s="3">
        <f t="shared" si="100"/>
        <v>43</v>
      </c>
      <c r="AD173" s="3">
        <f t="shared" si="101"/>
        <v>38</v>
      </c>
      <c r="AE173" s="3">
        <f t="shared" si="102"/>
        <v>33</v>
      </c>
      <c r="AF173" s="3">
        <f t="shared" si="103"/>
        <v>27</v>
      </c>
      <c r="AG173" s="3">
        <f t="shared" si="104"/>
        <v>22</v>
      </c>
      <c r="AH173" s="3">
        <f t="shared" si="105"/>
        <v>17</v>
      </c>
      <c r="AI173" s="3">
        <f t="shared" si="106"/>
        <v>0</v>
      </c>
      <c r="AJ173" s="3">
        <f t="shared" si="107"/>
        <v>91</v>
      </c>
      <c r="AK173" s="3">
        <f t="shared" si="108"/>
        <v>86</v>
      </c>
      <c r="AL173" s="3">
        <f t="shared" si="109"/>
        <v>81</v>
      </c>
      <c r="AM173" s="3">
        <f t="shared" si="110"/>
        <v>76</v>
      </c>
      <c r="AN173" s="3">
        <f t="shared" si="111"/>
        <v>69</v>
      </c>
      <c r="AO173" s="3">
        <f t="shared" si="112"/>
        <v>64</v>
      </c>
      <c r="AP173" s="3">
        <f t="shared" si="113"/>
        <v>59</v>
      </c>
      <c r="AQ173" s="3">
        <f t="shared" si="114"/>
        <v>54</v>
      </c>
      <c r="AR173" s="3">
        <f t="shared" si="115"/>
        <v>48</v>
      </c>
      <c r="AS173" s="8"/>
      <c r="AT173" s="8"/>
      <c r="AU173" s="8"/>
      <c r="AV173" s="8"/>
      <c r="AW173" s="8"/>
      <c r="AX173" s="8">
        <v>2</v>
      </c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M173" s="35" t="s">
        <v>12</v>
      </c>
      <c r="BO173" s="35"/>
      <c r="BR173" s="9">
        <f t="shared" si="91"/>
        <v>3</v>
      </c>
      <c r="BS173" s="37">
        <f t="shared" si="92"/>
        <v>44286</v>
      </c>
      <c r="BT173" s="38">
        <f t="shared" si="117"/>
        <v>44405</v>
      </c>
      <c r="BU173" s="36">
        <f t="shared" si="93"/>
        <v>14</v>
      </c>
    </row>
    <row r="174" spans="2:73" ht="15">
      <c r="B174" s="16">
        <f t="shared" si="94"/>
        <v>44291</v>
      </c>
      <c r="C174" s="15" t="s">
        <v>1</v>
      </c>
      <c r="D174" s="17">
        <f t="shared" si="95"/>
        <v>44297</v>
      </c>
      <c r="E174" s="18">
        <f t="shared" si="96"/>
        <v>4</v>
      </c>
      <c r="F174" s="19">
        <f t="shared" si="97"/>
        <v>2021</v>
      </c>
      <c r="G174" s="9">
        <f t="shared" si="116"/>
        <v>17</v>
      </c>
      <c r="H174" s="8">
        <f t="shared" si="116"/>
        <v>95</v>
      </c>
      <c r="I174" s="9"/>
      <c r="J174" s="9"/>
      <c r="K174" s="9"/>
      <c r="L174" s="9"/>
      <c r="M174" s="9"/>
      <c r="N174" s="9"/>
      <c r="O174" s="12"/>
      <c r="P174" s="12"/>
      <c r="Q174" s="12"/>
      <c r="R174" s="12"/>
      <c r="S174" s="12"/>
      <c r="T174" s="12"/>
      <c r="V174" s="20">
        <f t="shared" si="85"/>
        <v>13</v>
      </c>
      <c r="W174" s="20">
        <f t="shared" si="86"/>
        <v>0</v>
      </c>
      <c r="X174" s="20">
        <f t="shared" si="87"/>
        <v>1</v>
      </c>
      <c r="Y174" s="20">
        <f t="shared" si="88"/>
        <v>6</v>
      </c>
      <c r="Z174" s="20">
        <f t="shared" si="89"/>
        <v>0</v>
      </c>
      <c r="AA174" s="20">
        <f t="shared" si="90"/>
        <v>0</v>
      </c>
      <c r="AC174" s="3">
        <f t="shared" si="100"/>
        <v>44</v>
      </c>
      <c r="AD174" s="3">
        <f t="shared" si="101"/>
        <v>39</v>
      </c>
      <c r="AE174" s="3">
        <f t="shared" si="102"/>
        <v>34</v>
      </c>
      <c r="AF174" s="3">
        <f t="shared" si="103"/>
        <v>28</v>
      </c>
      <c r="AG174" s="3">
        <f t="shared" si="104"/>
        <v>23</v>
      </c>
      <c r="AH174" s="3">
        <f t="shared" si="105"/>
        <v>18</v>
      </c>
      <c r="AI174" s="3">
        <f t="shared" si="106"/>
        <v>0</v>
      </c>
      <c r="AJ174" s="3">
        <f t="shared" si="107"/>
        <v>92</v>
      </c>
      <c r="AK174" s="3">
        <f t="shared" si="108"/>
        <v>87</v>
      </c>
      <c r="AL174" s="3">
        <f t="shared" si="109"/>
        <v>82</v>
      </c>
      <c r="AM174" s="3">
        <f t="shared" si="110"/>
        <v>77</v>
      </c>
      <c r="AN174" s="3">
        <f t="shared" si="111"/>
        <v>70</v>
      </c>
      <c r="AO174" s="3">
        <f t="shared" si="112"/>
        <v>65</v>
      </c>
      <c r="AP174" s="3">
        <f t="shared" si="113"/>
        <v>60</v>
      </c>
      <c r="AQ174" s="3">
        <f t="shared" si="114"/>
        <v>55</v>
      </c>
      <c r="AR174" s="3">
        <f t="shared" si="115"/>
        <v>49</v>
      </c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L174">
        <v>14</v>
      </c>
      <c r="BM174" s="35">
        <v>44291</v>
      </c>
      <c r="BO174" s="35">
        <f>B191</f>
        <v>44410</v>
      </c>
      <c r="BP174">
        <v>98</v>
      </c>
      <c r="BR174" s="9" t="str">
        <f t="shared" si="91"/>
        <v/>
      </c>
      <c r="BS174" s="37" t="str">
        <f t="shared" si="92"/>
        <v/>
      </c>
      <c r="BT174" s="38" t="str">
        <f t="shared" si="117"/>
        <v/>
      </c>
      <c r="BU174" s="36" t="str">
        <f t="shared" si="93"/>
        <v/>
      </c>
    </row>
    <row r="175" spans="2:73" ht="15">
      <c r="B175" s="16">
        <f t="shared" si="94"/>
        <v>44298</v>
      </c>
      <c r="C175" s="15" t="s">
        <v>1</v>
      </c>
      <c r="D175" s="17">
        <f t="shared" si="95"/>
        <v>44304</v>
      </c>
      <c r="E175" s="18">
        <f t="shared" si="96"/>
        <v>4</v>
      </c>
      <c r="F175" s="19">
        <f t="shared" si="97"/>
        <v>2021</v>
      </c>
      <c r="G175" s="9">
        <f t="shared" si="116"/>
        <v>17</v>
      </c>
      <c r="H175" s="8">
        <f t="shared" si="116"/>
        <v>95</v>
      </c>
      <c r="I175" s="9"/>
      <c r="J175" s="9"/>
      <c r="K175" s="9"/>
      <c r="L175" s="9"/>
      <c r="M175" s="9"/>
      <c r="N175" s="9"/>
      <c r="O175" s="12"/>
      <c r="P175" s="12"/>
      <c r="Q175" s="12"/>
      <c r="R175" s="12"/>
      <c r="S175" s="12"/>
      <c r="T175" s="12"/>
      <c r="V175" s="20">
        <f t="shared" si="85"/>
        <v>14</v>
      </c>
      <c r="W175" s="20">
        <f t="shared" si="86"/>
        <v>0</v>
      </c>
      <c r="X175" s="20">
        <f t="shared" si="87"/>
        <v>2</v>
      </c>
      <c r="Y175" s="20">
        <f t="shared" si="88"/>
        <v>7</v>
      </c>
      <c r="Z175" s="20">
        <f t="shared" si="89"/>
        <v>0</v>
      </c>
      <c r="AA175" s="20">
        <f t="shared" si="90"/>
        <v>0</v>
      </c>
      <c r="AC175" s="3">
        <f t="shared" si="100"/>
        <v>45</v>
      </c>
      <c r="AD175" s="3">
        <f t="shared" si="101"/>
        <v>40</v>
      </c>
      <c r="AE175" s="3">
        <f t="shared" si="102"/>
        <v>35</v>
      </c>
      <c r="AF175" s="3">
        <f t="shared" si="103"/>
        <v>29</v>
      </c>
      <c r="AG175" s="3">
        <f t="shared" si="104"/>
        <v>24</v>
      </c>
      <c r="AH175" s="3">
        <f t="shared" si="105"/>
        <v>19</v>
      </c>
      <c r="AI175" s="3">
        <f t="shared" si="106"/>
        <v>0</v>
      </c>
      <c r="AJ175" s="3">
        <f t="shared" si="107"/>
        <v>93</v>
      </c>
      <c r="AK175" s="3">
        <f t="shared" si="108"/>
        <v>88</v>
      </c>
      <c r="AL175" s="3">
        <f t="shared" si="109"/>
        <v>83</v>
      </c>
      <c r="AM175" s="3">
        <f t="shared" si="110"/>
        <v>78</v>
      </c>
      <c r="AN175" s="3">
        <f t="shared" si="111"/>
        <v>71</v>
      </c>
      <c r="AO175" s="3">
        <f t="shared" si="112"/>
        <v>66</v>
      </c>
      <c r="AP175" s="3">
        <f t="shared" si="113"/>
        <v>61</v>
      </c>
      <c r="AQ175" s="3">
        <f t="shared" si="114"/>
        <v>56</v>
      </c>
      <c r="AR175" s="3">
        <f t="shared" si="115"/>
        <v>50</v>
      </c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M175" s="35" t="s">
        <v>12</v>
      </c>
      <c r="BO175" s="35"/>
      <c r="BR175" s="9" t="str">
        <f t="shared" si="91"/>
        <v/>
      </c>
      <c r="BS175" s="37" t="str">
        <f t="shared" si="92"/>
        <v/>
      </c>
      <c r="BT175" s="38" t="str">
        <f t="shared" si="117"/>
        <v/>
      </c>
      <c r="BU175" s="36" t="str">
        <f t="shared" si="93"/>
        <v/>
      </c>
    </row>
    <row r="176" spans="2:73" ht="15">
      <c r="B176" s="16">
        <f t="shared" si="94"/>
        <v>44305</v>
      </c>
      <c r="C176" s="15" t="s">
        <v>1</v>
      </c>
      <c r="D176" s="17">
        <f t="shared" si="95"/>
        <v>44311</v>
      </c>
      <c r="E176" s="18">
        <f t="shared" si="96"/>
        <v>4</v>
      </c>
      <c r="F176" s="19">
        <f t="shared" si="97"/>
        <v>2021</v>
      </c>
      <c r="G176" s="9">
        <f t="shared" si="116"/>
        <v>17</v>
      </c>
      <c r="H176" s="8">
        <f t="shared" si="116"/>
        <v>95</v>
      </c>
      <c r="I176" s="9"/>
      <c r="J176" s="9"/>
      <c r="K176" s="9"/>
      <c r="L176" s="9"/>
      <c r="M176" s="9"/>
      <c r="N176" s="9"/>
      <c r="O176" s="12"/>
      <c r="P176" s="12"/>
      <c r="Q176" s="12"/>
      <c r="R176" s="12"/>
      <c r="S176" s="12"/>
      <c r="T176" s="12"/>
      <c r="V176" s="20">
        <f t="shared" si="85"/>
        <v>15</v>
      </c>
      <c r="W176" s="20">
        <f t="shared" si="86"/>
        <v>0</v>
      </c>
      <c r="X176" s="20">
        <f t="shared" si="87"/>
        <v>3</v>
      </c>
      <c r="Y176" s="20">
        <f t="shared" si="88"/>
        <v>8</v>
      </c>
      <c r="Z176" s="20">
        <f t="shared" si="89"/>
        <v>0</v>
      </c>
      <c r="AA176" s="20">
        <f t="shared" si="90"/>
        <v>0</v>
      </c>
      <c r="AC176" s="3">
        <f t="shared" si="100"/>
        <v>46</v>
      </c>
      <c r="AD176" s="3">
        <f t="shared" si="101"/>
        <v>41</v>
      </c>
      <c r="AE176" s="3">
        <f t="shared" si="102"/>
        <v>36</v>
      </c>
      <c r="AF176" s="3">
        <f t="shared" si="103"/>
        <v>30</v>
      </c>
      <c r="AG176" s="3">
        <f t="shared" si="104"/>
        <v>25</v>
      </c>
      <c r="AH176" s="3">
        <f t="shared" si="105"/>
        <v>20</v>
      </c>
      <c r="AI176" s="3">
        <f t="shared" si="106"/>
        <v>0</v>
      </c>
      <c r="AJ176" s="3">
        <f t="shared" si="107"/>
        <v>94</v>
      </c>
      <c r="AK176" s="3">
        <f t="shared" si="108"/>
        <v>89</v>
      </c>
      <c r="AL176" s="3">
        <f t="shared" si="109"/>
        <v>84</v>
      </c>
      <c r="AM176" s="3">
        <f t="shared" si="110"/>
        <v>79</v>
      </c>
      <c r="AN176" s="3">
        <f t="shared" si="111"/>
        <v>72</v>
      </c>
      <c r="AO176" s="3">
        <f t="shared" si="112"/>
        <v>67</v>
      </c>
      <c r="AP176" s="3">
        <f t="shared" si="113"/>
        <v>62</v>
      </c>
      <c r="AQ176" s="3">
        <f t="shared" si="114"/>
        <v>57</v>
      </c>
      <c r="AR176" s="3">
        <f t="shared" si="115"/>
        <v>51</v>
      </c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M176" s="35" t="s">
        <v>12</v>
      </c>
      <c r="BO176" s="35"/>
      <c r="BR176" s="9" t="str">
        <f t="shared" si="91"/>
        <v/>
      </c>
      <c r="BS176" s="37" t="str">
        <f t="shared" si="92"/>
        <v/>
      </c>
      <c r="BT176" s="38" t="str">
        <f t="shared" si="117"/>
        <v/>
      </c>
      <c r="BU176" s="36" t="str">
        <f t="shared" si="93"/>
        <v/>
      </c>
    </row>
    <row r="177" spans="2:73" ht="15">
      <c r="B177" s="16">
        <f t="shared" si="94"/>
        <v>44312</v>
      </c>
      <c r="C177" s="15" t="s">
        <v>1</v>
      </c>
      <c r="D177" s="17">
        <f t="shared" si="95"/>
        <v>44318</v>
      </c>
      <c r="E177" s="18">
        <f t="shared" si="96"/>
        <v>4</v>
      </c>
      <c r="F177" s="19">
        <f t="shared" si="97"/>
        <v>2021</v>
      </c>
      <c r="G177" s="9">
        <f t="shared" si="116"/>
        <v>17</v>
      </c>
      <c r="H177" s="8">
        <f t="shared" si="116"/>
        <v>95</v>
      </c>
      <c r="I177" s="9"/>
      <c r="J177" s="9"/>
      <c r="K177" s="9"/>
      <c r="L177" s="9"/>
      <c r="M177" s="9"/>
      <c r="N177" s="9"/>
      <c r="O177" s="12"/>
      <c r="P177" s="12"/>
      <c r="Q177" s="12"/>
      <c r="R177" s="12"/>
      <c r="S177" s="12"/>
      <c r="T177" s="12"/>
      <c r="V177" s="20">
        <f t="shared" si="85"/>
        <v>16</v>
      </c>
      <c r="W177" s="20">
        <f t="shared" si="86"/>
        <v>0</v>
      </c>
      <c r="X177" s="20">
        <f t="shared" si="87"/>
        <v>4</v>
      </c>
      <c r="Y177" s="20">
        <f t="shared" si="88"/>
        <v>9</v>
      </c>
      <c r="Z177" s="20">
        <f t="shared" si="89"/>
        <v>0</v>
      </c>
      <c r="AA177" s="20">
        <f t="shared" si="90"/>
        <v>0</v>
      </c>
      <c r="AC177" s="3">
        <f t="shared" si="100"/>
        <v>47</v>
      </c>
      <c r="AD177" s="3">
        <f t="shared" si="101"/>
        <v>42</v>
      </c>
      <c r="AE177" s="3">
        <f t="shared" si="102"/>
        <v>37</v>
      </c>
      <c r="AF177" s="3">
        <f t="shared" si="103"/>
        <v>31</v>
      </c>
      <c r="AG177" s="3">
        <f t="shared" si="104"/>
        <v>26</v>
      </c>
      <c r="AH177" s="3">
        <f t="shared" si="105"/>
        <v>21</v>
      </c>
      <c r="AI177" s="3">
        <f t="shared" si="106"/>
        <v>0</v>
      </c>
      <c r="AJ177" s="3">
        <f t="shared" si="107"/>
        <v>95</v>
      </c>
      <c r="AK177" s="3">
        <f t="shared" si="108"/>
        <v>90</v>
      </c>
      <c r="AL177" s="3">
        <f t="shared" si="109"/>
        <v>85</v>
      </c>
      <c r="AM177" s="3">
        <f t="shared" si="110"/>
        <v>80</v>
      </c>
      <c r="AN177" s="3">
        <f t="shared" si="111"/>
        <v>73</v>
      </c>
      <c r="AO177" s="3">
        <f t="shared" si="112"/>
        <v>68</v>
      </c>
      <c r="AP177" s="3">
        <f t="shared" si="113"/>
        <v>63</v>
      </c>
      <c r="AQ177" s="3">
        <f t="shared" si="114"/>
        <v>58</v>
      </c>
      <c r="AR177" s="3">
        <f t="shared" si="115"/>
        <v>52</v>
      </c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M177" s="35" t="s">
        <v>12</v>
      </c>
      <c r="BO177" s="35"/>
      <c r="BR177" s="9" t="str">
        <f t="shared" si="91"/>
        <v/>
      </c>
      <c r="BS177" s="37" t="str">
        <f t="shared" si="92"/>
        <v/>
      </c>
      <c r="BT177" s="38" t="str">
        <f t="shared" si="117"/>
        <v/>
      </c>
      <c r="BU177" s="36" t="str">
        <f t="shared" si="93"/>
        <v/>
      </c>
    </row>
    <row r="178" spans="2:73" ht="15">
      <c r="B178" s="16">
        <f t="shared" si="94"/>
        <v>44319</v>
      </c>
      <c r="C178" s="15" t="s">
        <v>1</v>
      </c>
      <c r="D178" s="17">
        <f t="shared" si="95"/>
        <v>44325</v>
      </c>
      <c r="E178" s="18">
        <f t="shared" si="96"/>
        <v>5</v>
      </c>
      <c r="F178" s="19">
        <f t="shared" si="97"/>
        <v>2021</v>
      </c>
      <c r="G178" s="9">
        <f t="shared" si="116"/>
        <v>17</v>
      </c>
      <c r="H178" s="8">
        <f t="shared" si="116"/>
        <v>95</v>
      </c>
      <c r="I178" s="9"/>
      <c r="J178" s="9"/>
      <c r="K178" s="9"/>
      <c r="L178" s="9"/>
      <c r="M178" s="9"/>
      <c r="N178" s="9"/>
      <c r="O178" s="12"/>
      <c r="P178" s="12">
        <v>1</v>
      </c>
      <c r="Q178" s="12"/>
      <c r="R178" s="12"/>
      <c r="S178" s="12"/>
      <c r="T178" s="12"/>
      <c r="V178" s="20">
        <f t="shared" si="85"/>
        <v>17</v>
      </c>
      <c r="W178" s="20">
        <f t="shared" si="86"/>
        <v>44321</v>
      </c>
      <c r="X178" s="20">
        <f t="shared" si="87"/>
        <v>5</v>
      </c>
      <c r="Y178" s="20">
        <f t="shared" si="88"/>
        <v>10</v>
      </c>
      <c r="Z178" s="20">
        <f t="shared" si="89"/>
        <v>0</v>
      </c>
      <c r="AA178" s="20">
        <f t="shared" si="90"/>
        <v>0</v>
      </c>
      <c r="AC178" s="3">
        <f t="shared" si="100"/>
        <v>48</v>
      </c>
      <c r="AD178" s="3">
        <f t="shared" si="101"/>
        <v>43</v>
      </c>
      <c r="AE178" s="3">
        <f t="shared" si="102"/>
        <v>38</v>
      </c>
      <c r="AF178" s="3">
        <f t="shared" si="103"/>
        <v>32</v>
      </c>
      <c r="AG178" s="3">
        <f t="shared" si="104"/>
        <v>27</v>
      </c>
      <c r="AH178" s="3">
        <f t="shared" si="105"/>
        <v>22</v>
      </c>
      <c r="AI178" s="3">
        <f t="shared" si="106"/>
        <v>17</v>
      </c>
      <c r="AJ178" s="3">
        <f t="shared" si="107"/>
        <v>0</v>
      </c>
      <c r="AK178" s="3">
        <f t="shared" si="108"/>
        <v>91</v>
      </c>
      <c r="AL178" s="3">
        <f t="shared" si="109"/>
        <v>86</v>
      </c>
      <c r="AM178" s="3">
        <f t="shared" si="110"/>
        <v>81</v>
      </c>
      <c r="AN178" s="3">
        <f t="shared" si="111"/>
        <v>74</v>
      </c>
      <c r="AO178" s="3">
        <f t="shared" si="112"/>
        <v>69</v>
      </c>
      <c r="AP178" s="3">
        <f t="shared" si="113"/>
        <v>64</v>
      </c>
      <c r="AQ178" s="3">
        <f t="shared" si="114"/>
        <v>59</v>
      </c>
      <c r="AR178" s="3">
        <f t="shared" si="115"/>
        <v>53</v>
      </c>
      <c r="AS178" s="8"/>
      <c r="AT178" s="8"/>
      <c r="AU178" s="8"/>
      <c r="AV178" s="8"/>
      <c r="AW178" s="8"/>
      <c r="AX178" s="8"/>
      <c r="AY178" s="8">
        <v>1</v>
      </c>
      <c r="AZ178" s="8"/>
      <c r="BA178" s="8"/>
      <c r="BB178" s="8"/>
      <c r="BC178" s="8"/>
      <c r="BD178" s="8"/>
      <c r="BE178" s="8"/>
      <c r="BF178" s="8"/>
      <c r="BG178" s="8"/>
      <c r="BH178" s="8"/>
      <c r="BM178" s="35" t="s">
        <v>12</v>
      </c>
      <c r="BO178" s="35"/>
      <c r="BR178" s="9">
        <f t="shared" si="91"/>
        <v>2</v>
      </c>
      <c r="BS178" s="37">
        <f t="shared" si="92"/>
        <v>44321</v>
      </c>
      <c r="BT178" s="38">
        <f t="shared" si="117"/>
        <v>44440</v>
      </c>
      <c r="BU178" s="36">
        <f t="shared" si="93"/>
        <v>3</v>
      </c>
    </row>
    <row r="179" spans="2:73" ht="15">
      <c r="B179" s="16">
        <f t="shared" si="94"/>
        <v>44326</v>
      </c>
      <c r="C179" s="15" t="s">
        <v>1</v>
      </c>
      <c r="D179" s="17">
        <f t="shared" si="95"/>
        <v>44332</v>
      </c>
      <c r="E179" s="18">
        <f t="shared" si="96"/>
        <v>5</v>
      </c>
      <c r="F179" s="19">
        <f t="shared" si="97"/>
        <v>2021</v>
      </c>
      <c r="G179" s="9">
        <f t="shared" si="116"/>
        <v>17</v>
      </c>
      <c r="H179" s="8">
        <f t="shared" si="116"/>
        <v>95</v>
      </c>
      <c r="I179" s="9"/>
      <c r="J179" s="9"/>
      <c r="K179" s="9"/>
      <c r="L179" s="9"/>
      <c r="M179" s="9"/>
      <c r="N179" s="9"/>
      <c r="O179" s="12"/>
      <c r="P179" s="12"/>
      <c r="Q179" s="12"/>
      <c r="R179" s="12"/>
      <c r="S179" s="12"/>
      <c r="T179" s="12"/>
      <c r="V179" s="20">
        <f t="shared" si="85"/>
        <v>0</v>
      </c>
      <c r="W179" s="20">
        <f t="shared" si="86"/>
        <v>1</v>
      </c>
      <c r="X179" s="20">
        <f t="shared" si="87"/>
        <v>6</v>
      </c>
      <c r="Y179" s="20">
        <f t="shared" si="88"/>
        <v>11</v>
      </c>
      <c r="Z179" s="20">
        <f t="shared" si="89"/>
        <v>0</v>
      </c>
      <c r="AA179" s="20">
        <f t="shared" si="90"/>
        <v>0</v>
      </c>
      <c r="AC179" s="3">
        <f t="shared" si="100"/>
        <v>49</v>
      </c>
      <c r="AD179" s="3">
        <f t="shared" si="101"/>
        <v>44</v>
      </c>
      <c r="AE179" s="3">
        <f t="shared" si="102"/>
        <v>39</v>
      </c>
      <c r="AF179" s="3">
        <f t="shared" si="103"/>
        <v>33</v>
      </c>
      <c r="AG179" s="3">
        <f t="shared" si="104"/>
        <v>28</v>
      </c>
      <c r="AH179" s="3">
        <f t="shared" si="105"/>
        <v>23</v>
      </c>
      <c r="AI179" s="3">
        <f t="shared" si="106"/>
        <v>18</v>
      </c>
      <c r="AJ179" s="3">
        <f t="shared" si="107"/>
        <v>0</v>
      </c>
      <c r="AK179" s="3">
        <f t="shared" si="108"/>
        <v>92</v>
      </c>
      <c r="AL179" s="3">
        <f t="shared" si="109"/>
        <v>87</v>
      </c>
      <c r="AM179" s="3">
        <f t="shared" si="110"/>
        <v>82</v>
      </c>
      <c r="AN179" s="3">
        <f t="shared" si="111"/>
        <v>75</v>
      </c>
      <c r="AO179" s="3">
        <f t="shared" si="112"/>
        <v>70</v>
      </c>
      <c r="AP179" s="3">
        <f t="shared" si="113"/>
        <v>65</v>
      </c>
      <c r="AQ179" s="3">
        <f t="shared" si="114"/>
        <v>60</v>
      </c>
      <c r="AR179" s="3">
        <f t="shared" si="115"/>
        <v>54</v>
      </c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L179">
        <v>3</v>
      </c>
      <c r="BM179" s="35">
        <v>44326</v>
      </c>
      <c r="BO179" s="35">
        <f>B196</f>
        <v>44445</v>
      </c>
      <c r="BP179">
        <v>98</v>
      </c>
      <c r="BR179" s="9" t="str">
        <f t="shared" si="91"/>
        <v/>
      </c>
      <c r="BS179" s="37" t="str">
        <f t="shared" si="92"/>
        <v/>
      </c>
      <c r="BT179" s="38" t="str">
        <f t="shared" si="117"/>
        <v/>
      </c>
      <c r="BU179" s="36" t="str">
        <f t="shared" si="93"/>
        <v/>
      </c>
    </row>
    <row r="180" spans="2:73" ht="15">
      <c r="B180" s="16">
        <f t="shared" si="94"/>
        <v>44333</v>
      </c>
      <c r="C180" s="15" t="s">
        <v>1</v>
      </c>
      <c r="D180" s="17">
        <f t="shared" si="95"/>
        <v>44339</v>
      </c>
      <c r="E180" s="18">
        <f t="shared" si="96"/>
        <v>5</v>
      </c>
      <c r="F180" s="19">
        <f t="shared" si="97"/>
        <v>2021</v>
      </c>
      <c r="G180" s="9">
        <f t="shared" si="116"/>
        <v>17</v>
      </c>
      <c r="H180" s="8">
        <f t="shared" si="116"/>
        <v>95</v>
      </c>
      <c r="I180" s="9"/>
      <c r="J180" s="9"/>
      <c r="K180" s="9"/>
      <c r="L180" s="9"/>
      <c r="M180" s="9"/>
      <c r="N180" s="9"/>
      <c r="O180" s="12"/>
      <c r="P180" s="12"/>
      <c r="Q180" s="12"/>
      <c r="R180" s="12"/>
      <c r="S180" s="12"/>
      <c r="T180" s="12"/>
      <c r="V180" s="20">
        <f t="shared" si="85"/>
        <v>0</v>
      </c>
      <c r="W180" s="20">
        <f t="shared" si="86"/>
        <v>2</v>
      </c>
      <c r="X180" s="20">
        <f t="shared" si="87"/>
        <v>7</v>
      </c>
      <c r="Y180" s="20">
        <f t="shared" si="88"/>
        <v>12</v>
      </c>
      <c r="Z180" s="20">
        <f t="shared" si="89"/>
        <v>0</v>
      </c>
      <c r="AA180" s="20">
        <f t="shared" si="90"/>
        <v>0</v>
      </c>
      <c r="AC180" s="3">
        <f t="shared" si="100"/>
        <v>50</v>
      </c>
      <c r="AD180" s="3">
        <f t="shared" si="101"/>
        <v>45</v>
      </c>
      <c r="AE180" s="3">
        <f t="shared" si="102"/>
        <v>40</v>
      </c>
      <c r="AF180" s="3">
        <f t="shared" si="103"/>
        <v>34</v>
      </c>
      <c r="AG180" s="3">
        <f t="shared" si="104"/>
        <v>29</v>
      </c>
      <c r="AH180" s="3">
        <f t="shared" si="105"/>
        <v>24</v>
      </c>
      <c r="AI180" s="3">
        <f t="shared" si="106"/>
        <v>19</v>
      </c>
      <c r="AJ180" s="3">
        <f t="shared" si="107"/>
        <v>0</v>
      </c>
      <c r="AK180" s="3">
        <f t="shared" si="108"/>
        <v>93</v>
      </c>
      <c r="AL180" s="3">
        <f t="shared" si="109"/>
        <v>88</v>
      </c>
      <c r="AM180" s="3">
        <f t="shared" si="110"/>
        <v>83</v>
      </c>
      <c r="AN180" s="3">
        <f t="shared" si="111"/>
        <v>76</v>
      </c>
      <c r="AO180" s="3">
        <f t="shared" si="112"/>
        <v>71</v>
      </c>
      <c r="AP180" s="3">
        <f t="shared" si="113"/>
        <v>66</v>
      </c>
      <c r="AQ180" s="3">
        <f t="shared" si="114"/>
        <v>61</v>
      </c>
      <c r="AR180" s="3">
        <f t="shared" si="115"/>
        <v>55</v>
      </c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M180" s="35" t="s">
        <v>12</v>
      </c>
      <c r="BO180" s="35"/>
      <c r="BR180" s="9" t="str">
        <f t="shared" si="91"/>
        <v/>
      </c>
      <c r="BS180" s="37" t="str">
        <f t="shared" si="92"/>
        <v/>
      </c>
      <c r="BT180" s="38" t="str">
        <f t="shared" si="117"/>
        <v/>
      </c>
      <c r="BU180" s="36" t="str">
        <f t="shared" si="93"/>
        <v/>
      </c>
    </row>
    <row r="181" spans="2:73" ht="15">
      <c r="B181" s="16">
        <f t="shared" si="94"/>
        <v>44340</v>
      </c>
      <c r="C181" s="15" t="s">
        <v>1</v>
      </c>
      <c r="D181" s="17">
        <f t="shared" si="95"/>
        <v>44346</v>
      </c>
      <c r="E181" s="18">
        <f t="shared" si="96"/>
        <v>5</v>
      </c>
      <c r="F181" s="19">
        <f t="shared" si="97"/>
        <v>2021</v>
      </c>
      <c r="G181" s="9">
        <f t="shared" si="116"/>
        <v>17</v>
      </c>
      <c r="H181" s="8">
        <f t="shared" si="116"/>
        <v>95</v>
      </c>
      <c r="I181" s="9"/>
      <c r="J181" s="9"/>
      <c r="K181" s="9"/>
      <c r="L181" s="9"/>
      <c r="M181" s="9"/>
      <c r="N181" s="9"/>
      <c r="O181" s="12"/>
      <c r="P181" s="12"/>
      <c r="Q181" s="12"/>
      <c r="R181" s="12"/>
      <c r="S181" s="12"/>
      <c r="T181" s="12"/>
      <c r="V181" s="20">
        <f t="shared" si="85"/>
        <v>0</v>
      </c>
      <c r="W181" s="20">
        <f t="shared" si="86"/>
        <v>3</v>
      </c>
      <c r="X181" s="20">
        <f t="shared" si="87"/>
        <v>8</v>
      </c>
      <c r="Y181" s="20">
        <f t="shared" si="88"/>
        <v>13</v>
      </c>
      <c r="Z181" s="20">
        <f t="shared" si="89"/>
        <v>0</v>
      </c>
      <c r="AA181" s="20">
        <f t="shared" si="90"/>
        <v>0</v>
      </c>
      <c r="AC181" s="3">
        <f t="shared" si="100"/>
        <v>51</v>
      </c>
      <c r="AD181" s="3">
        <f t="shared" si="101"/>
        <v>46</v>
      </c>
      <c r="AE181" s="3">
        <f t="shared" si="102"/>
        <v>41</v>
      </c>
      <c r="AF181" s="3">
        <f t="shared" si="103"/>
        <v>35</v>
      </c>
      <c r="AG181" s="3">
        <f t="shared" si="104"/>
        <v>30</v>
      </c>
      <c r="AH181" s="3">
        <f t="shared" si="105"/>
        <v>25</v>
      </c>
      <c r="AI181" s="3">
        <f t="shared" si="106"/>
        <v>20</v>
      </c>
      <c r="AJ181" s="3">
        <f t="shared" si="107"/>
        <v>0</v>
      </c>
      <c r="AK181" s="3">
        <f t="shared" si="108"/>
        <v>94</v>
      </c>
      <c r="AL181" s="3">
        <f t="shared" si="109"/>
        <v>89</v>
      </c>
      <c r="AM181" s="3">
        <f t="shared" si="110"/>
        <v>84</v>
      </c>
      <c r="AN181" s="3">
        <f t="shared" si="111"/>
        <v>77</v>
      </c>
      <c r="AO181" s="3">
        <f t="shared" si="112"/>
        <v>72</v>
      </c>
      <c r="AP181" s="3">
        <f t="shared" si="113"/>
        <v>67</v>
      </c>
      <c r="AQ181" s="3">
        <f t="shared" si="114"/>
        <v>62</v>
      </c>
      <c r="AR181" s="3">
        <f t="shared" si="115"/>
        <v>56</v>
      </c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M181" s="35" t="s">
        <v>12</v>
      </c>
      <c r="BO181" s="35"/>
      <c r="BR181" s="9" t="str">
        <f t="shared" si="91"/>
        <v/>
      </c>
      <c r="BS181" s="37" t="str">
        <f t="shared" si="92"/>
        <v/>
      </c>
      <c r="BT181" s="38" t="str">
        <f t="shared" si="117"/>
        <v/>
      </c>
      <c r="BU181" s="36" t="str">
        <f t="shared" si="93"/>
        <v/>
      </c>
    </row>
    <row r="182" spans="2:73" ht="15">
      <c r="B182" s="16">
        <f t="shared" si="94"/>
        <v>44347</v>
      </c>
      <c r="C182" s="15" t="s">
        <v>1</v>
      </c>
      <c r="D182" s="17">
        <f t="shared" si="95"/>
        <v>44353</v>
      </c>
      <c r="E182" s="18">
        <f t="shared" si="96"/>
        <v>5</v>
      </c>
      <c r="F182" s="19">
        <f t="shared" si="97"/>
        <v>2021</v>
      </c>
      <c r="G182" s="9">
        <f t="shared" ref="G182:H197" si="118">G181</f>
        <v>17</v>
      </c>
      <c r="H182" s="8">
        <f t="shared" si="118"/>
        <v>95</v>
      </c>
      <c r="I182" s="9"/>
      <c r="J182" s="9"/>
      <c r="K182" s="9"/>
      <c r="L182" s="9"/>
      <c r="M182" s="9"/>
      <c r="N182" s="9"/>
      <c r="O182" s="12"/>
      <c r="P182" s="12"/>
      <c r="Q182" s="12"/>
      <c r="R182" s="12"/>
      <c r="S182" s="12"/>
      <c r="T182" s="12"/>
      <c r="V182" s="20">
        <f t="shared" si="85"/>
        <v>0</v>
      </c>
      <c r="W182" s="20">
        <f t="shared" si="86"/>
        <v>4</v>
      </c>
      <c r="X182" s="20">
        <f t="shared" si="87"/>
        <v>9</v>
      </c>
      <c r="Y182" s="20">
        <f t="shared" si="88"/>
        <v>14</v>
      </c>
      <c r="Z182" s="20">
        <f t="shared" si="89"/>
        <v>0</v>
      </c>
      <c r="AA182" s="20">
        <f t="shared" si="90"/>
        <v>0</v>
      </c>
      <c r="AC182" s="3">
        <f t="shared" si="100"/>
        <v>52</v>
      </c>
      <c r="AD182" s="3">
        <f t="shared" si="101"/>
        <v>47</v>
      </c>
      <c r="AE182" s="3">
        <f t="shared" si="102"/>
        <v>42</v>
      </c>
      <c r="AF182" s="3">
        <f t="shared" si="103"/>
        <v>36</v>
      </c>
      <c r="AG182" s="3">
        <f t="shared" si="104"/>
        <v>31</v>
      </c>
      <c r="AH182" s="3">
        <f t="shared" si="105"/>
        <v>26</v>
      </c>
      <c r="AI182" s="3">
        <f t="shared" si="106"/>
        <v>21</v>
      </c>
      <c r="AJ182" s="3">
        <f t="shared" si="107"/>
        <v>0</v>
      </c>
      <c r="AK182" s="3">
        <f t="shared" si="108"/>
        <v>95</v>
      </c>
      <c r="AL182" s="3">
        <f t="shared" si="109"/>
        <v>90</v>
      </c>
      <c r="AM182" s="3">
        <f t="shared" si="110"/>
        <v>85</v>
      </c>
      <c r="AN182" s="3">
        <f t="shared" si="111"/>
        <v>78</v>
      </c>
      <c r="AO182" s="3">
        <f t="shared" si="112"/>
        <v>73</v>
      </c>
      <c r="AP182" s="3">
        <f t="shared" si="113"/>
        <v>68</v>
      </c>
      <c r="AQ182" s="3">
        <f t="shared" si="114"/>
        <v>63</v>
      </c>
      <c r="AR182" s="3">
        <f t="shared" si="115"/>
        <v>57</v>
      </c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M182" s="35" t="s">
        <v>12</v>
      </c>
      <c r="BO182" s="35"/>
      <c r="BR182" s="9" t="str">
        <f t="shared" si="91"/>
        <v/>
      </c>
      <c r="BS182" s="37" t="str">
        <f t="shared" si="92"/>
        <v/>
      </c>
      <c r="BT182" s="38" t="str">
        <f t="shared" si="117"/>
        <v/>
      </c>
      <c r="BU182" s="36" t="str">
        <f t="shared" si="93"/>
        <v/>
      </c>
    </row>
    <row r="183" spans="2:73" ht="15">
      <c r="B183" s="16">
        <f t="shared" si="94"/>
        <v>44354</v>
      </c>
      <c r="C183" s="15" t="s">
        <v>1</v>
      </c>
      <c r="D183" s="17">
        <f t="shared" si="95"/>
        <v>44360</v>
      </c>
      <c r="E183" s="18">
        <f t="shared" si="96"/>
        <v>6</v>
      </c>
      <c r="F183" s="19">
        <f t="shared" si="97"/>
        <v>2021</v>
      </c>
      <c r="G183" s="9">
        <f t="shared" si="118"/>
        <v>17</v>
      </c>
      <c r="H183" s="8">
        <f t="shared" si="118"/>
        <v>95</v>
      </c>
      <c r="I183" s="9"/>
      <c r="J183" s="9"/>
      <c r="K183" s="9"/>
      <c r="L183" s="9"/>
      <c r="M183" s="9"/>
      <c r="N183" s="9"/>
      <c r="O183" s="12">
        <v>1</v>
      </c>
      <c r="P183" s="12"/>
      <c r="Q183" s="12"/>
      <c r="R183" s="12"/>
      <c r="S183" s="12"/>
      <c r="T183" s="12"/>
      <c r="V183" s="20">
        <f t="shared" si="85"/>
        <v>44356</v>
      </c>
      <c r="W183" s="20">
        <f t="shared" si="86"/>
        <v>5</v>
      </c>
      <c r="X183" s="20">
        <f t="shared" si="87"/>
        <v>10</v>
      </c>
      <c r="Y183" s="20">
        <f t="shared" si="88"/>
        <v>15</v>
      </c>
      <c r="Z183" s="20">
        <f t="shared" si="89"/>
        <v>0</v>
      </c>
      <c r="AA183" s="20">
        <f t="shared" si="90"/>
        <v>0</v>
      </c>
      <c r="AC183" s="3">
        <f t="shared" si="100"/>
        <v>53</v>
      </c>
      <c r="AD183" s="3">
        <f t="shared" si="101"/>
        <v>48</v>
      </c>
      <c r="AE183" s="3">
        <f t="shared" si="102"/>
        <v>43</v>
      </c>
      <c r="AF183" s="3">
        <f t="shared" si="103"/>
        <v>37</v>
      </c>
      <c r="AG183" s="3">
        <f t="shared" si="104"/>
        <v>32</v>
      </c>
      <c r="AH183" s="3">
        <f t="shared" si="105"/>
        <v>27</v>
      </c>
      <c r="AI183" s="3">
        <f t="shared" si="106"/>
        <v>22</v>
      </c>
      <c r="AJ183" s="3">
        <f t="shared" si="107"/>
        <v>0</v>
      </c>
      <c r="AK183" s="3">
        <f t="shared" si="108"/>
        <v>0</v>
      </c>
      <c r="AL183" s="3">
        <f t="shared" si="109"/>
        <v>91</v>
      </c>
      <c r="AM183" s="3">
        <f t="shared" si="110"/>
        <v>86</v>
      </c>
      <c r="AN183" s="3">
        <f t="shared" si="111"/>
        <v>79</v>
      </c>
      <c r="AO183" s="3">
        <f t="shared" si="112"/>
        <v>74</v>
      </c>
      <c r="AP183" s="3">
        <f t="shared" si="113"/>
        <v>69</v>
      </c>
      <c r="AQ183" s="3">
        <f t="shared" si="114"/>
        <v>64</v>
      </c>
      <c r="AR183" s="3">
        <f t="shared" si="115"/>
        <v>58</v>
      </c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M183" s="35" t="s">
        <v>12</v>
      </c>
      <c r="BO183" s="35"/>
      <c r="BR183" s="9">
        <f t="shared" si="91"/>
        <v>1</v>
      </c>
      <c r="BS183" s="37">
        <f t="shared" si="92"/>
        <v>44356</v>
      </c>
      <c r="BT183" s="38">
        <f t="shared" si="117"/>
        <v>44475</v>
      </c>
      <c r="BU183" s="36">
        <f t="shared" si="93"/>
        <v>4</v>
      </c>
    </row>
    <row r="184" spans="2:73" ht="15">
      <c r="B184" s="16">
        <f t="shared" si="94"/>
        <v>44361</v>
      </c>
      <c r="C184" s="15" t="s">
        <v>1</v>
      </c>
      <c r="D184" s="17">
        <f t="shared" si="95"/>
        <v>44367</v>
      </c>
      <c r="E184" s="18">
        <f t="shared" si="96"/>
        <v>6</v>
      </c>
      <c r="F184" s="19">
        <f t="shared" si="97"/>
        <v>2021</v>
      </c>
      <c r="G184" s="9">
        <f t="shared" si="118"/>
        <v>17</v>
      </c>
      <c r="H184" s="8">
        <f t="shared" si="118"/>
        <v>95</v>
      </c>
      <c r="I184" s="9"/>
      <c r="J184" s="9"/>
      <c r="K184" s="9"/>
      <c r="L184" s="9"/>
      <c r="M184" s="9"/>
      <c r="N184" s="9"/>
      <c r="O184" s="12"/>
      <c r="P184" s="12"/>
      <c r="Q184" s="12"/>
      <c r="R184" s="12"/>
      <c r="S184" s="12"/>
      <c r="T184" s="12"/>
      <c r="V184" s="20">
        <f t="shared" si="85"/>
        <v>1</v>
      </c>
      <c r="W184" s="20">
        <f t="shared" si="86"/>
        <v>6</v>
      </c>
      <c r="X184" s="20">
        <f t="shared" si="87"/>
        <v>11</v>
      </c>
      <c r="Y184" s="20">
        <f t="shared" si="88"/>
        <v>16</v>
      </c>
      <c r="Z184" s="20">
        <f t="shared" si="89"/>
        <v>0</v>
      </c>
      <c r="AA184" s="20">
        <f t="shared" si="90"/>
        <v>0</v>
      </c>
      <c r="AC184" s="3">
        <f t="shared" si="100"/>
        <v>54</v>
      </c>
      <c r="AD184" s="3">
        <f t="shared" si="101"/>
        <v>49</v>
      </c>
      <c r="AE184" s="3">
        <f t="shared" si="102"/>
        <v>44</v>
      </c>
      <c r="AF184" s="3">
        <f t="shared" si="103"/>
        <v>38</v>
      </c>
      <c r="AG184" s="3">
        <f t="shared" si="104"/>
        <v>33</v>
      </c>
      <c r="AH184" s="3">
        <f t="shared" si="105"/>
        <v>28</v>
      </c>
      <c r="AI184" s="3">
        <f t="shared" si="106"/>
        <v>23</v>
      </c>
      <c r="AJ184" s="3">
        <f t="shared" si="107"/>
        <v>0</v>
      </c>
      <c r="AK184" s="3">
        <f t="shared" si="108"/>
        <v>0</v>
      </c>
      <c r="AL184" s="3">
        <f t="shared" si="109"/>
        <v>92</v>
      </c>
      <c r="AM184" s="3">
        <f t="shared" si="110"/>
        <v>87</v>
      </c>
      <c r="AN184" s="3">
        <f t="shared" si="111"/>
        <v>80</v>
      </c>
      <c r="AO184" s="3">
        <f t="shared" si="112"/>
        <v>75</v>
      </c>
      <c r="AP184" s="3">
        <f t="shared" si="113"/>
        <v>70</v>
      </c>
      <c r="AQ184" s="3">
        <f t="shared" si="114"/>
        <v>65</v>
      </c>
      <c r="AR184" s="3">
        <f t="shared" si="115"/>
        <v>59</v>
      </c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M184" s="35" t="s">
        <v>12</v>
      </c>
      <c r="BO184" s="35"/>
      <c r="BR184" s="9" t="str">
        <f t="shared" si="91"/>
        <v/>
      </c>
      <c r="BS184" s="37" t="str">
        <f t="shared" si="92"/>
        <v/>
      </c>
      <c r="BT184" s="38" t="str">
        <f t="shared" si="117"/>
        <v/>
      </c>
      <c r="BU184" s="36" t="str">
        <f t="shared" si="93"/>
        <v/>
      </c>
    </row>
    <row r="185" spans="2:73" ht="15">
      <c r="B185" s="16">
        <f t="shared" si="94"/>
        <v>44368</v>
      </c>
      <c r="C185" s="15" t="s">
        <v>1</v>
      </c>
      <c r="D185" s="17">
        <f t="shared" si="95"/>
        <v>44374</v>
      </c>
      <c r="E185" s="18">
        <f t="shared" si="96"/>
        <v>6</v>
      </c>
      <c r="F185" s="19">
        <f t="shared" si="97"/>
        <v>2021</v>
      </c>
      <c r="G185" s="9">
        <f t="shared" si="118"/>
        <v>17</v>
      </c>
      <c r="H185" s="8">
        <f t="shared" si="118"/>
        <v>95</v>
      </c>
      <c r="I185" s="9"/>
      <c r="J185" s="9"/>
      <c r="K185" s="9"/>
      <c r="L185" s="9"/>
      <c r="M185" s="9"/>
      <c r="N185" s="9"/>
      <c r="O185" s="12"/>
      <c r="P185" s="12"/>
      <c r="Q185" s="12"/>
      <c r="R185" s="12"/>
      <c r="S185" s="12"/>
      <c r="T185" s="12"/>
      <c r="V185" s="20">
        <f t="shared" si="85"/>
        <v>2</v>
      </c>
      <c r="W185" s="20">
        <f t="shared" si="86"/>
        <v>7</v>
      </c>
      <c r="X185" s="20">
        <f t="shared" si="87"/>
        <v>12</v>
      </c>
      <c r="Y185" s="20">
        <f t="shared" si="88"/>
        <v>17</v>
      </c>
      <c r="Z185" s="20">
        <f t="shared" si="89"/>
        <v>0</v>
      </c>
      <c r="AA185" s="20">
        <f t="shared" si="90"/>
        <v>0</v>
      </c>
      <c r="AC185" s="3">
        <f t="shared" si="100"/>
        <v>55</v>
      </c>
      <c r="AD185" s="3">
        <f t="shared" si="101"/>
        <v>50</v>
      </c>
      <c r="AE185" s="3">
        <f t="shared" si="102"/>
        <v>45</v>
      </c>
      <c r="AF185" s="3">
        <f t="shared" si="103"/>
        <v>39</v>
      </c>
      <c r="AG185" s="3">
        <f t="shared" si="104"/>
        <v>34</v>
      </c>
      <c r="AH185" s="3">
        <f t="shared" si="105"/>
        <v>29</v>
      </c>
      <c r="AI185" s="3">
        <f t="shared" si="106"/>
        <v>24</v>
      </c>
      <c r="AJ185" s="3">
        <f t="shared" si="107"/>
        <v>17</v>
      </c>
      <c r="AK185" s="3">
        <f t="shared" si="108"/>
        <v>0</v>
      </c>
      <c r="AL185" s="3">
        <f t="shared" si="109"/>
        <v>93</v>
      </c>
      <c r="AM185" s="3">
        <f t="shared" si="110"/>
        <v>88</v>
      </c>
      <c r="AN185" s="3">
        <f t="shared" si="111"/>
        <v>81</v>
      </c>
      <c r="AO185" s="3">
        <f t="shared" si="112"/>
        <v>76</v>
      </c>
      <c r="AP185" s="3">
        <f t="shared" si="113"/>
        <v>71</v>
      </c>
      <c r="AQ185" s="3">
        <f t="shared" si="114"/>
        <v>66</v>
      </c>
      <c r="AR185" s="3">
        <f t="shared" si="115"/>
        <v>60</v>
      </c>
      <c r="AS185" s="8"/>
      <c r="AT185" s="8"/>
      <c r="AU185" s="8"/>
      <c r="AV185" s="8"/>
      <c r="AW185" s="8"/>
      <c r="AX185" s="8"/>
      <c r="AY185" s="8"/>
      <c r="AZ185" s="8">
        <v>4</v>
      </c>
      <c r="BA185" s="8"/>
      <c r="BB185" s="8"/>
      <c r="BC185" s="8"/>
      <c r="BD185" s="8"/>
      <c r="BE185" s="8"/>
      <c r="BF185" s="8"/>
      <c r="BG185" s="8"/>
      <c r="BH185" s="8"/>
      <c r="BM185" s="35" t="s">
        <v>12</v>
      </c>
      <c r="BO185" s="35"/>
      <c r="BR185" s="9" t="str">
        <f t="shared" si="91"/>
        <v/>
      </c>
      <c r="BS185" s="37" t="str">
        <f t="shared" si="92"/>
        <v/>
      </c>
      <c r="BT185" s="38" t="str">
        <f t="shared" si="117"/>
        <v/>
      </c>
      <c r="BU185" s="36" t="str">
        <f t="shared" si="93"/>
        <v/>
      </c>
    </row>
    <row r="186" spans="2:73" ht="15">
      <c r="B186" s="16">
        <f t="shared" si="94"/>
        <v>44375</v>
      </c>
      <c r="C186" s="15" t="s">
        <v>1</v>
      </c>
      <c r="D186" s="17">
        <f t="shared" si="95"/>
        <v>44381</v>
      </c>
      <c r="E186" s="18">
        <f t="shared" si="96"/>
        <v>6</v>
      </c>
      <c r="F186" s="19">
        <f t="shared" si="97"/>
        <v>2021</v>
      </c>
      <c r="G186" s="9">
        <f t="shared" si="118"/>
        <v>17</v>
      </c>
      <c r="H186" s="8">
        <f t="shared" si="118"/>
        <v>95</v>
      </c>
      <c r="I186" s="9"/>
      <c r="J186" s="9"/>
      <c r="K186" s="9"/>
      <c r="L186" s="9"/>
      <c r="M186" s="9"/>
      <c r="N186" s="9"/>
      <c r="O186" s="12"/>
      <c r="P186" s="12"/>
      <c r="Q186" s="12"/>
      <c r="R186" s="12"/>
      <c r="S186" s="12"/>
      <c r="T186" s="12"/>
      <c r="V186" s="20">
        <f t="shared" si="85"/>
        <v>3</v>
      </c>
      <c r="W186" s="20">
        <f t="shared" si="86"/>
        <v>8</v>
      </c>
      <c r="X186" s="20">
        <f t="shared" si="87"/>
        <v>13</v>
      </c>
      <c r="Y186" s="20">
        <f t="shared" si="88"/>
        <v>0</v>
      </c>
      <c r="Z186" s="20">
        <f t="shared" si="89"/>
        <v>0</v>
      </c>
      <c r="AA186" s="20">
        <f t="shared" si="90"/>
        <v>0</v>
      </c>
      <c r="AC186" s="3">
        <f t="shared" si="100"/>
        <v>56</v>
      </c>
      <c r="AD186" s="3">
        <f t="shared" si="101"/>
        <v>51</v>
      </c>
      <c r="AE186" s="3">
        <f t="shared" si="102"/>
        <v>46</v>
      </c>
      <c r="AF186" s="3">
        <f t="shared" si="103"/>
        <v>40</v>
      </c>
      <c r="AG186" s="3">
        <f t="shared" si="104"/>
        <v>35</v>
      </c>
      <c r="AH186" s="3">
        <f t="shared" si="105"/>
        <v>30</v>
      </c>
      <c r="AI186" s="3">
        <f t="shared" si="106"/>
        <v>25</v>
      </c>
      <c r="AJ186" s="3">
        <f t="shared" si="107"/>
        <v>18</v>
      </c>
      <c r="AK186" s="3">
        <f t="shared" si="108"/>
        <v>0</v>
      </c>
      <c r="AL186" s="3">
        <f t="shared" si="109"/>
        <v>94</v>
      </c>
      <c r="AM186" s="3">
        <f t="shared" si="110"/>
        <v>89</v>
      </c>
      <c r="AN186" s="3">
        <f t="shared" si="111"/>
        <v>82</v>
      </c>
      <c r="AO186" s="3">
        <f t="shared" si="112"/>
        <v>77</v>
      </c>
      <c r="AP186" s="3">
        <f t="shared" si="113"/>
        <v>72</v>
      </c>
      <c r="AQ186" s="3">
        <f t="shared" si="114"/>
        <v>67</v>
      </c>
      <c r="AR186" s="3">
        <f t="shared" si="115"/>
        <v>61</v>
      </c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L186">
        <v>4</v>
      </c>
      <c r="BM186" s="35">
        <v>44375</v>
      </c>
      <c r="BO186" s="35">
        <f>B201</f>
        <v>44480</v>
      </c>
      <c r="BP186">
        <v>98</v>
      </c>
      <c r="BR186" s="9" t="str">
        <f t="shared" si="91"/>
        <v/>
      </c>
      <c r="BS186" s="37" t="str">
        <f t="shared" si="92"/>
        <v/>
      </c>
      <c r="BT186" s="38" t="str">
        <f t="shared" si="117"/>
        <v/>
      </c>
      <c r="BU186" s="36" t="str">
        <f t="shared" si="93"/>
        <v/>
      </c>
    </row>
    <row r="187" spans="2:73" ht="15">
      <c r="B187" s="16">
        <f t="shared" si="94"/>
        <v>44382</v>
      </c>
      <c r="C187" s="15" t="s">
        <v>1</v>
      </c>
      <c r="D187" s="17">
        <f t="shared" si="95"/>
        <v>44388</v>
      </c>
      <c r="E187" s="18">
        <f t="shared" si="96"/>
        <v>7</v>
      </c>
      <c r="F187" s="19">
        <f t="shared" si="97"/>
        <v>2021</v>
      </c>
      <c r="G187" s="9">
        <f t="shared" si="118"/>
        <v>17</v>
      </c>
      <c r="H187" s="8">
        <f t="shared" si="118"/>
        <v>95</v>
      </c>
      <c r="I187" s="9"/>
      <c r="J187" s="9"/>
      <c r="K187" s="9"/>
      <c r="L187" s="9"/>
      <c r="M187" s="9"/>
      <c r="N187" s="9"/>
      <c r="O187" s="12"/>
      <c r="P187" s="12"/>
      <c r="Q187" s="12"/>
      <c r="R187" s="12"/>
      <c r="S187" s="12"/>
      <c r="T187" s="12"/>
      <c r="V187" s="20">
        <f t="shared" si="85"/>
        <v>4</v>
      </c>
      <c r="W187" s="20">
        <f t="shared" si="86"/>
        <v>9</v>
      </c>
      <c r="X187" s="20">
        <f t="shared" si="87"/>
        <v>14</v>
      </c>
      <c r="Y187" s="20">
        <f t="shared" si="88"/>
        <v>0</v>
      </c>
      <c r="Z187" s="20">
        <f t="shared" si="89"/>
        <v>0</v>
      </c>
      <c r="AA187" s="20">
        <f t="shared" si="90"/>
        <v>0</v>
      </c>
      <c r="AC187" s="3">
        <f t="shared" si="100"/>
        <v>57</v>
      </c>
      <c r="AD187" s="3">
        <f t="shared" si="101"/>
        <v>52</v>
      </c>
      <c r="AE187" s="3">
        <f t="shared" si="102"/>
        <v>47</v>
      </c>
      <c r="AF187" s="3">
        <f t="shared" si="103"/>
        <v>41</v>
      </c>
      <c r="AG187" s="3">
        <f t="shared" si="104"/>
        <v>36</v>
      </c>
      <c r="AH187" s="3">
        <f t="shared" si="105"/>
        <v>31</v>
      </c>
      <c r="AI187" s="3">
        <f t="shared" si="106"/>
        <v>26</v>
      </c>
      <c r="AJ187" s="3">
        <f t="shared" si="107"/>
        <v>19</v>
      </c>
      <c r="AK187" s="3">
        <f t="shared" si="108"/>
        <v>0</v>
      </c>
      <c r="AL187" s="3">
        <f t="shared" si="109"/>
        <v>95</v>
      </c>
      <c r="AM187" s="3">
        <f t="shared" si="110"/>
        <v>90</v>
      </c>
      <c r="AN187" s="3">
        <f t="shared" si="111"/>
        <v>83</v>
      </c>
      <c r="AO187" s="3">
        <f t="shared" si="112"/>
        <v>78</v>
      </c>
      <c r="AP187" s="3">
        <f t="shared" si="113"/>
        <v>73</v>
      </c>
      <c r="AQ187" s="3">
        <f t="shared" si="114"/>
        <v>68</v>
      </c>
      <c r="AR187" s="3">
        <f t="shared" si="115"/>
        <v>62</v>
      </c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M187" s="35" t="s">
        <v>12</v>
      </c>
      <c r="BO187" s="35"/>
      <c r="BR187" s="9" t="str">
        <f t="shared" si="91"/>
        <v/>
      </c>
      <c r="BS187" s="37" t="str">
        <f t="shared" si="92"/>
        <v/>
      </c>
      <c r="BT187" s="38" t="str">
        <f t="shared" si="117"/>
        <v/>
      </c>
      <c r="BU187" s="36" t="str">
        <f t="shared" si="93"/>
        <v/>
      </c>
    </row>
    <row r="188" spans="2:73" ht="15">
      <c r="B188" s="16">
        <f t="shared" si="94"/>
        <v>44389</v>
      </c>
      <c r="C188" s="15" t="s">
        <v>1</v>
      </c>
      <c r="D188" s="17">
        <f t="shared" si="95"/>
        <v>44395</v>
      </c>
      <c r="E188" s="18">
        <f t="shared" si="96"/>
        <v>7</v>
      </c>
      <c r="F188" s="19">
        <f t="shared" si="97"/>
        <v>2021</v>
      </c>
      <c r="G188" s="9">
        <f t="shared" si="118"/>
        <v>17</v>
      </c>
      <c r="H188" s="8">
        <f t="shared" si="118"/>
        <v>95</v>
      </c>
      <c r="I188" s="9"/>
      <c r="J188" s="9"/>
      <c r="K188" s="9"/>
      <c r="L188" s="9"/>
      <c r="M188" s="9"/>
      <c r="N188" s="9"/>
      <c r="O188" s="12"/>
      <c r="P188" s="12"/>
      <c r="Q188" s="12"/>
      <c r="R188" s="12"/>
      <c r="S188" s="12"/>
      <c r="T188" s="12"/>
      <c r="V188" s="20">
        <f t="shared" si="85"/>
        <v>5</v>
      </c>
      <c r="W188" s="20">
        <f t="shared" si="86"/>
        <v>10</v>
      </c>
      <c r="X188" s="20">
        <f t="shared" si="87"/>
        <v>15</v>
      </c>
      <c r="Y188" s="20">
        <f t="shared" si="88"/>
        <v>0</v>
      </c>
      <c r="Z188" s="20">
        <f t="shared" si="89"/>
        <v>0</v>
      </c>
      <c r="AA188" s="20">
        <f t="shared" si="90"/>
        <v>0</v>
      </c>
      <c r="AC188" s="3">
        <f t="shared" si="100"/>
        <v>58</v>
      </c>
      <c r="AD188" s="3">
        <f t="shared" si="101"/>
        <v>53</v>
      </c>
      <c r="AE188" s="3">
        <f t="shared" si="102"/>
        <v>48</v>
      </c>
      <c r="AF188" s="3">
        <f t="shared" si="103"/>
        <v>42</v>
      </c>
      <c r="AG188" s="3">
        <f t="shared" si="104"/>
        <v>37</v>
      </c>
      <c r="AH188" s="3">
        <f t="shared" si="105"/>
        <v>32</v>
      </c>
      <c r="AI188" s="3">
        <f t="shared" si="106"/>
        <v>27</v>
      </c>
      <c r="AJ188" s="3">
        <f t="shared" si="107"/>
        <v>20</v>
      </c>
      <c r="AK188" s="3">
        <f t="shared" si="108"/>
        <v>0</v>
      </c>
      <c r="AL188" s="3">
        <f t="shared" si="109"/>
        <v>0</v>
      </c>
      <c r="AM188" s="3">
        <f t="shared" si="110"/>
        <v>91</v>
      </c>
      <c r="AN188" s="3">
        <f t="shared" si="111"/>
        <v>84</v>
      </c>
      <c r="AO188" s="3">
        <f t="shared" si="112"/>
        <v>79</v>
      </c>
      <c r="AP188" s="3">
        <f t="shared" si="113"/>
        <v>74</v>
      </c>
      <c r="AQ188" s="3">
        <f t="shared" si="114"/>
        <v>69</v>
      </c>
      <c r="AR188" s="3">
        <f t="shared" si="115"/>
        <v>63</v>
      </c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M188" s="35" t="s">
        <v>12</v>
      </c>
      <c r="BO188" s="35"/>
      <c r="BR188" s="9" t="str">
        <f t="shared" si="91"/>
        <v/>
      </c>
      <c r="BS188" s="37" t="str">
        <f t="shared" si="92"/>
        <v/>
      </c>
      <c r="BT188" s="38" t="str">
        <f t="shared" si="117"/>
        <v/>
      </c>
      <c r="BU188" s="36" t="str">
        <f t="shared" si="93"/>
        <v/>
      </c>
    </row>
    <row r="189" spans="2:73" ht="15">
      <c r="B189" s="16">
        <f t="shared" si="94"/>
        <v>44396</v>
      </c>
      <c r="C189" s="15" t="s">
        <v>1</v>
      </c>
      <c r="D189" s="17">
        <f t="shared" si="95"/>
        <v>44402</v>
      </c>
      <c r="E189" s="18">
        <f t="shared" si="96"/>
        <v>7</v>
      </c>
      <c r="F189" s="19">
        <f t="shared" si="97"/>
        <v>2021</v>
      </c>
      <c r="G189" s="9">
        <f t="shared" si="118"/>
        <v>17</v>
      </c>
      <c r="H189" s="8">
        <f t="shared" si="118"/>
        <v>95</v>
      </c>
      <c r="I189" s="9"/>
      <c r="J189" s="9"/>
      <c r="K189" s="9"/>
      <c r="L189" s="9"/>
      <c r="M189" s="9"/>
      <c r="N189" s="9"/>
      <c r="O189" s="12"/>
      <c r="P189" s="12"/>
      <c r="Q189" s="12"/>
      <c r="R189" s="12"/>
      <c r="S189" s="12"/>
      <c r="T189" s="12"/>
      <c r="V189" s="20">
        <f t="shared" si="85"/>
        <v>6</v>
      </c>
      <c r="W189" s="20">
        <f t="shared" si="86"/>
        <v>11</v>
      </c>
      <c r="X189" s="20">
        <f t="shared" si="87"/>
        <v>16</v>
      </c>
      <c r="Y189" s="20">
        <f t="shared" si="88"/>
        <v>0</v>
      </c>
      <c r="Z189" s="20">
        <f t="shared" si="89"/>
        <v>0</v>
      </c>
      <c r="AA189" s="20">
        <f t="shared" si="90"/>
        <v>0</v>
      </c>
      <c r="AC189" s="3">
        <f t="shared" si="100"/>
        <v>59</v>
      </c>
      <c r="AD189" s="3">
        <f t="shared" si="101"/>
        <v>54</v>
      </c>
      <c r="AE189" s="3">
        <f t="shared" si="102"/>
        <v>49</v>
      </c>
      <c r="AF189" s="3">
        <f t="shared" si="103"/>
        <v>43</v>
      </c>
      <c r="AG189" s="3">
        <f t="shared" si="104"/>
        <v>38</v>
      </c>
      <c r="AH189" s="3">
        <f t="shared" si="105"/>
        <v>33</v>
      </c>
      <c r="AI189" s="3">
        <f t="shared" si="106"/>
        <v>28</v>
      </c>
      <c r="AJ189" s="3">
        <f t="shared" si="107"/>
        <v>21</v>
      </c>
      <c r="AK189" s="3">
        <f t="shared" si="108"/>
        <v>0</v>
      </c>
      <c r="AL189" s="3">
        <f t="shared" si="109"/>
        <v>0</v>
      </c>
      <c r="AM189" s="3">
        <f t="shared" si="110"/>
        <v>92</v>
      </c>
      <c r="AN189" s="3">
        <f t="shared" si="111"/>
        <v>85</v>
      </c>
      <c r="AO189" s="3">
        <f t="shared" si="112"/>
        <v>80</v>
      </c>
      <c r="AP189" s="3">
        <f t="shared" si="113"/>
        <v>75</v>
      </c>
      <c r="AQ189" s="3">
        <f t="shared" si="114"/>
        <v>70</v>
      </c>
      <c r="AR189" s="3">
        <f t="shared" si="115"/>
        <v>64</v>
      </c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M189" s="35" t="s">
        <v>12</v>
      </c>
      <c r="BO189" s="35"/>
      <c r="BR189" s="9" t="str">
        <f t="shared" si="91"/>
        <v/>
      </c>
      <c r="BS189" s="37" t="str">
        <f t="shared" si="92"/>
        <v/>
      </c>
      <c r="BT189" s="38" t="str">
        <f t="shared" si="117"/>
        <v/>
      </c>
      <c r="BU189" s="36" t="str">
        <f t="shared" si="93"/>
        <v/>
      </c>
    </row>
    <row r="190" spans="2:73" ht="15">
      <c r="B190" s="16">
        <f t="shared" si="94"/>
        <v>44403</v>
      </c>
      <c r="C190" s="15" t="s">
        <v>1</v>
      </c>
      <c r="D190" s="17">
        <f t="shared" si="95"/>
        <v>44409</v>
      </c>
      <c r="E190" s="18">
        <f t="shared" si="96"/>
        <v>7</v>
      </c>
      <c r="F190" s="19">
        <f t="shared" si="97"/>
        <v>2021</v>
      </c>
      <c r="G190" s="9">
        <f t="shared" si="118"/>
        <v>17</v>
      </c>
      <c r="H190" s="8">
        <f t="shared" si="118"/>
        <v>95</v>
      </c>
      <c r="I190" s="9"/>
      <c r="J190" s="9"/>
      <c r="K190" s="9"/>
      <c r="L190" s="9"/>
      <c r="M190" s="9"/>
      <c r="N190" s="9"/>
      <c r="O190" s="12"/>
      <c r="P190" s="12"/>
      <c r="Q190" s="12"/>
      <c r="R190" s="12">
        <v>1</v>
      </c>
      <c r="S190" s="12"/>
      <c r="T190" s="12"/>
      <c r="V190" s="20">
        <f t="shared" si="85"/>
        <v>7</v>
      </c>
      <c r="W190" s="20">
        <f t="shared" si="86"/>
        <v>12</v>
      </c>
      <c r="X190" s="20">
        <f t="shared" si="87"/>
        <v>17</v>
      </c>
      <c r="Y190" s="20">
        <f t="shared" si="88"/>
        <v>44405</v>
      </c>
      <c r="Z190" s="20">
        <f t="shared" si="89"/>
        <v>0</v>
      </c>
      <c r="AA190" s="20">
        <f t="shared" si="90"/>
        <v>0</v>
      </c>
      <c r="AC190" s="3">
        <f t="shared" si="100"/>
        <v>60</v>
      </c>
      <c r="AD190" s="3">
        <f t="shared" si="101"/>
        <v>55</v>
      </c>
      <c r="AE190" s="3">
        <f t="shared" si="102"/>
        <v>50</v>
      </c>
      <c r="AF190" s="3">
        <f t="shared" si="103"/>
        <v>44</v>
      </c>
      <c r="AG190" s="3">
        <f t="shared" si="104"/>
        <v>39</v>
      </c>
      <c r="AH190" s="3">
        <f t="shared" si="105"/>
        <v>34</v>
      </c>
      <c r="AI190" s="3">
        <f t="shared" si="106"/>
        <v>29</v>
      </c>
      <c r="AJ190" s="3">
        <f t="shared" si="107"/>
        <v>22</v>
      </c>
      <c r="AK190" s="3">
        <f t="shared" si="108"/>
        <v>17</v>
      </c>
      <c r="AL190" s="3">
        <f t="shared" si="109"/>
        <v>0</v>
      </c>
      <c r="AM190" s="3">
        <f t="shared" si="110"/>
        <v>93</v>
      </c>
      <c r="AN190" s="3">
        <f t="shared" si="111"/>
        <v>86</v>
      </c>
      <c r="AO190" s="3">
        <f t="shared" si="112"/>
        <v>81</v>
      </c>
      <c r="AP190" s="3">
        <f t="shared" si="113"/>
        <v>76</v>
      </c>
      <c r="AQ190" s="3">
        <f t="shared" si="114"/>
        <v>71</v>
      </c>
      <c r="AR190" s="3">
        <f t="shared" si="115"/>
        <v>65</v>
      </c>
      <c r="AS190" s="8"/>
      <c r="AT190" s="8"/>
      <c r="AU190" s="8"/>
      <c r="AV190" s="8"/>
      <c r="AW190" s="8"/>
      <c r="AX190" s="8"/>
      <c r="AY190" s="8"/>
      <c r="AZ190" s="8"/>
      <c r="BA190" s="8">
        <v>3</v>
      </c>
      <c r="BB190" s="8"/>
      <c r="BC190" s="8"/>
      <c r="BD190" s="8"/>
      <c r="BE190" s="8"/>
      <c r="BF190" s="8"/>
      <c r="BG190" s="8"/>
      <c r="BH190" s="8"/>
      <c r="BM190" s="35" t="s">
        <v>12</v>
      </c>
      <c r="BO190" s="35"/>
      <c r="BR190" s="9">
        <f t="shared" si="91"/>
        <v>4</v>
      </c>
      <c r="BS190" s="37">
        <f t="shared" si="92"/>
        <v>44405</v>
      </c>
      <c r="BT190" s="38">
        <f t="shared" si="117"/>
        <v>44524</v>
      </c>
      <c r="BU190" s="36">
        <f t="shared" si="93"/>
        <v>5</v>
      </c>
    </row>
    <row r="191" spans="2:73" ht="15">
      <c r="B191" s="16">
        <f t="shared" si="94"/>
        <v>44410</v>
      </c>
      <c r="C191" s="15" t="s">
        <v>1</v>
      </c>
      <c r="D191" s="17">
        <f t="shared" si="95"/>
        <v>44416</v>
      </c>
      <c r="E191" s="18">
        <f t="shared" si="96"/>
        <v>8</v>
      </c>
      <c r="F191" s="19">
        <f t="shared" si="97"/>
        <v>2021</v>
      </c>
      <c r="G191" s="9">
        <f t="shared" si="118"/>
        <v>17</v>
      </c>
      <c r="H191" s="8">
        <f t="shared" si="118"/>
        <v>95</v>
      </c>
      <c r="I191" s="9"/>
      <c r="J191" s="9"/>
      <c r="K191" s="9"/>
      <c r="L191" s="9"/>
      <c r="M191" s="9"/>
      <c r="N191" s="9"/>
      <c r="O191" s="12"/>
      <c r="P191" s="12"/>
      <c r="Q191" s="12"/>
      <c r="R191" s="12"/>
      <c r="S191" s="12"/>
      <c r="T191" s="12"/>
      <c r="V191" s="20">
        <f t="shared" si="85"/>
        <v>8</v>
      </c>
      <c r="W191" s="20">
        <f t="shared" si="86"/>
        <v>13</v>
      </c>
      <c r="X191" s="20">
        <f t="shared" si="87"/>
        <v>0</v>
      </c>
      <c r="Y191" s="20">
        <f t="shared" si="88"/>
        <v>1</v>
      </c>
      <c r="Z191" s="20">
        <f t="shared" si="89"/>
        <v>0</v>
      </c>
      <c r="AA191" s="20">
        <f t="shared" si="90"/>
        <v>0</v>
      </c>
      <c r="AC191" s="3">
        <f t="shared" si="100"/>
        <v>61</v>
      </c>
      <c r="AD191" s="3">
        <f t="shared" si="101"/>
        <v>56</v>
      </c>
      <c r="AE191" s="3">
        <f t="shared" si="102"/>
        <v>51</v>
      </c>
      <c r="AF191" s="3">
        <f t="shared" si="103"/>
        <v>45</v>
      </c>
      <c r="AG191" s="3">
        <f t="shared" si="104"/>
        <v>40</v>
      </c>
      <c r="AH191" s="3">
        <f t="shared" si="105"/>
        <v>35</v>
      </c>
      <c r="AI191" s="3">
        <f t="shared" si="106"/>
        <v>30</v>
      </c>
      <c r="AJ191" s="3">
        <f t="shared" si="107"/>
        <v>23</v>
      </c>
      <c r="AK191" s="3">
        <f t="shared" si="108"/>
        <v>18</v>
      </c>
      <c r="AL191" s="3">
        <f t="shared" si="109"/>
        <v>0</v>
      </c>
      <c r="AM191" s="3">
        <f t="shared" si="110"/>
        <v>94</v>
      </c>
      <c r="AN191" s="3">
        <f t="shared" si="111"/>
        <v>87</v>
      </c>
      <c r="AO191" s="3">
        <f t="shared" si="112"/>
        <v>82</v>
      </c>
      <c r="AP191" s="3">
        <f t="shared" si="113"/>
        <v>77</v>
      </c>
      <c r="AQ191" s="3">
        <f t="shared" si="114"/>
        <v>72</v>
      </c>
      <c r="AR191" s="3">
        <f t="shared" si="115"/>
        <v>66</v>
      </c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L191">
        <v>5</v>
      </c>
      <c r="BM191" s="35">
        <v>44410</v>
      </c>
      <c r="BO191" s="35">
        <f>B208</f>
        <v>44529</v>
      </c>
      <c r="BP191">
        <v>98</v>
      </c>
      <c r="BR191" s="9" t="str">
        <f t="shared" si="91"/>
        <v/>
      </c>
      <c r="BS191" s="37" t="str">
        <f t="shared" si="92"/>
        <v/>
      </c>
      <c r="BT191" s="38" t="str">
        <f t="shared" si="117"/>
        <v/>
      </c>
      <c r="BU191" s="36" t="str">
        <f t="shared" si="93"/>
        <v/>
      </c>
    </row>
    <row r="192" spans="2:73" ht="15">
      <c r="B192" s="16">
        <f t="shared" si="94"/>
        <v>44417</v>
      </c>
      <c r="C192" s="15" t="s">
        <v>1</v>
      </c>
      <c r="D192" s="17">
        <f t="shared" si="95"/>
        <v>44423</v>
      </c>
      <c r="E192" s="18">
        <f t="shared" si="96"/>
        <v>8</v>
      </c>
      <c r="F192" s="19">
        <f t="shared" si="97"/>
        <v>2021</v>
      </c>
      <c r="G192" s="9">
        <f t="shared" si="118"/>
        <v>17</v>
      </c>
      <c r="H192" s="8">
        <f t="shared" si="118"/>
        <v>95</v>
      </c>
      <c r="I192" s="9"/>
      <c r="J192" s="9"/>
      <c r="K192" s="9"/>
      <c r="L192" s="9"/>
      <c r="M192" s="9"/>
      <c r="N192" s="9"/>
      <c r="O192" s="12"/>
      <c r="P192" s="12"/>
      <c r="Q192" s="12"/>
      <c r="R192" s="12"/>
      <c r="S192" s="12"/>
      <c r="T192" s="12"/>
      <c r="V192" s="20">
        <f t="shared" si="85"/>
        <v>9</v>
      </c>
      <c r="W192" s="20">
        <f t="shared" si="86"/>
        <v>14</v>
      </c>
      <c r="X192" s="20">
        <f t="shared" si="87"/>
        <v>0</v>
      </c>
      <c r="Y192" s="20">
        <f t="shared" si="88"/>
        <v>2</v>
      </c>
      <c r="Z192" s="20">
        <f t="shared" si="89"/>
        <v>0</v>
      </c>
      <c r="AA192" s="20">
        <f t="shared" si="90"/>
        <v>0</v>
      </c>
      <c r="AC192" s="3">
        <f t="shared" si="100"/>
        <v>62</v>
      </c>
      <c r="AD192" s="3">
        <f t="shared" si="101"/>
        <v>57</v>
      </c>
      <c r="AE192" s="3">
        <f t="shared" si="102"/>
        <v>52</v>
      </c>
      <c r="AF192" s="3">
        <f t="shared" si="103"/>
        <v>46</v>
      </c>
      <c r="AG192" s="3">
        <f t="shared" si="104"/>
        <v>41</v>
      </c>
      <c r="AH192" s="3">
        <f t="shared" si="105"/>
        <v>36</v>
      </c>
      <c r="AI192" s="3">
        <f t="shared" si="106"/>
        <v>31</v>
      </c>
      <c r="AJ192" s="3">
        <f t="shared" si="107"/>
        <v>24</v>
      </c>
      <c r="AK192" s="3">
        <f t="shared" si="108"/>
        <v>19</v>
      </c>
      <c r="AL192" s="3">
        <f t="shared" si="109"/>
        <v>0</v>
      </c>
      <c r="AM192" s="3">
        <f t="shared" si="110"/>
        <v>95</v>
      </c>
      <c r="AN192" s="3">
        <f t="shared" si="111"/>
        <v>88</v>
      </c>
      <c r="AO192" s="3">
        <f t="shared" si="112"/>
        <v>83</v>
      </c>
      <c r="AP192" s="3">
        <f t="shared" si="113"/>
        <v>78</v>
      </c>
      <c r="AQ192" s="3">
        <f t="shared" si="114"/>
        <v>73</v>
      </c>
      <c r="AR192" s="3">
        <f t="shared" si="115"/>
        <v>67</v>
      </c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M192" s="35" t="s">
        <v>12</v>
      </c>
      <c r="BO192" s="35"/>
      <c r="BR192" s="9" t="str">
        <f t="shared" si="91"/>
        <v/>
      </c>
      <c r="BS192" s="37" t="str">
        <f t="shared" si="92"/>
        <v/>
      </c>
      <c r="BT192" s="38" t="str">
        <f t="shared" si="117"/>
        <v/>
      </c>
      <c r="BU192" s="36" t="str">
        <f t="shared" si="93"/>
        <v/>
      </c>
    </row>
    <row r="193" spans="2:73" ht="15">
      <c r="B193" s="16">
        <f t="shared" si="94"/>
        <v>44424</v>
      </c>
      <c r="C193" s="15" t="s">
        <v>1</v>
      </c>
      <c r="D193" s="17">
        <f t="shared" si="95"/>
        <v>44430</v>
      </c>
      <c r="E193" s="18">
        <f t="shared" si="96"/>
        <v>8</v>
      </c>
      <c r="F193" s="19">
        <f t="shared" si="97"/>
        <v>2021</v>
      </c>
      <c r="G193" s="9">
        <f t="shared" si="118"/>
        <v>17</v>
      </c>
      <c r="H193" s="8">
        <f t="shared" si="118"/>
        <v>95</v>
      </c>
      <c r="I193" s="9"/>
      <c r="J193" s="9"/>
      <c r="K193" s="9"/>
      <c r="L193" s="9"/>
      <c r="M193" s="9"/>
      <c r="N193" s="9"/>
      <c r="O193" s="12"/>
      <c r="P193" s="12"/>
      <c r="Q193" s="12"/>
      <c r="R193" s="12"/>
      <c r="S193" s="12"/>
      <c r="T193" s="12"/>
      <c r="V193" s="20">
        <f t="shared" si="85"/>
        <v>10</v>
      </c>
      <c r="W193" s="20">
        <f t="shared" si="86"/>
        <v>15</v>
      </c>
      <c r="X193" s="20">
        <f t="shared" si="87"/>
        <v>0</v>
      </c>
      <c r="Y193" s="20">
        <f t="shared" si="88"/>
        <v>3</v>
      </c>
      <c r="Z193" s="20">
        <f t="shared" si="89"/>
        <v>0</v>
      </c>
      <c r="AA193" s="20">
        <f t="shared" si="90"/>
        <v>0</v>
      </c>
      <c r="AC193" s="3">
        <f t="shared" si="100"/>
        <v>63</v>
      </c>
      <c r="AD193" s="3">
        <f t="shared" si="101"/>
        <v>58</v>
      </c>
      <c r="AE193" s="3">
        <f t="shared" si="102"/>
        <v>53</v>
      </c>
      <c r="AF193" s="3">
        <f t="shared" si="103"/>
        <v>47</v>
      </c>
      <c r="AG193" s="3">
        <f t="shared" si="104"/>
        <v>42</v>
      </c>
      <c r="AH193" s="3">
        <f t="shared" si="105"/>
        <v>37</v>
      </c>
      <c r="AI193" s="3">
        <f t="shared" si="106"/>
        <v>32</v>
      </c>
      <c r="AJ193" s="3">
        <f t="shared" si="107"/>
        <v>25</v>
      </c>
      <c r="AK193" s="3">
        <f t="shared" si="108"/>
        <v>20</v>
      </c>
      <c r="AL193" s="3">
        <f t="shared" si="109"/>
        <v>0</v>
      </c>
      <c r="AM193" s="3">
        <f t="shared" si="110"/>
        <v>0</v>
      </c>
      <c r="AN193" s="3">
        <f t="shared" si="111"/>
        <v>89</v>
      </c>
      <c r="AO193" s="3">
        <f t="shared" si="112"/>
        <v>84</v>
      </c>
      <c r="AP193" s="3">
        <f t="shared" si="113"/>
        <v>79</v>
      </c>
      <c r="AQ193" s="3">
        <f t="shared" si="114"/>
        <v>74</v>
      </c>
      <c r="AR193" s="3">
        <f t="shared" si="115"/>
        <v>68</v>
      </c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M193" s="35" t="s">
        <v>12</v>
      </c>
      <c r="BO193" s="35"/>
      <c r="BR193" s="9" t="str">
        <f t="shared" si="91"/>
        <v/>
      </c>
      <c r="BS193" s="37" t="str">
        <f t="shared" si="92"/>
        <v/>
      </c>
      <c r="BT193" s="38" t="str">
        <f t="shared" si="117"/>
        <v/>
      </c>
      <c r="BU193" s="36" t="str">
        <f t="shared" si="93"/>
        <v/>
      </c>
    </row>
    <row r="194" spans="2:73" ht="15">
      <c r="B194" s="16">
        <f t="shared" si="94"/>
        <v>44431</v>
      </c>
      <c r="C194" s="15" t="s">
        <v>1</v>
      </c>
      <c r="D194" s="17">
        <f t="shared" si="95"/>
        <v>44437</v>
      </c>
      <c r="E194" s="18">
        <f t="shared" si="96"/>
        <v>8</v>
      </c>
      <c r="F194" s="19">
        <f t="shared" si="97"/>
        <v>2021</v>
      </c>
      <c r="G194" s="9">
        <f t="shared" si="118"/>
        <v>17</v>
      </c>
      <c r="H194" s="8">
        <f t="shared" si="118"/>
        <v>95</v>
      </c>
      <c r="I194" s="9"/>
      <c r="J194" s="9"/>
      <c r="K194" s="9"/>
      <c r="L194" s="9"/>
      <c r="M194" s="9"/>
      <c r="N194" s="9"/>
      <c r="O194" s="12"/>
      <c r="P194" s="12"/>
      <c r="Q194" s="12"/>
      <c r="R194" s="12"/>
      <c r="S194" s="12"/>
      <c r="T194" s="12"/>
      <c r="V194" s="20">
        <f t="shared" si="85"/>
        <v>11</v>
      </c>
      <c r="W194" s="20">
        <f t="shared" si="86"/>
        <v>16</v>
      </c>
      <c r="X194" s="20">
        <f t="shared" si="87"/>
        <v>0</v>
      </c>
      <c r="Y194" s="20">
        <f t="shared" si="88"/>
        <v>4</v>
      </c>
      <c r="Z194" s="20">
        <f t="shared" si="89"/>
        <v>0</v>
      </c>
      <c r="AA194" s="20">
        <f t="shared" si="90"/>
        <v>0</v>
      </c>
      <c r="AC194" s="3">
        <f t="shared" si="100"/>
        <v>64</v>
      </c>
      <c r="AD194" s="3">
        <f t="shared" si="101"/>
        <v>59</v>
      </c>
      <c r="AE194" s="3">
        <f t="shared" si="102"/>
        <v>54</v>
      </c>
      <c r="AF194" s="3">
        <f t="shared" si="103"/>
        <v>48</v>
      </c>
      <c r="AG194" s="3">
        <f t="shared" si="104"/>
        <v>43</v>
      </c>
      <c r="AH194" s="3">
        <f t="shared" si="105"/>
        <v>38</v>
      </c>
      <c r="AI194" s="3">
        <f t="shared" si="106"/>
        <v>33</v>
      </c>
      <c r="AJ194" s="3">
        <f t="shared" si="107"/>
        <v>26</v>
      </c>
      <c r="AK194" s="3">
        <f t="shared" si="108"/>
        <v>21</v>
      </c>
      <c r="AL194" s="3">
        <f t="shared" si="109"/>
        <v>0</v>
      </c>
      <c r="AM194" s="3">
        <f t="shared" si="110"/>
        <v>0</v>
      </c>
      <c r="AN194" s="3">
        <f t="shared" si="111"/>
        <v>90</v>
      </c>
      <c r="AO194" s="3">
        <f t="shared" si="112"/>
        <v>85</v>
      </c>
      <c r="AP194" s="3">
        <f t="shared" si="113"/>
        <v>80</v>
      </c>
      <c r="AQ194" s="3">
        <f t="shared" si="114"/>
        <v>75</v>
      </c>
      <c r="AR194" s="3">
        <f t="shared" si="115"/>
        <v>69</v>
      </c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M194" s="35" t="s">
        <v>12</v>
      </c>
      <c r="BO194" s="35"/>
      <c r="BR194" s="9" t="str">
        <f t="shared" si="91"/>
        <v/>
      </c>
      <c r="BS194" s="37" t="str">
        <f t="shared" si="92"/>
        <v/>
      </c>
      <c r="BT194" s="38" t="str">
        <f t="shared" si="117"/>
        <v/>
      </c>
      <c r="BU194" s="36" t="str">
        <f t="shared" si="93"/>
        <v/>
      </c>
    </row>
    <row r="195" spans="2:73" ht="15">
      <c r="B195" s="16">
        <f t="shared" si="94"/>
        <v>44438</v>
      </c>
      <c r="C195" s="15" t="s">
        <v>1</v>
      </c>
      <c r="D195" s="17">
        <f t="shared" si="95"/>
        <v>44444</v>
      </c>
      <c r="E195" s="18">
        <f t="shared" si="96"/>
        <v>8</v>
      </c>
      <c r="F195" s="19">
        <f t="shared" si="97"/>
        <v>2021</v>
      </c>
      <c r="G195" s="9">
        <f t="shared" si="118"/>
        <v>17</v>
      </c>
      <c r="H195" s="8">
        <f t="shared" si="118"/>
        <v>95</v>
      </c>
      <c r="I195" s="9"/>
      <c r="J195" s="9"/>
      <c r="K195" s="9"/>
      <c r="L195" s="9"/>
      <c r="M195" s="9"/>
      <c r="N195" s="9"/>
      <c r="O195" s="12"/>
      <c r="P195" s="12"/>
      <c r="Q195" s="12">
        <v>1</v>
      </c>
      <c r="R195" s="12"/>
      <c r="S195" s="12"/>
      <c r="T195" s="12"/>
      <c r="V195" s="20">
        <f t="shared" si="85"/>
        <v>12</v>
      </c>
      <c r="W195" s="20">
        <f t="shared" si="86"/>
        <v>17</v>
      </c>
      <c r="X195" s="20">
        <f t="shared" si="87"/>
        <v>44440</v>
      </c>
      <c r="Y195" s="20">
        <f t="shared" si="88"/>
        <v>5</v>
      </c>
      <c r="Z195" s="20">
        <f t="shared" si="89"/>
        <v>0</v>
      </c>
      <c r="AA195" s="20">
        <f t="shared" si="90"/>
        <v>0</v>
      </c>
      <c r="AC195" s="3">
        <f t="shared" si="100"/>
        <v>65</v>
      </c>
      <c r="AD195" s="3">
        <f t="shared" si="101"/>
        <v>60</v>
      </c>
      <c r="AE195" s="3">
        <f t="shared" si="102"/>
        <v>55</v>
      </c>
      <c r="AF195" s="3">
        <f t="shared" si="103"/>
        <v>49</v>
      </c>
      <c r="AG195" s="3">
        <f t="shared" si="104"/>
        <v>44</v>
      </c>
      <c r="AH195" s="3">
        <f t="shared" si="105"/>
        <v>39</v>
      </c>
      <c r="AI195" s="3">
        <f t="shared" si="106"/>
        <v>34</v>
      </c>
      <c r="AJ195" s="3">
        <f t="shared" si="107"/>
        <v>27</v>
      </c>
      <c r="AK195" s="3">
        <f t="shared" si="108"/>
        <v>22</v>
      </c>
      <c r="AL195" s="3">
        <f t="shared" si="109"/>
        <v>17</v>
      </c>
      <c r="AM195" s="3">
        <f t="shared" si="110"/>
        <v>0</v>
      </c>
      <c r="AN195" s="3">
        <f t="shared" si="111"/>
        <v>91</v>
      </c>
      <c r="AO195" s="3">
        <f t="shared" si="112"/>
        <v>86</v>
      </c>
      <c r="AP195" s="3">
        <f t="shared" si="113"/>
        <v>81</v>
      </c>
      <c r="AQ195" s="3">
        <f t="shared" si="114"/>
        <v>76</v>
      </c>
      <c r="AR195" s="3">
        <f t="shared" si="115"/>
        <v>70</v>
      </c>
      <c r="AS195" s="8"/>
      <c r="AT195" s="8"/>
      <c r="AU195" s="8"/>
      <c r="AV195" s="8"/>
      <c r="AW195" s="8"/>
      <c r="AX195" s="8"/>
      <c r="AY195" s="8"/>
      <c r="AZ195" s="8"/>
      <c r="BA195" s="8"/>
      <c r="BB195" s="8">
        <v>2</v>
      </c>
      <c r="BC195" s="8"/>
      <c r="BD195" s="8"/>
      <c r="BE195" s="8"/>
      <c r="BF195" s="8"/>
      <c r="BG195" s="8"/>
      <c r="BH195" s="8"/>
      <c r="BM195" s="35" t="s">
        <v>12</v>
      </c>
      <c r="BO195" s="35"/>
      <c r="BR195" s="9">
        <f t="shared" si="91"/>
        <v>3</v>
      </c>
      <c r="BS195" s="37">
        <f t="shared" si="92"/>
        <v>44440</v>
      </c>
      <c r="BT195" s="38">
        <f t="shared" si="117"/>
        <v>44559</v>
      </c>
      <c r="BU195" s="36">
        <f t="shared" si="93"/>
        <v>15</v>
      </c>
    </row>
    <row r="196" spans="2:73" ht="15">
      <c r="B196" s="16">
        <f t="shared" si="94"/>
        <v>44445</v>
      </c>
      <c r="C196" s="15" t="s">
        <v>1</v>
      </c>
      <c r="D196" s="17">
        <f t="shared" si="95"/>
        <v>44451</v>
      </c>
      <c r="E196" s="18">
        <f t="shared" si="96"/>
        <v>9</v>
      </c>
      <c r="F196" s="19">
        <f t="shared" si="97"/>
        <v>2021</v>
      </c>
      <c r="G196" s="9">
        <f t="shared" si="118"/>
        <v>17</v>
      </c>
      <c r="H196" s="8">
        <f t="shared" si="118"/>
        <v>95</v>
      </c>
      <c r="I196" s="9"/>
      <c r="J196" s="9"/>
      <c r="K196" s="9"/>
      <c r="L196" s="9"/>
      <c r="M196" s="9"/>
      <c r="N196" s="9"/>
      <c r="O196" s="12"/>
      <c r="P196" s="12"/>
      <c r="Q196" s="12"/>
      <c r="R196" s="12"/>
      <c r="S196" s="12"/>
      <c r="T196" s="12"/>
      <c r="V196" s="20">
        <f t="shared" ref="V196:V259" si="119">IF(I196&gt;0,I196,IF(O196=1,$B196+2,IF(O195=1,1,IF(O195=2,0,IF(V195=$G195,0,(IF(V195&gt;=1,V195+1,0)))))))</f>
        <v>13</v>
      </c>
      <c r="W196" s="20">
        <f t="shared" ref="W196:W259" si="120">IF(J196&gt;0,J196,IF(P196=1,$B196+2,IF(P195=1,1,IF(P195=2,0,IF(W195=$G195,0,(IF(W195&gt;=1,W195+1,0)))))))</f>
        <v>0</v>
      </c>
      <c r="X196" s="20">
        <f t="shared" ref="X196:X259" si="121">IF(K196&gt;0,K196,IF(Q196=1,$B196+2,IF(Q195=1,1,IF(Q195=2,0,IF(X195=$G195,0,(IF(X195&gt;=1,X195+1,0)))))))</f>
        <v>1</v>
      </c>
      <c r="Y196" s="20">
        <f t="shared" ref="Y196:Y259" si="122">IF(L196&gt;0,L196,IF(R196=1,$B196+2,IF(R195=1,1,IF(R195=2,0,IF(Y195=$G195,0,(IF(Y195&gt;=1,Y195+1,0)))))))</f>
        <v>6</v>
      </c>
      <c r="Z196" s="20">
        <f t="shared" ref="Z196:Z259" si="123">IF(M196&gt;0,M196,IF(S196=1,$B196+2,IF(S195=1,1,IF(S195=2,0,IF(Z195=$G195,0,(IF(Z195&gt;=1,Z195+1,0)))))))</f>
        <v>0</v>
      </c>
      <c r="AA196" s="20">
        <f t="shared" ref="AA196:AA259" si="124">IF(N196&gt;0,N196,IF(T196=1,$B196+2,IF(T195=1,1,IF(T195=2,0,IF(AA195=$G195,0,(IF(AA195&gt;=1,AA195+1,0)))))))</f>
        <v>0</v>
      </c>
      <c r="AC196" s="3">
        <f t="shared" si="100"/>
        <v>66</v>
      </c>
      <c r="AD196" s="3">
        <f t="shared" si="101"/>
        <v>61</v>
      </c>
      <c r="AE196" s="3">
        <f t="shared" si="102"/>
        <v>56</v>
      </c>
      <c r="AF196" s="3">
        <f t="shared" si="103"/>
        <v>50</v>
      </c>
      <c r="AG196" s="3">
        <f t="shared" si="104"/>
        <v>45</v>
      </c>
      <c r="AH196" s="3">
        <f t="shared" si="105"/>
        <v>40</v>
      </c>
      <c r="AI196" s="3">
        <f t="shared" si="106"/>
        <v>35</v>
      </c>
      <c r="AJ196" s="3">
        <f t="shared" si="107"/>
        <v>28</v>
      </c>
      <c r="AK196" s="3">
        <f t="shared" si="108"/>
        <v>23</v>
      </c>
      <c r="AL196" s="3">
        <f t="shared" si="109"/>
        <v>18</v>
      </c>
      <c r="AM196" s="3">
        <f t="shared" si="110"/>
        <v>0</v>
      </c>
      <c r="AN196" s="3">
        <f t="shared" si="111"/>
        <v>92</v>
      </c>
      <c r="AO196" s="3">
        <f t="shared" si="112"/>
        <v>87</v>
      </c>
      <c r="AP196" s="3">
        <f t="shared" si="113"/>
        <v>82</v>
      </c>
      <c r="AQ196" s="3">
        <f t="shared" si="114"/>
        <v>77</v>
      </c>
      <c r="AR196" s="3">
        <f t="shared" si="115"/>
        <v>71</v>
      </c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L196">
        <v>15</v>
      </c>
      <c r="BM196" s="35">
        <v>44445</v>
      </c>
      <c r="BO196" s="35">
        <f>B213</f>
        <v>44564</v>
      </c>
      <c r="BP196">
        <v>98</v>
      </c>
      <c r="BR196" s="9" t="str">
        <f t="shared" ref="BR196:BR259" si="125">IF(AND(V196&gt;0,V195=0),$V$2,IF(AND(W196&gt;0,W195=0),$W$2,IF(AND(X196&gt;0,X195=0),$X$2,IF(AND(Y196&gt;0,Y195=0),$Y$2,IF(AND(Z196&gt;0,Z195=0),$Z$2,IF(AND(AA196&gt;0,AA195=0),$AA$2,""))))))</f>
        <v/>
      </c>
      <c r="BS196" s="37" t="str">
        <f t="shared" ref="BS196:BS259" si="126">IF(OR(AND($V197=1,$V198=2),OR(AND($W197=1,$W198=2),OR(AND($X197=1,$X198=2),OR(AND($Y197=1,$Y198=2),OR(AND($Z197=1,$Z198),OR(AND($AA197=1,$AA198=2))))))),$B196+2,"")</f>
        <v/>
      </c>
      <c r="BT196" s="38" t="str">
        <f t="shared" si="117"/>
        <v/>
      </c>
      <c r="BU196" s="36" t="str">
        <f t="shared" ref="BU196:BU259" si="127">IF(AND(AC213&gt;0,AC212=0),$AC$2,IF(AND(AD213&gt;0,AD212=0),$AD$2,IF(AND(AE213&gt;0,AE212=0),$AE$2,IF(AND(AF213&gt;0,AF212=0),$AF$2,IF(AND(AG213&gt;0,AG212=0),$AG$2,IF(AND(AH213&gt;0,AH212=0),$AH$2,IF(AND(AI213&gt;0,AI212=0),$AI$2,IF(AND(AJ213&gt;0,AJ212=0),$AJ$2,IF(AND(AK213&gt;0,AK212=0),$AK$2,IF(AND(AL213&gt;0,AL212=0),$AL$2,IF(AND(AM213&gt;0,AM212=0),$AM$2,IF(AND(AN213&gt;0,AN212=0),$AN$2,IF(AND(AO213&gt;0,AO212=0),$AO$2,IF(AND(AP213&gt;0,AP212=0),$AP$2,IF(AND(AQ213&gt;0,AQ212=0),$AQ$2,IF(AND(AR213&gt;0,AR212=0),$AR$2,""))))))))))))))))</f>
        <v/>
      </c>
    </row>
    <row r="197" spans="2:73" ht="15">
      <c r="B197" s="16">
        <f t="shared" ref="B197:B260" si="128">D196+1</f>
        <v>44452</v>
      </c>
      <c r="C197" s="15" t="s">
        <v>1</v>
      </c>
      <c r="D197" s="17">
        <f t="shared" ref="D197:D260" si="129">B197+6</f>
        <v>44458</v>
      </c>
      <c r="E197" s="18">
        <f t="shared" ref="E197:E260" si="130">MONTH(B197)</f>
        <v>9</v>
      </c>
      <c r="F197" s="19">
        <f t="shared" ref="F197:F260" si="131">YEAR(D197)</f>
        <v>2021</v>
      </c>
      <c r="G197" s="9">
        <f t="shared" si="118"/>
        <v>17</v>
      </c>
      <c r="H197" s="8">
        <f t="shared" si="118"/>
        <v>95</v>
      </c>
      <c r="I197" s="9"/>
      <c r="J197" s="9"/>
      <c r="K197" s="9"/>
      <c r="L197" s="9"/>
      <c r="M197" s="9"/>
      <c r="N197" s="9"/>
      <c r="O197" s="12"/>
      <c r="P197" s="12"/>
      <c r="Q197" s="12"/>
      <c r="R197" s="12"/>
      <c r="S197" s="12"/>
      <c r="T197" s="12"/>
      <c r="V197" s="20">
        <f t="shared" si="119"/>
        <v>14</v>
      </c>
      <c r="W197" s="20">
        <f t="shared" si="120"/>
        <v>0</v>
      </c>
      <c r="X197" s="20">
        <f t="shared" si="121"/>
        <v>2</v>
      </c>
      <c r="Y197" s="20">
        <f t="shared" si="122"/>
        <v>7</v>
      </c>
      <c r="Z197" s="20">
        <f t="shared" si="123"/>
        <v>0</v>
      </c>
      <c r="AA197" s="20">
        <f t="shared" si="124"/>
        <v>0</v>
      </c>
      <c r="AC197" s="3">
        <f t="shared" si="100"/>
        <v>67</v>
      </c>
      <c r="AD197" s="3">
        <f t="shared" si="101"/>
        <v>62</v>
      </c>
      <c r="AE197" s="3">
        <f t="shared" si="102"/>
        <v>57</v>
      </c>
      <c r="AF197" s="3">
        <f t="shared" si="103"/>
        <v>51</v>
      </c>
      <c r="AG197" s="3">
        <f t="shared" si="104"/>
        <v>46</v>
      </c>
      <c r="AH197" s="3">
        <f t="shared" si="105"/>
        <v>41</v>
      </c>
      <c r="AI197" s="3">
        <f t="shared" si="106"/>
        <v>36</v>
      </c>
      <c r="AJ197" s="3">
        <f t="shared" si="107"/>
        <v>29</v>
      </c>
      <c r="AK197" s="3">
        <f t="shared" si="108"/>
        <v>24</v>
      </c>
      <c r="AL197" s="3">
        <f t="shared" si="109"/>
        <v>19</v>
      </c>
      <c r="AM197" s="3">
        <f t="shared" si="110"/>
        <v>0</v>
      </c>
      <c r="AN197" s="3">
        <f t="shared" si="111"/>
        <v>93</v>
      </c>
      <c r="AO197" s="3">
        <f t="shared" si="112"/>
        <v>88</v>
      </c>
      <c r="AP197" s="3">
        <f t="shared" si="113"/>
        <v>83</v>
      </c>
      <c r="AQ197" s="3">
        <f t="shared" si="114"/>
        <v>78</v>
      </c>
      <c r="AR197" s="3">
        <f t="shared" si="115"/>
        <v>72</v>
      </c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M197" s="35" t="s">
        <v>12</v>
      </c>
      <c r="BO197" s="35"/>
      <c r="BR197" s="9" t="str">
        <f t="shared" si="125"/>
        <v/>
      </c>
      <c r="BS197" s="37" t="str">
        <f t="shared" si="126"/>
        <v/>
      </c>
      <c r="BT197" s="38" t="str">
        <f t="shared" si="117"/>
        <v/>
      </c>
      <c r="BU197" s="36" t="str">
        <f t="shared" si="127"/>
        <v/>
      </c>
    </row>
    <row r="198" spans="2:73" ht="15">
      <c r="B198" s="16">
        <f t="shared" si="128"/>
        <v>44459</v>
      </c>
      <c r="C198" s="15" t="s">
        <v>1</v>
      </c>
      <c r="D198" s="17">
        <f t="shared" si="129"/>
        <v>44465</v>
      </c>
      <c r="E198" s="18">
        <f t="shared" si="130"/>
        <v>9</v>
      </c>
      <c r="F198" s="19">
        <f t="shared" si="131"/>
        <v>2021</v>
      </c>
      <c r="G198" s="9">
        <f t="shared" ref="G198:H213" si="132">G197</f>
        <v>17</v>
      </c>
      <c r="H198" s="8">
        <f t="shared" si="132"/>
        <v>95</v>
      </c>
      <c r="I198" s="9"/>
      <c r="J198" s="9"/>
      <c r="K198" s="9"/>
      <c r="L198" s="9"/>
      <c r="M198" s="9"/>
      <c r="N198" s="9"/>
      <c r="O198" s="12"/>
      <c r="P198" s="12"/>
      <c r="Q198" s="12"/>
      <c r="R198" s="12"/>
      <c r="S198" s="12"/>
      <c r="T198" s="12"/>
      <c r="V198" s="20">
        <f t="shared" si="119"/>
        <v>15</v>
      </c>
      <c r="W198" s="20">
        <f t="shared" si="120"/>
        <v>0</v>
      </c>
      <c r="X198" s="20">
        <f t="shared" si="121"/>
        <v>3</v>
      </c>
      <c r="Y198" s="20">
        <f t="shared" si="122"/>
        <v>8</v>
      </c>
      <c r="Z198" s="20">
        <f t="shared" si="123"/>
        <v>0</v>
      </c>
      <c r="AA198" s="20">
        <f t="shared" si="124"/>
        <v>0</v>
      </c>
      <c r="AC198" s="3">
        <f t="shared" si="100"/>
        <v>68</v>
      </c>
      <c r="AD198" s="3">
        <f t="shared" si="101"/>
        <v>63</v>
      </c>
      <c r="AE198" s="3">
        <f t="shared" si="102"/>
        <v>58</v>
      </c>
      <c r="AF198" s="3">
        <f t="shared" si="103"/>
        <v>52</v>
      </c>
      <c r="AG198" s="3">
        <f t="shared" si="104"/>
        <v>47</v>
      </c>
      <c r="AH198" s="3">
        <f t="shared" si="105"/>
        <v>42</v>
      </c>
      <c r="AI198" s="3">
        <f t="shared" si="106"/>
        <v>37</v>
      </c>
      <c r="AJ198" s="3">
        <f t="shared" si="107"/>
        <v>30</v>
      </c>
      <c r="AK198" s="3">
        <f t="shared" si="108"/>
        <v>25</v>
      </c>
      <c r="AL198" s="3">
        <f t="shared" si="109"/>
        <v>20</v>
      </c>
      <c r="AM198" s="3">
        <f t="shared" si="110"/>
        <v>0</v>
      </c>
      <c r="AN198" s="3">
        <f t="shared" si="111"/>
        <v>94</v>
      </c>
      <c r="AO198" s="3">
        <f t="shared" si="112"/>
        <v>89</v>
      </c>
      <c r="AP198" s="3">
        <f t="shared" si="113"/>
        <v>84</v>
      </c>
      <c r="AQ198" s="3">
        <f t="shared" si="114"/>
        <v>79</v>
      </c>
      <c r="AR198" s="3">
        <f t="shared" si="115"/>
        <v>73</v>
      </c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M198" s="35" t="s">
        <v>12</v>
      </c>
      <c r="BO198" s="35"/>
      <c r="BR198" s="9" t="str">
        <f t="shared" si="125"/>
        <v/>
      </c>
      <c r="BS198" s="37" t="str">
        <f t="shared" si="126"/>
        <v/>
      </c>
      <c r="BT198" s="38" t="str">
        <f t="shared" si="117"/>
        <v/>
      </c>
      <c r="BU198" s="36" t="str">
        <f t="shared" si="127"/>
        <v/>
      </c>
    </row>
    <row r="199" spans="2:73" ht="15">
      <c r="B199" s="16">
        <f t="shared" si="128"/>
        <v>44466</v>
      </c>
      <c r="C199" s="15" t="s">
        <v>1</v>
      </c>
      <c r="D199" s="17">
        <f t="shared" si="129"/>
        <v>44472</v>
      </c>
      <c r="E199" s="18">
        <f t="shared" si="130"/>
        <v>9</v>
      </c>
      <c r="F199" s="19">
        <f t="shared" si="131"/>
        <v>2021</v>
      </c>
      <c r="G199" s="9">
        <f t="shared" si="132"/>
        <v>17</v>
      </c>
      <c r="H199" s="8">
        <f t="shared" si="132"/>
        <v>95</v>
      </c>
      <c r="I199" s="9"/>
      <c r="J199" s="9"/>
      <c r="K199" s="9"/>
      <c r="L199" s="9"/>
      <c r="M199" s="9"/>
      <c r="N199" s="9"/>
      <c r="O199" s="12"/>
      <c r="P199" s="12"/>
      <c r="Q199" s="12"/>
      <c r="R199" s="12"/>
      <c r="S199" s="12"/>
      <c r="T199" s="12"/>
      <c r="V199" s="20">
        <f t="shared" si="119"/>
        <v>16</v>
      </c>
      <c r="W199" s="20">
        <f t="shared" si="120"/>
        <v>0</v>
      </c>
      <c r="X199" s="20">
        <f t="shared" si="121"/>
        <v>4</v>
      </c>
      <c r="Y199" s="20">
        <f t="shared" si="122"/>
        <v>9</v>
      </c>
      <c r="Z199" s="20">
        <f t="shared" si="123"/>
        <v>0</v>
      </c>
      <c r="AA199" s="20">
        <f t="shared" si="124"/>
        <v>0</v>
      </c>
      <c r="AC199" s="3">
        <f t="shared" si="100"/>
        <v>69</v>
      </c>
      <c r="AD199" s="3">
        <f t="shared" si="101"/>
        <v>64</v>
      </c>
      <c r="AE199" s="3">
        <f t="shared" si="102"/>
        <v>59</v>
      </c>
      <c r="AF199" s="3">
        <f t="shared" si="103"/>
        <v>53</v>
      </c>
      <c r="AG199" s="3">
        <f t="shared" si="104"/>
        <v>48</v>
      </c>
      <c r="AH199" s="3">
        <f t="shared" si="105"/>
        <v>43</v>
      </c>
      <c r="AI199" s="3">
        <f t="shared" si="106"/>
        <v>38</v>
      </c>
      <c r="AJ199" s="3">
        <f t="shared" si="107"/>
        <v>31</v>
      </c>
      <c r="AK199" s="3">
        <f t="shared" si="108"/>
        <v>26</v>
      </c>
      <c r="AL199" s="3">
        <f t="shared" si="109"/>
        <v>21</v>
      </c>
      <c r="AM199" s="3">
        <f t="shared" si="110"/>
        <v>0</v>
      </c>
      <c r="AN199" s="3">
        <f t="shared" si="111"/>
        <v>95</v>
      </c>
      <c r="AO199" s="3">
        <f t="shared" si="112"/>
        <v>90</v>
      </c>
      <c r="AP199" s="3">
        <f t="shared" si="113"/>
        <v>85</v>
      </c>
      <c r="AQ199" s="3">
        <f t="shared" si="114"/>
        <v>80</v>
      </c>
      <c r="AR199" s="3">
        <f t="shared" si="115"/>
        <v>74</v>
      </c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M199" s="35" t="s">
        <v>12</v>
      </c>
      <c r="BO199" s="35"/>
      <c r="BR199" s="9" t="str">
        <f t="shared" si="125"/>
        <v/>
      </c>
      <c r="BS199" s="37" t="str">
        <f t="shared" si="126"/>
        <v/>
      </c>
      <c r="BT199" s="38" t="str">
        <f t="shared" si="117"/>
        <v/>
      </c>
      <c r="BU199" s="36" t="str">
        <f t="shared" si="127"/>
        <v/>
      </c>
    </row>
    <row r="200" spans="2:73" ht="15">
      <c r="B200" s="16">
        <f t="shared" si="128"/>
        <v>44473</v>
      </c>
      <c r="C200" s="15" t="s">
        <v>1</v>
      </c>
      <c r="D200" s="17">
        <f t="shared" si="129"/>
        <v>44479</v>
      </c>
      <c r="E200" s="18">
        <f t="shared" si="130"/>
        <v>10</v>
      </c>
      <c r="F200" s="19">
        <f t="shared" si="131"/>
        <v>2021</v>
      </c>
      <c r="G200" s="9">
        <f t="shared" si="132"/>
        <v>17</v>
      </c>
      <c r="H200" s="8">
        <f t="shared" si="132"/>
        <v>95</v>
      </c>
      <c r="I200" s="9"/>
      <c r="J200" s="9"/>
      <c r="K200" s="9"/>
      <c r="L200" s="9"/>
      <c r="M200" s="9"/>
      <c r="N200" s="9"/>
      <c r="O200" s="12"/>
      <c r="P200" s="12">
        <v>1</v>
      </c>
      <c r="Q200" s="12"/>
      <c r="R200" s="12"/>
      <c r="S200" s="12"/>
      <c r="T200" s="12"/>
      <c r="V200" s="20">
        <f t="shared" si="119"/>
        <v>17</v>
      </c>
      <c r="W200" s="20">
        <f t="shared" si="120"/>
        <v>44475</v>
      </c>
      <c r="X200" s="20">
        <f t="shared" si="121"/>
        <v>5</v>
      </c>
      <c r="Y200" s="20">
        <f t="shared" si="122"/>
        <v>10</v>
      </c>
      <c r="Z200" s="20">
        <f t="shared" si="123"/>
        <v>0</v>
      </c>
      <c r="AA200" s="20">
        <f t="shared" si="124"/>
        <v>0</v>
      </c>
      <c r="AC200" s="3">
        <f t="shared" si="100"/>
        <v>70</v>
      </c>
      <c r="AD200" s="3">
        <f t="shared" si="101"/>
        <v>65</v>
      </c>
      <c r="AE200" s="3">
        <f t="shared" si="102"/>
        <v>60</v>
      </c>
      <c r="AF200" s="3">
        <f t="shared" si="103"/>
        <v>54</v>
      </c>
      <c r="AG200" s="3">
        <f t="shared" si="104"/>
        <v>49</v>
      </c>
      <c r="AH200" s="3">
        <f t="shared" si="105"/>
        <v>44</v>
      </c>
      <c r="AI200" s="3">
        <f t="shared" si="106"/>
        <v>39</v>
      </c>
      <c r="AJ200" s="3">
        <f t="shared" si="107"/>
        <v>32</v>
      </c>
      <c r="AK200" s="3">
        <f t="shared" si="108"/>
        <v>27</v>
      </c>
      <c r="AL200" s="3">
        <f t="shared" si="109"/>
        <v>22</v>
      </c>
      <c r="AM200" s="3">
        <f t="shared" si="110"/>
        <v>17</v>
      </c>
      <c r="AN200" s="3">
        <f t="shared" si="111"/>
        <v>0</v>
      </c>
      <c r="AO200" s="3">
        <f t="shared" si="112"/>
        <v>91</v>
      </c>
      <c r="AP200" s="3">
        <f t="shared" si="113"/>
        <v>86</v>
      </c>
      <c r="AQ200" s="3">
        <f t="shared" si="114"/>
        <v>81</v>
      </c>
      <c r="AR200" s="3">
        <f t="shared" si="115"/>
        <v>75</v>
      </c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>
        <v>1</v>
      </c>
      <c r="BD200" s="8"/>
      <c r="BE200" s="8"/>
      <c r="BF200" s="8"/>
      <c r="BG200" s="8"/>
      <c r="BH200" s="8"/>
      <c r="BM200" s="35" t="s">
        <v>12</v>
      </c>
      <c r="BO200" s="35"/>
      <c r="BR200" s="9">
        <f t="shared" si="125"/>
        <v>2</v>
      </c>
      <c r="BS200" s="37">
        <f t="shared" si="126"/>
        <v>44475</v>
      </c>
      <c r="BT200" s="38">
        <f t="shared" si="117"/>
        <v>44594</v>
      </c>
      <c r="BU200" s="36">
        <f t="shared" si="127"/>
        <v>7</v>
      </c>
    </row>
    <row r="201" spans="2:73" ht="15">
      <c r="B201" s="16">
        <f t="shared" si="128"/>
        <v>44480</v>
      </c>
      <c r="C201" s="15" t="s">
        <v>1</v>
      </c>
      <c r="D201" s="17">
        <f t="shared" si="129"/>
        <v>44486</v>
      </c>
      <c r="E201" s="18">
        <f t="shared" si="130"/>
        <v>10</v>
      </c>
      <c r="F201" s="19">
        <f t="shared" si="131"/>
        <v>2021</v>
      </c>
      <c r="G201" s="9">
        <f t="shared" si="132"/>
        <v>17</v>
      </c>
      <c r="H201" s="8">
        <f t="shared" si="132"/>
        <v>95</v>
      </c>
      <c r="I201" s="9"/>
      <c r="J201" s="9"/>
      <c r="K201" s="9"/>
      <c r="L201" s="9"/>
      <c r="M201" s="9"/>
      <c r="N201" s="9"/>
      <c r="O201" s="12"/>
      <c r="P201" s="12"/>
      <c r="Q201" s="12"/>
      <c r="R201" s="12"/>
      <c r="S201" s="12"/>
      <c r="T201" s="12"/>
      <c r="V201" s="20">
        <f t="shared" si="119"/>
        <v>0</v>
      </c>
      <c r="W201" s="20">
        <f t="shared" si="120"/>
        <v>1</v>
      </c>
      <c r="X201" s="20">
        <f t="shared" si="121"/>
        <v>6</v>
      </c>
      <c r="Y201" s="20">
        <f t="shared" si="122"/>
        <v>11</v>
      </c>
      <c r="Z201" s="20">
        <f t="shared" si="123"/>
        <v>0</v>
      </c>
      <c r="AA201" s="20">
        <f t="shared" si="124"/>
        <v>0</v>
      </c>
      <c r="AC201" s="3">
        <f t="shared" si="100"/>
        <v>71</v>
      </c>
      <c r="AD201" s="3">
        <f t="shared" si="101"/>
        <v>66</v>
      </c>
      <c r="AE201" s="3">
        <f t="shared" si="102"/>
        <v>61</v>
      </c>
      <c r="AF201" s="3">
        <f t="shared" si="103"/>
        <v>55</v>
      </c>
      <c r="AG201" s="3">
        <f t="shared" si="104"/>
        <v>50</v>
      </c>
      <c r="AH201" s="3">
        <f t="shared" si="105"/>
        <v>45</v>
      </c>
      <c r="AI201" s="3">
        <f t="shared" si="106"/>
        <v>40</v>
      </c>
      <c r="AJ201" s="3">
        <f t="shared" si="107"/>
        <v>33</v>
      </c>
      <c r="AK201" s="3">
        <f t="shared" si="108"/>
        <v>28</v>
      </c>
      <c r="AL201" s="3">
        <f t="shared" si="109"/>
        <v>23</v>
      </c>
      <c r="AM201" s="3">
        <f t="shared" si="110"/>
        <v>18</v>
      </c>
      <c r="AN201" s="3">
        <f t="shared" si="111"/>
        <v>0</v>
      </c>
      <c r="AO201" s="3">
        <f t="shared" si="112"/>
        <v>92</v>
      </c>
      <c r="AP201" s="3">
        <f t="shared" si="113"/>
        <v>87</v>
      </c>
      <c r="AQ201" s="3">
        <f t="shared" si="114"/>
        <v>82</v>
      </c>
      <c r="AR201" s="3">
        <f t="shared" si="115"/>
        <v>76</v>
      </c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L201">
        <v>7</v>
      </c>
      <c r="BM201" s="35">
        <v>44480</v>
      </c>
      <c r="BO201" s="35">
        <f>B218</f>
        <v>44599</v>
      </c>
      <c r="BP201">
        <v>98</v>
      </c>
      <c r="BR201" s="9" t="str">
        <f t="shared" si="125"/>
        <v/>
      </c>
      <c r="BS201" s="37" t="str">
        <f t="shared" si="126"/>
        <v/>
      </c>
      <c r="BT201" s="38" t="str">
        <f t="shared" si="117"/>
        <v/>
      </c>
      <c r="BU201" s="36" t="str">
        <f t="shared" si="127"/>
        <v/>
      </c>
    </row>
    <row r="202" spans="2:73" ht="15">
      <c r="B202" s="16">
        <f t="shared" si="128"/>
        <v>44487</v>
      </c>
      <c r="C202" s="15" t="s">
        <v>1</v>
      </c>
      <c r="D202" s="17">
        <f t="shared" si="129"/>
        <v>44493</v>
      </c>
      <c r="E202" s="18">
        <f t="shared" si="130"/>
        <v>10</v>
      </c>
      <c r="F202" s="19">
        <f t="shared" si="131"/>
        <v>2021</v>
      </c>
      <c r="G202" s="9">
        <f t="shared" si="132"/>
        <v>17</v>
      </c>
      <c r="H202" s="8">
        <f t="shared" si="132"/>
        <v>95</v>
      </c>
      <c r="I202" s="9"/>
      <c r="J202" s="9"/>
      <c r="K202" s="9"/>
      <c r="L202" s="9"/>
      <c r="M202" s="9"/>
      <c r="N202" s="9"/>
      <c r="O202" s="12"/>
      <c r="P202" s="12"/>
      <c r="Q202" s="12"/>
      <c r="R202" s="12"/>
      <c r="S202" s="12"/>
      <c r="T202" s="12"/>
      <c r="V202" s="20">
        <f t="shared" si="119"/>
        <v>0</v>
      </c>
      <c r="W202" s="20">
        <f t="shared" si="120"/>
        <v>2</v>
      </c>
      <c r="X202" s="20">
        <f t="shared" si="121"/>
        <v>7</v>
      </c>
      <c r="Y202" s="20">
        <f t="shared" si="122"/>
        <v>12</v>
      </c>
      <c r="Z202" s="20">
        <f t="shared" si="123"/>
        <v>0</v>
      </c>
      <c r="AA202" s="20">
        <f t="shared" si="124"/>
        <v>0</v>
      </c>
      <c r="AC202" s="3">
        <f t="shared" si="100"/>
        <v>72</v>
      </c>
      <c r="AD202" s="3">
        <f t="shared" si="101"/>
        <v>67</v>
      </c>
      <c r="AE202" s="3">
        <f t="shared" si="102"/>
        <v>62</v>
      </c>
      <c r="AF202" s="3">
        <f t="shared" si="103"/>
        <v>56</v>
      </c>
      <c r="AG202" s="3">
        <f t="shared" si="104"/>
        <v>51</v>
      </c>
      <c r="AH202" s="3">
        <f t="shared" si="105"/>
        <v>46</v>
      </c>
      <c r="AI202" s="3">
        <f t="shared" si="106"/>
        <v>41</v>
      </c>
      <c r="AJ202" s="3">
        <f t="shared" si="107"/>
        <v>34</v>
      </c>
      <c r="AK202" s="3">
        <f t="shared" si="108"/>
        <v>29</v>
      </c>
      <c r="AL202" s="3">
        <f t="shared" si="109"/>
        <v>24</v>
      </c>
      <c r="AM202" s="3">
        <f t="shared" si="110"/>
        <v>19</v>
      </c>
      <c r="AN202" s="3">
        <f t="shared" si="111"/>
        <v>0</v>
      </c>
      <c r="AO202" s="3">
        <f t="shared" si="112"/>
        <v>93</v>
      </c>
      <c r="AP202" s="3">
        <f t="shared" si="113"/>
        <v>88</v>
      </c>
      <c r="AQ202" s="3">
        <f t="shared" si="114"/>
        <v>83</v>
      </c>
      <c r="AR202" s="3">
        <f t="shared" si="115"/>
        <v>77</v>
      </c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M202" s="35" t="s">
        <v>12</v>
      </c>
      <c r="BO202" s="35"/>
      <c r="BR202" s="9" t="str">
        <f t="shared" si="125"/>
        <v/>
      </c>
      <c r="BS202" s="37" t="str">
        <f t="shared" si="126"/>
        <v/>
      </c>
      <c r="BT202" s="38" t="str">
        <f t="shared" si="117"/>
        <v/>
      </c>
      <c r="BU202" s="36" t="str">
        <f t="shared" si="127"/>
        <v/>
      </c>
    </row>
    <row r="203" spans="2:73" ht="15">
      <c r="B203" s="16">
        <f t="shared" si="128"/>
        <v>44494</v>
      </c>
      <c r="C203" s="15" t="s">
        <v>1</v>
      </c>
      <c r="D203" s="17">
        <f t="shared" si="129"/>
        <v>44500</v>
      </c>
      <c r="E203" s="18">
        <f t="shared" si="130"/>
        <v>10</v>
      </c>
      <c r="F203" s="19">
        <f t="shared" si="131"/>
        <v>2021</v>
      </c>
      <c r="G203" s="9">
        <f t="shared" si="132"/>
        <v>17</v>
      </c>
      <c r="H203" s="8">
        <f t="shared" si="132"/>
        <v>95</v>
      </c>
      <c r="I203" s="9"/>
      <c r="J203" s="9"/>
      <c r="K203" s="9"/>
      <c r="L203" s="9"/>
      <c r="M203" s="9"/>
      <c r="N203" s="9"/>
      <c r="O203" s="12"/>
      <c r="P203" s="12"/>
      <c r="Q203" s="12"/>
      <c r="R203" s="12"/>
      <c r="S203" s="12"/>
      <c r="T203" s="12"/>
      <c r="V203" s="20">
        <f t="shared" si="119"/>
        <v>0</v>
      </c>
      <c r="W203" s="20">
        <f t="shared" si="120"/>
        <v>3</v>
      </c>
      <c r="X203" s="20">
        <f t="shared" si="121"/>
        <v>8</v>
      </c>
      <c r="Y203" s="20">
        <f t="shared" si="122"/>
        <v>13</v>
      </c>
      <c r="Z203" s="20">
        <f t="shared" si="123"/>
        <v>0</v>
      </c>
      <c r="AA203" s="20">
        <f t="shared" si="124"/>
        <v>0</v>
      </c>
      <c r="AC203" s="3">
        <f t="shared" si="100"/>
        <v>73</v>
      </c>
      <c r="AD203" s="3">
        <f t="shared" si="101"/>
        <v>68</v>
      </c>
      <c r="AE203" s="3">
        <f t="shared" si="102"/>
        <v>63</v>
      </c>
      <c r="AF203" s="3">
        <f t="shared" si="103"/>
        <v>57</v>
      </c>
      <c r="AG203" s="3">
        <f t="shared" si="104"/>
        <v>52</v>
      </c>
      <c r="AH203" s="3">
        <f t="shared" si="105"/>
        <v>47</v>
      </c>
      <c r="AI203" s="3">
        <f t="shared" si="106"/>
        <v>42</v>
      </c>
      <c r="AJ203" s="3">
        <f t="shared" si="107"/>
        <v>35</v>
      </c>
      <c r="AK203" s="3">
        <f t="shared" si="108"/>
        <v>30</v>
      </c>
      <c r="AL203" s="3">
        <f t="shared" si="109"/>
        <v>25</v>
      </c>
      <c r="AM203" s="3">
        <f t="shared" si="110"/>
        <v>20</v>
      </c>
      <c r="AN203" s="3">
        <f t="shared" si="111"/>
        <v>0</v>
      </c>
      <c r="AO203" s="3">
        <f t="shared" si="112"/>
        <v>94</v>
      </c>
      <c r="AP203" s="3">
        <f t="shared" si="113"/>
        <v>89</v>
      </c>
      <c r="AQ203" s="3">
        <f t="shared" si="114"/>
        <v>84</v>
      </c>
      <c r="AR203" s="3">
        <f t="shared" si="115"/>
        <v>78</v>
      </c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M203" s="35" t="s">
        <v>12</v>
      </c>
      <c r="BO203" s="35"/>
      <c r="BR203" s="9" t="str">
        <f t="shared" si="125"/>
        <v/>
      </c>
      <c r="BS203" s="37" t="str">
        <f t="shared" si="126"/>
        <v/>
      </c>
      <c r="BT203" s="38" t="str">
        <f t="shared" si="117"/>
        <v/>
      </c>
      <c r="BU203" s="36" t="str">
        <f t="shared" si="127"/>
        <v/>
      </c>
    </row>
    <row r="204" spans="2:73" ht="15">
      <c r="B204" s="16">
        <f t="shared" si="128"/>
        <v>44501</v>
      </c>
      <c r="C204" s="15" t="s">
        <v>1</v>
      </c>
      <c r="D204" s="17">
        <f t="shared" si="129"/>
        <v>44507</v>
      </c>
      <c r="E204" s="18">
        <f t="shared" si="130"/>
        <v>11</v>
      </c>
      <c r="F204" s="19">
        <f t="shared" si="131"/>
        <v>2021</v>
      </c>
      <c r="G204" s="9">
        <f t="shared" si="132"/>
        <v>17</v>
      </c>
      <c r="H204" s="8">
        <f t="shared" si="132"/>
        <v>95</v>
      </c>
      <c r="I204" s="9"/>
      <c r="J204" s="9"/>
      <c r="K204" s="9"/>
      <c r="L204" s="9"/>
      <c r="M204" s="9"/>
      <c r="N204" s="9"/>
      <c r="O204" s="12"/>
      <c r="P204" s="12"/>
      <c r="Q204" s="12"/>
      <c r="R204" s="12"/>
      <c r="S204" s="12"/>
      <c r="T204" s="12"/>
      <c r="V204" s="20">
        <f t="shared" si="119"/>
        <v>0</v>
      </c>
      <c r="W204" s="20">
        <f t="shared" si="120"/>
        <v>4</v>
      </c>
      <c r="X204" s="20">
        <f t="shared" si="121"/>
        <v>9</v>
      </c>
      <c r="Y204" s="20">
        <f t="shared" si="122"/>
        <v>14</v>
      </c>
      <c r="Z204" s="20">
        <f t="shared" si="123"/>
        <v>0</v>
      </c>
      <c r="AA204" s="20">
        <f t="shared" si="124"/>
        <v>0</v>
      </c>
      <c r="AC204" s="3">
        <f t="shared" si="100"/>
        <v>74</v>
      </c>
      <c r="AD204" s="3">
        <f t="shared" si="101"/>
        <v>69</v>
      </c>
      <c r="AE204" s="3">
        <f t="shared" si="102"/>
        <v>64</v>
      </c>
      <c r="AF204" s="3">
        <f t="shared" si="103"/>
        <v>58</v>
      </c>
      <c r="AG204" s="3">
        <f t="shared" si="104"/>
        <v>53</v>
      </c>
      <c r="AH204" s="3">
        <f t="shared" si="105"/>
        <v>48</v>
      </c>
      <c r="AI204" s="3">
        <f t="shared" si="106"/>
        <v>43</v>
      </c>
      <c r="AJ204" s="3">
        <f t="shared" si="107"/>
        <v>36</v>
      </c>
      <c r="AK204" s="3">
        <f t="shared" si="108"/>
        <v>31</v>
      </c>
      <c r="AL204" s="3">
        <f t="shared" si="109"/>
        <v>26</v>
      </c>
      <c r="AM204" s="3">
        <f t="shared" si="110"/>
        <v>21</v>
      </c>
      <c r="AN204" s="3">
        <f t="shared" si="111"/>
        <v>0</v>
      </c>
      <c r="AO204" s="3">
        <f t="shared" si="112"/>
        <v>95</v>
      </c>
      <c r="AP204" s="3">
        <f t="shared" si="113"/>
        <v>90</v>
      </c>
      <c r="AQ204" s="3">
        <f t="shared" si="114"/>
        <v>85</v>
      </c>
      <c r="AR204" s="3">
        <f t="shared" si="115"/>
        <v>79</v>
      </c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M204" s="35" t="s">
        <v>12</v>
      </c>
      <c r="BO204" s="35"/>
      <c r="BR204" s="9" t="str">
        <f t="shared" si="125"/>
        <v/>
      </c>
      <c r="BS204" s="37" t="str">
        <f t="shared" si="126"/>
        <v/>
      </c>
      <c r="BT204" s="38" t="str">
        <f t="shared" si="117"/>
        <v/>
      </c>
      <c r="BU204" s="36" t="str">
        <f t="shared" si="127"/>
        <v/>
      </c>
    </row>
    <row r="205" spans="2:73" ht="15">
      <c r="B205" s="16">
        <f t="shared" si="128"/>
        <v>44508</v>
      </c>
      <c r="C205" s="15" t="s">
        <v>1</v>
      </c>
      <c r="D205" s="17">
        <f t="shared" si="129"/>
        <v>44514</v>
      </c>
      <c r="E205" s="18">
        <f t="shared" si="130"/>
        <v>11</v>
      </c>
      <c r="F205" s="19">
        <f t="shared" si="131"/>
        <v>2021</v>
      </c>
      <c r="G205" s="9">
        <f t="shared" si="132"/>
        <v>17</v>
      </c>
      <c r="H205" s="8">
        <f t="shared" si="132"/>
        <v>95</v>
      </c>
      <c r="I205" s="9"/>
      <c r="J205" s="9"/>
      <c r="K205" s="9"/>
      <c r="L205" s="9"/>
      <c r="M205" s="9"/>
      <c r="N205" s="9"/>
      <c r="O205" s="12">
        <v>1</v>
      </c>
      <c r="P205" s="12"/>
      <c r="Q205" s="12"/>
      <c r="R205" s="12"/>
      <c r="S205" s="12"/>
      <c r="T205" s="12"/>
      <c r="V205" s="20">
        <f t="shared" si="119"/>
        <v>44510</v>
      </c>
      <c r="W205" s="20">
        <f t="shared" si="120"/>
        <v>5</v>
      </c>
      <c r="X205" s="20">
        <f t="shared" si="121"/>
        <v>10</v>
      </c>
      <c r="Y205" s="20">
        <f t="shared" si="122"/>
        <v>15</v>
      </c>
      <c r="Z205" s="20">
        <f t="shared" si="123"/>
        <v>0</v>
      </c>
      <c r="AA205" s="20">
        <f t="shared" si="124"/>
        <v>0</v>
      </c>
      <c r="AC205" s="3">
        <f t="shared" si="100"/>
        <v>75</v>
      </c>
      <c r="AD205" s="3">
        <f t="shared" si="101"/>
        <v>70</v>
      </c>
      <c r="AE205" s="3">
        <f t="shared" si="102"/>
        <v>65</v>
      </c>
      <c r="AF205" s="3">
        <f t="shared" si="103"/>
        <v>59</v>
      </c>
      <c r="AG205" s="3">
        <f t="shared" si="104"/>
        <v>54</v>
      </c>
      <c r="AH205" s="3">
        <f t="shared" si="105"/>
        <v>49</v>
      </c>
      <c r="AI205" s="3">
        <f t="shared" si="106"/>
        <v>44</v>
      </c>
      <c r="AJ205" s="3">
        <f t="shared" si="107"/>
        <v>37</v>
      </c>
      <c r="AK205" s="3">
        <f t="shared" si="108"/>
        <v>32</v>
      </c>
      <c r="AL205" s="3">
        <f t="shared" si="109"/>
        <v>27</v>
      </c>
      <c r="AM205" s="3">
        <f t="shared" si="110"/>
        <v>22</v>
      </c>
      <c r="AN205" s="3">
        <f t="shared" si="111"/>
        <v>0</v>
      </c>
      <c r="AO205" s="3">
        <f t="shared" si="112"/>
        <v>0</v>
      </c>
      <c r="AP205" s="3">
        <f t="shared" si="113"/>
        <v>91</v>
      </c>
      <c r="AQ205" s="3">
        <f t="shared" si="114"/>
        <v>86</v>
      </c>
      <c r="AR205" s="3">
        <f t="shared" si="115"/>
        <v>80</v>
      </c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M205" s="35" t="s">
        <v>12</v>
      </c>
      <c r="BO205" s="35"/>
      <c r="BR205" s="9">
        <f t="shared" si="125"/>
        <v>1</v>
      </c>
      <c r="BS205" s="37">
        <f t="shared" si="126"/>
        <v>44510</v>
      </c>
      <c r="BT205" s="38">
        <f t="shared" si="117"/>
        <v>44629</v>
      </c>
      <c r="BU205" s="36">
        <f t="shared" si="127"/>
        <v>8</v>
      </c>
    </row>
    <row r="206" spans="2:73" ht="15">
      <c r="B206" s="16">
        <f t="shared" si="128"/>
        <v>44515</v>
      </c>
      <c r="C206" s="15" t="s">
        <v>1</v>
      </c>
      <c r="D206" s="17">
        <f t="shared" si="129"/>
        <v>44521</v>
      </c>
      <c r="E206" s="18">
        <f t="shared" si="130"/>
        <v>11</v>
      </c>
      <c r="F206" s="19">
        <f t="shared" si="131"/>
        <v>2021</v>
      </c>
      <c r="G206" s="9">
        <f t="shared" si="132"/>
        <v>17</v>
      </c>
      <c r="H206" s="8">
        <f t="shared" si="132"/>
        <v>95</v>
      </c>
      <c r="I206" s="9"/>
      <c r="J206" s="9"/>
      <c r="K206" s="9"/>
      <c r="L206" s="9"/>
      <c r="M206" s="9"/>
      <c r="N206" s="9"/>
      <c r="O206" s="12"/>
      <c r="P206" s="12"/>
      <c r="Q206" s="12"/>
      <c r="R206" s="12"/>
      <c r="S206" s="12"/>
      <c r="T206" s="12"/>
      <c r="V206" s="20">
        <f t="shared" si="119"/>
        <v>1</v>
      </c>
      <c r="W206" s="20">
        <f t="shared" si="120"/>
        <v>6</v>
      </c>
      <c r="X206" s="20">
        <f t="shared" si="121"/>
        <v>11</v>
      </c>
      <c r="Y206" s="20">
        <f t="shared" si="122"/>
        <v>16</v>
      </c>
      <c r="Z206" s="20">
        <f t="shared" si="123"/>
        <v>0</v>
      </c>
      <c r="AA206" s="20">
        <f t="shared" si="124"/>
        <v>0</v>
      </c>
      <c r="AC206" s="3">
        <f t="shared" si="100"/>
        <v>76</v>
      </c>
      <c r="AD206" s="3">
        <f t="shared" si="101"/>
        <v>71</v>
      </c>
      <c r="AE206" s="3">
        <f t="shared" si="102"/>
        <v>66</v>
      </c>
      <c r="AF206" s="3">
        <f t="shared" si="103"/>
        <v>60</v>
      </c>
      <c r="AG206" s="3">
        <f t="shared" si="104"/>
        <v>55</v>
      </c>
      <c r="AH206" s="3">
        <f t="shared" si="105"/>
        <v>50</v>
      </c>
      <c r="AI206" s="3">
        <f t="shared" si="106"/>
        <v>45</v>
      </c>
      <c r="AJ206" s="3">
        <f t="shared" si="107"/>
        <v>38</v>
      </c>
      <c r="AK206" s="3">
        <f t="shared" si="108"/>
        <v>33</v>
      </c>
      <c r="AL206" s="3">
        <f t="shared" si="109"/>
        <v>28</v>
      </c>
      <c r="AM206" s="3">
        <f t="shared" si="110"/>
        <v>23</v>
      </c>
      <c r="AN206" s="3">
        <f t="shared" si="111"/>
        <v>0</v>
      </c>
      <c r="AO206" s="3">
        <f t="shared" si="112"/>
        <v>0</v>
      </c>
      <c r="AP206" s="3">
        <f t="shared" si="113"/>
        <v>92</v>
      </c>
      <c r="AQ206" s="3">
        <f t="shared" si="114"/>
        <v>87</v>
      </c>
      <c r="AR206" s="3">
        <f t="shared" si="115"/>
        <v>81</v>
      </c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L206">
        <v>8</v>
      </c>
      <c r="BM206" s="35">
        <v>44515</v>
      </c>
      <c r="BO206" s="35">
        <f>B223</f>
        <v>44634</v>
      </c>
      <c r="BP206">
        <v>98</v>
      </c>
      <c r="BR206" s="9" t="str">
        <f t="shared" si="125"/>
        <v/>
      </c>
      <c r="BS206" s="37" t="str">
        <f t="shared" si="126"/>
        <v/>
      </c>
      <c r="BT206" s="38" t="str">
        <f t="shared" si="117"/>
        <v/>
      </c>
      <c r="BU206" s="36" t="str">
        <f t="shared" si="127"/>
        <v/>
      </c>
    </row>
    <row r="207" spans="2:73" ht="15">
      <c r="B207" s="16">
        <f t="shared" si="128"/>
        <v>44522</v>
      </c>
      <c r="C207" s="15" t="s">
        <v>1</v>
      </c>
      <c r="D207" s="17">
        <f t="shared" si="129"/>
        <v>44528</v>
      </c>
      <c r="E207" s="18">
        <f t="shared" si="130"/>
        <v>11</v>
      </c>
      <c r="F207" s="19">
        <f t="shared" si="131"/>
        <v>2021</v>
      </c>
      <c r="G207" s="9">
        <f t="shared" si="132"/>
        <v>17</v>
      </c>
      <c r="H207" s="8">
        <f t="shared" si="132"/>
        <v>95</v>
      </c>
      <c r="I207" s="9"/>
      <c r="J207" s="9"/>
      <c r="K207" s="9"/>
      <c r="L207" s="9"/>
      <c r="M207" s="9"/>
      <c r="N207" s="9"/>
      <c r="O207" s="12"/>
      <c r="P207" s="12"/>
      <c r="Q207" s="12"/>
      <c r="R207" s="12"/>
      <c r="S207" s="12"/>
      <c r="T207" s="12"/>
      <c r="V207" s="20">
        <f t="shared" si="119"/>
        <v>2</v>
      </c>
      <c r="W207" s="20">
        <f t="shared" si="120"/>
        <v>7</v>
      </c>
      <c r="X207" s="20">
        <f t="shared" si="121"/>
        <v>12</v>
      </c>
      <c r="Y207" s="20">
        <f t="shared" si="122"/>
        <v>17</v>
      </c>
      <c r="Z207" s="20">
        <f t="shared" si="123"/>
        <v>0</v>
      </c>
      <c r="AA207" s="20">
        <f t="shared" si="124"/>
        <v>0</v>
      </c>
      <c r="AC207" s="3">
        <f t="shared" si="100"/>
        <v>77</v>
      </c>
      <c r="AD207" s="3">
        <f t="shared" si="101"/>
        <v>72</v>
      </c>
      <c r="AE207" s="3">
        <f t="shared" si="102"/>
        <v>67</v>
      </c>
      <c r="AF207" s="3">
        <f t="shared" si="103"/>
        <v>61</v>
      </c>
      <c r="AG207" s="3">
        <f t="shared" si="104"/>
        <v>56</v>
      </c>
      <c r="AH207" s="3">
        <f t="shared" si="105"/>
        <v>51</v>
      </c>
      <c r="AI207" s="3">
        <f t="shared" si="106"/>
        <v>46</v>
      </c>
      <c r="AJ207" s="3">
        <f t="shared" si="107"/>
        <v>39</v>
      </c>
      <c r="AK207" s="3">
        <f t="shared" si="108"/>
        <v>34</v>
      </c>
      <c r="AL207" s="3">
        <f t="shared" si="109"/>
        <v>29</v>
      </c>
      <c r="AM207" s="3">
        <f t="shared" si="110"/>
        <v>24</v>
      </c>
      <c r="AN207" s="3">
        <f t="shared" si="111"/>
        <v>17</v>
      </c>
      <c r="AO207" s="3">
        <f t="shared" si="112"/>
        <v>0</v>
      </c>
      <c r="AP207" s="3">
        <f t="shared" si="113"/>
        <v>93</v>
      </c>
      <c r="AQ207" s="3">
        <f t="shared" si="114"/>
        <v>88</v>
      </c>
      <c r="AR207" s="3">
        <f t="shared" si="115"/>
        <v>82</v>
      </c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>
        <v>4</v>
      </c>
      <c r="BE207" s="8"/>
      <c r="BF207" s="8"/>
      <c r="BG207" s="8"/>
      <c r="BH207" s="8"/>
      <c r="BM207" s="35" t="s">
        <v>12</v>
      </c>
      <c r="BO207" s="35"/>
      <c r="BR207" s="9" t="str">
        <f t="shared" si="125"/>
        <v/>
      </c>
      <c r="BS207" s="37" t="str">
        <f t="shared" si="126"/>
        <v/>
      </c>
      <c r="BT207" s="38" t="str">
        <f t="shared" si="117"/>
        <v/>
      </c>
      <c r="BU207" s="36" t="str">
        <f t="shared" si="127"/>
        <v/>
      </c>
    </row>
    <row r="208" spans="2:73" ht="15">
      <c r="B208" s="16">
        <f t="shared" si="128"/>
        <v>44529</v>
      </c>
      <c r="C208" s="15" t="s">
        <v>1</v>
      </c>
      <c r="D208" s="17">
        <f t="shared" si="129"/>
        <v>44535</v>
      </c>
      <c r="E208" s="18">
        <f t="shared" si="130"/>
        <v>11</v>
      </c>
      <c r="F208" s="19">
        <f t="shared" si="131"/>
        <v>2021</v>
      </c>
      <c r="G208" s="9">
        <f t="shared" si="132"/>
        <v>17</v>
      </c>
      <c r="H208" s="8">
        <f t="shared" si="132"/>
        <v>95</v>
      </c>
      <c r="I208" s="9"/>
      <c r="J208" s="9"/>
      <c r="K208" s="9"/>
      <c r="L208" s="9"/>
      <c r="M208" s="9"/>
      <c r="N208" s="9"/>
      <c r="O208" s="12"/>
      <c r="P208" s="12"/>
      <c r="Q208" s="12"/>
      <c r="R208" s="12"/>
      <c r="S208" s="12"/>
      <c r="T208" s="12"/>
      <c r="V208" s="20">
        <f t="shared" si="119"/>
        <v>3</v>
      </c>
      <c r="W208" s="20">
        <f t="shared" si="120"/>
        <v>8</v>
      </c>
      <c r="X208" s="20">
        <f t="shared" si="121"/>
        <v>13</v>
      </c>
      <c r="Y208" s="20">
        <f t="shared" si="122"/>
        <v>0</v>
      </c>
      <c r="Z208" s="20">
        <f t="shared" si="123"/>
        <v>0</v>
      </c>
      <c r="AA208" s="20">
        <f t="shared" si="124"/>
        <v>0</v>
      </c>
      <c r="AC208" s="3">
        <f t="shared" si="100"/>
        <v>78</v>
      </c>
      <c r="AD208" s="3">
        <f t="shared" si="101"/>
        <v>73</v>
      </c>
      <c r="AE208" s="3">
        <f t="shared" si="102"/>
        <v>68</v>
      </c>
      <c r="AF208" s="3">
        <f t="shared" si="103"/>
        <v>62</v>
      </c>
      <c r="AG208" s="3">
        <f t="shared" si="104"/>
        <v>57</v>
      </c>
      <c r="AH208" s="3">
        <f t="shared" si="105"/>
        <v>52</v>
      </c>
      <c r="AI208" s="3">
        <f t="shared" si="106"/>
        <v>47</v>
      </c>
      <c r="AJ208" s="3">
        <f t="shared" si="107"/>
        <v>40</v>
      </c>
      <c r="AK208" s="3">
        <f t="shared" si="108"/>
        <v>35</v>
      </c>
      <c r="AL208" s="3">
        <f t="shared" si="109"/>
        <v>30</v>
      </c>
      <c r="AM208" s="3">
        <f t="shared" si="110"/>
        <v>25</v>
      </c>
      <c r="AN208" s="3">
        <f t="shared" si="111"/>
        <v>18</v>
      </c>
      <c r="AO208" s="3">
        <f t="shared" si="112"/>
        <v>0</v>
      </c>
      <c r="AP208" s="3">
        <f t="shared" si="113"/>
        <v>94</v>
      </c>
      <c r="AQ208" s="3">
        <f t="shared" si="114"/>
        <v>89</v>
      </c>
      <c r="AR208" s="3">
        <f t="shared" si="115"/>
        <v>83</v>
      </c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M208" s="35" t="s">
        <v>12</v>
      </c>
      <c r="BO208" s="35"/>
      <c r="BR208" s="9" t="str">
        <f t="shared" si="125"/>
        <v/>
      </c>
      <c r="BS208" s="37" t="str">
        <f t="shared" si="126"/>
        <v/>
      </c>
      <c r="BT208" s="38" t="str">
        <f t="shared" si="117"/>
        <v/>
      </c>
      <c r="BU208" s="36" t="str">
        <f t="shared" si="127"/>
        <v/>
      </c>
    </row>
    <row r="209" spans="2:73" ht="15">
      <c r="B209" s="16">
        <f t="shared" si="128"/>
        <v>44536</v>
      </c>
      <c r="C209" s="15" t="s">
        <v>1</v>
      </c>
      <c r="D209" s="17">
        <f t="shared" si="129"/>
        <v>44542</v>
      </c>
      <c r="E209" s="18">
        <f t="shared" si="130"/>
        <v>12</v>
      </c>
      <c r="F209" s="19">
        <f t="shared" si="131"/>
        <v>2021</v>
      </c>
      <c r="G209" s="9">
        <f t="shared" si="132"/>
        <v>17</v>
      </c>
      <c r="H209" s="8">
        <f t="shared" si="132"/>
        <v>95</v>
      </c>
      <c r="I209" s="9"/>
      <c r="J209" s="9"/>
      <c r="K209" s="9"/>
      <c r="L209" s="9"/>
      <c r="M209" s="9"/>
      <c r="N209" s="9"/>
      <c r="O209" s="12"/>
      <c r="P209" s="12"/>
      <c r="Q209" s="12"/>
      <c r="R209" s="12"/>
      <c r="S209" s="12"/>
      <c r="T209" s="12"/>
      <c r="V209" s="20">
        <f t="shared" si="119"/>
        <v>4</v>
      </c>
      <c r="W209" s="20">
        <f t="shared" si="120"/>
        <v>9</v>
      </c>
      <c r="X209" s="20">
        <f t="shared" si="121"/>
        <v>14</v>
      </c>
      <c r="Y209" s="20">
        <f t="shared" si="122"/>
        <v>0</v>
      </c>
      <c r="Z209" s="20">
        <f t="shared" si="123"/>
        <v>0</v>
      </c>
      <c r="AA209" s="20">
        <f t="shared" si="124"/>
        <v>0</v>
      </c>
      <c r="AC209" s="3">
        <f t="shared" si="100"/>
        <v>79</v>
      </c>
      <c r="AD209" s="3">
        <f t="shared" si="101"/>
        <v>74</v>
      </c>
      <c r="AE209" s="3">
        <f t="shared" si="102"/>
        <v>69</v>
      </c>
      <c r="AF209" s="3">
        <f t="shared" si="103"/>
        <v>63</v>
      </c>
      <c r="AG209" s="3">
        <f t="shared" si="104"/>
        <v>58</v>
      </c>
      <c r="AH209" s="3">
        <f t="shared" si="105"/>
        <v>53</v>
      </c>
      <c r="AI209" s="3">
        <f t="shared" si="106"/>
        <v>48</v>
      </c>
      <c r="AJ209" s="3">
        <f t="shared" si="107"/>
        <v>41</v>
      </c>
      <c r="AK209" s="3">
        <f t="shared" si="108"/>
        <v>36</v>
      </c>
      <c r="AL209" s="3">
        <f t="shared" si="109"/>
        <v>31</v>
      </c>
      <c r="AM209" s="3">
        <f t="shared" si="110"/>
        <v>26</v>
      </c>
      <c r="AN209" s="3">
        <f t="shared" si="111"/>
        <v>19</v>
      </c>
      <c r="AO209" s="3">
        <f t="shared" si="112"/>
        <v>0</v>
      </c>
      <c r="AP209" s="3">
        <f t="shared" si="113"/>
        <v>95</v>
      </c>
      <c r="AQ209" s="3">
        <f t="shared" si="114"/>
        <v>90</v>
      </c>
      <c r="AR209" s="3">
        <f t="shared" si="115"/>
        <v>84</v>
      </c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M209" s="35" t="s">
        <v>12</v>
      </c>
      <c r="BO209" s="35"/>
      <c r="BR209" s="9" t="str">
        <f t="shared" si="125"/>
        <v/>
      </c>
      <c r="BS209" s="37" t="str">
        <f t="shared" si="126"/>
        <v/>
      </c>
      <c r="BT209" s="38" t="str">
        <f t="shared" si="117"/>
        <v/>
      </c>
      <c r="BU209" s="36" t="str">
        <f t="shared" si="127"/>
        <v/>
      </c>
    </row>
    <row r="210" spans="2:73" ht="15">
      <c r="B210" s="16">
        <f t="shared" si="128"/>
        <v>44543</v>
      </c>
      <c r="C210" s="15" t="s">
        <v>1</v>
      </c>
      <c r="D210" s="17">
        <f t="shared" si="129"/>
        <v>44549</v>
      </c>
      <c r="E210" s="18">
        <f t="shared" si="130"/>
        <v>12</v>
      </c>
      <c r="F210" s="19">
        <f t="shared" si="131"/>
        <v>2021</v>
      </c>
      <c r="G210" s="9">
        <f t="shared" si="132"/>
        <v>17</v>
      </c>
      <c r="H210" s="8">
        <f t="shared" si="132"/>
        <v>95</v>
      </c>
      <c r="I210" s="9"/>
      <c r="J210" s="9"/>
      <c r="K210" s="9"/>
      <c r="L210" s="9"/>
      <c r="M210" s="9"/>
      <c r="N210" s="9"/>
      <c r="O210" s="12"/>
      <c r="P210" s="12"/>
      <c r="Q210" s="12"/>
      <c r="R210" s="12"/>
      <c r="S210" s="12"/>
      <c r="T210" s="12"/>
      <c r="V210" s="20">
        <f t="shared" si="119"/>
        <v>5</v>
      </c>
      <c r="W210" s="20">
        <f t="shared" si="120"/>
        <v>10</v>
      </c>
      <c r="X210" s="20">
        <f t="shared" si="121"/>
        <v>15</v>
      </c>
      <c r="Y210" s="20">
        <f t="shared" si="122"/>
        <v>0</v>
      </c>
      <c r="Z210" s="20">
        <f t="shared" si="123"/>
        <v>0</v>
      </c>
      <c r="AA210" s="20">
        <f t="shared" si="124"/>
        <v>0</v>
      </c>
      <c r="AC210" s="3">
        <f t="shared" si="100"/>
        <v>80</v>
      </c>
      <c r="AD210" s="3">
        <f t="shared" si="101"/>
        <v>75</v>
      </c>
      <c r="AE210" s="3">
        <f t="shared" si="102"/>
        <v>70</v>
      </c>
      <c r="AF210" s="3">
        <f t="shared" si="103"/>
        <v>64</v>
      </c>
      <c r="AG210" s="3">
        <f t="shared" si="104"/>
        <v>59</v>
      </c>
      <c r="AH210" s="3">
        <f t="shared" si="105"/>
        <v>54</v>
      </c>
      <c r="AI210" s="3">
        <f t="shared" si="106"/>
        <v>49</v>
      </c>
      <c r="AJ210" s="3">
        <f t="shared" si="107"/>
        <v>42</v>
      </c>
      <c r="AK210" s="3">
        <f t="shared" si="108"/>
        <v>37</v>
      </c>
      <c r="AL210" s="3">
        <f t="shared" si="109"/>
        <v>32</v>
      </c>
      <c r="AM210" s="3">
        <f t="shared" si="110"/>
        <v>27</v>
      </c>
      <c r="AN210" s="3">
        <f t="shared" si="111"/>
        <v>20</v>
      </c>
      <c r="AO210" s="3">
        <f t="shared" si="112"/>
        <v>0</v>
      </c>
      <c r="AP210" s="3">
        <f t="shared" si="113"/>
        <v>0</v>
      </c>
      <c r="AQ210" s="3">
        <f t="shared" si="114"/>
        <v>91</v>
      </c>
      <c r="AR210" s="3">
        <f t="shared" si="115"/>
        <v>85</v>
      </c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M210" s="35" t="s">
        <v>12</v>
      </c>
      <c r="BO210" s="35"/>
      <c r="BR210" s="9" t="str">
        <f t="shared" si="125"/>
        <v/>
      </c>
      <c r="BS210" s="37" t="str">
        <f t="shared" si="126"/>
        <v/>
      </c>
      <c r="BT210" s="38" t="str">
        <f t="shared" si="117"/>
        <v/>
      </c>
      <c r="BU210" s="36" t="str">
        <f t="shared" si="127"/>
        <v/>
      </c>
    </row>
    <row r="211" spans="2:73" ht="15">
      <c r="B211" s="16">
        <f t="shared" si="128"/>
        <v>44550</v>
      </c>
      <c r="C211" s="15" t="s">
        <v>1</v>
      </c>
      <c r="D211" s="17">
        <f t="shared" si="129"/>
        <v>44556</v>
      </c>
      <c r="E211" s="18">
        <f t="shared" si="130"/>
        <v>12</v>
      </c>
      <c r="F211" s="19">
        <f t="shared" si="131"/>
        <v>2021</v>
      </c>
      <c r="G211" s="9">
        <f t="shared" si="132"/>
        <v>17</v>
      </c>
      <c r="H211" s="8">
        <f t="shared" si="132"/>
        <v>95</v>
      </c>
      <c r="I211" s="9"/>
      <c r="J211" s="9"/>
      <c r="K211" s="9"/>
      <c r="L211" s="9"/>
      <c r="M211" s="9"/>
      <c r="N211" s="9"/>
      <c r="O211" s="12"/>
      <c r="P211" s="12"/>
      <c r="Q211" s="12"/>
      <c r="R211" s="12"/>
      <c r="S211" s="12"/>
      <c r="T211" s="12"/>
      <c r="V211" s="20">
        <f t="shared" si="119"/>
        <v>6</v>
      </c>
      <c r="W211" s="20">
        <f t="shared" si="120"/>
        <v>11</v>
      </c>
      <c r="X211" s="20">
        <f t="shared" si="121"/>
        <v>16</v>
      </c>
      <c r="Y211" s="20">
        <f t="shared" si="122"/>
        <v>0</v>
      </c>
      <c r="Z211" s="20">
        <f t="shared" si="123"/>
        <v>0</v>
      </c>
      <c r="AA211" s="20">
        <f t="shared" si="124"/>
        <v>0</v>
      </c>
      <c r="AC211" s="3">
        <f t="shared" si="100"/>
        <v>81</v>
      </c>
      <c r="AD211" s="3">
        <f t="shared" si="101"/>
        <v>76</v>
      </c>
      <c r="AE211" s="3">
        <f t="shared" si="102"/>
        <v>71</v>
      </c>
      <c r="AF211" s="3">
        <f t="shared" si="103"/>
        <v>65</v>
      </c>
      <c r="AG211" s="3">
        <f t="shared" si="104"/>
        <v>60</v>
      </c>
      <c r="AH211" s="3">
        <f t="shared" si="105"/>
        <v>55</v>
      </c>
      <c r="AI211" s="3">
        <f t="shared" si="106"/>
        <v>50</v>
      </c>
      <c r="AJ211" s="3">
        <f t="shared" si="107"/>
        <v>43</v>
      </c>
      <c r="AK211" s="3">
        <f t="shared" si="108"/>
        <v>38</v>
      </c>
      <c r="AL211" s="3">
        <f t="shared" si="109"/>
        <v>33</v>
      </c>
      <c r="AM211" s="3">
        <f t="shared" si="110"/>
        <v>28</v>
      </c>
      <c r="AN211" s="3">
        <f t="shared" si="111"/>
        <v>21</v>
      </c>
      <c r="AO211" s="3">
        <f t="shared" si="112"/>
        <v>0</v>
      </c>
      <c r="AP211" s="3">
        <f t="shared" si="113"/>
        <v>0</v>
      </c>
      <c r="AQ211" s="3">
        <f t="shared" si="114"/>
        <v>92</v>
      </c>
      <c r="AR211" s="3">
        <f t="shared" si="115"/>
        <v>86</v>
      </c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M211" s="35" t="s">
        <v>12</v>
      </c>
      <c r="BO211" s="35"/>
      <c r="BR211" s="9" t="str">
        <f t="shared" si="125"/>
        <v/>
      </c>
      <c r="BS211" s="37" t="str">
        <f t="shared" si="126"/>
        <v/>
      </c>
      <c r="BT211" s="38" t="str">
        <f t="shared" si="117"/>
        <v/>
      </c>
      <c r="BU211" s="36" t="str">
        <f t="shared" si="127"/>
        <v/>
      </c>
    </row>
    <row r="212" spans="2:73" ht="15">
      <c r="B212" s="16">
        <f t="shared" si="128"/>
        <v>44557</v>
      </c>
      <c r="C212" s="15" t="s">
        <v>1</v>
      </c>
      <c r="D212" s="17">
        <f t="shared" si="129"/>
        <v>44563</v>
      </c>
      <c r="E212" s="18">
        <f t="shared" si="130"/>
        <v>12</v>
      </c>
      <c r="F212" s="19">
        <f t="shared" si="131"/>
        <v>2022</v>
      </c>
      <c r="G212" s="9">
        <f t="shared" si="132"/>
        <v>17</v>
      </c>
      <c r="H212" s="8">
        <f t="shared" si="132"/>
        <v>95</v>
      </c>
      <c r="I212" s="9"/>
      <c r="J212" s="9"/>
      <c r="K212" s="9"/>
      <c r="L212" s="9"/>
      <c r="M212" s="9"/>
      <c r="N212" s="9"/>
      <c r="O212" s="12"/>
      <c r="P212" s="12"/>
      <c r="Q212" s="12"/>
      <c r="R212" s="12">
        <v>1</v>
      </c>
      <c r="S212" s="12"/>
      <c r="T212" s="12"/>
      <c r="V212" s="20">
        <f t="shared" si="119"/>
        <v>7</v>
      </c>
      <c r="W212" s="20">
        <f t="shared" si="120"/>
        <v>12</v>
      </c>
      <c r="X212" s="20">
        <f t="shared" si="121"/>
        <v>17</v>
      </c>
      <c r="Y212" s="20">
        <f t="shared" si="122"/>
        <v>44559</v>
      </c>
      <c r="Z212" s="20">
        <f t="shared" si="123"/>
        <v>0</v>
      </c>
      <c r="AA212" s="20">
        <f t="shared" si="124"/>
        <v>0</v>
      </c>
      <c r="AC212" s="3">
        <f t="shared" si="100"/>
        <v>82</v>
      </c>
      <c r="AD212" s="3">
        <f t="shared" si="101"/>
        <v>77</v>
      </c>
      <c r="AE212" s="3">
        <f t="shared" si="102"/>
        <v>72</v>
      </c>
      <c r="AF212" s="3">
        <f t="shared" si="103"/>
        <v>66</v>
      </c>
      <c r="AG212" s="3">
        <f t="shared" si="104"/>
        <v>61</v>
      </c>
      <c r="AH212" s="3">
        <f t="shared" si="105"/>
        <v>56</v>
      </c>
      <c r="AI212" s="3">
        <f t="shared" si="106"/>
        <v>51</v>
      </c>
      <c r="AJ212" s="3">
        <f t="shared" si="107"/>
        <v>44</v>
      </c>
      <c r="AK212" s="3">
        <f t="shared" si="108"/>
        <v>39</v>
      </c>
      <c r="AL212" s="3">
        <f t="shared" si="109"/>
        <v>34</v>
      </c>
      <c r="AM212" s="3">
        <f t="shared" si="110"/>
        <v>29</v>
      </c>
      <c r="AN212" s="3">
        <f t="shared" si="111"/>
        <v>22</v>
      </c>
      <c r="AO212" s="3">
        <f t="shared" si="112"/>
        <v>17</v>
      </c>
      <c r="AP212" s="3">
        <f t="shared" si="113"/>
        <v>0</v>
      </c>
      <c r="AQ212" s="3">
        <f t="shared" si="114"/>
        <v>93</v>
      </c>
      <c r="AR212" s="3">
        <f t="shared" si="115"/>
        <v>87</v>
      </c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>
        <v>3</v>
      </c>
      <c r="BF212" s="8"/>
      <c r="BG212" s="8"/>
      <c r="BH212" s="8"/>
      <c r="BM212" s="35" t="s">
        <v>12</v>
      </c>
      <c r="BO212" s="35"/>
      <c r="BR212" s="9">
        <f t="shared" si="125"/>
        <v>4</v>
      </c>
      <c r="BS212" s="37">
        <f t="shared" si="126"/>
        <v>44559</v>
      </c>
      <c r="BT212" s="38">
        <f t="shared" si="117"/>
        <v>44678</v>
      </c>
      <c r="BU212" s="36">
        <f t="shared" si="127"/>
        <v>16</v>
      </c>
    </row>
    <row r="213" spans="2:73" ht="15">
      <c r="B213" s="16">
        <f t="shared" si="128"/>
        <v>44564</v>
      </c>
      <c r="C213" s="15" t="s">
        <v>1</v>
      </c>
      <c r="D213" s="17">
        <f t="shared" si="129"/>
        <v>44570</v>
      </c>
      <c r="E213" s="18">
        <f t="shared" si="130"/>
        <v>1</v>
      </c>
      <c r="F213" s="19">
        <f t="shared" si="131"/>
        <v>2022</v>
      </c>
      <c r="G213" s="9">
        <f t="shared" si="132"/>
        <v>17</v>
      </c>
      <c r="H213" s="8">
        <f t="shared" si="132"/>
        <v>95</v>
      </c>
      <c r="I213" s="9"/>
      <c r="J213" s="9"/>
      <c r="K213" s="9"/>
      <c r="L213" s="9"/>
      <c r="M213" s="9"/>
      <c r="N213" s="9"/>
      <c r="O213" s="12"/>
      <c r="P213" s="12"/>
      <c r="Q213" s="12"/>
      <c r="R213" s="12"/>
      <c r="S213" s="12"/>
      <c r="T213" s="12"/>
      <c r="V213" s="20">
        <f t="shared" si="119"/>
        <v>8</v>
      </c>
      <c r="W213" s="20">
        <f t="shared" si="120"/>
        <v>13</v>
      </c>
      <c r="X213" s="20">
        <f t="shared" si="121"/>
        <v>0</v>
      </c>
      <c r="Y213" s="20">
        <f t="shared" si="122"/>
        <v>1</v>
      </c>
      <c r="Z213" s="20">
        <f t="shared" si="123"/>
        <v>0</v>
      </c>
      <c r="AA213" s="20">
        <f t="shared" si="124"/>
        <v>0</v>
      </c>
      <c r="AC213" s="3">
        <f t="shared" si="100"/>
        <v>83</v>
      </c>
      <c r="AD213" s="3">
        <f t="shared" si="101"/>
        <v>78</v>
      </c>
      <c r="AE213" s="3">
        <f t="shared" si="102"/>
        <v>73</v>
      </c>
      <c r="AF213" s="3">
        <f t="shared" si="103"/>
        <v>67</v>
      </c>
      <c r="AG213" s="3">
        <f t="shared" si="104"/>
        <v>62</v>
      </c>
      <c r="AH213" s="3">
        <f t="shared" si="105"/>
        <v>57</v>
      </c>
      <c r="AI213" s="3">
        <f t="shared" si="106"/>
        <v>52</v>
      </c>
      <c r="AJ213" s="3">
        <f t="shared" si="107"/>
        <v>45</v>
      </c>
      <c r="AK213" s="3">
        <f t="shared" si="108"/>
        <v>40</v>
      </c>
      <c r="AL213" s="3">
        <f t="shared" si="109"/>
        <v>35</v>
      </c>
      <c r="AM213" s="3">
        <f t="shared" si="110"/>
        <v>30</v>
      </c>
      <c r="AN213" s="3">
        <f t="shared" si="111"/>
        <v>23</v>
      </c>
      <c r="AO213" s="3">
        <f t="shared" si="112"/>
        <v>18</v>
      </c>
      <c r="AP213" s="3">
        <f t="shared" si="113"/>
        <v>0</v>
      </c>
      <c r="AQ213" s="3">
        <f t="shared" si="114"/>
        <v>94</v>
      </c>
      <c r="AR213" s="3">
        <f t="shared" si="115"/>
        <v>88</v>
      </c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L213">
        <v>16</v>
      </c>
      <c r="BM213" s="35">
        <v>44564</v>
      </c>
      <c r="BO213" s="35">
        <f>B230</f>
        <v>44683</v>
      </c>
      <c r="BP213">
        <v>98</v>
      </c>
      <c r="BR213" s="9" t="str">
        <f t="shared" si="125"/>
        <v/>
      </c>
      <c r="BS213" s="37" t="str">
        <f t="shared" si="126"/>
        <v/>
      </c>
      <c r="BT213" s="38" t="str">
        <f t="shared" si="117"/>
        <v/>
      </c>
      <c r="BU213" s="36" t="str">
        <f t="shared" si="127"/>
        <v/>
      </c>
    </row>
    <row r="214" spans="2:73" ht="15">
      <c r="B214" s="16">
        <f t="shared" si="128"/>
        <v>44571</v>
      </c>
      <c r="C214" s="15" t="s">
        <v>1</v>
      </c>
      <c r="D214" s="17">
        <f t="shared" si="129"/>
        <v>44577</v>
      </c>
      <c r="E214" s="18">
        <f t="shared" si="130"/>
        <v>1</v>
      </c>
      <c r="F214" s="19">
        <f t="shared" si="131"/>
        <v>2022</v>
      </c>
      <c r="G214" s="9">
        <f t="shared" ref="G214:H229" si="133">G213</f>
        <v>17</v>
      </c>
      <c r="H214" s="8">
        <f t="shared" si="133"/>
        <v>95</v>
      </c>
      <c r="I214" s="9"/>
      <c r="J214" s="9"/>
      <c r="K214" s="9"/>
      <c r="L214" s="9"/>
      <c r="M214" s="9"/>
      <c r="N214" s="9"/>
      <c r="O214" s="12"/>
      <c r="P214" s="12"/>
      <c r="Q214" s="12"/>
      <c r="R214" s="12"/>
      <c r="S214" s="12"/>
      <c r="T214" s="12"/>
      <c r="V214" s="20">
        <f t="shared" si="119"/>
        <v>9</v>
      </c>
      <c r="W214" s="20">
        <f t="shared" si="120"/>
        <v>14</v>
      </c>
      <c r="X214" s="20">
        <f t="shared" si="121"/>
        <v>0</v>
      </c>
      <c r="Y214" s="20">
        <f t="shared" si="122"/>
        <v>2</v>
      </c>
      <c r="Z214" s="20">
        <f t="shared" si="123"/>
        <v>0</v>
      </c>
      <c r="AA214" s="20">
        <f t="shared" si="124"/>
        <v>0</v>
      </c>
      <c r="AC214" s="3">
        <f t="shared" si="100"/>
        <v>84</v>
      </c>
      <c r="AD214" s="3">
        <f t="shared" si="101"/>
        <v>79</v>
      </c>
      <c r="AE214" s="3">
        <f t="shared" si="102"/>
        <v>74</v>
      </c>
      <c r="AF214" s="3">
        <f t="shared" si="103"/>
        <v>68</v>
      </c>
      <c r="AG214" s="3">
        <f t="shared" si="104"/>
        <v>63</v>
      </c>
      <c r="AH214" s="3">
        <f t="shared" si="105"/>
        <v>58</v>
      </c>
      <c r="AI214" s="3">
        <f t="shared" si="106"/>
        <v>53</v>
      </c>
      <c r="AJ214" s="3">
        <f t="shared" si="107"/>
        <v>46</v>
      </c>
      <c r="AK214" s="3">
        <f t="shared" si="108"/>
        <v>41</v>
      </c>
      <c r="AL214" s="3">
        <f t="shared" si="109"/>
        <v>36</v>
      </c>
      <c r="AM214" s="3">
        <f t="shared" si="110"/>
        <v>31</v>
      </c>
      <c r="AN214" s="3">
        <f t="shared" si="111"/>
        <v>24</v>
      </c>
      <c r="AO214" s="3">
        <f t="shared" si="112"/>
        <v>19</v>
      </c>
      <c r="AP214" s="3">
        <f t="shared" si="113"/>
        <v>0</v>
      </c>
      <c r="AQ214" s="3">
        <f t="shared" si="114"/>
        <v>95</v>
      </c>
      <c r="AR214" s="3">
        <f t="shared" si="115"/>
        <v>89</v>
      </c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M214" s="35" t="s">
        <v>12</v>
      </c>
      <c r="BO214" s="35"/>
      <c r="BR214" s="9" t="str">
        <f t="shared" si="125"/>
        <v/>
      </c>
      <c r="BS214" s="37" t="str">
        <f t="shared" si="126"/>
        <v/>
      </c>
      <c r="BT214" s="38" t="str">
        <f t="shared" si="117"/>
        <v/>
      </c>
      <c r="BU214" s="36" t="str">
        <f t="shared" si="127"/>
        <v/>
      </c>
    </row>
    <row r="215" spans="2:73" ht="15">
      <c r="B215" s="16">
        <f t="shared" si="128"/>
        <v>44578</v>
      </c>
      <c r="C215" s="15" t="s">
        <v>1</v>
      </c>
      <c r="D215" s="17">
        <f t="shared" si="129"/>
        <v>44584</v>
      </c>
      <c r="E215" s="18">
        <f t="shared" si="130"/>
        <v>1</v>
      </c>
      <c r="F215" s="19">
        <f t="shared" si="131"/>
        <v>2022</v>
      </c>
      <c r="G215" s="9">
        <f t="shared" si="133"/>
        <v>17</v>
      </c>
      <c r="H215" s="8">
        <f t="shared" si="133"/>
        <v>95</v>
      </c>
      <c r="I215" s="9"/>
      <c r="J215" s="9"/>
      <c r="K215" s="9"/>
      <c r="L215" s="9"/>
      <c r="M215" s="9"/>
      <c r="N215" s="9"/>
      <c r="O215" s="12"/>
      <c r="P215" s="12"/>
      <c r="Q215" s="12"/>
      <c r="R215" s="12"/>
      <c r="S215" s="12"/>
      <c r="T215" s="12"/>
      <c r="V215" s="20">
        <f t="shared" si="119"/>
        <v>10</v>
      </c>
      <c r="W215" s="20">
        <f t="shared" si="120"/>
        <v>15</v>
      </c>
      <c r="X215" s="20">
        <f t="shared" si="121"/>
        <v>0</v>
      </c>
      <c r="Y215" s="20">
        <f t="shared" si="122"/>
        <v>3</v>
      </c>
      <c r="Z215" s="20">
        <f t="shared" si="123"/>
        <v>0</v>
      </c>
      <c r="AA215" s="20">
        <f t="shared" si="124"/>
        <v>0</v>
      </c>
      <c r="AC215" s="3">
        <f t="shared" si="100"/>
        <v>85</v>
      </c>
      <c r="AD215" s="3">
        <f t="shared" si="101"/>
        <v>80</v>
      </c>
      <c r="AE215" s="3">
        <f t="shared" si="102"/>
        <v>75</v>
      </c>
      <c r="AF215" s="3">
        <f t="shared" si="103"/>
        <v>69</v>
      </c>
      <c r="AG215" s="3">
        <f t="shared" si="104"/>
        <v>64</v>
      </c>
      <c r="AH215" s="3">
        <f t="shared" si="105"/>
        <v>59</v>
      </c>
      <c r="AI215" s="3">
        <f t="shared" si="106"/>
        <v>54</v>
      </c>
      <c r="AJ215" s="3">
        <f t="shared" si="107"/>
        <v>47</v>
      </c>
      <c r="AK215" s="3">
        <f t="shared" si="108"/>
        <v>42</v>
      </c>
      <c r="AL215" s="3">
        <f t="shared" si="109"/>
        <v>37</v>
      </c>
      <c r="AM215" s="3">
        <f t="shared" si="110"/>
        <v>32</v>
      </c>
      <c r="AN215" s="3">
        <f t="shared" si="111"/>
        <v>25</v>
      </c>
      <c r="AO215" s="3">
        <f t="shared" si="112"/>
        <v>20</v>
      </c>
      <c r="AP215" s="3">
        <f t="shared" si="113"/>
        <v>0</v>
      </c>
      <c r="AQ215" s="3">
        <f t="shared" si="114"/>
        <v>0</v>
      </c>
      <c r="AR215" s="3">
        <f t="shared" si="115"/>
        <v>90</v>
      </c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M215" s="35" t="s">
        <v>12</v>
      </c>
      <c r="BO215" s="35"/>
      <c r="BR215" s="9" t="str">
        <f t="shared" si="125"/>
        <v/>
      </c>
      <c r="BS215" s="37" t="str">
        <f t="shared" si="126"/>
        <v/>
      </c>
      <c r="BT215" s="38" t="str">
        <f t="shared" si="117"/>
        <v/>
      </c>
      <c r="BU215" s="36" t="str">
        <f t="shared" si="127"/>
        <v/>
      </c>
    </row>
    <row r="216" spans="2:73" ht="15">
      <c r="B216" s="16">
        <f t="shared" si="128"/>
        <v>44585</v>
      </c>
      <c r="C216" s="15" t="s">
        <v>1</v>
      </c>
      <c r="D216" s="17">
        <f t="shared" si="129"/>
        <v>44591</v>
      </c>
      <c r="E216" s="18">
        <f t="shared" si="130"/>
        <v>1</v>
      </c>
      <c r="F216" s="19">
        <f t="shared" si="131"/>
        <v>2022</v>
      </c>
      <c r="G216" s="9">
        <f t="shared" si="133"/>
        <v>17</v>
      </c>
      <c r="H216" s="8">
        <f t="shared" si="133"/>
        <v>95</v>
      </c>
      <c r="I216" s="9"/>
      <c r="J216" s="9"/>
      <c r="K216" s="9"/>
      <c r="L216" s="9"/>
      <c r="M216" s="9"/>
      <c r="N216" s="9"/>
      <c r="O216" s="12"/>
      <c r="P216" s="12"/>
      <c r="Q216" s="12"/>
      <c r="R216" s="12"/>
      <c r="S216" s="12"/>
      <c r="T216" s="12"/>
      <c r="V216" s="20">
        <f t="shared" si="119"/>
        <v>11</v>
      </c>
      <c r="W216" s="20">
        <f t="shared" si="120"/>
        <v>16</v>
      </c>
      <c r="X216" s="20">
        <f t="shared" si="121"/>
        <v>0</v>
      </c>
      <c r="Y216" s="20">
        <f t="shared" si="122"/>
        <v>4</v>
      </c>
      <c r="Z216" s="20">
        <f t="shared" si="123"/>
        <v>0</v>
      </c>
      <c r="AA216" s="20">
        <f t="shared" si="124"/>
        <v>0</v>
      </c>
      <c r="AC216" s="3">
        <f t="shared" si="100"/>
        <v>86</v>
      </c>
      <c r="AD216" s="3">
        <f t="shared" si="101"/>
        <v>81</v>
      </c>
      <c r="AE216" s="3">
        <f t="shared" si="102"/>
        <v>76</v>
      </c>
      <c r="AF216" s="3">
        <f t="shared" si="103"/>
        <v>70</v>
      </c>
      <c r="AG216" s="3">
        <f t="shared" si="104"/>
        <v>65</v>
      </c>
      <c r="AH216" s="3">
        <f t="shared" si="105"/>
        <v>60</v>
      </c>
      <c r="AI216" s="3">
        <f t="shared" si="106"/>
        <v>55</v>
      </c>
      <c r="AJ216" s="3">
        <f t="shared" si="107"/>
        <v>48</v>
      </c>
      <c r="AK216" s="3">
        <f t="shared" si="108"/>
        <v>43</v>
      </c>
      <c r="AL216" s="3">
        <f t="shared" si="109"/>
        <v>38</v>
      </c>
      <c r="AM216" s="3">
        <f t="shared" si="110"/>
        <v>33</v>
      </c>
      <c r="AN216" s="3">
        <f t="shared" si="111"/>
        <v>26</v>
      </c>
      <c r="AO216" s="3">
        <f t="shared" si="112"/>
        <v>21</v>
      </c>
      <c r="AP216" s="3">
        <f t="shared" si="113"/>
        <v>0</v>
      </c>
      <c r="AQ216" s="3">
        <f t="shared" si="114"/>
        <v>0</v>
      </c>
      <c r="AR216" s="3">
        <f t="shared" si="115"/>
        <v>91</v>
      </c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M216" s="35" t="s">
        <v>12</v>
      </c>
      <c r="BO216" s="35"/>
      <c r="BR216" s="9" t="str">
        <f t="shared" si="125"/>
        <v/>
      </c>
      <c r="BS216" s="37" t="str">
        <f t="shared" si="126"/>
        <v/>
      </c>
      <c r="BT216" s="38" t="str">
        <f t="shared" si="117"/>
        <v/>
      </c>
      <c r="BU216" s="36" t="str">
        <f t="shared" si="127"/>
        <v/>
      </c>
    </row>
    <row r="217" spans="2:73" ht="15">
      <c r="B217" s="16">
        <f t="shared" si="128"/>
        <v>44592</v>
      </c>
      <c r="C217" s="15" t="s">
        <v>1</v>
      </c>
      <c r="D217" s="17">
        <f t="shared" si="129"/>
        <v>44598</v>
      </c>
      <c r="E217" s="18">
        <f t="shared" si="130"/>
        <v>1</v>
      </c>
      <c r="F217" s="19">
        <f t="shared" si="131"/>
        <v>2022</v>
      </c>
      <c r="G217" s="9">
        <f t="shared" si="133"/>
        <v>17</v>
      </c>
      <c r="H217" s="8">
        <f t="shared" si="133"/>
        <v>95</v>
      </c>
      <c r="I217" s="9"/>
      <c r="J217" s="9"/>
      <c r="K217" s="9"/>
      <c r="L217" s="9"/>
      <c r="M217" s="9"/>
      <c r="N217" s="9"/>
      <c r="O217" s="12"/>
      <c r="P217" s="12"/>
      <c r="Q217" s="12">
        <v>1</v>
      </c>
      <c r="R217" s="12"/>
      <c r="S217" s="12"/>
      <c r="T217" s="12"/>
      <c r="V217" s="20">
        <f t="shared" si="119"/>
        <v>12</v>
      </c>
      <c r="W217" s="20">
        <f t="shared" si="120"/>
        <v>17</v>
      </c>
      <c r="X217" s="20">
        <f t="shared" si="121"/>
        <v>44594</v>
      </c>
      <c r="Y217" s="20">
        <f t="shared" si="122"/>
        <v>5</v>
      </c>
      <c r="Z217" s="20">
        <f t="shared" si="123"/>
        <v>0</v>
      </c>
      <c r="AA217" s="20">
        <f t="shared" si="124"/>
        <v>0</v>
      </c>
      <c r="AC217" s="3">
        <f t="shared" si="100"/>
        <v>87</v>
      </c>
      <c r="AD217" s="3">
        <f t="shared" si="101"/>
        <v>82</v>
      </c>
      <c r="AE217" s="3">
        <f t="shared" si="102"/>
        <v>77</v>
      </c>
      <c r="AF217" s="3">
        <f t="shared" si="103"/>
        <v>71</v>
      </c>
      <c r="AG217" s="3">
        <f t="shared" si="104"/>
        <v>66</v>
      </c>
      <c r="AH217" s="3">
        <f t="shared" si="105"/>
        <v>61</v>
      </c>
      <c r="AI217" s="3">
        <f t="shared" si="106"/>
        <v>56</v>
      </c>
      <c r="AJ217" s="3">
        <f t="shared" si="107"/>
        <v>49</v>
      </c>
      <c r="AK217" s="3">
        <f t="shared" si="108"/>
        <v>44</v>
      </c>
      <c r="AL217" s="3">
        <f t="shared" si="109"/>
        <v>39</v>
      </c>
      <c r="AM217" s="3">
        <f t="shared" si="110"/>
        <v>34</v>
      </c>
      <c r="AN217" s="3">
        <f t="shared" si="111"/>
        <v>27</v>
      </c>
      <c r="AO217" s="3">
        <f t="shared" si="112"/>
        <v>22</v>
      </c>
      <c r="AP217" s="3">
        <f t="shared" si="113"/>
        <v>17</v>
      </c>
      <c r="AQ217" s="3">
        <f t="shared" si="114"/>
        <v>0</v>
      </c>
      <c r="AR217" s="3">
        <f t="shared" si="115"/>
        <v>92</v>
      </c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>
        <v>2</v>
      </c>
      <c r="BG217" s="8"/>
      <c r="BH217" s="8"/>
      <c r="BM217" s="35" t="s">
        <v>12</v>
      </c>
      <c r="BO217" s="35"/>
      <c r="BR217" s="9">
        <f t="shared" si="125"/>
        <v>3</v>
      </c>
      <c r="BS217" s="37">
        <f t="shared" si="126"/>
        <v>44594</v>
      </c>
      <c r="BT217" s="38">
        <f t="shared" si="117"/>
        <v>44713</v>
      </c>
      <c r="BU217" s="36">
        <f t="shared" si="127"/>
        <v>9</v>
      </c>
    </row>
    <row r="218" spans="2:73" ht="15">
      <c r="B218" s="16">
        <f t="shared" si="128"/>
        <v>44599</v>
      </c>
      <c r="C218" s="15" t="s">
        <v>1</v>
      </c>
      <c r="D218" s="17">
        <f t="shared" si="129"/>
        <v>44605</v>
      </c>
      <c r="E218" s="18">
        <f t="shared" si="130"/>
        <v>2</v>
      </c>
      <c r="F218" s="19">
        <f t="shared" si="131"/>
        <v>2022</v>
      </c>
      <c r="G218" s="9">
        <f t="shared" si="133"/>
        <v>17</v>
      </c>
      <c r="H218" s="8">
        <f t="shared" si="133"/>
        <v>95</v>
      </c>
      <c r="I218" s="9"/>
      <c r="J218" s="9"/>
      <c r="K218" s="9"/>
      <c r="L218" s="9"/>
      <c r="M218" s="9"/>
      <c r="N218" s="9"/>
      <c r="O218" s="12"/>
      <c r="P218" s="12"/>
      <c r="Q218" s="12"/>
      <c r="R218" s="12"/>
      <c r="S218" s="12"/>
      <c r="T218" s="12"/>
      <c r="V218" s="20">
        <f t="shared" si="119"/>
        <v>13</v>
      </c>
      <c r="W218" s="20">
        <f t="shared" si="120"/>
        <v>0</v>
      </c>
      <c r="X218" s="20">
        <f t="shared" si="121"/>
        <v>1</v>
      </c>
      <c r="Y218" s="20">
        <f t="shared" si="122"/>
        <v>6</v>
      </c>
      <c r="Z218" s="20">
        <f t="shared" si="123"/>
        <v>0</v>
      </c>
      <c r="AA218" s="20">
        <f t="shared" si="124"/>
        <v>0</v>
      </c>
      <c r="AC218" s="3">
        <f t="shared" si="100"/>
        <v>88</v>
      </c>
      <c r="AD218" s="3">
        <f t="shared" si="101"/>
        <v>83</v>
      </c>
      <c r="AE218" s="3">
        <f t="shared" si="102"/>
        <v>78</v>
      </c>
      <c r="AF218" s="3">
        <f t="shared" si="103"/>
        <v>72</v>
      </c>
      <c r="AG218" s="3">
        <f t="shared" si="104"/>
        <v>67</v>
      </c>
      <c r="AH218" s="3">
        <f t="shared" si="105"/>
        <v>62</v>
      </c>
      <c r="AI218" s="3">
        <f t="shared" si="106"/>
        <v>57</v>
      </c>
      <c r="AJ218" s="3">
        <f t="shared" si="107"/>
        <v>50</v>
      </c>
      <c r="AK218" s="3">
        <f t="shared" si="108"/>
        <v>45</v>
      </c>
      <c r="AL218" s="3">
        <f t="shared" si="109"/>
        <v>40</v>
      </c>
      <c r="AM218" s="3">
        <f t="shared" si="110"/>
        <v>35</v>
      </c>
      <c r="AN218" s="3">
        <f t="shared" si="111"/>
        <v>28</v>
      </c>
      <c r="AO218" s="3">
        <f t="shared" si="112"/>
        <v>23</v>
      </c>
      <c r="AP218" s="3">
        <f t="shared" si="113"/>
        <v>18</v>
      </c>
      <c r="AQ218" s="3">
        <f t="shared" si="114"/>
        <v>0</v>
      </c>
      <c r="AR218" s="3">
        <f t="shared" si="115"/>
        <v>93</v>
      </c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L218">
        <v>9</v>
      </c>
      <c r="BM218" s="35">
        <v>44599</v>
      </c>
      <c r="BO218" s="35">
        <f>B235</f>
        <v>44718</v>
      </c>
      <c r="BP218">
        <v>98</v>
      </c>
      <c r="BR218" s="9" t="str">
        <f t="shared" si="125"/>
        <v/>
      </c>
      <c r="BS218" s="37" t="str">
        <f t="shared" si="126"/>
        <v/>
      </c>
      <c r="BT218" s="38" t="str">
        <f t="shared" si="117"/>
        <v/>
      </c>
      <c r="BU218" s="36" t="str">
        <f t="shared" si="127"/>
        <v/>
      </c>
    </row>
    <row r="219" spans="2:73" ht="15">
      <c r="B219" s="16">
        <f t="shared" si="128"/>
        <v>44606</v>
      </c>
      <c r="C219" s="15" t="s">
        <v>1</v>
      </c>
      <c r="D219" s="17">
        <f t="shared" si="129"/>
        <v>44612</v>
      </c>
      <c r="E219" s="18">
        <f t="shared" si="130"/>
        <v>2</v>
      </c>
      <c r="F219" s="19">
        <f t="shared" si="131"/>
        <v>2022</v>
      </c>
      <c r="G219" s="9">
        <f t="shared" si="133"/>
        <v>17</v>
      </c>
      <c r="H219" s="8">
        <f t="shared" si="133"/>
        <v>95</v>
      </c>
      <c r="I219" s="9"/>
      <c r="J219" s="9"/>
      <c r="K219" s="9"/>
      <c r="L219" s="9"/>
      <c r="M219" s="9"/>
      <c r="N219" s="9"/>
      <c r="O219" s="12"/>
      <c r="P219" s="12"/>
      <c r="Q219" s="12"/>
      <c r="R219" s="12"/>
      <c r="S219" s="12"/>
      <c r="T219" s="12"/>
      <c r="V219" s="20">
        <f t="shared" si="119"/>
        <v>14</v>
      </c>
      <c r="W219" s="20">
        <f t="shared" si="120"/>
        <v>0</v>
      </c>
      <c r="X219" s="20">
        <f t="shared" si="121"/>
        <v>2</v>
      </c>
      <c r="Y219" s="20">
        <f t="shared" si="122"/>
        <v>7</v>
      </c>
      <c r="Z219" s="20">
        <f t="shared" si="123"/>
        <v>0</v>
      </c>
      <c r="AA219" s="20">
        <f t="shared" si="124"/>
        <v>0</v>
      </c>
      <c r="AC219" s="3">
        <f t="shared" si="100"/>
        <v>89</v>
      </c>
      <c r="AD219" s="3">
        <f t="shared" si="101"/>
        <v>84</v>
      </c>
      <c r="AE219" s="3">
        <f t="shared" si="102"/>
        <v>79</v>
      </c>
      <c r="AF219" s="3">
        <f t="shared" si="103"/>
        <v>73</v>
      </c>
      <c r="AG219" s="3">
        <f t="shared" si="104"/>
        <v>68</v>
      </c>
      <c r="AH219" s="3">
        <f t="shared" si="105"/>
        <v>63</v>
      </c>
      <c r="AI219" s="3">
        <f t="shared" si="106"/>
        <v>58</v>
      </c>
      <c r="AJ219" s="3">
        <f t="shared" si="107"/>
        <v>51</v>
      </c>
      <c r="AK219" s="3">
        <f t="shared" si="108"/>
        <v>46</v>
      </c>
      <c r="AL219" s="3">
        <f t="shared" si="109"/>
        <v>41</v>
      </c>
      <c r="AM219" s="3">
        <f t="shared" si="110"/>
        <v>36</v>
      </c>
      <c r="AN219" s="3">
        <f t="shared" si="111"/>
        <v>29</v>
      </c>
      <c r="AO219" s="3">
        <f t="shared" si="112"/>
        <v>24</v>
      </c>
      <c r="AP219" s="3">
        <f t="shared" si="113"/>
        <v>19</v>
      </c>
      <c r="AQ219" s="3">
        <f t="shared" si="114"/>
        <v>0</v>
      </c>
      <c r="AR219" s="3">
        <f t="shared" si="115"/>
        <v>94</v>
      </c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M219" s="35" t="s">
        <v>12</v>
      </c>
      <c r="BO219" s="35"/>
      <c r="BR219" s="9" t="str">
        <f t="shared" si="125"/>
        <v/>
      </c>
      <c r="BS219" s="37" t="str">
        <f t="shared" si="126"/>
        <v/>
      </c>
      <c r="BT219" s="38" t="str">
        <f t="shared" si="117"/>
        <v/>
      </c>
      <c r="BU219" s="36" t="str">
        <f t="shared" si="127"/>
        <v/>
      </c>
    </row>
    <row r="220" spans="2:73" ht="15">
      <c r="B220" s="16">
        <f t="shared" si="128"/>
        <v>44613</v>
      </c>
      <c r="C220" s="15" t="s">
        <v>1</v>
      </c>
      <c r="D220" s="17">
        <f t="shared" si="129"/>
        <v>44619</v>
      </c>
      <c r="E220" s="18">
        <f t="shared" si="130"/>
        <v>2</v>
      </c>
      <c r="F220" s="19">
        <f t="shared" si="131"/>
        <v>2022</v>
      </c>
      <c r="G220" s="9">
        <f t="shared" si="133"/>
        <v>17</v>
      </c>
      <c r="H220" s="8">
        <f t="shared" si="133"/>
        <v>95</v>
      </c>
      <c r="I220" s="9"/>
      <c r="J220" s="9"/>
      <c r="K220" s="9"/>
      <c r="L220" s="9"/>
      <c r="M220" s="9"/>
      <c r="N220" s="9"/>
      <c r="O220" s="12"/>
      <c r="P220" s="12"/>
      <c r="Q220" s="12"/>
      <c r="R220" s="12"/>
      <c r="S220" s="12"/>
      <c r="T220" s="12"/>
      <c r="V220" s="20">
        <f t="shared" si="119"/>
        <v>15</v>
      </c>
      <c r="W220" s="20">
        <f t="shared" si="120"/>
        <v>0</v>
      </c>
      <c r="X220" s="20">
        <f t="shared" si="121"/>
        <v>3</v>
      </c>
      <c r="Y220" s="20">
        <f t="shared" si="122"/>
        <v>8</v>
      </c>
      <c r="Z220" s="20">
        <f t="shared" si="123"/>
        <v>0</v>
      </c>
      <c r="AA220" s="20">
        <f t="shared" si="124"/>
        <v>0</v>
      </c>
      <c r="AC220" s="3">
        <f t="shared" si="100"/>
        <v>90</v>
      </c>
      <c r="AD220" s="3">
        <f t="shared" si="101"/>
        <v>85</v>
      </c>
      <c r="AE220" s="3">
        <f t="shared" si="102"/>
        <v>80</v>
      </c>
      <c r="AF220" s="3">
        <f t="shared" si="103"/>
        <v>74</v>
      </c>
      <c r="AG220" s="3">
        <f t="shared" si="104"/>
        <v>69</v>
      </c>
      <c r="AH220" s="3">
        <f t="shared" si="105"/>
        <v>64</v>
      </c>
      <c r="AI220" s="3">
        <f t="shared" si="106"/>
        <v>59</v>
      </c>
      <c r="AJ220" s="3">
        <f t="shared" si="107"/>
        <v>52</v>
      </c>
      <c r="AK220" s="3">
        <f t="shared" si="108"/>
        <v>47</v>
      </c>
      <c r="AL220" s="3">
        <f t="shared" si="109"/>
        <v>42</v>
      </c>
      <c r="AM220" s="3">
        <f t="shared" si="110"/>
        <v>37</v>
      </c>
      <c r="AN220" s="3">
        <f t="shared" si="111"/>
        <v>30</v>
      </c>
      <c r="AO220" s="3">
        <f t="shared" si="112"/>
        <v>25</v>
      </c>
      <c r="AP220" s="3">
        <f t="shared" si="113"/>
        <v>20</v>
      </c>
      <c r="AQ220" s="3">
        <f t="shared" si="114"/>
        <v>0</v>
      </c>
      <c r="AR220" s="3">
        <f t="shared" si="115"/>
        <v>95</v>
      </c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M220" s="35" t="s">
        <v>12</v>
      </c>
      <c r="BO220" s="35"/>
      <c r="BR220" s="9" t="str">
        <f t="shared" si="125"/>
        <v/>
      </c>
      <c r="BS220" s="37" t="str">
        <f t="shared" si="126"/>
        <v/>
      </c>
      <c r="BT220" s="38" t="str">
        <f t="shared" si="117"/>
        <v/>
      </c>
      <c r="BU220" s="36" t="str">
        <f t="shared" si="127"/>
        <v/>
      </c>
    </row>
    <row r="221" spans="2:73" ht="15">
      <c r="B221" s="16">
        <f t="shared" si="128"/>
        <v>44620</v>
      </c>
      <c r="C221" s="15" t="s">
        <v>1</v>
      </c>
      <c r="D221" s="17">
        <f t="shared" si="129"/>
        <v>44626</v>
      </c>
      <c r="E221" s="18">
        <f t="shared" si="130"/>
        <v>2</v>
      </c>
      <c r="F221" s="19">
        <f t="shared" si="131"/>
        <v>2022</v>
      </c>
      <c r="G221" s="9">
        <f t="shared" si="133"/>
        <v>17</v>
      </c>
      <c r="H221" s="8">
        <f t="shared" si="133"/>
        <v>95</v>
      </c>
      <c r="I221" s="9"/>
      <c r="J221" s="9"/>
      <c r="K221" s="9"/>
      <c r="L221" s="9"/>
      <c r="M221" s="9"/>
      <c r="N221" s="9"/>
      <c r="O221" s="12"/>
      <c r="P221" s="12"/>
      <c r="Q221" s="12"/>
      <c r="R221" s="12"/>
      <c r="S221" s="12"/>
      <c r="T221" s="12"/>
      <c r="V221" s="20">
        <f t="shared" si="119"/>
        <v>16</v>
      </c>
      <c r="W221" s="20">
        <f t="shared" si="120"/>
        <v>0</v>
      </c>
      <c r="X221" s="20">
        <f t="shared" si="121"/>
        <v>4</v>
      </c>
      <c r="Y221" s="20">
        <f t="shared" si="122"/>
        <v>9</v>
      </c>
      <c r="Z221" s="20">
        <f t="shared" si="123"/>
        <v>0</v>
      </c>
      <c r="AA221" s="20">
        <f t="shared" si="124"/>
        <v>0</v>
      </c>
      <c r="AC221" s="3">
        <f t="shared" si="100"/>
        <v>91</v>
      </c>
      <c r="AD221" s="3">
        <f t="shared" si="101"/>
        <v>86</v>
      </c>
      <c r="AE221" s="3">
        <f t="shared" si="102"/>
        <v>81</v>
      </c>
      <c r="AF221" s="3">
        <f t="shared" si="103"/>
        <v>75</v>
      </c>
      <c r="AG221" s="3">
        <f t="shared" si="104"/>
        <v>70</v>
      </c>
      <c r="AH221" s="3">
        <f t="shared" si="105"/>
        <v>65</v>
      </c>
      <c r="AI221" s="3">
        <f t="shared" si="106"/>
        <v>60</v>
      </c>
      <c r="AJ221" s="3">
        <f t="shared" si="107"/>
        <v>53</v>
      </c>
      <c r="AK221" s="3">
        <f t="shared" si="108"/>
        <v>48</v>
      </c>
      <c r="AL221" s="3">
        <f t="shared" si="109"/>
        <v>43</v>
      </c>
      <c r="AM221" s="3">
        <f t="shared" si="110"/>
        <v>38</v>
      </c>
      <c r="AN221" s="3">
        <f t="shared" si="111"/>
        <v>31</v>
      </c>
      <c r="AO221" s="3">
        <f t="shared" si="112"/>
        <v>26</v>
      </c>
      <c r="AP221" s="3">
        <f t="shared" si="113"/>
        <v>21</v>
      </c>
      <c r="AQ221" s="3">
        <f t="shared" si="114"/>
        <v>0</v>
      </c>
      <c r="AR221" s="3">
        <f t="shared" si="115"/>
        <v>0</v>
      </c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M221" s="35" t="s">
        <v>12</v>
      </c>
      <c r="BO221" s="35"/>
      <c r="BR221" s="9" t="str">
        <f t="shared" si="125"/>
        <v/>
      </c>
      <c r="BS221" s="37" t="str">
        <f t="shared" si="126"/>
        <v/>
      </c>
      <c r="BT221" s="38" t="str">
        <f t="shared" si="117"/>
        <v/>
      </c>
      <c r="BU221" s="36" t="str">
        <f t="shared" si="127"/>
        <v/>
      </c>
    </row>
    <row r="222" spans="2:73" ht="15">
      <c r="B222" s="16">
        <f t="shared" si="128"/>
        <v>44627</v>
      </c>
      <c r="C222" s="15" t="s">
        <v>1</v>
      </c>
      <c r="D222" s="17">
        <f t="shared" si="129"/>
        <v>44633</v>
      </c>
      <c r="E222" s="18">
        <f t="shared" si="130"/>
        <v>3</v>
      </c>
      <c r="F222" s="19">
        <f t="shared" si="131"/>
        <v>2022</v>
      </c>
      <c r="G222" s="9">
        <f t="shared" si="133"/>
        <v>17</v>
      </c>
      <c r="H222" s="8">
        <f t="shared" si="133"/>
        <v>95</v>
      </c>
      <c r="I222" s="9"/>
      <c r="J222" s="9"/>
      <c r="K222" s="9"/>
      <c r="L222" s="9"/>
      <c r="M222" s="9"/>
      <c r="N222" s="9"/>
      <c r="O222" s="12"/>
      <c r="P222" s="12">
        <v>1</v>
      </c>
      <c r="Q222" s="12"/>
      <c r="R222" s="12"/>
      <c r="S222" s="12"/>
      <c r="T222" s="12"/>
      <c r="V222" s="20">
        <f t="shared" si="119"/>
        <v>17</v>
      </c>
      <c r="W222" s="20">
        <f t="shared" si="120"/>
        <v>44629</v>
      </c>
      <c r="X222" s="20">
        <f t="shared" si="121"/>
        <v>5</v>
      </c>
      <c r="Y222" s="20">
        <f t="shared" si="122"/>
        <v>10</v>
      </c>
      <c r="Z222" s="20">
        <f t="shared" si="123"/>
        <v>0</v>
      </c>
      <c r="AA222" s="20">
        <f t="shared" si="124"/>
        <v>0</v>
      </c>
      <c r="AC222" s="3">
        <f t="shared" si="100"/>
        <v>92</v>
      </c>
      <c r="AD222" s="3">
        <f t="shared" si="101"/>
        <v>87</v>
      </c>
      <c r="AE222" s="3">
        <f t="shared" si="102"/>
        <v>82</v>
      </c>
      <c r="AF222" s="3">
        <f t="shared" si="103"/>
        <v>76</v>
      </c>
      <c r="AG222" s="3">
        <f t="shared" si="104"/>
        <v>71</v>
      </c>
      <c r="AH222" s="3">
        <f t="shared" si="105"/>
        <v>66</v>
      </c>
      <c r="AI222" s="3">
        <f t="shared" si="106"/>
        <v>61</v>
      </c>
      <c r="AJ222" s="3">
        <f t="shared" si="107"/>
        <v>54</v>
      </c>
      <c r="AK222" s="3">
        <f t="shared" si="108"/>
        <v>49</v>
      </c>
      <c r="AL222" s="3">
        <f t="shared" si="109"/>
        <v>44</v>
      </c>
      <c r="AM222" s="3">
        <f t="shared" si="110"/>
        <v>39</v>
      </c>
      <c r="AN222" s="3">
        <f t="shared" si="111"/>
        <v>32</v>
      </c>
      <c r="AO222" s="3">
        <f t="shared" si="112"/>
        <v>27</v>
      </c>
      <c r="AP222" s="3">
        <f t="shared" si="113"/>
        <v>22</v>
      </c>
      <c r="AQ222" s="3">
        <f t="shared" si="114"/>
        <v>17</v>
      </c>
      <c r="AR222" s="3">
        <f t="shared" si="115"/>
        <v>0</v>
      </c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>
        <v>1</v>
      </c>
      <c r="BH222" s="8"/>
      <c r="BM222" s="35" t="s">
        <v>12</v>
      </c>
      <c r="BO222" s="35"/>
      <c r="BR222" s="9">
        <f t="shared" si="125"/>
        <v>2</v>
      </c>
      <c r="BS222" s="37">
        <f t="shared" si="126"/>
        <v>44629</v>
      </c>
      <c r="BT222" s="38">
        <f t="shared" si="117"/>
        <v>44748</v>
      </c>
      <c r="BU222" s="36">
        <f t="shared" si="127"/>
        <v>11</v>
      </c>
    </row>
    <row r="223" spans="2:73" ht="15">
      <c r="B223" s="16">
        <f t="shared" si="128"/>
        <v>44634</v>
      </c>
      <c r="C223" s="15" t="s">
        <v>1</v>
      </c>
      <c r="D223" s="17">
        <f t="shared" si="129"/>
        <v>44640</v>
      </c>
      <c r="E223" s="18">
        <f t="shared" si="130"/>
        <v>3</v>
      </c>
      <c r="F223" s="19">
        <f t="shared" si="131"/>
        <v>2022</v>
      </c>
      <c r="G223" s="9">
        <f t="shared" si="133"/>
        <v>17</v>
      </c>
      <c r="H223" s="8">
        <f t="shared" si="133"/>
        <v>95</v>
      </c>
      <c r="I223" s="9"/>
      <c r="J223" s="9"/>
      <c r="K223" s="9"/>
      <c r="L223" s="9"/>
      <c r="M223" s="9"/>
      <c r="N223" s="9"/>
      <c r="O223" s="12"/>
      <c r="P223" s="12"/>
      <c r="Q223" s="12"/>
      <c r="R223" s="12"/>
      <c r="S223" s="12"/>
      <c r="T223" s="12"/>
      <c r="V223" s="20">
        <f t="shared" si="119"/>
        <v>0</v>
      </c>
      <c r="W223" s="20">
        <f t="shared" si="120"/>
        <v>1</v>
      </c>
      <c r="X223" s="20">
        <f t="shared" si="121"/>
        <v>6</v>
      </c>
      <c r="Y223" s="20">
        <f t="shared" si="122"/>
        <v>11</v>
      </c>
      <c r="Z223" s="20">
        <f t="shared" si="123"/>
        <v>0</v>
      </c>
      <c r="AA223" s="20">
        <f t="shared" si="124"/>
        <v>0</v>
      </c>
      <c r="AC223" s="3">
        <f t="shared" si="100"/>
        <v>93</v>
      </c>
      <c r="AD223" s="3">
        <f t="shared" si="101"/>
        <v>88</v>
      </c>
      <c r="AE223" s="3">
        <f t="shared" si="102"/>
        <v>83</v>
      </c>
      <c r="AF223" s="3">
        <f t="shared" si="103"/>
        <v>77</v>
      </c>
      <c r="AG223" s="3">
        <f t="shared" si="104"/>
        <v>72</v>
      </c>
      <c r="AH223" s="3">
        <f t="shared" si="105"/>
        <v>67</v>
      </c>
      <c r="AI223" s="3">
        <f t="shared" si="106"/>
        <v>62</v>
      </c>
      <c r="AJ223" s="3">
        <f t="shared" si="107"/>
        <v>55</v>
      </c>
      <c r="AK223" s="3">
        <f t="shared" si="108"/>
        <v>50</v>
      </c>
      <c r="AL223" s="3">
        <f t="shared" si="109"/>
        <v>45</v>
      </c>
      <c r="AM223" s="3">
        <f t="shared" si="110"/>
        <v>40</v>
      </c>
      <c r="AN223" s="3">
        <f t="shared" si="111"/>
        <v>33</v>
      </c>
      <c r="AO223" s="3">
        <f t="shared" si="112"/>
        <v>28</v>
      </c>
      <c r="AP223" s="3">
        <f t="shared" si="113"/>
        <v>23</v>
      </c>
      <c r="AQ223" s="3">
        <f t="shared" si="114"/>
        <v>18</v>
      </c>
      <c r="AR223" s="3">
        <f t="shared" si="115"/>
        <v>0</v>
      </c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L223">
        <v>10</v>
      </c>
      <c r="BM223" s="35">
        <v>44634</v>
      </c>
      <c r="BO223" s="35">
        <f>B240</f>
        <v>44753</v>
      </c>
      <c r="BP223">
        <v>98</v>
      </c>
      <c r="BR223" s="9" t="str">
        <f t="shared" si="125"/>
        <v/>
      </c>
      <c r="BS223" s="37" t="str">
        <f t="shared" si="126"/>
        <v/>
      </c>
      <c r="BT223" s="38" t="str">
        <f t="shared" si="117"/>
        <v/>
      </c>
      <c r="BU223" s="36" t="str">
        <f t="shared" si="127"/>
        <v/>
      </c>
    </row>
    <row r="224" spans="2:73" ht="15">
      <c r="B224" s="16">
        <f t="shared" si="128"/>
        <v>44641</v>
      </c>
      <c r="C224" s="15" t="s">
        <v>1</v>
      </c>
      <c r="D224" s="17">
        <f t="shared" si="129"/>
        <v>44647</v>
      </c>
      <c r="E224" s="18">
        <f t="shared" si="130"/>
        <v>3</v>
      </c>
      <c r="F224" s="19">
        <f t="shared" si="131"/>
        <v>2022</v>
      </c>
      <c r="G224" s="9">
        <f t="shared" si="133"/>
        <v>17</v>
      </c>
      <c r="H224" s="8">
        <f t="shared" si="133"/>
        <v>95</v>
      </c>
      <c r="I224" s="9"/>
      <c r="J224" s="9"/>
      <c r="K224" s="9"/>
      <c r="L224" s="9"/>
      <c r="M224" s="9"/>
      <c r="N224" s="9"/>
      <c r="O224" s="12"/>
      <c r="P224" s="12"/>
      <c r="Q224" s="12"/>
      <c r="R224" s="12"/>
      <c r="S224" s="12"/>
      <c r="T224" s="12"/>
      <c r="V224" s="20">
        <f t="shared" si="119"/>
        <v>0</v>
      </c>
      <c r="W224" s="20">
        <f t="shared" si="120"/>
        <v>2</v>
      </c>
      <c r="X224" s="20">
        <f t="shared" si="121"/>
        <v>7</v>
      </c>
      <c r="Y224" s="20">
        <f t="shared" si="122"/>
        <v>12</v>
      </c>
      <c r="Z224" s="20">
        <f t="shared" si="123"/>
        <v>0</v>
      </c>
      <c r="AA224" s="20">
        <f t="shared" si="124"/>
        <v>0</v>
      </c>
      <c r="AC224" s="3">
        <f t="shared" si="100"/>
        <v>94</v>
      </c>
      <c r="AD224" s="3">
        <f t="shared" si="101"/>
        <v>89</v>
      </c>
      <c r="AE224" s="3">
        <f t="shared" si="102"/>
        <v>84</v>
      </c>
      <c r="AF224" s="3">
        <f t="shared" si="103"/>
        <v>78</v>
      </c>
      <c r="AG224" s="3">
        <f t="shared" si="104"/>
        <v>73</v>
      </c>
      <c r="AH224" s="3">
        <f t="shared" si="105"/>
        <v>68</v>
      </c>
      <c r="AI224" s="3">
        <f t="shared" si="106"/>
        <v>63</v>
      </c>
      <c r="AJ224" s="3">
        <f t="shared" si="107"/>
        <v>56</v>
      </c>
      <c r="AK224" s="3">
        <f t="shared" si="108"/>
        <v>51</v>
      </c>
      <c r="AL224" s="3">
        <f t="shared" si="109"/>
        <v>46</v>
      </c>
      <c r="AM224" s="3">
        <f t="shared" si="110"/>
        <v>41</v>
      </c>
      <c r="AN224" s="3">
        <f t="shared" si="111"/>
        <v>34</v>
      </c>
      <c r="AO224" s="3">
        <f t="shared" si="112"/>
        <v>29</v>
      </c>
      <c r="AP224" s="3">
        <f t="shared" si="113"/>
        <v>24</v>
      </c>
      <c r="AQ224" s="3">
        <f t="shared" si="114"/>
        <v>19</v>
      </c>
      <c r="AR224" s="3">
        <f t="shared" si="115"/>
        <v>0</v>
      </c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M224" s="35" t="s">
        <v>12</v>
      </c>
      <c r="BO224" s="35"/>
      <c r="BR224" s="9" t="str">
        <f t="shared" si="125"/>
        <v/>
      </c>
      <c r="BS224" s="37" t="str">
        <f t="shared" si="126"/>
        <v/>
      </c>
      <c r="BT224" s="38" t="str">
        <f t="shared" si="117"/>
        <v/>
      </c>
      <c r="BU224" s="36" t="str">
        <f t="shared" si="127"/>
        <v/>
      </c>
    </row>
    <row r="225" spans="2:73" ht="15">
      <c r="B225" s="16">
        <f t="shared" si="128"/>
        <v>44648</v>
      </c>
      <c r="C225" s="15" t="s">
        <v>1</v>
      </c>
      <c r="D225" s="17">
        <f t="shared" si="129"/>
        <v>44654</v>
      </c>
      <c r="E225" s="18">
        <f t="shared" si="130"/>
        <v>3</v>
      </c>
      <c r="F225" s="19">
        <f t="shared" si="131"/>
        <v>2022</v>
      </c>
      <c r="G225" s="9">
        <f t="shared" si="133"/>
        <v>17</v>
      </c>
      <c r="H225" s="8">
        <f t="shared" si="133"/>
        <v>95</v>
      </c>
      <c r="I225" s="9"/>
      <c r="J225" s="9"/>
      <c r="K225" s="9"/>
      <c r="L225" s="9"/>
      <c r="M225" s="9"/>
      <c r="N225" s="9"/>
      <c r="O225" s="12"/>
      <c r="P225" s="12"/>
      <c r="Q225" s="12"/>
      <c r="R225" s="12"/>
      <c r="S225" s="12"/>
      <c r="T225" s="12"/>
      <c r="V225" s="20">
        <f t="shared" si="119"/>
        <v>0</v>
      </c>
      <c r="W225" s="20">
        <f t="shared" si="120"/>
        <v>3</v>
      </c>
      <c r="X225" s="20">
        <f t="shared" si="121"/>
        <v>8</v>
      </c>
      <c r="Y225" s="20">
        <f t="shared" si="122"/>
        <v>13</v>
      </c>
      <c r="Z225" s="20">
        <f t="shared" si="123"/>
        <v>0</v>
      </c>
      <c r="AA225" s="20">
        <f t="shared" si="124"/>
        <v>0</v>
      </c>
      <c r="AC225" s="3">
        <f t="shared" si="100"/>
        <v>95</v>
      </c>
      <c r="AD225" s="3">
        <f t="shared" si="101"/>
        <v>90</v>
      </c>
      <c r="AE225" s="3">
        <f t="shared" si="102"/>
        <v>85</v>
      </c>
      <c r="AF225" s="3">
        <f t="shared" si="103"/>
        <v>79</v>
      </c>
      <c r="AG225" s="3">
        <f t="shared" si="104"/>
        <v>74</v>
      </c>
      <c r="AH225" s="3">
        <f t="shared" si="105"/>
        <v>69</v>
      </c>
      <c r="AI225" s="3">
        <f t="shared" si="106"/>
        <v>64</v>
      </c>
      <c r="AJ225" s="3">
        <f t="shared" si="107"/>
        <v>57</v>
      </c>
      <c r="AK225" s="3">
        <f t="shared" si="108"/>
        <v>52</v>
      </c>
      <c r="AL225" s="3">
        <f t="shared" si="109"/>
        <v>47</v>
      </c>
      <c r="AM225" s="3">
        <f t="shared" si="110"/>
        <v>42</v>
      </c>
      <c r="AN225" s="3">
        <f t="shared" si="111"/>
        <v>35</v>
      </c>
      <c r="AO225" s="3">
        <f t="shared" si="112"/>
        <v>30</v>
      </c>
      <c r="AP225" s="3">
        <f t="shared" si="113"/>
        <v>25</v>
      </c>
      <c r="AQ225" s="3">
        <f t="shared" si="114"/>
        <v>20</v>
      </c>
      <c r="AR225" s="3">
        <f t="shared" si="115"/>
        <v>0</v>
      </c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M225" s="35" t="s">
        <v>12</v>
      </c>
      <c r="BO225" s="35"/>
      <c r="BR225" s="9" t="str">
        <f t="shared" si="125"/>
        <v/>
      </c>
      <c r="BS225" s="37" t="str">
        <f t="shared" si="126"/>
        <v/>
      </c>
      <c r="BT225" s="38" t="str">
        <f t="shared" si="117"/>
        <v/>
      </c>
      <c r="BU225" s="36" t="str">
        <f t="shared" si="127"/>
        <v/>
      </c>
    </row>
    <row r="226" spans="2:73" ht="15">
      <c r="B226" s="16">
        <f t="shared" si="128"/>
        <v>44655</v>
      </c>
      <c r="C226" s="15" t="s">
        <v>1</v>
      </c>
      <c r="D226" s="17">
        <f t="shared" si="129"/>
        <v>44661</v>
      </c>
      <c r="E226" s="18">
        <f t="shared" si="130"/>
        <v>4</v>
      </c>
      <c r="F226" s="19">
        <f t="shared" si="131"/>
        <v>2022</v>
      </c>
      <c r="G226" s="9">
        <f t="shared" si="133"/>
        <v>17</v>
      </c>
      <c r="H226" s="8">
        <f t="shared" si="133"/>
        <v>95</v>
      </c>
      <c r="I226" s="9"/>
      <c r="J226" s="9"/>
      <c r="K226" s="9"/>
      <c r="L226" s="9"/>
      <c r="M226" s="9"/>
      <c r="N226" s="9"/>
      <c r="O226" s="12"/>
      <c r="P226" s="12"/>
      <c r="Q226" s="12"/>
      <c r="R226" s="12"/>
      <c r="S226" s="12"/>
      <c r="T226" s="12"/>
      <c r="V226" s="20">
        <f t="shared" si="119"/>
        <v>0</v>
      </c>
      <c r="W226" s="20">
        <f t="shared" si="120"/>
        <v>4</v>
      </c>
      <c r="X226" s="20">
        <f t="shared" si="121"/>
        <v>9</v>
      </c>
      <c r="Y226" s="20">
        <f t="shared" si="122"/>
        <v>14</v>
      </c>
      <c r="Z226" s="20">
        <f t="shared" si="123"/>
        <v>0</v>
      </c>
      <c r="AA226" s="20">
        <f t="shared" si="124"/>
        <v>0</v>
      </c>
      <c r="AC226" s="3">
        <f t="shared" si="100"/>
        <v>0</v>
      </c>
      <c r="AD226" s="3">
        <f t="shared" si="101"/>
        <v>91</v>
      </c>
      <c r="AE226" s="3">
        <f t="shared" si="102"/>
        <v>86</v>
      </c>
      <c r="AF226" s="3">
        <f t="shared" si="103"/>
        <v>80</v>
      </c>
      <c r="AG226" s="3">
        <f t="shared" si="104"/>
        <v>75</v>
      </c>
      <c r="AH226" s="3">
        <f t="shared" si="105"/>
        <v>70</v>
      </c>
      <c r="AI226" s="3">
        <f t="shared" si="106"/>
        <v>65</v>
      </c>
      <c r="AJ226" s="3">
        <f t="shared" si="107"/>
        <v>58</v>
      </c>
      <c r="AK226" s="3">
        <f t="shared" si="108"/>
        <v>53</v>
      </c>
      <c r="AL226" s="3">
        <f t="shared" si="109"/>
        <v>48</v>
      </c>
      <c r="AM226" s="3">
        <f t="shared" si="110"/>
        <v>43</v>
      </c>
      <c r="AN226" s="3">
        <f t="shared" si="111"/>
        <v>36</v>
      </c>
      <c r="AO226" s="3">
        <f t="shared" si="112"/>
        <v>31</v>
      </c>
      <c r="AP226" s="3">
        <f t="shared" si="113"/>
        <v>26</v>
      </c>
      <c r="AQ226" s="3">
        <f t="shared" si="114"/>
        <v>21</v>
      </c>
      <c r="AR226" s="3">
        <f t="shared" si="115"/>
        <v>0</v>
      </c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M226" s="35" t="s">
        <v>12</v>
      </c>
      <c r="BO226" s="35"/>
      <c r="BR226" s="9" t="str">
        <f t="shared" si="125"/>
        <v/>
      </c>
      <c r="BS226" s="37" t="str">
        <f t="shared" si="126"/>
        <v/>
      </c>
      <c r="BT226" s="38" t="str">
        <f t="shared" si="117"/>
        <v/>
      </c>
      <c r="BU226" s="36" t="str">
        <f t="shared" si="127"/>
        <v/>
      </c>
    </row>
    <row r="227" spans="2:73" ht="15">
      <c r="B227" s="16">
        <f t="shared" si="128"/>
        <v>44662</v>
      </c>
      <c r="C227" s="15" t="s">
        <v>1</v>
      </c>
      <c r="D227" s="17">
        <f t="shared" si="129"/>
        <v>44668</v>
      </c>
      <c r="E227" s="18">
        <f t="shared" si="130"/>
        <v>4</v>
      </c>
      <c r="F227" s="19">
        <f t="shared" si="131"/>
        <v>2022</v>
      </c>
      <c r="G227" s="9">
        <f t="shared" si="133"/>
        <v>17</v>
      </c>
      <c r="H227" s="8">
        <f t="shared" si="133"/>
        <v>95</v>
      </c>
      <c r="I227" s="9"/>
      <c r="J227" s="9"/>
      <c r="K227" s="9"/>
      <c r="L227" s="9"/>
      <c r="M227" s="9"/>
      <c r="N227" s="9"/>
      <c r="O227" s="12">
        <v>1</v>
      </c>
      <c r="P227" s="12"/>
      <c r="Q227" s="12"/>
      <c r="R227" s="12"/>
      <c r="S227" s="12"/>
      <c r="T227" s="12"/>
      <c r="V227" s="20">
        <f t="shared" si="119"/>
        <v>44664</v>
      </c>
      <c r="W227" s="20">
        <f t="shared" si="120"/>
        <v>5</v>
      </c>
      <c r="X227" s="20">
        <f t="shared" si="121"/>
        <v>10</v>
      </c>
      <c r="Y227" s="20">
        <f t="shared" si="122"/>
        <v>15</v>
      </c>
      <c r="Z227" s="20">
        <f t="shared" si="123"/>
        <v>0</v>
      </c>
      <c r="AA227" s="20">
        <f t="shared" si="124"/>
        <v>0</v>
      </c>
      <c r="AC227" s="3">
        <f t="shared" ref="AC227:AC290" si="134">IF(AND(AS227&gt;=$V$2,AS227&lt;=$AA$2),LOOKUP(AS227,$V$2:$AA$2,$V227:$AA227),IF(AS226="A",0,IF(AC226=$H227,0,IF(AC226=0,0,AC226+1))))</f>
        <v>0</v>
      </c>
      <c r="AD227" s="3">
        <f t="shared" ref="AD227:AD290" si="135">IF(AND(AT227&gt;=$V$2,AT227&lt;=$AA$2),LOOKUP(AT227,$V$2:$AA$2,$V227:$AA227),IF(AT226="A",0,IF(AD226=$H227,0,IF(AD226=0,0,AD226+1))))</f>
        <v>92</v>
      </c>
      <c r="AE227" s="3">
        <f t="shared" ref="AE227:AE290" si="136">IF(AND(AU227&gt;=$V$2,AU227&lt;=$AA$2),LOOKUP(AU227,$V$2:$AA$2,$V227:$AA227),IF(AU226="A",0,IF(AE226=$H227,0,IF(AE226=0,0,AE226+1))))</f>
        <v>87</v>
      </c>
      <c r="AF227" s="3">
        <f t="shared" ref="AF227:AF290" si="137">IF(AND(AV227&gt;=$V$2,AV227&lt;=$AA$2),LOOKUP(AV227,$V$2:$AA$2,$V227:$AA227),IF(AV226="A",0,IF(AF226=$H227,0,IF(AF226=0,0,AF226+1))))</f>
        <v>81</v>
      </c>
      <c r="AG227" s="3">
        <f t="shared" ref="AG227:AG290" si="138">IF(AND(AW227&gt;=$V$2,AW227&lt;=$AA$2),LOOKUP(AW227,$V$2:$AA$2,$V227:$AA227),IF(AW226="A",0,IF(AG226=$H227,0,IF(AG226=0,0,AG226+1))))</f>
        <v>76</v>
      </c>
      <c r="AH227" s="3">
        <f t="shared" ref="AH227:AH290" si="139">IF(AND(AX227&gt;=$V$2,AX227&lt;=$AA$2),LOOKUP(AX227,$V$2:$AA$2,$V227:$AA227),IF(AX226="A",0,IF(AH226=$H227,0,IF(AH226=0,0,AH226+1))))</f>
        <v>71</v>
      </c>
      <c r="AI227" s="3">
        <f t="shared" ref="AI227:AI290" si="140">IF(AND(AY227&gt;=$V$2,AY227&lt;=$AA$2),LOOKUP(AY227,$V$2:$AA$2,$V227:$AA227),IF(AY226="A",0,IF(AI226=$H227,0,IF(AI226=0,0,AI226+1))))</f>
        <v>66</v>
      </c>
      <c r="AJ227" s="3">
        <f t="shared" ref="AJ227:AJ290" si="141">IF(AND(AZ227&gt;=$V$2,AZ227&lt;=$AA$2),LOOKUP(AZ227,$V$2:$AA$2,$V227:$AA227),IF(AZ226="A",0,IF(AJ226=$H227,0,IF(AJ226=0,0,AJ226+1))))</f>
        <v>59</v>
      </c>
      <c r="AK227" s="3">
        <f t="shared" ref="AK227:AK290" si="142">IF(AND(BA227&gt;=$V$2,BA227&lt;=$AA$2),LOOKUP(BA227,$V$2:$AA$2,$V227:$AA227),IF(BA226="A",0,IF(AK226=$H227,0,IF(AK226=0,0,AK226+1))))</f>
        <v>54</v>
      </c>
      <c r="AL227" s="3">
        <f t="shared" ref="AL227:AL290" si="143">IF(AND(BB227&gt;=$V$2,BB227&lt;=$AA$2),LOOKUP(BB227,$V$2:$AA$2,$V227:$AA227),IF(BB226="A",0,IF(AL226=$H227,0,IF(AL226=0,0,AL226+1))))</f>
        <v>49</v>
      </c>
      <c r="AM227" s="3">
        <f t="shared" ref="AM227:AM290" si="144">IF(AND(BC227&gt;=$V$2,BC227&lt;=$AA$2),LOOKUP(BC227,$V$2:$AA$2,$V227:$AA227),IF(BC226="A",0,IF(AM226=$H227,0,IF(AM226=0,0,AM226+1))))</f>
        <v>44</v>
      </c>
      <c r="AN227" s="3">
        <f t="shared" ref="AN227:AN290" si="145">IF(AND(BD227&gt;=$V$2,BD227&lt;=$AA$2),LOOKUP(BD227,$V$2:$AA$2,$V227:$AA227),IF(BD226="A",0,IF(AN226=$H227,0,IF(AN226=0,0,AN226+1))))</f>
        <v>37</v>
      </c>
      <c r="AO227" s="3">
        <f t="shared" ref="AO227:AO290" si="146">IF(AND(BE227&gt;=$V$2,BE227&lt;=$AA$2),LOOKUP(BE227,$V$2:$AA$2,$V227:$AA227),IF(BE226="A",0,IF(AO226=$H227,0,IF(AO226=0,0,AO226+1))))</f>
        <v>32</v>
      </c>
      <c r="AP227" s="3">
        <f t="shared" ref="AP227:AP290" si="147">IF(AND(BF227&gt;=$V$2,BF227&lt;=$AA$2),LOOKUP(BF227,$V$2:$AA$2,$V227:$AA227),IF(BF226="A",0,IF(AP226=$H227,0,IF(AP226=0,0,AP226+1))))</f>
        <v>27</v>
      </c>
      <c r="AQ227" s="3">
        <f t="shared" ref="AQ227:AQ290" si="148">IF(AND(BG227&gt;=$V$2,BG227&lt;=$AA$2),LOOKUP(BG227,$V$2:$AA$2,$V227:$AA227),IF(BG226="A",0,IF(AQ226=$H227,0,IF(AQ226=0,0,AQ226+1))))</f>
        <v>22</v>
      </c>
      <c r="AR227" s="3">
        <f t="shared" ref="AR227:AR290" si="149">IF(AND(BH227&gt;=$V$2,BH227&lt;=$AA$2),LOOKUP(BH227,$V$2:$AA$2,$V227:$AA227),IF(BH226="A",0,IF(AR226=$H227,0,IF(AR226=0,0,AR226+1))))</f>
        <v>0</v>
      </c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M227" s="35" t="s">
        <v>12</v>
      </c>
      <c r="BO227" s="35"/>
      <c r="BR227" s="9">
        <f t="shared" si="125"/>
        <v>1</v>
      </c>
      <c r="BS227" s="37">
        <f t="shared" si="126"/>
        <v>44664</v>
      </c>
      <c r="BT227" s="38">
        <f t="shared" si="117"/>
        <v>44783</v>
      </c>
      <c r="BU227" s="36">
        <f t="shared" si="127"/>
        <v>10</v>
      </c>
    </row>
    <row r="228" spans="2:73" ht="15">
      <c r="B228" s="16">
        <f t="shared" si="128"/>
        <v>44669</v>
      </c>
      <c r="C228" s="15" t="s">
        <v>1</v>
      </c>
      <c r="D228" s="17">
        <f t="shared" si="129"/>
        <v>44675</v>
      </c>
      <c r="E228" s="18">
        <f t="shared" si="130"/>
        <v>4</v>
      </c>
      <c r="F228" s="19">
        <f t="shared" si="131"/>
        <v>2022</v>
      </c>
      <c r="G228" s="9">
        <f t="shared" si="133"/>
        <v>17</v>
      </c>
      <c r="H228" s="8">
        <f t="shared" si="133"/>
        <v>95</v>
      </c>
      <c r="I228" s="9"/>
      <c r="J228" s="9"/>
      <c r="K228" s="9"/>
      <c r="L228" s="9"/>
      <c r="M228" s="9"/>
      <c r="N228" s="9"/>
      <c r="O228" s="12"/>
      <c r="P228" s="12"/>
      <c r="Q228" s="12"/>
      <c r="R228" s="12"/>
      <c r="S228" s="12"/>
      <c r="T228" s="12"/>
      <c r="V228" s="20">
        <f t="shared" si="119"/>
        <v>1</v>
      </c>
      <c r="W228" s="20">
        <f t="shared" si="120"/>
        <v>6</v>
      </c>
      <c r="X228" s="20">
        <f t="shared" si="121"/>
        <v>11</v>
      </c>
      <c r="Y228" s="20">
        <f t="shared" si="122"/>
        <v>16</v>
      </c>
      <c r="Z228" s="20">
        <f t="shared" si="123"/>
        <v>0</v>
      </c>
      <c r="AA228" s="20">
        <f t="shared" si="124"/>
        <v>0</v>
      </c>
      <c r="AC228" s="3">
        <f t="shared" si="134"/>
        <v>0</v>
      </c>
      <c r="AD228" s="3">
        <f t="shared" si="135"/>
        <v>93</v>
      </c>
      <c r="AE228" s="3">
        <f t="shared" si="136"/>
        <v>88</v>
      </c>
      <c r="AF228" s="3">
        <f t="shared" si="137"/>
        <v>82</v>
      </c>
      <c r="AG228" s="3">
        <f t="shared" si="138"/>
        <v>77</v>
      </c>
      <c r="AH228" s="3">
        <f t="shared" si="139"/>
        <v>72</v>
      </c>
      <c r="AI228" s="3">
        <f t="shared" si="140"/>
        <v>67</v>
      </c>
      <c r="AJ228" s="3">
        <f t="shared" si="141"/>
        <v>60</v>
      </c>
      <c r="AK228" s="3">
        <f t="shared" si="142"/>
        <v>55</v>
      </c>
      <c r="AL228" s="3">
        <f t="shared" si="143"/>
        <v>50</v>
      </c>
      <c r="AM228" s="3">
        <f t="shared" si="144"/>
        <v>45</v>
      </c>
      <c r="AN228" s="3">
        <f t="shared" si="145"/>
        <v>38</v>
      </c>
      <c r="AO228" s="3">
        <f t="shared" si="146"/>
        <v>33</v>
      </c>
      <c r="AP228" s="3">
        <f t="shared" si="147"/>
        <v>28</v>
      </c>
      <c r="AQ228" s="3">
        <f t="shared" si="148"/>
        <v>23</v>
      </c>
      <c r="AR228" s="3">
        <f t="shared" si="149"/>
        <v>0</v>
      </c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L228">
        <v>11</v>
      </c>
      <c r="BM228" s="35">
        <v>44669</v>
      </c>
      <c r="BO228" s="35">
        <f>B245</f>
        <v>44788</v>
      </c>
      <c r="BP228">
        <v>98</v>
      </c>
      <c r="BR228" s="9" t="str">
        <f t="shared" si="125"/>
        <v/>
      </c>
      <c r="BS228" s="37" t="str">
        <f t="shared" si="126"/>
        <v/>
      </c>
      <c r="BT228" s="38" t="str">
        <f t="shared" si="117"/>
        <v/>
      </c>
      <c r="BU228" s="36" t="str">
        <f t="shared" si="127"/>
        <v/>
      </c>
    </row>
    <row r="229" spans="2:73" ht="15">
      <c r="B229" s="16">
        <f t="shared" si="128"/>
        <v>44676</v>
      </c>
      <c r="C229" s="15" t="s">
        <v>1</v>
      </c>
      <c r="D229" s="17">
        <f t="shared" si="129"/>
        <v>44682</v>
      </c>
      <c r="E229" s="18">
        <f t="shared" si="130"/>
        <v>4</v>
      </c>
      <c r="F229" s="19">
        <f t="shared" si="131"/>
        <v>2022</v>
      </c>
      <c r="G229" s="9">
        <f t="shared" si="133"/>
        <v>17</v>
      </c>
      <c r="H229" s="8">
        <f t="shared" si="133"/>
        <v>95</v>
      </c>
      <c r="I229" s="9"/>
      <c r="J229" s="9"/>
      <c r="K229" s="9"/>
      <c r="L229" s="9"/>
      <c r="M229" s="9"/>
      <c r="N229" s="9"/>
      <c r="O229" s="12"/>
      <c r="P229" s="12"/>
      <c r="Q229" s="12"/>
      <c r="R229" s="12"/>
      <c r="S229" s="12"/>
      <c r="T229" s="12"/>
      <c r="V229" s="20">
        <f t="shared" si="119"/>
        <v>2</v>
      </c>
      <c r="W229" s="20">
        <f t="shared" si="120"/>
        <v>7</v>
      </c>
      <c r="X229" s="20">
        <f t="shared" si="121"/>
        <v>12</v>
      </c>
      <c r="Y229" s="20">
        <f t="shared" si="122"/>
        <v>17</v>
      </c>
      <c r="Z229" s="20">
        <f t="shared" si="123"/>
        <v>0</v>
      </c>
      <c r="AA229" s="20">
        <f t="shared" si="124"/>
        <v>0</v>
      </c>
      <c r="AC229" s="3">
        <f t="shared" si="134"/>
        <v>0</v>
      </c>
      <c r="AD229" s="3">
        <f t="shared" si="135"/>
        <v>94</v>
      </c>
      <c r="AE229" s="3">
        <f t="shared" si="136"/>
        <v>89</v>
      </c>
      <c r="AF229" s="3">
        <f t="shared" si="137"/>
        <v>83</v>
      </c>
      <c r="AG229" s="3">
        <f t="shared" si="138"/>
        <v>78</v>
      </c>
      <c r="AH229" s="3">
        <f t="shared" si="139"/>
        <v>73</v>
      </c>
      <c r="AI229" s="3">
        <f t="shared" si="140"/>
        <v>68</v>
      </c>
      <c r="AJ229" s="3">
        <f t="shared" si="141"/>
        <v>61</v>
      </c>
      <c r="AK229" s="3">
        <f t="shared" si="142"/>
        <v>56</v>
      </c>
      <c r="AL229" s="3">
        <f t="shared" si="143"/>
        <v>51</v>
      </c>
      <c r="AM229" s="3">
        <f t="shared" si="144"/>
        <v>46</v>
      </c>
      <c r="AN229" s="3">
        <f t="shared" si="145"/>
        <v>39</v>
      </c>
      <c r="AO229" s="3">
        <f t="shared" si="146"/>
        <v>34</v>
      </c>
      <c r="AP229" s="3">
        <f t="shared" si="147"/>
        <v>29</v>
      </c>
      <c r="AQ229" s="3">
        <f t="shared" si="148"/>
        <v>24</v>
      </c>
      <c r="AR229" s="3">
        <f t="shared" si="149"/>
        <v>17</v>
      </c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>
        <v>4</v>
      </c>
      <c r="BM229" s="35" t="s">
        <v>12</v>
      </c>
      <c r="BO229" s="35"/>
      <c r="BR229" s="9" t="str">
        <f t="shared" si="125"/>
        <v/>
      </c>
      <c r="BS229" s="37" t="str">
        <f t="shared" si="126"/>
        <v/>
      </c>
      <c r="BT229" s="38" t="str">
        <f t="shared" si="117"/>
        <v/>
      </c>
      <c r="BU229" s="36" t="str">
        <f t="shared" si="127"/>
        <v/>
      </c>
    </row>
    <row r="230" spans="2:73" ht="15">
      <c r="B230" s="16">
        <f t="shared" si="128"/>
        <v>44683</v>
      </c>
      <c r="C230" s="15" t="s">
        <v>1</v>
      </c>
      <c r="D230" s="17">
        <f t="shared" si="129"/>
        <v>44689</v>
      </c>
      <c r="E230" s="18">
        <f t="shared" si="130"/>
        <v>5</v>
      </c>
      <c r="F230" s="19">
        <f t="shared" si="131"/>
        <v>2022</v>
      </c>
      <c r="G230" s="9">
        <f t="shared" ref="G230:H245" si="150">G229</f>
        <v>17</v>
      </c>
      <c r="H230" s="8">
        <f t="shared" si="150"/>
        <v>95</v>
      </c>
      <c r="I230" s="9"/>
      <c r="J230" s="9"/>
      <c r="K230" s="9"/>
      <c r="L230" s="9"/>
      <c r="M230" s="9"/>
      <c r="N230" s="9"/>
      <c r="O230" s="12"/>
      <c r="P230" s="12"/>
      <c r="Q230" s="12"/>
      <c r="R230" s="12"/>
      <c r="S230" s="12"/>
      <c r="T230" s="12"/>
      <c r="V230" s="20">
        <f t="shared" si="119"/>
        <v>3</v>
      </c>
      <c r="W230" s="20">
        <f t="shared" si="120"/>
        <v>8</v>
      </c>
      <c r="X230" s="20">
        <f t="shared" si="121"/>
        <v>13</v>
      </c>
      <c r="Y230" s="20">
        <f t="shared" si="122"/>
        <v>0</v>
      </c>
      <c r="Z230" s="20">
        <f t="shared" si="123"/>
        <v>0</v>
      </c>
      <c r="AA230" s="20">
        <f t="shared" si="124"/>
        <v>0</v>
      </c>
      <c r="AC230" s="3">
        <f t="shared" si="134"/>
        <v>0</v>
      </c>
      <c r="AD230" s="3">
        <f t="shared" si="135"/>
        <v>95</v>
      </c>
      <c r="AE230" s="3">
        <f t="shared" si="136"/>
        <v>90</v>
      </c>
      <c r="AF230" s="3">
        <f t="shared" si="137"/>
        <v>84</v>
      </c>
      <c r="AG230" s="3">
        <f t="shared" si="138"/>
        <v>79</v>
      </c>
      <c r="AH230" s="3">
        <f t="shared" si="139"/>
        <v>74</v>
      </c>
      <c r="AI230" s="3">
        <f t="shared" si="140"/>
        <v>69</v>
      </c>
      <c r="AJ230" s="3">
        <f t="shared" si="141"/>
        <v>62</v>
      </c>
      <c r="AK230" s="3">
        <f t="shared" si="142"/>
        <v>57</v>
      </c>
      <c r="AL230" s="3">
        <f t="shared" si="143"/>
        <v>52</v>
      </c>
      <c r="AM230" s="3">
        <f t="shared" si="144"/>
        <v>47</v>
      </c>
      <c r="AN230" s="3">
        <f t="shared" si="145"/>
        <v>40</v>
      </c>
      <c r="AO230" s="3">
        <f t="shared" si="146"/>
        <v>35</v>
      </c>
      <c r="AP230" s="3">
        <f t="shared" si="147"/>
        <v>30</v>
      </c>
      <c r="AQ230" s="3">
        <f t="shared" si="148"/>
        <v>25</v>
      </c>
      <c r="AR230" s="3">
        <f t="shared" si="149"/>
        <v>18</v>
      </c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M230" s="35" t="s">
        <v>12</v>
      </c>
      <c r="BO230" s="35"/>
      <c r="BR230" s="9" t="str">
        <f t="shared" si="125"/>
        <v/>
      </c>
      <c r="BS230" s="37" t="str">
        <f t="shared" si="126"/>
        <v/>
      </c>
      <c r="BT230" s="38" t="str">
        <f t="shared" si="117"/>
        <v/>
      </c>
      <c r="BU230" s="36" t="str">
        <f t="shared" si="127"/>
        <v/>
      </c>
    </row>
    <row r="231" spans="2:73" ht="15">
      <c r="B231" s="16">
        <f t="shared" si="128"/>
        <v>44690</v>
      </c>
      <c r="C231" s="15" t="s">
        <v>1</v>
      </c>
      <c r="D231" s="17">
        <f t="shared" si="129"/>
        <v>44696</v>
      </c>
      <c r="E231" s="18">
        <f t="shared" si="130"/>
        <v>5</v>
      </c>
      <c r="F231" s="19">
        <f t="shared" si="131"/>
        <v>2022</v>
      </c>
      <c r="G231" s="9">
        <f t="shared" si="150"/>
        <v>17</v>
      </c>
      <c r="H231" s="8">
        <f t="shared" si="150"/>
        <v>95</v>
      </c>
      <c r="I231" s="9"/>
      <c r="J231" s="9"/>
      <c r="K231" s="9"/>
      <c r="L231" s="9"/>
      <c r="M231" s="9"/>
      <c r="N231" s="9"/>
      <c r="O231" s="12"/>
      <c r="P231" s="12"/>
      <c r="Q231" s="12"/>
      <c r="R231" s="12"/>
      <c r="S231" s="12"/>
      <c r="T231" s="12"/>
      <c r="V231" s="20">
        <f t="shared" si="119"/>
        <v>4</v>
      </c>
      <c r="W231" s="20">
        <f t="shared" si="120"/>
        <v>9</v>
      </c>
      <c r="X231" s="20">
        <f t="shared" si="121"/>
        <v>14</v>
      </c>
      <c r="Y231" s="20">
        <f t="shared" si="122"/>
        <v>0</v>
      </c>
      <c r="Z231" s="20">
        <f t="shared" si="123"/>
        <v>0</v>
      </c>
      <c r="AA231" s="20">
        <f t="shared" si="124"/>
        <v>0</v>
      </c>
      <c r="AC231" s="3">
        <f t="shared" si="134"/>
        <v>0</v>
      </c>
      <c r="AD231" s="3">
        <f t="shared" si="135"/>
        <v>0</v>
      </c>
      <c r="AE231" s="3">
        <f t="shared" si="136"/>
        <v>91</v>
      </c>
      <c r="AF231" s="3">
        <f t="shared" si="137"/>
        <v>85</v>
      </c>
      <c r="AG231" s="3">
        <f t="shared" si="138"/>
        <v>80</v>
      </c>
      <c r="AH231" s="3">
        <f t="shared" si="139"/>
        <v>75</v>
      </c>
      <c r="AI231" s="3">
        <f t="shared" si="140"/>
        <v>70</v>
      </c>
      <c r="AJ231" s="3">
        <f t="shared" si="141"/>
        <v>63</v>
      </c>
      <c r="AK231" s="3">
        <f t="shared" si="142"/>
        <v>58</v>
      </c>
      <c r="AL231" s="3">
        <f t="shared" si="143"/>
        <v>53</v>
      </c>
      <c r="AM231" s="3">
        <f t="shared" si="144"/>
        <v>48</v>
      </c>
      <c r="AN231" s="3">
        <f t="shared" si="145"/>
        <v>41</v>
      </c>
      <c r="AO231" s="3">
        <f t="shared" si="146"/>
        <v>36</v>
      </c>
      <c r="AP231" s="3">
        <f t="shared" si="147"/>
        <v>31</v>
      </c>
      <c r="AQ231" s="3">
        <f t="shared" si="148"/>
        <v>26</v>
      </c>
      <c r="AR231" s="3">
        <f t="shared" si="149"/>
        <v>19</v>
      </c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M231" s="35" t="s">
        <v>12</v>
      </c>
      <c r="BO231" s="35"/>
      <c r="BR231" s="9" t="str">
        <f t="shared" si="125"/>
        <v/>
      </c>
      <c r="BS231" s="37" t="str">
        <f t="shared" si="126"/>
        <v/>
      </c>
      <c r="BT231" s="38" t="str">
        <f t="shared" si="117"/>
        <v/>
      </c>
      <c r="BU231" s="36" t="str">
        <f t="shared" si="127"/>
        <v/>
      </c>
    </row>
    <row r="232" spans="2:73" ht="15">
      <c r="B232" s="16">
        <f t="shared" si="128"/>
        <v>44697</v>
      </c>
      <c r="C232" s="15" t="s">
        <v>1</v>
      </c>
      <c r="D232" s="17">
        <f t="shared" si="129"/>
        <v>44703</v>
      </c>
      <c r="E232" s="18">
        <f t="shared" si="130"/>
        <v>5</v>
      </c>
      <c r="F232" s="19">
        <f t="shared" si="131"/>
        <v>2022</v>
      </c>
      <c r="G232" s="9">
        <f t="shared" si="150"/>
        <v>17</v>
      </c>
      <c r="H232" s="8">
        <f t="shared" si="150"/>
        <v>95</v>
      </c>
      <c r="I232" s="9"/>
      <c r="J232" s="9"/>
      <c r="K232" s="9"/>
      <c r="L232" s="9"/>
      <c r="M232" s="9"/>
      <c r="N232" s="9"/>
      <c r="O232" s="12"/>
      <c r="P232" s="12"/>
      <c r="Q232" s="12"/>
      <c r="R232" s="12"/>
      <c r="S232" s="12"/>
      <c r="T232" s="12"/>
      <c r="V232" s="20">
        <f t="shared" si="119"/>
        <v>5</v>
      </c>
      <c r="W232" s="20">
        <f t="shared" si="120"/>
        <v>10</v>
      </c>
      <c r="X232" s="20">
        <f t="shared" si="121"/>
        <v>15</v>
      </c>
      <c r="Y232" s="20">
        <f t="shared" si="122"/>
        <v>0</v>
      </c>
      <c r="Z232" s="20">
        <f t="shared" si="123"/>
        <v>0</v>
      </c>
      <c r="AA232" s="20">
        <f t="shared" si="124"/>
        <v>0</v>
      </c>
      <c r="AC232" s="3">
        <f t="shared" si="134"/>
        <v>0</v>
      </c>
      <c r="AD232" s="3">
        <f t="shared" si="135"/>
        <v>0</v>
      </c>
      <c r="AE232" s="3">
        <f t="shared" si="136"/>
        <v>92</v>
      </c>
      <c r="AF232" s="3">
        <f t="shared" si="137"/>
        <v>86</v>
      </c>
      <c r="AG232" s="3">
        <f t="shared" si="138"/>
        <v>81</v>
      </c>
      <c r="AH232" s="3">
        <f t="shared" si="139"/>
        <v>76</v>
      </c>
      <c r="AI232" s="3">
        <f t="shared" si="140"/>
        <v>71</v>
      </c>
      <c r="AJ232" s="3">
        <f t="shared" si="141"/>
        <v>64</v>
      </c>
      <c r="AK232" s="3">
        <f t="shared" si="142"/>
        <v>59</v>
      </c>
      <c r="AL232" s="3">
        <f t="shared" si="143"/>
        <v>54</v>
      </c>
      <c r="AM232" s="3">
        <f t="shared" si="144"/>
        <v>49</v>
      </c>
      <c r="AN232" s="3">
        <f t="shared" si="145"/>
        <v>42</v>
      </c>
      <c r="AO232" s="3">
        <f t="shared" si="146"/>
        <v>37</v>
      </c>
      <c r="AP232" s="3">
        <f t="shared" si="147"/>
        <v>32</v>
      </c>
      <c r="AQ232" s="3">
        <f t="shared" si="148"/>
        <v>27</v>
      </c>
      <c r="AR232" s="3">
        <f t="shared" si="149"/>
        <v>20</v>
      </c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M232" s="35" t="s">
        <v>12</v>
      </c>
      <c r="BO232" s="35"/>
      <c r="BR232" s="9" t="str">
        <f t="shared" si="125"/>
        <v/>
      </c>
      <c r="BS232" s="37" t="str">
        <f t="shared" si="126"/>
        <v/>
      </c>
      <c r="BT232" s="38" t="str">
        <f t="shared" si="117"/>
        <v/>
      </c>
      <c r="BU232" s="36" t="str">
        <f t="shared" si="127"/>
        <v/>
      </c>
    </row>
    <row r="233" spans="2:73" ht="15">
      <c r="B233" s="16">
        <f t="shared" si="128"/>
        <v>44704</v>
      </c>
      <c r="C233" s="15" t="s">
        <v>1</v>
      </c>
      <c r="D233" s="17">
        <f t="shared" si="129"/>
        <v>44710</v>
      </c>
      <c r="E233" s="18">
        <f t="shared" si="130"/>
        <v>5</v>
      </c>
      <c r="F233" s="19">
        <f t="shared" si="131"/>
        <v>2022</v>
      </c>
      <c r="G233" s="9">
        <f t="shared" si="150"/>
        <v>17</v>
      </c>
      <c r="H233" s="8">
        <f t="shared" si="150"/>
        <v>95</v>
      </c>
      <c r="I233" s="9"/>
      <c r="J233" s="9"/>
      <c r="K233" s="9"/>
      <c r="L233" s="9"/>
      <c r="M233" s="9"/>
      <c r="N233" s="9"/>
      <c r="O233" s="12"/>
      <c r="P233" s="12"/>
      <c r="Q233" s="12"/>
      <c r="R233" s="12">
        <v>1</v>
      </c>
      <c r="S233" s="12"/>
      <c r="T233" s="12"/>
      <c r="V233" s="20">
        <f t="shared" si="119"/>
        <v>6</v>
      </c>
      <c r="W233" s="20">
        <f t="shared" si="120"/>
        <v>11</v>
      </c>
      <c r="X233" s="20">
        <f t="shared" si="121"/>
        <v>16</v>
      </c>
      <c r="Y233" s="20">
        <f t="shared" si="122"/>
        <v>44706</v>
      </c>
      <c r="Z233" s="20">
        <f t="shared" si="123"/>
        <v>0</v>
      </c>
      <c r="AA233" s="20">
        <f t="shared" si="124"/>
        <v>0</v>
      </c>
      <c r="AC233" s="3">
        <f t="shared" si="134"/>
        <v>0</v>
      </c>
      <c r="AD233" s="3">
        <f t="shared" si="135"/>
        <v>0</v>
      </c>
      <c r="AE233" s="3">
        <f t="shared" si="136"/>
        <v>93</v>
      </c>
      <c r="AF233" s="3">
        <f t="shared" si="137"/>
        <v>87</v>
      </c>
      <c r="AG233" s="3">
        <f t="shared" si="138"/>
        <v>82</v>
      </c>
      <c r="AH233" s="3">
        <f t="shared" si="139"/>
        <v>77</v>
      </c>
      <c r="AI233" s="3">
        <f t="shared" si="140"/>
        <v>72</v>
      </c>
      <c r="AJ233" s="3">
        <f t="shared" si="141"/>
        <v>65</v>
      </c>
      <c r="AK233" s="3">
        <f t="shared" si="142"/>
        <v>60</v>
      </c>
      <c r="AL233" s="3">
        <f t="shared" si="143"/>
        <v>55</v>
      </c>
      <c r="AM233" s="3">
        <f t="shared" si="144"/>
        <v>50</v>
      </c>
      <c r="AN233" s="3">
        <f t="shared" si="145"/>
        <v>43</v>
      </c>
      <c r="AO233" s="3">
        <f t="shared" si="146"/>
        <v>38</v>
      </c>
      <c r="AP233" s="3">
        <f t="shared" si="147"/>
        <v>33</v>
      </c>
      <c r="AQ233" s="3">
        <f t="shared" si="148"/>
        <v>28</v>
      </c>
      <c r="AR233" s="3">
        <f t="shared" si="149"/>
        <v>21</v>
      </c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M233" s="35" t="s">
        <v>12</v>
      </c>
      <c r="BO233" s="35"/>
      <c r="BR233" s="9">
        <f t="shared" si="125"/>
        <v>4</v>
      </c>
      <c r="BS233" s="37">
        <f t="shared" si="126"/>
        <v>44706</v>
      </c>
      <c r="BT233" s="38">
        <f t="shared" si="117"/>
        <v>44825</v>
      </c>
      <c r="BU233" s="36">
        <f t="shared" si="127"/>
        <v>12</v>
      </c>
    </row>
    <row r="234" spans="2:73" ht="15">
      <c r="B234" s="16">
        <f t="shared" si="128"/>
        <v>44711</v>
      </c>
      <c r="C234" s="15" t="s">
        <v>1</v>
      </c>
      <c r="D234" s="17">
        <f t="shared" si="129"/>
        <v>44717</v>
      </c>
      <c r="E234" s="18">
        <f t="shared" si="130"/>
        <v>5</v>
      </c>
      <c r="F234" s="19">
        <f t="shared" si="131"/>
        <v>2022</v>
      </c>
      <c r="G234" s="9">
        <f t="shared" si="150"/>
        <v>17</v>
      </c>
      <c r="H234" s="8">
        <f t="shared" si="150"/>
        <v>95</v>
      </c>
      <c r="I234" s="9"/>
      <c r="J234" s="9"/>
      <c r="K234" s="9"/>
      <c r="L234" s="9"/>
      <c r="M234" s="9"/>
      <c r="N234" s="9"/>
      <c r="O234" s="12"/>
      <c r="P234" s="12"/>
      <c r="Q234" s="12"/>
      <c r="R234" s="12"/>
      <c r="S234" s="12"/>
      <c r="T234" s="12"/>
      <c r="V234" s="20">
        <f t="shared" si="119"/>
        <v>7</v>
      </c>
      <c r="W234" s="20">
        <f t="shared" si="120"/>
        <v>12</v>
      </c>
      <c r="X234" s="20">
        <f t="shared" si="121"/>
        <v>17</v>
      </c>
      <c r="Y234" s="20">
        <f t="shared" si="122"/>
        <v>1</v>
      </c>
      <c r="Z234" s="20">
        <f t="shared" si="123"/>
        <v>0</v>
      </c>
      <c r="AA234" s="20">
        <f t="shared" si="124"/>
        <v>0</v>
      </c>
      <c r="AC234" s="3">
        <f t="shared" si="134"/>
        <v>17</v>
      </c>
      <c r="AD234" s="3">
        <f t="shared" si="135"/>
        <v>0</v>
      </c>
      <c r="AE234" s="3">
        <f t="shared" si="136"/>
        <v>94</v>
      </c>
      <c r="AF234" s="3">
        <f t="shared" si="137"/>
        <v>88</v>
      </c>
      <c r="AG234" s="3">
        <f t="shared" si="138"/>
        <v>83</v>
      </c>
      <c r="AH234" s="3">
        <f t="shared" si="139"/>
        <v>78</v>
      </c>
      <c r="AI234" s="3">
        <f t="shared" si="140"/>
        <v>73</v>
      </c>
      <c r="AJ234" s="3">
        <f t="shared" si="141"/>
        <v>66</v>
      </c>
      <c r="AK234" s="3">
        <f t="shared" si="142"/>
        <v>61</v>
      </c>
      <c r="AL234" s="3">
        <f t="shared" si="143"/>
        <v>56</v>
      </c>
      <c r="AM234" s="3">
        <f t="shared" si="144"/>
        <v>51</v>
      </c>
      <c r="AN234" s="3">
        <f t="shared" si="145"/>
        <v>44</v>
      </c>
      <c r="AO234" s="3">
        <f t="shared" si="146"/>
        <v>39</v>
      </c>
      <c r="AP234" s="3">
        <f t="shared" si="147"/>
        <v>34</v>
      </c>
      <c r="AQ234" s="3">
        <f t="shared" si="148"/>
        <v>29</v>
      </c>
      <c r="AR234" s="3">
        <f t="shared" si="149"/>
        <v>22</v>
      </c>
      <c r="AS234" s="8">
        <v>3</v>
      </c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M234" s="35" t="s">
        <v>12</v>
      </c>
      <c r="BO234" s="35"/>
      <c r="BR234" s="9" t="str">
        <f t="shared" si="125"/>
        <v/>
      </c>
      <c r="BS234" s="37" t="str">
        <f t="shared" si="126"/>
        <v/>
      </c>
      <c r="BT234" s="38" t="str">
        <f t="shared" ref="BT234:BT297" si="151">IF(BS234="","",BS234+(17*7))</f>
        <v/>
      </c>
      <c r="BU234" s="36" t="str">
        <f t="shared" si="127"/>
        <v/>
      </c>
    </row>
    <row r="235" spans="2:73" ht="15">
      <c r="B235" s="16">
        <f t="shared" si="128"/>
        <v>44718</v>
      </c>
      <c r="C235" s="15" t="s">
        <v>1</v>
      </c>
      <c r="D235" s="17">
        <f t="shared" si="129"/>
        <v>44724</v>
      </c>
      <c r="E235" s="18">
        <f t="shared" si="130"/>
        <v>6</v>
      </c>
      <c r="F235" s="19">
        <f t="shared" si="131"/>
        <v>2022</v>
      </c>
      <c r="G235" s="9">
        <f t="shared" si="150"/>
        <v>17</v>
      </c>
      <c r="H235" s="8">
        <f t="shared" si="150"/>
        <v>95</v>
      </c>
      <c r="I235" s="9"/>
      <c r="J235" s="9"/>
      <c r="K235" s="9"/>
      <c r="L235" s="9"/>
      <c r="M235" s="9"/>
      <c r="N235" s="9"/>
      <c r="O235" s="12"/>
      <c r="P235" s="12"/>
      <c r="Q235" s="12"/>
      <c r="R235" s="12"/>
      <c r="S235" s="12"/>
      <c r="T235" s="12"/>
      <c r="V235" s="20">
        <f t="shared" si="119"/>
        <v>8</v>
      </c>
      <c r="W235" s="20">
        <f t="shared" si="120"/>
        <v>13</v>
      </c>
      <c r="X235" s="20">
        <f t="shared" si="121"/>
        <v>0</v>
      </c>
      <c r="Y235" s="20">
        <f t="shared" si="122"/>
        <v>2</v>
      </c>
      <c r="Z235" s="20">
        <f t="shared" si="123"/>
        <v>0</v>
      </c>
      <c r="AA235" s="20">
        <f t="shared" si="124"/>
        <v>0</v>
      </c>
      <c r="AC235" s="3">
        <f t="shared" si="134"/>
        <v>18</v>
      </c>
      <c r="AD235" s="3">
        <f t="shared" si="135"/>
        <v>0</v>
      </c>
      <c r="AE235" s="3">
        <f t="shared" si="136"/>
        <v>95</v>
      </c>
      <c r="AF235" s="3">
        <f t="shared" si="137"/>
        <v>89</v>
      </c>
      <c r="AG235" s="3">
        <f t="shared" si="138"/>
        <v>84</v>
      </c>
      <c r="AH235" s="3">
        <f t="shared" si="139"/>
        <v>79</v>
      </c>
      <c r="AI235" s="3">
        <f t="shared" si="140"/>
        <v>74</v>
      </c>
      <c r="AJ235" s="3">
        <f t="shared" si="141"/>
        <v>67</v>
      </c>
      <c r="AK235" s="3">
        <f t="shared" si="142"/>
        <v>62</v>
      </c>
      <c r="AL235" s="3">
        <f t="shared" si="143"/>
        <v>57</v>
      </c>
      <c r="AM235" s="3">
        <f t="shared" si="144"/>
        <v>52</v>
      </c>
      <c r="AN235" s="3">
        <f t="shared" si="145"/>
        <v>45</v>
      </c>
      <c r="AO235" s="3">
        <f t="shared" si="146"/>
        <v>40</v>
      </c>
      <c r="AP235" s="3">
        <f t="shared" si="147"/>
        <v>35</v>
      </c>
      <c r="AQ235" s="3">
        <f t="shared" si="148"/>
        <v>30</v>
      </c>
      <c r="AR235" s="3">
        <f t="shared" si="149"/>
        <v>23</v>
      </c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L235">
        <v>12</v>
      </c>
      <c r="BM235" s="35">
        <v>44718</v>
      </c>
      <c r="BO235" s="35">
        <f>B252</f>
        <v>44837</v>
      </c>
      <c r="BP235">
        <v>98</v>
      </c>
      <c r="BR235" s="9" t="str">
        <f t="shared" si="125"/>
        <v/>
      </c>
      <c r="BS235" s="37" t="str">
        <f t="shared" si="126"/>
        <v/>
      </c>
      <c r="BT235" s="38" t="str">
        <f t="shared" si="151"/>
        <v/>
      </c>
      <c r="BU235" s="36" t="str">
        <f t="shared" si="127"/>
        <v/>
      </c>
    </row>
    <row r="236" spans="2:73" ht="15">
      <c r="B236" s="16">
        <f t="shared" si="128"/>
        <v>44725</v>
      </c>
      <c r="C236" s="15" t="s">
        <v>1</v>
      </c>
      <c r="D236" s="17">
        <f t="shared" si="129"/>
        <v>44731</v>
      </c>
      <c r="E236" s="18">
        <f t="shared" si="130"/>
        <v>6</v>
      </c>
      <c r="F236" s="19">
        <f t="shared" si="131"/>
        <v>2022</v>
      </c>
      <c r="G236" s="9">
        <f t="shared" si="150"/>
        <v>17</v>
      </c>
      <c r="H236" s="8">
        <f t="shared" si="150"/>
        <v>95</v>
      </c>
      <c r="I236" s="9"/>
      <c r="J236" s="9"/>
      <c r="K236" s="9"/>
      <c r="L236" s="9"/>
      <c r="M236" s="9"/>
      <c r="N236" s="9"/>
      <c r="O236" s="12"/>
      <c r="P236" s="12"/>
      <c r="Q236" s="12"/>
      <c r="R236" s="12"/>
      <c r="S236" s="12"/>
      <c r="T236" s="12"/>
      <c r="V236" s="20">
        <f t="shared" si="119"/>
        <v>9</v>
      </c>
      <c r="W236" s="20">
        <f t="shared" si="120"/>
        <v>14</v>
      </c>
      <c r="X236" s="20">
        <f t="shared" si="121"/>
        <v>0</v>
      </c>
      <c r="Y236" s="20">
        <f t="shared" si="122"/>
        <v>3</v>
      </c>
      <c r="Z236" s="20">
        <f t="shared" si="123"/>
        <v>0</v>
      </c>
      <c r="AA236" s="20">
        <f t="shared" si="124"/>
        <v>0</v>
      </c>
      <c r="AC236" s="3">
        <f t="shared" si="134"/>
        <v>19</v>
      </c>
      <c r="AD236" s="3">
        <f t="shared" si="135"/>
        <v>0</v>
      </c>
      <c r="AE236" s="3">
        <f t="shared" si="136"/>
        <v>0</v>
      </c>
      <c r="AF236" s="3">
        <f t="shared" si="137"/>
        <v>90</v>
      </c>
      <c r="AG236" s="3">
        <f t="shared" si="138"/>
        <v>85</v>
      </c>
      <c r="AH236" s="3">
        <f t="shared" si="139"/>
        <v>80</v>
      </c>
      <c r="AI236" s="3">
        <f t="shared" si="140"/>
        <v>75</v>
      </c>
      <c r="AJ236" s="3">
        <f t="shared" si="141"/>
        <v>68</v>
      </c>
      <c r="AK236" s="3">
        <f t="shared" si="142"/>
        <v>63</v>
      </c>
      <c r="AL236" s="3">
        <f t="shared" si="143"/>
        <v>58</v>
      </c>
      <c r="AM236" s="3">
        <f t="shared" si="144"/>
        <v>53</v>
      </c>
      <c r="AN236" s="3">
        <f t="shared" si="145"/>
        <v>46</v>
      </c>
      <c r="AO236" s="3">
        <f t="shared" si="146"/>
        <v>41</v>
      </c>
      <c r="AP236" s="3">
        <f t="shared" si="147"/>
        <v>36</v>
      </c>
      <c r="AQ236" s="3">
        <f t="shared" si="148"/>
        <v>31</v>
      </c>
      <c r="AR236" s="3">
        <f t="shared" si="149"/>
        <v>24</v>
      </c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M236" s="35" t="s">
        <v>12</v>
      </c>
      <c r="BO236" s="35"/>
      <c r="BR236" s="9" t="str">
        <f t="shared" si="125"/>
        <v/>
      </c>
      <c r="BS236" s="37" t="str">
        <f t="shared" si="126"/>
        <v/>
      </c>
      <c r="BT236" s="38" t="str">
        <f t="shared" si="151"/>
        <v/>
      </c>
      <c r="BU236" s="36" t="str">
        <f t="shared" si="127"/>
        <v/>
      </c>
    </row>
    <row r="237" spans="2:73" ht="15">
      <c r="B237" s="16">
        <f t="shared" si="128"/>
        <v>44732</v>
      </c>
      <c r="C237" s="15" t="s">
        <v>1</v>
      </c>
      <c r="D237" s="17">
        <f t="shared" si="129"/>
        <v>44738</v>
      </c>
      <c r="E237" s="18">
        <f t="shared" si="130"/>
        <v>6</v>
      </c>
      <c r="F237" s="19">
        <f t="shared" si="131"/>
        <v>2022</v>
      </c>
      <c r="G237" s="9">
        <f t="shared" si="150"/>
        <v>17</v>
      </c>
      <c r="H237" s="8">
        <f t="shared" si="150"/>
        <v>95</v>
      </c>
      <c r="I237" s="9"/>
      <c r="J237" s="9"/>
      <c r="K237" s="9"/>
      <c r="L237" s="9"/>
      <c r="M237" s="9"/>
      <c r="N237" s="9"/>
      <c r="O237" s="12"/>
      <c r="P237" s="12"/>
      <c r="Q237" s="12"/>
      <c r="R237" s="12"/>
      <c r="S237" s="12"/>
      <c r="T237" s="12"/>
      <c r="V237" s="20">
        <f t="shared" si="119"/>
        <v>10</v>
      </c>
      <c r="W237" s="20">
        <f t="shared" si="120"/>
        <v>15</v>
      </c>
      <c r="X237" s="20">
        <f t="shared" si="121"/>
        <v>0</v>
      </c>
      <c r="Y237" s="20">
        <f t="shared" si="122"/>
        <v>4</v>
      </c>
      <c r="Z237" s="20">
        <f t="shared" si="123"/>
        <v>0</v>
      </c>
      <c r="AA237" s="20">
        <f t="shared" si="124"/>
        <v>0</v>
      </c>
      <c r="AC237" s="3">
        <f t="shared" si="134"/>
        <v>20</v>
      </c>
      <c r="AD237" s="3">
        <f t="shared" si="135"/>
        <v>0</v>
      </c>
      <c r="AE237" s="3">
        <f t="shared" si="136"/>
        <v>0</v>
      </c>
      <c r="AF237" s="3">
        <f t="shared" si="137"/>
        <v>91</v>
      </c>
      <c r="AG237" s="3">
        <f t="shared" si="138"/>
        <v>86</v>
      </c>
      <c r="AH237" s="3">
        <f t="shared" si="139"/>
        <v>81</v>
      </c>
      <c r="AI237" s="3">
        <f t="shared" si="140"/>
        <v>76</v>
      </c>
      <c r="AJ237" s="3">
        <f t="shared" si="141"/>
        <v>69</v>
      </c>
      <c r="AK237" s="3">
        <f t="shared" si="142"/>
        <v>64</v>
      </c>
      <c r="AL237" s="3">
        <f t="shared" si="143"/>
        <v>59</v>
      </c>
      <c r="AM237" s="3">
        <f t="shared" si="144"/>
        <v>54</v>
      </c>
      <c r="AN237" s="3">
        <f t="shared" si="145"/>
        <v>47</v>
      </c>
      <c r="AO237" s="3">
        <f t="shared" si="146"/>
        <v>42</v>
      </c>
      <c r="AP237" s="3">
        <f t="shared" si="147"/>
        <v>37</v>
      </c>
      <c r="AQ237" s="3">
        <f t="shared" si="148"/>
        <v>32</v>
      </c>
      <c r="AR237" s="3">
        <f t="shared" si="149"/>
        <v>25</v>
      </c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M237" s="35" t="s">
        <v>12</v>
      </c>
      <c r="BO237" s="35"/>
      <c r="BR237" s="9" t="str">
        <f t="shared" si="125"/>
        <v/>
      </c>
      <c r="BS237" s="37" t="str">
        <f t="shared" si="126"/>
        <v/>
      </c>
      <c r="BT237" s="38" t="str">
        <f t="shared" si="151"/>
        <v/>
      </c>
      <c r="BU237" s="36" t="str">
        <f t="shared" si="127"/>
        <v/>
      </c>
    </row>
    <row r="238" spans="2:73" ht="15">
      <c r="B238" s="16">
        <f t="shared" si="128"/>
        <v>44739</v>
      </c>
      <c r="C238" s="15" t="s">
        <v>1</v>
      </c>
      <c r="D238" s="17">
        <f t="shared" si="129"/>
        <v>44745</v>
      </c>
      <c r="E238" s="18">
        <f t="shared" si="130"/>
        <v>6</v>
      </c>
      <c r="F238" s="19">
        <f t="shared" si="131"/>
        <v>2022</v>
      </c>
      <c r="G238" s="9">
        <f t="shared" si="150"/>
        <v>17</v>
      </c>
      <c r="H238" s="8">
        <f t="shared" si="150"/>
        <v>95</v>
      </c>
      <c r="I238" s="9"/>
      <c r="J238" s="9"/>
      <c r="K238" s="9"/>
      <c r="L238" s="9"/>
      <c r="M238" s="9"/>
      <c r="N238" s="9"/>
      <c r="O238" s="12"/>
      <c r="P238" s="12"/>
      <c r="Q238" s="12">
        <v>1</v>
      </c>
      <c r="R238" s="12"/>
      <c r="S238" s="12"/>
      <c r="T238" s="12"/>
      <c r="V238" s="20">
        <f t="shared" si="119"/>
        <v>11</v>
      </c>
      <c r="W238" s="20">
        <f t="shared" si="120"/>
        <v>16</v>
      </c>
      <c r="X238" s="20">
        <f t="shared" si="121"/>
        <v>44741</v>
      </c>
      <c r="Y238" s="20">
        <f t="shared" si="122"/>
        <v>5</v>
      </c>
      <c r="Z238" s="20">
        <f t="shared" si="123"/>
        <v>0</v>
      </c>
      <c r="AA238" s="20">
        <f t="shared" si="124"/>
        <v>0</v>
      </c>
      <c r="AC238" s="3">
        <f t="shared" si="134"/>
        <v>21</v>
      </c>
      <c r="AD238" s="3">
        <f t="shared" si="135"/>
        <v>0</v>
      </c>
      <c r="AE238" s="3">
        <f t="shared" si="136"/>
        <v>0</v>
      </c>
      <c r="AF238" s="3">
        <f t="shared" si="137"/>
        <v>92</v>
      </c>
      <c r="AG238" s="3">
        <f t="shared" si="138"/>
        <v>87</v>
      </c>
      <c r="AH238" s="3">
        <f t="shared" si="139"/>
        <v>82</v>
      </c>
      <c r="AI238" s="3">
        <f t="shared" si="140"/>
        <v>77</v>
      </c>
      <c r="AJ238" s="3">
        <f t="shared" si="141"/>
        <v>70</v>
      </c>
      <c r="AK238" s="3">
        <f t="shared" si="142"/>
        <v>65</v>
      </c>
      <c r="AL238" s="3">
        <f t="shared" si="143"/>
        <v>60</v>
      </c>
      <c r="AM238" s="3">
        <f t="shared" si="144"/>
        <v>55</v>
      </c>
      <c r="AN238" s="3">
        <f t="shared" si="145"/>
        <v>48</v>
      </c>
      <c r="AO238" s="3">
        <f t="shared" si="146"/>
        <v>43</v>
      </c>
      <c r="AP238" s="3">
        <f t="shared" si="147"/>
        <v>38</v>
      </c>
      <c r="AQ238" s="3">
        <f t="shared" si="148"/>
        <v>33</v>
      </c>
      <c r="AR238" s="3">
        <f t="shared" si="149"/>
        <v>26</v>
      </c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M238" s="35" t="s">
        <v>12</v>
      </c>
      <c r="BO238" s="35"/>
      <c r="BR238" s="9">
        <f t="shared" si="125"/>
        <v>3</v>
      </c>
      <c r="BS238" s="37">
        <f t="shared" si="126"/>
        <v>44741</v>
      </c>
      <c r="BT238" s="38">
        <f t="shared" si="151"/>
        <v>44860</v>
      </c>
      <c r="BU238" s="36">
        <f t="shared" si="127"/>
        <v>1</v>
      </c>
    </row>
    <row r="239" spans="2:73" ht="15">
      <c r="B239" s="16">
        <f t="shared" si="128"/>
        <v>44746</v>
      </c>
      <c r="C239" s="15" t="s">
        <v>1</v>
      </c>
      <c r="D239" s="17">
        <f t="shared" si="129"/>
        <v>44752</v>
      </c>
      <c r="E239" s="18">
        <f t="shared" si="130"/>
        <v>7</v>
      </c>
      <c r="F239" s="19">
        <f t="shared" si="131"/>
        <v>2022</v>
      </c>
      <c r="G239" s="9">
        <f t="shared" si="150"/>
        <v>17</v>
      </c>
      <c r="H239" s="8">
        <f t="shared" si="150"/>
        <v>95</v>
      </c>
      <c r="I239" s="9"/>
      <c r="J239" s="9"/>
      <c r="K239" s="9"/>
      <c r="L239" s="9"/>
      <c r="M239" s="9"/>
      <c r="N239" s="9"/>
      <c r="O239" s="12"/>
      <c r="P239" s="12"/>
      <c r="Q239" s="12"/>
      <c r="R239" s="12"/>
      <c r="S239" s="12"/>
      <c r="T239" s="12"/>
      <c r="V239" s="20">
        <f t="shared" si="119"/>
        <v>12</v>
      </c>
      <c r="W239" s="20">
        <f t="shared" si="120"/>
        <v>17</v>
      </c>
      <c r="X239" s="20">
        <f t="shared" si="121"/>
        <v>1</v>
      </c>
      <c r="Y239" s="20">
        <f t="shared" si="122"/>
        <v>6</v>
      </c>
      <c r="Z239" s="20">
        <f t="shared" si="123"/>
        <v>0</v>
      </c>
      <c r="AA239" s="20">
        <f t="shared" si="124"/>
        <v>0</v>
      </c>
      <c r="AC239" s="3">
        <f t="shared" si="134"/>
        <v>22</v>
      </c>
      <c r="AD239" s="3">
        <f t="shared" si="135"/>
        <v>17</v>
      </c>
      <c r="AE239" s="3">
        <f t="shared" si="136"/>
        <v>0</v>
      </c>
      <c r="AF239" s="3">
        <f t="shared" si="137"/>
        <v>93</v>
      </c>
      <c r="AG239" s="3">
        <f t="shared" si="138"/>
        <v>88</v>
      </c>
      <c r="AH239" s="3">
        <f t="shared" si="139"/>
        <v>83</v>
      </c>
      <c r="AI239" s="3">
        <f t="shared" si="140"/>
        <v>78</v>
      </c>
      <c r="AJ239" s="3">
        <f t="shared" si="141"/>
        <v>71</v>
      </c>
      <c r="AK239" s="3">
        <f t="shared" si="142"/>
        <v>66</v>
      </c>
      <c r="AL239" s="3">
        <f t="shared" si="143"/>
        <v>61</v>
      </c>
      <c r="AM239" s="3">
        <f t="shared" si="144"/>
        <v>56</v>
      </c>
      <c r="AN239" s="3">
        <f t="shared" si="145"/>
        <v>49</v>
      </c>
      <c r="AO239" s="3">
        <f t="shared" si="146"/>
        <v>44</v>
      </c>
      <c r="AP239" s="3">
        <f t="shared" si="147"/>
        <v>39</v>
      </c>
      <c r="AQ239" s="3">
        <f t="shared" si="148"/>
        <v>34</v>
      </c>
      <c r="AR239" s="3">
        <f t="shared" si="149"/>
        <v>27</v>
      </c>
      <c r="AS239" s="8"/>
      <c r="AT239" s="8">
        <v>2</v>
      </c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M239" s="35" t="s">
        <v>12</v>
      </c>
      <c r="BO239" s="35"/>
      <c r="BR239" s="9" t="str">
        <f t="shared" si="125"/>
        <v/>
      </c>
      <c r="BS239" s="37" t="str">
        <f t="shared" si="126"/>
        <v/>
      </c>
      <c r="BT239" s="38" t="str">
        <f t="shared" si="151"/>
        <v/>
      </c>
      <c r="BU239" s="36" t="str">
        <f t="shared" si="127"/>
        <v/>
      </c>
    </row>
    <row r="240" spans="2:73" ht="15">
      <c r="B240" s="16">
        <f t="shared" si="128"/>
        <v>44753</v>
      </c>
      <c r="C240" s="15" t="s">
        <v>1</v>
      </c>
      <c r="D240" s="17">
        <f t="shared" si="129"/>
        <v>44759</v>
      </c>
      <c r="E240" s="18">
        <f t="shared" si="130"/>
        <v>7</v>
      </c>
      <c r="F240" s="19">
        <f t="shared" si="131"/>
        <v>2022</v>
      </c>
      <c r="G240" s="9">
        <f t="shared" si="150"/>
        <v>17</v>
      </c>
      <c r="H240" s="8">
        <f t="shared" si="150"/>
        <v>95</v>
      </c>
      <c r="I240" s="9"/>
      <c r="J240" s="9"/>
      <c r="K240" s="9"/>
      <c r="L240" s="9"/>
      <c r="M240" s="9"/>
      <c r="N240" s="9"/>
      <c r="O240" s="12"/>
      <c r="P240" s="12"/>
      <c r="Q240" s="12"/>
      <c r="R240" s="12"/>
      <c r="S240" s="12"/>
      <c r="T240" s="12"/>
      <c r="V240" s="20">
        <f t="shared" si="119"/>
        <v>13</v>
      </c>
      <c r="W240" s="20">
        <f t="shared" si="120"/>
        <v>0</v>
      </c>
      <c r="X240" s="20">
        <f t="shared" si="121"/>
        <v>2</v>
      </c>
      <c r="Y240" s="20">
        <f t="shared" si="122"/>
        <v>7</v>
      </c>
      <c r="Z240" s="20">
        <f t="shared" si="123"/>
        <v>0</v>
      </c>
      <c r="AA240" s="20">
        <f t="shared" si="124"/>
        <v>0</v>
      </c>
      <c r="AC240" s="3">
        <f t="shared" si="134"/>
        <v>23</v>
      </c>
      <c r="AD240" s="3">
        <f t="shared" si="135"/>
        <v>18</v>
      </c>
      <c r="AE240" s="3">
        <f t="shared" si="136"/>
        <v>0</v>
      </c>
      <c r="AF240" s="3">
        <f t="shared" si="137"/>
        <v>94</v>
      </c>
      <c r="AG240" s="3">
        <f t="shared" si="138"/>
        <v>89</v>
      </c>
      <c r="AH240" s="3">
        <f t="shared" si="139"/>
        <v>84</v>
      </c>
      <c r="AI240" s="3">
        <f t="shared" si="140"/>
        <v>79</v>
      </c>
      <c r="AJ240" s="3">
        <f t="shared" si="141"/>
        <v>72</v>
      </c>
      <c r="AK240" s="3">
        <f t="shared" si="142"/>
        <v>67</v>
      </c>
      <c r="AL240" s="3">
        <f t="shared" si="143"/>
        <v>62</v>
      </c>
      <c r="AM240" s="3">
        <f t="shared" si="144"/>
        <v>57</v>
      </c>
      <c r="AN240" s="3">
        <f t="shared" si="145"/>
        <v>50</v>
      </c>
      <c r="AO240" s="3">
        <f t="shared" si="146"/>
        <v>45</v>
      </c>
      <c r="AP240" s="3">
        <f t="shared" si="147"/>
        <v>40</v>
      </c>
      <c r="AQ240" s="3">
        <f t="shared" si="148"/>
        <v>35</v>
      </c>
      <c r="AR240" s="3">
        <f t="shared" si="149"/>
        <v>28</v>
      </c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L240">
        <v>1</v>
      </c>
      <c r="BM240" s="35">
        <v>44753</v>
      </c>
      <c r="BO240" s="35">
        <f>B257</f>
        <v>44872</v>
      </c>
      <c r="BP240">
        <v>98</v>
      </c>
      <c r="BR240" s="9" t="str">
        <f t="shared" si="125"/>
        <v/>
      </c>
      <c r="BS240" s="37" t="str">
        <f t="shared" si="126"/>
        <v/>
      </c>
      <c r="BT240" s="38" t="str">
        <f t="shared" si="151"/>
        <v/>
      </c>
      <c r="BU240" s="36" t="str">
        <f t="shared" si="127"/>
        <v/>
      </c>
    </row>
    <row r="241" spans="2:73" ht="15">
      <c r="B241" s="16">
        <f t="shared" si="128"/>
        <v>44760</v>
      </c>
      <c r="C241" s="15" t="s">
        <v>1</v>
      </c>
      <c r="D241" s="17">
        <f t="shared" si="129"/>
        <v>44766</v>
      </c>
      <c r="E241" s="18">
        <f t="shared" si="130"/>
        <v>7</v>
      </c>
      <c r="F241" s="19">
        <f t="shared" si="131"/>
        <v>2022</v>
      </c>
      <c r="G241" s="9">
        <f t="shared" si="150"/>
        <v>17</v>
      </c>
      <c r="H241" s="8">
        <f t="shared" si="150"/>
        <v>95</v>
      </c>
      <c r="I241" s="9"/>
      <c r="J241" s="9"/>
      <c r="K241" s="9"/>
      <c r="L241" s="9"/>
      <c r="M241" s="9"/>
      <c r="N241" s="9"/>
      <c r="O241" s="12"/>
      <c r="P241" s="12"/>
      <c r="Q241" s="12"/>
      <c r="R241" s="12"/>
      <c r="S241" s="12"/>
      <c r="T241" s="12"/>
      <c r="V241" s="20">
        <f t="shared" si="119"/>
        <v>14</v>
      </c>
      <c r="W241" s="20">
        <f t="shared" si="120"/>
        <v>0</v>
      </c>
      <c r="X241" s="20">
        <f t="shared" si="121"/>
        <v>3</v>
      </c>
      <c r="Y241" s="20">
        <f t="shared" si="122"/>
        <v>8</v>
      </c>
      <c r="Z241" s="20">
        <f t="shared" si="123"/>
        <v>0</v>
      </c>
      <c r="AA241" s="20">
        <f t="shared" si="124"/>
        <v>0</v>
      </c>
      <c r="AC241" s="3">
        <f t="shared" si="134"/>
        <v>24</v>
      </c>
      <c r="AD241" s="3">
        <f t="shared" si="135"/>
        <v>19</v>
      </c>
      <c r="AE241" s="3">
        <f t="shared" si="136"/>
        <v>0</v>
      </c>
      <c r="AF241" s="3">
        <f t="shared" si="137"/>
        <v>95</v>
      </c>
      <c r="AG241" s="3">
        <f t="shared" si="138"/>
        <v>90</v>
      </c>
      <c r="AH241" s="3">
        <f t="shared" si="139"/>
        <v>85</v>
      </c>
      <c r="AI241" s="3">
        <f t="shared" si="140"/>
        <v>80</v>
      </c>
      <c r="AJ241" s="3">
        <f t="shared" si="141"/>
        <v>73</v>
      </c>
      <c r="AK241" s="3">
        <f t="shared" si="142"/>
        <v>68</v>
      </c>
      <c r="AL241" s="3">
        <f t="shared" si="143"/>
        <v>63</v>
      </c>
      <c r="AM241" s="3">
        <f t="shared" si="144"/>
        <v>58</v>
      </c>
      <c r="AN241" s="3">
        <f t="shared" si="145"/>
        <v>51</v>
      </c>
      <c r="AO241" s="3">
        <f t="shared" si="146"/>
        <v>46</v>
      </c>
      <c r="AP241" s="3">
        <f t="shared" si="147"/>
        <v>41</v>
      </c>
      <c r="AQ241" s="3">
        <f t="shared" si="148"/>
        <v>36</v>
      </c>
      <c r="AR241" s="3">
        <f t="shared" si="149"/>
        <v>29</v>
      </c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M241" s="35" t="s">
        <v>12</v>
      </c>
      <c r="BO241" s="35"/>
      <c r="BR241" s="9" t="str">
        <f t="shared" si="125"/>
        <v/>
      </c>
      <c r="BS241" s="37" t="str">
        <f t="shared" si="126"/>
        <v/>
      </c>
      <c r="BT241" s="38" t="str">
        <f t="shared" si="151"/>
        <v/>
      </c>
      <c r="BU241" s="36" t="str">
        <f t="shared" si="127"/>
        <v/>
      </c>
    </row>
    <row r="242" spans="2:73" ht="15">
      <c r="B242" s="16">
        <f t="shared" si="128"/>
        <v>44767</v>
      </c>
      <c r="C242" s="15" t="s">
        <v>1</v>
      </c>
      <c r="D242" s="17">
        <f t="shared" si="129"/>
        <v>44773</v>
      </c>
      <c r="E242" s="18">
        <f t="shared" si="130"/>
        <v>7</v>
      </c>
      <c r="F242" s="19">
        <f t="shared" si="131"/>
        <v>2022</v>
      </c>
      <c r="G242" s="9">
        <f t="shared" si="150"/>
        <v>17</v>
      </c>
      <c r="H242" s="8">
        <f t="shared" si="150"/>
        <v>95</v>
      </c>
      <c r="I242" s="9"/>
      <c r="J242" s="9"/>
      <c r="K242" s="9"/>
      <c r="L242" s="9"/>
      <c r="M242" s="9"/>
      <c r="N242" s="9"/>
      <c r="O242" s="12"/>
      <c r="P242" s="12"/>
      <c r="Q242" s="12"/>
      <c r="R242" s="12"/>
      <c r="S242" s="12"/>
      <c r="T242" s="12"/>
      <c r="V242" s="20">
        <f t="shared" si="119"/>
        <v>15</v>
      </c>
      <c r="W242" s="20">
        <f t="shared" si="120"/>
        <v>0</v>
      </c>
      <c r="X242" s="20">
        <f t="shared" si="121"/>
        <v>4</v>
      </c>
      <c r="Y242" s="20">
        <f t="shared" si="122"/>
        <v>9</v>
      </c>
      <c r="Z242" s="20">
        <f t="shared" si="123"/>
        <v>0</v>
      </c>
      <c r="AA242" s="20">
        <f t="shared" si="124"/>
        <v>0</v>
      </c>
      <c r="AC242" s="3">
        <f t="shared" si="134"/>
        <v>25</v>
      </c>
      <c r="AD242" s="3">
        <f t="shared" si="135"/>
        <v>20</v>
      </c>
      <c r="AE242" s="3">
        <f t="shared" si="136"/>
        <v>0</v>
      </c>
      <c r="AF242" s="3">
        <f t="shared" si="137"/>
        <v>0</v>
      </c>
      <c r="AG242" s="3">
        <f t="shared" si="138"/>
        <v>91</v>
      </c>
      <c r="AH242" s="3">
        <f t="shared" si="139"/>
        <v>86</v>
      </c>
      <c r="AI242" s="3">
        <f t="shared" si="140"/>
        <v>81</v>
      </c>
      <c r="AJ242" s="3">
        <f t="shared" si="141"/>
        <v>74</v>
      </c>
      <c r="AK242" s="3">
        <f t="shared" si="142"/>
        <v>69</v>
      </c>
      <c r="AL242" s="3">
        <f t="shared" si="143"/>
        <v>64</v>
      </c>
      <c r="AM242" s="3">
        <f t="shared" si="144"/>
        <v>59</v>
      </c>
      <c r="AN242" s="3">
        <f t="shared" si="145"/>
        <v>52</v>
      </c>
      <c r="AO242" s="3">
        <f t="shared" si="146"/>
        <v>47</v>
      </c>
      <c r="AP242" s="3">
        <f t="shared" si="147"/>
        <v>42</v>
      </c>
      <c r="AQ242" s="3">
        <f t="shared" si="148"/>
        <v>37</v>
      </c>
      <c r="AR242" s="3">
        <f t="shared" si="149"/>
        <v>30</v>
      </c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M242" s="35" t="s">
        <v>12</v>
      </c>
      <c r="BO242" s="35"/>
      <c r="BR242" s="9" t="str">
        <f t="shared" si="125"/>
        <v/>
      </c>
      <c r="BS242" s="37" t="str">
        <f t="shared" si="126"/>
        <v/>
      </c>
      <c r="BT242" s="38" t="str">
        <f t="shared" si="151"/>
        <v/>
      </c>
      <c r="BU242" s="36" t="str">
        <f t="shared" si="127"/>
        <v/>
      </c>
    </row>
    <row r="243" spans="2:73" ht="15">
      <c r="B243" s="16">
        <f t="shared" si="128"/>
        <v>44774</v>
      </c>
      <c r="C243" s="15" t="s">
        <v>1</v>
      </c>
      <c r="D243" s="17">
        <f t="shared" si="129"/>
        <v>44780</v>
      </c>
      <c r="E243" s="18">
        <f t="shared" si="130"/>
        <v>8</v>
      </c>
      <c r="F243" s="19">
        <f t="shared" si="131"/>
        <v>2022</v>
      </c>
      <c r="G243" s="9">
        <f t="shared" si="150"/>
        <v>17</v>
      </c>
      <c r="H243" s="8">
        <f t="shared" si="150"/>
        <v>95</v>
      </c>
      <c r="I243" s="9"/>
      <c r="J243" s="9"/>
      <c r="K243" s="9"/>
      <c r="L243" s="9"/>
      <c r="M243" s="9"/>
      <c r="N243" s="9"/>
      <c r="O243" s="12"/>
      <c r="P243" s="12">
        <v>1</v>
      </c>
      <c r="Q243" s="12"/>
      <c r="R243" s="12"/>
      <c r="S243" s="12"/>
      <c r="T243" s="12"/>
      <c r="V243" s="20">
        <f t="shared" si="119"/>
        <v>16</v>
      </c>
      <c r="W243" s="20">
        <f t="shared" si="120"/>
        <v>44776</v>
      </c>
      <c r="X243" s="20">
        <f t="shared" si="121"/>
        <v>5</v>
      </c>
      <c r="Y243" s="20">
        <f t="shared" si="122"/>
        <v>10</v>
      </c>
      <c r="Z243" s="20">
        <f t="shared" si="123"/>
        <v>0</v>
      </c>
      <c r="AA243" s="20">
        <f t="shared" si="124"/>
        <v>0</v>
      </c>
      <c r="AC243" s="3">
        <f t="shared" si="134"/>
        <v>26</v>
      </c>
      <c r="AD243" s="3">
        <f t="shared" si="135"/>
        <v>21</v>
      </c>
      <c r="AE243" s="3">
        <f t="shared" si="136"/>
        <v>0</v>
      </c>
      <c r="AF243" s="3">
        <f t="shared" si="137"/>
        <v>0</v>
      </c>
      <c r="AG243" s="3">
        <f t="shared" si="138"/>
        <v>92</v>
      </c>
      <c r="AH243" s="3">
        <f t="shared" si="139"/>
        <v>87</v>
      </c>
      <c r="AI243" s="3">
        <f t="shared" si="140"/>
        <v>82</v>
      </c>
      <c r="AJ243" s="3">
        <f t="shared" si="141"/>
        <v>75</v>
      </c>
      <c r="AK243" s="3">
        <f t="shared" si="142"/>
        <v>70</v>
      </c>
      <c r="AL243" s="3">
        <f t="shared" si="143"/>
        <v>65</v>
      </c>
      <c r="AM243" s="3">
        <f t="shared" si="144"/>
        <v>60</v>
      </c>
      <c r="AN243" s="3">
        <f t="shared" si="145"/>
        <v>53</v>
      </c>
      <c r="AO243" s="3">
        <f t="shared" si="146"/>
        <v>48</v>
      </c>
      <c r="AP243" s="3">
        <f t="shared" si="147"/>
        <v>43</v>
      </c>
      <c r="AQ243" s="3">
        <f t="shared" si="148"/>
        <v>38</v>
      </c>
      <c r="AR243" s="3">
        <f t="shared" si="149"/>
        <v>31</v>
      </c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M243" s="35" t="s">
        <v>12</v>
      </c>
      <c r="BO243" s="35"/>
      <c r="BR243" s="9">
        <f t="shared" si="125"/>
        <v>2</v>
      </c>
      <c r="BS243" s="37">
        <f t="shared" si="126"/>
        <v>44776</v>
      </c>
      <c r="BT243" s="38">
        <f t="shared" si="151"/>
        <v>44895</v>
      </c>
      <c r="BU243" s="36">
        <f t="shared" si="127"/>
        <v>6</v>
      </c>
    </row>
    <row r="244" spans="2:73" ht="15">
      <c r="B244" s="16">
        <f t="shared" si="128"/>
        <v>44781</v>
      </c>
      <c r="C244" s="15" t="s">
        <v>1</v>
      </c>
      <c r="D244" s="17">
        <f t="shared" si="129"/>
        <v>44787</v>
      </c>
      <c r="E244" s="18">
        <f t="shared" si="130"/>
        <v>8</v>
      </c>
      <c r="F244" s="19">
        <f t="shared" si="131"/>
        <v>2022</v>
      </c>
      <c r="G244" s="9">
        <f t="shared" si="150"/>
        <v>17</v>
      </c>
      <c r="H244" s="8">
        <f t="shared" si="150"/>
        <v>95</v>
      </c>
      <c r="I244" s="9"/>
      <c r="J244" s="9"/>
      <c r="K244" s="9"/>
      <c r="L244" s="9"/>
      <c r="M244" s="9"/>
      <c r="N244" s="9"/>
      <c r="O244" s="12"/>
      <c r="P244" s="12"/>
      <c r="Q244" s="12"/>
      <c r="R244" s="12"/>
      <c r="S244" s="12"/>
      <c r="T244" s="12"/>
      <c r="V244" s="20">
        <f t="shared" si="119"/>
        <v>17</v>
      </c>
      <c r="W244" s="20">
        <f t="shared" si="120"/>
        <v>1</v>
      </c>
      <c r="X244" s="20">
        <f t="shared" si="121"/>
        <v>6</v>
      </c>
      <c r="Y244" s="20">
        <f t="shared" si="122"/>
        <v>11</v>
      </c>
      <c r="Z244" s="20">
        <f t="shared" si="123"/>
        <v>0</v>
      </c>
      <c r="AA244" s="20">
        <f t="shared" si="124"/>
        <v>0</v>
      </c>
      <c r="AC244" s="3">
        <f t="shared" si="134"/>
        <v>27</v>
      </c>
      <c r="AD244" s="3">
        <f t="shared" si="135"/>
        <v>22</v>
      </c>
      <c r="AE244" s="3">
        <f t="shared" si="136"/>
        <v>17</v>
      </c>
      <c r="AF244" s="3">
        <f t="shared" si="137"/>
        <v>0</v>
      </c>
      <c r="AG244" s="3">
        <f t="shared" si="138"/>
        <v>93</v>
      </c>
      <c r="AH244" s="3">
        <f t="shared" si="139"/>
        <v>88</v>
      </c>
      <c r="AI244" s="3">
        <f t="shared" si="140"/>
        <v>83</v>
      </c>
      <c r="AJ244" s="3">
        <f t="shared" si="141"/>
        <v>76</v>
      </c>
      <c r="AK244" s="3">
        <f t="shared" si="142"/>
        <v>71</v>
      </c>
      <c r="AL244" s="3">
        <f t="shared" si="143"/>
        <v>66</v>
      </c>
      <c r="AM244" s="3">
        <f t="shared" si="144"/>
        <v>61</v>
      </c>
      <c r="AN244" s="3">
        <f t="shared" si="145"/>
        <v>54</v>
      </c>
      <c r="AO244" s="3">
        <f t="shared" si="146"/>
        <v>49</v>
      </c>
      <c r="AP244" s="3">
        <f t="shared" si="147"/>
        <v>44</v>
      </c>
      <c r="AQ244" s="3">
        <f t="shared" si="148"/>
        <v>39</v>
      </c>
      <c r="AR244" s="3">
        <f t="shared" si="149"/>
        <v>32</v>
      </c>
      <c r="AS244" s="8"/>
      <c r="AT244" s="8"/>
      <c r="AU244" s="8">
        <v>1</v>
      </c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M244" s="35" t="s">
        <v>12</v>
      </c>
      <c r="BO244" s="35"/>
      <c r="BR244" s="9" t="str">
        <f t="shared" si="125"/>
        <v/>
      </c>
      <c r="BS244" s="37" t="str">
        <f t="shared" si="126"/>
        <v/>
      </c>
      <c r="BT244" s="38" t="str">
        <f t="shared" si="151"/>
        <v/>
      </c>
      <c r="BU244" s="36" t="str">
        <f t="shared" si="127"/>
        <v/>
      </c>
    </row>
    <row r="245" spans="2:73" ht="15">
      <c r="B245" s="16">
        <f t="shared" si="128"/>
        <v>44788</v>
      </c>
      <c r="C245" s="15" t="s">
        <v>1</v>
      </c>
      <c r="D245" s="17">
        <f t="shared" si="129"/>
        <v>44794</v>
      </c>
      <c r="E245" s="18">
        <f t="shared" si="130"/>
        <v>8</v>
      </c>
      <c r="F245" s="19">
        <f t="shared" si="131"/>
        <v>2022</v>
      </c>
      <c r="G245" s="9">
        <f t="shared" si="150"/>
        <v>17</v>
      </c>
      <c r="H245" s="8">
        <f t="shared" si="150"/>
        <v>95</v>
      </c>
      <c r="I245" s="9"/>
      <c r="J245" s="9"/>
      <c r="K245" s="9"/>
      <c r="L245" s="9"/>
      <c r="M245" s="9"/>
      <c r="N245" s="9"/>
      <c r="O245" s="12"/>
      <c r="P245" s="12"/>
      <c r="Q245" s="12"/>
      <c r="R245" s="12"/>
      <c r="S245" s="12"/>
      <c r="T245" s="12"/>
      <c r="V245" s="20">
        <f t="shared" si="119"/>
        <v>0</v>
      </c>
      <c r="W245" s="20">
        <f t="shared" si="120"/>
        <v>2</v>
      </c>
      <c r="X245" s="20">
        <f t="shared" si="121"/>
        <v>7</v>
      </c>
      <c r="Y245" s="20">
        <f t="shared" si="122"/>
        <v>12</v>
      </c>
      <c r="Z245" s="20">
        <f t="shared" si="123"/>
        <v>0</v>
      </c>
      <c r="AA245" s="20">
        <f t="shared" si="124"/>
        <v>0</v>
      </c>
      <c r="AC245" s="3">
        <f t="shared" si="134"/>
        <v>28</v>
      </c>
      <c r="AD245" s="3">
        <f t="shared" si="135"/>
        <v>23</v>
      </c>
      <c r="AE245" s="3">
        <f t="shared" si="136"/>
        <v>18</v>
      </c>
      <c r="AF245" s="3">
        <f t="shared" si="137"/>
        <v>0</v>
      </c>
      <c r="AG245" s="3">
        <f t="shared" si="138"/>
        <v>94</v>
      </c>
      <c r="AH245" s="3">
        <f t="shared" si="139"/>
        <v>89</v>
      </c>
      <c r="AI245" s="3">
        <f t="shared" si="140"/>
        <v>84</v>
      </c>
      <c r="AJ245" s="3">
        <f t="shared" si="141"/>
        <v>77</v>
      </c>
      <c r="AK245" s="3">
        <f t="shared" si="142"/>
        <v>72</v>
      </c>
      <c r="AL245" s="3">
        <f t="shared" si="143"/>
        <v>67</v>
      </c>
      <c r="AM245" s="3">
        <f t="shared" si="144"/>
        <v>62</v>
      </c>
      <c r="AN245" s="3">
        <f t="shared" si="145"/>
        <v>55</v>
      </c>
      <c r="AO245" s="3">
        <f t="shared" si="146"/>
        <v>50</v>
      </c>
      <c r="AP245" s="3">
        <f t="shared" si="147"/>
        <v>45</v>
      </c>
      <c r="AQ245" s="3">
        <f t="shared" si="148"/>
        <v>40</v>
      </c>
      <c r="AR245" s="3">
        <f t="shared" si="149"/>
        <v>33</v>
      </c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L245">
        <v>6</v>
      </c>
      <c r="BM245" s="35">
        <v>44788</v>
      </c>
      <c r="BO245" s="35">
        <f>B262</f>
        <v>44907</v>
      </c>
      <c r="BP245">
        <v>98</v>
      </c>
      <c r="BR245" s="9" t="str">
        <f t="shared" si="125"/>
        <v/>
      </c>
      <c r="BS245" s="37" t="str">
        <f t="shared" si="126"/>
        <v/>
      </c>
      <c r="BT245" s="38" t="str">
        <f t="shared" si="151"/>
        <v/>
      </c>
      <c r="BU245" s="36" t="str">
        <f t="shared" si="127"/>
        <v/>
      </c>
    </row>
    <row r="246" spans="2:73" ht="15">
      <c r="B246" s="16">
        <f t="shared" si="128"/>
        <v>44795</v>
      </c>
      <c r="C246" s="15" t="s">
        <v>1</v>
      </c>
      <c r="D246" s="17">
        <f t="shared" si="129"/>
        <v>44801</v>
      </c>
      <c r="E246" s="18">
        <f t="shared" si="130"/>
        <v>8</v>
      </c>
      <c r="F246" s="19">
        <f t="shared" si="131"/>
        <v>2022</v>
      </c>
      <c r="G246" s="9">
        <f t="shared" ref="G246:H261" si="152">G245</f>
        <v>17</v>
      </c>
      <c r="H246" s="8">
        <f t="shared" si="152"/>
        <v>95</v>
      </c>
      <c r="I246" s="9"/>
      <c r="J246" s="9"/>
      <c r="K246" s="9"/>
      <c r="L246" s="9"/>
      <c r="M246" s="9"/>
      <c r="N246" s="9"/>
      <c r="O246" s="12"/>
      <c r="P246" s="12"/>
      <c r="Q246" s="12"/>
      <c r="R246" s="12"/>
      <c r="S246" s="12"/>
      <c r="T246" s="12"/>
      <c r="V246" s="20">
        <f t="shared" si="119"/>
        <v>0</v>
      </c>
      <c r="W246" s="20">
        <f t="shared" si="120"/>
        <v>3</v>
      </c>
      <c r="X246" s="20">
        <f t="shared" si="121"/>
        <v>8</v>
      </c>
      <c r="Y246" s="20">
        <f t="shared" si="122"/>
        <v>13</v>
      </c>
      <c r="Z246" s="20">
        <f t="shared" si="123"/>
        <v>0</v>
      </c>
      <c r="AA246" s="20">
        <f t="shared" si="124"/>
        <v>0</v>
      </c>
      <c r="AC246" s="3">
        <f t="shared" si="134"/>
        <v>29</v>
      </c>
      <c r="AD246" s="3">
        <f t="shared" si="135"/>
        <v>24</v>
      </c>
      <c r="AE246" s="3">
        <f t="shared" si="136"/>
        <v>19</v>
      </c>
      <c r="AF246" s="3">
        <f t="shared" si="137"/>
        <v>0</v>
      </c>
      <c r="AG246" s="3">
        <f t="shared" si="138"/>
        <v>95</v>
      </c>
      <c r="AH246" s="3">
        <f t="shared" si="139"/>
        <v>90</v>
      </c>
      <c r="AI246" s="3">
        <f t="shared" si="140"/>
        <v>85</v>
      </c>
      <c r="AJ246" s="3">
        <f t="shared" si="141"/>
        <v>78</v>
      </c>
      <c r="AK246" s="3">
        <f t="shared" si="142"/>
        <v>73</v>
      </c>
      <c r="AL246" s="3">
        <f t="shared" si="143"/>
        <v>68</v>
      </c>
      <c r="AM246" s="3">
        <f t="shared" si="144"/>
        <v>63</v>
      </c>
      <c r="AN246" s="3">
        <f t="shared" si="145"/>
        <v>56</v>
      </c>
      <c r="AO246" s="3">
        <f t="shared" si="146"/>
        <v>51</v>
      </c>
      <c r="AP246" s="3">
        <f t="shared" si="147"/>
        <v>46</v>
      </c>
      <c r="AQ246" s="3">
        <f t="shared" si="148"/>
        <v>41</v>
      </c>
      <c r="AR246" s="3">
        <f t="shared" si="149"/>
        <v>34</v>
      </c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M246" s="35" t="s">
        <v>12</v>
      </c>
      <c r="BO246" s="35"/>
      <c r="BR246" s="9" t="str">
        <f t="shared" si="125"/>
        <v/>
      </c>
      <c r="BS246" s="37" t="str">
        <f t="shared" si="126"/>
        <v/>
      </c>
      <c r="BT246" s="38" t="str">
        <f t="shared" si="151"/>
        <v/>
      </c>
      <c r="BU246" s="36" t="str">
        <f t="shared" si="127"/>
        <v/>
      </c>
    </row>
    <row r="247" spans="2:73" ht="15">
      <c r="B247" s="16">
        <f t="shared" si="128"/>
        <v>44802</v>
      </c>
      <c r="C247" s="15" t="s">
        <v>1</v>
      </c>
      <c r="D247" s="17">
        <f t="shared" si="129"/>
        <v>44808</v>
      </c>
      <c r="E247" s="18">
        <f t="shared" si="130"/>
        <v>8</v>
      </c>
      <c r="F247" s="19">
        <f t="shared" si="131"/>
        <v>2022</v>
      </c>
      <c r="G247" s="9">
        <f t="shared" si="152"/>
        <v>17</v>
      </c>
      <c r="H247" s="8">
        <f t="shared" si="152"/>
        <v>95</v>
      </c>
      <c r="I247" s="9"/>
      <c r="J247" s="9"/>
      <c r="K247" s="9"/>
      <c r="L247" s="9"/>
      <c r="M247" s="9"/>
      <c r="N247" s="9"/>
      <c r="O247" s="12"/>
      <c r="P247" s="12"/>
      <c r="Q247" s="12"/>
      <c r="R247" s="12"/>
      <c r="S247" s="12"/>
      <c r="T247" s="12"/>
      <c r="V247" s="20">
        <f t="shared" si="119"/>
        <v>0</v>
      </c>
      <c r="W247" s="20">
        <f t="shared" si="120"/>
        <v>4</v>
      </c>
      <c r="X247" s="20">
        <f t="shared" si="121"/>
        <v>9</v>
      </c>
      <c r="Y247" s="20">
        <f t="shared" si="122"/>
        <v>14</v>
      </c>
      <c r="Z247" s="20">
        <f t="shared" si="123"/>
        <v>0</v>
      </c>
      <c r="AA247" s="20">
        <f t="shared" si="124"/>
        <v>0</v>
      </c>
      <c r="AC247" s="3">
        <f t="shared" si="134"/>
        <v>30</v>
      </c>
      <c r="AD247" s="3">
        <f t="shared" si="135"/>
        <v>25</v>
      </c>
      <c r="AE247" s="3">
        <f t="shared" si="136"/>
        <v>20</v>
      </c>
      <c r="AF247" s="3">
        <f t="shared" si="137"/>
        <v>0</v>
      </c>
      <c r="AG247" s="3">
        <f t="shared" si="138"/>
        <v>0</v>
      </c>
      <c r="AH247" s="3">
        <f t="shared" si="139"/>
        <v>91</v>
      </c>
      <c r="AI247" s="3">
        <f t="shared" si="140"/>
        <v>86</v>
      </c>
      <c r="AJ247" s="3">
        <f t="shared" si="141"/>
        <v>79</v>
      </c>
      <c r="AK247" s="3">
        <f t="shared" si="142"/>
        <v>74</v>
      </c>
      <c r="AL247" s="3">
        <f t="shared" si="143"/>
        <v>69</v>
      </c>
      <c r="AM247" s="3">
        <f t="shared" si="144"/>
        <v>64</v>
      </c>
      <c r="AN247" s="3">
        <f t="shared" si="145"/>
        <v>57</v>
      </c>
      <c r="AO247" s="3">
        <f t="shared" si="146"/>
        <v>52</v>
      </c>
      <c r="AP247" s="3">
        <f t="shared" si="147"/>
        <v>47</v>
      </c>
      <c r="AQ247" s="3">
        <f t="shared" si="148"/>
        <v>42</v>
      </c>
      <c r="AR247" s="3">
        <f t="shared" si="149"/>
        <v>35</v>
      </c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M247" s="35" t="s">
        <v>12</v>
      </c>
      <c r="BO247" s="35"/>
      <c r="BR247" s="9" t="str">
        <f t="shared" si="125"/>
        <v/>
      </c>
      <c r="BS247" s="37" t="str">
        <f t="shared" si="126"/>
        <v/>
      </c>
      <c r="BT247" s="38" t="str">
        <f t="shared" si="151"/>
        <v/>
      </c>
      <c r="BU247" s="36" t="str">
        <f t="shared" si="127"/>
        <v/>
      </c>
    </row>
    <row r="248" spans="2:73" ht="15">
      <c r="B248" s="16">
        <f t="shared" si="128"/>
        <v>44809</v>
      </c>
      <c r="C248" s="15" t="s">
        <v>1</v>
      </c>
      <c r="D248" s="17">
        <f t="shared" si="129"/>
        <v>44815</v>
      </c>
      <c r="E248" s="18">
        <f t="shared" si="130"/>
        <v>9</v>
      </c>
      <c r="F248" s="19">
        <f t="shared" si="131"/>
        <v>2022</v>
      </c>
      <c r="G248" s="9">
        <f t="shared" si="152"/>
        <v>17</v>
      </c>
      <c r="H248" s="8">
        <f t="shared" si="152"/>
        <v>95</v>
      </c>
      <c r="I248" s="9"/>
      <c r="J248" s="9"/>
      <c r="K248" s="9"/>
      <c r="L248" s="9"/>
      <c r="M248" s="9"/>
      <c r="N248" s="9"/>
      <c r="O248" s="12">
        <v>1</v>
      </c>
      <c r="P248" s="12"/>
      <c r="Q248" s="12"/>
      <c r="R248" s="12"/>
      <c r="S248" s="12"/>
      <c r="T248" s="12"/>
      <c r="V248" s="20">
        <f t="shared" si="119"/>
        <v>44811</v>
      </c>
      <c r="W248" s="20">
        <f t="shared" si="120"/>
        <v>5</v>
      </c>
      <c r="X248" s="20">
        <f t="shared" si="121"/>
        <v>10</v>
      </c>
      <c r="Y248" s="20">
        <f t="shared" si="122"/>
        <v>15</v>
      </c>
      <c r="Z248" s="20">
        <f t="shared" si="123"/>
        <v>0</v>
      </c>
      <c r="AA248" s="20">
        <f t="shared" si="124"/>
        <v>0</v>
      </c>
      <c r="AC248" s="3">
        <f t="shared" si="134"/>
        <v>31</v>
      </c>
      <c r="AD248" s="3">
        <f t="shared" si="135"/>
        <v>26</v>
      </c>
      <c r="AE248" s="3">
        <f t="shared" si="136"/>
        <v>21</v>
      </c>
      <c r="AF248" s="3">
        <f t="shared" si="137"/>
        <v>0</v>
      </c>
      <c r="AG248" s="3">
        <f t="shared" si="138"/>
        <v>0</v>
      </c>
      <c r="AH248" s="3">
        <f t="shared" si="139"/>
        <v>92</v>
      </c>
      <c r="AI248" s="3">
        <f t="shared" si="140"/>
        <v>87</v>
      </c>
      <c r="AJ248" s="3">
        <f t="shared" si="141"/>
        <v>80</v>
      </c>
      <c r="AK248" s="3">
        <f t="shared" si="142"/>
        <v>75</v>
      </c>
      <c r="AL248" s="3">
        <f t="shared" si="143"/>
        <v>70</v>
      </c>
      <c r="AM248" s="3">
        <f t="shared" si="144"/>
        <v>65</v>
      </c>
      <c r="AN248" s="3">
        <f t="shared" si="145"/>
        <v>58</v>
      </c>
      <c r="AO248" s="3">
        <f t="shared" si="146"/>
        <v>53</v>
      </c>
      <c r="AP248" s="3">
        <f t="shared" si="147"/>
        <v>48</v>
      </c>
      <c r="AQ248" s="3">
        <f t="shared" si="148"/>
        <v>43</v>
      </c>
      <c r="AR248" s="3">
        <f t="shared" si="149"/>
        <v>36</v>
      </c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M248" s="35" t="s">
        <v>12</v>
      </c>
      <c r="BO248" s="35"/>
      <c r="BR248" s="9">
        <f t="shared" si="125"/>
        <v>1</v>
      </c>
      <c r="BS248" s="37">
        <f t="shared" si="126"/>
        <v>44811</v>
      </c>
      <c r="BT248" s="38">
        <f t="shared" si="151"/>
        <v>44930</v>
      </c>
      <c r="BU248" s="36">
        <f t="shared" si="127"/>
        <v>2</v>
      </c>
    </row>
    <row r="249" spans="2:73" ht="15">
      <c r="B249" s="16">
        <f t="shared" si="128"/>
        <v>44816</v>
      </c>
      <c r="C249" s="15" t="s">
        <v>1</v>
      </c>
      <c r="D249" s="17">
        <f t="shared" si="129"/>
        <v>44822</v>
      </c>
      <c r="E249" s="18">
        <f t="shared" si="130"/>
        <v>9</v>
      </c>
      <c r="F249" s="19">
        <f t="shared" si="131"/>
        <v>2022</v>
      </c>
      <c r="G249" s="9">
        <f t="shared" si="152"/>
        <v>17</v>
      </c>
      <c r="H249" s="8">
        <f t="shared" si="152"/>
        <v>95</v>
      </c>
      <c r="I249" s="9"/>
      <c r="J249" s="9"/>
      <c r="K249" s="9"/>
      <c r="L249" s="9"/>
      <c r="M249" s="9"/>
      <c r="N249" s="9"/>
      <c r="O249" s="12"/>
      <c r="P249" s="12"/>
      <c r="Q249" s="12"/>
      <c r="R249" s="12"/>
      <c r="S249" s="12"/>
      <c r="T249" s="12"/>
      <c r="V249" s="20">
        <f t="shared" si="119"/>
        <v>1</v>
      </c>
      <c r="W249" s="20">
        <f t="shared" si="120"/>
        <v>6</v>
      </c>
      <c r="X249" s="20">
        <f t="shared" si="121"/>
        <v>11</v>
      </c>
      <c r="Y249" s="20">
        <f t="shared" si="122"/>
        <v>16</v>
      </c>
      <c r="Z249" s="20">
        <f t="shared" si="123"/>
        <v>0</v>
      </c>
      <c r="AA249" s="20">
        <f t="shared" si="124"/>
        <v>0</v>
      </c>
      <c r="AC249" s="3">
        <f t="shared" si="134"/>
        <v>32</v>
      </c>
      <c r="AD249" s="3">
        <f t="shared" si="135"/>
        <v>27</v>
      </c>
      <c r="AE249" s="3">
        <f t="shared" si="136"/>
        <v>22</v>
      </c>
      <c r="AF249" s="3">
        <f t="shared" si="137"/>
        <v>0</v>
      </c>
      <c r="AG249" s="3">
        <f t="shared" si="138"/>
        <v>0</v>
      </c>
      <c r="AH249" s="3">
        <f t="shared" si="139"/>
        <v>93</v>
      </c>
      <c r="AI249" s="3">
        <f t="shared" si="140"/>
        <v>88</v>
      </c>
      <c r="AJ249" s="3">
        <f t="shared" si="141"/>
        <v>81</v>
      </c>
      <c r="AK249" s="3">
        <f t="shared" si="142"/>
        <v>76</v>
      </c>
      <c r="AL249" s="3">
        <f t="shared" si="143"/>
        <v>71</v>
      </c>
      <c r="AM249" s="3">
        <f t="shared" si="144"/>
        <v>66</v>
      </c>
      <c r="AN249" s="3">
        <f t="shared" si="145"/>
        <v>59</v>
      </c>
      <c r="AO249" s="3">
        <f t="shared" si="146"/>
        <v>54</v>
      </c>
      <c r="AP249" s="3">
        <f t="shared" si="147"/>
        <v>49</v>
      </c>
      <c r="AQ249" s="3">
        <f t="shared" si="148"/>
        <v>44</v>
      </c>
      <c r="AR249" s="3">
        <f t="shared" si="149"/>
        <v>37</v>
      </c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M249" s="35" t="s">
        <v>12</v>
      </c>
      <c r="BO249" s="35"/>
      <c r="BR249" s="9" t="str">
        <f t="shared" si="125"/>
        <v/>
      </c>
      <c r="BS249" s="37" t="str">
        <f t="shared" si="126"/>
        <v/>
      </c>
      <c r="BT249" s="38" t="str">
        <f t="shared" si="151"/>
        <v/>
      </c>
      <c r="BU249" s="36" t="str">
        <f t="shared" si="127"/>
        <v/>
      </c>
    </row>
    <row r="250" spans="2:73" ht="15">
      <c r="B250" s="16">
        <f t="shared" si="128"/>
        <v>44823</v>
      </c>
      <c r="C250" s="15" t="s">
        <v>1</v>
      </c>
      <c r="D250" s="17">
        <f t="shared" si="129"/>
        <v>44829</v>
      </c>
      <c r="E250" s="18">
        <f t="shared" si="130"/>
        <v>9</v>
      </c>
      <c r="F250" s="19">
        <f t="shared" si="131"/>
        <v>2022</v>
      </c>
      <c r="G250" s="9">
        <f t="shared" si="152"/>
        <v>17</v>
      </c>
      <c r="H250" s="8">
        <f t="shared" si="152"/>
        <v>95</v>
      </c>
      <c r="I250" s="9"/>
      <c r="J250" s="9"/>
      <c r="K250" s="9"/>
      <c r="L250" s="9"/>
      <c r="M250" s="9"/>
      <c r="N250" s="9"/>
      <c r="O250" s="12"/>
      <c r="P250" s="12"/>
      <c r="Q250" s="12"/>
      <c r="R250" s="12"/>
      <c r="S250" s="12"/>
      <c r="T250" s="12"/>
      <c r="V250" s="20">
        <f t="shared" si="119"/>
        <v>2</v>
      </c>
      <c r="W250" s="20">
        <f t="shared" si="120"/>
        <v>7</v>
      </c>
      <c r="X250" s="20">
        <f t="shared" si="121"/>
        <v>12</v>
      </c>
      <c r="Y250" s="20">
        <f t="shared" si="122"/>
        <v>17</v>
      </c>
      <c r="Z250" s="20">
        <f t="shared" si="123"/>
        <v>0</v>
      </c>
      <c r="AA250" s="20">
        <f t="shared" si="124"/>
        <v>0</v>
      </c>
      <c r="AC250" s="3">
        <f t="shared" si="134"/>
        <v>33</v>
      </c>
      <c r="AD250" s="3">
        <f t="shared" si="135"/>
        <v>28</v>
      </c>
      <c r="AE250" s="3">
        <f t="shared" si="136"/>
        <v>23</v>
      </c>
      <c r="AF250" s="3">
        <f t="shared" si="137"/>
        <v>17</v>
      </c>
      <c r="AG250" s="3">
        <f t="shared" si="138"/>
        <v>0</v>
      </c>
      <c r="AH250" s="3">
        <f t="shared" si="139"/>
        <v>94</v>
      </c>
      <c r="AI250" s="3">
        <f t="shared" si="140"/>
        <v>89</v>
      </c>
      <c r="AJ250" s="3">
        <f t="shared" si="141"/>
        <v>82</v>
      </c>
      <c r="AK250" s="3">
        <f t="shared" si="142"/>
        <v>77</v>
      </c>
      <c r="AL250" s="3">
        <f t="shared" si="143"/>
        <v>72</v>
      </c>
      <c r="AM250" s="3">
        <f t="shared" si="144"/>
        <v>67</v>
      </c>
      <c r="AN250" s="3">
        <f t="shared" si="145"/>
        <v>60</v>
      </c>
      <c r="AO250" s="3">
        <f t="shared" si="146"/>
        <v>55</v>
      </c>
      <c r="AP250" s="3">
        <f t="shared" si="147"/>
        <v>50</v>
      </c>
      <c r="AQ250" s="3">
        <f t="shared" si="148"/>
        <v>45</v>
      </c>
      <c r="AR250" s="3">
        <f t="shared" si="149"/>
        <v>38</v>
      </c>
      <c r="AS250" s="8"/>
      <c r="AT250" s="8"/>
      <c r="AU250" s="8"/>
      <c r="AV250" s="8">
        <v>4</v>
      </c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L250">
        <v>2</v>
      </c>
      <c r="BM250" s="35">
        <v>44823</v>
      </c>
      <c r="BO250" s="35">
        <f>B267</f>
        <v>44942</v>
      </c>
      <c r="BP250">
        <v>98</v>
      </c>
      <c r="BR250" s="9" t="str">
        <f t="shared" si="125"/>
        <v/>
      </c>
      <c r="BS250" s="37" t="str">
        <f t="shared" si="126"/>
        <v/>
      </c>
      <c r="BT250" s="38" t="str">
        <f t="shared" si="151"/>
        <v/>
      </c>
      <c r="BU250" s="36" t="str">
        <f t="shared" si="127"/>
        <v/>
      </c>
    </row>
    <row r="251" spans="2:73" ht="15">
      <c r="B251" s="16">
        <f t="shared" si="128"/>
        <v>44830</v>
      </c>
      <c r="C251" s="15" t="s">
        <v>1</v>
      </c>
      <c r="D251" s="17">
        <f t="shared" si="129"/>
        <v>44836</v>
      </c>
      <c r="E251" s="18">
        <f t="shared" si="130"/>
        <v>9</v>
      </c>
      <c r="F251" s="19">
        <f t="shared" si="131"/>
        <v>2022</v>
      </c>
      <c r="G251" s="9">
        <f t="shared" si="152"/>
        <v>17</v>
      </c>
      <c r="H251" s="8">
        <f t="shared" si="152"/>
        <v>95</v>
      </c>
      <c r="I251" s="9"/>
      <c r="J251" s="9"/>
      <c r="K251" s="9"/>
      <c r="L251" s="9"/>
      <c r="M251" s="9"/>
      <c r="N251" s="9"/>
      <c r="O251" s="12"/>
      <c r="P251" s="12"/>
      <c r="Q251" s="12"/>
      <c r="R251" s="12"/>
      <c r="S251" s="12"/>
      <c r="T251" s="12"/>
      <c r="V251" s="20">
        <f t="shared" si="119"/>
        <v>3</v>
      </c>
      <c r="W251" s="20">
        <f t="shared" si="120"/>
        <v>8</v>
      </c>
      <c r="X251" s="20">
        <f t="shared" si="121"/>
        <v>13</v>
      </c>
      <c r="Y251" s="20">
        <f t="shared" si="122"/>
        <v>0</v>
      </c>
      <c r="Z251" s="20">
        <f t="shared" si="123"/>
        <v>0</v>
      </c>
      <c r="AA251" s="20">
        <f t="shared" si="124"/>
        <v>0</v>
      </c>
      <c r="AC251" s="3">
        <f t="shared" si="134"/>
        <v>34</v>
      </c>
      <c r="AD251" s="3">
        <f t="shared" si="135"/>
        <v>29</v>
      </c>
      <c r="AE251" s="3">
        <f t="shared" si="136"/>
        <v>24</v>
      </c>
      <c r="AF251" s="3">
        <f t="shared" si="137"/>
        <v>18</v>
      </c>
      <c r="AG251" s="3">
        <f t="shared" si="138"/>
        <v>0</v>
      </c>
      <c r="AH251" s="3">
        <f t="shared" si="139"/>
        <v>95</v>
      </c>
      <c r="AI251" s="3">
        <f t="shared" si="140"/>
        <v>90</v>
      </c>
      <c r="AJ251" s="3">
        <f t="shared" si="141"/>
        <v>83</v>
      </c>
      <c r="AK251" s="3">
        <f t="shared" si="142"/>
        <v>78</v>
      </c>
      <c r="AL251" s="3">
        <f t="shared" si="143"/>
        <v>73</v>
      </c>
      <c r="AM251" s="3">
        <f t="shared" si="144"/>
        <v>68</v>
      </c>
      <c r="AN251" s="3">
        <f t="shared" si="145"/>
        <v>61</v>
      </c>
      <c r="AO251" s="3">
        <f t="shared" si="146"/>
        <v>56</v>
      </c>
      <c r="AP251" s="3">
        <f t="shared" si="147"/>
        <v>51</v>
      </c>
      <c r="AQ251" s="3">
        <f t="shared" si="148"/>
        <v>46</v>
      </c>
      <c r="AR251" s="3">
        <f t="shared" si="149"/>
        <v>39</v>
      </c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M251" s="35" t="s">
        <v>12</v>
      </c>
      <c r="BO251" s="35"/>
      <c r="BR251" s="9" t="str">
        <f t="shared" si="125"/>
        <v/>
      </c>
      <c r="BS251" s="37" t="str">
        <f t="shared" si="126"/>
        <v/>
      </c>
      <c r="BT251" s="38" t="str">
        <f t="shared" si="151"/>
        <v/>
      </c>
      <c r="BU251" s="36" t="str">
        <f t="shared" si="127"/>
        <v/>
      </c>
    </row>
    <row r="252" spans="2:73" ht="15">
      <c r="B252" s="16">
        <f t="shared" si="128"/>
        <v>44837</v>
      </c>
      <c r="C252" s="15" t="s">
        <v>1</v>
      </c>
      <c r="D252" s="17">
        <f t="shared" si="129"/>
        <v>44843</v>
      </c>
      <c r="E252" s="18">
        <f t="shared" si="130"/>
        <v>10</v>
      </c>
      <c r="F252" s="19">
        <f t="shared" si="131"/>
        <v>2022</v>
      </c>
      <c r="G252" s="9">
        <f t="shared" si="152"/>
        <v>17</v>
      </c>
      <c r="H252" s="8">
        <f t="shared" si="152"/>
        <v>95</v>
      </c>
      <c r="I252" s="9"/>
      <c r="J252" s="9"/>
      <c r="K252" s="9"/>
      <c r="L252" s="9"/>
      <c r="M252" s="9"/>
      <c r="N252" s="9"/>
      <c r="O252" s="12"/>
      <c r="P252" s="12"/>
      <c r="Q252" s="12"/>
      <c r="R252" s="12"/>
      <c r="S252" s="12"/>
      <c r="T252" s="12"/>
      <c r="V252" s="20">
        <f t="shared" si="119"/>
        <v>4</v>
      </c>
      <c r="W252" s="20">
        <f t="shared" si="120"/>
        <v>9</v>
      </c>
      <c r="X252" s="20">
        <f t="shared" si="121"/>
        <v>14</v>
      </c>
      <c r="Y252" s="20">
        <f t="shared" si="122"/>
        <v>0</v>
      </c>
      <c r="Z252" s="20">
        <f t="shared" si="123"/>
        <v>0</v>
      </c>
      <c r="AA252" s="20">
        <f t="shared" si="124"/>
        <v>0</v>
      </c>
      <c r="AC252" s="3">
        <f t="shared" si="134"/>
        <v>35</v>
      </c>
      <c r="AD252" s="3">
        <f t="shared" si="135"/>
        <v>30</v>
      </c>
      <c r="AE252" s="3">
        <f t="shared" si="136"/>
        <v>25</v>
      </c>
      <c r="AF252" s="3">
        <f t="shared" si="137"/>
        <v>19</v>
      </c>
      <c r="AG252" s="3">
        <f t="shared" si="138"/>
        <v>0</v>
      </c>
      <c r="AH252" s="3">
        <f t="shared" si="139"/>
        <v>0</v>
      </c>
      <c r="AI252" s="3">
        <f t="shared" si="140"/>
        <v>91</v>
      </c>
      <c r="AJ252" s="3">
        <f t="shared" si="141"/>
        <v>84</v>
      </c>
      <c r="AK252" s="3">
        <f t="shared" si="142"/>
        <v>79</v>
      </c>
      <c r="AL252" s="3">
        <f t="shared" si="143"/>
        <v>74</v>
      </c>
      <c r="AM252" s="3">
        <f t="shared" si="144"/>
        <v>69</v>
      </c>
      <c r="AN252" s="3">
        <f t="shared" si="145"/>
        <v>62</v>
      </c>
      <c r="AO252" s="3">
        <f t="shared" si="146"/>
        <v>57</v>
      </c>
      <c r="AP252" s="3">
        <f t="shared" si="147"/>
        <v>52</v>
      </c>
      <c r="AQ252" s="3">
        <f t="shared" si="148"/>
        <v>47</v>
      </c>
      <c r="AR252" s="3">
        <f t="shared" si="149"/>
        <v>40</v>
      </c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M252" s="35" t="s">
        <v>12</v>
      </c>
      <c r="BO252" s="35"/>
      <c r="BR252" s="9" t="str">
        <f t="shared" si="125"/>
        <v/>
      </c>
      <c r="BS252" s="37" t="str">
        <f t="shared" si="126"/>
        <v/>
      </c>
      <c r="BT252" s="38" t="str">
        <f t="shared" si="151"/>
        <v/>
      </c>
      <c r="BU252" s="36" t="str">
        <f t="shared" si="127"/>
        <v/>
      </c>
    </row>
    <row r="253" spans="2:73" ht="15">
      <c r="B253" s="16">
        <f t="shared" si="128"/>
        <v>44844</v>
      </c>
      <c r="C253" s="15" t="s">
        <v>1</v>
      </c>
      <c r="D253" s="17">
        <f t="shared" si="129"/>
        <v>44850</v>
      </c>
      <c r="E253" s="18">
        <f t="shared" si="130"/>
        <v>10</v>
      </c>
      <c r="F253" s="19">
        <f t="shared" si="131"/>
        <v>2022</v>
      </c>
      <c r="G253" s="9">
        <f t="shared" si="152"/>
        <v>17</v>
      </c>
      <c r="H253" s="8">
        <f t="shared" si="152"/>
        <v>95</v>
      </c>
      <c r="I253" s="9"/>
      <c r="J253" s="9"/>
      <c r="K253" s="9"/>
      <c r="L253" s="9"/>
      <c r="M253" s="9"/>
      <c r="N253" s="9"/>
      <c r="O253" s="12"/>
      <c r="P253" s="12"/>
      <c r="Q253" s="12"/>
      <c r="R253" s="12"/>
      <c r="S253" s="12"/>
      <c r="T253" s="12"/>
      <c r="V253" s="20">
        <f t="shared" si="119"/>
        <v>5</v>
      </c>
      <c r="W253" s="20">
        <f t="shared" si="120"/>
        <v>10</v>
      </c>
      <c r="X253" s="20">
        <f t="shared" si="121"/>
        <v>15</v>
      </c>
      <c r="Y253" s="20">
        <f t="shared" si="122"/>
        <v>0</v>
      </c>
      <c r="Z253" s="20">
        <f t="shared" si="123"/>
        <v>0</v>
      </c>
      <c r="AA253" s="20">
        <f t="shared" si="124"/>
        <v>0</v>
      </c>
      <c r="AC253" s="3">
        <f t="shared" si="134"/>
        <v>36</v>
      </c>
      <c r="AD253" s="3">
        <f t="shared" si="135"/>
        <v>31</v>
      </c>
      <c r="AE253" s="3">
        <f t="shared" si="136"/>
        <v>26</v>
      </c>
      <c r="AF253" s="3">
        <f t="shared" si="137"/>
        <v>20</v>
      </c>
      <c r="AG253" s="3">
        <f t="shared" si="138"/>
        <v>0</v>
      </c>
      <c r="AH253" s="3">
        <f t="shared" si="139"/>
        <v>0</v>
      </c>
      <c r="AI253" s="3">
        <f t="shared" si="140"/>
        <v>92</v>
      </c>
      <c r="AJ253" s="3">
        <f t="shared" si="141"/>
        <v>85</v>
      </c>
      <c r="AK253" s="3">
        <f t="shared" si="142"/>
        <v>80</v>
      </c>
      <c r="AL253" s="3">
        <f t="shared" si="143"/>
        <v>75</v>
      </c>
      <c r="AM253" s="3">
        <f t="shared" si="144"/>
        <v>70</v>
      </c>
      <c r="AN253" s="3">
        <f t="shared" si="145"/>
        <v>63</v>
      </c>
      <c r="AO253" s="3">
        <f t="shared" si="146"/>
        <v>58</v>
      </c>
      <c r="AP253" s="3">
        <f t="shared" si="147"/>
        <v>53</v>
      </c>
      <c r="AQ253" s="3">
        <f t="shared" si="148"/>
        <v>48</v>
      </c>
      <c r="AR253" s="3">
        <f t="shared" si="149"/>
        <v>41</v>
      </c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M253" s="35" t="s">
        <v>12</v>
      </c>
      <c r="BO253" s="35"/>
      <c r="BR253" s="9" t="str">
        <f t="shared" si="125"/>
        <v/>
      </c>
      <c r="BS253" s="37" t="str">
        <f t="shared" si="126"/>
        <v/>
      </c>
      <c r="BT253" s="38" t="str">
        <f t="shared" si="151"/>
        <v/>
      </c>
      <c r="BU253" s="36" t="str">
        <f t="shared" si="127"/>
        <v/>
      </c>
    </row>
    <row r="254" spans="2:73" ht="15">
      <c r="B254" s="16">
        <f t="shared" si="128"/>
        <v>44851</v>
      </c>
      <c r="C254" s="15" t="s">
        <v>1</v>
      </c>
      <c r="D254" s="17">
        <f t="shared" si="129"/>
        <v>44857</v>
      </c>
      <c r="E254" s="18">
        <f t="shared" si="130"/>
        <v>10</v>
      </c>
      <c r="F254" s="19">
        <f t="shared" si="131"/>
        <v>2022</v>
      </c>
      <c r="G254" s="9">
        <f t="shared" si="152"/>
        <v>17</v>
      </c>
      <c r="H254" s="8">
        <f t="shared" si="152"/>
        <v>95</v>
      </c>
      <c r="I254" s="9"/>
      <c r="J254" s="9"/>
      <c r="K254" s="9"/>
      <c r="L254" s="9"/>
      <c r="M254" s="9"/>
      <c r="N254" s="9"/>
      <c r="O254" s="12"/>
      <c r="P254" s="12"/>
      <c r="Q254" s="12"/>
      <c r="R254" s="12">
        <v>1</v>
      </c>
      <c r="S254" s="12"/>
      <c r="T254" s="12"/>
      <c r="V254" s="20">
        <f t="shared" si="119"/>
        <v>6</v>
      </c>
      <c r="W254" s="20">
        <f t="shared" si="120"/>
        <v>11</v>
      </c>
      <c r="X254" s="20">
        <f t="shared" si="121"/>
        <v>16</v>
      </c>
      <c r="Y254" s="20">
        <f t="shared" si="122"/>
        <v>44853</v>
      </c>
      <c r="Z254" s="20">
        <f t="shared" si="123"/>
        <v>0</v>
      </c>
      <c r="AA254" s="20">
        <f t="shared" si="124"/>
        <v>0</v>
      </c>
      <c r="AC254" s="3">
        <f t="shared" si="134"/>
        <v>37</v>
      </c>
      <c r="AD254" s="3">
        <f t="shared" si="135"/>
        <v>32</v>
      </c>
      <c r="AE254" s="3">
        <f t="shared" si="136"/>
        <v>27</v>
      </c>
      <c r="AF254" s="3">
        <f t="shared" si="137"/>
        <v>21</v>
      </c>
      <c r="AG254" s="3">
        <f t="shared" si="138"/>
        <v>0</v>
      </c>
      <c r="AH254" s="3">
        <f t="shared" si="139"/>
        <v>0</v>
      </c>
      <c r="AI254" s="3">
        <f t="shared" si="140"/>
        <v>93</v>
      </c>
      <c r="AJ254" s="3">
        <f t="shared" si="141"/>
        <v>86</v>
      </c>
      <c r="AK254" s="3">
        <f t="shared" si="142"/>
        <v>81</v>
      </c>
      <c r="AL254" s="3">
        <f t="shared" si="143"/>
        <v>76</v>
      </c>
      <c r="AM254" s="3">
        <f t="shared" si="144"/>
        <v>71</v>
      </c>
      <c r="AN254" s="3">
        <f t="shared" si="145"/>
        <v>64</v>
      </c>
      <c r="AO254" s="3">
        <f t="shared" si="146"/>
        <v>59</v>
      </c>
      <c r="AP254" s="3">
        <f t="shared" si="147"/>
        <v>54</v>
      </c>
      <c r="AQ254" s="3">
        <f t="shared" si="148"/>
        <v>49</v>
      </c>
      <c r="AR254" s="3">
        <f t="shared" si="149"/>
        <v>42</v>
      </c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M254" s="35" t="s">
        <v>12</v>
      </c>
      <c r="BO254" s="35"/>
      <c r="BR254" s="9">
        <f t="shared" si="125"/>
        <v>4</v>
      </c>
      <c r="BS254" s="37">
        <f t="shared" si="126"/>
        <v>44853</v>
      </c>
      <c r="BT254" s="38">
        <f t="shared" si="151"/>
        <v>44972</v>
      </c>
      <c r="BU254" s="36">
        <f t="shared" si="127"/>
        <v>13</v>
      </c>
    </row>
    <row r="255" spans="2:73" ht="15">
      <c r="B255" s="16">
        <f t="shared" si="128"/>
        <v>44858</v>
      </c>
      <c r="C255" s="15" t="s">
        <v>1</v>
      </c>
      <c r="D255" s="17">
        <f t="shared" si="129"/>
        <v>44864</v>
      </c>
      <c r="E255" s="18">
        <f t="shared" si="130"/>
        <v>10</v>
      </c>
      <c r="F255" s="19">
        <f t="shared" si="131"/>
        <v>2022</v>
      </c>
      <c r="G255" s="9">
        <f t="shared" si="152"/>
        <v>17</v>
      </c>
      <c r="H255" s="8">
        <f t="shared" si="152"/>
        <v>95</v>
      </c>
      <c r="I255" s="9"/>
      <c r="J255" s="9"/>
      <c r="K255" s="9"/>
      <c r="L255" s="9"/>
      <c r="M255" s="9"/>
      <c r="N255" s="9"/>
      <c r="O255" s="12"/>
      <c r="P255" s="12"/>
      <c r="Q255" s="12"/>
      <c r="R255" s="12"/>
      <c r="S255" s="12"/>
      <c r="T255" s="12"/>
      <c r="V255" s="20">
        <f t="shared" si="119"/>
        <v>7</v>
      </c>
      <c r="W255" s="20">
        <f t="shared" si="120"/>
        <v>12</v>
      </c>
      <c r="X255" s="20">
        <f t="shared" si="121"/>
        <v>17</v>
      </c>
      <c r="Y255" s="20">
        <f t="shared" si="122"/>
        <v>1</v>
      </c>
      <c r="Z255" s="20">
        <f t="shared" si="123"/>
        <v>0</v>
      </c>
      <c r="AA255" s="20">
        <f t="shared" si="124"/>
        <v>0</v>
      </c>
      <c r="AC255" s="3">
        <f t="shared" si="134"/>
        <v>38</v>
      </c>
      <c r="AD255" s="3">
        <f t="shared" si="135"/>
        <v>33</v>
      </c>
      <c r="AE255" s="3">
        <f t="shared" si="136"/>
        <v>28</v>
      </c>
      <c r="AF255" s="3">
        <f t="shared" si="137"/>
        <v>22</v>
      </c>
      <c r="AG255" s="3">
        <f t="shared" si="138"/>
        <v>17</v>
      </c>
      <c r="AH255" s="3">
        <f t="shared" si="139"/>
        <v>0</v>
      </c>
      <c r="AI255" s="3">
        <f t="shared" si="140"/>
        <v>94</v>
      </c>
      <c r="AJ255" s="3">
        <f t="shared" si="141"/>
        <v>87</v>
      </c>
      <c r="AK255" s="3">
        <f t="shared" si="142"/>
        <v>82</v>
      </c>
      <c r="AL255" s="3">
        <f t="shared" si="143"/>
        <v>77</v>
      </c>
      <c r="AM255" s="3">
        <f t="shared" si="144"/>
        <v>72</v>
      </c>
      <c r="AN255" s="3">
        <f t="shared" si="145"/>
        <v>65</v>
      </c>
      <c r="AO255" s="3">
        <f t="shared" si="146"/>
        <v>60</v>
      </c>
      <c r="AP255" s="3">
        <f t="shared" si="147"/>
        <v>55</v>
      </c>
      <c r="AQ255" s="3">
        <f t="shared" si="148"/>
        <v>50</v>
      </c>
      <c r="AR255" s="3">
        <f t="shared" si="149"/>
        <v>43</v>
      </c>
      <c r="AS255" s="8"/>
      <c r="AT255" s="8"/>
      <c r="AU255" s="8"/>
      <c r="AV255" s="8"/>
      <c r="AW255" s="8">
        <v>3</v>
      </c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M255" s="35" t="s">
        <v>12</v>
      </c>
      <c r="BO255" s="35"/>
      <c r="BR255" s="9" t="str">
        <f t="shared" si="125"/>
        <v/>
      </c>
      <c r="BS255" s="37" t="str">
        <f t="shared" si="126"/>
        <v/>
      </c>
      <c r="BT255" s="38" t="str">
        <f t="shared" si="151"/>
        <v/>
      </c>
      <c r="BU255" s="36" t="str">
        <f t="shared" si="127"/>
        <v/>
      </c>
    </row>
    <row r="256" spans="2:73" ht="15">
      <c r="B256" s="16">
        <f t="shared" si="128"/>
        <v>44865</v>
      </c>
      <c r="C256" s="15" t="s">
        <v>1</v>
      </c>
      <c r="D256" s="17">
        <f t="shared" si="129"/>
        <v>44871</v>
      </c>
      <c r="E256" s="18">
        <f t="shared" si="130"/>
        <v>10</v>
      </c>
      <c r="F256" s="19">
        <f t="shared" si="131"/>
        <v>2022</v>
      </c>
      <c r="G256" s="9">
        <f t="shared" si="152"/>
        <v>17</v>
      </c>
      <c r="H256" s="8">
        <f t="shared" si="152"/>
        <v>95</v>
      </c>
      <c r="I256" s="9"/>
      <c r="J256" s="9"/>
      <c r="K256" s="9"/>
      <c r="L256" s="9"/>
      <c r="M256" s="9"/>
      <c r="N256" s="9"/>
      <c r="O256" s="12"/>
      <c r="P256" s="12"/>
      <c r="Q256" s="12"/>
      <c r="R256" s="12"/>
      <c r="S256" s="12"/>
      <c r="T256" s="12"/>
      <c r="V256" s="20">
        <f t="shared" si="119"/>
        <v>8</v>
      </c>
      <c r="W256" s="20">
        <f t="shared" si="120"/>
        <v>13</v>
      </c>
      <c r="X256" s="20">
        <f t="shared" si="121"/>
        <v>0</v>
      </c>
      <c r="Y256" s="20">
        <f t="shared" si="122"/>
        <v>2</v>
      </c>
      <c r="Z256" s="20">
        <f t="shared" si="123"/>
        <v>0</v>
      </c>
      <c r="AA256" s="20">
        <f t="shared" si="124"/>
        <v>0</v>
      </c>
      <c r="AC256" s="3">
        <f t="shared" si="134"/>
        <v>39</v>
      </c>
      <c r="AD256" s="3">
        <f t="shared" si="135"/>
        <v>34</v>
      </c>
      <c r="AE256" s="3">
        <f t="shared" si="136"/>
        <v>29</v>
      </c>
      <c r="AF256" s="3">
        <f t="shared" si="137"/>
        <v>23</v>
      </c>
      <c r="AG256" s="3">
        <f t="shared" si="138"/>
        <v>18</v>
      </c>
      <c r="AH256" s="3">
        <f t="shared" si="139"/>
        <v>0</v>
      </c>
      <c r="AI256" s="3">
        <f t="shared" si="140"/>
        <v>95</v>
      </c>
      <c r="AJ256" s="3">
        <f t="shared" si="141"/>
        <v>88</v>
      </c>
      <c r="AK256" s="3">
        <f t="shared" si="142"/>
        <v>83</v>
      </c>
      <c r="AL256" s="3">
        <f t="shared" si="143"/>
        <v>78</v>
      </c>
      <c r="AM256" s="3">
        <f t="shared" si="144"/>
        <v>73</v>
      </c>
      <c r="AN256" s="3">
        <f t="shared" si="145"/>
        <v>66</v>
      </c>
      <c r="AO256" s="3">
        <f t="shared" si="146"/>
        <v>61</v>
      </c>
      <c r="AP256" s="3">
        <f t="shared" si="147"/>
        <v>56</v>
      </c>
      <c r="AQ256" s="3">
        <f t="shared" si="148"/>
        <v>51</v>
      </c>
      <c r="AR256" s="3">
        <f t="shared" si="149"/>
        <v>44</v>
      </c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M256" s="35" t="s">
        <v>12</v>
      </c>
      <c r="BO256" s="35"/>
      <c r="BR256" s="9" t="str">
        <f t="shared" si="125"/>
        <v/>
      </c>
      <c r="BS256" s="37" t="str">
        <f t="shared" si="126"/>
        <v/>
      </c>
      <c r="BT256" s="38" t="str">
        <f t="shared" si="151"/>
        <v/>
      </c>
      <c r="BU256" s="36" t="str">
        <f t="shared" si="127"/>
        <v/>
      </c>
    </row>
    <row r="257" spans="2:73" ht="15">
      <c r="B257" s="16">
        <f t="shared" si="128"/>
        <v>44872</v>
      </c>
      <c r="C257" s="15" t="s">
        <v>1</v>
      </c>
      <c r="D257" s="17">
        <f t="shared" si="129"/>
        <v>44878</v>
      </c>
      <c r="E257" s="18">
        <f t="shared" si="130"/>
        <v>11</v>
      </c>
      <c r="F257" s="19">
        <f t="shared" si="131"/>
        <v>2022</v>
      </c>
      <c r="G257" s="9">
        <f t="shared" si="152"/>
        <v>17</v>
      </c>
      <c r="H257" s="8">
        <f t="shared" si="152"/>
        <v>95</v>
      </c>
      <c r="I257" s="9"/>
      <c r="J257" s="9"/>
      <c r="K257" s="9"/>
      <c r="L257" s="9"/>
      <c r="M257" s="9"/>
      <c r="N257" s="9"/>
      <c r="O257" s="12"/>
      <c r="P257" s="12"/>
      <c r="Q257" s="12"/>
      <c r="R257" s="12"/>
      <c r="S257" s="12"/>
      <c r="T257" s="12"/>
      <c r="V257" s="20">
        <f t="shared" si="119"/>
        <v>9</v>
      </c>
      <c r="W257" s="20">
        <f t="shared" si="120"/>
        <v>14</v>
      </c>
      <c r="X257" s="20">
        <f t="shared" si="121"/>
        <v>0</v>
      </c>
      <c r="Y257" s="20">
        <f t="shared" si="122"/>
        <v>3</v>
      </c>
      <c r="Z257" s="20">
        <f t="shared" si="123"/>
        <v>0</v>
      </c>
      <c r="AA257" s="20">
        <f t="shared" si="124"/>
        <v>0</v>
      </c>
      <c r="AC257" s="3">
        <f t="shared" si="134"/>
        <v>40</v>
      </c>
      <c r="AD257" s="3">
        <f t="shared" si="135"/>
        <v>35</v>
      </c>
      <c r="AE257" s="3">
        <f t="shared" si="136"/>
        <v>30</v>
      </c>
      <c r="AF257" s="3">
        <f t="shared" si="137"/>
        <v>24</v>
      </c>
      <c r="AG257" s="3">
        <f t="shared" si="138"/>
        <v>19</v>
      </c>
      <c r="AH257" s="3">
        <f t="shared" si="139"/>
        <v>0</v>
      </c>
      <c r="AI257" s="3">
        <f t="shared" si="140"/>
        <v>0</v>
      </c>
      <c r="AJ257" s="3">
        <f t="shared" si="141"/>
        <v>89</v>
      </c>
      <c r="AK257" s="3">
        <f t="shared" si="142"/>
        <v>84</v>
      </c>
      <c r="AL257" s="3">
        <f t="shared" si="143"/>
        <v>79</v>
      </c>
      <c r="AM257" s="3">
        <f t="shared" si="144"/>
        <v>74</v>
      </c>
      <c r="AN257" s="3">
        <f t="shared" si="145"/>
        <v>67</v>
      </c>
      <c r="AO257" s="3">
        <f t="shared" si="146"/>
        <v>62</v>
      </c>
      <c r="AP257" s="3">
        <f t="shared" si="147"/>
        <v>57</v>
      </c>
      <c r="AQ257" s="3">
        <f t="shared" si="148"/>
        <v>52</v>
      </c>
      <c r="AR257" s="3">
        <f t="shared" si="149"/>
        <v>45</v>
      </c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L257">
        <v>13</v>
      </c>
      <c r="BM257" s="35">
        <v>44872</v>
      </c>
      <c r="BO257" s="35">
        <f>B274</f>
        <v>44991</v>
      </c>
      <c r="BP257">
        <v>98</v>
      </c>
      <c r="BR257" s="9" t="str">
        <f t="shared" si="125"/>
        <v/>
      </c>
      <c r="BS257" s="37" t="str">
        <f t="shared" si="126"/>
        <v/>
      </c>
      <c r="BT257" s="38" t="str">
        <f t="shared" si="151"/>
        <v/>
      </c>
      <c r="BU257" s="36" t="str">
        <f t="shared" si="127"/>
        <v/>
      </c>
    </row>
    <row r="258" spans="2:73" ht="15">
      <c r="B258" s="16">
        <f t="shared" si="128"/>
        <v>44879</v>
      </c>
      <c r="C258" s="15" t="s">
        <v>1</v>
      </c>
      <c r="D258" s="17">
        <f t="shared" si="129"/>
        <v>44885</v>
      </c>
      <c r="E258" s="18">
        <f t="shared" si="130"/>
        <v>11</v>
      </c>
      <c r="F258" s="19">
        <f t="shared" si="131"/>
        <v>2022</v>
      </c>
      <c r="G258" s="9">
        <f t="shared" si="152"/>
        <v>17</v>
      </c>
      <c r="H258" s="8">
        <f t="shared" si="152"/>
        <v>95</v>
      </c>
      <c r="I258" s="9"/>
      <c r="J258" s="9"/>
      <c r="K258" s="9"/>
      <c r="L258" s="9"/>
      <c r="M258" s="9"/>
      <c r="N258" s="9"/>
      <c r="O258" s="12"/>
      <c r="P258" s="12"/>
      <c r="Q258" s="12"/>
      <c r="R258" s="12"/>
      <c r="S258" s="12"/>
      <c r="T258" s="12"/>
      <c r="V258" s="20">
        <f t="shared" si="119"/>
        <v>10</v>
      </c>
      <c r="W258" s="20">
        <f t="shared" si="120"/>
        <v>15</v>
      </c>
      <c r="X258" s="20">
        <f t="shared" si="121"/>
        <v>0</v>
      </c>
      <c r="Y258" s="20">
        <f t="shared" si="122"/>
        <v>4</v>
      </c>
      <c r="Z258" s="20">
        <f t="shared" si="123"/>
        <v>0</v>
      </c>
      <c r="AA258" s="20">
        <f t="shared" si="124"/>
        <v>0</v>
      </c>
      <c r="AC258" s="3">
        <f t="shared" si="134"/>
        <v>41</v>
      </c>
      <c r="AD258" s="3">
        <f t="shared" si="135"/>
        <v>36</v>
      </c>
      <c r="AE258" s="3">
        <f t="shared" si="136"/>
        <v>31</v>
      </c>
      <c r="AF258" s="3">
        <f t="shared" si="137"/>
        <v>25</v>
      </c>
      <c r="AG258" s="3">
        <f t="shared" si="138"/>
        <v>20</v>
      </c>
      <c r="AH258" s="3">
        <f t="shared" si="139"/>
        <v>0</v>
      </c>
      <c r="AI258" s="3">
        <f t="shared" si="140"/>
        <v>0</v>
      </c>
      <c r="AJ258" s="3">
        <f t="shared" si="141"/>
        <v>90</v>
      </c>
      <c r="AK258" s="3">
        <f t="shared" si="142"/>
        <v>85</v>
      </c>
      <c r="AL258" s="3">
        <f t="shared" si="143"/>
        <v>80</v>
      </c>
      <c r="AM258" s="3">
        <f t="shared" si="144"/>
        <v>75</v>
      </c>
      <c r="AN258" s="3">
        <f t="shared" si="145"/>
        <v>68</v>
      </c>
      <c r="AO258" s="3">
        <f t="shared" si="146"/>
        <v>63</v>
      </c>
      <c r="AP258" s="3">
        <f t="shared" si="147"/>
        <v>58</v>
      </c>
      <c r="AQ258" s="3">
        <f t="shared" si="148"/>
        <v>53</v>
      </c>
      <c r="AR258" s="3">
        <f t="shared" si="149"/>
        <v>46</v>
      </c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M258" s="35" t="s">
        <v>12</v>
      </c>
      <c r="BO258" s="35"/>
      <c r="BR258" s="9" t="str">
        <f t="shared" si="125"/>
        <v/>
      </c>
      <c r="BS258" s="37" t="str">
        <f t="shared" si="126"/>
        <v/>
      </c>
      <c r="BT258" s="38" t="str">
        <f t="shared" si="151"/>
        <v/>
      </c>
      <c r="BU258" s="36" t="str">
        <f t="shared" si="127"/>
        <v/>
      </c>
    </row>
    <row r="259" spans="2:73" ht="15">
      <c r="B259" s="16">
        <f t="shared" si="128"/>
        <v>44886</v>
      </c>
      <c r="C259" s="15" t="s">
        <v>1</v>
      </c>
      <c r="D259" s="17">
        <f t="shared" si="129"/>
        <v>44892</v>
      </c>
      <c r="E259" s="18">
        <f t="shared" si="130"/>
        <v>11</v>
      </c>
      <c r="F259" s="19">
        <f t="shared" si="131"/>
        <v>2022</v>
      </c>
      <c r="G259" s="9">
        <f t="shared" si="152"/>
        <v>17</v>
      </c>
      <c r="H259" s="8">
        <f t="shared" si="152"/>
        <v>95</v>
      </c>
      <c r="I259" s="9"/>
      <c r="J259" s="9"/>
      <c r="K259" s="9"/>
      <c r="L259" s="9"/>
      <c r="M259" s="9"/>
      <c r="N259" s="9"/>
      <c r="O259" s="12"/>
      <c r="P259" s="12"/>
      <c r="Q259" s="12">
        <v>1</v>
      </c>
      <c r="R259" s="12"/>
      <c r="S259" s="12"/>
      <c r="T259" s="12"/>
      <c r="V259" s="20">
        <f t="shared" si="119"/>
        <v>11</v>
      </c>
      <c r="W259" s="20">
        <f t="shared" si="120"/>
        <v>16</v>
      </c>
      <c r="X259" s="20">
        <f t="shared" si="121"/>
        <v>44888</v>
      </c>
      <c r="Y259" s="20">
        <f t="shared" si="122"/>
        <v>5</v>
      </c>
      <c r="Z259" s="20">
        <f t="shared" si="123"/>
        <v>0</v>
      </c>
      <c r="AA259" s="20">
        <f t="shared" si="124"/>
        <v>0</v>
      </c>
      <c r="AC259" s="3">
        <f t="shared" si="134"/>
        <v>42</v>
      </c>
      <c r="AD259" s="3">
        <f t="shared" si="135"/>
        <v>37</v>
      </c>
      <c r="AE259" s="3">
        <f t="shared" si="136"/>
        <v>32</v>
      </c>
      <c r="AF259" s="3">
        <f t="shared" si="137"/>
        <v>26</v>
      </c>
      <c r="AG259" s="3">
        <f t="shared" si="138"/>
        <v>21</v>
      </c>
      <c r="AH259" s="3">
        <f t="shared" si="139"/>
        <v>0</v>
      </c>
      <c r="AI259" s="3">
        <f t="shared" si="140"/>
        <v>0</v>
      </c>
      <c r="AJ259" s="3">
        <f t="shared" si="141"/>
        <v>91</v>
      </c>
      <c r="AK259" s="3">
        <f t="shared" si="142"/>
        <v>86</v>
      </c>
      <c r="AL259" s="3">
        <f t="shared" si="143"/>
        <v>81</v>
      </c>
      <c r="AM259" s="3">
        <f t="shared" si="144"/>
        <v>76</v>
      </c>
      <c r="AN259" s="3">
        <f t="shared" si="145"/>
        <v>69</v>
      </c>
      <c r="AO259" s="3">
        <f t="shared" si="146"/>
        <v>64</v>
      </c>
      <c r="AP259" s="3">
        <f t="shared" si="147"/>
        <v>59</v>
      </c>
      <c r="AQ259" s="3">
        <f t="shared" si="148"/>
        <v>54</v>
      </c>
      <c r="AR259" s="3">
        <f t="shared" si="149"/>
        <v>47</v>
      </c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M259" s="35" t="s">
        <v>12</v>
      </c>
      <c r="BO259" s="35"/>
      <c r="BR259" s="9">
        <f t="shared" si="125"/>
        <v>3</v>
      </c>
      <c r="BS259" s="37">
        <f t="shared" si="126"/>
        <v>44888</v>
      </c>
      <c r="BT259" s="38">
        <f t="shared" si="151"/>
        <v>45007</v>
      </c>
      <c r="BU259" s="36">
        <f t="shared" si="127"/>
        <v>14</v>
      </c>
    </row>
    <row r="260" spans="2:73" ht="15">
      <c r="B260" s="16">
        <f t="shared" si="128"/>
        <v>44893</v>
      </c>
      <c r="C260" s="15" t="s">
        <v>1</v>
      </c>
      <c r="D260" s="17">
        <f t="shared" si="129"/>
        <v>44899</v>
      </c>
      <c r="E260" s="18">
        <f t="shared" si="130"/>
        <v>11</v>
      </c>
      <c r="F260" s="19">
        <f t="shared" si="131"/>
        <v>2022</v>
      </c>
      <c r="G260" s="9">
        <f t="shared" si="152"/>
        <v>17</v>
      </c>
      <c r="H260" s="8">
        <f t="shared" si="152"/>
        <v>95</v>
      </c>
      <c r="I260" s="9"/>
      <c r="J260" s="9"/>
      <c r="K260" s="9"/>
      <c r="L260" s="9"/>
      <c r="M260" s="9"/>
      <c r="N260" s="9"/>
      <c r="O260" s="12"/>
      <c r="P260" s="12"/>
      <c r="Q260" s="12"/>
      <c r="R260" s="12"/>
      <c r="S260" s="12"/>
      <c r="T260" s="12"/>
      <c r="V260" s="20">
        <f t="shared" ref="V260:V323" si="153">IF(I260&gt;0,I260,IF(O260=1,$B260+2,IF(O259=1,1,IF(O259=2,0,IF(V259=$G259,0,(IF(V259&gt;=1,V259+1,0)))))))</f>
        <v>12</v>
      </c>
      <c r="W260" s="20">
        <f t="shared" ref="W260:W323" si="154">IF(J260&gt;0,J260,IF(P260=1,$B260+2,IF(P259=1,1,IF(P259=2,0,IF(W259=$G259,0,(IF(W259&gt;=1,W259+1,0)))))))</f>
        <v>17</v>
      </c>
      <c r="X260" s="20">
        <f t="shared" ref="X260:X323" si="155">IF(K260&gt;0,K260,IF(Q260=1,$B260+2,IF(Q259=1,1,IF(Q259=2,0,IF(X259=$G259,0,(IF(X259&gt;=1,X259+1,0)))))))</f>
        <v>1</v>
      </c>
      <c r="Y260" s="20">
        <f t="shared" ref="Y260:Y323" si="156">IF(L260&gt;0,L260,IF(R260=1,$B260+2,IF(R259=1,1,IF(R259=2,0,IF(Y259=$G259,0,(IF(Y259&gt;=1,Y259+1,0)))))))</f>
        <v>6</v>
      </c>
      <c r="Z260" s="20">
        <f t="shared" ref="Z260:Z323" si="157">IF(M260&gt;0,M260,IF(S260=1,$B260+2,IF(S259=1,1,IF(S259=2,0,IF(Z259=$G259,0,(IF(Z259&gt;=1,Z259+1,0)))))))</f>
        <v>0</v>
      </c>
      <c r="AA260" s="20">
        <f t="shared" ref="AA260:AA323" si="158">IF(N260&gt;0,N260,IF(T260=1,$B260+2,IF(T259=1,1,IF(T259=2,0,IF(AA259=$G259,0,(IF(AA259&gt;=1,AA259+1,0)))))))</f>
        <v>0</v>
      </c>
      <c r="AC260" s="3">
        <f t="shared" si="134"/>
        <v>43</v>
      </c>
      <c r="AD260" s="3">
        <f t="shared" si="135"/>
        <v>38</v>
      </c>
      <c r="AE260" s="3">
        <f t="shared" si="136"/>
        <v>33</v>
      </c>
      <c r="AF260" s="3">
        <f t="shared" si="137"/>
        <v>27</v>
      </c>
      <c r="AG260" s="3">
        <f t="shared" si="138"/>
        <v>22</v>
      </c>
      <c r="AH260" s="3">
        <f t="shared" si="139"/>
        <v>17</v>
      </c>
      <c r="AI260" s="3">
        <f t="shared" si="140"/>
        <v>0</v>
      </c>
      <c r="AJ260" s="3">
        <f t="shared" si="141"/>
        <v>92</v>
      </c>
      <c r="AK260" s="3">
        <f t="shared" si="142"/>
        <v>87</v>
      </c>
      <c r="AL260" s="3">
        <f t="shared" si="143"/>
        <v>82</v>
      </c>
      <c r="AM260" s="3">
        <f t="shared" si="144"/>
        <v>77</v>
      </c>
      <c r="AN260" s="3">
        <f t="shared" si="145"/>
        <v>70</v>
      </c>
      <c r="AO260" s="3">
        <f t="shared" si="146"/>
        <v>65</v>
      </c>
      <c r="AP260" s="3">
        <f t="shared" si="147"/>
        <v>60</v>
      </c>
      <c r="AQ260" s="3">
        <f t="shared" si="148"/>
        <v>55</v>
      </c>
      <c r="AR260" s="3">
        <f t="shared" si="149"/>
        <v>48</v>
      </c>
      <c r="AS260" s="8"/>
      <c r="AT260" s="8"/>
      <c r="AU260" s="8"/>
      <c r="AV260" s="8"/>
      <c r="AW260" s="8"/>
      <c r="AX260" s="8">
        <v>2</v>
      </c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M260" s="35" t="s">
        <v>12</v>
      </c>
      <c r="BO260" s="35"/>
      <c r="BR260" s="9" t="str">
        <f t="shared" ref="BR260:BR323" si="159">IF(AND(V260&gt;0,V259=0),$V$2,IF(AND(W260&gt;0,W259=0),$W$2,IF(AND(X260&gt;0,X259=0),$X$2,IF(AND(Y260&gt;0,Y259=0),$Y$2,IF(AND(Z260&gt;0,Z259=0),$Z$2,IF(AND(AA260&gt;0,AA259=0),$AA$2,""))))))</f>
        <v/>
      </c>
      <c r="BS260" s="37" t="str">
        <f t="shared" ref="BS260:BS323" si="160">IF(OR(AND($V261=1,$V262=2),OR(AND($W261=1,$W262=2),OR(AND($X261=1,$X262=2),OR(AND($Y261=1,$Y262=2),OR(AND($Z261=1,$Z262),OR(AND($AA261=1,$AA262=2))))))),$B260+2,"")</f>
        <v/>
      </c>
      <c r="BT260" s="38" t="str">
        <f t="shared" si="151"/>
        <v/>
      </c>
      <c r="BU260" s="36" t="str">
        <f t="shared" ref="BU260:BU323" si="161">IF(AND(AC277&gt;0,AC276=0),$AC$2,IF(AND(AD277&gt;0,AD276=0),$AD$2,IF(AND(AE277&gt;0,AE276=0),$AE$2,IF(AND(AF277&gt;0,AF276=0),$AF$2,IF(AND(AG277&gt;0,AG276=0),$AG$2,IF(AND(AH277&gt;0,AH276=0),$AH$2,IF(AND(AI277&gt;0,AI276=0),$AI$2,IF(AND(AJ277&gt;0,AJ276=0),$AJ$2,IF(AND(AK277&gt;0,AK276=0),$AK$2,IF(AND(AL277&gt;0,AL276=0),$AL$2,IF(AND(AM277&gt;0,AM276=0),$AM$2,IF(AND(AN277&gt;0,AN276=0),$AN$2,IF(AND(AO277&gt;0,AO276=0),$AO$2,IF(AND(AP277&gt;0,AP276=0),$AP$2,IF(AND(AQ277&gt;0,AQ276=0),$AQ$2,IF(AND(AR277&gt;0,AR276=0),$AR$2,""))))))))))))))))</f>
        <v/>
      </c>
    </row>
    <row r="261" spans="2:73" ht="15">
      <c r="B261" s="16">
        <f t="shared" ref="B261:B324" si="162">D260+1</f>
        <v>44900</v>
      </c>
      <c r="C261" s="15" t="s">
        <v>1</v>
      </c>
      <c r="D261" s="17">
        <f t="shared" ref="D261:D324" si="163">B261+6</f>
        <v>44906</v>
      </c>
      <c r="E261" s="18">
        <f t="shared" ref="E261:E324" si="164">MONTH(B261)</f>
        <v>12</v>
      </c>
      <c r="F261" s="19">
        <f t="shared" ref="F261:F324" si="165">YEAR(D261)</f>
        <v>2022</v>
      </c>
      <c r="G261" s="9">
        <f t="shared" si="152"/>
        <v>17</v>
      </c>
      <c r="H261" s="8">
        <f t="shared" si="152"/>
        <v>95</v>
      </c>
      <c r="I261" s="9"/>
      <c r="J261" s="9"/>
      <c r="K261" s="9"/>
      <c r="L261" s="9"/>
      <c r="M261" s="9"/>
      <c r="N261" s="9"/>
      <c r="O261" s="12"/>
      <c r="P261" s="12"/>
      <c r="Q261" s="12"/>
      <c r="R261" s="12"/>
      <c r="S261" s="12"/>
      <c r="T261" s="12"/>
      <c r="V261" s="20">
        <f t="shared" si="153"/>
        <v>13</v>
      </c>
      <c r="W261" s="20">
        <f t="shared" si="154"/>
        <v>0</v>
      </c>
      <c r="X261" s="20">
        <f t="shared" si="155"/>
        <v>2</v>
      </c>
      <c r="Y261" s="20">
        <f t="shared" si="156"/>
        <v>7</v>
      </c>
      <c r="Z261" s="20">
        <f t="shared" si="157"/>
        <v>0</v>
      </c>
      <c r="AA261" s="20">
        <f t="shared" si="158"/>
        <v>0</v>
      </c>
      <c r="AC261" s="3">
        <f t="shared" si="134"/>
        <v>44</v>
      </c>
      <c r="AD261" s="3">
        <f t="shared" si="135"/>
        <v>39</v>
      </c>
      <c r="AE261" s="3">
        <f t="shared" si="136"/>
        <v>34</v>
      </c>
      <c r="AF261" s="3">
        <f t="shared" si="137"/>
        <v>28</v>
      </c>
      <c r="AG261" s="3">
        <f t="shared" si="138"/>
        <v>23</v>
      </c>
      <c r="AH261" s="3">
        <f t="shared" si="139"/>
        <v>18</v>
      </c>
      <c r="AI261" s="3">
        <f t="shared" si="140"/>
        <v>0</v>
      </c>
      <c r="AJ261" s="3">
        <f t="shared" si="141"/>
        <v>93</v>
      </c>
      <c r="AK261" s="3">
        <f t="shared" si="142"/>
        <v>88</v>
      </c>
      <c r="AL261" s="3">
        <f t="shared" si="143"/>
        <v>83</v>
      </c>
      <c r="AM261" s="3">
        <f t="shared" si="144"/>
        <v>78</v>
      </c>
      <c r="AN261" s="3">
        <f t="shared" si="145"/>
        <v>71</v>
      </c>
      <c r="AO261" s="3">
        <f t="shared" si="146"/>
        <v>66</v>
      </c>
      <c r="AP261" s="3">
        <f t="shared" si="147"/>
        <v>61</v>
      </c>
      <c r="AQ261" s="3">
        <f t="shared" si="148"/>
        <v>56</v>
      </c>
      <c r="AR261" s="3">
        <f t="shared" si="149"/>
        <v>49</v>
      </c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M261" s="35" t="s">
        <v>12</v>
      </c>
      <c r="BO261" s="35"/>
      <c r="BR261" s="9" t="str">
        <f t="shared" si="159"/>
        <v/>
      </c>
      <c r="BS261" s="37" t="str">
        <f t="shared" si="160"/>
        <v/>
      </c>
      <c r="BT261" s="38" t="str">
        <f t="shared" si="151"/>
        <v/>
      </c>
      <c r="BU261" s="36" t="str">
        <f t="shared" si="161"/>
        <v/>
      </c>
    </row>
    <row r="262" spans="2:73" ht="15">
      <c r="B262" s="16">
        <f t="shared" si="162"/>
        <v>44907</v>
      </c>
      <c r="C262" s="15" t="s">
        <v>1</v>
      </c>
      <c r="D262" s="17">
        <f t="shared" si="163"/>
        <v>44913</v>
      </c>
      <c r="E262" s="18">
        <f t="shared" si="164"/>
        <v>12</v>
      </c>
      <c r="F262" s="19">
        <f t="shared" si="165"/>
        <v>2022</v>
      </c>
      <c r="G262" s="9">
        <f t="shared" ref="G262:H277" si="166">G261</f>
        <v>17</v>
      </c>
      <c r="H262" s="8">
        <f t="shared" si="166"/>
        <v>95</v>
      </c>
      <c r="I262" s="9"/>
      <c r="J262" s="9"/>
      <c r="K262" s="9"/>
      <c r="L262" s="9"/>
      <c r="M262" s="9"/>
      <c r="N262" s="9"/>
      <c r="O262" s="12"/>
      <c r="P262" s="12"/>
      <c r="Q262" s="12"/>
      <c r="R262" s="12"/>
      <c r="S262" s="12"/>
      <c r="T262" s="12"/>
      <c r="V262" s="20">
        <f t="shared" si="153"/>
        <v>14</v>
      </c>
      <c r="W262" s="20">
        <f t="shared" si="154"/>
        <v>0</v>
      </c>
      <c r="X262" s="20">
        <f t="shared" si="155"/>
        <v>3</v>
      </c>
      <c r="Y262" s="20">
        <f t="shared" si="156"/>
        <v>8</v>
      </c>
      <c r="Z262" s="20">
        <f t="shared" si="157"/>
        <v>0</v>
      </c>
      <c r="AA262" s="20">
        <f t="shared" si="158"/>
        <v>0</v>
      </c>
      <c r="AC262" s="3">
        <f t="shared" si="134"/>
        <v>45</v>
      </c>
      <c r="AD262" s="3">
        <f t="shared" si="135"/>
        <v>40</v>
      </c>
      <c r="AE262" s="3">
        <f t="shared" si="136"/>
        <v>35</v>
      </c>
      <c r="AF262" s="3">
        <f t="shared" si="137"/>
        <v>29</v>
      </c>
      <c r="AG262" s="3">
        <f t="shared" si="138"/>
        <v>24</v>
      </c>
      <c r="AH262" s="3">
        <f t="shared" si="139"/>
        <v>19</v>
      </c>
      <c r="AI262" s="3">
        <f t="shared" si="140"/>
        <v>0</v>
      </c>
      <c r="AJ262" s="3">
        <f t="shared" si="141"/>
        <v>94</v>
      </c>
      <c r="AK262" s="3">
        <f t="shared" si="142"/>
        <v>89</v>
      </c>
      <c r="AL262" s="3">
        <f t="shared" si="143"/>
        <v>84</v>
      </c>
      <c r="AM262" s="3">
        <f t="shared" si="144"/>
        <v>79</v>
      </c>
      <c r="AN262" s="3">
        <f t="shared" si="145"/>
        <v>72</v>
      </c>
      <c r="AO262" s="3">
        <f t="shared" si="146"/>
        <v>67</v>
      </c>
      <c r="AP262" s="3">
        <f t="shared" si="147"/>
        <v>62</v>
      </c>
      <c r="AQ262" s="3">
        <f t="shared" si="148"/>
        <v>57</v>
      </c>
      <c r="AR262" s="3">
        <f t="shared" si="149"/>
        <v>50</v>
      </c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L262">
        <v>14</v>
      </c>
      <c r="BM262" s="35">
        <v>44907</v>
      </c>
      <c r="BO262" s="35">
        <f>B279</f>
        <v>45026</v>
      </c>
      <c r="BP262">
        <v>98</v>
      </c>
      <c r="BR262" s="9" t="str">
        <f t="shared" si="159"/>
        <v/>
      </c>
      <c r="BS262" s="37" t="str">
        <f t="shared" si="160"/>
        <v/>
      </c>
      <c r="BT262" s="38" t="str">
        <f t="shared" si="151"/>
        <v/>
      </c>
      <c r="BU262" s="36" t="str">
        <f t="shared" si="161"/>
        <v/>
      </c>
    </row>
    <row r="263" spans="2:73" ht="15">
      <c r="B263" s="16">
        <f t="shared" si="162"/>
        <v>44914</v>
      </c>
      <c r="C263" s="15" t="s">
        <v>1</v>
      </c>
      <c r="D263" s="17">
        <f t="shared" si="163"/>
        <v>44920</v>
      </c>
      <c r="E263" s="18">
        <f t="shared" si="164"/>
        <v>12</v>
      </c>
      <c r="F263" s="19">
        <f t="shared" si="165"/>
        <v>2022</v>
      </c>
      <c r="G263" s="9">
        <f t="shared" si="166"/>
        <v>17</v>
      </c>
      <c r="H263" s="8">
        <f t="shared" si="166"/>
        <v>95</v>
      </c>
      <c r="I263" s="9"/>
      <c r="J263" s="9"/>
      <c r="K263" s="9"/>
      <c r="L263" s="9"/>
      <c r="M263" s="9"/>
      <c r="N263" s="9"/>
      <c r="O263" s="12"/>
      <c r="P263" s="12"/>
      <c r="Q263" s="12"/>
      <c r="R263" s="12"/>
      <c r="S263" s="12"/>
      <c r="T263" s="12"/>
      <c r="V263" s="20">
        <f t="shared" si="153"/>
        <v>15</v>
      </c>
      <c r="W263" s="20">
        <f t="shared" si="154"/>
        <v>0</v>
      </c>
      <c r="X263" s="20">
        <f t="shared" si="155"/>
        <v>4</v>
      </c>
      <c r="Y263" s="20">
        <f t="shared" si="156"/>
        <v>9</v>
      </c>
      <c r="Z263" s="20">
        <f t="shared" si="157"/>
        <v>0</v>
      </c>
      <c r="AA263" s="20">
        <f t="shared" si="158"/>
        <v>0</v>
      </c>
      <c r="AC263" s="3">
        <f t="shared" si="134"/>
        <v>46</v>
      </c>
      <c r="AD263" s="3">
        <f t="shared" si="135"/>
        <v>41</v>
      </c>
      <c r="AE263" s="3">
        <f t="shared" si="136"/>
        <v>36</v>
      </c>
      <c r="AF263" s="3">
        <f t="shared" si="137"/>
        <v>30</v>
      </c>
      <c r="AG263" s="3">
        <f t="shared" si="138"/>
        <v>25</v>
      </c>
      <c r="AH263" s="3">
        <f t="shared" si="139"/>
        <v>20</v>
      </c>
      <c r="AI263" s="3">
        <f t="shared" si="140"/>
        <v>0</v>
      </c>
      <c r="AJ263" s="3">
        <f t="shared" si="141"/>
        <v>95</v>
      </c>
      <c r="AK263" s="3">
        <f t="shared" si="142"/>
        <v>90</v>
      </c>
      <c r="AL263" s="3">
        <f t="shared" si="143"/>
        <v>85</v>
      </c>
      <c r="AM263" s="3">
        <f t="shared" si="144"/>
        <v>80</v>
      </c>
      <c r="AN263" s="3">
        <f t="shared" si="145"/>
        <v>73</v>
      </c>
      <c r="AO263" s="3">
        <f t="shared" si="146"/>
        <v>68</v>
      </c>
      <c r="AP263" s="3">
        <f t="shared" si="147"/>
        <v>63</v>
      </c>
      <c r="AQ263" s="3">
        <f t="shared" si="148"/>
        <v>58</v>
      </c>
      <c r="AR263" s="3">
        <f t="shared" si="149"/>
        <v>51</v>
      </c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M263" s="35" t="s">
        <v>12</v>
      </c>
      <c r="BO263" s="35"/>
      <c r="BR263" s="9" t="str">
        <f t="shared" si="159"/>
        <v/>
      </c>
      <c r="BS263" s="37" t="str">
        <f t="shared" si="160"/>
        <v/>
      </c>
      <c r="BT263" s="38" t="str">
        <f t="shared" si="151"/>
        <v/>
      </c>
      <c r="BU263" s="36" t="str">
        <f t="shared" si="161"/>
        <v/>
      </c>
    </row>
    <row r="264" spans="2:73" ht="15">
      <c r="B264" s="16">
        <f t="shared" si="162"/>
        <v>44921</v>
      </c>
      <c r="C264" s="15" t="s">
        <v>1</v>
      </c>
      <c r="D264" s="17">
        <f t="shared" si="163"/>
        <v>44927</v>
      </c>
      <c r="E264" s="18">
        <f t="shared" si="164"/>
        <v>12</v>
      </c>
      <c r="F264" s="19">
        <f t="shared" si="165"/>
        <v>2023</v>
      </c>
      <c r="G264" s="9">
        <f t="shared" si="166"/>
        <v>17</v>
      </c>
      <c r="H264" s="8">
        <f t="shared" si="166"/>
        <v>95</v>
      </c>
      <c r="I264" s="9"/>
      <c r="J264" s="9"/>
      <c r="K264" s="9"/>
      <c r="L264" s="9"/>
      <c r="M264" s="9"/>
      <c r="N264" s="9"/>
      <c r="O264" s="12"/>
      <c r="P264" s="12">
        <v>1</v>
      </c>
      <c r="Q264" s="12"/>
      <c r="R264" s="12"/>
      <c r="S264" s="12"/>
      <c r="T264" s="12"/>
      <c r="V264" s="20">
        <f t="shared" si="153"/>
        <v>16</v>
      </c>
      <c r="W264" s="20">
        <f t="shared" si="154"/>
        <v>44923</v>
      </c>
      <c r="X264" s="20">
        <f t="shared" si="155"/>
        <v>5</v>
      </c>
      <c r="Y264" s="20">
        <f t="shared" si="156"/>
        <v>10</v>
      </c>
      <c r="Z264" s="20">
        <f t="shared" si="157"/>
        <v>0</v>
      </c>
      <c r="AA264" s="20">
        <f t="shared" si="158"/>
        <v>0</v>
      </c>
      <c r="AC264" s="3">
        <f t="shared" si="134"/>
        <v>47</v>
      </c>
      <c r="AD264" s="3">
        <f t="shared" si="135"/>
        <v>42</v>
      </c>
      <c r="AE264" s="3">
        <f t="shared" si="136"/>
        <v>37</v>
      </c>
      <c r="AF264" s="3">
        <f t="shared" si="137"/>
        <v>31</v>
      </c>
      <c r="AG264" s="3">
        <f t="shared" si="138"/>
        <v>26</v>
      </c>
      <c r="AH264" s="3">
        <f t="shared" si="139"/>
        <v>21</v>
      </c>
      <c r="AI264" s="3">
        <f t="shared" si="140"/>
        <v>0</v>
      </c>
      <c r="AJ264" s="3">
        <f t="shared" si="141"/>
        <v>0</v>
      </c>
      <c r="AK264" s="3">
        <f t="shared" si="142"/>
        <v>91</v>
      </c>
      <c r="AL264" s="3">
        <f t="shared" si="143"/>
        <v>86</v>
      </c>
      <c r="AM264" s="3">
        <f t="shared" si="144"/>
        <v>81</v>
      </c>
      <c r="AN264" s="3">
        <f t="shared" si="145"/>
        <v>74</v>
      </c>
      <c r="AO264" s="3">
        <f t="shared" si="146"/>
        <v>69</v>
      </c>
      <c r="AP264" s="3">
        <f t="shared" si="147"/>
        <v>64</v>
      </c>
      <c r="AQ264" s="3">
        <f t="shared" si="148"/>
        <v>59</v>
      </c>
      <c r="AR264" s="3">
        <f t="shared" si="149"/>
        <v>52</v>
      </c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M264" s="35" t="s">
        <v>12</v>
      </c>
      <c r="BO264" s="35"/>
      <c r="BR264" s="9">
        <f t="shared" si="159"/>
        <v>2</v>
      </c>
      <c r="BS264" s="37">
        <f t="shared" si="160"/>
        <v>44923</v>
      </c>
      <c r="BT264" s="38">
        <f t="shared" si="151"/>
        <v>45042</v>
      </c>
      <c r="BU264" s="36">
        <f t="shared" si="161"/>
        <v>3</v>
      </c>
    </row>
    <row r="265" spans="2:73" ht="15">
      <c r="B265" s="16">
        <f t="shared" si="162"/>
        <v>44928</v>
      </c>
      <c r="C265" s="15" t="s">
        <v>1</v>
      </c>
      <c r="D265" s="17">
        <f t="shared" si="163"/>
        <v>44934</v>
      </c>
      <c r="E265" s="18">
        <f t="shared" si="164"/>
        <v>1</v>
      </c>
      <c r="F265" s="19">
        <f t="shared" si="165"/>
        <v>2023</v>
      </c>
      <c r="G265" s="9">
        <f t="shared" si="166"/>
        <v>17</v>
      </c>
      <c r="H265" s="8">
        <f t="shared" si="166"/>
        <v>95</v>
      </c>
      <c r="I265" s="9"/>
      <c r="J265" s="9"/>
      <c r="K265" s="9"/>
      <c r="L265" s="9"/>
      <c r="M265" s="9"/>
      <c r="N265" s="9"/>
      <c r="O265" s="12"/>
      <c r="P265" s="12"/>
      <c r="Q265" s="12"/>
      <c r="R265" s="12"/>
      <c r="S265" s="12"/>
      <c r="T265" s="12"/>
      <c r="V265" s="20">
        <f t="shared" si="153"/>
        <v>17</v>
      </c>
      <c r="W265" s="20">
        <f t="shared" si="154"/>
        <v>1</v>
      </c>
      <c r="X265" s="20">
        <f t="shared" si="155"/>
        <v>6</v>
      </c>
      <c r="Y265" s="20">
        <f t="shared" si="156"/>
        <v>11</v>
      </c>
      <c r="Z265" s="20">
        <f t="shared" si="157"/>
        <v>0</v>
      </c>
      <c r="AA265" s="20">
        <f t="shared" si="158"/>
        <v>0</v>
      </c>
      <c r="AC265" s="3">
        <f t="shared" si="134"/>
        <v>48</v>
      </c>
      <c r="AD265" s="3">
        <f t="shared" si="135"/>
        <v>43</v>
      </c>
      <c r="AE265" s="3">
        <f t="shared" si="136"/>
        <v>38</v>
      </c>
      <c r="AF265" s="3">
        <f t="shared" si="137"/>
        <v>32</v>
      </c>
      <c r="AG265" s="3">
        <f t="shared" si="138"/>
        <v>27</v>
      </c>
      <c r="AH265" s="3">
        <f t="shared" si="139"/>
        <v>22</v>
      </c>
      <c r="AI265" s="3">
        <f t="shared" si="140"/>
        <v>17</v>
      </c>
      <c r="AJ265" s="3">
        <f t="shared" si="141"/>
        <v>0</v>
      </c>
      <c r="AK265" s="3">
        <f t="shared" si="142"/>
        <v>92</v>
      </c>
      <c r="AL265" s="3">
        <f t="shared" si="143"/>
        <v>87</v>
      </c>
      <c r="AM265" s="3">
        <f t="shared" si="144"/>
        <v>82</v>
      </c>
      <c r="AN265" s="3">
        <f t="shared" si="145"/>
        <v>75</v>
      </c>
      <c r="AO265" s="3">
        <f t="shared" si="146"/>
        <v>70</v>
      </c>
      <c r="AP265" s="3">
        <f t="shared" si="147"/>
        <v>65</v>
      </c>
      <c r="AQ265" s="3">
        <f t="shared" si="148"/>
        <v>60</v>
      </c>
      <c r="AR265" s="3">
        <f t="shared" si="149"/>
        <v>53</v>
      </c>
      <c r="AS265" s="8"/>
      <c r="AT265" s="8"/>
      <c r="AU265" s="8"/>
      <c r="AV265" s="8"/>
      <c r="AW265" s="8"/>
      <c r="AX265" s="8"/>
      <c r="AY265" s="8">
        <v>1</v>
      </c>
      <c r="AZ265" s="8"/>
      <c r="BA265" s="8"/>
      <c r="BB265" s="8"/>
      <c r="BC265" s="8"/>
      <c r="BD265" s="8"/>
      <c r="BE265" s="8"/>
      <c r="BF265" s="8"/>
      <c r="BG265" s="8"/>
      <c r="BH265" s="8"/>
      <c r="BM265" s="35" t="s">
        <v>12</v>
      </c>
      <c r="BO265" s="35"/>
      <c r="BR265" s="9" t="str">
        <f t="shared" si="159"/>
        <v/>
      </c>
      <c r="BS265" s="37" t="str">
        <f t="shared" si="160"/>
        <v/>
      </c>
      <c r="BT265" s="38" t="str">
        <f t="shared" si="151"/>
        <v/>
      </c>
      <c r="BU265" s="36" t="str">
        <f t="shared" si="161"/>
        <v/>
      </c>
    </row>
    <row r="266" spans="2:73" ht="15">
      <c r="B266" s="16">
        <f t="shared" si="162"/>
        <v>44935</v>
      </c>
      <c r="C266" s="15" t="s">
        <v>1</v>
      </c>
      <c r="D266" s="17">
        <f t="shared" si="163"/>
        <v>44941</v>
      </c>
      <c r="E266" s="18">
        <f t="shared" si="164"/>
        <v>1</v>
      </c>
      <c r="F266" s="19">
        <f t="shared" si="165"/>
        <v>2023</v>
      </c>
      <c r="G266" s="9">
        <f t="shared" si="166"/>
        <v>17</v>
      </c>
      <c r="H266" s="8">
        <f t="shared" si="166"/>
        <v>95</v>
      </c>
      <c r="I266" s="9"/>
      <c r="J266" s="9"/>
      <c r="K266" s="9"/>
      <c r="L266" s="9"/>
      <c r="M266" s="9"/>
      <c r="N266" s="9"/>
      <c r="O266" s="12"/>
      <c r="P266" s="12"/>
      <c r="Q266" s="12"/>
      <c r="R266" s="12"/>
      <c r="S266" s="12"/>
      <c r="T266" s="12"/>
      <c r="V266" s="20">
        <f t="shared" si="153"/>
        <v>0</v>
      </c>
      <c r="W266" s="20">
        <f t="shared" si="154"/>
        <v>2</v>
      </c>
      <c r="X266" s="20">
        <f t="shared" si="155"/>
        <v>7</v>
      </c>
      <c r="Y266" s="20">
        <f t="shared" si="156"/>
        <v>12</v>
      </c>
      <c r="Z266" s="20">
        <f t="shared" si="157"/>
        <v>0</v>
      </c>
      <c r="AA266" s="20">
        <f t="shared" si="158"/>
        <v>0</v>
      </c>
      <c r="AC266" s="3">
        <f t="shared" si="134"/>
        <v>49</v>
      </c>
      <c r="AD266" s="3">
        <f t="shared" si="135"/>
        <v>44</v>
      </c>
      <c r="AE266" s="3">
        <f t="shared" si="136"/>
        <v>39</v>
      </c>
      <c r="AF266" s="3">
        <f t="shared" si="137"/>
        <v>33</v>
      </c>
      <c r="AG266" s="3">
        <f t="shared" si="138"/>
        <v>28</v>
      </c>
      <c r="AH266" s="3">
        <f t="shared" si="139"/>
        <v>23</v>
      </c>
      <c r="AI266" s="3">
        <f t="shared" si="140"/>
        <v>18</v>
      </c>
      <c r="AJ266" s="3">
        <f t="shared" si="141"/>
        <v>0</v>
      </c>
      <c r="AK266" s="3">
        <f t="shared" si="142"/>
        <v>93</v>
      </c>
      <c r="AL266" s="3">
        <f t="shared" si="143"/>
        <v>88</v>
      </c>
      <c r="AM266" s="3">
        <f t="shared" si="144"/>
        <v>83</v>
      </c>
      <c r="AN266" s="3">
        <f t="shared" si="145"/>
        <v>76</v>
      </c>
      <c r="AO266" s="3">
        <f t="shared" si="146"/>
        <v>71</v>
      </c>
      <c r="AP266" s="3">
        <f t="shared" si="147"/>
        <v>66</v>
      </c>
      <c r="AQ266" s="3">
        <f t="shared" si="148"/>
        <v>61</v>
      </c>
      <c r="AR266" s="3">
        <f t="shared" si="149"/>
        <v>54</v>
      </c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M266" s="35" t="s">
        <v>12</v>
      </c>
      <c r="BO266" s="35"/>
      <c r="BR266" s="9" t="str">
        <f t="shared" si="159"/>
        <v/>
      </c>
      <c r="BS266" s="37" t="str">
        <f t="shared" si="160"/>
        <v/>
      </c>
      <c r="BT266" s="38" t="str">
        <f t="shared" si="151"/>
        <v/>
      </c>
      <c r="BU266" s="36" t="str">
        <f t="shared" si="161"/>
        <v/>
      </c>
    </row>
    <row r="267" spans="2:73" ht="15">
      <c r="B267" s="16">
        <f t="shared" si="162"/>
        <v>44942</v>
      </c>
      <c r="C267" s="15" t="s">
        <v>1</v>
      </c>
      <c r="D267" s="17">
        <f t="shared" si="163"/>
        <v>44948</v>
      </c>
      <c r="E267" s="18">
        <f t="shared" si="164"/>
        <v>1</v>
      </c>
      <c r="F267" s="19">
        <f t="shared" si="165"/>
        <v>2023</v>
      </c>
      <c r="G267" s="9">
        <f t="shared" si="166"/>
        <v>17</v>
      </c>
      <c r="H267" s="8">
        <f t="shared" si="166"/>
        <v>95</v>
      </c>
      <c r="I267" s="9"/>
      <c r="J267" s="9"/>
      <c r="K267" s="9"/>
      <c r="L267" s="9"/>
      <c r="M267" s="9"/>
      <c r="N267" s="9"/>
      <c r="O267" s="12"/>
      <c r="P267" s="12"/>
      <c r="Q267" s="12"/>
      <c r="R267" s="12"/>
      <c r="S267" s="12"/>
      <c r="T267" s="12"/>
      <c r="V267" s="20">
        <f t="shared" si="153"/>
        <v>0</v>
      </c>
      <c r="W267" s="20">
        <f t="shared" si="154"/>
        <v>3</v>
      </c>
      <c r="X267" s="20">
        <f t="shared" si="155"/>
        <v>8</v>
      </c>
      <c r="Y267" s="20">
        <f t="shared" si="156"/>
        <v>13</v>
      </c>
      <c r="Z267" s="20">
        <f t="shared" si="157"/>
        <v>0</v>
      </c>
      <c r="AA267" s="20">
        <f t="shared" si="158"/>
        <v>0</v>
      </c>
      <c r="AC267" s="3">
        <f t="shared" si="134"/>
        <v>50</v>
      </c>
      <c r="AD267" s="3">
        <f t="shared" si="135"/>
        <v>45</v>
      </c>
      <c r="AE267" s="3">
        <f t="shared" si="136"/>
        <v>40</v>
      </c>
      <c r="AF267" s="3">
        <f t="shared" si="137"/>
        <v>34</v>
      </c>
      <c r="AG267" s="3">
        <f t="shared" si="138"/>
        <v>29</v>
      </c>
      <c r="AH267" s="3">
        <f t="shared" si="139"/>
        <v>24</v>
      </c>
      <c r="AI267" s="3">
        <f t="shared" si="140"/>
        <v>19</v>
      </c>
      <c r="AJ267" s="3">
        <f t="shared" si="141"/>
        <v>0</v>
      </c>
      <c r="AK267" s="3">
        <f t="shared" si="142"/>
        <v>94</v>
      </c>
      <c r="AL267" s="3">
        <f t="shared" si="143"/>
        <v>89</v>
      </c>
      <c r="AM267" s="3">
        <f t="shared" si="144"/>
        <v>84</v>
      </c>
      <c r="AN267" s="3">
        <f t="shared" si="145"/>
        <v>77</v>
      </c>
      <c r="AO267" s="3">
        <f t="shared" si="146"/>
        <v>72</v>
      </c>
      <c r="AP267" s="3">
        <f t="shared" si="147"/>
        <v>67</v>
      </c>
      <c r="AQ267" s="3">
        <f t="shared" si="148"/>
        <v>62</v>
      </c>
      <c r="AR267" s="3">
        <f t="shared" si="149"/>
        <v>55</v>
      </c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L267">
        <v>3</v>
      </c>
      <c r="BM267" s="35">
        <v>44942</v>
      </c>
      <c r="BO267" s="35">
        <f>B284</f>
        <v>45061</v>
      </c>
      <c r="BP267">
        <v>98</v>
      </c>
      <c r="BR267" s="9" t="str">
        <f t="shared" si="159"/>
        <v/>
      </c>
      <c r="BS267" s="37" t="str">
        <f t="shared" si="160"/>
        <v/>
      </c>
      <c r="BT267" s="38" t="str">
        <f t="shared" si="151"/>
        <v/>
      </c>
      <c r="BU267" s="36" t="str">
        <f t="shared" si="161"/>
        <v/>
      </c>
    </row>
    <row r="268" spans="2:73" ht="15">
      <c r="B268" s="16">
        <f t="shared" si="162"/>
        <v>44949</v>
      </c>
      <c r="C268" s="15" t="s">
        <v>1</v>
      </c>
      <c r="D268" s="17">
        <f t="shared" si="163"/>
        <v>44955</v>
      </c>
      <c r="E268" s="18">
        <f t="shared" si="164"/>
        <v>1</v>
      </c>
      <c r="F268" s="19">
        <f t="shared" si="165"/>
        <v>2023</v>
      </c>
      <c r="G268" s="9">
        <f t="shared" si="166"/>
        <v>17</v>
      </c>
      <c r="H268" s="8">
        <f t="shared" si="166"/>
        <v>95</v>
      </c>
      <c r="I268" s="9"/>
      <c r="J268" s="9"/>
      <c r="K268" s="9"/>
      <c r="L268" s="9"/>
      <c r="M268" s="9"/>
      <c r="N268" s="9"/>
      <c r="O268" s="12"/>
      <c r="P268" s="12"/>
      <c r="Q268" s="12"/>
      <c r="R268" s="12"/>
      <c r="S268" s="12"/>
      <c r="T268" s="12"/>
      <c r="V268" s="20">
        <f t="shared" si="153"/>
        <v>0</v>
      </c>
      <c r="W268" s="20">
        <f t="shared" si="154"/>
        <v>4</v>
      </c>
      <c r="X268" s="20">
        <f t="shared" si="155"/>
        <v>9</v>
      </c>
      <c r="Y268" s="20">
        <f t="shared" si="156"/>
        <v>14</v>
      </c>
      <c r="Z268" s="20">
        <f t="shared" si="157"/>
        <v>0</v>
      </c>
      <c r="AA268" s="20">
        <f t="shared" si="158"/>
        <v>0</v>
      </c>
      <c r="AC268" s="3">
        <f t="shared" si="134"/>
        <v>51</v>
      </c>
      <c r="AD268" s="3">
        <f t="shared" si="135"/>
        <v>46</v>
      </c>
      <c r="AE268" s="3">
        <f t="shared" si="136"/>
        <v>41</v>
      </c>
      <c r="AF268" s="3">
        <f t="shared" si="137"/>
        <v>35</v>
      </c>
      <c r="AG268" s="3">
        <f t="shared" si="138"/>
        <v>30</v>
      </c>
      <c r="AH268" s="3">
        <f t="shared" si="139"/>
        <v>25</v>
      </c>
      <c r="AI268" s="3">
        <f t="shared" si="140"/>
        <v>20</v>
      </c>
      <c r="AJ268" s="3">
        <f t="shared" si="141"/>
        <v>0</v>
      </c>
      <c r="AK268" s="3">
        <f t="shared" si="142"/>
        <v>95</v>
      </c>
      <c r="AL268" s="3">
        <f t="shared" si="143"/>
        <v>90</v>
      </c>
      <c r="AM268" s="3">
        <f t="shared" si="144"/>
        <v>85</v>
      </c>
      <c r="AN268" s="3">
        <f t="shared" si="145"/>
        <v>78</v>
      </c>
      <c r="AO268" s="3">
        <f t="shared" si="146"/>
        <v>73</v>
      </c>
      <c r="AP268" s="3">
        <f t="shared" si="147"/>
        <v>68</v>
      </c>
      <c r="AQ268" s="3">
        <f t="shared" si="148"/>
        <v>63</v>
      </c>
      <c r="AR268" s="3">
        <f t="shared" si="149"/>
        <v>56</v>
      </c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M268" s="35" t="s">
        <v>12</v>
      </c>
      <c r="BO268" s="35"/>
      <c r="BR268" s="9" t="str">
        <f t="shared" si="159"/>
        <v/>
      </c>
      <c r="BS268" s="37" t="str">
        <f t="shared" si="160"/>
        <v/>
      </c>
      <c r="BT268" s="38" t="str">
        <f t="shared" si="151"/>
        <v/>
      </c>
      <c r="BU268" s="36" t="str">
        <f t="shared" si="161"/>
        <v/>
      </c>
    </row>
    <row r="269" spans="2:73" ht="15">
      <c r="B269" s="16">
        <f t="shared" si="162"/>
        <v>44956</v>
      </c>
      <c r="C269" s="15" t="s">
        <v>1</v>
      </c>
      <c r="D269" s="17">
        <f t="shared" si="163"/>
        <v>44962</v>
      </c>
      <c r="E269" s="18">
        <f t="shared" si="164"/>
        <v>1</v>
      </c>
      <c r="F269" s="19">
        <f t="shared" si="165"/>
        <v>2023</v>
      </c>
      <c r="G269" s="9">
        <f t="shared" si="166"/>
        <v>17</v>
      </c>
      <c r="H269" s="8">
        <f t="shared" si="166"/>
        <v>95</v>
      </c>
      <c r="I269" s="9"/>
      <c r="J269" s="9"/>
      <c r="K269" s="9"/>
      <c r="L269" s="9"/>
      <c r="M269" s="9"/>
      <c r="N269" s="9"/>
      <c r="O269" s="12">
        <v>1</v>
      </c>
      <c r="P269" s="12"/>
      <c r="Q269" s="12"/>
      <c r="R269" s="12"/>
      <c r="S269" s="12"/>
      <c r="T269" s="12"/>
      <c r="V269" s="20">
        <f t="shared" si="153"/>
        <v>44958</v>
      </c>
      <c r="W269" s="20">
        <f t="shared" si="154"/>
        <v>5</v>
      </c>
      <c r="X269" s="20">
        <f t="shared" si="155"/>
        <v>10</v>
      </c>
      <c r="Y269" s="20">
        <f t="shared" si="156"/>
        <v>15</v>
      </c>
      <c r="Z269" s="20">
        <f t="shared" si="157"/>
        <v>0</v>
      </c>
      <c r="AA269" s="20">
        <f t="shared" si="158"/>
        <v>0</v>
      </c>
      <c r="AC269" s="3">
        <f t="shared" si="134"/>
        <v>52</v>
      </c>
      <c r="AD269" s="3">
        <f t="shared" si="135"/>
        <v>47</v>
      </c>
      <c r="AE269" s="3">
        <f t="shared" si="136"/>
        <v>42</v>
      </c>
      <c r="AF269" s="3">
        <f t="shared" si="137"/>
        <v>36</v>
      </c>
      <c r="AG269" s="3">
        <f t="shared" si="138"/>
        <v>31</v>
      </c>
      <c r="AH269" s="3">
        <f t="shared" si="139"/>
        <v>26</v>
      </c>
      <c r="AI269" s="3">
        <f t="shared" si="140"/>
        <v>21</v>
      </c>
      <c r="AJ269" s="3">
        <f t="shared" si="141"/>
        <v>0</v>
      </c>
      <c r="AK269" s="3">
        <f t="shared" si="142"/>
        <v>0</v>
      </c>
      <c r="AL269" s="3">
        <f t="shared" si="143"/>
        <v>91</v>
      </c>
      <c r="AM269" s="3">
        <f t="shared" si="144"/>
        <v>86</v>
      </c>
      <c r="AN269" s="3">
        <f t="shared" si="145"/>
        <v>79</v>
      </c>
      <c r="AO269" s="3">
        <f t="shared" si="146"/>
        <v>74</v>
      </c>
      <c r="AP269" s="3">
        <f t="shared" si="147"/>
        <v>69</v>
      </c>
      <c r="AQ269" s="3">
        <f t="shared" si="148"/>
        <v>64</v>
      </c>
      <c r="AR269" s="3">
        <f t="shared" si="149"/>
        <v>57</v>
      </c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M269" s="35" t="s">
        <v>12</v>
      </c>
      <c r="BO269" s="35"/>
      <c r="BR269" s="9">
        <f t="shared" si="159"/>
        <v>1</v>
      </c>
      <c r="BS269" s="37">
        <f t="shared" si="160"/>
        <v>44958</v>
      </c>
      <c r="BT269" s="38">
        <f t="shared" si="151"/>
        <v>45077</v>
      </c>
      <c r="BU269" s="36">
        <f t="shared" si="161"/>
        <v>4</v>
      </c>
    </row>
    <row r="270" spans="2:73" ht="15">
      <c r="B270" s="16">
        <f t="shared" si="162"/>
        <v>44963</v>
      </c>
      <c r="C270" s="15" t="s">
        <v>1</v>
      </c>
      <c r="D270" s="17">
        <f t="shared" si="163"/>
        <v>44969</v>
      </c>
      <c r="E270" s="18">
        <f t="shared" si="164"/>
        <v>2</v>
      </c>
      <c r="F270" s="19">
        <f t="shared" si="165"/>
        <v>2023</v>
      </c>
      <c r="G270" s="9">
        <f t="shared" si="166"/>
        <v>17</v>
      </c>
      <c r="H270" s="8">
        <f t="shared" si="166"/>
        <v>95</v>
      </c>
      <c r="I270" s="9"/>
      <c r="J270" s="9"/>
      <c r="K270" s="9"/>
      <c r="L270" s="9"/>
      <c r="M270" s="9"/>
      <c r="N270" s="9"/>
      <c r="O270" s="12"/>
      <c r="P270" s="12"/>
      <c r="Q270" s="12"/>
      <c r="R270" s="12"/>
      <c r="S270" s="12"/>
      <c r="T270" s="12"/>
      <c r="V270" s="20">
        <f t="shared" si="153"/>
        <v>1</v>
      </c>
      <c r="W270" s="20">
        <f t="shared" si="154"/>
        <v>6</v>
      </c>
      <c r="X270" s="20">
        <f t="shared" si="155"/>
        <v>11</v>
      </c>
      <c r="Y270" s="20">
        <f t="shared" si="156"/>
        <v>16</v>
      </c>
      <c r="Z270" s="20">
        <f t="shared" si="157"/>
        <v>0</v>
      </c>
      <c r="AA270" s="20">
        <f t="shared" si="158"/>
        <v>0</v>
      </c>
      <c r="AC270" s="3">
        <f t="shared" si="134"/>
        <v>53</v>
      </c>
      <c r="AD270" s="3">
        <f t="shared" si="135"/>
        <v>48</v>
      </c>
      <c r="AE270" s="3">
        <f t="shared" si="136"/>
        <v>43</v>
      </c>
      <c r="AF270" s="3">
        <f t="shared" si="137"/>
        <v>37</v>
      </c>
      <c r="AG270" s="3">
        <f t="shared" si="138"/>
        <v>32</v>
      </c>
      <c r="AH270" s="3">
        <f t="shared" si="139"/>
        <v>27</v>
      </c>
      <c r="AI270" s="3">
        <f t="shared" si="140"/>
        <v>22</v>
      </c>
      <c r="AJ270" s="3">
        <f t="shared" si="141"/>
        <v>0</v>
      </c>
      <c r="AK270" s="3">
        <f t="shared" si="142"/>
        <v>0</v>
      </c>
      <c r="AL270" s="3">
        <f t="shared" si="143"/>
        <v>92</v>
      </c>
      <c r="AM270" s="3">
        <f t="shared" si="144"/>
        <v>87</v>
      </c>
      <c r="AN270" s="3">
        <f t="shared" si="145"/>
        <v>80</v>
      </c>
      <c r="AO270" s="3">
        <f t="shared" si="146"/>
        <v>75</v>
      </c>
      <c r="AP270" s="3">
        <f t="shared" si="147"/>
        <v>70</v>
      </c>
      <c r="AQ270" s="3">
        <f t="shared" si="148"/>
        <v>65</v>
      </c>
      <c r="AR270" s="3">
        <f t="shared" si="149"/>
        <v>58</v>
      </c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M270" s="35" t="s">
        <v>12</v>
      </c>
      <c r="BO270" s="35"/>
      <c r="BR270" s="9" t="str">
        <f t="shared" si="159"/>
        <v/>
      </c>
      <c r="BS270" s="37" t="str">
        <f t="shared" si="160"/>
        <v/>
      </c>
      <c r="BT270" s="38" t="str">
        <f t="shared" si="151"/>
        <v/>
      </c>
      <c r="BU270" s="36" t="str">
        <f t="shared" si="161"/>
        <v/>
      </c>
    </row>
    <row r="271" spans="2:73" ht="15">
      <c r="B271" s="16">
        <f t="shared" si="162"/>
        <v>44970</v>
      </c>
      <c r="C271" s="15" t="s">
        <v>1</v>
      </c>
      <c r="D271" s="17">
        <f t="shared" si="163"/>
        <v>44976</v>
      </c>
      <c r="E271" s="18">
        <f t="shared" si="164"/>
        <v>2</v>
      </c>
      <c r="F271" s="19">
        <f t="shared" si="165"/>
        <v>2023</v>
      </c>
      <c r="G271" s="9">
        <f t="shared" si="166"/>
        <v>17</v>
      </c>
      <c r="H271" s="8">
        <f t="shared" si="166"/>
        <v>95</v>
      </c>
      <c r="I271" s="9"/>
      <c r="J271" s="9"/>
      <c r="K271" s="9"/>
      <c r="L271" s="9"/>
      <c r="M271" s="9"/>
      <c r="N271" s="9"/>
      <c r="O271" s="12"/>
      <c r="P271" s="12"/>
      <c r="Q271" s="12"/>
      <c r="R271" s="12"/>
      <c r="S271" s="12"/>
      <c r="T271" s="12"/>
      <c r="V271" s="20">
        <f t="shared" si="153"/>
        <v>2</v>
      </c>
      <c r="W271" s="20">
        <f t="shared" si="154"/>
        <v>7</v>
      </c>
      <c r="X271" s="20">
        <f t="shared" si="155"/>
        <v>12</v>
      </c>
      <c r="Y271" s="20">
        <f t="shared" si="156"/>
        <v>17</v>
      </c>
      <c r="Z271" s="20">
        <f t="shared" si="157"/>
        <v>0</v>
      </c>
      <c r="AA271" s="20">
        <f t="shared" si="158"/>
        <v>0</v>
      </c>
      <c r="AC271" s="3">
        <f t="shared" si="134"/>
        <v>54</v>
      </c>
      <c r="AD271" s="3">
        <f t="shared" si="135"/>
        <v>49</v>
      </c>
      <c r="AE271" s="3">
        <f t="shared" si="136"/>
        <v>44</v>
      </c>
      <c r="AF271" s="3">
        <f t="shared" si="137"/>
        <v>38</v>
      </c>
      <c r="AG271" s="3">
        <f t="shared" si="138"/>
        <v>33</v>
      </c>
      <c r="AH271" s="3">
        <f t="shared" si="139"/>
        <v>28</v>
      </c>
      <c r="AI271" s="3">
        <f t="shared" si="140"/>
        <v>23</v>
      </c>
      <c r="AJ271" s="3">
        <f t="shared" si="141"/>
        <v>17</v>
      </c>
      <c r="AK271" s="3">
        <f t="shared" si="142"/>
        <v>0</v>
      </c>
      <c r="AL271" s="3">
        <f t="shared" si="143"/>
        <v>93</v>
      </c>
      <c r="AM271" s="3">
        <f t="shared" si="144"/>
        <v>88</v>
      </c>
      <c r="AN271" s="3">
        <f t="shared" si="145"/>
        <v>81</v>
      </c>
      <c r="AO271" s="3">
        <f t="shared" si="146"/>
        <v>76</v>
      </c>
      <c r="AP271" s="3">
        <f t="shared" si="147"/>
        <v>71</v>
      </c>
      <c r="AQ271" s="3">
        <f t="shared" si="148"/>
        <v>66</v>
      </c>
      <c r="AR271" s="3">
        <f t="shared" si="149"/>
        <v>59</v>
      </c>
      <c r="AS271" s="8"/>
      <c r="AT271" s="8"/>
      <c r="AU271" s="8"/>
      <c r="AV271" s="8"/>
      <c r="AW271" s="8"/>
      <c r="AX271" s="8"/>
      <c r="AY271" s="8"/>
      <c r="AZ271" s="8">
        <v>4</v>
      </c>
      <c r="BA271" s="8"/>
      <c r="BB271" s="8"/>
      <c r="BC271" s="8"/>
      <c r="BD271" s="8"/>
      <c r="BE271" s="8"/>
      <c r="BF271" s="8"/>
      <c r="BG271" s="8"/>
      <c r="BH271" s="8"/>
      <c r="BM271" s="35" t="s">
        <v>12</v>
      </c>
      <c r="BO271" s="35"/>
      <c r="BR271" s="9" t="str">
        <f t="shared" si="159"/>
        <v/>
      </c>
      <c r="BS271" s="37" t="str">
        <f t="shared" si="160"/>
        <v/>
      </c>
      <c r="BT271" s="38" t="str">
        <f t="shared" si="151"/>
        <v/>
      </c>
      <c r="BU271" s="36" t="str">
        <f t="shared" si="161"/>
        <v/>
      </c>
    </row>
    <row r="272" spans="2:73" ht="15">
      <c r="B272" s="16">
        <f t="shared" si="162"/>
        <v>44977</v>
      </c>
      <c r="C272" s="15" t="s">
        <v>1</v>
      </c>
      <c r="D272" s="17">
        <f t="shared" si="163"/>
        <v>44983</v>
      </c>
      <c r="E272" s="18">
        <f t="shared" si="164"/>
        <v>2</v>
      </c>
      <c r="F272" s="19">
        <f t="shared" si="165"/>
        <v>2023</v>
      </c>
      <c r="G272" s="9">
        <f t="shared" si="166"/>
        <v>17</v>
      </c>
      <c r="H272" s="8">
        <f t="shared" si="166"/>
        <v>95</v>
      </c>
      <c r="I272" s="9"/>
      <c r="J272" s="9"/>
      <c r="K272" s="9"/>
      <c r="L272" s="9"/>
      <c r="M272" s="9"/>
      <c r="N272" s="9"/>
      <c r="O272" s="12"/>
      <c r="P272" s="12"/>
      <c r="Q272" s="12"/>
      <c r="R272" s="12"/>
      <c r="S272" s="12"/>
      <c r="T272" s="12"/>
      <c r="V272" s="20">
        <f t="shared" si="153"/>
        <v>3</v>
      </c>
      <c r="W272" s="20">
        <f t="shared" si="154"/>
        <v>8</v>
      </c>
      <c r="X272" s="20">
        <f t="shared" si="155"/>
        <v>13</v>
      </c>
      <c r="Y272" s="20">
        <f t="shared" si="156"/>
        <v>0</v>
      </c>
      <c r="Z272" s="20">
        <f t="shared" si="157"/>
        <v>0</v>
      </c>
      <c r="AA272" s="20">
        <f t="shared" si="158"/>
        <v>0</v>
      </c>
      <c r="AC272" s="3">
        <f t="shared" si="134"/>
        <v>55</v>
      </c>
      <c r="AD272" s="3">
        <f t="shared" si="135"/>
        <v>50</v>
      </c>
      <c r="AE272" s="3">
        <f t="shared" si="136"/>
        <v>45</v>
      </c>
      <c r="AF272" s="3">
        <f t="shared" si="137"/>
        <v>39</v>
      </c>
      <c r="AG272" s="3">
        <f t="shared" si="138"/>
        <v>34</v>
      </c>
      <c r="AH272" s="3">
        <f t="shared" si="139"/>
        <v>29</v>
      </c>
      <c r="AI272" s="3">
        <f t="shared" si="140"/>
        <v>24</v>
      </c>
      <c r="AJ272" s="3">
        <f t="shared" si="141"/>
        <v>18</v>
      </c>
      <c r="AK272" s="3">
        <f t="shared" si="142"/>
        <v>0</v>
      </c>
      <c r="AL272" s="3">
        <f t="shared" si="143"/>
        <v>94</v>
      </c>
      <c r="AM272" s="3">
        <f t="shared" si="144"/>
        <v>89</v>
      </c>
      <c r="AN272" s="3">
        <f t="shared" si="145"/>
        <v>82</v>
      </c>
      <c r="AO272" s="3">
        <f t="shared" si="146"/>
        <v>77</v>
      </c>
      <c r="AP272" s="3">
        <f t="shared" si="147"/>
        <v>72</v>
      </c>
      <c r="AQ272" s="3">
        <f t="shared" si="148"/>
        <v>67</v>
      </c>
      <c r="AR272" s="3">
        <f t="shared" si="149"/>
        <v>60</v>
      </c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L272">
        <v>4</v>
      </c>
      <c r="BM272" s="35">
        <v>44977</v>
      </c>
      <c r="BO272" s="35">
        <f>B289</f>
        <v>45096</v>
      </c>
      <c r="BR272" s="9" t="str">
        <f t="shared" si="159"/>
        <v/>
      </c>
      <c r="BS272" s="37" t="str">
        <f t="shared" si="160"/>
        <v/>
      </c>
      <c r="BT272" s="38" t="str">
        <f t="shared" si="151"/>
        <v/>
      </c>
      <c r="BU272" s="36" t="str">
        <f t="shared" si="161"/>
        <v/>
      </c>
    </row>
    <row r="273" spans="2:73" ht="15">
      <c r="B273" s="16">
        <f t="shared" si="162"/>
        <v>44984</v>
      </c>
      <c r="C273" s="15" t="s">
        <v>1</v>
      </c>
      <c r="D273" s="17">
        <f t="shared" si="163"/>
        <v>44990</v>
      </c>
      <c r="E273" s="18">
        <f t="shared" si="164"/>
        <v>2</v>
      </c>
      <c r="F273" s="19">
        <f t="shared" si="165"/>
        <v>2023</v>
      </c>
      <c r="G273" s="9">
        <f t="shared" si="166"/>
        <v>17</v>
      </c>
      <c r="H273" s="8">
        <f t="shared" si="166"/>
        <v>95</v>
      </c>
      <c r="I273" s="9"/>
      <c r="J273" s="9"/>
      <c r="K273" s="9"/>
      <c r="L273" s="9"/>
      <c r="M273" s="9"/>
      <c r="N273" s="9"/>
      <c r="O273" s="12"/>
      <c r="P273" s="12"/>
      <c r="Q273" s="12"/>
      <c r="R273" s="12"/>
      <c r="S273" s="12"/>
      <c r="T273" s="12"/>
      <c r="V273" s="20">
        <f t="shared" si="153"/>
        <v>4</v>
      </c>
      <c r="W273" s="20">
        <f t="shared" si="154"/>
        <v>9</v>
      </c>
      <c r="X273" s="20">
        <f t="shared" si="155"/>
        <v>14</v>
      </c>
      <c r="Y273" s="20">
        <f t="shared" si="156"/>
        <v>0</v>
      </c>
      <c r="Z273" s="20">
        <f t="shared" si="157"/>
        <v>0</v>
      </c>
      <c r="AA273" s="20">
        <f t="shared" si="158"/>
        <v>0</v>
      </c>
      <c r="AC273" s="3">
        <f t="shared" si="134"/>
        <v>56</v>
      </c>
      <c r="AD273" s="3">
        <f t="shared" si="135"/>
        <v>51</v>
      </c>
      <c r="AE273" s="3">
        <f t="shared" si="136"/>
        <v>46</v>
      </c>
      <c r="AF273" s="3">
        <f t="shared" si="137"/>
        <v>40</v>
      </c>
      <c r="AG273" s="3">
        <f t="shared" si="138"/>
        <v>35</v>
      </c>
      <c r="AH273" s="3">
        <f t="shared" si="139"/>
        <v>30</v>
      </c>
      <c r="AI273" s="3">
        <f t="shared" si="140"/>
        <v>25</v>
      </c>
      <c r="AJ273" s="3">
        <f t="shared" si="141"/>
        <v>19</v>
      </c>
      <c r="AK273" s="3">
        <f t="shared" si="142"/>
        <v>0</v>
      </c>
      <c r="AL273" s="3">
        <f t="shared" si="143"/>
        <v>95</v>
      </c>
      <c r="AM273" s="3">
        <f t="shared" si="144"/>
        <v>90</v>
      </c>
      <c r="AN273" s="3">
        <f t="shared" si="145"/>
        <v>83</v>
      </c>
      <c r="AO273" s="3">
        <f t="shared" si="146"/>
        <v>78</v>
      </c>
      <c r="AP273" s="3">
        <f t="shared" si="147"/>
        <v>73</v>
      </c>
      <c r="AQ273" s="3">
        <f t="shared" si="148"/>
        <v>68</v>
      </c>
      <c r="AR273" s="3">
        <f t="shared" si="149"/>
        <v>61</v>
      </c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M273" s="35" t="s">
        <v>12</v>
      </c>
      <c r="BO273" s="35"/>
      <c r="BR273" s="9" t="str">
        <f t="shared" si="159"/>
        <v/>
      </c>
      <c r="BS273" s="37" t="str">
        <f t="shared" si="160"/>
        <v/>
      </c>
      <c r="BT273" s="38" t="str">
        <f t="shared" si="151"/>
        <v/>
      </c>
      <c r="BU273" s="36" t="str">
        <f t="shared" si="161"/>
        <v/>
      </c>
    </row>
    <row r="274" spans="2:73" ht="15">
      <c r="B274" s="16">
        <f t="shared" si="162"/>
        <v>44991</v>
      </c>
      <c r="C274" s="15" t="s">
        <v>1</v>
      </c>
      <c r="D274" s="17">
        <f t="shared" si="163"/>
        <v>44997</v>
      </c>
      <c r="E274" s="18">
        <f t="shared" si="164"/>
        <v>3</v>
      </c>
      <c r="F274" s="19">
        <f t="shared" si="165"/>
        <v>2023</v>
      </c>
      <c r="G274" s="9">
        <f t="shared" si="166"/>
        <v>17</v>
      </c>
      <c r="H274" s="8">
        <f t="shared" si="166"/>
        <v>95</v>
      </c>
      <c r="I274" s="9"/>
      <c r="J274" s="9"/>
      <c r="K274" s="9"/>
      <c r="L274" s="9"/>
      <c r="M274" s="9"/>
      <c r="N274" s="9"/>
      <c r="O274" s="12"/>
      <c r="P274" s="12"/>
      <c r="Q274" s="12"/>
      <c r="R274" s="12"/>
      <c r="S274" s="12"/>
      <c r="T274" s="12"/>
      <c r="V274" s="20">
        <f t="shared" si="153"/>
        <v>5</v>
      </c>
      <c r="W274" s="20">
        <f t="shared" si="154"/>
        <v>10</v>
      </c>
      <c r="X274" s="20">
        <f t="shared" si="155"/>
        <v>15</v>
      </c>
      <c r="Y274" s="20">
        <f t="shared" si="156"/>
        <v>0</v>
      </c>
      <c r="Z274" s="20">
        <f t="shared" si="157"/>
        <v>0</v>
      </c>
      <c r="AA274" s="20">
        <f t="shared" si="158"/>
        <v>0</v>
      </c>
      <c r="AC274" s="3">
        <f t="shared" si="134"/>
        <v>57</v>
      </c>
      <c r="AD274" s="3">
        <f t="shared" si="135"/>
        <v>52</v>
      </c>
      <c r="AE274" s="3">
        <f t="shared" si="136"/>
        <v>47</v>
      </c>
      <c r="AF274" s="3">
        <f t="shared" si="137"/>
        <v>41</v>
      </c>
      <c r="AG274" s="3">
        <f t="shared" si="138"/>
        <v>36</v>
      </c>
      <c r="AH274" s="3">
        <f t="shared" si="139"/>
        <v>31</v>
      </c>
      <c r="AI274" s="3">
        <f t="shared" si="140"/>
        <v>26</v>
      </c>
      <c r="AJ274" s="3">
        <f t="shared" si="141"/>
        <v>20</v>
      </c>
      <c r="AK274" s="3">
        <f t="shared" si="142"/>
        <v>0</v>
      </c>
      <c r="AL274" s="3">
        <f t="shared" si="143"/>
        <v>0</v>
      </c>
      <c r="AM274" s="3">
        <f t="shared" si="144"/>
        <v>91</v>
      </c>
      <c r="AN274" s="3">
        <f t="shared" si="145"/>
        <v>84</v>
      </c>
      <c r="AO274" s="3">
        <f t="shared" si="146"/>
        <v>79</v>
      </c>
      <c r="AP274" s="3">
        <f t="shared" si="147"/>
        <v>74</v>
      </c>
      <c r="AQ274" s="3">
        <f t="shared" si="148"/>
        <v>69</v>
      </c>
      <c r="AR274" s="3">
        <f t="shared" si="149"/>
        <v>62</v>
      </c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M274" s="35" t="s">
        <v>12</v>
      </c>
      <c r="BO274" s="35"/>
      <c r="BR274" s="9" t="str">
        <f t="shared" si="159"/>
        <v/>
      </c>
      <c r="BS274" s="37" t="str">
        <f t="shared" si="160"/>
        <v/>
      </c>
      <c r="BT274" s="38" t="str">
        <f t="shared" si="151"/>
        <v/>
      </c>
      <c r="BU274" s="36" t="str">
        <f t="shared" si="161"/>
        <v/>
      </c>
    </row>
    <row r="275" spans="2:73" ht="15">
      <c r="B275" s="16">
        <f t="shared" si="162"/>
        <v>44998</v>
      </c>
      <c r="C275" s="15" t="s">
        <v>1</v>
      </c>
      <c r="D275" s="17">
        <f t="shared" si="163"/>
        <v>45004</v>
      </c>
      <c r="E275" s="18">
        <f t="shared" si="164"/>
        <v>3</v>
      </c>
      <c r="F275" s="19">
        <f t="shared" si="165"/>
        <v>2023</v>
      </c>
      <c r="G275" s="9">
        <f t="shared" si="166"/>
        <v>17</v>
      </c>
      <c r="H275" s="8">
        <f t="shared" si="166"/>
        <v>95</v>
      </c>
      <c r="I275" s="9"/>
      <c r="J275" s="9"/>
      <c r="K275" s="9"/>
      <c r="L275" s="9"/>
      <c r="M275" s="9"/>
      <c r="N275" s="9"/>
      <c r="O275" s="12"/>
      <c r="P275" s="12"/>
      <c r="Q275" s="12"/>
      <c r="R275" s="12">
        <v>1</v>
      </c>
      <c r="S275" s="12"/>
      <c r="T275" s="12"/>
      <c r="V275" s="20">
        <f t="shared" si="153"/>
        <v>6</v>
      </c>
      <c r="W275" s="20">
        <f t="shared" si="154"/>
        <v>11</v>
      </c>
      <c r="X275" s="20">
        <f t="shared" si="155"/>
        <v>16</v>
      </c>
      <c r="Y275" s="20">
        <f t="shared" si="156"/>
        <v>45000</v>
      </c>
      <c r="Z275" s="20">
        <f t="shared" si="157"/>
        <v>0</v>
      </c>
      <c r="AA275" s="20">
        <f t="shared" si="158"/>
        <v>0</v>
      </c>
      <c r="AC275" s="3">
        <f t="shared" si="134"/>
        <v>58</v>
      </c>
      <c r="AD275" s="3">
        <f t="shared" si="135"/>
        <v>53</v>
      </c>
      <c r="AE275" s="3">
        <f t="shared" si="136"/>
        <v>48</v>
      </c>
      <c r="AF275" s="3">
        <f t="shared" si="137"/>
        <v>42</v>
      </c>
      <c r="AG275" s="3">
        <f t="shared" si="138"/>
        <v>37</v>
      </c>
      <c r="AH275" s="3">
        <f t="shared" si="139"/>
        <v>32</v>
      </c>
      <c r="AI275" s="3">
        <f t="shared" si="140"/>
        <v>27</v>
      </c>
      <c r="AJ275" s="3">
        <f t="shared" si="141"/>
        <v>21</v>
      </c>
      <c r="AK275" s="3">
        <f t="shared" si="142"/>
        <v>0</v>
      </c>
      <c r="AL275" s="3">
        <f t="shared" si="143"/>
        <v>0</v>
      </c>
      <c r="AM275" s="3">
        <f t="shared" si="144"/>
        <v>92</v>
      </c>
      <c r="AN275" s="3">
        <f t="shared" si="145"/>
        <v>85</v>
      </c>
      <c r="AO275" s="3">
        <f t="shared" si="146"/>
        <v>80</v>
      </c>
      <c r="AP275" s="3">
        <f t="shared" si="147"/>
        <v>75</v>
      </c>
      <c r="AQ275" s="3">
        <f t="shared" si="148"/>
        <v>70</v>
      </c>
      <c r="AR275" s="3">
        <f t="shared" si="149"/>
        <v>63</v>
      </c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M275" s="35" t="s">
        <v>12</v>
      </c>
      <c r="BO275" s="35"/>
      <c r="BR275" s="9">
        <f t="shared" si="159"/>
        <v>4</v>
      </c>
      <c r="BS275" s="37">
        <f t="shared" si="160"/>
        <v>45000</v>
      </c>
      <c r="BT275" s="38">
        <f t="shared" si="151"/>
        <v>45119</v>
      </c>
      <c r="BU275" s="36">
        <f t="shared" si="161"/>
        <v>5</v>
      </c>
    </row>
    <row r="276" spans="2:73" ht="15">
      <c r="B276" s="16">
        <f t="shared" si="162"/>
        <v>45005</v>
      </c>
      <c r="C276" s="15" t="s">
        <v>1</v>
      </c>
      <c r="D276" s="17">
        <f t="shared" si="163"/>
        <v>45011</v>
      </c>
      <c r="E276" s="18">
        <f t="shared" si="164"/>
        <v>3</v>
      </c>
      <c r="F276" s="19">
        <f t="shared" si="165"/>
        <v>2023</v>
      </c>
      <c r="G276" s="9">
        <f t="shared" si="166"/>
        <v>17</v>
      </c>
      <c r="H276" s="8">
        <f t="shared" si="166"/>
        <v>95</v>
      </c>
      <c r="I276" s="9"/>
      <c r="J276" s="9"/>
      <c r="K276" s="9"/>
      <c r="L276" s="9"/>
      <c r="M276" s="9"/>
      <c r="N276" s="9"/>
      <c r="O276" s="12"/>
      <c r="P276" s="12"/>
      <c r="Q276" s="12"/>
      <c r="R276" s="12"/>
      <c r="S276" s="12"/>
      <c r="T276" s="12"/>
      <c r="V276" s="20">
        <f t="shared" si="153"/>
        <v>7</v>
      </c>
      <c r="W276" s="20">
        <f t="shared" si="154"/>
        <v>12</v>
      </c>
      <c r="X276" s="20">
        <f t="shared" si="155"/>
        <v>17</v>
      </c>
      <c r="Y276" s="20">
        <f t="shared" si="156"/>
        <v>1</v>
      </c>
      <c r="Z276" s="20">
        <f t="shared" si="157"/>
        <v>0</v>
      </c>
      <c r="AA276" s="20">
        <f t="shared" si="158"/>
        <v>0</v>
      </c>
      <c r="AC276" s="3">
        <f t="shared" si="134"/>
        <v>59</v>
      </c>
      <c r="AD276" s="3">
        <f t="shared" si="135"/>
        <v>54</v>
      </c>
      <c r="AE276" s="3">
        <f t="shared" si="136"/>
        <v>49</v>
      </c>
      <c r="AF276" s="3">
        <f t="shared" si="137"/>
        <v>43</v>
      </c>
      <c r="AG276" s="3">
        <f t="shared" si="138"/>
        <v>38</v>
      </c>
      <c r="AH276" s="3">
        <f t="shared" si="139"/>
        <v>33</v>
      </c>
      <c r="AI276" s="3">
        <f t="shared" si="140"/>
        <v>28</v>
      </c>
      <c r="AJ276" s="3">
        <f t="shared" si="141"/>
        <v>22</v>
      </c>
      <c r="AK276" s="3">
        <f t="shared" si="142"/>
        <v>17</v>
      </c>
      <c r="AL276" s="3">
        <f t="shared" si="143"/>
        <v>0</v>
      </c>
      <c r="AM276" s="3">
        <f t="shared" si="144"/>
        <v>93</v>
      </c>
      <c r="AN276" s="3">
        <f t="shared" si="145"/>
        <v>86</v>
      </c>
      <c r="AO276" s="3">
        <f t="shared" si="146"/>
        <v>81</v>
      </c>
      <c r="AP276" s="3">
        <f t="shared" si="147"/>
        <v>76</v>
      </c>
      <c r="AQ276" s="3">
        <f t="shared" si="148"/>
        <v>71</v>
      </c>
      <c r="AR276" s="3">
        <f t="shared" si="149"/>
        <v>64</v>
      </c>
      <c r="AS276" s="8"/>
      <c r="AT276" s="8"/>
      <c r="AU276" s="8"/>
      <c r="AV276" s="8"/>
      <c r="AW276" s="8"/>
      <c r="AX276" s="8"/>
      <c r="AY276" s="8"/>
      <c r="AZ276" s="8"/>
      <c r="BA276" s="8">
        <v>3</v>
      </c>
      <c r="BB276" s="8"/>
      <c r="BC276" s="8"/>
      <c r="BD276" s="8"/>
      <c r="BE276" s="8"/>
      <c r="BF276" s="8"/>
      <c r="BG276" s="8"/>
      <c r="BH276" s="8"/>
      <c r="BM276" s="35" t="s">
        <v>12</v>
      </c>
      <c r="BO276" s="35"/>
      <c r="BR276" s="9" t="str">
        <f t="shared" si="159"/>
        <v/>
      </c>
      <c r="BS276" s="37" t="str">
        <f t="shared" si="160"/>
        <v/>
      </c>
      <c r="BT276" s="38" t="str">
        <f t="shared" si="151"/>
        <v/>
      </c>
      <c r="BU276" s="36" t="str">
        <f t="shared" si="161"/>
        <v/>
      </c>
    </row>
    <row r="277" spans="2:73" ht="15">
      <c r="B277" s="16">
        <f t="shared" si="162"/>
        <v>45012</v>
      </c>
      <c r="C277" s="15" t="s">
        <v>1</v>
      </c>
      <c r="D277" s="17">
        <f t="shared" si="163"/>
        <v>45018</v>
      </c>
      <c r="E277" s="18">
        <f t="shared" si="164"/>
        <v>3</v>
      </c>
      <c r="F277" s="19">
        <f t="shared" si="165"/>
        <v>2023</v>
      </c>
      <c r="G277" s="9">
        <f t="shared" si="166"/>
        <v>17</v>
      </c>
      <c r="H277" s="8">
        <f t="shared" si="166"/>
        <v>95</v>
      </c>
      <c r="I277" s="9"/>
      <c r="J277" s="9"/>
      <c r="K277" s="9"/>
      <c r="L277" s="9"/>
      <c r="M277" s="9"/>
      <c r="N277" s="9"/>
      <c r="O277" s="12"/>
      <c r="P277" s="12"/>
      <c r="Q277" s="12"/>
      <c r="R277" s="12"/>
      <c r="S277" s="12"/>
      <c r="T277" s="12"/>
      <c r="V277" s="20">
        <f t="shared" si="153"/>
        <v>8</v>
      </c>
      <c r="W277" s="20">
        <f t="shared" si="154"/>
        <v>13</v>
      </c>
      <c r="X277" s="20">
        <f t="shared" si="155"/>
        <v>0</v>
      </c>
      <c r="Y277" s="20">
        <f t="shared" si="156"/>
        <v>2</v>
      </c>
      <c r="Z277" s="20">
        <f t="shared" si="157"/>
        <v>0</v>
      </c>
      <c r="AA277" s="20">
        <f t="shared" si="158"/>
        <v>0</v>
      </c>
      <c r="AC277" s="3">
        <f t="shared" si="134"/>
        <v>60</v>
      </c>
      <c r="AD277" s="3">
        <f t="shared" si="135"/>
        <v>55</v>
      </c>
      <c r="AE277" s="3">
        <f t="shared" si="136"/>
        <v>50</v>
      </c>
      <c r="AF277" s="3">
        <f t="shared" si="137"/>
        <v>44</v>
      </c>
      <c r="AG277" s="3">
        <f t="shared" si="138"/>
        <v>39</v>
      </c>
      <c r="AH277" s="3">
        <f t="shared" si="139"/>
        <v>34</v>
      </c>
      <c r="AI277" s="3">
        <f t="shared" si="140"/>
        <v>29</v>
      </c>
      <c r="AJ277" s="3">
        <f t="shared" si="141"/>
        <v>23</v>
      </c>
      <c r="AK277" s="3">
        <f t="shared" si="142"/>
        <v>18</v>
      </c>
      <c r="AL277" s="3">
        <f t="shared" si="143"/>
        <v>0</v>
      </c>
      <c r="AM277" s="3">
        <f t="shared" si="144"/>
        <v>94</v>
      </c>
      <c r="AN277" s="3">
        <f t="shared" si="145"/>
        <v>87</v>
      </c>
      <c r="AO277" s="3">
        <f t="shared" si="146"/>
        <v>82</v>
      </c>
      <c r="AP277" s="3">
        <f t="shared" si="147"/>
        <v>77</v>
      </c>
      <c r="AQ277" s="3">
        <f t="shared" si="148"/>
        <v>72</v>
      </c>
      <c r="AR277" s="3">
        <f t="shared" si="149"/>
        <v>65</v>
      </c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M277" s="35" t="s">
        <v>12</v>
      </c>
      <c r="BO277" s="35"/>
      <c r="BR277" s="9" t="str">
        <f t="shared" si="159"/>
        <v/>
      </c>
      <c r="BS277" s="37" t="str">
        <f t="shared" si="160"/>
        <v/>
      </c>
      <c r="BT277" s="38" t="str">
        <f t="shared" si="151"/>
        <v/>
      </c>
      <c r="BU277" s="36" t="str">
        <f t="shared" si="161"/>
        <v/>
      </c>
    </row>
    <row r="278" spans="2:73" ht="15">
      <c r="B278" s="16">
        <f t="shared" si="162"/>
        <v>45019</v>
      </c>
      <c r="C278" s="15" t="s">
        <v>1</v>
      </c>
      <c r="D278" s="17">
        <f t="shared" si="163"/>
        <v>45025</v>
      </c>
      <c r="E278" s="18">
        <f t="shared" si="164"/>
        <v>4</v>
      </c>
      <c r="F278" s="19">
        <f t="shared" si="165"/>
        <v>2023</v>
      </c>
      <c r="G278" s="9">
        <f t="shared" ref="G278:H293" si="167">G277</f>
        <v>17</v>
      </c>
      <c r="H278" s="8">
        <f t="shared" si="167"/>
        <v>95</v>
      </c>
      <c r="I278" s="9"/>
      <c r="J278" s="9"/>
      <c r="K278" s="9"/>
      <c r="L278" s="9"/>
      <c r="M278" s="9"/>
      <c r="N278" s="9"/>
      <c r="O278" s="12"/>
      <c r="P278" s="12"/>
      <c r="Q278" s="12"/>
      <c r="R278" s="12"/>
      <c r="S278" s="12"/>
      <c r="T278" s="12"/>
      <c r="V278" s="20">
        <f t="shared" si="153"/>
        <v>9</v>
      </c>
      <c r="W278" s="20">
        <f t="shared" si="154"/>
        <v>14</v>
      </c>
      <c r="X278" s="20">
        <f t="shared" si="155"/>
        <v>0</v>
      </c>
      <c r="Y278" s="20">
        <f t="shared" si="156"/>
        <v>3</v>
      </c>
      <c r="Z278" s="20">
        <f t="shared" si="157"/>
        <v>0</v>
      </c>
      <c r="AA278" s="20">
        <f t="shared" si="158"/>
        <v>0</v>
      </c>
      <c r="AC278" s="3">
        <f t="shared" si="134"/>
        <v>61</v>
      </c>
      <c r="AD278" s="3">
        <f t="shared" si="135"/>
        <v>56</v>
      </c>
      <c r="AE278" s="3">
        <f t="shared" si="136"/>
        <v>51</v>
      </c>
      <c r="AF278" s="3">
        <f t="shared" si="137"/>
        <v>45</v>
      </c>
      <c r="AG278" s="3">
        <f t="shared" si="138"/>
        <v>40</v>
      </c>
      <c r="AH278" s="3">
        <f t="shared" si="139"/>
        <v>35</v>
      </c>
      <c r="AI278" s="3">
        <f t="shared" si="140"/>
        <v>30</v>
      </c>
      <c r="AJ278" s="3">
        <f t="shared" si="141"/>
        <v>24</v>
      </c>
      <c r="AK278" s="3">
        <f t="shared" si="142"/>
        <v>19</v>
      </c>
      <c r="AL278" s="3">
        <f t="shared" si="143"/>
        <v>0</v>
      </c>
      <c r="AM278" s="3">
        <f t="shared" si="144"/>
        <v>95</v>
      </c>
      <c r="AN278" s="3">
        <f t="shared" si="145"/>
        <v>88</v>
      </c>
      <c r="AO278" s="3">
        <f t="shared" si="146"/>
        <v>83</v>
      </c>
      <c r="AP278" s="3">
        <f t="shared" si="147"/>
        <v>78</v>
      </c>
      <c r="AQ278" s="3">
        <f t="shared" si="148"/>
        <v>73</v>
      </c>
      <c r="AR278" s="3">
        <f t="shared" si="149"/>
        <v>66</v>
      </c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M278" s="35" t="s">
        <v>12</v>
      </c>
      <c r="BO278" s="35"/>
      <c r="BR278" s="9" t="str">
        <f t="shared" si="159"/>
        <v/>
      </c>
      <c r="BS278" s="37" t="str">
        <f t="shared" si="160"/>
        <v/>
      </c>
      <c r="BT278" s="38" t="str">
        <f t="shared" si="151"/>
        <v/>
      </c>
      <c r="BU278" s="36" t="str">
        <f t="shared" si="161"/>
        <v/>
      </c>
    </row>
    <row r="279" spans="2:73" ht="15">
      <c r="B279" s="16">
        <f t="shared" si="162"/>
        <v>45026</v>
      </c>
      <c r="C279" s="15" t="s">
        <v>1</v>
      </c>
      <c r="D279" s="17">
        <f t="shared" si="163"/>
        <v>45032</v>
      </c>
      <c r="E279" s="18">
        <f t="shared" si="164"/>
        <v>4</v>
      </c>
      <c r="F279" s="19">
        <f t="shared" si="165"/>
        <v>2023</v>
      </c>
      <c r="G279" s="9">
        <f t="shared" si="167"/>
        <v>17</v>
      </c>
      <c r="H279" s="8">
        <f t="shared" si="167"/>
        <v>95</v>
      </c>
      <c r="I279" s="9"/>
      <c r="J279" s="9"/>
      <c r="K279" s="9"/>
      <c r="L279" s="9"/>
      <c r="M279" s="9"/>
      <c r="N279" s="9"/>
      <c r="O279" s="12"/>
      <c r="P279" s="12"/>
      <c r="Q279" s="12"/>
      <c r="R279" s="12"/>
      <c r="S279" s="12"/>
      <c r="T279" s="12"/>
      <c r="V279" s="20">
        <f t="shared" si="153"/>
        <v>10</v>
      </c>
      <c r="W279" s="20">
        <f t="shared" si="154"/>
        <v>15</v>
      </c>
      <c r="X279" s="20">
        <f t="shared" si="155"/>
        <v>0</v>
      </c>
      <c r="Y279" s="20">
        <f t="shared" si="156"/>
        <v>4</v>
      </c>
      <c r="Z279" s="20">
        <f t="shared" si="157"/>
        <v>0</v>
      </c>
      <c r="AA279" s="20">
        <f t="shared" si="158"/>
        <v>0</v>
      </c>
      <c r="AC279" s="3">
        <f t="shared" si="134"/>
        <v>62</v>
      </c>
      <c r="AD279" s="3">
        <f t="shared" si="135"/>
        <v>57</v>
      </c>
      <c r="AE279" s="3">
        <f t="shared" si="136"/>
        <v>52</v>
      </c>
      <c r="AF279" s="3">
        <f t="shared" si="137"/>
        <v>46</v>
      </c>
      <c r="AG279" s="3">
        <f t="shared" si="138"/>
        <v>41</v>
      </c>
      <c r="AH279" s="3">
        <f t="shared" si="139"/>
        <v>36</v>
      </c>
      <c r="AI279" s="3">
        <f t="shared" si="140"/>
        <v>31</v>
      </c>
      <c r="AJ279" s="3">
        <f t="shared" si="141"/>
        <v>25</v>
      </c>
      <c r="AK279" s="3">
        <f t="shared" si="142"/>
        <v>20</v>
      </c>
      <c r="AL279" s="3">
        <f t="shared" si="143"/>
        <v>0</v>
      </c>
      <c r="AM279" s="3">
        <f t="shared" si="144"/>
        <v>0</v>
      </c>
      <c r="AN279" s="3">
        <f t="shared" si="145"/>
        <v>89</v>
      </c>
      <c r="AO279" s="3">
        <f t="shared" si="146"/>
        <v>84</v>
      </c>
      <c r="AP279" s="3">
        <f t="shared" si="147"/>
        <v>79</v>
      </c>
      <c r="AQ279" s="3">
        <f t="shared" si="148"/>
        <v>74</v>
      </c>
      <c r="AR279" s="3">
        <f t="shared" si="149"/>
        <v>67</v>
      </c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L279">
        <v>5</v>
      </c>
      <c r="BM279" s="35">
        <v>45026</v>
      </c>
      <c r="BO279" s="35">
        <f>B296</f>
        <v>45145</v>
      </c>
      <c r="BR279" s="9" t="str">
        <f t="shared" si="159"/>
        <v/>
      </c>
      <c r="BS279" s="37" t="str">
        <f t="shared" si="160"/>
        <v/>
      </c>
      <c r="BT279" s="38" t="str">
        <f t="shared" si="151"/>
        <v/>
      </c>
      <c r="BU279" s="36" t="str">
        <f t="shared" si="161"/>
        <v/>
      </c>
    </row>
    <row r="280" spans="2:73" ht="15">
      <c r="B280" s="16">
        <f t="shared" si="162"/>
        <v>45033</v>
      </c>
      <c r="C280" s="15" t="s">
        <v>1</v>
      </c>
      <c r="D280" s="17">
        <f t="shared" si="163"/>
        <v>45039</v>
      </c>
      <c r="E280" s="18">
        <f t="shared" si="164"/>
        <v>4</v>
      </c>
      <c r="F280" s="19">
        <f t="shared" si="165"/>
        <v>2023</v>
      </c>
      <c r="G280" s="9">
        <f t="shared" si="167"/>
        <v>17</v>
      </c>
      <c r="H280" s="8">
        <f t="shared" si="167"/>
        <v>95</v>
      </c>
      <c r="I280" s="9"/>
      <c r="J280" s="9"/>
      <c r="K280" s="9"/>
      <c r="L280" s="9"/>
      <c r="M280" s="9"/>
      <c r="N280" s="9"/>
      <c r="O280" s="12"/>
      <c r="P280" s="12"/>
      <c r="Q280" s="12">
        <v>1</v>
      </c>
      <c r="R280" s="12"/>
      <c r="S280" s="12"/>
      <c r="T280" s="12"/>
      <c r="V280" s="20">
        <f t="shared" si="153"/>
        <v>11</v>
      </c>
      <c r="W280" s="20">
        <f t="shared" si="154"/>
        <v>16</v>
      </c>
      <c r="X280" s="20">
        <f t="shared" si="155"/>
        <v>45035</v>
      </c>
      <c r="Y280" s="20">
        <f t="shared" si="156"/>
        <v>5</v>
      </c>
      <c r="Z280" s="20">
        <f t="shared" si="157"/>
        <v>0</v>
      </c>
      <c r="AA280" s="20">
        <f t="shared" si="158"/>
        <v>0</v>
      </c>
      <c r="AC280" s="3">
        <f t="shared" si="134"/>
        <v>63</v>
      </c>
      <c r="AD280" s="3">
        <f t="shared" si="135"/>
        <v>58</v>
      </c>
      <c r="AE280" s="3">
        <f t="shared" si="136"/>
        <v>53</v>
      </c>
      <c r="AF280" s="3">
        <f t="shared" si="137"/>
        <v>47</v>
      </c>
      <c r="AG280" s="3">
        <f t="shared" si="138"/>
        <v>42</v>
      </c>
      <c r="AH280" s="3">
        <f t="shared" si="139"/>
        <v>37</v>
      </c>
      <c r="AI280" s="3">
        <f t="shared" si="140"/>
        <v>32</v>
      </c>
      <c r="AJ280" s="3">
        <f t="shared" si="141"/>
        <v>26</v>
      </c>
      <c r="AK280" s="3">
        <f t="shared" si="142"/>
        <v>21</v>
      </c>
      <c r="AL280" s="3">
        <f t="shared" si="143"/>
        <v>0</v>
      </c>
      <c r="AM280" s="3">
        <f t="shared" si="144"/>
        <v>0</v>
      </c>
      <c r="AN280" s="3">
        <f t="shared" si="145"/>
        <v>90</v>
      </c>
      <c r="AO280" s="3">
        <f t="shared" si="146"/>
        <v>85</v>
      </c>
      <c r="AP280" s="3">
        <f t="shared" si="147"/>
        <v>80</v>
      </c>
      <c r="AQ280" s="3">
        <f t="shared" si="148"/>
        <v>75</v>
      </c>
      <c r="AR280" s="3">
        <f t="shared" si="149"/>
        <v>68</v>
      </c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M280" s="35" t="s">
        <v>12</v>
      </c>
      <c r="BO280" s="35"/>
      <c r="BR280" s="9">
        <f t="shared" si="159"/>
        <v>3</v>
      </c>
      <c r="BS280" s="37">
        <f t="shared" si="160"/>
        <v>45035</v>
      </c>
      <c r="BT280" s="38">
        <f t="shared" si="151"/>
        <v>45154</v>
      </c>
      <c r="BU280" s="36">
        <f t="shared" si="161"/>
        <v>15</v>
      </c>
    </row>
    <row r="281" spans="2:73" ht="15">
      <c r="B281" s="16">
        <f t="shared" si="162"/>
        <v>45040</v>
      </c>
      <c r="C281" s="15" t="s">
        <v>1</v>
      </c>
      <c r="D281" s="17">
        <f t="shared" si="163"/>
        <v>45046</v>
      </c>
      <c r="E281" s="18">
        <f t="shared" si="164"/>
        <v>4</v>
      </c>
      <c r="F281" s="19">
        <f t="shared" si="165"/>
        <v>2023</v>
      </c>
      <c r="G281" s="9">
        <f t="shared" si="167"/>
        <v>17</v>
      </c>
      <c r="H281" s="8">
        <f t="shared" si="167"/>
        <v>95</v>
      </c>
      <c r="I281" s="9"/>
      <c r="J281" s="9"/>
      <c r="K281" s="9"/>
      <c r="L281" s="9"/>
      <c r="M281" s="9"/>
      <c r="N281" s="9"/>
      <c r="O281" s="12"/>
      <c r="P281" s="12"/>
      <c r="Q281" s="12"/>
      <c r="R281" s="12"/>
      <c r="S281" s="12"/>
      <c r="T281" s="12"/>
      <c r="V281" s="20">
        <f t="shared" si="153"/>
        <v>12</v>
      </c>
      <c r="W281" s="20">
        <f t="shared" si="154"/>
        <v>17</v>
      </c>
      <c r="X281" s="20">
        <f t="shared" si="155"/>
        <v>1</v>
      </c>
      <c r="Y281" s="20">
        <f t="shared" si="156"/>
        <v>6</v>
      </c>
      <c r="Z281" s="20">
        <f t="shared" si="157"/>
        <v>0</v>
      </c>
      <c r="AA281" s="20">
        <f t="shared" si="158"/>
        <v>0</v>
      </c>
      <c r="AC281" s="3">
        <f t="shared" si="134"/>
        <v>64</v>
      </c>
      <c r="AD281" s="3">
        <f t="shared" si="135"/>
        <v>59</v>
      </c>
      <c r="AE281" s="3">
        <f t="shared" si="136"/>
        <v>54</v>
      </c>
      <c r="AF281" s="3">
        <f t="shared" si="137"/>
        <v>48</v>
      </c>
      <c r="AG281" s="3">
        <f t="shared" si="138"/>
        <v>43</v>
      </c>
      <c r="AH281" s="3">
        <f t="shared" si="139"/>
        <v>38</v>
      </c>
      <c r="AI281" s="3">
        <f t="shared" si="140"/>
        <v>33</v>
      </c>
      <c r="AJ281" s="3">
        <f t="shared" si="141"/>
        <v>27</v>
      </c>
      <c r="AK281" s="3">
        <f t="shared" si="142"/>
        <v>22</v>
      </c>
      <c r="AL281" s="3">
        <f t="shared" si="143"/>
        <v>17</v>
      </c>
      <c r="AM281" s="3">
        <f t="shared" si="144"/>
        <v>0</v>
      </c>
      <c r="AN281" s="3">
        <f t="shared" si="145"/>
        <v>91</v>
      </c>
      <c r="AO281" s="3">
        <f t="shared" si="146"/>
        <v>86</v>
      </c>
      <c r="AP281" s="3">
        <f t="shared" si="147"/>
        <v>81</v>
      </c>
      <c r="AQ281" s="3">
        <f t="shared" si="148"/>
        <v>76</v>
      </c>
      <c r="AR281" s="3">
        <f t="shared" si="149"/>
        <v>69</v>
      </c>
      <c r="AS281" s="8"/>
      <c r="AT281" s="8"/>
      <c r="AU281" s="8"/>
      <c r="AV281" s="8"/>
      <c r="AW281" s="8"/>
      <c r="AX281" s="8"/>
      <c r="AY281" s="8"/>
      <c r="AZ281" s="8"/>
      <c r="BA281" s="8"/>
      <c r="BB281" s="8">
        <v>2</v>
      </c>
      <c r="BC281" s="8"/>
      <c r="BD281" s="8"/>
      <c r="BE281" s="8"/>
      <c r="BF281" s="8"/>
      <c r="BG281" s="8"/>
      <c r="BH281" s="8"/>
      <c r="BM281" s="35" t="s">
        <v>12</v>
      </c>
      <c r="BO281" s="35"/>
      <c r="BR281" s="9" t="str">
        <f t="shared" si="159"/>
        <v/>
      </c>
      <c r="BS281" s="37" t="str">
        <f t="shared" si="160"/>
        <v/>
      </c>
      <c r="BT281" s="38" t="str">
        <f t="shared" si="151"/>
        <v/>
      </c>
      <c r="BU281" s="36" t="str">
        <f t="shared" si="161"/>
        <v/>
      </c>
    </row>
    <row r="282" spans="2:73" ht="15">
      <c r="B282" s="16">
        <f t="shared" si="162"/>
        <v>45047</v>
      </c>
      <c r="C282" s="15" t="s">
        <v>1</v>
      </c>
      <c r="D282" s="17">
        <f t="shared" si="163"/>
        <v>45053</v>
      </c>
      <c r="E282" s="18">
        <f t="shared" si="164"/>
        <v>5</v>
      </c>
      <c r="F282" s="19">
        <f t="shared" si="165"/>
        <v>2023</v>
      </c>
      <c r="G282" s="9">
        <f t="shared" si="167"/>
        <v>17</v>
      </c>
      <c r="H282" s="8">
        <f t="shared" si="167"/>
        <v>95</v>
      </c>
      <c r="I282" s="9"/>
      <c r="J282" s="9"/>
      <c r="K282" s="9"/>
      <c r="L282" s="9"/>
      <c r="M282" s="9"/>
      <c r="N282" s="9"/>
      <c r="O282" s="12"/>
      <c r="P282" s="12"/>
      <c r="Q282" s="12"/>
      <c r="R282" s="12"/>
      <c r="S282" s="12"/>
      <c r="T282" s="12"/>
      <c r="V282" s="20">
        <f t="shared" si="153"/>
        <v>13</v>
      </c>
      <c r="W282" s="20">
        <f t="shared" si="154"/>
        <v>0</v>
      </c>
      <c r="X282" s="20">
        <f t="shared" si="155"/>
        <v>2</v>
      </c>
      <c r="Y282" s="20">
        <f t="shared" si="156"/>
        <v>7</v>
      </c>
      <c r="Z282" s="20">
        <f t="shared" si="157"/>
        <v>0</v>
      </c>
      <c r="AA282" s="20">
        <f t="shared" si="158"/>
        <v>0</v>
      </c>
      <c r="AC282" s="3">
        <f t="shared" si="134"/>
        <v>65</v>
      </c>
      <c r="AD282" s="3">
        <f t="shared" si="135"/>
        <v>60</v>
      </c>
      <c r="AE282" s="3">
        <f t="shared" si="136"/>
        <v>55</v>
      </c>
      <c r="AF282" s="3">
        <f t="shared" si="137"/>
        <v>49</v>
      </c>
      <c r="AG282" s="3">
        <f t="shared" si="138"/>
        <v>44</v>
      </c>
      <c r="AH282" s="3">
        <f t="shared" si="139"/>
        <v>39</v>
      </c>
      <c r="AI282" s="3">
        <f t="shared" si="140"/>
        <v>34</v>
      </c>
      <c r="AJ282" s="3">
        <f t="shared" si="141"/>
        <v>28</v>
      </c>
      <c r="AK282" s="3">
        <f t="shared" si="142"/>
        <v>23</v>
      </c>
      <c r="AL282" s="3">
        <f t="shared" si="143"/>
        <v>18</v>
      </c>
      <c r="AM282" s="3">
        <f t="shared" si="144"/>
        <v>0</v>
      </c>
      <c r="AN282" s="3">
        <f t="shared" si="145"/>
        <v>92</v>
      </c>
      <c r="AO282" s="3">
        <f t="shared" si="146"/>
        <v>87</v>
      </c>
      <c r="AP282" s="3">
        <f t="shared" si="147"/>
        <v>82</v>
      </c>
      <c r="AQ282" s="3">
        <f t="shared" si="148"/>
        <v>77</v>
      </c>
      <c r="AR282" s="3">
        <f t="shared" si="149"/>
        <v>70</v>
      </c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M282" s="35" t="s">
        <v>12</v>
      </c>
      <c r="BO282" s="35"/>
      <c r="BR282" s="9" t="str">
        <f t="shared" si="159"/>
        <v/>
      </c>
      <c r="BS282" s="37" t="str">
        <f t="shared" si="160"/>
        <v/>
      </c>
      <c r="BT282" s="38" t="str">
        <f t="shared" si="151"/>
        <v/>
      </c>
      <c r="BU282" s="36" t="str">
        <f t="shared" si="161"/>
        <v/>
      </c>
    </row>
    <row r="283" spans="2:73" ht="15">
      <c r="B283" s="16">
        <f t="shared" si="162"/>
        <v>45054</v>
      </c>
      <c r="C283" s="15" t="s">
        <v>1</v>
      </c>
      <c r="D283" s="17">
        <f t="shared" si="163"/>
        <v>45060</v>
      </c>
      <c r="E283" s="18">
        <f t="shared" si="164"/>
        <v>5</v>
      </c>
      <c r="F283" s="19">
        <f t="shared" si="165"/>
        <v>2023</v>
      </c>
      <c r="G283" s="9">
        <f t="shared" si="167"/>
        <v>17</v>
      </c>
      <c r="H283" s="8">
        <f t="shared" si="167"/>
        <v>95</v>
      </c>
      <c r="I283" s="9"/>
      <c r="J283" s="9"/>
      <c r="K283" s="9"/>
      <c r="L283" s="9"/>
      <c r="M283" s="9"/>
      <c r="N283" s="9"/>
      <c r="O283" s="12"/>
      <c r="P283" s="12"/>
      <c r="Q283" s="12"/>
      <c r="R283" s="12"/>
      <c r="S283" s="12"/>
      <c r="T283" s="12"/>
      <c r="V283" s="20">
        <f t="shared" si="153"/>
        <v>14</v>
      </c>
      <c r="W283" s="20">
        <f t="shared" si="154"/>
        <v>0</v>
      </c>
      <c r="X283" s="20">
        <f t="shared" si="155"/>
        <v>3</v>
      </c>
      <c r="Y283" s="20">
        <f t="shared" si="156"/>
        <v>8</v>
      </c>
      <c r="Z283" s="20">
        <f t="shared" si="157"/>
        <v>0</v>
      </c>
      <c r="AA283" s="20">
        <f t="shared" si="158"/>
        <v>0</v>
      </c>
      <c r="AC283" s="3">
        <f t="shared" si="134"/>
        <v>66</v>
      </c>
      <c r="AD283" s="3">
        <f t="shared" si="135"/>
        <v>61</v>
      </c>
      <c r="AE283" s="3">
        <f t="shared" si="136"/>
        <v>56</v>
      </c>
      <c r="AF283" s="3">
        <f t="shared" si="137"/>
        <v>50</v>
      </c>
      <c r="AG283" s="3">
        <f t="shared" si="138"/>
        <v>45</v>
      </c>
      <c r="AH283" s="3">
        <f t="shared" si="139"/>
        <v>40</v>
      </c>
      <c r="AI283" s="3">
        <f t="shared" si="140"/>
        <v>35</v>
      </c>
      <c r="AJ283" s="3">
        <f t="shared" si="141"/>
        <v>29</v>
      </c>
      <c r="AK283" s="3">
        <f t="shared" si="142"/>
        <v>24</v>
      </c>
      <c r="AL283" s="3">
        <f t="shared" si="143"/>
        <v>19</v>
      </c>
      <c r="AM283" s="3">
        <f t="shared" si="144"/>
        <v>0</v>
      </c>
      <c r="AN283" s="3">
        <f t="shared" si="145"/>
        <v>93</v>
      </c>
      <c r="AO283" s="3">
        <f t="shared" si="146"/>
        <v>88</v>
      </c>
      <c r="AP283" s="3">
        <f t="shared" si="147"/>
        <v>83</v>
      </c>
      <c r="AQ283" s="3">
        <f t="shared" si="148"/>
        <v>78</v>
      </c>
      <c r="AR283" s="3">
        <f t="shared" si="149"/>
        <v>71</v>
      </c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M283" s="35" t="s">
        <v>12</v>
      </c>
      <c r="BO283" s="35"/>
      <c r="BR283" s="9" t="str">
        <f t="shared" si="159"/>
        <v/>
      </c>
      <c r="BS283" s="37" t="str">
        <f t="shared" si="160"/>
        <v/>
      </c>
      <c r="BT283" s="38" t="str">
        <f t="shared" si="151"/>
        <v/>
      </c>
      <c r="BU283" s="36" t="str">
        <f t="shared" si="161"/>
        <v/>
      </c>
    </row>
    <row r="284" spans="2:73" ht="15">
      <c r="B284" s="16">
        <f t="shared" si="162"/>
        <v>45061</v>
      </c>
      <c r="C284" s="15" t="s">
        <v>1</v>
      </c>
      <c r="D284" s="17">
        <f t="shared" si="163"/>
        <v>45067</v>
      </c>
      <c r="E284" s="18">
        <f t="shared" si="164"/>
        <v>5</v>
      </c>
      <c r="F284" s="19">
        <f t="shared" si="165"/>
        <v>2023</v>
      </c>
      <c r="G284" s="9">
        <f t="shared" si="167"/>
        <v>17</v>
      </c>
      <c r="H284" s="8">
        <f t="shared" si="167"/>
        <v>95</v>
      </c>
      <c r="I284" s="9"/>
      <c r="J284" s="9"/>
      <c r="K284" s="9"/>
      <c r="L284" s="9"/>
      <c r="M284" s="9"/>
      <c r="N284" s="9"/>
      <c r="O284" s="12"/>
      <c r="P284" s="12"/>
      <c r="Q284" s="12"/>
      <c r="R284" s="12"/>
      <c r="S284" s="12"/>
      <c r="T284" s="12"/>
      <c r="V284" s="20">
        <f t="shared" si="153"/>
        <v>15</v>
      </c>
      <c r="W284" s="20">
        <f t="shared" si="154"/>
        <v>0</v>
      </c>
      <c r="X284" s="20">
        <f t="shared" si="155"/>
        <v>4</v>
      </c>
      <c r="Y284" s="20">
        <f t="shared" si="156"/>
        <v>9</v>
      </c>
      <c r="Z284" s="20">
        <f t="shared" si="157"/>
        <v>0</v>
      </c>
      <c r="AA284" s="20">
        <f t="shared" si="158"/>
        <v>0</v>
      </c>
      <c r="AC284" s="3">
        <f t="shared" si="134"/>
        <v>67</v>
      </c>
      <c r="AD284" s="3">
        <f t="shared" si="135"/>
        <v>62</v>
      </c>
      <c r="AE284" s="3">
        <f t="shared" si="136"/>
        <v>57</v>
      </c>
      <c r="AF284" s="3">
        <f t="shared" si="137"/>
        <v>51</v>
      </c>
      <c r="AG284" s="3">
        <f t="shared" si="138"/>
        <v>46</v>
      </c>
      <c r="AH284" s="3">
        <f t="shared" si="139"/>
        <v>41</v>
      </c>
      <c r="AI284" s="3">
        <f t="shared" si="140"/>
        <v>36</v>
      </c>
      <c r="AJ284" s="3">
        <f t="shared" si="141"/>
        <v>30</v>
      </c>
      <c r="AK284" s="3">
        <f t="shared" si="142"/>
        <v>25</v>
      </c>
      <c r="AL284" s="3">
        <f t="shared" si="143"/>
        <v>20</v>
      </c>
      <c r="AM284" s="3">
        <f t="shared" si="144"/>
        <v>0</v>
      </c>
      <c r="AN284" s="3">
        <f t="shared" si="145"/>
        <v>94</v>
      </c>
      <c r="AO284" s="3">
        <f t="shared" si="146"/>
        <v>89</v>
      </c>
      <c r="AP284" s="3">
        <f t="shared" si="147"/>
        <v>84</v>
      </c>
      <c r="AQ284" s="3">
        <f t="shared" si="148"/>
        <v>79</v>
      </c>
      <c r="AR284" s="3">
        <f t="shared" si="149"/>
        <v>72</v>
      </c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L284">
        <v>15</v>
      </c>
      <c r="BM284" s="35">
        <v>45061</v>
      </c>
      <c r="BO284" s="35">
        <f>B301</f>
        <v>45180</v>
      </c>
      <c r="BR284" s="9" t="str">
        <f t="shared" si="159"/>
        <v/>
      </c>
      <c r="BS284" s="37" t="str">
        <f t="shared" si="160"/>
        <v/>
      </c>
      <c r="BT284" s="38" t="str">
        <f t="shared" si="151"/>
        <v/>
      </c>
      <c r="BU284" s="36" t="str">
        <f t="shared" si="161"/>
        <v/>
      </c>
    </row>
    <row r="285" spans="2:73" ht="15">
      <c r="B285" s="16">
        <f t="shared" si="162"/>
        <v>45068</v>
      </c>
      <c r="C285" s="15" t="s">
        <v>1</v>
      </c>
      <c r="D285" s="17">
        <f t="shared" si="163"/>
        <v>45074</v>
      </c>
      <c r="E285" s="18">
        <f t="shared" si="164"/>
        <v>5</v>
      </c>
      <c r="F285" s="19">
        <f t="shared" si="165"/>
        <v>2023</v>
      </c>
      <c r="G285" s="9">
        <f t="shared" si="167"/>
        <v>17</v>
      </c>
      <c r="H285" s="8">
        <f t="shared" si="167"/>
        <v>95</v>
      </c>
      <c r="I285" s="9"/>
      <c r="J285" s="9"/>
      <c r="K285" s="9"/>
      <c r="L285" s="9"/>
      <c r="M285" s="9"/>
      <c r="N285" s="9"/>
      <c r="O285" s="12"/>
      <c r="P285" s="12">
        <v>1</v>
      </c>
      <c r="Q285" s="12"/>
      <c r="R285" s="12"/>
      <c r="S285" s="12"/>
      <c r="T285" s="12"/>
      <c r="V285" s="20">
        <f t="shared" si="153"/>
        <v>16</v>
      </c>
      <c r="W285" s="20">
        <f t="shared" si="154"/>
        <v>45070</v>
      </c>
      <c r="X285" s="20">
        <f t="shared" si="155"/>
        <v>5</v>
      </c>
      <c r="Y285" s="20">
        <f t="shared" si="156"/>
        <v>10</v>
      </c>
      <c r="Z285" s="20">
        <f t="shared" si="157"/>
        <v>0</v>
      </c>
      <c r="AA285" s="20">
        <f t="shared" si="158"/>
        <v>0</v>
      </c>
      <c r="AC285" s="3">
        <f t="shared" si="134"/>
        <v>68</v>
      </c>
      <c r="AD285" s="3">
        <f t="shared" si="135"/>
        <v>63</v>
      </c>
      <c r="AE285" s="3">
        <f t="shared" si="136"/>
        <v>58</v>
      </c>
      <c r="AF285" s="3">
        <f t="shared" si="137"/>
        <v>52</v>
      </c>
      <c r="AG285" s="3">
        <f t="shared" si="138"/>
        <v>47</v>
      </c>
      <c r="AH285" s="3">
        <f t="shared" si="139"/>
        <v>42</v>
      </c>
      <c r="AI285" s="3">
        <f t="shared" si="140"/>
        <v>37</v>
      </c>
      <c r="AJ285" s="3">
        <f t="shared" si="141"/>
        <v>31</v>
      </c>
      <c r="AK285" s="3">
        <f t="shared" si="142"/>
        <v>26</v>
      </c>
      <c r="AL285" s="3">
        <f t="shared" si="143"/>
        <v>21</v>
      </c>
      <c r="AM285" s="3">
        <f t="shared" si="144"/>
        <v>0</v>
      </c>
      <c r="AN285" s="3">
        <f t="shared" si="145"/>
        <v>95</v>
      </c>
      <c r="AO285" s="3">
        <f t="shared" si="146"/>
        <v>90</v>
      </c>
      <c r="AP285" s="3">
        <f t="shared" si="147"/>
        <v>85</v>
      </c>
      <c r="AQ285" s="3">
        <f t="shared" si="148"/>
        <v>80</v>
      </c>
      <c r="AR285" s="3">
        <f t="shared" si="149"/>
        <v>73</v>
      </c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M285" s="35" t="s">
        <v>12</v>
      </c>
      <c r="BO285" s="35"/>
      <c r="BR285" s="9">
        <f t="shared" si="159"/>
        <v>2</v>
      </c>
      <c r="BS285" s="37">
        <f t="shared" si="160"/>
        <v>45070</v>
      </c>
      <c r="BT285" s="38">
        <f t="shared" si="151"/>
        <v>45189</v>
      </c>
      <c r="BU285" s="36">
        <f t="shared" si="161"/>
        <v>7</v>
      </c>
    </row>
    <row r="286" spans="2:73" ht="15">
      <c r="B286" s="16">
        <f t="shared" si="162"/>
        <v>45075</v>
      </c>
      <c r="C286" s="15" t="s">
        <v>1</v>
      </c>
      <c r="D286" s="17">
        <f t="shared" si="163"/>
        <v>45081</v>
      </c>
      <c r="E286" s="18">
        <f t="shared" si="164"/>
        <v>5</v>
      </c>
      <c r="F286" s="19">
        <f t="shared" si="165"/>
        <v>2023</v>
      </c>
      <c r="G286" s="9">
        <f t="shared" si="167"/>
        <v>17</v>
      </c>
      <c r="H286" s="8">
        <f t="shared" si="167"/>
        <v>95</v>
      </c>
      <c r="I286" s="9"/>
      <c r="J286" s="9"/>
      <c r="K286" s="9"/>
      <c r="L286" s="9"/>
      <c r="M286" s="9"/>
      <c r="N286" s="9"/>
      <c r="O286" s="12"/>
      <c r="P286" s="12"/>
      <c r="Q286" s="12"/>
      <c r="R286" s="12"/>
      <c r="S286" s="12"/>
      <c r="T286" s="12"/>
      <c r="V286" s="20">
        <f t="shared" si="153"/>
        <v>17</v>
      </c>
      <c r="W286" s="20">
        <f t="shared" si="154"/>
        <v>1</v>
      </c>
      <c r="X286" s="20">
        <f t="shared" si="155"/>
        <v>6</v>
      </c>
      <c r="Y286" s="20">
        <f t="shared" si="156"/>
        <v>11</v>
      </c>
      <c r="Z286" s="20">
        <f t="shared" si="157"/>
        <v>0</v>
      </c>
      <c r="AA286" s="20">
        <f t="shared" si="158"/>
        <v>0</v>
      </c>
      <c r="AC286" s="3">
        <f t="shared" si="134"/>
        <v>69</v>
      </c>
      <c r="AD286" s="3">
        <f t="shared" si="135"/>
        <v>64</v>
      </c>
      <c r="AE286" s="3">
        <f t="shared" si="136"/>
        <v>59</v>
      </c>
      <c r="AF286" s="3">
        <f t="shared" si="137"/>
        <v>53</v>
      </c>
      <c r="AG286" s="3">
        <f t="shared" si="138"/>
        <v>48</v>
      </c>
      <c r="AH286" s="3">
        <f t="shared" si="139"/>
        <v>43</v>
      </c>
      <c r="AI286" s="3">
        <f t="shared" si="140"/>
        <v>38</v>
      </c>
      <c r="AJ286" s="3">
        <f t="shared" si="141"/>
        <v>32</v>
      </c>
      <c r="AK286" s="3">
        <f t="shared" si="142"/>
        <v>27</v>
      </c>
      <c r="AL286" s="3">
        <f t="shared" si="143"/>
        <v>22</v>
      </c>
      <c r="AM286" s="3">
        <f t="shared" si="144"/>
        <v>17</v>
      </c>
      <c r="AN286" s="3">
        <f t="shared" si="145"/>
        <v>0</v>
      </c>
      <c r="AO286" s="3">
        <f t="shared" si="146"/>
        <v>91</v>
      </c>
      <c r="AP286" s="3">
        <f t="shared" si="147"/>
        <v>86</v>
      </c>
      <c r="AQ286" s="3">
        <f t="shared" si="148"/>
        <v>81</v>
      </c>
      <c r="AR286" s="3">
        <f t="shared" si="149"/>
        <v>74</v>
      </c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>
        <v>1</v>
      </c>
      <c r="BD286" s="8"/>
      <c r="BE286" s="8"/>
      <c r="BF286" s="8"/>
      <c r="BG286" s="8"/>
      <c r="BH286" s="8"/>
      <c r="BM286" s="35" t="s">
        <v>12</v>
      </c>
      <c r="BO286" s="35"/>
      <c r="BR286" s="9" t="str">
        <f t="shared" si="159"/>
        <v/>
      </c>
      <c r="BS286" s="37" t="str">
        <f t="shared" si="160"/>
        <v/>
      </c>
      <c r="BT286" s="38" t="str">
        <f t="shared" si="151"/>
        <v/>
      </c>
      <c r="BU286" s="36" t="str">
        <f t="shared" si="161"/>
        <v/>
      </c>
    </row>
    <row r="287" spans="2:73" ht="15">
      <c r="B287" s="16">
        <f t="shared" si="162"/>
        <v>45082</v>
      </c>
      <c r="C287" s="15" t="s">
        <v>1</v>
      </c>
      <c r="D287" s="17">
        <f t="shared" si="163"/>
        <v>45088</v>
      </c>
      <c r="E287" s="18">
        <f t="shared" si="164"/>
        <v>6</v>
      </c>
      <c r="F287" s="19">
        <f t="shared" si="165"/>
        <v>2023</v>
      </c>
      <c r="G287" s="9">
        <f t="shared" si="167"/>
        <v>17</v>
      </c>
      <c r="H287" s="8">
        <f t="shared" si="167"/>
        <v>95</v>
      </c>
      <c r="I287" s="9"/>
      <c r="J287" s="9"/>
      <c r="K287" s="9"/>
      <c r="L287" s="9"/>
      <c r="M287" s="9"/>
      <c r="N287" s="9"/>
      <c r="O287" s="12"/>
      <c r="P287" s="12"/>
      <c r="Q287" s="12"/>
      <c r="R287" s="12"/>
      <c r="S287" s="12"/>
      <c r="T287" s="12"/>
      <c r="V287" s="20">
        <f t="shared" si="153"/>
        <v>0</v>
      </c>
      <c r="W287" s="20">
        <f t="shared" si="154"/>
        <v>2</v>
      </c>
      <c r="X287" s="20">
        <f t="shared" si="155"/>
        <v>7</v>
      </c>
      <c r="Y287" s="20">
        <f t="shared" si="156"/>
        <v>12</v>
      </c>
      <c r="Z287" s="20">
        <f t="shared" si="157"/>
        <v>0</v>
      </c>
      <c r="AA287" s="20">
        <f t="shared" si="158"/>
        <v>0</v>
      </c>
      <c r="AC287" s="3">
        <f t="shared" si="134"/>
        <v>70</v>
      </c>
      <c r="AD287" s="3">
        <f t="shared" si="135"/>
        <v>65</v>
      </c>
      <c r="AE287" s="3">
        <f t="shared" si="136"/>
        <v>60</v>
      </c>
      <c r="AF287" s="3">
        <f t="shared" si="137"/>
        <v>54</v>
      </c>
      <c r="AG287" s="3">
        <f t="shared" si="138"/>
        <v>49</v>
      </c>
      <c r="AH287" s="3">
        <f t="shared" si="139"/>
        <v>44</v>
      </c>
      <c r="AI287" s="3">
        <f t="shared" si="140"/>
        <v>39</v>
      </c>
      <c r="AJ287" s="3">
        <f t="shared" si="141"/>
        <v>33</v>
      </c>
      <c r="AK287" s="3">
        <f t="shared" si="142"/>
        <v>28</v>
      </c>
      <c r="AL287" s="3">
        <f t="shared" si="143"/>
        <v>23</v>
      </c>
      <c r="AM287" s="3">
        <f t="shared" si="144"/>
        <v>18</v>
      </c>
      <c r="AN287" s="3">
        <f t="shared" si="145"/>
        <v>0</v>
      </c>
      <c r="AO287" s="3">
        <f t="shared" si="146"/>
        <v>92</v>
      </c>
      <c r="AP287" s="3">
        <f t="shared" si="147"/>
        <v>87</v>
      </c>
      <c r="AQ287" s="3">
        <f t="shared" si="148"/>
        <v>82</v>
      </c>
      <c r="AR287" s="3">
        <f t="shared" si="149"/>
        <v>75</v>
      </c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M287" s="35" t="s">
        <v>12</v>
      </c>
      <c r="BO287" s="35"/>
      <c r="BR287" s="9" t="str">
        <f t="shared" si="159"/>
        <v/>
      </c>
      <c r="BS287" s="37" t="str">
        <f t="shared" si="160"/>
        <v/>
      </c>
      <c r="BT287" s="38" t="str">
        <f t="shared" si="151"/>
        <v/>
      </c>
      <c r="BU287" s="36" t="str">
        <f t="shared" si="161"/>
        <v/>
      </c>
    </row>
    <row r="288" spans="2:73" ht="15">
      <c r="B288" s="16">
        <f t="shared" si="162"/>
        <v>45089</v>
      </c>
      <c r="C288" s="15" t="s">
        <v>1</v>
      </c>
      <c r="D288" s="17">
        <f t="shared" si="163"/>
        <v>45095</v>
      </c>
      <c r="E288" s="18">
        <f t="shared" si="164"/>
        <v>6</v>
      </c>
      <c r="F288" s="19">
        <f t="shared" si="165"/>
        <v>2023</v>
      </c>
      <c r="G288" s="9">
        <f t="shared" si="167"/>
        <v>17</v>
      </c>
      <c r="H288" s="8">
        <f t="shared" si="167"/>
        <v>95</v>
      </c>
      <c r="I288" s="9"/>
      <c r="J288" s="9"/>
      <c r="K288" s="9"/>
      <c r="L288" s="9"/>
      <c r="M288" s="9"/>
      <c r="N288" s="9"/>
      <c r="O288" s="12"/>
      <c r="P288" s="12"/>
      <c r="Q288" s="12"/>
      <c r="R288" s="12"/>
      <c r="S288" s="12"/>
      <c r="T288" s="12"/>
      <c r="V288" s="20">
        <f t="shared" si="153"/>
        <v>0</v>
      </c>
      <c r="W288" s="20">
        <f t="shared" si="154"/>
        <v>3</v>
      </c>
      <c r="X288" s="20">
        <f t="shared" si="155"/>
        <v>8</v>
      </c>
      <c r="Y288" s="20">
        <f t="shared" si="156"/>
        <v>13</v>
      </c>
      <c r="Z288" s="20">
        <f t="shared" si="157"/>
        <v>0</v>
      </c>
      <c r="AA288" s="20">
        <f t="shared" si="158"/>
        <v>0</v>
      </c>
      <c r="AC288" s="3">
        <f t="shared" si="134"/>
        <v>71</v>
      </c>
      <c r="AD288" s="3">
        <f t="shared" si="135"/>
        <v>66</v>
      </c>
      <c r="AE288" s="3">
        <f t="shared" si="136"/>
        <v>61</v>
      </c>
      <c r="AF288" s="3">
        <f t="shared" si="137"/>
        <v>55</v>
      </c>
      <c r="AG288" s="3">
        <f t="shared" si="138"/>
        <v>50</v>
      </c>
      <c r="AH288" s="3">
        <f t="shared" si="139"/>
        <v>45</v>
      </c>
      <c r="AI288" s="3">
        <f t="shared" si="140"/>
        <v>40</v>
      </c>
      <c r="AJ288" s="3">
        <f t="shared" si="141"/>
        <v>34</v>
      </c>
      <c r="AK288" s="3">
        <f t="shared" si="142"/>
        <v>29</v>
      </c>
      <c r="AL288" s="3">
        <f t="shared" si="143"/>
        <v>24</v>
      </c>
      <c r="AM288" s="3">
        <f t="shared" si="144"/>
        <v>19</v>
      </c>
      <c r="AN288" s="3">
        <f t="shared" si="145"/>
        <v>0</v>
      </c>
      <c r="AO288" s="3">
        <f t="shared" si="146"/>
        <v>93</v>
      </c>
      <c r="AP288" s="3">
        <f t="shared" si="147"/>
        <v>88</v>
      </c>
      <c r="AQ288" s="3">
        <f t="shared" si="148"/>
        <v>83</v>
      </c>
      <c r="AR288" s="3">
        <f t="shared" si="149"/>
        <v>76</v>
      </c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M288" s="35" t="s">
        <v>12</v>
      </c>
      <c r="BO288" s="35"/>
      <c r="BR288" s="9" t="str">
        <f t="shared" si="159"/>
        <v/>
      </c>
      <c r="BS288" s="37" t="str">
        <f t="shared" si="160"/>
        <v/>
      </c>
      <c r="BT288" s="38" t="str">
        <f t="shared" si="151"/>
        <v/>
      </c>
      <c r="BU288" s="36" t="str">
        <f t="shared" si="161"/>
        <v/>
      </c>
    </row>
    <row r="289" spans="2:73" ht="15">
      <c r="B289" s="16">
        <f t="shared" si="162"/>
        <v>45096</v>
      </c>
      <c r="C289" s="15" t="s">
        <v>1</v>
      </c>
      <c r="D289" s="17">
        <f t="shared" si="163"/>
        <v>45102</v>
      </c>
      <c r="E289" s="18">
        <f t="shared" si="164"/>
        <v>6</v>
      </c>
      <c r="F289" s="19">
        <f t="shared" si="165"/>
        <v>2023</v>
      </c>
      <c r="G289" s="9">
        <f t="shared" si="167"/>
        <v>17</v>
      </c>
      <c r="H289" s="8">
        <f t="shared" si="167"/>
        <v>95</v>
      </c>
      <c r="I289" s="9"/>
      <c r="J289" s="9"/>
      <c r="K289" s="9"/>
      <c r="L289" s="9"/>
      <c r="M289" s="9"/>
      <c r="N289" s="9"/>
      <c r="O289" s="12"/>
      <c r="P289" s="12"/>
      <c r="Q289" s="12"/>
      <c r="R289" s="12"/>
      <c r="S289" s="12"/>
      <c r="T289" s="12"/>
      <c r="V289" s="20">
        <f t="shared" si="153"/>
        <v>0</v>
      </c>
      <c r="W289" s="20">
        <f t="shared" si="154"/>
        <v>4</v>
      </c>
      <c r="X289" s="20">
        <f t="shared" si="155"/>
        <v>9</v>
      </c>
      <c r="Y289" s="20">
        <f t="shared" si="156"/>
        <v>14</v>
      </c>
      <c r="Z289" s="20">
        <f t="shared" si="157"/>
        <v>0</v>
      </c>
      <c r="AA289" s="20">
        <f t="shared" si="158"/>
        <v>0</v>
      </c>
      <c r="AC289" s="3">
        <f t="shared" si="134"/>
        <v>72</v>
      </c>
      <c r="AD289" s="3">
        <f t="shared" si="135"/>
        <v>67</v>
      </c>
      <c r="AE289" s="3">
        <f t="shared" si="136"/>
        <v>62</v>
      </c>
      <c r="AF289" s="3">
        <f t="shared" si="137"/>
        <v>56</v>
      </c>
      <c r="AG289" s="3">
        <f t="shared" si="138"/>
        <v>51</v>
      </c>
      <c r="AH289" s="3">
        <f t="shared" si="139"/>
        <v>46</v>
      </c>
      <c r="AI289" s="3">
        <f t="shared" si="140"/>
        <v>41</v>
      </c>
      <c r="AJ289" s="3">
        <f t="shared" si="141"/>
        <v>35</v>
      </c>
      <c r="AK289" s="3">
        <f t="shared" si="142"/>
        <v>30</v>
      </c>
      <c r="AL289" s="3">
        <f t="shared" si="143"/>
        <v>25</v>
      </c>
      <c r="AM289" s="3">
        <f t="shared" si="144"/>
        <v>20</v>
      </c>
      <c r="AN289" s="3">
        <f t="shared" si="145"/>
        <v>0</v>
      </c>
      <c r="AO289" s="3">
        <f t="shared" si="146"/>
        <v>94</v>
      </c>
      <c r="AP289" s="3">
        <f t="shared" si="147"/>
        <v>89</v>
      </c>
      <c r="AQ289" s="3">
        <f t="shared" si="148"/>
        <v>84</v>
      </c>
      <c r="AR289" s="3">
        <f t="shared" si="149"/>
        <v>77</v>
      </c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L289">
        <v>7</v>
      </c>
      <c r="BM289" s="35">
        <v>45096</v>
      </c>
      <c r="BO289" s="35">
        <f>B306</f>
        <v>45215</v>
      </c>
      <c r="BR289" s="9" t="str">
        <f t="shared" si="159"/>
        <v/>
      </c>
      <c r="BS289" s="37" t="str">
        <f t="shared" si="160"/>
        <v/>
      </c>
      <c r="BT289" s="38" t="str">
        <f t="shared" si="151"/>
        <v/>
      </c>
      <c r="BU289" s="36" t="str">
        <f t="shared" si="161"/>
        <v/>
      </c>
    </row>
    <row r="290" spans="2:73" ht="15">
      <c r="B290" s="16">
        <f t="shared" si="162"/>
        <v>45103</v>
      </c>
      <c r="C290" s="15" t="s">
        <v>1</v>
      </c>
      <c r="D290" s="17">
        <f t="shared" si="163"/>
        <v>45109</v>
      </c>
      <c r="E290" s="18">
        <f t="shared" si="164"/>
        <v>6</v>
      </c>
      <c r="F290" s="19">
        <f t="shared" si="165"/>
        <v>2023</v>
      </c>
      <c r="G290" s="9">
        <f t="shared" si="167"/>
        <v>17</v>
      </c>
      <c r="H290" s="8">
        <f t="shared" si="167"/>
        <v>95</v>
      </c>
      <c r="I290" s="9"/>
      <c r="J290" s="9"/>
      <c r="K290" s="9"/>
      <c r="L290" s="9"/>
      <c r="M290" s="9"/>
      <c r="N290" s="9"/>
      <c r="O290" s="12">
        <v>1</v>
      </c>
      <c r="P290" s="12"/>
      <c r="Q290" s="12"/>
      <c r="R290" s="12"/>
      <c r="S290" s="12"/>
      <c r="T290" s="12"/>
      <c r="V290" s="20">
        <f t="shared" si="153"/>
        <v>45105</v>
      </c>
      <c r="W290" s="20">
        <f t="shared" si="154"/>
        <v>5</v>
      </c>
      <c r="X290" s="20">
        <f t="shared" si="155"/>
        <v>10</v>
      </c>
      <c r="Y290" s="20">
        <f t="shared" si="156"/>
        <v>15</v>
      </c>
      <c r="Z290" s="20">
        <f t="shared" si="157"/>
        <v>0</v>
      </c>
      <c r="AA290" s="20">
        <f t="shared" si="158"/>
        <v>0</v>
      </c>
      <c r="AC290" s="3">
        <f t="shared" si="134"/>
        <v>73</v>
      </c>
      <c r="AD290" s="3">
        <f t="shared" si="135"/>
        <v>68</v>
      </c>
      <c r="AE290" s="3">
        <f t="shared" si="136"/>
        <v>63</v>
      </c>
      <c r="AF290" s="3">
        <f t="shared" si="137"/>
        <v>57</v>
      </c>
      <c r="AG290" s="3">
        <f t="shared" si="138"/>
        <v>52</v>
      </c>
      <c r="AH290" s="3">
        <f t="shared" si="139"/>
        <v>47</v>
      </c>
      <c r="AI290" s="3">
        <f t="shared" si="140"/>
        <v>42</v>
      </c>
      <c r="AJ290" s="3">
        <f t="shared" si="141"/>
        <v>36</v>
      </c>
      <c r="AK290" s="3">
        <f t="shared" si="142"/>
        <v>31</v>
      </c>
      <c r="AL290" s="3">
        <f t="shared" si="143"/>
        <v>26</v>
      </c>
      <c r="AM290" s="3">
        <f t="shared" si="144"/>
        <v>21</v>
      </c>
      <c r="AN290" s="3">
        <f t="shared" si="145"/>
        <v>0</v>
      </c>
      <c r="AO290" s="3">
        <f t="shared" si="146"/>
        <v>95</v>
      </c>
      <c r="AP290" s="3">
        <f t="shared" si="147"/>
        <v>90</v>
      </c>
      <c r="AQ290" s="3">
        <f t="shared" si="148"/>
        <v>85</v>
      </c>
      <c r="AR290" s="3">
        <f t="shared" si="149"/>
        <v>78</v>
      </c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M290" s="35" t="s">
        <v>12</v>
      </c>
      <c r="BO290" s="35"/>
      <c r="BR290" s="9">
        <f t="shared" si="159"/>
        <v>1</v>
      </c>
      <c r="BS290" s="37">
        <f t="shared" si="160"/>
        <v>45105</v>
      </c>
      <c r="BT290" s="38">
        <f t="shared" si="151"/>
        <v>45224</v>
      </c>
      <c r="BU290" s="36">
        <f t="shared" si="161"/>
        <v>8</v>
      </c>
    </row>
    <row r="291" spans="2:73" ht="15">
      <c r="B291" s="16">
        <f t="shared" si="162"/>
        <v>45110</v>
      </c>
      <c r="C291" s="15" t="s">
        <v>1</v>
      </c>
      <c r="D291" s="17">
        <f t="shared" si="163"/>
        <v>45116</v>
      </c>
      <c r="E291" s="18">
        <f t="shared" si="164"/>
        <v>7</v>
      </c>
      <c r="F291" s="19">
        <f t="shared" si="165"/>
        <v>2023</v>
      </c>
      <c r="G291" s="9">
        <f t="shared" si="167"/>
        <v>17</v>
      </c>
      <c r="H291" s="8">
        <f t="shared" si="167"/>
        <v>95</v>
      </c>
      <c r="I291" s="9"/>
      <c r="J291" s="9"/>
      <c r="K291" s="9"/>
      <c r="L291" s="9"/>
      <c r="M291" s="9"/>
      <c r="N291" s="9"/>
      <c r="O291" s="12"/>
      <c r="P291" s="12"/>
      <c r="Q291" s="12"/>
      <c r="R291" s="12"/>
      <c r="S291" s="12"/>
      <c r="T291" s="12"/>
      <c r="V291" s="20">
        <f t="shared" si="153"/>
        <v>1</v>
      </c>
      <c r="W291" s="20">
        <f t="shared" si="154"/>
        <v>6</v>
      </c>
      <c r="X291" s="20">
        <f t="shared" si="155"/>
        <v>11</v>
      </c>
      <c r="Y291" s="20">
        <f t="shared" si="156"/>
        <v>16</v>
      </c>
      <c r="Z291" s="20">
        <f t="shared" si="157"/>
        <v>0</v>
      </c>
      <c r="AA291" s="20">
        <f t="shared" si="158"/>
        <v>0</v>
      </c>
      <c r="AC291" s="3">
        <f t="shared" ref="AC291:AC354" si="168">IF(AND(AS291&gt;=$V$2,AS291&lt;=$AA$2),LOOKUP(AS291,$V$2:$AA$2,$V291:$AA291),IF(AS290="A",0,IF(AC290=$H291,0,IF(AC290=0,0,AC290+1))))</f>
        <v>74</v>
      </c>
      <c r="AD291" s="3">
        <f t="shared" ref="AD291:AD354" si="169">IF(AND(AT291&gt;=$V$2,AT291&lt;=$AA$2),LOOKUP(AT291,$V$2:$AA$2,$V291:$AA291),IF(AT290="A",0,IF(AD290=$H291,0,IF(AD290=0,0,AD290+1))))</f>
        <v>69</v>
      </c>
      <c r="AE291" s="3">
        <f t="shared" ref="AE291:AE354" si="170">IF(AND(AU291&gt;=$V$2,AU291&lt;=$AA$2),LOOKUP(AU291,$V$2:$AA$2,$V291:$AA291),IF(AU290="A",0,IF(AE290=$H291,0,IF(AE290=0,0,AE290+1))))</f>
        <v>64</v>
      </c>
      <c r="AF291" s="3">
        <f t="shared" ref="AF291:AF354" si="171">IF(AND(AV291&gt;=$V$2,AV291&lt;=$AA$2),LOOKUP(AV291,$V$2:$AA$2,$V291:$AA291),IF(AV290="A",0,IF(AF290=$H291,0,IF(AF290=0,0,AF290+1))))</f>
        <v>58</v>
      </c>
      <c r="AG291" s="3">
        <f t="shared" ref="AG291:AG354" si="172">IF(AND(AW291&gt;=$V$2,AW291&lt;=$AA$2),LOOKUP(AW291,$V$2:$AA$2,$V291:$AA291),IF(AW290="A",0,IF(AG290=$H291,0,IF(AG290=0,0,AG290+1))))</f>
        <v>53</v>
      </c>
      <c r="AH291" s="3">
        <f t="shared" ref="AH291:AH354" si="173">IF(AND(AX291&gt;=$V$2,AX291&lt;=$AA$2),LOOKUP(AX291,$V$2:$AA$2,$V291:$AA291),IF(AX290="A",0,IF(AH290=$H291,0,IF(AH290=0,0,AH290+1))))</f>
        <v>48</v>
      </c>
      <c r="AI291" s="3">
        <f t="shared" ref="AI291:AI354" si="174">IF(AND(AY291&gt;=$V$2,AY291&lt;=$AA$2),LOOKUP(AY291,$V$2:$AA$2,$V291:$AA291),IF(AY290="A",0,IF(AI290=$H291,0,IF(AI290=0,0,AI290+1))))</f>
        <v>43</v>
      </c>
      <c r="AJ291" s="3">
        <f t="shared" ref="AJ291:AJ354" si="175">IF(AND(AZ291&gt;=$V$2,AZ291&lt;=$AA$2),LOOKUP(AZ291,$V$2:$AA$2,$V291:$AA291),IF(AZ290="A",0,IF(AJ290=$H291,0,IF(AJ290=0,0,AJ290+1))))</f>
        <v>37</v>
      </c>
      <c r="AK291" s="3">
        <f t="shared" ref="AK291:AK354" si="176">IF(AND(BA291&gt;=$V$2,BA291&lt;=$AA$2),LOOKUP(BA291,$V$2:$AA$2,$V291:$AA291),IF(BA290="A",0,IF(AK290=$H291,0,IF(AK290=0,0,AK290+1))))</f>
        <v>32</v>
      </c>
      <c r="AL291" s="3">
        <f t="shared" ref="AL291:AL354" si="177">IF(AND(BB291&gt;=$V$2,BB291&lt;=$AA$2),LOOKUP(BB291,$V$2:$AA$2,$V291:$AA291),IF(BB290="A",0,IF(AL290=$H291,0,IF(AL290=0,0,AL290+1))))</f>
        <v>27</v>
      </c>
      <c r="AM291" s="3">
        <f t="shared" ref="AM291:AM354" si="178">IF(AND(BC291&gt;=$V$2,BC291&lt;=$AA$2),LOOKUP(BC291,$V$2:$AA$2,$V291:$AA291),IF(BC290="A",0,IF(AM290=$H291,0,IF(AM290=0,0,AM290+1))))</f>
        <v>22</v>
      </c>
      <c r="AN291" s="3">
        <f t="shared" ref="AN291:AN354" si="179">IF(AND(BD291&gt;=$V$2,BD291&lt;=$AA$2),LOOKUP(BD291,$V$2:$AA$2,$V291:$AA291),IF(BD290="A",0,IF(AN290=$H291,0,IF(AN290=0,0,AN290+1))))</f>
        <v>0</v>
      </c>
      <c r="AO291" s="3">
        <f t="shared" ref="AO291:AO354" si="180">IF(AND(BE291&gt;=$V$2,BE291&lt;=$AA$2),LOOKUP(BE291,$V$2:$AA$2,$V291:$AA291),IF(BE290="A",0,IF(AO290=$H291,0,IF(AO290=0,0,AO290+1))))</f>
        <v>0</v>
      </c>
      <c r="AP291" s="3">
        <f t="shared" ref="AP291:AP354" si="181">IF(AND(BF291&gt;=$V$2,BF291&lt;=$AA$2),LOOKUP(BF291,$V$2:$AA$2,$V291:$AA291),IF(BF290="A",0,IF(AP290=$H291,0,IF(AP290=0,0,AP290+1))))</f>
        <v>91</v>
      </c>
      <c r="AQ291" s="3">
        <f t="shared" ref="AQ291:AQ354" si="182">IF(AND(BG291&gt;=$V$2,BG291&lt;=$AA$2),LOOKUP(BG291,$V$2:$AA$2,$V291:$AA291),IF(BG290="A",0,IF(AQ290=$H291,0,IF(AQ290=0,0,AQ290+1))))</f>
        <v>86</v>
      </c>
      <c r="AR291" s="3">
        <f t="shared" ref="AR291:AR354" si="183">IF(AND(BH291&gt;=$V$2,BH291&lt;=$AA$2),LOOKUP(BH291,$V$2:$AA$2,$V291:$AA291),IF(BH290="A",0,IF(AR290=$H291,0,IF(AR290=0,0,AR290+1))))</f>
        <v>79</v>
      </c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M291" s="35" t="s">
        <v>12</v>
      </c>
      <c r="BO291" s="35"/>
      <c r="BR291" s="9" t="str">
        <f t="shared" si="159"/>
        <v/>
      </c>
      <c r="BS291" s="37" t="str">
        <f t="shared" si="160"/>
        <v/>
      </c>
      <c r="BT291" s="38" t="str">
        <f t="shared" si="151"/>
        <v/>
      </c>
      <c r="BU291" s="36" t="str">
        <f t="shared" si="161"/>
        <v/>
      </c>
    </row>
    <row r="292" spans="2:73" ht="15">
      <c r="B292" s="16">
        <f t="shared" si="162"/>
        <v>45117</v>
      </c>
      <c r="C292" s="15" t="s">
        <v>1</v>
      </c>
      <c r="D292" s="17">
        <f t="shared" si="163"/>
        <v>45123</v>
      </c>
      <c r="E292" s="18">
        <f t="shared" si="164"/>
        <v>7</v>
      </c>
      <c r="F292" s="19">
        <f t="shared" si="165"/>
        <v>2023</v>
      </c>
      <c r="G292" s="9">
        <f t="shared" si="167"/>
        <v>17</v>
      </c>
      <c r="H292" s="8">
        <f t="shared" si="167"/>
        <v>95</v>
      </c>
      <c r="I292" s="9"/>
      <c r="J292" s="9"/>
      <c r="K292" s="9"/>
      <c r="L292" s="9"/>
      <c r="M292" s="9"/>
      <c r="N292" s="9"/>
      <c r="O292" s="12"/>
      <c r="P292" s="12"/>
      <c r="Q292" s="12"/>
      <c r="R292" s="12"/>
      <c r="S292" s="12"/>
      <c r="T292" s="12"/>
      <c r="V292" s="20">
        <f t="shared" si="153"/>
        <v>2</v>
      </c>
      <c r="W292" s="20">
        <f t="shared" si="154"/>
        <v>7</v>
      </c>
      <c r="X292" s="20">
        <f t="shared" si="155"/>
        <v>12</v>
      </c>
      <c r="Y292" s="20">
        <f t="shared" si="156"/>
        <v>17</v>
      </c>
      <c r="Z292" s="20">
        <f t="shared" si="157"/>
        <v>0</v>
      </c>
      <c r="AA292" s="20">
        <f t="shared" si="158"/>
        <v>0</v>
      </c>
      <c r="AC292" s="3">
        <f t="shared" si="168"/>
        <v>75</v>
      </c>
      <c r="AD292" s="3">
        <f t="shared" si="169"/>
        <v>70</v>
      </c>
      <c r="AE292" s="3">
        <f t="shared" si="170"/>
        <v>65</v>
      </c>
      <c r="AF292" s="3">
        <f t="shared" si="171"/>
        <v>59</v>
      </c>
      <c r="AG292" s="3">
        <f t="shared" si="172"/>
        <v>54</v>
      </c>
      <c r="AH292" s="3">
        <f t="shared" si="173"/>
        <v>49</v>
      </c>
      <c r="AI292" s="3">
        <f t="shared" si="174"/>
        <v>44</v>
      </c>
      <c r="AJ292" s="3">
        <f t="shared" si="175"/>
        <v>38</v>
      </c>
      <c r="AK292" s="3">
        <f t="shared" si="176"/>
        <v>33</v>
      </c>
      <c r="AL292" s="3">
        <f t="shared" si="177"/>
        <v>28</v>
      </c>
      <c r="AM292" s="3">
        <f t="shared" si="178"/>
        <v>23</v>
      </c>
      <c r="AN292" s="3">
        <f t="shared" si="179"/>
        <v>17</v>
      </c>
      <c r="AO292" s="3">
        <f t="shared" si="180"/>
        <v>0</v>
      </c>
      <c r="AP292" s="3">
        <f t="shared" si="181"/>
        <v>92</v>
      </c>
      <c r="AQ292" s="3">
        <f t="shared" si="182"/>
        <v>87</v>
      </c>
      <c r="AR292" s="3">
        <f t="shared" si="183"/>
        <v>80</v>
      </c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>
        <v>4</v>
      </c>
      <c r="BE292" s="8"/>
      <c r="BF292" s="8"/>
      <c r="BG292" s="8"/>
      <c r="BH292" s="8"/>
      <c r="BM292" s="35" t="s">
        <v>12</v>
      </c>
      <c r="BO292" s="35"/>
      <c r="BR292" s="9" t="str">
        <f t="shared" si="159"/>
        <v/>
      </c>
      <c r="BS292" s="37" t="str">
        <f t="shared" si="160"/>
        <v/>
      </c>
      <c r="BT292" s="38" t="str">
        <f t="shared" si="151"/>
        <v/>
      </c>
      <c r="BU292" s="36" t="str">
        <f t="shared" si="161"/>
        <v/>
      </c>
    </row>
    <row r="293" spans="2:73" ht="15">
      <c r="B293" s="16">
        <f t="shared" si="162"/>
        <v>45124</v>
      </c>
      <c r="C293" s="15" t="s">
        <v>1</v>
      </c>
      <c r="D293" s="17">
        <f t="shared" si="163"/>
        <v>45130</v>
      </c>
      <c r="E293" s="18">
        <f t="shared" si="164"/>
        <v>7</v>
      </c>
      <c r="F293" s="19">
        <f t="shared" si="165"/>
        <v>2023</v>
      </c>
      <c r="G293" s="9">
        <f t="shared" si="167"/>
        <v>17</v>
      </c>
      <c r="H293" s="8">
        <f t="shared" si="167"/>
        <v>95</v>
      </c>
      <c r="I293" s="9"/>
      <c r="J293" s="9"/>
      <c r="K293" s="9"/>
      <c r="L293" s="9"/>
      <c r="M293" s="9"/>
      <c r="N293" s="9"/>
      <c r="O293" s="12"/>
      <c r="P293" s="12"/>
      <c r="Q293" s="12"/>
      <c r="R293" s="12"/>
      <c r="S293" s="12"/>
      <c r="T293" s="12"/>
      <c r="V293" s="20">
        <f t="shared" si="153"/>
        <v>3</v>
      </c>
      <c r="W293" s="20">
        <f t="shared" si="154"/>
        <v>8</v>
      </c>
      <c r="X293" s="20">
        <f t="shared" si="155"/>
        <v>13</v>
      </c>
      <c r="Y293" s="20">
        <f t="shared" si="156"/>
        <v>0</v>
      </c>
      <c r="Z293" s="20">
        <f t="shared" si="157"/>
        <v>0</v>
      </c>
      <c r="AA293" s="20">
        <f t="shared" si="158"/>
        <v>0</v>
      </c>
      <c r="AC293" s="3">
        <f t="shared" si="168"/>
        <v>76</v>
      </c>
      <c r="AD293" s="3">
        <f t="shared" si="169"/>
        <v>71</v>
      </c>
      <c r="AE293" s="3">
        <f t="shared" si="170"/>
        <v>66</v>
      </c>
      <c r="AF293" s="3">
        <f t="shared" si="171"/>
        <v>60</v>
      </c>
      <c r="AG293" s="3">
        <f t="shared" si="172"/>
        <v>55</v>
      </c>
      <c r="AH293" s="3">
        <f t="shared" si="173"/>
        <v>50</v>
      </c>
      <c r="AI293" s="3">
        <f t="shared" si="174"/>
        <v>45</v>
      </c>
      <c r="AJ293" s="3">
        <f t="shared" si="175"/>
        <v>39</v>
      </c>
      <c r="AK293" s="3">
        <f t="shared" si="176"/>
        <v>34</v>
      </c>
      <c r="AL293" s="3">
        <f t="shared" si="177"/>
        <v>29</v>
      </c>
      <c r="AM293" s="3">
        <f t="shared" si="178"/>
        <v>24</v>
      </c>
      <c r="AN293" s="3">
        <f t="shared" si="179"/>
        <v>18</v>
      </c>
      <c r="AO293" s="3">
        <f t="shared" si="180"/>
        <v>0</v>
      </c>
      <c r="AP293" s="3">
        <f t="shared" si="181"/>
        <v>93</v>
      </c>
      <c r="AQ293" s="3">
        <f t="shared" si="182"/>
        <v>88</v>
      </c>
      <c r="AR293" s="3">
        <f t="shared" si="183"/>
        <v>81</v>
      </c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M293" s="35" t="s">
        <v>12</v>
      </c>
      <c r="BO293" s="35"/>
      <c r="BR293" s="9" t="str">
        <f t="shared" si="159"/>
        <v/>
      </c>
      <c r="BS293" s="37" t="str">
        <f t="shared" si="160"/>
        <v/>
      </c>
      <c r="BT293" s="38" t="str">
        <f t="shared" si="151"/>
        <v/>
      </c>
      <c r="BU293" s="36" t="str">
        <f t="shared" si="161"/>
        <v/>
      </c>
    </row>
    <row r="294" spans="2:73" ht="15">
      <c r="B294" s="16">
        <f t="shared" si="162"/>
        <v>45131</v>
      </c>
      <c r="C294" s="15" t="s">
        <v>1</v>
      </c>
      <c r="D294" s="17">
        <f t="shared" si="163"/>
        <v>45137</v>
      </c>
      <c r="E294" s="18">
        <f t="shared" si="164"/>
        <v>7</v>
      </c>
      <c r="F294" s="19">
        <f t="shared" si="165"/>
        <v>2023</v>
      </c>
      <c r="G294" s="9">
        <f t="shared" ref="G294:H309" si="184">G293</f>
        <v>17</v>
      </c>
      <c r="H294" s="8">
        <f t="shared" si="184"/>
        <v>95</v>
      </c>
      <c r="I294" s="9"/>
      <c r="J294" s="9"/>
      <c r="K294" s="9"/>
      <c r="L294" s="9"/>
      <c r="M294" s="9"/>
      <c r="N294" s="9"/>
      <c r="O294" s="12"/>
      <c r="P294" s="12"/>
      <c r="Q294" s="12"/>
      <c r="R294" s="12"/>
      <c r="S294" s="12"/>
      <c r="T294" s="12"/>
      <c r="V294" s="20">
        <f t="shared" si="153"/>
        <v>4</v>
      </c>
      <c r="W294" s="20">
        <f t="shared" si="154"/>
        <v>9</v>
      </c>
      <c r="X294" s="20">
        <f t="shared" si="155"/>
        <v>14</v>
      </c>
      <c r="Y294" s="20">
        <f t="shared" si="156"/>
        <v>0</v>
      </c>
      <c r="Z294" s="20">
        <f t="shared" si="157"/>
        <v>0</v>
      </c>
      <c r="AA294" s="20">
        <f t="shared" si="158"/>
        <v>0</v>
      </c>
      <c r="AC294" s="3">
        <f t="shared" si="168"/>
        <v>77</v>
      </c>
      <c r="AD294" s="3">
        <f t="shared" si="169"/>
        <v>72</v>
      </c>
      <c r="AE294" s="3">
        <f t="shared" si="170"/>
        <v>67</v>
      </c>
      <c r="AF294" s="3">
        <f t="shared" si="171"/>
        <v>61</v>
      </c>
      <c r="AG294" s="3">
        <f t="shared" si="172"/>
        <v>56</v>
      </c>
      <c r="AH294" s="3">
        <f t="shared" si="173"/>
        <v>51</v>
      </c>
      <c r="AI294" s="3">
        <f t="shared" si="174"/>
        <v>46</v>
      </c>
      <c r="AJ294" s="3">
        <f t="shared" si="175"/>
        <v>40</v>
      </c>
      <c r="AK294" s="3">
        <f t="shared" si="176"/>
        <v>35</v>
      </c>
      <c r="AL294" s="3">
        <f t="shared" si="177"/>
        <v>30</v>
      </c>
      <c r="AM294" s="3">
        <f t="shared" si="178"/>
        <v>25</v>
      </c>
      <c r="AN294" s="3">
        <f t="shared" si="179"/>
        <v>19</v>
      </c>
      <c r="AO294" s="3">
        <f t="shared" si="180"/>
        <v>0</v>
      </c>
      <c r="AP294" s="3">
        <f t="shared" si="181"/>
        <v>94</v>
      </c>
      <c r="AQ294" s="3">
        <f t="shared" si="182"/>
        <v>89</v>
      </c>
      <c r="AR294" s="3">
        <f t="shared" si="183"/>
        <v>82</v>
      </c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L294">
        <v>8</v>
      </c>
      <c r="BM294" s="35">
        <v>45131</v>
      </c>
      <c r="BO294" s="35">
        <f>B311</f>
        <v>45250</v>
      </c>
      <c r="BR294" s="9" t="str">
        <f t="shared" si="159"/>
        <v/>
      </c>
      <c r="BS294" s="37" t="str">
        <f t="shared" si="160"/>
        <v/>
      </c>
      <c r="BT294" s="38" t="str">
        <f t="shared" si="151"/>
        <v/>
      </c>
      <c r="BU294" s="36" t="str">
        <f t="shared" si="161"/>
        <v/>
      </c>
    </row>
    <row r="295" spans="2:73" ht="15">
      <c r="B295" s="16">
        <f t="shared" si="162"/>
        <v>45138</v>
      </c>
      <c r="C295" s="15" t="s">
        <v>1</v>
      </c>
      <c r="D295" s="17">
        <f t="shared" si="163"/>
        <v>45144</v>
      </c>
      <c r="E295" s="18">
        <f t="shared" si="164"/>
        <v>7</v>
      </c>
      <c r="F295" s="19">
        <f t="shared" si="165"/>
        <v>2023</v>
      </c>
      <c r="G295" s="9">
        <f t="shared" si="184"/>
        <v>17</v>
      </c>
      <c r="H295" s="8">
        <f t="shared" si="184"/>
        <v>95</v>
      </c>
      <c r="I295" s="9"/>
      <c r="J295" s="9"/>
      <c r="K295" s="9"/>
      <c r="L295" s="9"/>
      <c r="M295" s="9"/>
      <c r="N295" s="9"/>
      <c r="O295" s="12"/>
      <c r="P295" s="12"/>
      <c r="Q295" s="12"/>
      <c r="R295" s="12"/>
      <c r="S295" s="12"/>
      <c r="T295" s="12"/>
      <c r="V295" s="20">
        <f t="shared" si="153"/>
        <v>5</v>
      </c>
      <c r="W295" s="20">
        <f t="shared" si="154"/>
        <v>10</v>
      </c>
      <c r="X295" s="20">
        <f t="shared" si="155"/>
        <v>15</v>
      </c>
      <c r="Y295" s="20">
        <f t="shared" si="156"/>
        <v>0</v>
      </c>
      <c r="Z295" s="20">
        <f t="shared" si="157"/>
        <v>0</v>
      </c>
      <c r="AA295" s="20">
        <f t="shared" si="158"/>
        <v>0</v>
      </c>
      <c r="AC295" s="3">
        <f t="shared" si="168"/>
        <v>78</v>
      </c>
      <c r="AD295" s="3">
        <f t="shared" si="169"/>
        <v>73</v>
      </c>
      <c r="AE295" s="3">
        <f t="shared" si="170"/>
        <v>68</v>
      </c>
      <c r="AF295" s="3">
        <f t="shared" si="171"/>
        <v>62</v>
      </c>
      <c r="AG295" s="3">
        <f t="shared" si="172"/>
        <v>57</v>
      </c>
      <c r="AH295" s="3">
        <f t="shared" si="173"/>
        <v>52</v>
      </c>
      <c r="AI295" s="3">
        <f t="shared" si="174"/>
        <v>47</v>
      </c>
      <c r="AJ295" s="3">
        <f t="shared" si="175"/>
        <v>41</v>
      </c>
      <c r="AK295" s="3">
        <f t="shared" si="176"/>
        <v>36</v>
      </c>
      <c r="AL295" s="3">
        <f t="shared" si="177"/>
        <v>31</v>
      </c>
      <c r="AM295" s="3">
        <f t="shared" si="178"/>
        <v>26</v>
      </c>
      <c r="AN295" s="3">
        <f t="shared" si="179"/>
        <v>20</v>
      </c>
      <c r="AO295" s="3">
        <f t="shared" si="180"/>
        <v>0</v>
      </c>
      <c r="AP295" s="3">
        <f t="shared" si="181"/>
        <v>95</v>
      </c>
      <c r="AQ295" s="3">
        <f t="shared" si="182"/>
        <v>90</v>
      </c>
      <c r="AR295" s="3">
        <f t="shared" si="183"/>
        <v>83</v>
      </c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M295" s="35" t="s">
        <v>12</v>
      </c>
      <c r="BO295" s="35"/>
      <c r="BR295" s="9" t="str">
        <f t="shared" si="159"/>
        <v/>
      </c>
      <c r="BS295" s="37" t="str">
        <f t="shared" si="160"/>
        <v/>
      </c>
      <c r="BT295" s="38" t="str">
        <f t="shared" si="151"/>
        <v/>
      </c>
      <c r="BU295" s="36" t="str">
        <f t="shared" si="161"/>
        <v/>
      </c>
    </row>
    <row r="296" spans="2:73" ht="15">
      <c r="B296" s="16">
        <f t="shared" si="162"/>
        <v>45145</v>
      </c>
      <c r="C296" s="15" t="s">
        <v>1</v>
      </c>
      <c r="D296" s="17">
        <f t="shared" si="163"/>
        <v>45151</v>
      </c>
      <c r="E296" s="18">
        <f t="shared" si="164"/>
        <v>8</v>
      </c>
      <c r="F296" s="19">
        <f t="shared" si="165"/>
        <v>2023</v>
      </c>
      <c r="G296" s="9">
        <f t="shared" si="184"/>
        <v>17</v>
      </c>
      <c r="H296" s="8">
        <f t="shared" si="184"/>
        <v>95</v>
      </c>
      <c r="I296" s="9"/>
      <c r="J296" s="9"/>
      <c r="K296" s="9"/>
      <c r="L296" s="9"/>
      <c r="M296" s="9"/>
      <c r="N296" s="9"/>
      <c r="O296" s="12"/>
      <c r="P296" s="12"/>
      <c r="Q296" s="12"/>
      <c r="R296" s="12">
        <v>1</v>
      </c>
      <c r="S296" s="12"/>
      <c r="T296" s="12"/>
      <c r="V296" s="20">
        <f t="shared" si="153"/>
        <v>6</v>
      </c>
      <c r="W296" s="20">
        <f t="shared" si="154"/>
        <v>11</v>
      </c>
      <c r="X296" s="20">
        <f t="shared" si="155"/>
        <v>16</v>
      </c>
      <c r="Y296" s="20">
        <f t="shared" si="156"/>
        <v>45147</v>
      </c>
      <c r="Z296" s="20">
        <f t="shared" si="157"/>
        <v>0</v>
      </c>
      <c r="AA296" s="20">
        <f t="shared" si="158"/>
        <v>0</v>
      </c>
      <c r="AC296" s="3">
        <f t="shared" si="168"/>
        <v>79</v>
      </c>
      <c r="AD296" s="3">
        <f t="shared" si="169"/>
        <v>74</v>
      </c>
      <c r="AE296" s="3">
        <f t="shared" si="170"/>
        <v>69</v>
      </c>
      <c r="AF296" s="3">
        <f t="shared" si="171"/>
        <v>63</v>
      </c>
      <c r="AG296" s="3">
        <f t="shared" si="172"/>
        <v>58</v>
      </c>
      <c r="AH296" s="3">
        <f t="shared" si="173"/>
        <v>53</v>
      </c>
      <c r="AI296" s="3">
        <f t="shared" si="174"/>
        <v>48</v>
      </c>
      <c r="AJ296" s="3">
        <f t="shared" si="175"/>
        <v>42</v>
      </c>
      <c r="AK296" s="3">
        <f t="shared" si="176"/>
        <v>37</v>
      </c>
      <c r="AL296" s="3">
        <f t="shared" si="177"/>
        <v>32</v>
      </c>
      <c r="AM296" s="3">
        <f t="shared" si="178"/>
        <v>27</v>
      </c>
      <c r="AN296" s="3">
        <f t="shared" si="179"/>
        <v>21</v>
      </c>
      <c r="AO296" s="3">
        <f t="shared" si="180"/>
        <v>0</v>
      </c>
      <c r="AP296" s="3">
        <f t="shared" si="181"/>
        <v>0</v>
      </c>
      <c r="AQ296" s="3">
        <f t="shared" si="182"/>
        <v>91</v>
      </c>
      <c r="AR296" s="3">
        <f t="shared" si="183"/>
        <v>84</v>
      </c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M296" s="35" t="s">
        <v>12</v>
      </c>
      <c r="BO296" s="35"/>
      <c r="BR296" s="9">
        <f t="shared" si="159"/>
        <v>4</v>
      </c>
      <c r="BS296" s="37">
        <f t="shared" si="160"/>
        <v>45147</v>
      </c>
      <c r="BT296" s="38">
        <f t="shared" si="151"/>
        <v>45266</v>
      </c>
      <c r="BU296" s="36">
        <f t="shared" si="161"/>
        <v>16</v>
      </c>
    </row>
    <row r="297" spans="2:73" ht="15">
      <c r="B297" s="16">
        <f t="shared" si="162"/>
        <v>45152</v>
      </c>
      <c r="C297" s="15" t="s">
        <v>1</v>
      </c>
      <c r="D297" s="17">
        <f t="shared" si="163"/>
        <v>45158</v>
      </c>
      <c r="E297" s="18">
        <f t="shared" si="164"/>
        <v>8</v>
      </c>
      <c r="F297" s="19">
        <f t="shared" si="165"/>
        <v>2023</v>
      </c>
      <c r="G297" s="9">
        <f t="shared" si="184"/>
        <v>17</v>
      </c>
      <c r="H297" s="8">
        <f t="shared" si="184"/>
        <v>95</v>
      </c>
      <c r="I297" s="9"/>
      <c r="J297" s="9"/>
      <c r="K297" s="9"/>
      <c r="L297" s="9"/>
      <c r="M297" s="9"/>
      <c r="N297" s="9"/>
      <c r="O297" s="12"/>
      <c r="P297" s="12"/>
      <c r="Q297" s="12"/>
      <c r="R297" s="12"/>
      <c r="S297" s="12"/>
      <c r="T297" s="12"/>
      <c r="V297" s="20">
        <f t="shared" si="153"/>
        <v>7</v>
      </c>
      <c r="W297" s="20">
        <f t="shared" si="154"/>
        <v>12</v>
      </c>
      <c r="X297" s="20">
        <f t="shared" si="155"/>
        <v>17</v>
      </c>
      <c r="Y297" s="20">
        <f t="shared" si="156"/>
        <v>1</v>
      </c>
      <c r="Z297" s="20">
        <f t="shared" si="157"/>
        <v>0</v>
      </c>
      <c r="AA297" s="20">
        <f t="shared" si="158"/>
        <v>0</v>
      </c>
      <c r="AC297" s="3">
        <f t="shared" si="168"/>
        <v>80</v>
      </c>
      <c r="AD297" s="3">
        <f t="shared" si="169"/>
        <v>75</v>
      </c>
      <c r="AE297" s="3">
        <f t="shared" si="170"/>
        <v>70</v>
      </c>
      <c r="AF297" s="3">
        <f t="shared" si="171"/>
        <v>64</v>
      </c>
      <c r="AG297" s="3">
        <f t="shared" si="172"/>
        <v>59</v>
      </c>
      <c r="AH297" s="3">
        <f t="shared" si="173"/>
        <v>54</v>
      </c>
      <c r="AI297" s="3">
        <f t="shared" si="174"/>
        <v>49</v>
      </c>
      <c r="AJ297" s="3">
        <f t="shared" si="175"/>
        <v>43</v>
      </c>
      <c r="AK297" s="3">
        <f t="shared" si="176"/>
        <v>38</v>
      </c>
      <c r="AL297" s="3">
        <f t="shared" si="177"/>
        <v>33</v>
      </c>
      <c r="AM297" s="3">
        <f t="shared" si="178"/>
        <v>28</v>
      </c>
      <c r="AN297" s="3">
        <f t="shared" si="179"/>
        <v>22</v>
      </c>
      <c r="AO297" s="3">
        <f t="shared" si="180"/>
        <v>17</v>
      </c>
      <c r="AP297" s="3">
        <f t="shared" si="181"/>
        <v>0</v>
      </c>
      <c r="AQ297" s="3">
        <f t="shared" si="182"/>
        <v>92</v>
      </c>
      <c r="AR297" s="3">
        <f t="shared" si="183"/>
        <v>85</v>
      </c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>
        <v>3</v>
      </c>
      <c r="BF297" s="8"/>
      <c r="BG297" s="8"/>
      <c r="BH297" s="8"/>
      <c r="BM297" s="35" t="s">
        <v>12</v>
      </c>
      <c r="BO297" s="35"/>
      <c r="BR297" s="9" t="str">
        <f t="shared" si="159"/>
        <v/>
      </c>
      <c r="BS297" s="37" t="str">
        <f t="shared" si="160"/>
        <v/>
      </c>
      <c r="BT297" s="38" t="str">
        <f t="shared" si="151"/>
        <v/>
      </c>
      <c r="BU297" s="36" t="str">
        <f t="shared" si="161"/>
        <v/>
      </c>
    </row>
    <row r="298" spans="2:73" ht="15">
      <c r="B298" s="16">
        <f t="shared" si="162"/>
        <v>45159</v>
      </c>
      <c r="C298" s="15" t="s">
        <v>1</v>
      </c>
      <c r="D298" s="17">
        <f t="shared" si="163"/>
        <v>45165</v>
      </c>
      <c r="E298" s="18">
        <f t="shared" si="164"/>
        <v>8</v>
      </c>
      <c r="F298" s="19">
        <f t="shared" si="165"/>
        <v>2023</v>
      </c>
      <c r="G298" s="9">
        <f t="shared" si="184"/>
        <v>17</v>
      </c>
      <c r="H298" s="8">
        <f t="shared" si="184"/>
        <v>95</v>
      </c>
      <c r="I298" s="9"/>
      <c r="J298" s="9"/>
      <c r="K298" s="9"/>
      <c r="L298" s="9"/>
      <c r="M298" s="9"/>
      <c r="N298" s="9"/>
      <c r="O298" s="12"/>
      <c r="P298" s="12"/>
      <c r="Q298" s="12"/>
      <c r="R298" s="12"/>
      <c r="S298" s="12"/>
      <c r="T298" s="12"/>
      <c r="V298" s="20">
        <f t="shared" si="153"/>
        <v>8</v>
      </c>
      <c r="W298" s="20">
        <f t="shared" si="154"/>
        <v>13</v>
      </c>
      <c r="X298" s="20">
        <f t="shared" si="155"/>
        <v>0</v>
      </c>
      <c r="Y298" s="20">
        <f t="shared" si="156"/>
        <v>2</v>
      </c>
      <c r="Z298" s="20">
        <f t="shared" si="157"/>
        <v>0</v>
      </c>
      <c r="AA298" s="20">
        <f t="shared" si="158"/>
        <v>0</v>
      </c>
      <c r="AC298" s="3">
        <f t="shared" si="168"/>
        <v>81</v>
      </c>
      <c r="AD298" s="3">
        <f t="shared" si="169"/>
        <v>76</v>
      </c>
      <c r="AE298" s="3">
        <f t="shared" si="170"/>
        <v>71</v>
      </c>
      <c r="AF298" s="3">
        <f t="shared" si="171"/>
        <v>65</v>
      </c>
      <c r="AG298" s="3">
        <f t="shared" si="172"/>
        <v>60</v>
      </c>
      <c r="AH298" s="3">
        <f t="shared" si="173"/>
        <v>55</v>
      </c>
      <c r="AI298" s="3">
        <f t="shared" si="174"/>
        <v>50</v>
      </c>
      <c r="AJ298" s="3">
        <f t="shared" si="175"/>
        <v>44</v>
      </c>
      <c r="AK298" s="3">
        <f t="shared" si="176"/>
        <v>39</v>
      </c>
      <c r="AL298" s="3">
        <f t="shared" si="177"/>
        <v>34</v>
      </c>
      <c r="AM298" s="3">
        <f t="shared" si="178"/>
        <v>29</v>
      </c>
      <c r="AN298" s="3">
        <f t="shared" si="179"/>
        <v>23</v>
      </c>
      <c r="AO298" s="3">
        <f t="shared" si="180"/>
        <v>18</v>
      </c>
      <c r="AP298" s="3">
        <f t="shared" si="181"/>
        <v>0</v>
      </c>
      <c r="AQ298" s="3">
        <f t="shared" si="182"/>
        <v>93</v>
      </c>
      <c r="AR298" s="3">
        <f t="shared" si="183"/>
        <v>86</v>
      </c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M298" s="35" t="s">
        <v>12</v>
      </c>
      <c r="BO298" s="35"/>
      <c r="BR298" s="9" t="str">
        <f t="shared" si="159"/>
        <v/>
      </c>
      <c r="BS298" s="37" t="str">
        <f t="shared" si="160"/>
        <v/>
      </c>
      <c r="BT298" s="38" t="str">
        <f t="shared" ref="BT298:BT361" si="185">IF(BS298="","",BS298+(17*7))</f>
        <v/>
      </c>
      <c r="BU298" s="36" t="str">
        <f t="shared" si="161"/>
        <v/>
      </c>
    </row>
    <row r="299" spans="2:73" ht="15">
      <c r="B299" s="16">
        <f t="shared" si="162"/>
        <v>45166</v>
      </c>
      <c r="C299" s="15" t="s">
        <v>1</v>
      </c>
      <c r="D299" s="17">
        <f t="shared" si="163"/>
        <v>45172</v>
      </c>
      <c r="E299" s="18">
        <f t="shared" si="164"/>
        <v>8</v>
      </c>
      <c r="F299" s="19">
        <f t="shared" si="165"/>
        <v>2023</v>
      </c>
      <c r="G299" s="9">
        <f t="shared" si="184"/>
        <v>17</v>
      </c>
      <c r="H299" s="8">
        <f t="shared" si="184"/>
        <v>95</v>
      </c>
      <c r="I299" s="9"/>
      <c r="J299" s="9"/>
      <c r="K299" s="9"/>
      <c r="L299" s="9"/>
      <c r="M299" s="9"/>
      <c r="N299" s="9"/>
      <c r="O299" s="12"/>
      <c r="P299" s="12"/>
      <c r="Q299" s="12"/>
      <c r="R299" s="12"/>
      <c r="S299" s="12"/>
      <c r="T299" s="12"/>
      <c r="V299" s="20">
        <f t="shared" si="153"/>
        <v>9</v>
      </c>
      <c r="W299" s="20">
        <f t="shared" si="154"/>
        <v>14</v>
      </c>
      <c r="X299" s="20">
        <f t="shared" si="155"/>
        <v>0</v>
      </c>
      <c r="Y299" s="20">
        <f t="shared" si="156"/>
        <v>3</v>
      </c>
      <c r="Z299" s="20">
        <f t="shared" si="157"/>
        <v>0</v>
      </c>
      <c r="AA299" s="20">
        <f t="shared" si="158"/>
        <v>0</v>
      </c>
      <c r="AC299" s="3">
        <f t="shared" si="168"/>
        <v>82</v>
      </c>
      <c r="AD299" s="3">
        <f t="shared" si="169"/>
        <v>77</v>
      </c>
      <c r="AE299" s="3">
        <f t="shared" si="170"/>
        <v>72</v>
      </c>
      <c r="AF299" s="3">
        <f t="shared" si="171"/>
        <v>66</v>
      </c>
      <c r="AG299" s="3">
        <f t="shared" si="172"/>
        <v>61</v>
      </c>
      <c r="AH299" s="3">
        <f t="shared" si="173"/>
        <v>56</v>
      </c>
      <c r="AI299" s="3">
        <f t="shared" si="174"/>
        <v>51</v>
      </c>
      <c r="AJ299" s="3">
        <f t="shared" si="175"/>
        <v>45</v>
      </c>
      <c r="AK299" s="3">
        <f t="shared" si="176"/>
        <v>40</v>
      </c>
      <c r="AL299" s="3">
        <f t="shared" si="177"/>
        <v>35</v>
      </c>
      <c r="AM299" s="3">
        <f t="shared" si="178"/>
        <v>30</v>
      </c>
      <c r="AN299" s="3">
        <f t="shared" si="179"/>
        <v>24</v>
      </c>
      <c r="AO299" s="3">
        <f t="shared" si="180"/>
        <v>19</v>
      </c>
      <c r="AP299" s="3">
        <f t="shared" si="181"/>
        <v>0</v>
      </c>
      <c r="AQ299" s="3">
        <f t="shared" si="182"/>
        <v>94</v>
      </c>
      <c r="AR299" s="3">
        <f t="shared" si="183"/>
        <v>87</v>
      </c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M299" s="35" t="s">
        <v>12</v>
      </c>
      <c r="BO299" s="35"/>
      <c r="BR299" s="9" t="str">
        <f t="shared" si="159"/>
        <v/>
      </c>
      <c r="BS299" s="37" t="str">
        <f t="shared" si="160"/>
        <v/>
      </c>
      <c r="BT299" s="38" t="str">
        <f t="shared" si="185"/>
        <v/>
      </c>
      <c r="BU299" s="36" t="str">
        <f t="shared" si="161"/>
        <v/>
      </c>
    </row>
    <row r="300" spans="2:73" ht="15">
      <c r="B300" s="16">
        <f t="shared" si="162"/>
        <v>45173</v>
      </c>
      <c r="C300" s="15" t="s">
        <v>1</v>
      </c>
      <c r="D300" s="17">
        <f t="shared" si="163"/>
        <v>45179</v>
      </c>
      <c r="E300" s="18">
        <f t="shared" si="164"/>
        <v>9</v>
      </c>
      <c r="F300" s="19">
        <f t="shared" si="165"/>
        <v>2023</v>
      </c>
      <c r="G300" s="9">
        <f t="shared" si="184"/>
        <v>17</v>
      </c>
      <c r="H300" s="8">
        <f t="shared" si="184"/>
        <v>95</v>
      </c>
      <c r="I300" s="9"/>
      <c r="J300" s="9"/>
      <c r="K300" s="9"/>
      <c r="L300" s="9"/>
      <c r="M300" s="9"/>
      <c r="N300" s="9"/>
      <c r="O300" s="12"/>
      <c r="P300" s="12"/>
      <c r="Q300" s="12"/>
      <c r="R300" s="12"/>
      <c r="S300" s="12"/>
      <c r="T300" s="12"/>
      <c r="V300" s="20">
        <f t="shared" si="153"/>
        <v>10</v>
      </c>
      <c r="W300" s="20">
        <f t="shared" si="154"/>
        <v>15</v>
      </c>
      <c r="X300" s="20">
        <f t="shared" si="155"/>
        <v>0</v>
      </c>
      <c r="Y300" s="20">
        <f t="shared" si="156"/>
        <v>4</v>
      </c>
      <c r="Z300" s="20">
        <f t="shared" si="157"/>
        <v>0</v>
      </c>
      <c r="AA300" s="20">
        <f t="shared" si="158"/>
        <v>0</v>
      </c>
      <c r="AC300" s="3">
        <f t="shared" si="168"/>
        <v>83</v>
      </c>
      <c r="AD300" s="3">
        <f t="shared" si="169"/>
        <v>78</v>
      </c>
      <c r="AE300" s="3">
        <f t="shared" si="170"/>
        <v>73</v>
      </c>
      <c r="AF300" s="3">
        <f t="shared" si="171"/>
        <v>67</v>
      </c>
      <c r="AG300" s="3">
        <f t="shared" si="172"/>
        <v>62</v>
      </c>
      <c r="AH300" s="3">
        <f t="shared" si="173"/>
        <v>57</v>
      </c>
      <c r="AI300" s="3">
        <f t="shared" si="174"/>
        <v>52</v>
      </c>
      <c r="AJ300" s="3">
        <f t="shared" si="175"/>
        <v>46</v>
      </c>
      <c r="AK300" s="3">
        <f t="shared" si="176"/>
        <v>41</v>
      </c>
      <c r="AL300" s="3">
        <f t="shared" si="177"/>
        <v>36</v>
      </c>
      <c r="AM300" s="3">
        <f t="shared" si="178"/>
        <v>31</v>
      </c>
      <c r="AN300" s="3">
        <f t="shared" si="179"/>
        <v>25</v>
      </c>
      <c r="AO300" s="3">
        <f t="shared" si="180"/>
        <v>20</v>
      </c>
      <c r="AP300" s="3">
        <f t="shared" si="181"/>
        <v>0</v>
      </c>
      <c r="AQ300" s="3">
        <f t="shared" si="182"/>
        <v>95</v>
      </c>
      <c r="AR300" s="3">
        <f t="shared" si="183"/>
        <v>88</v>
      </c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M300" s="35" t="s">
        <v>12</v>
      </c>
      <c r="BO300" s="35"/>
      <c r="BR300" s="9" t="str">
        <f t="shared" si="159"/>
        <v/>
      </c>
      <c r="BS300" s="37" t="str">
        <f t="shared" si="160"/>
        <v/>
      </c>
      <c r="BT300" s="38" t="str">
        <f t="shared" si="185"/>
        <v/>
      </c>
      <c r="BU300" s="36" t="str">
        <f t="shared" si="161"/>
        <v/>
      </c>
    </row>
    <row r="301" spans="2:73" ht="15">
      <c r="B301" s="16">
        <f t="shared" si="162"/>
        <v>45180</v>
      </c>
      <c r="C301" s="15" t="s">
        <v>1</v>
      </c>
      <c r="D301" s="17">
        <f t="shared" si="163"/>
        <v>45186</v>
      </c>
      <c r="E301" s="18">
        <f t="shared" si="164"/>
        <v>9</v>
      </c>
      <c r="F301" s="19">
        <f t="shared" si="165"/>
        <v>2023</v>
      </c>
      <c r="G301" s="9">
        <f t="shared" si="184"/>
        <v>17</v>
      </c>
      <c r="H301" s="8">
        <f t="shared" si="184"/>
        <v>95</v>
      </c>
      <c r="I301" s="9"/>
      <c r="J301" s="9"/>
      <c r="K301" s="9"/>
      <c r="L301" s="9"/>
      <c r="M301" s="9"/>
      <c r="N301" s="9"/>
      <c r="O301" s="12"/>
      <c r="P301" s="12"/>
      <c r="Q301" s="12">
        <v>1</v>
      </c>
      <c r="R301" s="12"/>
      <c r="S301" s="12"/>
      <c r="T301" s="12"/>
      <c r="V301" s="20">
        <f t="shared" si="153"/>
        <v>11</v>
      </c>
      <c r="W301" s="20">
        <f t="shared" si="154"/>
        <v>16</v>
      </c>
      <c r="X301" s="20">
        <f t="shared" si="155"/>
        <v>45182</v>
      </c>
      <c r="Y301" s="20">
        <f t="shared" si="156"/>
        <v>5</v>
      </c>
      <c r="Z301" s="20">
        <f t="shared" si="157"/>
        <v>0</v>
      </c>
      <c r="AA301" s="20">
        <f t="shared" si="158"/>
        <v>0</v>
      </c>
      <c r="AC301" s="3">
        <f t="shared" si="168"/>
        <v>84</v>
      </c>
      <c r="AD301" s="3">
        <f t="shared" si="169"/>
        <v>79</v>
      </c>
      <c r="AE301" s="3">
        <f t="shared" si="170"/>
        <v>74</v>
      </c>
      <c r="AF301" s="3">
        <f t="shared" si="171"/>
        <v>68</v>
      </c>
      <c r="AG301" s="3">
        <f t="shared" si="172"/>
        <v>63</v>
      </c>
      <c r="AH301" s="3">
        <f t="shared" si="173"/>
        <v>58</v>
      </c>
      <c r="AI301" s="3">
        <f t="shared" si="174"/>
        <v>53</v>
      </c>
      <c r="AJ301" s="3">
        <f t="shared" si="175"/>
        <v>47</v>
      </c>
      <c r="AK301" s="3">
        <f t="shared" si="176"/>
        <v>42</v>
      </c>
      <c r="AL301" s="3">
        <f t="shared" si="177"/>
        <v>37</v>
      </c>
      <c r="AM301" s="3">
        <f t="shared" si="178"/>
        <v>32</v>
      </c>
      <c r="AN301" s="3">
        <f t="shared" si="179"/>
        <v>26</v>
      </c>
      <c r="AO301" s="3">
        <f t="shared" si="180"/>
        <v>21</v>
      </c>
      <c r="AP301" s="3">
        <f t="shared" si="181"/>
        <v>0</v>
      </c>
      <c r="AQ301" s="3">
        <f t="shared" si="182"/>
        <v>0</v>
      </c>
      <c r="AR301" s="3">
        <f t="shared" si="183"/>
        <v>89</v>
      </c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M301" s="35" t="s">
        <v>12</v>
      </c>
      <c r="BO301" s="35"/>
      <c r="BR301" s="9">
        <f t="shared" si="159"/>
        <v>3</v>
      </c>
      <c r="BS301" s="37">
        <f t="shared" si="160"/>
        <v>45182</v>
      </c>
      <c r="BT301" s="38">
        <f t="shared" si="185"/>
        <v>45301</v>
      </c>
      <c r="BU301" s="36">
        <f t="shared" si="161"/>
        <v>9</v>
      </c>
    </row>
    <row r="302" spans="2:73" ht="15">
      <c r="B302" s="16">
        <f t="shared" si="162"/>
        <v>45187</v>
      </c>
      <c r="C302" s="15" t="s">
        <v>1</v>
      </c>
      <c r="D302" s="17">
        <f t="shared" si="163"/>
        <v>45193</v>
      </c>
      <c r="E302" s="18">
        <f t="shared" si="164"/>
        <v>9</v>
      </c>
      <c r="F302" s="19">
        <f t="shared" si="165"/>
        <v>2023</v>
      </c>
      <c r="G302" s="9">
        <f t="shared" si="184"/>
        <v>17</v>
      </c>
      <c r="H302" s="8">
        <f t="shared" si="184"/>
        <v>95</v>
      </c>
      <c r="I302" s="9"/>
      <c r="J302" s="9"/>
      <c r="K302" s="9"/>
      <c r="L302" s="9"/>
      <c r="M302" s="9"/>
      <c r="N302" s="9"/>
      <c r="O302" s="12"/>
      <c r="P302" s="12"/>
      <c r="Q302" s="12"/>
      <c r="R302" s="12"/>
      <c r="S302" s="12"/>
      <c r="T302" s="12"/>
      <c r="V302" s="20">
        <f t="shared" si="153"/>
        <v>12</v>
      </c>
      <c r="W302" s="20">
        <f t="shared" si="154"/>
        <v>17</v>
      </c>
      <c r="X302" s="20">
        <f t="shared" si="155"/>
        <v>1</v>
      </c>
      <c r="Y302" s="20">
        <f t="shared" si="156"/>
        <v>6</v>
      </c>
      <c r="Z302" s="20">
        <f t="shared" si="157"/>
        <v>0</v>
      </c>
      <c r="AA302" s="20">
        <f t="shared" si="158"/>
        <v>0</v>
      </c>
      <c r="AC302" s="3">
        <f t="shared" si="168"/>
        <v>85</v>
      </c>
      <c r="AD302" s="3">
        <f t="shared" si="169"/>
        <v>80</v>
      </c>
      <c r="AE302" s="3">
        <f t="shared" si="170"/>
        <v>75</v>
      </c>
      <c r="AF302" s="3">
        <f t="shared" si="171"/>
        <v>69</v>
      </c>
      <c r="AG302" s="3">
        <f t="shared" si="172"/>
        <v>64</v>
      </c>
      <c r="AH302" s="3">
        <f t="shared" si="173"/>
        <v>59</v>
      </c>
      <c r="AI302" s="3">
        <f t="shared" si="174"/>
        <v>54</v>
      </c>
      <c r="AJ302" s="3">
        <f t="shared" si="175"/>
        <v>48</v>
      </c>
      <c r="AK302" s="3">
        <f t="shared" si="176"/>
        <v>43</v>
      </c>
      <c r="AL302" s="3">
        <f t="shared" si="177"/>
        <v>38</v>
      </c>
      <c r="AM302" s="3">
        <f t="shared" si="178"/>
        <v>33</v>
      </c>
      <c r="AN302" s="3">
        <f t="shared" si="179"/>
        <v>27</v>
      </c>
      <c r="AO302" s="3">
        <f t="shared" si="180"/>
        <v>22</v>
      </c>
      <c r="AP302" s="3">
        <f t="shared" si="181"/>
        <v>17</v>
      </c>
      <c r="AQ302" s="3">
        <f t="shared" si="182"/>
        <v>0</v>
      </c>
      <c r="AR302" s="3">
        <f t="shared" si="183"/>
        <v>90</v>
      </c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>
        <v>2</v>
      </c>
      <c r="BG302" s="8"/>
      <c r="BH302" s="8"/>
      <c r="BM302" s="35" t="s">
        <v>12</v>
      </c>
      <c r="BO302" s="35"/>
      <c r="BR302" s="9" t="str">
        <f t="shared" si="159"/>
        <v/>
      </c>
      <c r="BS302" s="37" t="str">
        <f t="shared" si="160"/>
        <v/>
      </c>
      <c r="BT302" s="38" t="str">
        <f t="shared" si="185"/>
        <v/>
      </c>
      <c r="BU302" s="36" t="str">
        <f t="shared" si="161"/>
        <v/>
      </c>
    </row>
    <row r="303" spans="2:73" ht="15">
      <c r="B303" s="16">
        <f t="shared" si="162"/>
        <v>45194</v>
      </c>
      <c r="C303" s="15" t="s">
        <v>1</v>
      </c>
      <c r="D303" s="17">
        <f t="shared" si="163"/>
        <v>45200</v>
      </c>
      <c r="E303" s="18">
        <f t="shared" si="164"/>
        <v>9</v>
      </c>
      <c r="F303" s="19">
        <f t="shared" si="165"/>
        <v>2023</v>
      </c>
      <c r="G303" s="9">
        <f t="shared" si="184"/>
        <v>17</v>
      </c>
      <c r="H303" s="8">
        <f t="shared" si="184"/>
        <v>95</v>
      </c>
      <c r="I303" s="9"/>
      <c r="J303" s="9"/>
      <c r="K303" s="9"/>
      <c r="L303" s="9"/>
      <c r="M303" s="9"/>
      <c r="N303" s="9"/>
      <c r="O303" s="12"/>
      <c r="P303" s="12"/>
      <c r="Q303" s="12"/>
      <c r="R303" s="12"/>
      <c r="S303" s="12"/>
      <c r="T303" s="12"/>
      <c r="V303" s="20">
        <f t="shared" si="153"/>
        <v>13</v>
      </c>
      <c r="W303" s="20">
        <f t="shared" si="154"/>
        <v>0</v>
      </c>
      <c r="X303" s="20">
        <f t="shared" si="155"/>
        <v>2</v>
      </c>
      <c r="Y303" s="20">
        <f t="shared" si="156"/>
        <v>7</v>
      </c>
      <c r="Z303" s="20">
        <f t="shared" si="157"/>
        <v>0</v>
      </c>
      <c r="AA303" s="20">
        <f t="shared" si="158"/>
        <v>0</v>
      </c>
      <c r="AC303" s="3">
        <f t="shared" si="168"/>
        <v>86</v>
      </c>
      <c r="AD303" s="3">
        <f t="shared" si="169"/>
        <v>81</v>
      </c>
      <c r="AE303" s="3">
        <f t="shared" si="170"/>
        <v>76</v>
      </c>
      <c r="AF303" s="3">
        <f t="shared" si="171"/>
        <v>70</v>
      </c>
      <c r="AG303" s="3">
        <f t="shared" si="172"/>
        <v>65</v>
      </c>
      <c r="AH303" s="3">
        <f t="shared" si="173"/>
        <v>60</v>
      </c>
      <c r="AI303" s="3">
        <f t="shared" si="174"/>
        <v>55</v>
      </c>
      <c r="AJ303" s="3">
        <f t="shared" si="175"/>
        <v>49</v>
      </c>
      <c r="AK303" s="3">
        <f t="shared" si="176"/>
        <v>44</v>
      </c>
      <c r="AL303" s="3">
        <f t="shared" si="177"/>
        <v>39</v>
      </c>
      <c r="AM303" s="3">
        <f t="shared" si="178"/>
        <v>34</v>
      </c>
      <c r="AN303" s="3">
        <f t="shared" si="179"/>
        <v>28</v>
      </c>
      <c r="AO303" s="3">
        <f t="shared" si="180"/>
        <v>23</v>
      </c>
      <c r="AP303" s="3">
        <f t="shared" si="181"/>
        <v>18</v>
      </c>
      <c r="AQ303" s="3">
        <f t="shared" si="182"/>
        <v>0</v>
      </c>
      <c r="AR303" s="3">
        <f t="shared" si="183"/>
        <v>91</v>
      </c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M303" s="35" t="s">
        <v>12</v>
      </c>
      <c r="BO303" s="35"/>
      <c r="BR303" s="9" t="str">
        <f t="shared" si="159"/>
        <v/>
      </c>
      <c r="BS303" s="37" t="str">
        <f t="shared" si="160"/>
        <v/>
      </c>
      <c r="BT303" s="38" t="str">
        <f t="shared" si="185"/>
        <v/>
      </c>
      <c r="BU303" s="36" t="str">
        <f t="shared" si="161"/>
        <v/>
      </c>
    </row>
    <row r="304" spans="2:73" ht="15">
      <c r="B304" s="16">
        <f t="shared" si="162"/>
        <v>45201</v>
      </c>
      <c r="C304" s="15" t="s">
        <v>1</v>
      </c>
      <c r="D304" s="17">
        <f t="shared" si="163"/>
        <v>45207</v>
      </c>
      <c r="E304" s="18">
        <f t="shared" si="164"/>
        <v>10</v>
      </c>
      <c r="F304" s="19">
        <f t="shared" si="165"/>
        <v>2023</v>
      </c>
      <c r="G304" s="9">
        <f t="shared" si="184"/>
        <v>17</v>
      </c>
      <c r="H304" s="8">
        <f t="shared" si="184"/>
        <v>95</v>
      </c>
      <c r="I304" s="9"/>
      <c r="J304" s="9"/>
      <c r="K304" s="9"/>
      <c r="L304" s="9"/>
      <c r="M304" s="9"/>
      <c r="N304" s="9"/>
      <c r="O304" s="12"/>
      <c r="P304" s="12"/>
      <c r="Q304" s="12"/>
      <c r="R304" s="12"/>
      <c r="S304" s="12"/>
      <c r="T304" s="12"/>
      <c r="V304" s="20">
        <f t="shared" si="153"/>
        <v>14</v>
      </c>
      <c r="W304" s="20">
        <f t="shared" si="154"/>
        <v>0</v>
      </c>
      <c r="X304" s="20">
        <f t="shared" si="155"/>
        <v>3</v>
      </c>
      <c r="Y304" s="20">
        <f t="shared" si="156"/>
        <v>8</v>
      </c>
      <c r="Z304" s="20">
        <f t="shared" si="157"/>
        <v>0</v>
      </c>
      <c r="AA304" s="20">
        <f t="shared" si="158"/>
        <v>0</v>
      </c>
      <c r="AC304" s="3">
        <f t="shared" si="168"/>
        <v>87</v>
      </c>
      <c r="AD304" s="3">
        <f t="shared" si="169"/>
        <v>82</v>
      </c>
      <c r="AE304" s="3">
        <f t="shared" si="170"/>
        <v>77</v>
      </c>
      <c r="AF304" s="3">
        <f t="shared" si="171"/>
        <v>71</v>
      </c>
      <c r="AG304" s="3">
        <f t="shared" si="172"/>
        <v>66</v>
      </c>
      <c r="AH304" s="3">
        <f t="shared" si="173"/>
        <v>61</v>
      </c>
      <c r="AI304" s="3">
        <f t="shared" si="174"/>
        <v>56</v>
      </c>
      <c r="AJ304" s="3">
        <f t="shared" si="175"/>
        <v>50</v>
      </c>
      <c r="AK304" s="3">
        <f t="shared" si="176"/>
        <v>45</v>
      </c>
      <c r="AL304" s="3">
        <f t="shared" si="177"/>
        <v>40</v>
      </c>
      <c r="AM304" s="3">
        <f t="shared" si="178"/>
        <v>35</v>
      </c>
      <c r="AN304" s="3">
        <f t="shared" si="179"/>
        <v>29</v>
      </c>
      <c r="AO304" s="3">
        <f t="shared" si="180"/>
        <v>24</v>
      </c>
      <c r="AP304" s="3">
        <f t="shared" si="181"/>
        <v>19</v>
      </c>
      <c r="AQ304" s="3">
        <f t="shared" si="182"/>
        <v>0</v>
      </c>
      <c r="AR304" s="3">
        <f t="shared" si="183"/>
        <v>92</v>
      </c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M304" s="35" t="s">
        <v>12</v>
      </c>
      <c r="BO304" s="35"/>
      <c r="BR304" s="9" t="str">
        <f t="shared" si="159"/>
        <v/>
      </c>
      <c r="BS304" s="37" t="str">
        <f t="shared" si="160"/>
        <v/>
      </c>
      <c r="BT304" s="38" t="str">
        <f t="shared" si="185"/>
        <v/>
      </c>
      <c r="BU304" s="36" t="str">
        <f t="shared" si="161"/>
        <v/>
      </c>
    </row>
    <row r="305" spans="2:73" ht="15">
      <c r="B305" s="16">
        <f t="shared" si="162"/>
        <v>45208</v>
      </c>
      <c r="C305" s="15" t="s">
        <v>1</v>
      </c>
      <c r="D305" s="17">
        <f t="shared" si="163"/>
        <v>45214</v>
      </c>
      <c r="E305" s="18">
        <f t="shared" si="164"/>
        <v>10</v>
      </c>
      <c r="F305" s="19">
        <f t="shared" si="165"/>
        <v>2023</v>
      </c>
      <c r="G305" s="9">
        <f t="shared" si="184"/>
        <v>17</v>
      </c>
      <c r="H305" s="8">
        <f t="shared" si="184"/>
        <v>95</v>
      </c>
      <c r="I305" s="9"/>
      <c r="J305" s="9"/>
      <c r="K305" s="9"/>
      <c r="L305" s="9"/>
      <c r="M305" s="9"/>
      <c r="N305" s="9"/>
      <c r="O305" s="12"/>
      <c r="P305" s="12"/>
      <c r="Q305" s="12"/>
      <c r="R305" s="12"/>
      <c r="S305" s="12"/>
      <c r="T305" s="12"/>
      <c r="V305" s="20">
        <f t="shared" si="153"/>
        <v>15</v>
      </c>
      <c r="W305" s="20">
        <f t="shared" si="154"/>
        <v>0</v>
      </c>
      <c r="X305" s="20">
        <f t="shared" si="155"/>
        <v>4</v>
      </c>
      <c r="Y305" s="20">
        <f t="shared" si="156"/>
        <v>9</v>
      </c>
      <c r="Z305" s="20">
        <f t="shared" si="157"/>
        <v>0</v>
      </c>
      <c r="AA305" s="20">
        <f t="shared" si="158"/>
        <v>0</v>
      </c>
      <c r="AC305" s="3">
        <f t="shared" si="168"/>
        <v>88</v>
      </c>
      <c r="AD305" s="3">
        <f t="shared" si="169"/>
        <v>83</v>
      </c>
      <c r="AE305" s="3">
        <f t="shared" si="170"/>
        <v>78</v>
      </c>
      <c r="AF305" s="3">
        <f t="shared" si="171"/>
        <v>72</v>
      </c>
      <c r="AG305" s="3">
        <f t="shared" si="172"/>
        <v>67</v>
      </c>
      <c r="AH305" s="3">
        <f t="shared" si="173"/>
        <v>62</v>
      </c>
      <c r="AI305" s="3">
        <f t="shared" si="174"/>
        <v>57</v>
      </c>
      <c r="AJ305" s="3">
        <f t="shared" si="175"/>
        <v>51</v>
      </c>
      <c r="AK305" s="3">
        <f t="shared" si="176"/>
        <v>46</v>
      </c>
      <c r="AL305" s="3">
        <f t="shared" si="177"/>
        <v>41</v>
      </c>
      <c r="AM305" s="3">
        <f t="shared" si="178"/>
        <v>36</v>
      </c>
      <c r="AN305" s="3">
        <f t="shared" si="179"/>
        <v>30</v>
      </c>
      <c r="AO305" s="3">
        <f t="shared" si="180"/>
        <v>25</v>
      </c>
      <c r="AP305" s="3">
        <f t="shared" si="181"/>
        <v>20</v>
      </c>
      <c r="AQ305" s="3">
        <f t="shared" si="182"/>
        <v>0</v>
      </c>
      <c r="AR305" s="3">
        <f t="shared" si="183"/>
        <v>93</v>
      </c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M305" s="35" t="s">
        <v>12</v>
      </c>
      <c r="BO305" s="35"/>
      <c r="BR305" s="9" t="str">
        <f t="shared" si="159"/>
        <v/>
      </c>
      <c r="BS305" s="37" t="str">
        <f t="shared" si="160"/>
        <v/>
      </c>
      <c r="BT305" s="38" t="str">
        <f t="shared" si="185"/>
        <v/>
      </c>
      <c r="BU305" s="36" t="str">
        <f t="shared" si="161"/>
        <v/>
      </c>
    </row>
    <row r="306" spans="2:73" ht="15">
      <c r="B306" s="16">
        <f t="shared" si="162"/>
        <v>45215</v>
      </c>
      <c r="C306" s="15" t="s">
        <v>1</v>
      </c>
      <c r="D306" s="17">
        <f t="shared" si="163"/>
        <v>45221</v>
      </c>
      <c r="E306" s="18">
        <f t="shared" si="164"/>
        <v>10</v>
      </c>
      <c r="F306" s="19">
        <f t="shared" si="165"/>
        <v>2023</v>
      </c>
      <c r="G306" s="9">
        <f t="shared" si="184"/>
        <v>17</v>
      </c>
      <c r="H306" s="8">
        <f t="shared" si="184"/>
        <v>95</v>
      </c>
      <c r="I306" s="9"/>
      <c r="J306" s="9"/>
      <c r="K306" s="9"/>
      <c r="L306" s="9"/>
      <c r="M306" s="9"/>
      <c r="N306" s="9"/>
      <c r="O306" s="12"/>
      <c r="P306" s="12">
        <v>1</v>
      </c>
      <c r="Q306" s="12"/>
      <c r="R306" s="12"/>
      <c r="S306" s="12"/>
      <c r="T306" s="12"/>
      <c r="V306" s="20">
        <f t="shared" si="153"/>
        <v>16</v>
      </c>
      <c r="W306" s="20">
        <f t="shared" si="154"/>
        <v>45217</v>
      </c>
      <c r="X306" s="20">
        <f t="shared" si="155"/>
        <v>5</v>
      </c>
      <c r="Y306" s="20">
        <f t="shared" si="156"/>
        <v>10</v>
      </c>
      <c r="Z306" s="20">
        <f t="shared" si="157"/>
        <v>0</v>
      </c>
      <c r="AA306" s="20">
        <f t="shared" si="158"/>
        <v>0</v>
      </c>
      <c r="AC306" s="3">
        <f t="shared" si="168"/>
        <v>89</v>
      </c>
      <c r="AD306" s="3">
        <f t="shared" si="169"/>
        <v>84</v>
      </c>
      <c r="AE306" s="3">
        <f t="shared" si="170"/>
        <v>79</v>
      </c>
      <c r="AF306" s="3">
        <f t="shared" si="171"/>
        <v>73</v>
      </c>
      <c r="AG306" s="3">
        <f t="shared" si="172"/>
        <v>68</v>
      </c>
      <c r="AH306" s="3">
        <f t="shared" si="173"/>
        <v>63</v>
      </c>
      <c r="AI306" s="3">
        <f t="shared" si="174"/>
        <v>58</v>
      </c>
      <c r="AJ306" s="3">
        <f t="shared" si="175"/>
        <v>52</v>
      </c>
      <c r="AK306" s="3">
        <f t="shared" si="176"/>
        <v>47</v>
      </c>
      <c r="AL306" s="3">
        <f t="shared" si="177"/>
        <v>42</v>
      </c>
      <c r="AM306" s="3">
        <f t="shared" si="178"/>
        <v>37</v>
      </c>
      <c r="AN306" s="3">
        <f t="shared" si="179"/>
        <v>31</v>
      </c>
      <c r="AO306" s="3">
        <f t="shared" si="180"/>
        <v>26</v>
      </c>
      <c r="AP306" s="3">
        <f t="shared" si="181"/>
        <v>21</v>
      </c>
      <c r="AQ306" s="3">
        <f t="shared" si="182"/>
        <v>0</v>
      </c>
      <c r="AR306" s="3">
        <f t="shared" si="183"/>
        <v>94</v>
      </c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M306" s="35" t="s">
        <v>12</v>
      </c>
      <c r="BO306" s="35"/>
      <c r="BR306" s="9">
        <f t="shared" si="159"/>
        <v>2</v>
      </c>
      <c r="BS306" s="37">
        <f t="shared" si="160"/>
        <v>45217</v>
      </c>
      <c r="BT306" s="38">
        <f t="shared" si="185"/>
        <v>45336</v>
      </c>
      <c r="BU306" s="36">
        <f t="shared" si="161"/>
        <v>11</v>
      </c>
    </row>
    <row r="307" spans="2:73" ht="15">
      <c r="B307" s="16">
        <f t="shared" si="162"/>
        <v>45222</v>
      </c>
      <c r="C307" s="15" t="s">
        <v>1</v>
      </c>
      <c r="D307" s="17">
        <f t="shared" si="163"/>
        <v>45228</v>
      </c>
      <c r="E307" s="18">
        <f t="shared" si="164"/>
        <v>10</v>
      </c>
      <c r="F307" s="19">
        <f t="shared" si="165"/>
        <v>2023</v>
      </c>
      <c r="G307" s="9">
        <f t="shared" si="184"/>
        <v>17</v>
      </c>
      <c r="H307" s="8">
        <f t="shared" si="184"/>
        <v>95</v>
      </c>
      <c r="I307" s="9"/>
      <c r="J307" s="9"/>
      <c r="K307" s="9"/>
      <c r="L307" s="9"/>
      <c r="M307" s="9"/>
      <c r="N307" s="9"/>
      <c r="O307" s="12"/>
      <c r="P307" s="12"/>
      <c r="Q307" s="12"/>
      <c r="R307" s="12"/>
      <c r="S307" s="12"/>
      <c r="T307" s="12"/>
      <c r="V307" s="20">
        <f t="shared" si="153"/>
        <v>17</v>
      </c>
      <c r="W307" s="20">
        <f t="shared" si="154"/>
        <v>1</v>
      </c>
      <c r="X307" s="20">
        <f t="shared" si="155"/>
        <v>6</v>
      </c>
      <c r="Y307" s="20">
        <f t="shared" si="156"/>
        <v>11</v>
      </c>
      <c r="Z307" s="20">
        <f t="shared" si="157"/>
        <v>0</v>
      </c>
      <c r="AA307" s="20">
        <f t="shared" si="158"/>
        <v>0</v>
      </c>
      <c r="AC307" s="3">
        <f t="shared" si="168"/>
        <v>90</v>
      </c>
      <c r="AD307" s="3">
        <f t="shared" si="169"/>
        <v>85</v>
      </c>
      <c r="AE307" s="3">
        <f t="shared" si="170"/>
        <v>80</v>
      </c>
      <c r="AF307" s="3">
        <f t="shared" si="171"/>
        <v>74</v>
      </c>
      <c r="AG307" s="3">
        <f t="shared" si="172"/>
        <v>69</v>
      </c>
      <c r="AH307" s="3">
        <f t="shared" si="173"/>
        <v>64</v>
      </c>
      <c r="AI307" s="3">
        <f t="shared" si="174"/>
        <v>59</v>
      </c>
      <c r="AJ307" s="3">
        <f t="shared" si="175"/>
        <v>53</v>
      </c>
      <c r="AK307" s="3">
        <f t="shared" si="176"/>
        <v>48</v>
      </c>
      <c r="AL307" s="3">
        <f t="shared" si="177"/>
        <v>43</v>
      </c>
      <c r="AM307" s="3">
        <f t="shared" si="178"/>
        <v>38</v>
      </c>
      <c r="AN307" s="3">
        <f t="shared" si="179"/>
        <v>32</v>
      </c>
      <c r="AO307" s="3">
        <f t="shared" si="180"/>
        <v>27</v>
      </c>
      <c r="AP307" s="3">
        <f t="shared" si="181"/>
        <v>22</v>
      </c>
      <c r="AQ307" s="3">
        <f t="shared" si="182"/>
        <v>17</v>
      </c>
      <c r="AR307" s="3">
        <f t="shared" si="183"/>
        <v>95</v>
      </c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>
        <v>1</v>
      </c>
      <c r="BH307" s="8"/>
      <c r="BM307" s="35" t="s">
        <v>12</v>
      </c>
      <c r="BO307" s="35"/>
      <c r="BR307" s="9" t="str">
        <f t="shared" si="159"/>
        <v/>
      </c>
      <c r="BS307" s="37" t="str">
        <f t="shared" si="160"/>
        <v/>
      </c>
      <c r="BT307" s="38" t="str">
        <f t="shared" si="185"/>
        <v/>
      </c>
      <c r="BU307" s="36" t="str">
        <f t="shared" si="161"/>
        <v/>
      </c>
    </row>
    <row r="308" spans="2:73" ht="15">
      <c r="B308" s="16">
        <f t="shared" si="162"/>
        <v>45229</v>
      </c>
      <c r="C308" s="15" t="s">
        <v>1</v>
      </c>
      <c r="D308" s="17">
        <f t="shared" si="163"/>
        <v>45235</v>
      </c>
      <c r="E308" s="18">
        <f t="shared" si="164"/>
        <v>10</v>
      </c>
      <c r="F308" s="19">
        <f t="shared" si="165"/>
        <v>2023</v>
      </c>
      <c r="G308" s="9">
        <f t="shared" si="184"/>
        <v>17</v>
      </c>
      <c r="H308" s="8">
        <f t="shared" si="184"/>
        <v>95</v>
      </c>
      <c r="I308" s="9"/>
      <c r="J308" s="9"/>
      <c r="K308" s="9"/>
      <c r="L308" s="9"/>
      <c r="M308" s="9"/>
      <c r="N308" s="9"/>
      <c r="O308" s="12"/>
      <c r="P308" s="12"/>
      <c r="Q308" s="12"/>
      <c r="R308" s="12"/>
      <c r="S308" s="12"/>
      <c r="T308" s="12"/>
      <c r="V308" s="20">
        <f t="shared" si="153"/>
        <v>0</v>
      </c>
      <c r="W308" s="20">
        <f t="shared" si="154"/>
        <v>2</v>
      </c>
      <c r="X308" s="20">
        <f t="shared" si="155"/>
        <v>7</v>
      </c>
      <c r="Y308" s="20">
        <f t="shared" si="156"/>
        <v>12</v>
      </c>
      <c r="Z308" s="20">
        <f t="shared" si="157"/>
        <v>0</v>
      </c>
      <c r="AA308" s="20">
        <f t="shared" si="158"/>
        <v>0</v>
      </c>
      <c r="AC308" s="3">
        <f t="shared" si="168"/>
        <v>91</v>
      </c>
      <c r="AD308" s="3">
        <f t="shared" si="169"/>
        <v>86</v>
      </c>
      <c r="AE308" s="3">
        <f t="shared" si="170"/>
        <v>81</v>
      </c>
      <c r="AF308" s="3">
        <f t="shared" si="171"/>
        <v>75</v>
      </c>
      <c r="AG308" s="3">
        <f t="shared" si="172"/>
        <v>70</v>
      </c>
      <c r="AH308" s="3">
        <f t="shared" si="173"/>
        <v>65</v>
      </c>
      <c r="AI308" s="3">
        <f t="shared" si="174"/>
        <v>60</v>
      </c>
      <c r="AJ308" s="3">
        <f t="shared" si="175"/>
        <v>54</v>
      </c>
      <c r="AK308" s="3">
        <f t="shared" si="176"/>
        <v>49</v>
      </c>
      <c r="AL308" s="3">
        <f t="shared" si="177"/>
        <v>44</v>
      </c>
      <c r="AM308" s="3">
        <f t="shared" si="178"/>
        <v>39</v>
      </c>
      <c r="AN308" s="3">
        <f t="shared" si="179"/>
        <v>33</v>
      </c>
      <c r="AO308" s="3">
        <f t="shared" si="180"/>
        <v>28</v>
      </c>
      <c r="AP308" s="3">
        <f t="shared" si="181"/>
        <v>23</v>
      </c>
      <c r="AQ308" s="3">
        <f t="shared" si="182"/>
        <v>18</v>
      </c>
      <c r="AR308" s="3">
        <f t="shared" si="183"/>
        <v>0</v>
      </c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M308" s="35" t="s">
        <v>12</v>
      </c>
      <c r="BO308" s="35"/>
      <c r="BR308" s="9" t="str">
        <f t="shared" si="159"/>
        <v/>
      </c>
      <c r="BS308" s="37" t="str">
        <f t="shared" si="160"/>
        <v/>
      </c>
      <c r="BT308" s="38" t="str">
        <f t="shared" si="185"/>
        <v/>
      </c>
      <c r="BU308" s="36" t="str">
        <f t="shared" si="161"/>
        <v/>
      </c>
    </row>
    <row r="309" spans="2:73" ht="15">
      <c r="B309" s="16">
        <f t="shared" si="162"/>
        <v>45236</v>
      </c>
      <c r="C309" s="15" t="s">
        <v>1</v>
      </c>
      <c r="D309" s="17">
        <f t="shared" si="163"/>
        <v>45242</v>
      </c>
      <c r="E309" s="18">
        <f t="shared" si="164"/>
        <v>11</v>
      </c>
      <c r="F309" s="19">
        <f t="shared" si="165"/>
        <v>2023</v>
      </c>
      <c r="G309" s="9">
        <f t="shared" si="184"/>
        <v>17</v>
      </c>
      <c r="H309" s="8">
        <f t="shared" si="184"/>
        <v>95</v>
      </c>
      <c r="I309" s="9"/>
      <c r="J309" s="9"/>
      <c r="K309" s="9"/>
      <c r="L309" s="9"/>
      <c r="M309" s="9"/>
      <c r="N309" s="9"/>
      <c r="O309" s="12"/>
      <c r="P309" s="12"/>
      <c r="Q309" s="12"/>
      <c r="R309" s="12"/>
      <c r="S309" s="12"/>
      <c r="T309" s="12"/>
      <c r="V309" s="20">
        <f t="shared" si="153"/>
        <v>0</v>
      </c>
      <c r="W309" s="20">
        <f t="shared" si="154"/>
        <v>3</v>
      </c>
      <c r="X309" s="20">
        <f t="shared" si="155"/>
        <v>8</v>
      </c>
      <c r="Y309" s="20">
        <f t="shared" si="156"/>
        <v>13</v>
      </c>
      <c r="Z309" s="20">
        <f t="shared" si="157"/>
        <v>0</v>
      </c>
      <c r="AA309" s="20">
        <f t="shared" si="158"/>
        <v>0</v>
      </c>
      <c r="AC309" s="3">
        <f t="shared" si="168"/>
        <v>92</v>
      </c>
      <c r="AD309" s="3">
        <f t="shared" si="169"/>
        <v>87</v>
      </c>
      <c r="AE309" s="3">
        <f t="shared" si="170"/>
        <v>82</v>
      </c>
      <c r="AF309" s="3">
        <f t="shared" si="171"/>
        <v>76</v>
      </c>
      <c r="AG309" s="3">
        <f t="shared" si="172"/>
        <v>71</v>
      </c>
      <c r="AH309" s="3">
        <f t="shared" si="173"/>
        <v>66</v>
      </c>
      <c r="AI309" s="3">
        <f t="shared" si="174"/>
        <v>61</v>
      </c>
      <c r="AJ309" s="3">
        <f t="shared" si="175"/>
        <v>55</v>
      </c>
      <c r="AK309" s="3">
        <f t="shared" si="176"/>
        <v>50</v>
      </c>
      <c r="AL309" s="3">
        <f t="shared" si="177"/>
        <v>45</v>
      </c>
      <c r="AM309" s="3">
        <f t="shared" si="178"/>
        <v>40</v>
      </c>
      <c r="AN309" s="3">
        <f t="shared" si="179"/>
        <v>34</v>
      </c>
      <c r="AO309" s="3">
        <f t="shared" si="180"/>
        <v>29</v>
      </c>
      <c r="AP309" s="3">
        <f t="shared" si="181"/>
        <v>24</v>
      </c>
      <c r="AQ309" s="3">
        <f t="shared" si="182"/>
        <v>19</v>
      </c>
      <c r="AR309" s="3">
        <f t="shared" si="183"/>
        <v>0</v>
      </c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M309" s="35" t="s">
        <v>12</v>
      </c>
      <c r="BO309" s="35"/>
      <c r="BR309" s="9" t="str">
        <f t="shared" si="159"/>
        <v/>
      </c>
      <c r="BS309" s="37" t="str">
        <f t="shared" si="160"/>
        <v/>
      </c>
      <c r="BT309" s="38" t="str">
        <f t="shared" si="185"/>
        <v/>
      </c>
      <c r="BU309" s="36" t="str">
        <f t="shared" si="161"/>
        <v/>
      </c>
    </row>
    <row r="310" spans="2:73" ht="15">
      <c r="B310" s="16">
        <f t="shared" si="162"/>
        <v>45243</v>
      </c>
      <c r="C310" s="15" t="s">
        <v>1</v>
      </c>
      <c r="D310" s="17">
        <f t="shared" si="163"/>
        <v>45249</v>
      </c>
      <c r="E310" s="18">
        <f t="shared" si="164"/>
        <v>11</v>
      </c>
      <c r="F310" s="19">
        <f t="shared" si="165"/>
        <v>2023</v>
      </c>
      <c r="G310" s="9">
        <f t="shared" ref="G310:H325" si="186">G309</f>
        <v>17</v>
      </c>
      <c r="H310" s="8">
        <f t="shared" si="186"/>
        <v>95</v>
      </c>
      <c r="I310" s="9"/>
      <c r="J310" s="9"/>
      <c r="K310" s="9"/>
      <c r="L310" s="9"/>
      <c r="M310" s="9"/>
      <c r="N310" s="9"/>
      <c r="O310" s="12"/>
      <c r="P310" s="12"/>
      <c r="Q310" s="12"/>
      <c r="R310" s="12"/>
      <c r="S310" s="12"/>
      <c r="T310" s="12"/>
      <c r="V310" s="20">
        <f t="shared" si="153"/>
        <v>0</v>
      </c>
      <c r="W310" s="20">
        <f t="shared" si="154"/>
        <v>4</v>
      </c>
      <c r="X310" s="20">
        <f t="shared" si="155"/>
        <v>9</v>
      </c>
      <c r="Y310" s="20">
        <f t="shared" si="156"/>
        <v>14</v>
      </c>
      <c r="Z310" s="20">
        <f t="shared" si="157"/>
        <v>0</v>
      </c>
      <c r="AA310" s="20">
        <f t="shared" si="158"/>
        <v>0</v>
      </c>
      <c r="AC310" s="3">
        <f t="shared" si="168"/>
        <v>93</v>
      </c>
      <c r="AD310" s="3">
        <f t="shared" si="169"/>
        <v>88</v>
      </c>
      <c r="AE310" s="3">
        <f t="shared" si="170"/>
        <v>83</v>
      </c>
      <c r="AF310" s="3">
        <f t="shared" si="171"/>
        <v>77</v>
      </c>
      <c r="AG310" s="3">
        <f t="shared" si="172"/>
        <v>72</v>
      </c>
      <c r="AH310" s="3">
        <f t="shared" si="173"/>
        <v>67</v>
      </c>
      <c r="AI310" s="3">
        <f t="shared" si="174"/>
        <v>62</v>
      </c>
      <c r="AJ310" s="3">
        <f t="shared" si="175"/>
        <v>56</v>
      </c>
      <c r="AK310" s="3">
        <f t="shared" si="176"/>
        <v>51</v>
      </c>
      <c r="AL310" s="3">
        <f t="shared" si="177"/>
        <v>46</v>
      </c>
      <c r="AM310" s="3">
        <f t="shared" si="178"/>
        <v>41</v>
      </c>
      <c r="AN310" s="3">
        <f t="shared" si="179"/>
        <v>35</v>
      </c>
      <c r="AO310" s="3">
        <f t="shared" si="180"/>
        <v>30</v>
      </c>
      <c r="AP310" s="3">
        <f t="shared" si="181"/>
        <v>25</v>
      </c>
      <c r="AQ310" s="3">
        <f t="shared" si="182"/>
        <v>20</v>
      </c>
      <c r="AR310" s="3">
        <f t="shared" si="183"/>
        <v>0</v>
      </c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M310" s="35" t="s">
        <v>12</v>
      </c>
      <c r="BO310" s="35"/>
      <c r="BR310" s="9" t="str">
        <f t="shared" si="159"/>
        <v/>
      </c>
      <c r="BS310" s="37" t="str">
        <f t="shared" si="160"/>
        <v/>
      </c>
      <c r="BT310" s="38" t="str">
        <f t="shared" si="185"/>
        <v/>
      </c>
      <c r="BU310" s="36" t="str">
        <f t="shared" si="161"/>
        <v/>
      </c>
    </row>
    <row r="311" spans="2:73" ht="15">
      <c r="B311" s="16">
        <f t="shared" si="162"/>
        <v>45250</v>
      </c>
      <c r="C311" s="15" t="s">
        <v>1</v>
      </c>
      <c r="D311" s="17">
        <f t="shared" si="163"/>
        <v>45256</v>
      </c>
      <c r="E311" s="18">
        <f t="shared" si="164"/>
        <v>11</v>
      </c>
      <c r="F311" s="19">
        <f t="shared" si="165"/>
        <v>2023</v>
      </c>
      <c r="G311" s="9">
        <f t="shared" si="186"/>
        <v>17</v>
      </c>
      <c r="H311" s="8">
        <f t="shared" si="186"/>
        <v>95</v>
      </c>
      <c r="I311" s="9"/>
      <c r="J311" s="9"/>
      <c r="K311" s="9"/>
      <c r="L311" s="9"/>
      <c r="M311" s="9"/>
      <c r="N311" s="9"/>
      <c r="O311" s="12">
        <v>1</v>
      </c>
      <c r="P311" s="12"/>
      <c r="Q311" s="12"/>
      <c r="R311" s="12"/>
      <c r="S311" s="12"/>
      <c r="T311" s="12"/>
      <c r="V311" s="20">
        <f t="shared" si="153"/>
        <v>45252</v>
      </c>
      <c r="W311" s="20">
        <f t="shared" si="154"/>
        <v>5</v>
      </c>
      <c r="X311" s="20">
        <f t="shared" si="155"/>
        <v>10</v>
      </c>
      <c r="Y311" s="20">
        <f t="shared" si="156"/>
        <v>15</v>
      </c>
      <c r="Z311" s="20">
        <f t="shared" si="157"/>
        <v>0</v>
      </c>
      <c r="AA311" s="20">
        <f t="shared" si="158"/>
        <v>0</v>
      </c>
      <c r="AC311" s="3">
        <f t="shared" si="168"/>
        <v>94</v>
      </c>
      <c r="AD311" s="3">
        <f t="shared" si="169"/>
        <v>89</v>
      </c>
      <c r="AE311" s="3">
        <f t="shared" si="170"/>
        <v>84</v>
      </c>
      <c r="AF311" s="3">
        <f t="shared" si="171"/>
        <v>78</v>
      </c>
      <c r="AG311" s="3">
        <f t="shared" si="172"/>
        <v>73</v>
      </c>
      <c r="AH311" s="3">
        <f t="shared" si="173"/>
        <v>68</v>
      </c>
      <c r="AI311" s="3">
        <f t="shared" si="174"/>
        <v>63</v>
      </c>
      <c r="AJ311" s="3">
        <f t="shared" si="175"/>
        <v>57</v>
      </c>
      <c r="AK311" s="3">
        <f t="shared" si="176"/>
        <v>52</v>
      </c>
      <c r="AL311" s="3">
        <f t="shared" si="177"/>
        <v>47</v>
      </c>
      <c r="AM311" s="3">
        <f t="shared" si="178"/>
        <v>42</v>
      </c>
      <c r="AN311" s="3">
        <f t="shared" si="179"/>
        <v>36</v>
      </c>
      <c r="AO311" s="3">
        <f t="shared" si="180"/>
        <v>31</v>
      </c>
      <c r="AP311" s="3">
        <f t="shared" si="181"/>
        <v>26</v>
      </c>
      <c r="AQ311" s="3">
        <f t="shared" si="182"/>
        <v>21</v>
      </c>
      <c r="AR311" s="3">
        <f t="shared" si="183"/>
        <v>0</v>
      </c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M311" s="35" t="s">
        <v>12</v>
      </c>
      <c r="BO311" s="35"/>
      <c r="BR311" s="9">
        <f t="shared" si="159"/>
        <v>1</v>
      </c>
      <c r="BS311" s="37">
        <f t="shared" si="160"/>
        <v>45252</v>
      </c>
      <c r="BT311" s="38">
        <f t="shared" si="185"/>
        <v>45371</v>
      </c>
      <c r="BU311" s="36">
        <f t="shared" si="161"/>
        <v>10</v>
      </c>
    </row>
    <row r="312" spans="2:73" ht="15">
      <c r="B312" s="16">
        <f t="shared" si="162"/>
        <v>45257</v>
      </c>
      <c r="C312" s="15" t="s">
        <v>1</v>
      </c>
      <c r="D312" s="17">
        <f t="shared" si="163"/>
        <v>45263</v>
      </c>
      <c r="E312" s="18">
        <f t="shared" si="164"/>
        <v>11</v>
      </c>
      <c r="F312" s="19">
        <f t="shared" si="165"/>
        <v>2023</v>
      </c>
      <c r="G312" s="9">
        <f t="shared" si="186"/>
        <v>17</v>
      </c>
      <c r="H312" s="8">
        <f t="shared" si="186"/>
        <v>95</v>
      </c>
      <c r="I312" s="9"/>
      <c r="J312" s="9"/>
      <c r="K312" s="9"/>
      <c r="L312" s="9"/>
      <c r="M312" s="9"/>
      <c r="N312" s="9"/>
      <c r="O312" s="12"/>
      <c r="P312" s="12"/>
      <c r="Q312" s="12"/>
      <c r="R312" s="12"/>
      <c r="S312" s="12"/>
      <c r="T312" s="12"/>
      <c r="V312" s="20">
        <f t="shared" si="153"/>
        <v>1</v>
      </c>
      <c r="W312" s="20">
        <f t="shared" si="154"/>
        <v>6</v>
      </c>
      <c r="X312" s="20">
        <f t="shared" si="155"/>
        <v>11</v>
      </c>
      <c r="Y312" s="20">
        <f t="shared" si="156"/>
        <v>16</v>
      </c>
      <c r="Z312" s="20">
        <f t="shared" si="157"/>
        <v>0</v>
      </c>
      <c r="AA312" s="20">
        <f t="shared" si="158"/>
        <v>0</v>
      </c>
      <c r="AC312" s="3">
        <f t="shared" si="168"/>
        <v>95</v>
      </c>
      <c r="AD312" s="3">
        <f t="shared" si="169"/>
        <v>90</v>
      </c>
      <c r="AE312" s="3">
        <f t="shared" si="170"/>
        <v>85</v>
      </c>
      <c r="AF312" s="3">
        <f t="shared" si="171"/>
        <v>79</v>
      </c>
      <c r="AG312" s="3">
        <f t="shared" si="172"/>
        <v>74</v>
      </c>
      <c r="AH312" s="3">
        <f t="shared" si="173"/>
        <v>69</v>
      </c>
      <c r="AI312" s="3">
        <f t="shared" si="174"/>
        <v>64</v>
      </c>
      <c r="AJ312" s="3">
        <f t="shared" si="175"/>
        <v>58</v>
      </c>
      <c r="AK312" s="3">
        <f t="shared" si="176"/>
        <v>53</v>
      </c>
      <c r="AL312" s="3">
        <f t="shared" si="177"/>
        <v>48</v>
      </c>
      <c r="AM312" s="3">
        <f t="shared" si="178"/>
        <v>43</v>
      </c>
      <c r="AN312" s="3">
        <f t="shared" si="179"/>
        <v>37</v>
      </c>
      <c r="AO312" s="3">
        <f t="shared" si="180"/>
        <v>32</v>
      </c>
      <c r="AP312" s="3">
        <f t="shared" si="181"/>
        <v>27</v>
      </c>
      <c r="AQ312" s="3">
        <f t="shared" si="182"/>
        <v>22</v>
      </c>
      <c r="AR312" s="3">
        <f t="shared" si="183"/>
        <v>0</v>
      </c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M312" s="35" t="s">
        <v>12</v>
      </c>
      <c r="BO312" s="35"/>
      <c r="BR312" s="9" t="str">
        <f t="shared" si="159"/>
        <v/>
      </c>
      <c r="BS312" s="37" t="str">
        <f t="shared" si="160"/>
        <v/>
      </c>
      <c r="BT312" s="38" t="str">
        <f t="shared" si="185"/>
        <v/>
      </c>
      <c r="BU312" s="36" t="str">
        <f t="shared" si="161"/>
        <v/>
      </c>
    </row>
    <row r="313" spans="2:73" ht="15">
      <c r="B313" s="16">
        <f t="shared" si="162"/>
        <v>45264</v>
      </c>
      <c r="C313" s="15" t="s">
        <v>1</v>
      </c>
      <c r="D313" s="17">
        <f t="shared" si="163"/>
        <v>45270</v>
      </c>
      <c r="E313" s="18">
        <f t="shared" si="164"/>
        <v>12</v>
      </c>
      <c r="F313" s="19">
        <f t="shared" si="165"/>
        <v>2023</v>
      </c>
      <c r="G313" s="9">
        <f t="shared" si="186"/>
        <v>17</v>
      </c>
      <c r="H313" s="8">
        <f t="shared" si="186"/>
        <v>95</v>
      </c>
      <c r="I313" s="9"/>
      <c r="J313" s="9"/>
      <c r="K313" s="9"/>
      <c r="L313" s="9"/>
      <c r="M313" s="9"/>
      <c r="N313" s="9"/>
      <c r="O313" s="12"/>
      <c r="P313" s="12"/>
      <c r="Q313" s="12"/>
      <c r="R313" s="12"/>
      <c r="S313" s="12"/>
      <c r="T313" s="12"/>
      <c r="V313" s="20">
        <f t="shared" si="153"/>
        <v>2</v>
      </c>
      <c r="W313" s="20">
        <f t="shared" si="154"/>
        <v>7</v>
      </c>
      <c r="X313" s="20">
        <f t="shared" si="155"/>
        <v>12</v>
      </c>
      <c r="Y313" s="20">
        <f t="shared" si="156"/>
        <v>17</v>
      </c>
      <c r="Z313" s="20">
        <f t="shared" si="157"/>
        <v>0</v>
      </c>
      <c r="AA313" s="20">
        <f t="shared" si="158"/>
        <v>0</v>
      </c>
      <c r="AC313" s="3">
        <f t="shared" si="168"/>
        <v>0</v>
      </c>
      <c r="AD313" s="3">
        <f t="shared" si="169"/>
        <v>91</v>
      </c>
      <c r="AE313" s="3">
        <f t="shared" si="170"/>
        <v>86</v>
      </c>
      <c r="AF313" s="3">
        <f t="shared" si="171"/>
        <v>80</v>
      </c>
      <c r="AG313" s="3">
        <f t="shared" si="172"/>
        <v>75</v>
      </c>
      <c r="AH313" s="3">
        <f t="shared" si="173"/>
        <v>70</v>
      </c>
      <c r="AI313" s="3">
        <f t="shared" si="174"/>
        <v>65</v>
      </c>
      <c r="AJ313" s="3">
        <f t="shared" si="175"/>
        <v>59</v>
      </c>
      <c r="AK313" s="3">
        <f t="shared" si="176"/>
        <v>54</v>
      </c>
      <c r="AL313" s="3">
        <f t="shared" si="177"/>
        <v>49</v>
      </c>
      <c r="AM313" s="3">
        <f t="shared" si="178"/>
        <v>44</v>
      </c>
      <c r="AN313" s="3">
        <f t="shared" si="179"/>
        <v>38</v>
      </c>
      <c r="AO313" s="3">
        <f t="shared" si="180"/>
        <v>33</v>
      </c>
      <c r="AP313" s="3">
        <f t="shared" si="181"/>
        <v>28</v>
      </c>
      <c r="AQ313" s="3">
        <f t="shared" si="182"/>
        <v>23</v>
      </c>
      <c r="AR313" s="3">
        <f t="shared" si="183"/>
        <v>17</v>
      </c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>
        <v>4</v>
      </c>
      <c r="BM313" s="35" t="s">
        <v>12</v>
      </c>
      <c r="BO313" s="35"/>
      <c r="BR313" s="9" t="str">
        <f t="shared" si="159"/>
        <v/>
      </c>
      <c r="BS313" s="37" t="str">
        <f t="shared" si="160"/>
        <v/>
      </c>
      <c r="BT313" s="38" t="str">
        <f t="shared" si="185"/>
        <v/>
      </c>
      <c r="BU313" s="36" t="str">
        <f t="shared" si="161"/>
        <v/>
      </c>
    </row>
    <row r="314" spans="2:73" ht="15">
      <c r="B314" s="16">
        <f t="shared" si="162"/>
        <v>45271</v>
      </c>
      <c r="C314" s="15" t="s">
        <v>1</v>
      </c>
      <c r="D314" s="17">
        <f t="shared" si="163"/>
        <v>45277</v>
      </c>
      <c r="E314" s="18">
        <f t="shared" si="164"/>
        <v>12</v>
      </c>
      <c r="F314" s="19">
        <f t="shared" si="165"/>
        <v>2023</v>
      </c>
      <c r="G314" s="9">
        <f t="shared" si="186"/>
        <v>17</v>
      </c>
      <c r="H314" s="8">
        <f t="shared" si="186"/>
        <v>95</v>
      </c>
      <c r="I314" s="9"/>
      <c r="J314" s="9"/>
      <c r="K314" s="9"/>
      <c r="L314" s="9"/>
      <c r="M314" s="9"/>
      <c r="N314" s="9"/>
      <c r="O314" s="12"/>
      <c r="P314" s="12"/>
      <c r="Q314" s="12"/>
      <c r="R314" s="12"/>
      <c r="S314" s="12"/>
      <c r="T314" s="12"/>
      <c r="V314" s="20">
        <f t="shared" si="153"/>
        <v>3</v>
      </c>
      <c r="W314" s="20">
        <f t="shared" si="154"/>
        <v>8</v>
      </c>
      <c r="X314" s="20">
        <f t="shared" si="155"/>
        <v>13</v>
      </c>
      <c r="Y314" s="20">
        <f t="shared" si="156"/>
        <v>0</v>
      </c>
      <c r="Z314" s="20">
        <f t="shared" si="157"/>
        <v>0</v>
      </c>
      <c r="AA314" s="20">
        <f t="shared" si="158"/>
        <v>0</v>
      </c>
      <c r="AC314" s="3">
        <f t="shared" si="168"/>
        <v>0</v>
      </c>
      <c r="AD314" s="3">
        <f t="shared" si="169"/>
        <v>92</v>
      </c>
      <c r="AE314" s="3">
        <f t="shared" si="170"/>
        <v>87</v>
      </c>
      <c r="AF314" s="3">
        <f t="shared" si="171"/>
        <v>81</v>
      </c>
      <c r="AG314" s="3">
        <f t="shared" si="172"/>
        <v>76</v>
      </c>
      <c r="AH314" s="3">
        <f t="shared" si="173"/>
        <v>71</v>
      </c>
      <c r="AI314" s="3">
        <f t="shared" si="174"/>
        <v>66</v>
      </c>
      <c r="AJ314" s="3">
        <f t="shared" si="175"/>
        <v>60</v>
      </c>
      <c r="AK314" s="3">
        <f t="shared" si="176"/>
        <v>55</v>
      </c>
      <c r="AL314" s="3">
        <f t="shared" si="177"/>
        <v>50</v>
      </c>
      <c r="AM314" s="3">
        <f t="shared" si="178"/>
        <v>45</v>
      </c>
      <c r="AN314" s="3">
        <f t="shared" si="179"/>
        <v>39</v>
      </c>
      <c r="AO314" s="3">
        <f t="shared" si="180"/>
        <v>34</v>
      </c>
      <c r="AP314" s="3">
        <f t="shared" si="181"/>
        <v>29</v>
      </c>
      <c r="AQ314" s="3">
        <f t="shared" si="182"/>
        <v>24</v>
      </c>
      <c r="AR314" s="3">
        <f t="shared" si="183"/>
        <v>18</v>
      </c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M314" s="35" t="s">
        <v>12</v>
      </c>
      <c r="BO314" s="35"/>
      <c r="BR314" s="9" t="str">
        <f t="shared" si="159"/>
        <v/>
      </c>
      <c r="BS314" s="37" t="str">
        <f t="shared" si="160"/>
        <v/>
      </c>
      <c r="BT314" s="38" t="str">
        <f t="shared" si="185"/>
        <v/>
      </c>
      <c r="BU314" s="36" t="str">
        <f t="shared" si="161"/>
        <v/>
      </c>
    </row>
    <row r="315" spans="2:73" ht="15">
      <c r="B315" s="16">
        <f t="shared" si="162"/>
        <v>45278</v>
      </c>
      <c r="C315" s="15" t="s">
        <v>1</v>
      </c>
      <c r="D315" s="17">
        <f t="shared" si="163"/>
        <v>45284</v>
      </c>
      <c r="E315" s="18">
        <f t="shared" si="164"/>
        <v>12</v>
      </c>
      <c r="F315" s="19">
        <f t="shared" si="165"/>
        <v>2023</v>
      </c>
      <c r="G315" s="9">
        <f t="shared" si="186"/>
        <v>17</v>
      </c>
      <c r="H315" s="8">
        <f t="shared" si="186"/>
        <v>95</v>
      </c>
      <c r="I315" s="9"/>
      <c r="J315" s="9"/>
      <c r="K315" s="9"/>
      <c r="L315" s="9"/>
      <c r="M315" s="9"/>
      <c r="N315" s="9"/>
      <c r="O315" s="12"/>
      <c r="P315" s="12"/>
      <c r="Q315" s="12"/>
      <c r="R315" s="12"/>
      <c r="S315" s="12"/>
      <c r="T315" s="12"/>
      <c r="V315" s="20">
        <f t="shared" si="153"/>
        <v>4</v>
      </c>
      <c r="W315" s="20">
        <f t="shared" si="154"/>
        <v>9</v>
      </c>
      <c r="X315" s="20">
        <f t="shared" si="155"/>
        <v>14</v>
      </c>
      <c r="Y315" s="20">
        <f t="shared" si="156"/>
        <v>0</v>
      </c>
      <c r="Z315" s="20">
        <f t="shared" si="157"/>
        <v>0</v>
      </c>
      <c r="AA315" s="20">
        <f t="shared" si="158"/>
        <v>0</v>
      </c>
      <c r="AC315" s="3">
        <f t="shared" si="168"/>
        <v>0</v>
      </c>
      <c r="AD315" s="3">
        <f t="shared" si="169"/>
        <v>93</v>
      </c>
      <c r="AE315" s="3">
        <f t="shared" si="170"/>
        <v>88</v>
      </c>
      <c r="AF315" s="3">
        <f t="shared" si="171"/>
        <v>82</v>
      </c>
      <c r="AG315" s="3">
        <f t="shared" si="172"/>
        <v>77</v>
      </c>
      <c r="AH315" s="3">
        <f t="shared" si="173"/>
        <v>72</v>
      </c>
      <c r="AI315" s="3">
        <f t="shared" si="174"/>
        <v>67</v>
      </c>
      <c r="AJ315" s="3">
        <f t="shared" si="175"/>
        <v>61</v>
      </c>
      <c r="AK315" s="3">
        <f t="shared" si="176"/>
        <v>56</v>
      </c>
      <c r="AL315" s="3">
        <f t="shared" si="177"/>
        <v>51</v>
      </c>
      <c r="AM315" s="3">
        <f t="shared" si="178"/>
        <v>46</v>
      </c>
      <c r="AN315" s="3">
        <f t="shared" si="179"/>
        <v>40</v>
      </c>
      <c r="AO315" s="3">
        <f t="shared" si="180"/>
        <v>35</v>
      </c>
      <c r="AP315" s="3">
        <f t="shared" si="181"/>
        <v>30</v>
      </c>
      <c r="AQ315" s="3">
        <f t="shared" si="182"/>
        <v>25</v>
      </c>
      <c r="AR315" s="3">
        <f t="shared" si="183"/>
        <v>19</v>
      </c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M315" s="35" t="s">
        <v>12</v>
      </c>
      <c r="BO315" s="35"/>
      <c r="BR315" s="9" t="str">
        <f t="shared" si="159"/>
        <v/>
      </c>
      <c r="BS315" s="37" t="str">
        <f t="shared" si="160"/>
        <v/>
      </c>
      <c r="BT315" s="38" t="str">
        <f t="shared" si="185"/>
        <v/>
      </c>
      <c r="BU315" s="36" t="str">
        <f t="shared" si="161"/>
        <v/>
      </c>
    </row>
    <row r="316" spans="2:73" ht="15">
      <c r="B316" s="16">
        <f t="shared" si="162"/>
        <v>45285</v>
      </c>
      <c r="C316" s="15" t="s">
        <v>1</v>
      </c>
      <c r="D316" s="17">
        <f t="shared" si="163"/>
        <v>45291</v>
      </c>
      <c r="E316" s="18">
        <f t="shared" si="164"/>
        <v>12</v>
      </c>
      <c r="F316" s="19">
        <f t="shared" si="165"/>
        <v>2023</v>
      </c>
      <c r="G316" s="9">
        <f t="shared" si="186"/>
        <v>17</v>
      </c>
      <c r="H316" s="8">
        <f t="shared" si="186"/>
        <v>95</v>
      </c>
      <c r="I316" s="9"/>
      <c r="J316" s="9"/>
      <c r="K316" s="9"/>
      <c r="L316" s="9"/>
      <c r="M316" s="9"/>
      <c r="N316" s="9"/>
      <c r="O316" s="12"/>
      <c r="P316" s="12"/>
      <c r="Q316" s="12"/>
      <c r="R316" s="12"/>
      <c r="S316" s="12"/>
      <c r="T316" s="12"/>
      <c r="V316" s="20">
        <f t="shared" si="153"/>
        <v>5</v>
      </c>
      <c r="W316" s="20">
        <f t="shared" si="154"/>
        <v>10</v>
      </c>
      <c r="X316" s="20">
        <f t="shared" si="155"/>
        <v>15</v>
      </c>
      <c r="Y316" s="20">
        <f t="shared" si="156"/>
        <v>0</v>
      </c>
      <c r="Z316" s="20">
        <f t="shared" si="157"/>
        <v>0</v>
      </c>
      <c r="AA316" s="20">
        <f t="shared" si="158"/>
        <v>0</v>
      </c>
      <c r="AC316" s="3">
        <f t="shared" si="168"/>
        <v>0</v>
      </c>
      <c r="AD316" s="3">
        <f t="shared" si="169"/>
        <v>94</v>
      </c>
      <c r="AE316" s="3">
        <f t="shared" si="170"/>
        <v>89</v>
      </c>
      <c r="AF316" s="3">
        <f t="shared" si="171"/>
        <v>83</v>
      </c>
      <c r="AG316" s="3">
        <f t="shared" si="172"/>
        <v>78</v>
      </c>
      <c r="AH316" s="3">
        <f t="shared" si="173"/>
        <v>73</v>
      </c>
      <c r="AI316" s="3">
        <f t="shared" si="174"/>
        <v>68</v>
      </c>
      <c r="AJ316" s="3">
        <f t="shared" si="175"/>
        <v>62</v>
      </c>
      <c r="AK316" s="3">
        <f t="shared" si="176"/>
        <v>57</v>
      </c>
      <c r="AL316" s="3">
        <f t="shared" si="177"/>
        <v>52</v>
      </c>
      <c r="AM316" s="3">
        <f t="shared" si="178"/>
        <v>47</v>
      </c>
      <c r="AN316" s="3">
        <f t="shared" si="179"/>
        <v>41</v>
      </c>
      <c r="AO316" s="3">
        <f t="shared" si="180"/>
        <v>36</v>
      </c>
      <c r="AP316" s="3">
        <f t="shared" si="181"/>
        <v>31</v>
      </c>
      <c r="AQ316" s="3">
        <f t="shared" si="182"/>
        <v>26</v>
      </c>
      <c r="AR316" s="3">
        <f t="shared" si="183"/>
        <v>20</v>
      </c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M316" s="35" t="s">
        <v>12</v>
      </c>
      <c r="BO316" s="35"/>
      <c r="BR316" s="9" t="str">
        <f t="shared" si="159"/>
        <v/>
      </c>
      <c r="BS316" s="37" t="str">
        <f t="shared" si="160"/>
        <v/>
      </c>
      <c r="BT316" s="38" t="str">
        <f t="shared" si="185"/>
        <v/>
      </c>
      <c r="BU316" s="36" t="str">
        <f t="shared" si="161"/>
        <v/>
      </c>
    </row>
    <row r="317" spans="2:73" ht="15">
      <c r="B317" s="16">
        <f t="shared" si="162"/>
        <v>45292</v>
      </c>
      <c r="C317" s="15" t="s">
        <v>1</v>
      </c>
      <c r="D317" s="17">
        <f t="shared" si="163"/>
        <v>45298</v>
      </c>
      <c r="E317" s="18">
        <f t="shared" si="164"/>
        <v>1</v>
      </c>
      <c r="F317" s="19">
        <f t="shared" si="165"/>
        <v>2024</v>
      </c>
      <c r="G317" s="9">
        <f t="shared" si="186"/>
        <v>17</v>
      </c>
      <c r="H317" s="8">
        <f t="shared" si="186"/>
        <v>95</v>
      </c>
      <c r="I317" s="9"/>
      <c r="J317" s="9"/>
      <c r="K317" s="9"/>
      <c r="L317" s="9"/>
      <c r="M317" s="9"/>
      <c r="N317" s="9"/>
      <c r="O317" s="12"/>
      <c r="P317" s="12"/>
      <c r="Q317" s="12"/>
      <c r="R317" s="12">
        <v>1</v>
      </c>
      <c r="S317" s="12"/>
      <c r="T317" s="12"/>
      <c r="V317" s="20">
        <f t="shared" si="153"/>
        <v>6</v>
      </c>
      <c r="W317" s="20">
        <f t="shared" si="154"/>
        <v>11</v>
      </c>
      <c r="X317" s="20">
        <f t="shared" si="155"/>
        <v>16</v>
      </c>
      <c r="Y317" s="20">
        <f t="shared" si="156"/>
        <v>45294</v>
      </c>
      <c r="Z317" s="20">
        <f t="shared" si="157"/>
        <v>0</v>
      </c>
      <c r="AA317" s="20">
        <f t="shared" si="158"/>
        <v>0</v>
      </c>
      <c r="AC317" s="3">
        <f t="shared" si="168"/>
        <v>0</v>
      </c>
      <c r="AD317" s="3">
        <f t="shared" si="169"/>
        <v>95</v>
      </c>
      <c r="AE317" s="3">
        <f t="shared" si="170"/>
        <v>90</v>
      </c>
      <c r="AF317" s="3">
        <f t="shared" si="171"/>
        <v>84</v>
      </c>
      <c r="AG317" s="3">
        <f t="shared" si="172"/>
        <v>79</v>
      </c>
      <c r="AH317" s="3">
        <f t="shared" si="173"/>
        <v>74</v>
      </c>
      <c r="AI317" s="3">
        <f t="shared" si="174"/>
        <v>69</v>
      </c>
      <c r="AJ317" s="3">
        <f t="shared" si="175"/>
        <v>63</v>
      </c>
      <c r="AK317" s="3">
        <f t="shared" si="176"/>
        <v>58</v>
      </c>
      <c r="AL317" s="3">
        <f t="shared" si="177"/>
        <v>53</v>
      </c>
      <c r="AM317" s="3">
        <f t="shared" si="178"/>
        <v>48</v>
      </c>
      <c r="AN317" s="3">
        <f t="shared" si="179"/>
        <v>42</v>
      </c>
      <c r="AO317" s="3">
        <f t="shared" si="180"/>
        <v>37</v>
      </c>
      <c r="AP317" s="3">
        <f t="shared" si="181"/>
        <v>32</v>
      </c>
      <c r="AQ317" s="3">
        <f t="shared" si="182"/>
        <v>27</v>
      </c>
      <c r="AR317" s="3">
        <f t="shared" si="183"/>
        <v>21</v>
      </c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M317" s="35" t="s">
        <v>12</v>
      </c>
      <c r="BO317" s="35"/>
      <c r="BR317" s="9">
        <f t="shared" si="159"/>
        <v>4</v>
      </c>
      <c r="BS317" s="37">
        <f t="shared" si="160"/>
        <v>45294</v>
      </c>
      <c r="BT317" s="38">
        <f t="shared" si="185"/>
        <v>45413</v>
      </c>
      <c r="BU317" s="36">
        <f t="shared" si="161"/>
        <v>12</v>
      </c>
    </row>
    <row r="318" spans="2:73" ht="15">
      <c r="B318" s="16">
        <f t="shared" si="162"/>
        <v>45299</v>
      </c>
      <c r="C318" s="15" t="s">
        <v>1</v>
      </c>
      <c r="D318" s="17">
        <f t="shared" si="163"/>
        <v>45305</v>
      </c>
      <c r="E318" s="18">
        <f t="shared" si="164"/>
        <v>1</v>
      </c>
      <c r="F318" s="19">
        <f t="shared" si="165"/>
        <v>2024</v>
      </c>
      <c r="G318" s="9">
        <f t="shared" si="186"/>
        <v>17</v>
      </c>
      <c r="H318" s="8">
        <f t="shared" si="186"/>
        <v>95</v>
      </c>
      <c r="I318" s="9"/>
      <c r="J318" s="9"/>
      <c r="K318" s="9"/>
      <c r="L318" s="9"/>
      <c r="M318" s="9"/>
      <c r="N318" s="9"/>
      <c r="O318" s="12"/>
      <c r="P318" s="12"/>
      <c r="Q318" s="12"/>
      <c r="R318" s="12"/>
      <c r="S318" s="12"/>
      <c r="T318" s="12"/>
      <c r="V318" s="20">
        <f t="shared" si="153"/>
        <v>7</v>
      </c>
      <c r="W318" s="20">
        <f t="shared" si="154"/>
        <v>12</v>
      </c>
      <c r="X318" s="20">
        <f t="shared" si="155"/>
        <v>17</v>
      </c>
      <c r="Y318" s="20">
        <f t="shared" si="156"/>
        <v>1</v>
      </c>
      <c r="Z318" s="20">
        <f t="shared" si="157"/>
        <v>0</v>
      </c>
      <c r="AA318" s="20">
        <f t="shared" si="158"/>
        <v>0</v>
      </c>
      <c r="AC318" s="3">
        <f t="shared" si="168"/>
        <v>17</v>
      </c>
      <c r="AD318" s="3">
        <f t="shared" si="169"/>
        <v>0</v>
      </c>
      <c r="AE318" s="3">
        <f t="shared" si="170"/>
        <v>91</v>
      </c>
      <c r="AF318" s="3">
        <f t="shared" si="171"/>
        <v>85</v>
      </c>
      <c r="AG318" s="3">
        <f t="shared" si="172"/>
        <v>80</v>
      </c>
      <c r="AH318" s="3">
        <f t="shared" si="173"/>
        <v>75</v>
      </c>
      <c r="AI318" s="3">
        <f t="shared" si="174"/>
        <v>70</v>
      </c>
      <c r="AJ318" s="3">
        <f t="shared" si="175"/>
        <v>64</v>
      </c>
      <c r="AK318" s="3">
        <f t="shared" si="176"/>
        <v>59</v>
      </c>
      <c r="AL318" s="3">
        <f t="shared" si="177"/>
        <v>54</v>
      </c>
      <c r="AM318" s="3">
        <f t="shared" si="178"/>
        <v>49</v>
      </c>
      <c r="AN318" s="3">
        <f t="shared" si="179"/>
        <v>43</v>
      </c>
      <c r="AO318" s="3">
        <f t="shared" si="180"/>
        <v>38</v>
      </c>
      <c r="AP318" s="3">
        <f t="shared" si="181"/>
        <v>33</v>
      </c>
      <c r="AQ318" s="3">
        <f t="shared" si="182"/>
        <v>28</v>
      </c>
      <c r="AR318" s="3">
        <f t="shared" si="183"/>
        <v>22</v>
      </c>
      <c r="AS318" s="8">
        <v>3</v>
      </c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M318" s="35" t="s">
        <v>12</v>
      </c>
      <c r="BO318" s="35"/>
      <c r="BR318" s="9" t="str">
        <f t="shared" si="159"/>
        <v/>
      </c>
      <c r="BS318" s="37" t="str">
        <f t="shared" si="160"/>
        <v/>
      </c>
      <c r="BT318" s="38" t="str">
        <f t="shared" si="185"/>
        <v/>
      </c>
      <c r="BU318" s="36" t="str">
        <f t="shared" si="161"/>
        <v/>
      </c>
    </row>
    <row r="319" spans="2:73" ht="15">
      <c r="B319" s="16">
        <f t="shared" si="162"/>
        <v>45306</v>
      </c>
      <c r="C319" s="15" t="s">
        <v>1</v>
      </c>
      <c r="D319" s="17">
        <f t="shared" si="163"/>
        <v>45312</v>
      </c>
      <c r="E319" s="18">
        <f t="shared" si="164"/>
        <v>1</v>
      </c>
      <c r="F319" s="19">
        <f t="shared" si="165"/>
        <v>2024</v>
      </c>
      <c r="G319" s="9">
        <f t="shared" si="186"/>
        <v>17</v>
      </c>
      <c r="H319" s="8">
        <f t="shared" si="186"/>
        <v>95</v>
      </c>
      <c r="I319" s="9"/>
      <c r="J319" s="9"/>
      <c r="K319" s="9"/>
      <c r="L319" s="9"/>
      <c r="M319" s="9"/>
      <c r="N319" s="9"/>
      <c r="O319" s="12"/>
      <c r="P319" s="12"/>
      <c r="Q319" s="12"/>
      <c r="R319" s="12"/>
      <c r="S319" s="12"/>
      <c r="T319" s="12"/>
      <c r="V319" s="20">
        <f t="shared" si="153"/>
        <v>8</v>
      </c>
      <c r="W319" s="20">
        <f t="shared" si="154"/>
        <v>13</v>
      </c>
      <c r="X319" s="20">
        <f t="shared" si="155"/>
        <v>0</v>
      </c>
      <c r="Y319" s="20">
        <f t="shared" si="156"/>
        <v>2</v>
      </c>
      <c r="Z319" s="20">
        <f t="shared" si="157"/>
        <v>0</v>
      </c>
      <c r="AA319" s="20">
        <f t="shared" si="158"/>
        <v>0</v>
      </c>
      <c r="AC319" s="3">
        <f t="shared" si="168"/>
        <v>18</v>
      </c>
      <c r="AD319" s="3">
        <f t="shared" si="169"/>
        <v>0</v>
      </c>
      <c r="AE319" s="3">
        <f t="shared" si="170"/>
        <v>92</v>
      </c>
      <c r="AF319" s="3">
        <f t="shared" si="171"/>
        <v>86</v>
      </c>
      <c r="AG319" s="3">
        <f t="shared" si="172"/>
        <v>81</v>
      </c>
      <c r="AH319" s="3">
        <f t="shared" si="173"/>
        <v>76</v>
      </c>
      <c r="AI319" s="3">
        <f t="shared" si="174"/>
        <v>71</v>
      </c>
      <c r="AJ319" s="3">
        <f t="shared" si="175"/>
        <v>65</v>
      </c>
      <c r="AK319" s="3">
        <f t="shared" si="176"/>
        <v>60</v>
      </c>
      <c r="AL319" s="3">
        <f t="shared" si="177"/>
        <v>55</v>
      </c>
      <c r="AM319" s="3">
        <f t="shared" si="178"/>
        <v>50</v>
      </c>
      <c r="AN319" s="3">
        <f t="shared" si="179"/>
        <v>44</v>
      </c>
      <c r="AO319" s="3">
        <f t="shared" si="180"/>
        <v>39</v>
      </c>
      <c r="AP319" s="3">
        <f t="shared" si="181"/>
        <v>34</v>
      </c>
      <c r="AQ319" s="3">
        <f t="shared" si="182"/>
        <v>29</v>
      </c>
      <c r="AR319" s="3">
        <f t="shared" si="183"/>
        <v>23</v>
      </c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M319" s="35" t="s">
        <v>12</v>
      </c>
      <c r="BO319" s="35"/>
      <c r="BR319" s="9" t="str">
        <f t="shared" si="159"/>
        <v/>
      </c>
      <c r="BS319" s="37" t="str">
        <f t="shared" si="160"/>
        <v/>
      </c>
      <c r="BT319" s="38" t="str">
        <f t="shared" si="185"/>
        <v/>
      </c>
      <c r="BU319" s="36" t="str">
        <f t="shared" si="161"/>
        <v/>
      </c>
    </row>
    <row r="320" spans="2:73" ht="15">
      <c r="B320" s="16">
        <f t="shared" si="162"/>
        <v>45313</v>
      </c>
      <c r="C320" s="15" t="s">
        <v>1</v>
      </c>
      <c r="D320" s="17">
        <f t="shared" si="163"/>
        <v>45319</v>
      </c>
      <c r="E320" s="18">
        <f t="shared" si="164"/>
        <v>1</v>
      </c>
      <c r="F320" s="19">
        <f t="shared" si="165"/>
        <v>2024</v>
      </c>
      <c r="G320" s="9">
        <f t="shared" si="186"/>
        <v>17</v>
      </c>
      <c r="H320" s="8">
        <f t="shared" si="186"/>
        <v>95</v>
      </c>
      <c r="I320" s="9"/>
      <c r="J320" s="9"/>
      <c r="K320" s="9"/>
      <c r="L320" s="9"/>
      <c r="M320" s="9"/>
      <c r="N320" s="9"/>
      <c r="O320" s="12"/>
      <c r="P320" s="12"/>
      <c r="Q320" s="12"/>
      <c r="R320" s="12"/>
      <c r="S320" s="12"/>
      <c r="T320" s="12"/>
      <c r="V320" s="20">
        <f t="shared" si="153"/>
        <v>9</v>
      </c>
      <c r="W320" s="20">
        <f t="shared" si="154"/>
        <v>14</v>
      </c>
      <c r="X320" s="20">
        <f t="shared" si="155"/>
        <v>0</v>
      </c>
      <c r="Y320" s="20">
        <f t="shared" si="156"/>
        <v>3</v>
      </c>
      <c r="Z320" s="20">
        <f t="shared" si="157"/>
        <v>0</v>
      </c>
      <c r="AA320" s="20">
        <f t="shared" si="158"/>
        <v>0</v>
      </c>
      <c r="AC320" s="3">
        <f t="shared" si="168"/>
        <v>19</v>
      </c>
      <c r="AD320" s="3">
        <f t="shared" si="169"/>
        <v>0</v>
      </c>
      <c r="AE320" s="3">
        <f t="shared" si="170"/>
        <v>93</v>
      </c>
      <c r="AF320" s="3">
        <f t="shared" si="171"/>
        <v>87</v>
      </c>
      <c r="AG320" s="3">
        <f t="shared" si="172"/>
        <v>82</v>
      </c>
      <c r="AH320" s="3">
        <f t="shared" si="173"/>
        <v>77</v>
      </c>
      <c r="AI320" s="3">
        <f t="shared" si="174"/>
        <v>72</v>
      </c>
      <c r="AJ320" s="3">
        <f t="shared" si="175"/>
        <v>66</v>
      </c>
      <c r="AK320" s="3">
        <f t="shared" si="176"/>
        <v>61</v>
      </c>
      <c r="AL320" s="3">
        <f t="shared" si="177"/>
        <v>56</v>
      </c>
      <c r="AM320" s="3">
        <f t="shared" si="178"/>
        <v>51</v>
      </c>
      <c r="AN320" s="3">
        <f t="shared" si="179"/>
        <v>45</v>
      </c>
      <c r="AO320" s="3">
        <f t="shared" si="180"/>
        <v>40</v>
      </c>
      <c r="AP320" s="3">
        <f t="shared" si="181"/>
        <v>35</v>
      </c>
      <c r="AQ320" s="3">
        <f t="shared" si="182"/>
        <v>30</v>
      </c>
      <c r="AR320" s="3">
        <f t="shared" si="183"/>
        <v>24</v>
      </c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M320" s="35" t="s">
        <v>12</v>
      </c>
      <c r="BO320" s="35"/>
      <c r="BR320" s="9" t="str">
        <f t="shared" si="159"/>
        <v/>
      </c>
      <c r="BS320" s="37" t="str">
        <f t="shared" si="160"/>
        <v/>
      </c>
      <c r="BT320" s="38" t="str">
        <f t="shared" si="185"/>
        <v/>
      </c>
      <c r="BU320" s="36" t="str">
        <f t="shared" si="161"/>
        <v/>
      </c>
    </row>
    <row r="321" spans="2:73" ht="15">
      <c r="B321" s="16">
        <f t="shared" si="162"/>
        <v>45320</v>
      </c>
      <c r="C321" s="15" t="s">
        <v>1</v>
      </c>
      <c r="D321" s="17">
        <f t="shared" si="163"/>
        <v>45326</v>
      </c>
      <c r="E321" s="18">
        <f t="shared" si="164"/>
        <v>1</v>
      </c>
      <c r="F321" s="19">
        <f t="shared" si="165"/>
        <v>2024</v>
      </c>
      <c r="G321" s="9">
        <f t="shared" si="186"/>
        <v>17</v>
      </c>
      <c r="H321" s="8">
        <f t="shared" si="186"/>
        <v>95</v>
      </c>
      <c r="I321" s="9"/>
      <c r="J321" s="9"/>
      <c r="K321" s="9"/>
      <c r="L321" s="9"/>
      <c r="M321" s="9"/>
      <c r="N321" s="9"/>
      <c r="O321" s="12"/>
      <c r="P321" s="12"/>
      <c r="Q321" s="12"/>
      <c r="R321" s="12"/>
      <c r="S321" s="12"/>
      <c r="T321" s="12"/>
      <c r="V321" s="20">
        <f t="shared" si="153"/>
        <v>10</v>
      </c>
      <c r="W321" s="20">
        <f t="shared" si="154"/>
        <v>15</v>
      </c>
      <c r="X321" s="20">
        <f t="shared" si="155"/>
        <v>0</v>
      </c>
      <c r="Y321" s="20">
        <f t="shared" si="156"/>
        <v>4</v>
      </c>
      <c r="Z321" s="20">
        <f t="shared" si="157"/>
        <v>0</v>
      </c>
      <c r="AA321" s="20">
        <f t="shared" si="158"/>
        <v>0</v>
      </c>
      <c r="AC321" s="3">
        <f t="shared" si="168"/>
        <v>20</v>
      </c>
      <c r="AD321" s="3">
        <f t="shared" si="169"/>
        <v>0</v>
      </c>
      <c r="AE321" s="3">
        <f t="shared" si="170"/>
        <v>94</v>
      </c>
      <c r="AF321" s="3">
        <f t="shared" si="171"/>
        <v>88</v>
      </c>
      <c r="AG321" s="3">
        <f t="shared" si="172"/>
        <v>83</v>
      </c>
      <c r="AH321" s="3">
        <f t="shared" si="173"/>
        <v>78</v>
      </c>
      <c r="AI321" s="3">
        <f t="shared" si="174"/>
        <v>73</v>
      </c>
      <c r="AJ321" s="3">
        <f t="shared" si="175"/>
        <v>67</v>
      </c>
      <c r="AK321" s="3">
        <f t="shared" si="176"/>
        <v>62</v>
      </c>
      <c r="AL321" s="3">
        <f t="shared" si="177"/>
        <v>57</v>
      </c>
      <c r="AM321" s="3">
        <f t="shared" si="178"/>
        <v>52</v>
      </c>
      <c r="AN321" s="3">
        <f t="shared" si="179"/>
        <v>46</v>
      </c>
      <c r="AO321" s="3">
        <f t="shared" si="180"/>
        <v>41</v>
      </c>
      <c r="AP321" s="3">
        <f t="shared" si="181"/>
        <v>36</v>
      </c>
      <c r="AQ321" s="3">
        <f t="shared" si="182"/>
        <v>31</v>
      </c>
      <c r="AR321" s="3">
        <f t="shared" si="183"/>
        <v>25</v>
      </c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M321" s="35" t="s">
        <v>12</v>
      </c>
      <c r="BO321" s="35"/>
      <c r="BR321" s="9" t="str">
        <f t="shared" si="159"/>
        <v/>
      </c>
      <c r="BS321" s="37" t="str">
        <f t="shared" si="160"/>
        <v/>
      </c>
      <c r="BT321" s="38" t="str">
        <f t="shared" si="185"/>
        <v/>
      </c>
      <c r="BU321" s="36" t="str">
        <f t="shared" si="161"/>
        <v/>
      </c>
    </row>
    <row r="322" spans="2:73" ht="15">
      <c r="B322" s="16">
        <f t="shared" si="162"/>
        <v>45327</v>
      </c>
      <c r="C322" s="15" t="s">
        <v>1</v>
      </c>
      <c r="D322" s="17">
        <f t="shared" si="163"/>
        <v>45333</v>
      </c>
      <c r="E322" s="18">
        <f t="shared" si="164"/>
        <v>2</v>
      </c>
      <c r="F322" s="19">
        <f t="shared" si="165"/>
        <v>2024</v>
      </c>
      <c r="G322" s="9">
        <f t="shared" si="186"/>
        <v>17</v>
      </c>
      <c r="H322" s="8">
        <f t="shared" si="186"/>
        <v>95</v>
      </c>
      <c r="I322" s="9"/>
      <c r="J322" s="9"/>
      <c r="K322" s="9"/>
      <c r="L322" s="9"/>
      <c r="M322" s="9"/>
      <c r="N322" s="9"/>
      <c r="O322" s="12"/>
      <c r="P322" s="12"/>
      <c r="Q322" s="12">
        <v>1</v>
      </c>
      <c r="R322" s="12"/>
      <c r="S322" s="12"/>
      <c r="T322" s="12"/>
      <c r="V322" s="20">
        <f t="shared" si="153"/>
        <v>11</v>
      </c>
      <c r="W322" s="20">
        <f t="shared" si="154"/>
        <v>16</v>
      </c>
      <c r="X322" s="20">
        <f t="shared" si="155"/>
        <v>45329</v>
      </c>
      <c r="Y322" s="20">
        <f t="shared" si="156"/>
        <v>5</v>
      </c>
      <c r="Z322" s="20">
        <f t="shared" si="157"/>
        <v>0</v>
      </c>
      <c r="AA322" s="20">
        <f t="shared" si="158"/>
        <v>0</v>
      </c>
      <c r="AC322" s="3">
        <f t="shared" si="168"/>
        <v>21</v>
      </c>
      <c r="AD322" s="3">
        <f t="shared" si="169"/>
        <v>0</v>
      </c>
      <c r="AE322" s="3">
        <f t="shared" si="170"/>
        <v>95</v>
      </c>
      <c r="AF322" s="3">
        <f t="shared" si="171"/>
        <v>89</v>
      </c>
      <c r="AG322" s="3">
        <f t="shared" si="172"/>
        <v>84</v>
      </c>
      <c r="AH322" s="3">
        <f t="shared" si="173"/>
        <v>79</v>
      </c>
      <c r="AI322" s="3">
        <f t="shared" si="174"/>
        <v>74</v>
      </c>
      <c r="AJ322" s="3">
        <f t="shared" si="175"/>
        <v>68</v>
      </c>
      <c r="AK322" s="3">
        <f t="shared" si="176"/>
        <v>63</v>
      </c>
      <c r="AL322" s="3">
        <f t="shared" si="177"/>
        <v>58</v>
      </c>
      <c r="AM322" s="3">
        <f t="shared" si="178"/>
        <v>53</v>
      </c>
      <c r="AN322" s="3">
        <f t="shared" si="179"/>
        <v>47</v>
      </c>
      <c r="AO322" s="3">
        <f t="shared" si="180"/>
        <v>42</v>
      </c>
      <c r="AP322" s="3">
        <f t="shared" si="181"/>
        <v>37</v>
      </c>
      <c r="AQ322" s="3">
        <f t="shared" si="182"/>
        <v>32</v>
      </c>
      <c r="AR322" s="3">
        <f t="shared" si="183"/>
        <v>26</v>
      </c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M322" s="35" t="s">
        <v>12</v>
      </c>
      <c r="BO322" s="35"/>
      <c r="BR322" s="9">
        <f t="shared" si="159"/>
        <v>3</v>
      </c>
      <c r="BS322" s="37">
        <f t="shared" si="160"/>
        <v>45329</v>
      </c>
      <c r="BT322" s="38">
        <f t="shared" si="185"/>
        <v>45448</v>
      </c>
      <c r="BU322" s="36">
        <f t="shared" si="161"/>
        <v>1</v>
      </c>
    </row>
    <row r="323" spans="2:73" ht="15">
      <c r="B323" s="16">
        <f t="shared" si="162"/>
        <v>45334</v>
      </c>
      <c r="C323" s="15" t="s">
        <v>1</v>
      </c>
      <c r="D323" s="17">
        <f t="shared" si="163"/>
        <v>45340</v>
      </c>
      <c r="E323" s="18">
        <f t="shared" si="164"/>
        <v>2</v>
      </c>
      <c r="F323" s="19">
        <f t="shared" si="165"/>
        <v>2024</v>
      </c>
      <c r="G323" s="9">
        <f t="shared" si="186"/>
        <v>17</v>
      </c>
      <c r="H323" s="8">
        <f t="shared" si="186"/>
        <v>95</v>
      </c>
      <c r="I323" s="9"/>
      <c r="J323" s="9"/>
      <c r="K323" s="9"/>
      <c r="L323" s="9"/>
      <c r="M323" s="9"/>
      <c r="N323" s="9"/>
      <c r="O323" s="12"/>
      <c r="P323" s="12"/>
      <c r="Q323" s="12"/>
      <c r="R323" s="12"/>
      <c r="S323" s="12"/>
      <c r="T323" s="12"/>
      <c r="V323" s="20">
        <f t="shared" si="153"/>
        <v>12</v>
      </c>
      <c r="W323" s="20">
        <f t="shared" si="154"/>
        <v>17</v>
      </c>
      <c r="X323" s="20">
        <f t="shared" si="155"/>
        <v>1</v>
      </c>
      <c r="Y323" s="20">
        <f t="shared" si="156"/>
        <v>6</v>
      </c>
      <c r="Z323" s="20">
        <f t="shared" si="157"/>
        <v>0</v>
      </c>
      <c r="AA323" s="20">
        <f t="shared" si="158"/>
        <v>0</v>
      </c>
      <c r="AC323" s="3">
        <f t="shared" si="168"/>
        <v>22</v>
      </c>
      <c r="AD323" s="3">
        <f t="shared" si="169"/>
        <v>17</v>
      </c>
      <c r="AE323" s="3">
        <f t="shared" si="170"/>
        <v>0</v>
      </c>
      <c r="AF323" s="3">
        <f t="shared" si="171"/>
        <v>90</v>
      </c>
      <c r="AG323" s="3">
        <f t="shared" si="172"/>
        <v>85</v>
      </c>
      <c r="AH323" s="3">
        <f t="shared" si="173"/>
        <v>80</v>
      </c>
      <c r="AI323" s="3">
        <f t="shared" si="174"/>
        <v>75</v>
      </c>
      <c r="AJ323" s="3">
        <f t="shared" si="175"/>
        <v>69</v>
      </c>
      <c r="AK323" s="3">
        <f t="shared" si="176"/>
        <v>64</v>
      </c>
      <c r="AL323" s="3">
        <f t="shared" si="177"/>
        <v>59</v>
      </c>
      <c r="AM323" s="3">
        <f t="shared" si="178"/>
        <v>54</v>
      </c>
      <c r="AN323" s="3">
        <f t="shared" si="179"/>
        <v>48</v>
      </c>
      <c r="AO323" s="3">
        <f t="shared" si="180"/>
        <v>43</v>
      </c>
      <c r="AP323" s="3">
        <f t="shared" si="181"/>
        <v>38</v>
      </c>
      <c r="AQ323" s="3">
        <f t="shared" si="182"/>
        <v>33</v>
      </c>
      <c r="AR323" s="3">
        <f t="shared" si="183"/>
        <v>27</v>
      </c>
      <c r="AS323" s="8"/>
      <c r="AT323" s="8">
        <v>2</v>
      </c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M323" s="35" t="s">
        <v>12</v>
      </c>
      <c r="BO323" s="35"/>
      <c r="BR323" s="9" t="str">
        <f t="shared" si="159"/>
        <v/>
      </c>
      <c r="BS323" s="37" t="str">
        <f t="shared" si="160"/>
        <v/>
      </c>
      <c r="BT323" s="38" t="str">
        <f t="shared" si="185"/>
        <v/>
      </c>
      <c r="BU323" s="36" t="str">
        <f t="shared" si="161"/>
        <v/>
      </c>
    </row>
    <row r="324" spans="2:73" ht="15">
      <c r="B324" s="16">
        <f t="shared" si="162"/>
        <v>45341</v>
      </c>
      <c r="C324" s="15" t="s">
        <v>1</v>
      </c>
      <c r="D324" s="17">
        <f t="shared" si="163"/>
        <v>45347</v>
      </c>
      <c r="E324" s="18">
        <f t="shared" si="164"/>
        <v>2</v>
      </c>
      <c r="F324" s="19">
        <f t="shared" si="165"/>
        <v>2024</v>
      </c>
      <c r="G324" s="9">
        <f t="shared" si="186"/>
        <v>17</v>
      </c>
      <c r="H324" s="8">
        <f t="shared" si="186"/>
        <v>95</v>
      </c>
      <c r="I324" s="9"/>
      <c r="J324" s="9"/>
      <c r="K324" s="9"/>
      <c r="L324" s="9"/>
      <c r="M324" s="9"/>
      <c r="N324" s="9"/>
      <c r="O324" s="12"/>
      <c r="P324" s="12"/>
      <c r="Q324" s="12"/>
      <c r="R324" s="12"/>
      <c r="S324" s="12"/>
      <c r="T324" s="12"/>
      <c r="V324" s="20">
        <f t="shared" ref="V324:V387" si="187">IF(I324&gt;0,I324,IF(O324=1,$B324+2,IF(O323=1,1,IF(O323=2,0,IF(V323=$G323,0,(IF(V323&gt;=1,V323+1,0)))))))</f>
        <v>13</v>
      </c>
      <c r="W324" s="20">
        <f t="shared" ref="W324:W387" si="188">IF(J324&gt;0,J324,IF(P324=1,$B324+2,IF(P323=1,1,IF(P323=2,0,IF(W323=$G323,0,(IF(W323&gt;=1,W323+1,0)))))))</f>
        <v>0</v>
      </c>
      <c r="X324" s="20">
        <f t="shared" ref="X324:X387" si="189">IF(K324&gt;0,K324,IF(Q324=1,$B324+2,IF(Q323=1,1,IF(Q323=2,0,IF(X323=$G323,0,(IF(X323&gt;=1,X323+1,0)))))))</f>
        <v>2</v>
      </c>
      <c r="Y324" s="20">
        <f t="shared" ref="Y324:Y387" si="190">IF(L324&gt;0,L324,IF(R324=1,$B324+2,IF(R323=1,1,IF(R323=2,0,IF(Y323=$G323,0,(IF(Y323&gt;=1,Y323+1,0)))))))</f>
        <v>7</v>
      </c>
      <c r="Z324" s="20">
        <f t="shared" ref="Z324:Z387" si="191">IF(M324&gt;0,M324,IF(S324=1,$B324+2,IF(S323=1,1,IF(S323=2,0,IF(Z323=$G323,0,(IF(Z323&gt;=1,Z323+1,0)))))))</f>
        <v>0</v>
      </c>
      <c r="AA324" s="20">
        <f t="shared" ref="AA324:AA387" si="192">IF(N324&gt;0,N324,IF(T324=1,$B324+2,IF(T323=1,1,IF(T323=2,0,IF(AA323=$G323,0,(IF(AA323&gt;=1,AA323+1,0)))))))</f>
        <v>0</v>
      </c>
      <c r="AC324" s="3">
        <f t="shared" si="168"/>
        <v>23</v>
      </c>
      <c r="AD324" s="3">
        <f t="shared" si="169"/>
        <v>18</v>
      </c>
      <c r="AE324" s="3">
        <f t="shared" si="170"/>
        <v>0</v>
      </c>
      <c r="AF324" s="3">
        <f t="shared" si="171"/>
        <v>91</v>
      </c>
      <c r="AG324" s="3">
        <f t="shared" si="172"/>
        <v>86</v>
      </c>
      <c r="AH324" s="3">
        <f t="shared" si="173"/>
        <v>81</v>
      </c>
      <c r="AI324" s="3">
        <f t="shared" si="174"/>
        <v>76</v>
      </c>
      <c r="AJ324" s="3">
        <f t="shared" si="175"/>
        <v>70</v>
      </c>
      <c r="AK324" s="3">
        <f t="shared" si="176"/>
        <v>65</v>
      </c>
      <c r="AL324" s="3">
        <f t="shared" si="177"/>
        <v>60</v>
      </c>
      <c r="AM324" s="3">
        <f t="shared" si="178"/>
        <v>55</v>
      </c>
      <c r="AN324" s="3">
        <f t="shared" si="179"/>
        <v>49</v>
      </c>
      <c r="AO324" s="3">
        <f t="shared" si="180"/>
        <v>44</v>
      </c>
      <c r="AP324" s="3">
        <f t="shared" si="181"/>
        <v>39</v>
      </c>
      <c r="AQ324" s="3">
        <f t="shared" si="182"/>
        <v>34</v>
      </c>
      <c r="AR324" s="3">
        <f t="shared" si="183"/>
        <v>28</v>
      </c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M324" s="35" t="s">
        <v>12</v>
      </c>
      <c r="BO324" s="35"/>
      <c r="BR324" s="9" t="str">
        <f t="shared" ref="BR324:BR387" si="193">IF(AND(V324&gt;0,V323=0),$V$2,IF(AND(W324&gt;0,W323=0),$W$2,IF(AND(X324&gt;0,X323=0),$X$2,IF(AND(Y324&gt;0,Y323=0),$Y$2,IF(AND(Z324&gt;0,Z323=0),$Z$2,IF(AND(AA324&gt;0,AA323=0),$AA$2,""))))))</f>
        <v/>
      </c>
      <c r="BS324" s="37" t="str">
        <f t="shared" ref="BS324:BS387" si="194">IF(OR(AND($V325=1,$V326=2),OR(AND($W325=1,$W326=2),OR(AND($X325=1,$X326=2),OR(AND($Y325=1,$Y326=2),OR(AND($Z325=1,$Z326),OR(AND($AA325=1,$AA326=2))))))),$B324+2,"")</f>
        <v/>
      </c>
      <c r="BT324" s="38" t="str">
        <f t="shared" si="185"/>
        <v/>
      </c>
      <c r="BU324" s="36" t="str">
        <f t="shared" ref="BU324:BU387" si="195">IF(AND(AC341&gt;0,AC340=0),$AC$2,IF(AND(AD341&gt;0,AD340=0),$AD$2,IF(AND(AE341&gt;0,AE340=0),$AE$2,IF(AND(AF341&gt;0,AF340=0),$AF$2,IF(AND(AG341&gt;0,AG340=0),$AG$2,IF(AND(AH341&gt;0,AH340=0),$AH$2,IF(AND(AI341&gt;0,AI340=0),$AI$2,IF(AND(AJ341&gt;0,AJ340=0),$AJ$2,IF(AND(AK341&gt;0,AK340=0),$AK$2,IF(AND(AL341&gt;0,AL340=0),$AL$2,IF(AND(AM341&gt;0,AM340=0),$AM$2,IF(AND(AN341&gt;0,AN340=0),$AN$2,IF(AND(AO341&gt;0,AO340=0),$AO$2,IF(AND(AP341&gt;0,AP340=0),$AP$2,IF(AND(AQ341&gt;0,AQ340=0),$AQ$2,IF(AND(AR341&gt;0,AR340=0),$AR$2,""))))))))))))))))</f>
        <v/>
      </c>
    </row>
    <row r="325" spans="2:73" ht="15">
      <c r="B325" s="16">
        <f t="shared" ref="B325:B388" si="196">D324+1</f>
        <v>45348</v>
      </c>
      <c r="C325" s="15" t="s">
        <v>1</v>
      </c>
      <c r="D325" s="17">
        <f t="shared" ref="D325:D388" si="197">B325+6</f>
        <v>45354</v>
      </c>
      <c r="E325" s="18">
        <f t="shared" ref="E325:E388" si="198">MONTH(B325)</f>
        <v>2</v>
      </c>
      <c r="F325" s="19">
        <f t="shared" ref="F325:F388" si="199">YEAR(D325)</f>
        <v>2024</v>
      </c>
      <c r="G325" s="9">
        <f t="shared" si="186"/>
        <v>17</v>
      </c>
      <c r="H325" s="8">
        <f t="shared" si="186"/>
        <v>95</v>
      </c>
      <c r="I325" s="9"/>
      <c r="J325" s="9"/>
      <c r="K325" s="9"/>
      <c r="L325" s="9"/>
      <c r="M325" s="9"/>
      <c r="N325" s="9"/>
      <c r="O325" s="12"/>
      <c r="P325" s="12"/>
      <c r="Q325" s="12"/>
      <c r="R325" s="12"/>
      <c r="S325" s="12"/>
      <c r="T325" s="12"/>
      <c r="V325" s="20">
        <f t="shared" si="187"/>
        <v>14</v>
      </c>
      <c r="W325" s="20">
        <f t="shared" si="188"/>
        <v>0</v>
      </c>
      <c r="X325" s="20">
        <f t="shared" si="189"/>
        <v>3</v>
      </c>
      <c r="Y325" s="20">
        <f t="shared" si="190"/>
        <v>8</v>
      </c>
      <c r="Z325" s="20">
        <f t="shared" si="191"/>
        <v>0</v>
      </c>
      <c r="AA325" s="20">
        <f t="shared" si="192"/>
        <v>0</v>
      </c>
      <c r="AC325" s="3">
        <f t="shared" si="168"/>
        <v>24</v>
      </c>
      <c r="AD325" s="3">
        <f t="shared" si="169"/>
        <v>19</v>
      </c>
      <c r="AE325" s="3">
        <f t="shared" si="170"/>
        <v>0</v>
      </c>
      <c r="AF325" s="3">
        <f t="shared" si="171"/>
        <v>92</v>
      </c>
      <c r="AG325" s="3">
        <f t="shared" si="172"/>
        <v>87</v>
      </c>
      <c r="AH325" s="3">
        <f t="shared" si="173"/>
        <v>82</v>
      </c>
      <c r="AI325" s="3">
        <f t="shared" si="174"/>
        <v>77</v>
      </c>
      <c r="AJ325" s="3">
        <f t="shared" si="175"/>
        <v>71</v>
      </c>
      <c r="AK325" s="3">
        <f t="shared" si="176"/>
        <v>66</v>
      </c>
      <c r="AL325" s="3">
        <f t="shared" si="177"/>
        <v>61</v>
      </c>
      <c r="AM325" s="3">
        <f t="shared" si="178"/>
        <v>56</v>
      </c>
      <c r="AN325" s="3">
        <f t="shared" si="179"/>
        <v>50</v>
      </c>
      <c r="AO325" s="3">
        <f t="shared" si="180"/>
        <v>45</v>
      </c>
      <c r="AP325" s="3">
        <f t="shared" si="181"/>
        <v>40</v>
      </c>
      <c r="AQ325" s="3">
        <f t="shared" si="182"/>
        <v>35</v>
      </c>
      <c r="AR325" s="3">
        <f t="shared" si="183"/>
        <v>29</v>
      </c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M325" s="35" t="s">
        <v>12</v>
      </c>
      <c r="BO325" s="35"/>
      <c r="BR325" s="9" t="str">
        <f t="shared" si="193"/>
        <v/>
      </c>
      <c r="BS325" s="37" t="str">
        <f t="shared" si="194"/>
        <v/>
      </c>
      <c r="BT325" s="38" t="str">
        <f t="shared" si="185"/>
        <v/>
      </c>
      <c r="BU325" s="36" t="str">
        <f t="shared" si="195"/>
        <v/>
      </c>
    </row>
    <row r="326" spans="2:73" ht="15">
      <c r="B326" s="16">
        <f t="shared" si="196"/>
        <v>45355</v>
      </c>
      <c r="C326" s="15" t="s">
        <v>1</v>
      </c>
      <c r="D326" s="17">
        <f t="shared" si="197"/>
        <v>45361</v>
      </c>
      <c r="E326" s="18">
        <f t="shared" si="198"/>
        <v>3</v>
      </c>
      <c r="F326" s="19">
        <f t="shared" si="199"/>
        <v>2024</v>
      </c>
      <c r="G326" s="9">
        <f t="shared" ref="G326:H341" si="200">G325</f>
        <v>17</v>
      </c>
      <c r="H326" s="8">
        <f t="shared" si="200"/>
        <v>95</v>
      </c>
      <c r="I326" s="9"/>
      <c r="J326" s="9"/>
      <c r="K326" s="9"/>
      <c r="L326" s="9"/>
      <c r="M326" s="9"/>
      <c r="N326" s="9"/>
      <c r="O326" s="12"/>
      <c r="P326" s="12"/>
      <c r="Q326" s="12"/>
      <c r="R326" s="12"/>
      <c r="S326" s="12"/>
      <c r="T326" s="12"/>
      <c r="V326" s="20">
        <f t="shared" si="187"/>
        <v>15</v>
      </c>
      <c r="W326" s="20">
        <f t="shared" si="188"/>
        <v>0</v>
      </c>
      <c r="X326" s="20">
        <f t="shared" si="189"/>
        <v>4</v>
      </c>
      <c r="Y326" s="20">
        <f t="shared" si="190"/>
        <v>9</v>
      </c>
      <c r="Z326" s="20">
        <f t="shared" si="191"/>
        <v>0</v>
      </c>
      <c r="AA326" s="20">
        <f t="shared" si="192"/>
        <v>0</v>
      </c>
      <c r="AC326" s="3">
        <f t="shared" si="168"/>
        <v>25</v>
      </c>
      <c r="AD326" s="3">
        <f t="shared" si="169"/>
        <v>20</v>
      </c>
      <c r="AE326" s="3">
        <f t="shared" si="170"/>
        <v>0</v>
      </c>
      <c r="AF326" s="3">
        <f t="shared" si="171"/>
        <v>93</v>
      </c>
      <c r="AG326" s="3">
        <f t="shared" si="172"/>
        <v>88</v>
      </c>
      <c r="AH326" s="3">
        <f t="shared" si="173"/>
        <v>83</v>
      </c>
      <c r="AI326" s="3">
        <f t="shared" si="174"/>
        <v>78</v>
      </c>
      <c r="AJ326" s="3">
        <f t="shared" si="175"/>
        <v>72</v>
      </c>
      <c r="AK326" s="3">
        <f t="shared" si="176"/>
        <v>67</v>
      </c>
      <c r="AL326" s="3">
        <f t="shared" si="177"/>
        <v>62</v>
      </c>
      <c r="AM326" s="3">
        <f t="shared" si="178"/>
        <v>57</v>
      </c>
      <c r="AN326" s="3">
        <f t="shared" si="179"/>
        <v>51</v>
      </c>
      <c r="AO326" s="3">
        <f t="shared" si="180"/>
        <v>46</v>
      </c>
      <c r="AP326" s="3">
        <f t="shared" si="181"/>
        <v>41</v>
      </c>
      <c r="AQ326" s="3">
        <f t="shared" si="182"/>
        <v>36</v>
      </c>
      <c r="AR326" s="3">
        <f t="shared" si="183"/>
        <v>30</v>
      </c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M326" s="35" t="s">
        <v>12</v>
      </c>
      <c r="BO326" s="35"/>
      <c r="BR326" s="9" t="str">
        <f t="shared" si="193"/>
        <v/>
      </c>
      <c r="BS326" s="37" t="str">
        <f t="shared" si="194"/>
        <v/>
      </c>
      <c r="BT326" s="38" t="str">
        <f t="shared" si="185"/>
        <v/>
      </c>
      <c r="BU326" s="36" t="str">
        <f t="shared" si="195"/>
        <v/>
      </c>
    </row>
    <row r="327" spans="2:73" ht="15">
      <c r="B327" s="16">
        <f t="shared" si="196"/>
        <v>45362</v>
      </c>
      <c r="C327" s="15" t="s">
        <v>1</v>
      </c>
      <c r="D327" s="17">
        <f t="shared" si="197"/>
        <v>45368</v>
      </c>
      <c r="E327" s="18">
        <f t="shared" si="198"/>
        <v>3</v>
      </c>
      <c r="F327" s="19">
        <f t="shared" si="199"/>
        <v>2024</v>
      </c>
      <c r="G327" s="9">
        <f t="shared" si="200"/>
        <v>17</v>
      </c>
      <c r="H327" s="8">
        <f t="shared" si="200"/>
        <v>95</v>
      </c>
      <c r="I327" s="9"/>
      <c r="J327" s="9"/>
      <c r="K327" s="9"/>
      <c r="L327" s="9"/>
      <c r="M327" s="9"/>
      <c r="N327" s="9"/>
      <c r="O327" s="12"/>
      <c r="P327" s="12">
        <v>1</v>
      </c>
      <c r="Q327" s="12"/>
      <c r="R327" s="12"/>
      <c r="S327" s="12"/>
      <c r="T327" s="12"/>
      <c r="V327" s="20">
        <f t="shared" si="187"/>
        <v>16</v>
      </c>
      <c r="W327" s="20">
        <f t="shared" si="188"/>
        <v>45364</v>
      </c>
      <c r="X327" s="20">
        <f t="shared" si="189"/>
        <v>5</v>
      </c>
      <c r="Y327" s="20">
        <f t="shared" si="190"/>
        <v>10</v>
      </c>
      <c r="Z327" s="20">
        <f t="shared" si="191"/>
        <v>0</v>
      </c>
      <c r="AA327" s="20">
        <f t="shared" si="192"/>
        <v>0</v>
      </c>
      <c r="AC327" s="3">
        <f t="shared" si="168"/>
        <v>26</v>
      </c>
      <c r="AD327" s="3">
        <f t="shared" si="169"/>
        <v>21</v>
      </c>
      <c r="AE327" s="3">
        <f t="shared" si="170"/>
        <v>0</v>
      </c>
      <c r="AF327" s="3">
        <f t="shared" si="171"/>
        <v>94</v>
      </c>
      <c r="AG327" s="3">
        <f t="shared" si="172"/>
        <v>89</v>
      </c>
      <c r="AH327" s="3">
        <f t="shared" si="173"/>
        <v>84</v>
      </c>
      <c r="AI327" s="3">
        <f t="shared" si="174"/>
        <v>79</v>
      </c>
      <c r="AJ327" s="3">
        <f t="shared" si="175"/>
        <v>73</v>
      </c>
      <c r="AK327" s="3">
        <f t="shared" si="176"/>
        <v>68</v>
      </c>
      <c r="AL327" s="3">
        <f t="shared" si="177"/>
        <v>63</v>
      </c>
      <c r="AM327" s="3">
        <f t="shared" si="178"/>
        <v>58</v>
      </c>
      <c r="AN327" s="3">
        <f t="shared" si="179"/>
        <v>52</v>
      </c>
      <c r="AO327" s="3">
        <f t="shared" si="180"/>
        <v>47</v>
      </c>
      <c r="AP327" s="3">
        <f t="shared" si="181"/>
        <v>42</v>
      </c>
      <c r="AQ327" s="3">
        <f t="shared" si="182"/>
        <v>37</v>
      </c>
      <c r="AR327" s="3">
        <f t="shared" si="183"/>
        <v>31</v>
      </c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M327" s="35" t="s">
        <v>12</v>
      </c>
      <c r="BO327" s="35"/>
      <c r="BR327" s="9">
        <f t="shared" si="193"/>
        <v>2</v>
      </c>
      <c r="BS327" s="37">
        <f t="shared" si="194"/>
        <v>45364</v>
      </c>
      <c r="BT327" s="38">
        <f t="shared" si="185"/>
        <v>45483</v>
      </c>
      <c r="BU327" s="36">
        <f t="shared" si="195"/>
        <v>6</v>
      </c>
    </row>
    <row r="328" spans="2:73" ht="15">
      <c r="B328" s="16">
        <f t="shared" si="196"/>
        <v>45369</v>
      </c>
      <c r="C328" s="15" t="s">
        <v>1</v>
      </c>
      <c r="D328" s="17">
        <f t="shared" si="197"/>
        <v>45375</v>
      </c>
      <c r="E328" s="18">
        <f t="shared" si="198"/>
        <v>3</v>
      </c>
      <c r="F328" s="19">
        <f t="shared" si="199"/>
        <v>2024</v>
      </c>
      <c r="G328" s="9">
        <f t="shared" si="200"/>
        <v>17</v>
      </c>
      <c r="H328" s="8">
        <f t="shared" si="200"/>
        <v>95</v>
      </c>
      <c r="I328" s="9"/>
      <c r="J328" s="9"/>
      <c r="K328" s="9"/>
      <c r="L328" s="9"/>
      <c r="M328" s="9"/>
      <c r="N328" s="9"/>
      <c r="O328" s="12"/>
      <c r="P328" s="12"/>
      <c r="Q328" s="12"/>
      <c r="R328" s="12"/>
      <c r="S328" s="12"/>
      <c r="T328" s="12"/>
      <c r="V328" s="20">
        <f t="shared" si="187"/>
        <v>17</v>
      </c>
      <c r="W328" s="20">
        <f t="shared" si="188"/>
        <v>1</v>
      </c>
      <c r="X328" s="20">
        <f t="shared" si="189"/>
        <v>6</v>
      </c>
      <c r="Y328" s="20">
        <f t="shared" si="190"/>
        <v>11</v>
      </c>
      <c r="Z328" s="20">
        <f t="shared" si="191"/>
        <v>0</v>
      </c>
      <c r="AA328" s="20">
        <f t="shared" si="192"/>
        <v>0</v>
      </c>
      <c r="AC328" s="3">
        <f t="shared" si="168"/>
        <v>27</v>
      </c>
      <c r="AD328" s="3">
        <f t="shared" si="169"/>
        <v>22</v>
      </c>
      <c r="AE328" s="3">
        <f t="shared" si="170"/>
        <v>17</v>
      </c>
      <c r="AF328" s="3">
        <f t="shared" si="171"/>
        <v>95</v>
      </c>
      <c r="AG328" s="3">
        <f t="shared" si="172"/>
        <v>90</v>
      </c>
      <c r="AH328" s="3">
        <f t="shared" si="173"/>
        <v>85</v>
      </c>
      <c r="AI328" s="3">
        <f t="shared" si="174"/>
        <v>80</v>
      </c>
      <c r="AJ328" s="3">
        <f t="shared" si="175"/>
        <v>74</v>
      </c>
      <c r="AK328" s="3">
        <f t="shared" si="176"/>
        <v>69</v>
      </c>
      <c r="AL328" s="3">
        <f t="shared" si="177"/>
        <v>64</v>
      </c>
      <c r="AM328" s="3">
        <f t="shared" si="178"/>
        <v>59</v>
      </c>
      <c r="AN328" s="3">
        <f t="shared" si="179"/>
        <v>53</v>
      </c>
      <c r="AO328" s="3">
        <f t="shared" si="180"/>
        <v>48</v>
      </c>
      <c r="AP328" s="3">
        <f t="shared" si="181"/>
        <v>43</v>
      </c>
      <c r="AQ328" s="3">
        <f t="shared" si="182"/>
        <v>38</v>
      </c>
      <c r="AR328" s="3">
        <f t="shared" si="183"/>
        <v>32</v>
      </c>
      <c r="AS328" s="8"/>
      <c r="AT328" s="8"/>
      <c r="AU328" s="8">
        <v>1</v>
      </c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M328" s="35" t="s">
        <v>12</v>
      </c>
      <c r="BO328" s="35"/>
      <c r="BR328" s="9" t="str">
        <f t="shared" si="193"/>
        <v/>
      </c>
      <c r="BS328" s="37" t="str">
        <f t="shared" si="194"/>
        <v/>
      </c>
      <c r="BT328" s="38" t="str">
        <f t="shared" si="185"/>
        <v/>
      </c>
      <c r="BU328" s="36" t="str">
        <f t="shared" si="195"/>
        <v/>
      </c>
    </row>
    <row r="329" spans="2:73" ht="15">
      <c r="B329" s="16">
        <f t="shared" si="196"/>
        <v>45376</v>
      </c>
      <c r="C329" s="15" t="s">
        <v>1</v>
      </c>
      <c r="D329" s="17">
        <f t="shared" si="197"/>
        <v>45382</v>
      </c>
      <c r="E329" s="18">
        <f t="shared" si="198"/>
        <v>3</v>
      </c>
      <c r="F329" s="19">
        <f t="shared" si="199"/>
        <v>2024</v>
      </c>
      <c r="G329" s="9">
        <f t="shared" si="200"/>
        <v>17</v>
      </c>
      <c r="H329" s="8">
        <f t="shared" si="200"/>
        <v>95</v>
      </c>
      <c r="I329" s="9"/>
      <c r="J329" s="9"/>
      <c r="K329" s="9"/>
      <c r="L329" s="9"/>
      <c r="M329" s="9"/>
      <c r="N329" s="9"/>
      <c r="O329" s="12"/>
      <c r="P329" s="12"/>
      <c r="Q329" s="12"/>
      <c r="R329" s="12"/>
      <c r="S329" s="12"/>
      <c r="T329" s="12"/>
      <c r="V329" s="20">
        <f t="shared" si="187"/>
        <v>0</v>
      </c>
      <c r="W329" s="20">
        <f t="shared" si="188"/>
        <v>2</v>
      </c>
      <c r="X329" s="20">
        <f t="shared" si="189"/>
        <v>7</v>
      </c>
      <c r="Y329" s="20">
        <f t="shared" si="190"/>
        <v>12</v>
      </c>
      <c r="Z329" s="20">
        <f t="shared" si="191"/>
        <v>0</v>
      </c>
      <c r="AA329" s="20">
        <f t="shared" si="192"/>
        <v>0</v>
      </c>
      <c r="AC329" s="3">
        <f t="shared" si="168"/>
        <v>28</v>
      </c>
      <c r="AD329" s="3">
        <f t="shared" si="169"/>
        <v>23</v>
      </c>
      <c r="AE329" s="3">
        <f t="shared" si="170"/>
        <v>18</v>
      </c>
      <c r="AF329" s="3">
        <f t="shared" si="171"/>
        <v>0</v>
      </c>
      <c r="AG329" s="3">
        <f t="shared" si="172"/>
        <v>91</v>
      </c>
      <c r="AH329" s="3">
        <f t="shared" si="173"/>
        <v>86</v>
      </c>
      <c r="AI329" s="3">
        <f t="shared" si="174"/>
        <v>81</v>
      </c>
      <c r="AJ329" s="3">
        <f t="shared" si="175"/>
        <v>75</v>
      </c>
      <c r="AK329" s="3">
        <f t="shared" si="176"/>
        <v>70</v>
      </c>
      <c r="AL329" s="3">
        <f t="shared" si="177"/>
        <v>65</v>
      </c>
      <c r="AM329" s="3">
        <f t="shared" si="178"/>
        <v>60</v>
      </c>
      <c r="AN329" s="3">
        <f t="shared" si="179"/>
        <v>54</v>
      </c>
      <c r="AO329" s="3">
        <f t="shared" si="180"/>
        <v>49</v>
      </c>
      <c r="AP329" s="3">
        <f t="shared" si="181"/>
        <v>44</v>
      </c>
      <c r="AQ329" s="3">
        <f t="shared" si="182"/>
        <v>39</v>
      </c>
      <c r="AR329" s="3">
        <f t="shared" si="183"/>
        <v>33</v>
      </c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M329" s="35" t="s">
        <v>12</v>
      </c>
      <c r="BO329" s="35"/>
      <c r="BR329" s="9" t="str">
        <f t="shared" si="193"/>
        <v/>
      </c>
      <c r="BS329" s="37" t="str">
        <f t="shared" si="194"/>
        <v/>
      </c>
      <c r="BT329" s="38" t="str">
        <f t="shared" si="185"/>
        <v/>
      </c>
      <c r="BU329" s="36" t="str">
        <f t="shared" si="195"/>
        <v/>
      </c>
    </row>
    <row r="330" spans="2:73" ht="15">
      <c r="B330" s="16">
        <f t="shared" si="196"/>
        <v>45383</v>
      </c>
      <c r="C330" s="15" t="s">
        <v>1</v>
      </c>
      <c r="D330" s="17">
        <f t="shared" si="197"/>
        <v>45389</v>
      </c>
      <c r="E330" s="18">
        <f t="shared" si="198"/>
        <v>4</v>
      </c>
      <c r="F330" s="19">
        <f t="shared" si="199"/>
        <v>2024</v>
      </c>
      <c r="G330" s="9">
        <f t="shared" si="200"/>
        <v>17</v>
      </c>
      <c r="H330" s="8">
        <f t="shared" si="200"/>
        <v>95</v>
      </c>
      <c r="I330" s="9"/>
      <c r="J330" s="9"/>
      <c r="K330" s="9"/>
      <c r="L330" s="9"/>
      <c r="M330" s="9"/>
      <c r="N330" s="9"/>
      <c r="O330" s="12"/>
      <c r="P330" s="12"/>
      <c r="Q330" s="12"/>
      <c r="R330" s="12"/>
      <c r="S330" s="12"/>
      <c r="T330" s="12"/>
      <c r="V330" s="20">
        <f t="shared" si="187"/>
        <v>0</v>
      </c>
      <c r="W330" s="20">
        <f t="shared" si="188"/>
        <v>3</v>
      </c>
      <c r="X330" s="20">
        <f t="shared" si="189"/>
        <v>8</v>
      </c>
      <c r="Y330" s="20">
        <f t="shared" si="190"/>
        <v>13</v>
      </c>
      <c r="Z330" s="20">
        <f t="shared" si="191"/>
        <v>0</v>
      </c>
      <c r="AA330" s="20">
        <f t="shared" si="192"/>
        <v>0</v>
      </c>
      <c r="AC330" s="3">
        <f t="shared" si="168"/>
        <v>29</v>
      </c>
      <c r="AD330" s="3">
        <f t="shared" si="169"/>
        <v>24</v>
      </c>
      <c r="AE330" s="3">
        <f t="shared" si="170"/>
        <v>19</v>
      </c>
      <c r="AF330" s="3">
        <f t="shared" si="171"/>
        <v>0</v>
      </c>
      <c r="AG330" s="3">
        <f t="shared" si="172"/>
        <v>92</v>
      </c>
      <c r="AH330" s="3">
        <f t="shared" si="173"/>
        <v>87</v>
      </c>
      <c r="AI330" s="3">
        <f t="shared" si="174"/>
        <v>82</v>
      </c>
      <c r="AJ330" s="3">
        <f t="shared" si="175"/>
        <v>76</v>
      </c>
      <c r="AK330" s="3">
        <f t="shared" si="176"/>
        <v>71</v>
      </c>
      <c r="AL330" s="3">
        <f t="shared" si="177"/>
        <v>66</v>
      </c>
      <c r="AM330" s="3">
        <f t="shared" si="178"/>
        <v>61</v>
      </c>
      <c r="AN330" s="3">
        <f t="shared" si="179"/>
        <v>55</v>
      </c>
      <c r="AO330" s="3">
        <f t="shared" si="180"/>
        <v>50</v>
      </c>
      <c r="AP330" s="3">
        <f t="shared" si="181"/>
        <v>45</v>
      </c>
      <c r="AQ330" s="3">
        <f t="shared" si="182"/>
        <v>40</v>
      </c>
      <c r="AR330" s="3">
        <f t="shared" si="183"/>
        <v>34</v>
      </c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M330" s="35" t="s">
        <v>12</v>
      </c>
      <c r="BO330" s="35"/>
      <c r="BR330" s="9" t="str">
        <f t="shared" si="193"/>
        <v/>
      </c>
      <c r="BS330" s="37" t="str">
        <f t="shared" si="194"/>
        <v/>
      </c>
      <c r="BT330" s="38" t="str">
        <f t="shared" si="185"/>
        <v/>
      </c>
      <c r="BU330" s="36" t="str">
        <f t="shared" si="195"/>
        <v/>
      </c>
    </row>
    <row r="331" spans="2:73" ht="15">
      <c r="B331" s="16">
        <f t="shared" si="196"/>
        <v>45390</v>
      </c>
      <c r="C331" s="15" t="s">
        <v>1</v>
      </c>
      <c r="D331" s="17">
        <f t="shared" si="197"/>
        <v>45396</v>
      </c>
      <c r="E331" s="18">
        <f t="shared" si="198"/>
        <v>4</v>
      </c>
      <c r="F331" s="19">
        <f t="shared" si="199"/>
        <v>2024</v>
      </c>
      <c r="G331" s="9">
        <f t="shared" si="200"/>
        <v>17</v>
      </c>
      <c r="H331" s="8">
        <f t="shared" si="200"/>
        <v>95</v>
      </c>
      <c r="I331" s="9"/>
      <c r="J331" s="9"/>
      <c r="K331" s="9"/>
      <c r="L331" s="9"/>
      <c r="M331" s="9"/>
      <c r="N331" s="9"/>
      <c r="O331" s="12"/>
      <c r="P331" s="12"/>
      <c r="Q331" s="12"/>
      <c r="R331" s="12"/>
      <c r="S331" s="12"/>
      <c r="T331" s="12"/>
      <c r="V331" s="20">
        <f t="shared" si="187"/>
        <v>0</v>
      </c>
      <c r="W331" s="20">
        <f t="shared" si="188"/>
        <v>4</v>
      </c>
      <c r="X331" s="20">
        <f t="shared" si="189"/>
        <v>9</v>
      </c>
      <c r="Y331" s="20">
        <f t="shared" si="190"/>
        <v>14</v>
      </c>
      <c r="Z331" s="20">
        <f t="shared" si="191"/>
        <v>0</v>
      </c>
      <c r="AA331" s="20">
        <f t="shared" si="192"/>
        <v>0</v>
      </c>
      <c r="AC331" s="3">
        <f t="shared" si="168"/>
        <v>30</v>
      </c>
      <c r="AD331" s="3">
        <f t="shared" si="169"/>
        <v>25</v>
      </c>
      <c r="AE331" s="3">
        <f t="shared" si="170"/>
        <v>20</v>
      </c>
      <c r="AF331" s="3">
        <f t="shared" si="171"/>
        <v>0</v>
      </c>
      <c r="AG331" s="3">
        <f t="shared" si="172"/>
        <v>93</v>
      </c>
      <c r="AH331" s="3">
        <f t="shared" si="173"/>
        <v>88</v>
      </c>
      <c r="AI331" s="3">
        <f t="shared" si="174"/>
        <v>83</v>
      </c>
      <c r="AJ331" s="3">
        <f t="shared" si="175"/>
        <v>77</v>
      </c>
      <c r="AK331" s="3">
        <f t="shared" si="176"/>
        <v>72</v>
      </c>
      <c r="AL331" s="3">
        <f t="shared" si="177"/>
        <v>67</v>
      </c>
      <c r="AM331" s="3">
        <f t="shared" si="178"/>
        <v>62</v>
      </c>
      <c r="AN331" s="3">
        <f t="shared" si="179"/>
        <v>56</v>
      </c>
      <c r="AO331" s="3">
        <f t="shared" si="180"/>
        <v>51</v>
      </c>
      <c r="AP331" s="3">
        <f t="shared" si="181"/>
        <v>46</v>
      </c>
      <c r="AQ331" s="3">
        <f t="shared" si="182"/>
        <v>41</v>
      </c>
      <c r="AR331" s="3">
        <f t="shared" si="183"/>
        <v>35</v>
      </c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M331" s="35" t="s">
        <v>12</v>
      </c>
      <c r="BO331" s="35"/>
      <c r="BR331" s="9" t="str">
        <f t="shared" si="193"/>
        <v/>
      </c>
      <c r="BS331" s="37" t="str">
        <f t="shared" si="194"/>
        <v/>
      </c>
      <c r="BT331" s="38" t="str">
        <f t="shared" si="185"/>
        <v/>
      </c>
      <c r="BU331" s="36" t="str">
        <f t="shared" si="195"/>
        <v/>
      </c>
    </row>
    <row r="332" spans="2:73" ht="15">
      <c r="B332" s="16">
        <f t="shared" si="196"/>
        <v>45397</v>
      </c>
      <c r="C332" s="15" t="s">
        <v>1</v>
      </c>
      <c r="D332" s="17">
        <f t="shared" si="197"/>
        <v>45403</v>
      </c>
      <c r="E332" s="18">
        <f t="shared" si="198"/>
        <v>4</v>
      </c>
      <c r="F332" s="19">
        <f t="shared" si="199"/>
        <v>2024</v>
      </c>
      <c r="G332" s="9">
        <f t="shared" si="200"/>
        <v>17</v>
      </c>
      <c r="H332" s="8">
        <f t="shared" si="200"/>
        <v>95</v>
      </c>
      <c r="I332" s="9"/>
      <c r="J332" s="9"/>
      <c r="K332" s="9"/>
      <c r="L332" s="9"/>
      <c r="M332" s="9"/>
      <c r="N332" s="9"/>
      <c r="O332" s="12">
        <v>1</v>
      </c>
      <c r="P332" s="12"/>
      <c r="Q332" s="12"/>
      <c r="R332" s="12"/>
      <c r="S332" s="12"/>
      <c r="T332" s="12"/>
      <c r="V332" s="20">
        <f t="shared" si="187"/>
        <v>45399</v>
      </c>
      <c r="W332" s="20">
        <f t="shared" si="188"/>
        <v>5</v>
      </c>
      <c r="X332" s="20">
        <f t="shared" si="189"/>
        <v>10</v>
      </c>
      <c r="Y332" s="20">
        <f t="shared" si="190"/>
        <v>15</v>
      </c>
      <c r="Z332" s="20">
        <f t="shared" si="191"/>
        <v>0</v>
      </c>
      <c r="AA332" s="20">
        <f t="shared" si="192"/>
        <v>0</v>
      </c>
      <c r="AC332" s="3">
        <f t="shared" si="168"/>
        <v>31</v>
      </c>
      <c r="AD332" s="3">
        <f t="shared" si="169"/>
        <v>26</v>
      </c>
      <c r="AE332" s="3">
        <f t="shared" si="170"/>
        <v>21</v>
      </c>
      <c r="AF332" s="3">
        <f t="shared" si="171"/>
        <v>0</v>
      </c>
      <c r="AG332" s="3">
        <f t="shared" si="172"/>
        <v>94</v>
      </c>
      <c r="AH332" s="3">
        <f t="shared" si="173"/>
        <v>89</v>
      </c>
      <c r="AI332" s="3">
        <f t="shared" si="174"/>
        <v>84</v>
      </c>
      <c r="AJ332" s="3">
        <f t="shared" si="175"/>
        <v>78</v>
      </c>
      <c r="AK332" s="3">
        <f t="shared" si="176"/>
        <v>73</v>
      </c>
      <c r="AL332" s="3">
        <f t="shared" si="177"/>
        <v>68</v>
      </c>
      <c r="AM332" s="3">
        <f t="shared" si="178"/>
        <v>63</v>
      </c>
      <c r="AN332" s="3">
        <f t="shared" si="179"/>
        <v>57</v>
      </c>
      <c r="AO332" s="3">
        <f t="shared" si="180"/>
        <v>52</v>
      </c>
      <c r="AP332" s="3">
        <f t="shared" si="181"/>
        <v>47</v>
      </c>
      <c r="AQ332" s="3">
        <f t="shared" si="182"/>
        <v>42</v>
      </c>
      <c r="AR332" s="3">
        <f t="shared" si="183"/>
        <v>36</v>
      </c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M332" s="35" t="s">
        <v>12</v>
      </c>
      <c r="BO332" s="35"/>
      <c r="BR332" s="9">
        <f t="shared" si="193"/>
        <v>1</v>
      </c>
      <c r="BS332" s="37">
        <f t="shared" si="194"/>
        <v>45399</v>
      </c>
      <c r="BT332" s="38">
        <f t="shared" si="185"/>
        <v>45518</v>
      </c>
      <c r="BU332" s="36">
        <f t="shared" si="195"/>
        <v>2</v>
      </c>
    </row>
    <row r="333" spans="2:73" ht="15">
      <c r="B333" s="16">
        <f t="shared" si="196"/>
        <v>45404</v>
      </c>
      <c r="C333" s="15" t="s">
        <v>1</v>
      </c>
      <c r="D333" s="17">
        <f t="shared" si="197"/>
        <v>45410</v>
      </c>
      <c r="E333" s="18">
        <f t="shared" si="198"/>
        <v>4</v>
      </c>
      <c r="F333" s="19">
        <f t="shared" si="199"/>
        <v>2024</v>
      </c>
      <c r="G333" s="9">
        <f t="shared" si="200"/>
        <v>17</v>
      </c>
      <c r="H333" s="8">
        <f t="shared" si="200"/>
        <v>95</v>
      </c>
      <c r="I333" s="9"/>
      <c r="J333" s="9"/>
      <c r="K333" s="9"/>
      <c r="L333" s="9"/>
      <c r="M333" s="9"/>
      <c r="N333" s="9"/>
      <c r="O333" s="12"/>
      <c r="P333" s="12"/>
      <c r="Q333" s="12"/>
      <c r="R333" s="12"/>
      <c r="S333" s="12"/>
      <c r="T333" s="12"/>
      <c r="V333" s="20">
        <f t="shared" si="187"/>
        <v>1</v>
      </c>
      <c r="W333" s="20">
        <f t="shared" si="188"/>
        <v>6</v>
      </c>
      <c r="X333" s="20">
        <f t="shared" si="189"/>
        <v>11</v>
      </c>
      <c r="Y333" s="20">
        <f t="shared" si="190"/>
        <v>16</v>
      </c>
      <c r="Z333" s="20">
        <f t="shared" si="191"/>
        <v>0</v>
      </c>
      <c r="AA333" s="20">
        <f t="shared" si="192"/>
        <v>0</v>
      </c>
      <c r="AC333" s="3">
        <f t="shared" si="168"/>
        <v>32</v>
      </c>
      <c r="AD333" s="3">
        <f t="shared" si="169"/>
        <v>27</v>
      </c>
      <c r="AE333" s="3">
        <f t="shared" si="170"/>
        <v>22</v>
      </c>
      <c r="AF333" s="3">
        <f t="shared" si="171"/>
        <v>0</v>
      </c>
      <c r="AG333" s="3">
        <f t="shared" si="172"/>
        <v>95</v>
      </c>
      <c r="AH333" s="3">
        <f t="shared" si="173"/>
        <v>90</v>
      </c>
      <c r="AI333" s="3">
        <f t="shared" si="174"/>
        <v>85</v>
      </c>
      <c r="AJ333" s="3">
        <f t="shared" si="175"/>
        <v>79</v>
      </c>
      <c r="AK333" s="3">
        <f t="shared" si="176"/>
        <v>74</v>
      </c>
      <c r="AL333" s="3">
        <f t="shared" si="177"/>
        <v>69</v>
      </c>
      <c r="AM333" s="3">
        <f t="shared" si="178"/>
        <v>64</v>
      </c>
      <c r="AN333" s="3">
        <f t="shared" si="179"/>
        <v>58</v>
      </c>
      <c r="AO333" s="3">
        <f t="shared" si="180"/>
        <v>53</v>
      </c>
      <c r="AP333" s="3">
        <f t="shared" si="181"/>
        <v>48</v>
      </c>
      <c r="AQ333" s="3">
        <f t="shared" si="182"/>
        <v>43</v>
      </c>
      <c r="AR333" s="3">
        <f t="shared" si="183"/>
        <v>37</v>
      </c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M333" s="35" t="s">
        <v>12</v>
      </c>
      <c r="BO333" s="35"/>
      <c r="BR333" s="9" t="str">
        <f t="shared" si="193"/>
        <v/>
      </c>
      <c r="BS333" s="37" t="str">
        <f t="shared" si="194"/>
        <v/>
      </c>
      <c r="BT333" s="38" t="str">
        <f t="shared" si="185"/>
        <v/>
      </c>
      <c r="BU333" s="36" t="str">
        <f t="shared" si="195"/>
        <v/>
      </c>
    </row>
    <row r="334" spans="2:73" ht="15">
      <c r="B334" s="16">
        <f t="shared" si="196"/>
        <v>45411</v>
      </c>
      <c r="C334" s="15" t="s">
        <v>1</v>
      </c>
      <c r="D334" s="17">
        <f t="shared" si="197"/>
        <v>45417</v>
      </c>
      <c r="E334" s="18">
        <f t="shared" si="198"/>
        <v>4</v>
      </c>
      <c r="F334" s="19">
        <f t="shared" si="199"/>
        <v>2024</v>
      </c>
      <c r="G334" s="9">
        <f t="shared" si="200"/>
        <v>17</v>
      </c>
      <c r="H334" s="8">
        <f t="shared" si="200"/>
        <v>95</v>
      </c>
      <c r="I334" s="9"/>
      <c r="J334" s="9"/>
      <c r="K334" s="9"/>
      <c r="L334" s="9"/>
      <c r="M334" s="9"/>
      <c r="N334" s="9"/>
      <c r="O334" s="12"/>
      <c r="P334" s="12"/>
      <c r="Q334" s="12"/>
      <c r="R334" s="12"/>
      <c r="S334" s="12"/>
      <c r="T334" s="12"/>
      <c r="V334" s="20">
        <f t="shared" si="187"/>
        <v>2</v>
      </c>
      <c r="W334" s="20">
        <f t="shared" si="188"/>
        <v>7</v>
      </c>
      <c r="X334" s="20">
        <f t="shared" si="189"/>
        <v>12</v>
      </c>
      <c r="Y334" s="20">
        <f t="shared" si="190"/>
        <v>17</v>
      </c>
      <c r="Z334" s="20">
        <f t="shared" si="191"/>
        <v>0</v>
      </c>
      <c r="AA334" s="20">
        <f t="shared" si="192"/>
        <v>0</v>
      </c>
      <c r="AC334" s="3">
        <f t="shared" si="168"/>
        <v>33</v>
      </c>
      <c r="AD334" s="3">
        <f t="shared" si="169"/>
        <v>28</v>
      </c>
      <c r="AE334" s="3">
        <f t="shared" si="170"/>
        <v>23</v>
      </c>
      <c r="AF334" s="3">
        <f t="shared" si="171"/>
        <v>17</v>
      </c>
      <c r="AG334" s="3">
        <f t="shared" si="172"/>
        <v>0</v>
      </c>
      <c r="AH334" s="3">
        <f t="shared" si="173"/>
        <v>91</v>
      </c>
      <c r="AI334" s="3">
        <f t="shared" si="174"/>
        <v>86</v>
      </c>
      <c r="AJ334" s="3">
        <f t="shared" si="175"/>
        <v>80</v>
      </c>
      <c r="AK334" s="3">
        <f t="shared" si="176"/>
        <v>75</v>
      </c>
      <c r="AL334" s="3">
        <f t="shared" si="177"/>
        <v>70</v>
      </c>
      <c r="AM334" s="3">
        <f t="shared" si="178"/>
        <v>65</v>
      </c>
      <c r="AN334" s="3">
        <f t="shared" si="179"/>
        <v>59</v>
      </c>
      <c r="AO334" s="3">
        <f t="shared" si="180"/>
        <v>54</v>
      </c>
      <c r="AP334" s="3">
        <f t="shared" si="181"/>
        <v>49</v>
      </c>
      <c r="AQ334" s="3">
        <f t="shared" si="182"/>
        <v>44</v>
      </c>
      <c r="AR334" s="3">
        <f t="shared" si="183"/>
        <v>38</v>
      </c>
      <c r="AS334" s="8"/>
      <c r="AT334" s="8"/>
      <c r="AU334" s="8"/>
      <c r="AV334" s="8">
        <v>4</v>
      </c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M334" s="35" t="s">
        <v>12</v>
      </c>
      <c r="BO334" s="35"/>
      <c r="BR334" s="9" t="str">
        <f t="shared" si="193"/>
        <v/>
      </c>
      <c r="BS334" s="37" t="str">
        <f t="shared" si="194"/>
        <v/>
      </c>
      <c r="BT334" s="38" t="str">
        <f t="shared" si="185"/>
        <v/>
      </c>
      <c r="BU334" s="36" t="str">
        <f t="shared" si="195"/>
        <v/>
      </c>
    </row>
    <row r="335" spans="2:73" ht="15">
      <c r="B335" s="16">
        <f t="shared" si="196"/>
        <v>45418</v>
      </c>
      <c r="C335" s="15" t="s">
        <v>1</v>
      </c>
      <c r="D335" s="17">
        <f t="shared" si="197"/>
        <v>45424</v>
      </c>
      <c r="E335" s="18">
        <f t="shared" si="198"/>
        <v>5</v>
      </c>
      <c r="F335" s="19">
        <f t="shared" si="199"/>
        <v>2024</v>
      </c>
      <c r="G335" s="9">
        <f t="shared" si="200"/>
        <v>17</v>
      </c>
      <c r="H335" s="8">
        <f t="shared" si="200"/>
        <v>95</v>
      </c>
      <c r="I335" s="9"/>
      <c r="J335" s="9"/>
      <c r="K335" s="9"/>
      <c r="L335" s="9"/>
      <c r="M335" s="9"/>
      <c r="N335" s="9"/>
      <c r="O335" s="12"/>
      <c r="P335" s="12"/>
      <c r="Q335" s="12"/>
      <c r="R335" s="12"/>
      <c r="S335" s="12"/>
      <c r="T335" s="12"/>
      <c r="V335" s="20">
        <f t="shared" si="187"/>
        <v>3</v>
      </c>
      <c r="W335" s="20">
        <f t="shared" si="188"/>
        <v>8</v>
      </c>
      <c r="X335" s="20">
        <f t="shared" si="189"/>
        <v>13</v>
      </c>
      <c r="Y335" s="20">
        <f t="shared" si="190"/>
        <v>0</v>
      </c>
      <c r="Z335" s="20">
        <f t="shared" si="191"/>
        <v>0</v>
      </c>
      <c r="AA335" s="20">
        <f t="shared" si="192"/>
        <v>0</v>
      </c>
      <c r="AC335" s="3">
        <f t="shared" si="168"/>
        <v>34</v>
      </c>
      <c r="AD335" s="3">
        <f t="shared" si="169"/>
        <v>29</v>
      </c>
      <c r="AE335" s="3">
        <f t="shared" si="170"/>
        <v>24</v>
      </c>
      <c r="AF335" s="3">
        <f t="shared" si="171"/>
        <v>18</v>
      </c>
      <c r="AG335" s="3">
        <f t="shared" si="172"/>
        <v>0</v>
      </c>
      <c r="AH335" s="3">
        <f t="shared" si="173"/>
        <v>92</v>
      </c>
      <c r="AI335" s="3">
        <f t="shared" si="174"/>
        <v>87</v>
      </c>
      <c r="AJ335" s="3">
        <f t="shared" si="175"/>
        <v>81</v>
      </c>
      <c r="AK335" s="3">
        <f t="shared" si="176"/>
        <v>76</v>
      </c>
      <c r="AL335" s="3">
        <f t="shared" si="177"/>
        <v>71</v>
      </c>
      <c r="AM335" s="3">
        <f t="shared" si="178"/>
        <v>66</v>
      </c>
      <c r="AN335" s="3">
        <f t="shared" si="179"/>
        <v>60</v>
      </c>
      <c r="AO335" s="3">
        <f t="shared" si="180"/>
        <v>55</v>
      </c>
      <c r="AP335" s="3">
        <f t="shared" si="181"/>
        <v>50</v>
      </c>
      <c r="AQ335" s="3">
        <f t="shared" si="182"/>
        <v>45</v>
      </c>
      <c r="AR335" s="3">
        <f t="shared" si="183"/>
        <v>39</v>
      </c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M335" s="35" t="s">
        <v>12</v>
      </c>
      <c r="BO335" s="35"/>
      <c r="BR335" s="9" t="str">
        <f t="shared" si="193"/>
        <v/>
      </c>
      <c r="BS335" s="37" t="str">
        <f t="shared" si="194"/>
        <v/>
      </c>
      <c r="BT335" s="38" t="str">
        <f t="shared" si="185"/>
        <v/>
      </c>
      <c r="BU335" s="36" t="str">
        <f t="shared" si="195"/>
        <v/>
      </c>
    </row>
    <row r="336" spans="2:73" ht="15">
      <c r="B336" s="16">
        <f t="shared" si="196"/>
        <v>45425</v>
      </c>
      <c r="C336" s="15" t="s">
        <v>1</v>
      </c>
      <c r="D336" s="17">
        <f t="shared" si="197"/>
        <v>45431</v>
      </c>
      <c r="E336" s="18">
        <f t="shared" si="198"/>
        <v>5</v>
      </c>
      <c r="F336" s="19">
        <f t="shared" si="199"/>
        <v>2024</v>
      </c>
      <c r="G336" s="9">
        <f t="shared" si="200"/>
        <v>17</v>
      </c>
      <c r="H336" s="8">
        <f t="shared" si="200"/>
        <v>95</v>
      </c>
      <c r="I336" s="9"/>
      <c r="J336" s="9"/>
      <c r="K336" s="9"/>
      <c r="L336" s="9"/>
      <c r="M336" s="9"/>
      <c r="N336" s="9"/>
      <c r="O336" s="12"/>
      <c r="P336" s="12"/>
      <c r="Q336" s="12"/>
      <c r="R336" s="12"/>
      <c r="S336" s="12"/>
      <c r="T336" s="12"/>
      <c r="V336" s="20">
        <f t="shared" si="187"/>
        <v>4</v>
      </c>
      <c r="W336" s="20">
        <f t="shared" si="188"/>
        <v>9</v>
      </c>
      <c r="X336" s="20">
        <f t="shared" si="189"/>
        <v>14</v>
      </c>
      <c r="Y336" s="20">
        <f t="shared" si="190"/>
        <v>0</v>
      </c>
      <c r="Z336" s="20">
        <f t="shared" si="191"/>
        <v>0</v>
      </c>
      <c r="AA336" s="20">
        <f t="shared" si="192"/>
        <v>0</v>
      </c>
      <c r="AC336" s="3">
        <f t="shared" si="168"/>
        <v>35</v>
      </c>
      <c r="AD336" s="3">
        <f t="shared" si="169"/>
        <v>30</v>
      </c>
      <c r="AE336" s="3">
        <f t="shared" si="170"/>
        <v>25</v>
      </c>
      <c r="AF336" s="3">
        <f t="shared" si="171"/>
        <v>19</v>
      </c>
      <c r="AG336" s="3">
        <f t="shared" si="172"/>
        <v>0</v>
      </c>
      <c r="AH336" s="3">
        <f t="shared" si="173"/>
        <v>93</v>
      </c>
      <c r="AI336" s="3">
        <f t="shared" si="174"/>
        <v>88</v>
      </c>
      <c r="AJ336" s="3">
        <f t="shared" si="175"/>
        <v>82</v>
      </c>
      <c r="AK336" s="3">
        <f t="shared" si="176"/>
        <v>77</v>
      </c>
      <c r="AL336" s="3">
        <f t="shared" si="177"/>
        <v>72</v>
      </c>
      <c r="AM336" s="3">
        <f t="shared" si="178"/>
        <v>67</v>
      </c>
      <c r="AN336" s="3">
        <f t="shared" si="179"/>
        <v>61</v>
      </c>
      <c r="AO336" s="3">
        <f t="shared" si="180"/>
        <v>56</v>
      </c>
      <c r="AP336" s="3">
        <f t="shared" si="181"/>
        <v>51</v>
      </c>
      <c r="AQ336" s="3">
        <f t="shared" si="182"/>
        <v>46</v>
      </c>
      <c r="AR336" s="3">
        <f t="shared" si="183"/>
        <v>40</v>
      </c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M336" s="35" t="s">
        <v>12</v>
      </c>
      <c r="BO336" s="35"/>
      <c r="BR336" s="9" t="str">
        <f t="shared" si="193"/>
        <v/>
      </c>
      <c r="BS336" s="37" t="str">
        <f t="shared" si="194"/>
        <v/>
      </c>
      <c r="BT336" s="38" t="str">
        <f t="shared" si="185"/>
        <v/>
      </c>
      <c r="BU336" s="36" t="str">
        <f t="shared" si="195"/>
        <v/>
      </c>
    </row>
    <row r="337" spans="2:73" ht="15">
      <c r="B337" s="16">
        <f t="shared" si="196"/>
        <v>45432</v>
      </c>
      <c r="C337" s="15" t="s">
        <v>1</v>
      </c>
      <c r="D337" s="17">
        <f t="shared" si="197"/>
        <v>45438</v>
      </c>
      <c r="E337" s="18">
        <f t="shared" si="198"/>
        <v>5</v>
      </c>
      <c r="F337" s="19">
        <f t="shared" si="199"/>
        <v>2024</v>
      </c>
      <c r="G337" s="9">
        <f t="shared" si="200"/>
        <v>17</v>
      </c>
      <c r="H337" s="8">
        <f t="shared" si="200"/>
        <v>95</v>
      </c>
      <c r="I337" s="9"/>
      <c r="J337" s="9"/>
      <c r="K337" s="9"/>
      <c r="L337" s="9"/>
      <c r="M337" s="9"/>
      <c r="N337" s="9"/>
      <c r="O337" s="12"/>
      <c r="P337" s="12"/>
      <c r="Q337" s="12"/>
      <c r="R337" s="12"/>
      <c r="S337" s="12"/>
      <c r="T337" s="12"/>
      <c r="V337" s="20">
        <f t="shared" si="187"/>
        <v>5</v>
      </c>
      <c r="W337" s="20">
        <f t="shared" si="188"/>
        <v>10</v>
      </c>
      <c r="X337" s="20">
        <f t="shared" si="189"/>
        <v>15</v>
      </c>
      <c r="Y337" s="20">
        <f t="shared" si="190"/>
        <v>0</v>
      </c>
      <c r="Z337" s="20">
        <f t="shared" si="191"/>
        <v>0</v>
      </c>
      <c r="AA337" s="20">
        <f t="shared" si="192"/>
        <v>0</v>
      </c>
      <c r="AC337" s="3">
        <f t="shared" si="168"/>
        <v>36</v>
      </c>
      <c r="AD337" s="3">
        <f t="shared" si="169"/>
        <v>31</v>
      </c>
      <c r="AE337" s="3">
        <f t="shared" si="170"/>
        <v>26</v>
      </c>
      <c r="AF337" s="3">
        <f t="shared" si="171"/>
        <v>20</v>
      </c>
      <c r="AG337" s="3">
        <f t="shared" si="172"/>
        <v>0</v>
      </c>
      <c r="AH337" s="3">
        <f t="shared" si="173"/>
        <v>94</v>
      </c>
      <c r="AI337" s="3">
        <f t="shared" si="174"/>
        <v>89</v>
      </c>
      <c r="AJ337" s="3">
        <f t="shared" si="175"/>
        <v>83</v>
      </c>
      <c r="AK337" s="3">
        <f t="shared" si="176"/>
        <v>78</v>
      </c>
      <c r="AL337" s="3">
        <f t="shared" si="177"/>
        <v>73</v>
      </c>
      <c r="AM337" s="3">
        <f t="shared" si="178"/>
        <v>68</v>
      </c>
      <c r="AN337" s="3">
        <f t="shared" si="179"/>
        <v>62</v>
      </c>
      <c r="AO337" s="3">
        <f t="shared" si="180"/>
        <v>57</v>
      </c>
      <c r="AP337" s="3">
        <f t="shared" si="181"/>
        <v>52</v>
      </c>
      <c r="AQ337" s="3">
        <f t="shared" si="182"/>
        <v>47</v>
      </c>
      <c r="AR337" s="3">
        <f t="shared" si="183"/>
        <v>41</v>
      </c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M337" s="35" t="s">
        <v>12</v>
      </c>
      <c r="BO337" s="35"/>
      <c r="BR337" s="9" t="str">
        <f t="shared" si="193"/>
        <v/>
      </c>
      <c r="BS337" s="37" t="str">
        <f t="shared" si="194"/>
        <v/>
      </c>
      <c r="BT337" s="38" t="str">
        <f t="shared" si="185"/>
        <v/>
      </c>
      <c r="BU337" s="36" t="str">
        <f t="shared" si="195"/>
        <v/>
      </c>
    </row>
    <row r="338" spans="2:73" ht="15">
      <c r="B338" s="16">
        <f t="shared" si="196"/>
        <v>45439</v>
      </c>
      <c r="C338" s="15" t="s">
        <v>1</v>
      </c>
      <c r="D338" s="17">
        <f t="shared" si="197"/>
        <v>45445</v>
      </c>
      <c r="E338" s="18">
        <f t="shared" si="198"/>
        <v>5</v>
      </c>
      <c r="F338" s="19">
        <f t="shared" si="199"/>
        <v>2024</v>
      </c>
      <c r="G338" s="9">
        <f t="shared" si="200"/>
        <v>17</v>
      </c>
      <c r="H338" s="8">
        <f t="shared" si="200"/>
        <v>95</v>
      </c>
      <c r="I338" s="9"/>
      <c r="J338" s="9"/>
      <c r="K338" s="9"/>
      <c r="L338" s="9"/>
      <c r="M338" s="9"/>
      <c r="N338" s="9"/>
      <c r="O338" s="12"/>
      <c r="P338" s="12"/>
      <c r="Q338" s="12"/>
      <c r="R338" s="12">
        <v>1</v>
      </c>
      <c r="S338" s="12"/>
      <c r="T338" s="12"/>
      <c r="V338" s="20">
        <f t="shared" si="187"/>
        <v>6</v>
      </c>
      <c r="W338" s="20">
        <f t="shared" si="188"/>
        <v>11</v>
      </c>
      <c r="X338" s="20">
        <f t="shared" si="189"/>
        <v>16</v>
      </c>
      <c r="Y338" s="20">
        <f t="shared" si="190"/>
        <v>45441</v>
      </c>
      <c r="Z338" s="20">
        <f t="shared" si="191"/>
        <v>0</v>
      </c>
      <c r="AA338" s="20">
        <f t="shared" si="192"/>
        <v>0</v>
      </c>
      <c r="AC338" s="3">
        <f t="shared" si="168"/>
        <v>37</v>
      </c>
      <c r="AD338" s="3">
        <f t="shared" si="169"/>
        <v>32</v>
      </c>
      <c r="AE338" s="3">
        <f t="shared" si="170"/>
        <v>27</v>
      </c>
      <c r="AF338" s="3">
        <f t="shared" si="171"/>
        <v>21</v>
      </c>
      <c r="AG338" s="3">
        <f t="shared" si="172"/>
        <v>0</v>
      </c>
      <c r="AH338" s="3">
        <f t="shared" si="173"/>
        <v>95</v>
      </c>
      <c r="AI338" s="3">
        <f t="shared" si="174"/>
        <v>90</v>
      </c>
      <c r="AJ338" s="3">
        <f t="shared" si="175"/>
        <v>84</v>
      </c>
      <c r="AK338" s="3">
        <f t="shared" si="176"/>
        <v>79</v>
      </c>
      <c r="AL338" s="3">
        <f t="shared" si="177"/>
        <v>74</v>
      </c>
      <c r="AM338" s="3">
        <f t="shared" si="178"/>
        <v>69</v>
      </c>
      <c r="AN338" s="3">
        <f t="shared" si="179"/>
        <v>63</v>
      </c>
      <c r="AO338" s="3">
        <f t="shared" si="180"/>
        <v>58</v>
      </c>
      <c r="AP338" s="3">
        <f t="shared" si="181"/>
        <v>53</v>
      </c>
      <c r="AQ338" s="3">
        <f t="shared" si="182"/>
        <v>48</v>
      </c>
      <c r="AR338" s="3">
        <f t="shared" si="183"/>
        <v>42</v>
      </c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M338" s="35" t="s">
        <v>12</v>
      </c>
      <c r="BO338" s="35"/>
      <c r="BR338" s="9">
        <f t="shared" si="193"/>
        <v>4</v>
      </c>
      <c r="BS338" s="37">
        <f t="shared" si="194"/>
        <v>45441</v>
      </c>
      <c r="BT338" s="38">
        <f t="shared" si="185"/>
        <v>45560</v>
      </c>
      <c r="BU338" s="36">
        <f t="shared" si="195"/>
        <v>13</v>
      </c>
    </row>
    <row r="339" spans="2:73" ht="15">
      <c r="B339" s="16">
        <f t="shared" si="196"/>
        <v>45446</v>
      </c>
      <c r="C339" s="15" t="s">
        <v>1</v>
      </c>
      <c r="D339" s="17">
        <f t="shared" si="197"/>
        <v>45452</v>
      </c>
      <c r="E339" s="18">
        <f t="shared" si="198"/>
        <v>6</v>
      </c>
      <c r="F339" s="19">
        <f t="shared" si="199"/>
        <v>2024</v>
      </c>
      <c r="G339" s="9">
        <f t="shared" si="200"/>
        <v>17</v>
      </c>
      <c r="H339" s="8">
        <f t="shared" si="200"/>
        <v>95</v>
      </c>
      <c r="I339" s="9"/>
      <c r="J339" s="9"/>
      <c r="K339" s="9"/>
      <c r="L339" s="9"/>
      <c r="M339" s="9"/>
      <c r="N339" s="9"/>
      <c r="O339" s="12"/>
      <c r="P339" s="12"/>
      <c r="Q339" s="12"/>
      <c r="R339" s="12"/>
      <c r="S339" s="12"/>
      <c r="T339" s="12"/>
      <c r="V339" s="20">
        <f t="shared" si="187"/>
        <v>7</v>
      </c>
      <c r="W339" s="20">
        <f t="shared" si="188"/>
        <v>12</v>
      </c>
      <c r="X339" s="20">
        <f t="shared" si="189"/>
        <v>17</v>
      </c>
      <c r="Y339" s="20">
        <f t="shared" si="190"/>
        <v>1</v>
      </c>
      <c r="Z339" s="20">
        <f t="shared" si="191"/>
        <v>0</v>
      </c>
      <c r="AA339" s="20">
        <f t="shared" si="192"/>
        <v>0</v>
      </c>
      <c r="AC339" s="3">
        <f t="shared" si="168"/>
        <v>38</v>
      </c>
      <c r="AD339" s="3">
        <f t="shared" si="169"/>
        <v>33</v>
      </c>
      <c r="AE339" s="3">
        <f t="shared" si="170"/>
        <v>28</v>
      </c>
      <c r="AF339" s="3">
        <f t="shared" si="171"/>
        <v>22</v>
      </c>
      <c r="AG339" s="3">
        <f t="shared" si="172"/>
        <v>17</v>
      </c>
      <c r="AH339" s="3">
        <f t="shared" si="173"/>
        <v>0</v>
      </c>
      <c r="AI339" s="3">
        <f t="shared" si="174"/>
        <v>91</v>
      </c>
      <c r="AJ339" s="3">
        <f t="shared" si="175"/>
        <v>85</v>
      </c>
      <c r="AK339" s="3">
        <f t="shared" si="176"/>
        <v>80</v>
      </c>
      <c r="AL339" s="3">
        <f t="shared" si="177"/>
        <v>75</v>
      </c>
      <c r="AM339" s="3">
        <f t="shared" si="178"/>
        <v>70</v>
      </c>
      <c r="AN339" s="3">
        <f t="shared" si="179"/>
        <v>64</v>
      </c>
      <c r="AO339" s="3">
        <f t="shared" si="180"/>
        <v>59</v>
      </c>
      <c r="AP339" s="3">
        <f t="shared" si="181"/>
        <v>54</v>
      </c>
      <c r="AQ339" s="3">
        <f t="shared" si="182"/>
        <v>49</v>
      </c>
      <c r="AR339" s="3">
        <f t="shared" si="183"/>
        <v>43</v>
      </c>
      <c r="AS339" s="8"/>
      <c r="AT339" s="8"/>
      <c r="AU339" s="8"/>
      <c r="AV339" s="8"/>
      <c r="AW339" s="8">
        <v>3</v>
      </c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M339" s="35" t="s">
        <v>12</v>
      </c>
      <c r="BO339" s="35"/>
      <c r="BR339" s="9" t="str">
        <f t="shared" si="193"/>
        <v/>
      </c>
      <c r="BS339" s="37" t="str">
        <f t="shared" si="194"/>
        <v/>
      </c>
      <c r="BT339" s="38" t="str">
        <f t="shared" si="185"/>
        <v/>
      </c>
      <c r="BU339" s="36" t="str">
        <f t="shared" si="195"/>
        <v/>
      </c>
    </row>
    <row r="340" spans="2:73" ht="15">
      <c r="B340" s="16">
        <f t="shared" si="196"/>
        <v>45453</v>
      </c>
      <c r="C340" s="15" t="s">
        <v>1</v>
      </c>
      <c r="D340" s="17">
        <f t="shared" si="197"/>
        <v>45459</v>
      </c>
      <c r="E340" s="18">
        <f t="shared" si="198"/>
        <v>6</v>
      </c>
      <c r="F340" s="19">
        <f t="shared" si="199"/>
        <v>2024</v>
      </c>
      <c r="G340" s="9">
        <f t="shared" si="200"/>
        <v>17</v>
      </c>
      <c r="H340" s="8">
        <f t="shared" si="200"/>
        <v>95</v>
      </c>
      <c r="I340" s="9"/>
      <c r="J340" s="9"/>
      <c r="K340" s="9"/>
      <c r="L340" s="9"/>
      <c r="M340" s="9"/>
      <c r="N340" s="9"/>
      <c r="O340" s="12"/>
      <c r="P340" s="12"/>
      <c r="Q340" s="12"/>
      <c r="R340" s="12"/>
      <c r="S340" s="12"/>
      <c r="T340" s="12"/>
      <c r="V340" s="20">
        <f t="shared" si="187"/>
        <v>8</v>
      </c>
      <c r="W340" s="20">
        <f t="shared" si="188"/>
        <v>13</v>
      </c>
      <c r="X340" s="20">
        <f t="shared" si="189"/>
        <v>0</v>
      </c>
      <c r="Y340" s="20">
        <f t="shared" si="190"/>
        <v>2</v>
      </c>
      <c r="Z340" s="20">
        <f t="shared" si="191"/>
        <v>0</v>
      </c>
      <c r="AA340" s="20">
        <f t="shared" si="192"/>
        <v>0</v>
      </c>
      <c r="AC340" s="3">
        <f t="shared" si="168"/>
        <v>39</v>
      </c>
      <c r="AD340" s="3">
        <f t="shared" si="169"/>
        <v>34</v>
      </c>
      <c r="AE340" s="3">
        <f t="shared" si="170"/>
        <v>29</v>
      </c>
      <c r="AF340" s="3">
        <f t="shared" si="171"/>
        <v>23</v>
      </c>
      <c r="AG340" s="3">
        <f t="shared" si="172"/>
        <v>18</v>
      </c>
      <c r="AH340" s="3">
        <f t="shared" si="173"/>
        <v>0</v>
      </c>
      <c r="AI340" s="3">
        <f t="shared" si="174"/>
        <v>92</v>
      </c>
      <c r="AJ340" s="3">
        <f t="shared" si="175"/>
        <v>86</v>
      </c>
      <c r="AK340" s="3">
        <f t="shared" si="176"/>
        <v>81</v>
      </c>
      <c r="AL340" s="3">
        <f t="shared" si="177"/>
        <v>76</v>
      </c>
      <c r="AM340" s="3">
        <f t="shared" si="178"/>
        <v>71</v>
      </c>
      <c r="AN340" s="3">
        <f t="shared" si="179"/>
        <v>65</v>
      </c>
      <c r="AO340" s="3">
        <f t="shared" si="180"/>
        <v>60</v>
      </c>
      <c r="AP340" s="3">
        <f t="shared" si="181"/>
        <v>55</v>
      </c>
      <c r="AQ340" s="3">
        <f t="shared" si="182"/>
        <v>50</v>
      </c>
      <c r="AR340" s="3">
        <f t="shared" si="183"/>
        <v>44</v>
      </c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M340" s="35" t="s">
        <v>12</v>
      </c>
      <c r="BO340" s="35"/>
      <c r="BR340" s="9" t="str">
        <f t="shared" si="193"/>
        <v/>
      </c>
      <c r="BS340" s="37" t="str">
        <f t="shared" si="194"/>
        <v/>
      </c>
      <c r="BT340" s="38" t="str">
        <f t="shared" si="185"/>
        <v/>
      </c>
      <c r="BU340" s="36" t="str">
        <f t="shared" si="195"/>
        <v/>
      </c>
    </row>
    <row r="341" spans="2:73" ht="15">
      <c r="B341" s="16">
        <f t="shared" si="196"/>
        <v>45460</v>
      </c>
      <c r="C341" s="15" t="s">
        <v>1</v>
      </c>
      <c r="D341" s="17">
        <f t="shared" si="197"/>
        <v>45466</v>
      </c>
      <c r="E341" s="18">
        <f t="shared" si="198"/>
        <v>6</v>
      </c>
      <c r="F341" s="19">
        <f t="shared" si="199"/>
        <v>2024</v>
      </c>
      <c r="G341" s="9">
        <f t="shared" si="200"/>
        <v>17</v>
      </c>
      <c r="H341" s="8">
        <f t="shared" si="200"/>
        <v>95</v>
      </c>
      <c r="I341" s="9"/>
      <c r="J341" s="9"/>
      <c r="K341" s="9"/>
      <c r="L341" s="9"/>
      <c r="M341" s="9"/>
      <c r="N341" s="9"/>
      <c r="O341" s="12"/>
      <c r="P341" s="12"/>
      <c r="Q341" s="12"/>
      <c r="R341" s="12"/>
      <c r="S341" s="12"/>
      <c r="T341" s="12"/>
      <c r="V341" s="20">
        <f t="shared" si="187"/>
        <v>9</v>
      </c>
      <c r="W341" s="20">
        <f t="shared" si="188"/>
        <v>14</v>
      </c>
      <c r="X341" s="20">
        <f t="shared" si="189"/>
        <v>0</v>
      </c>
      <c r="Y341" s="20">
        <f t="shared" si="190"/>
        <v>3</v>
      </c>
      <c r="Z341" s="20">
        <f t="shared" si="191"/>
        <v>0</v>
      </c>
      <c r="AA341" s="20">
        <f t="shared" si="192"/>
        <v>0</v>
      </c>
      <c r="AC341" s="3">
        <f t="shared" si="168"/>
        <v>40</v>
      </c>
      <c r="AD341" s="3">
        <f t="shared" si="169"/>
        <v>35</v>
      </c>
      <c r="AE341" s="3">
        <f t="shared" si="170"/>
        <v>30</v>
      </c>
      <c r="AF341" s="3">
        <f t="shared" si="171"/>
        <v>24</v>
      </c>
      <c r="AG341" s="3">
        <f t="shared" si="172"/>
        <v>19</v>
      </c>
      <c r="AH341" s="3">
        <f t="shared" si="173"/>
        <v>0</v>
      </c>
      <c r="AI341" s="3">
        <f t="shared" si="174"/>
        <v>93</v>
      </c>
      <c r="AJ341" s="3">
        <f t="shared" si="175"/>
        <v>87</v>
      </c>
      <c r="AK341" s="3">
        <f t="shared" si="176"/>
        <v>82</v>
      </c>
      <c r="AL341" s="3">
        <f t="shared" si="177"/>
        <v>77</v>
      </c>
      <c r="AM341" s="3">
        <f t="shared" si="178"/>
        <v>72</v>
      </c>
      <c r="AN341" s="3">
        <f t="shared" si="179"/>
        <v>66</v>
      </c>
      <c r="AO341" s="3">
        <f t="shared" si="180"/>
        <v>61</v>
      </c>
      <c r="AP341" s="3">
        <f t="shared" si="181"/>
        <v>56</v>
      </c>
      <c r="AQ341" s="3">
        <f t="shared" si="182"/>
        <v>51</v>
      </c>
      <c r="AR341" s="3">
        <f t="shared" si="183"/>
        <v>45</v>
      </c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M341" s="35" t="s">
        <v>12</v>
      </c>
      <c r="BO341" s="35"/>
      <c r="BR341" s="9" t="str">
        <f t="shared" si="193"/>
        <v/>
      </c>
      <c r="BS341" s="37" t="str">
        <f t="shared" si="194"/>
        <v/>
      </c>
      <c r="BT341" s="38" t="str">
        <f t="shared" si="185"/>
        <v/>
      </c>
      <c r="BU341" s="36" t="str">
        <f t="shared" si="195"/>
        <v/>
      </c>
    </row>
    <row r="342" spans="2:73" ht="15">
      <c r="B342" s="16">
        <f t="shared" si="196"/>
        <v>45467</v>
      </c>
      <c r="C342" s="15" t="s">
        <v>1</v>
      </c>
      <c r="D342" s="17">
        <f t="shared" si="197"/>
        <v>45473</v>
      </c>
      <c r="E342" s="18">
        <f t="shared" si="198"/>
        <v>6</v>
      </c>
      <c r="F342" s="19">
        <f t="shared" si="199"/>
        <v>2024</v>
      </c>
      <c r="G342" s="9">
        <f t="shared" ref="G342:H357" si="201">G341</f>
        <v>17</v>
      </c>
      <c r="H342" s="8">
        <f t="shared" si="201"/>
        <v>95</v>
      </c>
      <c r="I342" s="9"/>
      <c r="J342" s="9"/>
      <c r="K342" s="9"/>
      <c r="L342" s="9"/>
      <c r="M342" s="9"/>
      <c r="N342" s="9"/>
      <c r="O342" s="12"/>
      <c r="P342" s="12"/>
      <c r="Q342" s="12"/>
      <c r="R342" s="12"/>
      <c r="S342" s="12"/>
      <c r="T342" s="12"/>
      <c r="V342" s="20">
        <f t="shared" si="187"/>
        <v>10</v>
      </c>
      <c r="W342" s="20">
        <f t="shared" si="188"/>
        <v>15</v>
      </c>
      <c r="X342" s="20">
        <f t="shared" si="189"/>
        <v>0</v>
      </c>
      <c r="Y342" s="20">
        <f t="shared" si="190"/>
        <v>4</v>
      </c>
      <c r="Z342" s="20">
        <f t="shared" si="191"/>
        <v>0</v>
      </c>
      <c r="AA342" s="20">
        <f t="shared" si="192"/>
        <v>0</v>
      </c>
      <c r="AC342" s="3">
        <f t="shared" si="168"/>
        <v>41</v>
      </c>
      <c r="AD342" s="3">
        <f t="shared" si="169"/>
        <v>36</v>
      </c>
      <c r="AE342" s="3">
        <f t="shared" si="170"/>
        <v>31</v>
      </c>
      <c r="AF342" s="3">
        <f t="shared" si="171"/>
        <v>25</v>
      </c>
      <c r="AG342" s="3">
        <f t="shared" si="172"/>
        <v>20</v>
      </c>
      <c r="AH342" s="3">
        <f t="shared" si="173"/>
        <v>0</v>
      </c>
      <c r="AI342" s="3">
        <f t="shared" si="174"/>
        <v>94</v>
      </c>
      <c r="AJ342" s="3">
        <f t="shared" si="175"/>
        <v>88</v>
      </c>
      <c r="AK342" s="3">
        <f t="shared" si="176"/>
        <v>83</v>
      </c>
      <c r="AL342" s="3">
        <f t="shared" si="177"/>
        <v>78</v>
      </c>
      <c r="AM342" s="3">
        <f t="shared" si="178"/>
        <v>73</v>
      </c>
      <c r="AN342" s="3">
        <f t="shared" si="179"/>
        <v>67</v>
      </c>
      <c r="AO342" s="3">
        <f t="shared" si="180"/>
        <v>62</v>
      </c>
      <c r="AP342" s="3">
        <f t="shared" si="181"/>
        <v>57</v>
      </c>
      <c r="AQ342" s="3">
        <f t="shared" si="182"/>
        <v>52</v>
      </c>
      <c r="AR342" s="3">
        <f t="shared" si="183"/>
        <v>46</v>
      </c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M342" s="35" t="s">
        <v>12</v>
      </c>
      <c r="BO342" s="35"/>
      <c r="BR342" s="9" t="str">
        <f t="shared" si="193"/>
        <v/>
      </c>
      <c r="BS342" s="37" t="str">
        <f t="shared" si="194"/>
        <v/>
      </c>
      <c r="BT342" s="38" t="str">
        <f t="shared" si="185"/>
        <v/>
      </c>
      <c r="BU342" s="36" t="str">
        <f t="shared" si="195"/>
        <v/>
      </c>
    </row>
    <row r="343" spans="2:73" ht="15">
      <c r="B343" s="16">
        <f t="shared" si="196"/>
        <v>45474</v>
      </c>
      <c r="C343" s="15" t="s">
        <v>1</v>
      </c>
      <c r="D343" s="17">
        <f t="shared" si="197"/>
        <v>45480</v>
      </c>
      <c r="E343" s="18">
        <f t="shared" si="198"/>
        <v>7</v>
      </c>
      <c r="F343" s="19">
        <f t="shared" si="199"/>
        <v>2024</v>
      </c>
      <c r="G343" s="9">
        <f t="shared" si="201"/>
        <v>17</v>
      </c>
      <c r="H343" s="8">
        <f t="shared" si="201"/>
        <v>95</v>
      </c>
      <c r="I343" s="9"/>
      <c r="J343" s="9"/>
      <c r="K343" s="9"/>
      <c r="L343" s="9"/>
      <c r="M343" s="9"/>
      <c r="N343" s="9"/>
      <c r="O343" s="12"/>
      <c r="P343" s="12"/>
      <c r="Q343" s="12">
        <v>1</v>
      </c>
      <c r="R343" s="12"/>
      <c r="S343" s="12"/>
      <c r="T343" s="12"/>
      <c r="V343" s="20">
        <f t="shared" si="187"/>
        <v>11</v>
      </c>
      <c r="W343" s="20">
        <f t="shared" si="188"/>
        <v>16</v>
      </c>
      <c r="X343" s="20">
        <f t="shared" si="189"/>
        <v>45476</v>
      </c>
      <c r="Y343" s="20">
        <f t="shared" si="190"/>
        <v>5</v>
      </c>
      <c r="Z343" s="20">
        <f t="shared" si="191"/>
        <v>0</v>
      </c>
      <c r="AA343" s="20">
        <f t="shared" si="192"/>
        <v>0</v>
      </c>
      <c r="AC343" s="3">
        <f t="shared" si="168"/>
        <v>42</v>
      </c>
      <c r="AD343" s="3">
        <f t="shared" si="169"/>
        <v>37</v>
      </c>
      <c r="AE343" s="3">
        <f t="shared" si="170"/>
        <v>32</v>
      </c>
      <c r="AF343" s="3">
        <f t="shared" si="171"/>
        <v>26</v>
      </c>
      <c r="AG343" s="3">
        <f t="shared" si="172"/>
        <v>21</v>
      </c>
      <c r="AH343" s="3">
        <f t="shared" si="173"/>
        <v>0</v>
      </c>
      <c r="AI343" s="3">
        <f t="shared" si="174"/>
        <v>95</v>
      </c>
      <c r="AJ343" s="3">
        <f t="shared" si="175"/>
        <v>89</v>
      </c>
      <c r="AK343" s="3">
        <f t="shared" si="176"/>
        <v>84</v>
      </c>
      <c r="AL343" s="3">
        <f t="shared" si="177"/>
        <v>79</v>
      </c>
      <c r="AM343" s="3">
        <f t="shared" si="178"/>
        <v>74</v>
      </c>
      <c r="AN343" s="3">
        <f t="shared" si="179"/>
        <v>68</v>
      </c>
      <c r="AO343" s="3">
        <f t="shared" si="180"/>
        <v>63</v>
      </c>
      <c r="AP343" s="3">
        <f t="shared" si="181"/>
        <v>58</v>
      </c>
      <c r="AQ343" s="3">
        <f t="shared" si="182"/>
        <v>53</v>
      </c>
      <c r="AR343" s="3">
        <f t="shared" si="183"/>
        <v>47</v>
      </c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M343" s="35" t="s">
        <v>12</v>
      </c>
      <c r="BO343" s="35"/>
      <c r="BR343" s="9">
        <f t="shared" si="193"/>
        <v>3</v>
      </c>
      <c r="BS343" s="37">
        <f t="shared" si="194"/>
        <v>45476</v>
      </c>
      <c r="BT343" s="38">
        <f t="shared" si="185"/>
        <v>45595</v>
      </c>
      <c r="BU343" s="36">
        <f t="shared" si="195"/>
        <v>14</v>
      </c>
    </row>
    <row r="344" spans="2:73" ht="15">
      <c r="B344" s="16">
        <f t="shared" si="196"/>
        <v>45481</v>
      </c>
      <c r="C344" s="15" t="s">
        <v>1</v>
      </c>
      <c r="D344" s="17">
        <f t="shared" si="197"/>
        <v>45487</v>
      </c>
      <c r="E344" s="18">
        <f t="shared" si="198"/>
        <v>7</v>
      </c>
      <c r="F344" s="19">
        <f t="shared" si="199"/>
        <v>2024</v>
      </c>
      <c r="G344" s="9">
        <f t="shared" si="201"/>
        <v>17</v>
      </c>
      <c r="H344" s="8">
        <f t="shared" si="201"/>
        <v>95</v>
      </c>
      <c r="I344" s="9"/>
      <c r="J344" s="9"/>
      <c r="K344" s="9"/>
      <c r="L344" s="9"/>
      <c r="M344" s="9"/>
      <c r="N344" s="9"/>
      <c r="O344" s="12"/>
      <c r="P344" s="12"/>
      <c r="Q344" s="12"/>
      <c r="R344" s="12"/>
      <c r="S344" s="12"/>
      <c r="T344" s="12"/>
      <c r="V344" s="20">
        <f t="shared" si="187"/>
        <v>12</v>
      </c>
      <c r="W344" s="20">
        <f t="shared" si="188"/>
        <v>17</v>
      </c>
      <c r="X344" s="20">
        <f t="shared" si="189"/>
        <v>1</v>
      </c>
      <c r="Y344" s="20">
        <f t="shared" si="190"/>
        <v>6</v>
      </c>
      <c r="Z344" s="20">
        <f t="shared" si="191"/>
        <v>0</v>
      </c>
      <c r="AA344" s="20">
        <f t="shared" si="192"/>
        <v>0</v>
      </c>
      <c r="AC344" s="3">
        <f t="shared" si="168"/>
        <v>43</v>
      </c>
      <c r="AD344" s="3">
        <f t="shared" si="169"/>
        <v>38</v>
      </c>
      <c r="AE344" s="3">
        <f t="shared" si="170"/>
        <v>33</v>
      </c>
      <c r="AF344" s="3">
        <f t="shared" si="171"/>
        <v>27</v>
      </c>
      <c r="AG344" s="3">
        <f t="shared" si="172"/>
        <v>22</v>
      </c>
      <c r="AH344" s="3">
        <f t="shared" si="173"/>
        <v>17</v>
      </c>
      <c r="AI344" s="3">
        <f t="shared" si="174"/>
        <v>0</v>
      </c>
      <c r="AJ344" s="3">
        <f t="shared" si="175"/>
        <v>90</v>
      </c>
      <c r="AK344" s="3">
        <f t="shared" si="176"/>
        <v>85</v>
      </c>
      <c r="AL344" s="3">
        <f t="shared" si="177"/>
        <v>80</v>
      </c>
      <c r="AM344" s="3">
        <f t="shared" si="178"/>
        <v>75</v>
      </c>
      <c r="AN344" s="3">
        <f t="shared" si="179"/>
        <v>69</v>
      </c>
      <c r="AO344" s="3">
        <f t="shared" si="180"/>
        <v>64</v>
      </c>
      <c r="AP344" s="3">
        <f t="shared" si="181"/>
        <v>59</v>
      </c>
      <c r="AQ344" s="3">
        <f t="shared" si="182"/>
        <v>54</v>
      </c>
      <c r="AR344" s="3">
        <f t="shared" si="183"/>
        <v>48</v>
      </c>
      <c r="AS344" s="8"/>
      <c r="AT344" s="8"/>
      <c r="AU344" s="8"/>
      <c r="AV344" s="8"/>
      <c r="AW344" s="8"/>
      <c r="AX344" s="8">
        <v>2</v>
      </c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M344" s="35" t="s">
        <v>12</v>
      </c>
      <c r="BO344" s="35"/>
      <c r="BR344" s="9" t="str">
        <f t="shared" si="193"/>
        <v/>
      </c>
      <c r="BS344" s="37" t="str">
        <f t="shared" si="194"/>
        <v/>
      </c>
      <c r="BT344" s="38" t="str">
        <f t="shared" si="185"/>
        <v/>
      </c>
      <c r="BU344" s="36" t="str">
        <f t="shared" si="195"/>
        <v/>
      </c>
    </row>
    <row r="345" spans="2:73" ht="15">
      <c r="B345" s="16">
        <f t="shared" si="196"/>
        <v>45488</v>
      </c>
      <c r="C345" s="15" t="s">
        <v>1</v>
      </c>
      <c r="D345" s="17">
        <f t="shared" si="197"/>
        <v>45494</v>
      </c>
      <c r="E345" s="18">
        <f t="shared" si="198"/>
        <v>7</v>
      </c>
      <c r="F345" s="19">
        <f t="shared" si="199"/>
        <v>2024</v>
      </c>
      <c r="G345" s="9">
        <f t="shared" si="201"/>
        <v>17</v>
      </c>
      <c r="H345" s="8">
        <f t="shared" si="201"/>
        <v>95</v>
      </c>
      <c r="I345" s="9"/>
      <c r="J345" s="9"/>
      <c r="K345" s="9"/>
      <c r="L345" s="9"/>
      <c r="M345" s="9"/>
      <c r="N345" s="9"/>
      <c r="O345" s="12"/>
      <c r="P345" s="12"/>
      <c r="Q345" s="12"/>
      <c r="R345" s="12"/>
      <c r="S345" s="12"/>
      <c r="T345" s="12"/>
      <c r="V345" s="20">
        <f t="shared" si="187"/>
        <v>13</v>
      </c>
      <c r="W345" s="20">
        <f t="shared" si="188"/>
        <v>0</v>
      </c>
      <c r="X345" s="20">
        <f t="shared" si="189"/>
        <v>2</v>
      </c>
      <c r="Y345" s="20">
        <f t="shared" si="190"/>
        <v>7</v>
      </c>
      <c r="Z345" s="20">
        <f t="shared" si="191"/>
        <v>0</v>
      </c>
      <c r="AA345" s="20">
        <f t="shared" si="192"/>
        <v>0</v>
      </c>
      <c r="AC345" s="3">
        <f t="shared" si="168"/>
        <v>44</v>
      </c>
      <c r="AD345" s="3">
        <f t="shared" si="169"/>
        <v>39</v>
      </c>
      <c r="AE345" s="3">
        <f t="shared" si="170"/>
        <v>34</v>
      </c>
      <c r="AF345" s="3">
        <f t="shared" si="171"/>
        <v>28</v>
      </c>
      <c r="AG345" s="3">
        <f t="shared" si="172"/>
        <v>23</v>
      </c>
      <c r="AH345" s="3">
        <f t="shared" si="173"/>
        <v>18</v>
      </c>
      <c r="AI345" s="3">
        <f t="shared" si="174"/>
        <v>0</v>
      </c>
      <c r="AJ345" s="3">
        <f t="shared" si="175"/>
        <v>91</v>
      </c>
      <c r="AK345" s="3">
        <f t="shared" si="176"/>
        <v>86</v>
      </c>
      <c r="AL345" s="3">
        <f t="shared" si="177"/>
        <v>81</v>
      </c>
      <c r="AM345" s="3">
        <f t="shared" si="178"/>
        <v>76</v>
      </c>
      <c r="AN345" s="3">
        <f t="shared" si="179"/>
        <v>70</v>
      </c>
      <c r="AO345" s="3">
        <f t="shared" si="180"/>
        <v>65</v>
      </c>
      <c r="AP345" s="3">
        <f t="shared" si="181"/>
        <v>60</v>
      </c>
      <c r="AQ345" s="3">
        <f t="shared" si="182"/>
        <v>55</v>
      </c>
      <c r="AR345" s="3">
        <f t="shared" si="183"/>
        <v>49</v>
      </c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M345" s="35" t="s">
        <v>12</v>
      </c>
      <c r="BO345" s="35"/>
      <c r="BR345" s="9" t="str">
        <f t="shared" si="193"/>
        <v/>
      </c>
      <c r="BS345" s="37" t="str">
        <f t="shared" si="194"/>
        <v/>
      </c>
      <c r="BT345" s="38" t="str">
        <f t="shared" si="185"/>
        <v/>
      </c>
      <c r="BU345" s="36" t="str">
        <f t="shared" si="195"/>
        <v/>
      </c>
    </row>
    <row r="346" spans="2:73" ht="15">
      <c r="B346" s="16">
        <f t="shared" si="196"/>
        <v>45495</v>
      </c>
      <c r="C346" s="15" t="s">
        <v>1</v>
      </c>
      <c r="D346" s="17">
        <f t="shared" si="197"/>
        <v>45501</v>
      </c>
      <c r="E346" s="18">
        <f t="shared" si="198"/>
        <v>7</v>
      </c>
      <c r="F346" s="19">
        <f t="shared" si="199"/>
        <v>2024</v>
      </c>
      <c r="G346" s="9">
        <f t="shared" si="201"/>
        <v>17</v>
      </c>
      <c r="H346" s="8">
        <f t="shared" si="201"/>
        <v>95</v>
      </c>
      <c r="I346" s="9"/>
      <c r="J346" s="9"/>
      <c r="K346" s="9"/>
      <c r="L346" s="9"/>
      <c r="M346" s="9"/>
      <c r="N346" s="9"/>
      <c r="O346" s="12"/>
      <c r="P346" s="12"/>
      <c r="Q346" s="12"/>
      <c r="R346" s="12"/>
      <c r="S346" s="12"/>
      <c r="T346" s="12"/>
      <c r="V346" s="20">
        <f t="shared" si="187"/>
        <v>14</v>
      </c>
      <c r="W346" s="20">
        <f t="shared" si="188"/>
        <v>0</v>
      </c>
      <c r="X346" s="20">
        <f t="shared" si="189"/>
        <v>3</v>
      </c>
      <c r="Y346" s="20">
        <f t="shared" si="190"/>
        <v>8</v>
      </c>
      <c r="Z346" s="20">
        <f t="shared" si="191"/>
        <v>0</v>
      </c>
      <c r="AA346" s="20">
        <f t="shared" si="192"/>
        <v>0</v>
      </c>
      <c r="AC346" s="3">
        <f t="shared" si="168"/>
        <v>45</v>
      </c>
      <c r="AD346" s="3">
        <f t="shared" si="169"/>
        <v>40</v>
      </c>
      <c r="AE346" s="3">
        <f t="shared" si="170"/>
        <v>35</v>
      </c>
      <c r="AF346" s="3">
        <f t="shared" si="171"/>
        <v>29</v>
      </c>
      <c r="AG346" s="3">
        <f t="shared" si="172"/>
        <v>24</v>
      </c>
      <c r="AH346" s="3">
        <f t="shared" si="173"/>
        <v>19</v>
      </c>
      <c r="AI346" s="3">
        <f t="shared" si="174"/>
        <v>0</v>
      </c>
      <c r="AJ346" s="3">
        <f t="shared" si="175"/>
        <v>92</v>
      </c>
      <c r="AK346" s="3">
        <f t="shared" si="176"/>
        <v>87</v>
      </c>
      <c r="AL346" s="3">
        <f t="shared" si="177"/>
        <v>82</v>
      </c>
      <c r="AM346" s="3">
        <f t="shared" si="178"/>
        <v>77</v>
      </c>
      <c r="AN346" s="3">
        <f t="shared" si="179"/>
        <v>71</v>
      </c>
      <c r="AO346" s="3">
        <f t="shared" si="180"/>
        <v>66</v>
      </c>
      <c r="AP346" s="3">
        <f t="shared" si="181"/>
        <v>61</v>
      </c>
      <c r="AQ346" s="3">
        <f t="shared" si="182"/>
        <v>56</v>
      </c>
      <c r="AR346" s="3">
        <f t="shared" si="183"/>
        <v>50</v>
      </c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M346" s="35" t="s">
        <v>12</v>
      </c>
      <c r="BO346" s="35"/>
      <c r="BR346" s="9" t="str">
        <f t="shared" si="193"/>
        <v/>
      </c>
      <c r="BS346" s="37" t="str">
        <f t="shared" si="194"/>
        <v/>
      </c>
      <c r="BT346" s="38" t="str">
        <f t="shared" si="185"/>
        <v/>
      </c>
      <c r="BU346" s="36" t="str">
        <f t="shared" si="195"/>
        <v/>
      </c>
    </row>
    <row r="347" spans="2:73" ht="15">
      <c r="B347" s="16">
        <f t="shared" si="196"/>
        <v>45502</v>
      </c>
      <c r="C347" s="15" t="s">
        <v>1</v>
      </c>
      <c r="D347" s="17">
        <f t="shared" si="197"/>
        <v>45508</v>
      </c>
      <c r="E347" s="18">
        <f t="shared" si="198"/>
        <v>7</v>
      </c>
      <c r="F347" s="19">
        <f t="shared" si="199"/>
        <v>2024</v>
      </c>
      <c r="G347" s="9">
        <f t="shared" si="201"/>
        <v>17</v>
      </c>
      <c r="H347" s="8">
        <f t="shared" si="201"/>
        <v>95</v>
      </c>
      <c r="I347" s="9"/>
      <c r="J347" s="9"/>
      <c r="K347" s="9"/>
      <c r="L347" s="9"/>
      <c r="M347" s="9"/>
      <c r="N347" s="9"/>
      <c r="O347" s="12"/>
      <c r="P347" s="12"/>
      <c r="Q347" s="12"/>
      <c r="R347" s="12"/>
      <c r="S347" s="12"/>
      <c r="T347" s="12"/>
      <c r="V347" s="20">
        <f t="shared" si="187"/>
        <v>15</v>
      </c>
      <c r="W347" s="20">
        <f t="shared" si="188"/>
        <v>0</v>
      </c>
      <c r="X347" s="20">
        <f t="shared" si="189"/>
        <v>4</v>
      </c>
      <c r="Y347" s="20">
        <f t="shared" si="190"/>
        <v>9</v>
      </c>
      <c r="Z347" s="20">
        <f t="shared" si="191"/>
        <v>0</v>
      </c>
      <c r="AA347" s="20">
        <f t="shared" si="192"/>
        <v>0</v>
      </c>
      <c r="AC347" s="3">
        <f t="shared" si="168"/>
        <v>46</v>
      </c>
      <c r="AD347" s="3">
        <f t="shared" si="169"/>
        <v>41</v>
      </c>
      <c r="AE347" s="3">
        <f t="shared" si="170"/>
        <v>36</v>
      </c>
      <c r="AF347" s="3">
        <f t="shared" si="171"/>
        <v>30</v>
      </c>
      <c r="AG347" s="3">
        <f t="shared" si="172"/>
        <v>25</v>
      </c>
      <c r="AH347" s="3">
        <f t="shared" si="173"/>
        <v>20</v>
      </c>
      <c r="AI347" s="3">
        <f t="shared" si="174"/>
        <v>0</v>
      </c>
      <c r="AJ347" s="3">
        <f t="shared" si="175"/>
        <v>93</v>
      </c>
      <c r="AK347" s="3">
        <f t="shared" si="176"/>
        <v>88</v>
      </c>
      <c r="AL347" s="3">
        <f t="shared" si="177"/>
        <v>83</v>
      </c>
      <c r="AM347" s="3">
        <f t="shared" si="178"/>
        <v>78</v>
      </c>
      <c r="AN347" s="3">
        <f t="shared" si="179"/>
        <v>72</v>
      </c>
      <c r="AO347" s="3">
        <f t="shared" si="180"/>
        <v>67</v>
      </c>
      <c r="AP347" s="3">
        <f t="shared" si="181"/>
        <v>62</v>
      </c>
      <c r="AQ347" s="3">
        <f t="shared" si="182"/>
        <v>57</v>
      </c>
      <c r="AR347" s="3">
        <f t="shared" si="183"/>
        <v>51</v>
      </c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M347" s="35" t="s">
        <v>12</v>
      </c>
      <c r="BO347" s="35"/>
      <c r="BR347" s="9" t="str">
        <f t="shared" si="193"/>
        <v/>
      </c>
      <c r="BS347" s="37" t="str">
        <f t="shared" si="194"/>
        <v/>
      </c>
      <c r="BT347" s="38" t="str">
        <f t="shared" si="185"/>
        <v/>
      </c>
      <c r="BU347" s="36" t="str">
        <f t="shared" si="195"/>
        <v/>
      </c>
    </row>
    <row r="348" spans="2:73" ht="15">
      <c r="B348" s="16">
        <f t="shared" si="196"/>
        <v>45509</v>
      </c>
      <c r="C348" s="15" t="s">
        <v>1</v>
      </c>
      <c r="D348" s="17">
        <f t="shared" si="197"/>
        <v>45515</v>
      </c>
      <c r="E348" s="18">
        <f t="shared" si="198"/>
        <v>8</v>
      </c>
      <c r="F348" s="19">
        <f t="shared" si="199"/>
        <v>2024</v>
      </c>
      <c r="G348" s="9">
        <f t="shared" si="201"/>
        <v>17</v>
      </c>
      <c r="H348" s="8">
        <f t="shared" si="201"/>
        <v>95</v>
      </c>
      <c r="I348" s="9"/>
      <c r="J348" s="9"/>
      <c r="K348" s="9"/>
      <c r="L348" s="9"/>
      <c r="M348" s="9"/>
      <c r="N348" s="9"/>
      <c r="O348" s="12"/>
      <c r="P348" s="12">
        <v>1</v>
      </c>
      <c r="Q348" s="12"/>
      <c r="R348" s="12"/>
      <c r="S348" s="12"/>
      <c r="T348" s="12"/>
      <c r="V348" s="20">
        <f t="shared" si="187"/>
        <v>16</v>
      </c>
      <c r="W348" s="20">
        <f t="shared" si="188"/>
        <v>45511</v>
      </c>
      <c r="X348" s="20">
        <f t="shared" si="189"/>
        <v>5</v>
      </c>
      <c r="Y348" s="20">
        <f t="shared" si="190"/>
        <v>10</v>
      </c>
      <c r="Z348" s="20">
        <f t="shared" si="191"/>
        <v>0</v>
      </c>
      <c r="AA348" s="20">
        <f t="shared" si="192"/>
        <v>0</v>
      </c>
      <c r="AC348" s="3">
        <f t="shared" si="168"/>
        <v>47</v>
      </c>
      <c r="AD348" s="3">
        <f t="shared" si="169"/>
        <v>42</v>
      </c>
      <c r="AE348" s="3">
        <f t="shared" si="170"/>
        <v>37</v>
      </c>
      <c r="AF348" s="3">
        <f t="shared" si="171"/>
        <v>31</v>
      </c>
      <c r="AG348" s="3">
        <f t="shared" si="172"/>
        <v>26</v>
      </c>
      <c r="AH348" s="3">
        <f t="shared" si="173"/>
        <v>21</v>
      </c>
      <c r="AI348" s="3">
        <f t="shared" si="174"/>
        <v>0</v>
      </c>
      <c r="AJ348" s="3">
        <f t="shared" si="175"/>
        <v>94</v>
      </c>
      <c r="AK348" s="3">
        <f t="shared" si="176"/>
        <v>89</v>
      </c>
      <c r="AL348" s="3">
        <f t="shared" si="177"/>
        <v>84</v>
      </c>
      <c r="AM348" s="3">
        <f t="shared" si="178"/>
        <v>79</v>
      </c>
      <c r="AN348" s="3">
        <f t="shared" si="179"/>
        <v>73</v>
      </c>
      <c r="AO348" s="3">
        <f t="shared" si="180"/>
        <v>68</v>
      </c>
      <c r="AP348" s="3">
        <f t="shared" si="181"/>
        <v>63</v>
      </c>
      <c r="AQ348" s="3">
        <f t="shared" si="182"/>
        <v>58</v>
      </c>
      <c r="AR348" s="3">
        <f t="shared" si="183"/>
        <v>52</v>
      </c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M348" s="35" t="s">
        <v>12</v>
      </c>
      <c r="BO348" s="35"/>
      <c r="BR348" s="9">
        <f t="shared" si="193"/>
        <v>2</v>
      </c>
      <c r="BS348" s="37">
        <f t="shared" si="194"/>
        <v>45511</v>
      </c>
      <c r="BT348" s="38">
        <f t="shared" si="185"/>
        <v>45630</v>
      </c>
      <c r="BU348" s="36">
        <f t="shared" si="195"/>
        <v>3</v>
      </c>
    </row>
    <row r="349" spans="2:73" ht="15">
      <c r="B349" s="16">
        <f t="shared" si="196"/>
        <v>45516</v>
      </c>
      <c r="C349" s="15" t="s">
        <v>1</v>
      </c>
      <c r="D349" s="17">
        <f t="shared" si="197"/>
        <v>45522</v>
      </c>
      <c r="E349" s="18">
        <f t="shared" si="198"/>
        <v>8</v>
      </c>
      <c r="F349" s="19">
        <f t="shared" si="199"/>
        <v>2024</v>
      </c>
      <c r="G349" s="9">
        <f t="shared" si="201"/>
        <v>17</v>
      </c>
      <c r="H349" s="8">
        <f t="shared" si="201"/>
        <v>95</v>
      </c>
      <c r="I349" s="9"/>
      <c r="J349" s="9"/>
      <c r="K349" s="9"/>
      <c r="L349" s="9"/>
      <c r="M349" s="9"/>
      <c r="N349" s="9"/>
      <c r="O349" s="12"/>
      <c r="P349" s="12"/>
      <c r="Q349" s="12"/>
      <c r="R349" s="12"/>
      <c r="S349" s="12"/>
      <c r="T349" s="12"/>
      <c r="V349" s="20">
        <f t="shared" si="187"/>
        <v>17</v>
      </c>
      <c r="W349" s="20">
        <f t="shared" si="188"/>
        <v>1</v>
      </c>
      <c r="X349" s="20">
        <f t="shared" si="189"/>
        <v>6</v>
      </c>
      <c r="Y349" s="20">
        <f t="shared" si="190"/>
        <v>11</v>
      </c>
      <c r="Z349" s="20">
        <f t="shared" si="191"/>
        <v>0</v>
      </c>
      <c r="AA349" s="20">
        <f t="shared" si="192"/>
        <v>0</v>
      </c>
      <c r="AC349" s="3">
        <f t="shared" si="168"/>
        <v>48</v>
      </c>
      <c r="AD349" s="3">
        <f t="shared" si="169"/>
        <v>43</v>
      </c>
      <c r="AE349" s="3">
        <f t="shared" si="170"/>
        <v>38</v>
      </c>
      <c r="AF349" s="3">
        <f t="shared" si="171"/>
        <v>32</v>
      </c>
      <c r="AG349" s="3">
        <f t="shared" si="172"/>
        <v>27</v>
      </c>
      <c r="AH349" s="3">
        <f t="shared" si="173"/>
        <v>22</v>
      </c>
      <c r="AI349" s="3">
        <f t="shared" si="174"/>
        <v>17</v>
      </c>
      <c r="AJ349" s="3">
        <f t="shared" si="175"/>
        <v>95</v>
      </c>
      <c r="AK349" s="3">
        <f t="shared" si="176"/>
        <v>90</v>
      </c>
      <c r="AL349" s="3">
        <f t="shared" si="177"/>
        <v>85</v>
      </c>
      <c r="AM349" s="3">
        <f t="shared" si="178"/>
        <v>80</v>
      </c>
      <c r="AN349" s="3">
        <f t="shared" si="179"/>
        <v>74</v>
      </c>
      <c r="AO349" s="3">
        <f t="shared" si="180"/>
        <v>69</v>
      </c>
      <c r="AP349" s="3">
        <f t="shared" si="181"/>
        <v>64</v>
      </c>
      <c r="AQ349" s="3">
        <f t="shared" si="182"/>
        <v>59</v>
      </c>
      <c r="AR349" s="3">
        <f t="shared" si="183"/>
        <v>53</v>
      </c>
      <c r="AS349" s="8"/>
      <c r="AT349" s="8"/>
      <c r="AU349" s="8"/>
      <c r="AV349" s="8"/>
      <c r="AW349" s="8"/>
      <c r="AX349" s="8"/>
      <c r="AY349" s="8">
        <v>1</v>
      </c>
      <c r="AZ349" s="8"/>
      <c r="BA349" s="8"/>
      <c r="BB349" s="8"/>
      <c r="BC349" s="8"/>
      <c r="BD349" s="8"/>
      <c r="BE349" s="8"/>
      <c r="BF349" s="8"/>
      <c r="BG349" s="8"/>
      <c r="BH349" s="8"/>
      <c r="BM349" s="35" t="s">
        <v>12</v>
      </c>
      <c r="BO349" s="35"/>
      <c r="BR349" s="9" t="str">
        <f t="shared" si="193"/>
        <v/>
      </c>
      <c r="BS349" s="37" t="str">
        <f t="shared" si="194"/>
        <v/>
      </c>
      <c r="BT349" s="38" t="str">
        <f t="shared" si="185"/>
        <v/>
      </c>
      <c r="BU349" s="36" t="str">
        <f t="shared" si="195"/>
        <v/>
      </c>
    </row>
    <row r="350" spans="2:73" ht="15">
      <c r="B350" s="16">
        <f t="shared" si="196"/>
        <v>45523</v>
      </c>
      <c r="C350" s="15" t="s">
        <v>1</v>
      </c>
      <c r="D350" s="17">
        <f t="shared" si="197"/>
        <v>45529</v>
      </c>
      <c r="E350" s="18">
        <f t="shared" si="198"/>
        <v>8</v>
      </c>
      <c r="F350" s="19">
        <f t="shared" si="199"/>
        <v>2024</v>
      </c>
      <c r="G350" s="9">
        <f t="shared" si="201"/>
        <v>17</v>
      </c>
      <c r="H350" s="8">
        <f t="shared" si="201"/>
        <v>95</v>
      </c>
      <c r="I350" s="9"/>
      <c r="J350" s="9"/>
      <c r="K350" s="9"/>
      <c r="L350" s="9"/>
      <c r="M350" s="9"/>
      <c r="N350" s="9"/>
      <c r="O350" s="12"/>
      <c r="P350" s="12"/>
      <c r="Q350" s="12"/>
      <c r="R350" s="12"/>
      <c r="S350" s="12"/>
      <c r="T350" s="12"/>
      <c r="V350" s="20">
        <f t="shared" si="187"/>
        <v>0</v>
      </c>
      <c r="W350" s="20">
        <f t="shared" si="188"/>
        <v>2</v>
      </c>
      <c r="X350" s="20">
        <f t="shared" si="189"/>
        <v>7</v>
      </c>
      <c r="Y350" s="20">
        <f t="shared" si="190"/>
        <v>12</v>
      </c>
      <c r="Z350" s="20">
        <f t="shared" si="191"/>
        <v>0</v>
      </c>
      <c r="AA350" s="20">
        <f t="shared" si="192"/>
        <v>0</v>
      </c>
      <c r="AC350" s="3">
        <f t="shared" si="168"/>
        <v>49</v>
      </c>
      <c r="AD350" s="3">
        <f t="shared" si="169"/>
        <v>44</v>
      </c>
      <c r="AE350" s="3">
        <f t="shared" si="170"/>
        <v>39</v>
      </c>
      <c r="AF350" s="3">
        <f t="shared" si="171"/>
        <v>33</v>
      </c>
      <c r="AG350" s="3">
        <f t="shared" si="172"/>
        <v>28</v>
      </c>
      <c r="AH350" s="3">
        <f t="shared" si="173"/>
        <v>23</v>
      </c>
      <c r="AI350" s="3">
        <f t="shared" si="174"/>
        <v>18</v>
      </c>
      <c r="AJ350" s="3">
        <f t="shared" si="175"/>
        <v>0</v>
      </c>
      <c r="AK350" s="3">
        <f t="shared" si="176"/>
        <v>91</v>
      </c>
      <c r="AL350" s="3">
        <f t="shared" si="177"/>
        <v>86</v>
      </c>
      <c r="AM350" s="3">
        <f t="shared" si="178"/>
        <v>81</v>
      </c>
      <c r="AN350" s="3">
        <f t="shared" si="179"/>
        <v>75</v>
      </c>
      <c r="AO350" s="3">
        <f t="shared" si="180"/>
        <v>70</v>
      </c>
      <c r="AP350" s="3">
        <f t="shared" si="181"/>
        <v>65</v>
      </c>
      <c r="AQ350" s="3">
        <f t="shared" si="182"/>
        <v>60</v>
      </c>
      <c r="AR350" s="3">
        <f t="shared" si="183"/>
        <v>54</v>
      </c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M350" s="35" t="s">
        <v>12</v>
      </c>
      <c r="BO350" s="35"/>
      <c r="BR350" s="9" t="str">
        <f t="shared" si="193"/>
        <v/>
      </c>
      <c r="BS350" s="37" t="str">
        <f t="shared" si="194"/>
        <v/>
      </c>
      <c r="BT350" s="38" t="str">
        <f t="shared" si="185"/>
        <v/>
      </c>
      <c r="BU350" s="36" t="str">
        <f t="shared" si="195"/>
        <v/>
      </c>
    </row>
    <row r="351" spans="2:73" ht="15">
      <c r="B351" s="16">
        <f t="shared" si="196"/>
        <v>45530</v>
      </c>
      <c r="C351" s="15" t="s">
        <v>1</v>
      </c>
      <c r="D351" s="17">
        <f t="shared" si="197"/>
        <v>45536</v>
      </c>
      <c r="E351" s="18">
        <f t="shared" si="198"/>
        <v>8</v>
      </c>
      <c r="F351" s="19">
        <f t="shared" si="199"/>
        <v>2024</v>
      </c>
      <c r="G351" s="9">
        <f t="shared" si="201"/>
        <v>17</v>
      </c>
      <c r="H351" s="8">
        <f t="shared" si="201"/>
        <v>95</v>
      </c>
      <c r="I351" s="9"/>
      <c r="J351" s="9"/>
      <c r="K351" s="9"/>
      <c r="L351" s="9"/>
      <c r="M351" s="9"/>
      <c r="N351" s="9"/>
      <c r="O351" s="12"/>
      <c r="P351" s="12"/>
      <c r="Q351" s="12"/>
      <c r="R351" s="12"/>
      <c r="S351" s="12"/>
      <c r="T351" s="12"/>
      <c r="V351" s="20">
        <f t="shared" si="187"/>
        <v>0</v>
      </c>
      <c r="W351" s="20">
        <f t="shared" si="188"/>
        <v>3</v>
      </c>
      <c r="X351" s="20">
        <f t="shared" si="189"/>
        <v>8</v>
      </c>
      <c r="Y351" s="20">
        <f t="shared" si="190"/>
        <v>13</v>
      </c>
      <c r="Z351" s="20">
        <f t="shared" si="191"/>
        <v>0</v>
      </c>
      <c r="AA351" s="20">
        <f t="shared" si="192"/>
        <v>0</v>
      </c>
      <c r="AC351" s="3">
        <f t="shared" si="168"/>
        <v>50</v>
      </c>
      <c r="AD351" s="3">
        <f t="shared" si="169"/>
        <v>45</v>
      </c>
      <c r="AE351" s="3">
        <f t="shared" si="170"/>
        <v>40</v>
      </c>
      <c r="AF351" s="3">
        <f t="shared" si="171"/>
        <v>34</v>
      </c>
      <c r="AG351" s="3">
        <f t="shared" si="172"/>
        <v>29</v>
      </c>
      <c r="AH351" s="3">
        <f t="shared" si="173"/>
        <v>24</v>
      </c>
      <c r="AI351" s="3">
        <f t="shared" si="174"/>
        <v>19</v>
      </c>
      <c r="AJ351" s="3">
        <f t="shared" si="175"/>
        <v>0</v>
      </c>
      <c r="AK351" s="3">
        <f t="shared" si="176"/>
        <v>92</v>
      </c>
      <c r="AL351" s="3">
        <f t="shared" si="177"/>
        <v>87</v>
      </c>
      <c r="AM351" s="3">
        <f t="shared" si="178"/>
        <v>82</v>
      </c>
      <c r="AN351" s="3">
        <f t="shared" si="179"/>
        <v>76</v>
      </c>
      <c r="AO351" s="3">
        <f t="shared" si="180"/>
        <v>71</v>
      </c>
      <c r="AP351" s="3">
        <f t="shared" si="181"/>
        <v>66</v>
      </c>
      <c r="AQ351" s="3">
        <f t="shared" si="182"/>
        <v>61</v>
      </c>
      <c r="AR351" s="3">
        <f t="shared" si="183"/>
        <v>55</v>
      </c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M351" s="35" t="s">
        <v>12</v>
      </c>
      <c r="BO351" s="35"/>
      <c r="BR351" s="9" t="str">
        <f t="shared" si="193"/>
        <v/>
      </c>
      <c r="BS351" s="37" t="str">
        <f t="shared" si="194"/>
        <v/>
      </c>
      <c r="BT351" s="38" t="str">
        <f t="shared" si="185"/>
        <v/>
      </c>
      <c r="BU351" s="36" t="str">
        <f t="shared" si="195"/>
        <v/>
      </c>
    </row>
    <row r="352" spans="2:73" ht="15">
      <c r="B352" s="16">
        <f t="shared" si="196"/>
        <v>45537</v>
      </c>
      <c r="C352" s="15" t="s">
        <v>1</v>
      </c>
      <c r="D352" s="17">
        <f t="shared" si="197"/>
        <v>45543</v>
      </c>
      <c r="E352" s="18">
        <f t="shared" si="198"/>
        <v>9</v>
      </c>
      <c r="F352" s="19">
        <f t="shared" si="199"/>
        <v>2024</v>
      </c>
      <c r="G352" s="9">
        <f t="shared" si="201"/>
        <v>17</v>
      </c>
      <c r="H352" s="8">
        <f t="shared" si="201"/>
        <v>95</v>
      </c>
      <c r="I352" s="9"/>
      <c r="J352" s="9"/>
      <c r="K352" s="9"/>
      <c r="L352" s="9"/>
      <c r="M352" s="9"/>
      <c r="N352" s="9"/>
      <c r="O352" s="12"/>
      <c r="P352" s="12"/>
      <c r="Q352" s="12"/>
      <c r="R352" s="12"/>
      <c r="S352" s="12"/>
      <c r="T352" s="12"/>
      <c r="V352" s="20">
        <f t="shared" si="187"/>
        <v>0</v>
      </c>
      <c r="W352" s="20">
        <f t="shared" si="188"/>
        <v>4</v>
      </c>
      <c r="X352" s="20">
        <f t="shared" si="189"/>
        <v>9</v>
      </c>
      <c r="Y352" s="20">
        <f t="shared" si="190"/>
        <v>14</v>
      </c>
      <c r="Z352" s="20">
        <f t="shared" si="191"/>
        <v>0</v>
      </c>
      <c r="AA352" s="20">
        <f t="shared" si="192"/>
        <v>0</v>
      </c>
      <c r="AC352" s="3">
        <f t="shared" si="168"/>
        <v>51</v>
      </c>
      <c r="AD352" s="3">
        <f t="shared" si="169"/>
        <v>46</v>
      </c>
      <c r="AE352" s="3">
        <f t="shared" si="170"/>
        <v>41</v>
      </c>
      <c r="AF352" s="3">
        <f t="shared" si="171"/>
        <v>35</v>
      </c>
      <c r="AG352" s="3">
        <f t="shared" si="172"/>
        <v>30</v>
      </c>
      <c r="AH352" s="3">
        <f t="shared" si="173"/>
        <v>25</v>
      </c>
      <c r="AI352" s="3">
        <f t="shared" si="174"/>
        <v>20</v>
      </c>
      <c r="AJ352" s="3">
        <f t="shared" si="175"/>
        <v>0</v>
      </c>
      <c r="AK352" s="3">
        <f t="shared" si="176"/>
        <v>93</v>
      </c>
      <c r="AL352" s="3">
        <f t="shared" si="177"/>
        <v>88</v>
      </c>
      <c r="AM352" s="3">
        <f t="shared" si="178"/>
        <v>83</v>
      </c>
      <c r="AN352" s="3">
        <f t="shared" si="179"/>
        <v>77</v>
      </c>
      <c r="AO352" s="3">
        <f t="shared" si="180"/>
        <v>72</v>
      </c>
      <c r="AP352" s="3">
        <f t="shared" si="181"/>
        <v>67</v>
      </c>
      <c r="AQ352" s="3">
        <f t="shared" si="182"/>
        <v>62</v>
      </c>
      <c r="AR352" s="3">
        <f t="shared" si="183"/>
        <v>56</v>
      </c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M352" s="35" t="s">
        <v>12</v>
      </c>
      <c r="BO352" s="35"/>
      <c r="BR352" s="9" t="str">
        <f t="shared" si="193"/>
        <v/>
      </c>
      <c r="BS352" s="37" t="str">
        <f t="shared" si="194"/>
        <v/>
      </c>
      <c r="BT352" s="38" t="str">
        <f t="shared" si="185"/>
        <v/>
      </c>
      <c r="BU352" s="36" t="str">
        <f t="shared" si="195"/>
        <v/>
      </c>
    </row>
    <row r="353" spans="2:73" ht="15">
      <c r="B353" s="16">
        <f t="shared" si="196"/>
        <v>45544</v>
      </c>
      <c r="C353" s="15" t="s">
        <v>1</v>
      </c>
      <c r="D353" s="17">
        <f t="shared" si="197"/>
        <v>45550</v>
      </c>
      <c r="E353" s="18">
        <f t="shared" si="198"/>
        <v>9</v>
      </c>
      <c r="F353" s="19">
        <f t="shared" si="199"/>
        <v>2024</v>
      </c>
      <c r="G353" s="9">
        <f t="shared" si="201"/>
        <v>17</v>
      </c>
      <c r="H353" s="8">
        <f t="shared" si="201"/>
        <v>95</v>
      </c>
      <c r="I353" s="9"/>
      <c r="J353" s="9"/>
      <c r="K353" s="9"/>
      <c r="L353" s="9"/>
      <c r="M353" s="9"/>
      <c r="N353" s="9"/>
      <c r="O353" s="12">
        <v>1</v>
      </c>
      <c r="P353" s="12"/>
      <c r="Q353" s="12"/>
      <c r="R353" s="12"/>
      <c r="S353" s="12"/>
      <c r="T353" s="12"/>
      <c r="V353" s="20">
        <f t="shared" si="187"/>
        <v>45546</v>
      </c>
      <c r="W353" s="20">
        <f t="shared" si="188"/>
        <v>5</v>
      </c>
      <c r="X353" s="20">
        <f t="shared" si="189"/>
        <v>10</v>
      </c>
      <c r="Y353" s="20">
        <f t="shared" si="190"/>
        <v>15</v>
      </c>
      <c r="Z353" s="20">
        <f t="shared" si="191"/>
        <v>0</v>
      </c>
      <c r="AA353" s="20">
        <f t="shared" si="192"/>
        <v>0</v>
      </c>
      <c r="AC353" s="3">
        <f t="shared" si="168"/>
        <v>52</v>
      </c>
      <c r="AD353" s="3">
        <f t="shared" si="169"/>
        <v>47</v>
      </c>
      <c r="AE353" s="3">
        <f t="shared" si="170"/>
        <v>42</v>
      </c>
      <c r="AF353" s="3">
        <f t="shared" si="171"/>
        <v>36</v>
      </c>
      <c r="AG353" s="3">
        <f t="shared" si="172"/>
        <v>31</v>
      </c>
      <c r="AH353" s="3">
        <f t="shared" si="173"/>
        <v>26</v>
      </c>
      <c r="AI353" s="3">
        <f t="shared" si="174"/>
        <v>21</v>
      </c>
      <c r="AJ353" s="3">
        <f t="shared" si="175"/>
        <v>0</v>
      </c>
      <c r="AK353" s="3">
        <f t="shared" si="176"/>
        <v>94</v>
      </c>
      <c r="AL353" s="3">
        <f t="shared" si="177"/>
        <v>89</v>
      </c>
      <c r="AM353" s="3">
        <f t="shared" si="178"/>
        <v>84</v>
      </c>
      <c r="AN353" s="3">
        <f t="shared" si="179"/>
        <v>78</v>
      </c>
      <c r="AO353" s="3">
        <f t="shared" si="180"/>
        <v>73</v>
      </c>
      <c r="AP353" s="3">
        <f t="shared" si="181"/>
        <v>68</v>
      </c>
      <c r="AQ353" s="3">
        <f t="shared" si="182"/>
        <v>63</v>
      </c>
      <c r="AR353" s="3">
        <f t="shared" si="183"/>
        <v>57</v>
      </c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M353" s="35" t="s">
        <v>12</v>
      </c>
      <c r="BO353" s="35"/>
      <c r="BR353" s="9">
        <f t="shared" si="193"/>
        <v>1</v>
      </c>
      <c r="BS353" s="37">
        <f t="shared" si="194"/>
        <v>45546</v>
      </c>
      <c r="BT353" s="38">
        <f t="shared" si="185"/>
        <v>45665</v>
      </c>
      <c r="BU353" s="36">
        <f t="shared" si="195"/>
        <v>4</v>
      </c>
    </row>
    <row r="354" spans="2:73" ht="15">
      <c r="B354" s="16">
        <f t="shared" si="196"/>
        <v>45551</v>
      </c>
      <c r="C354" s="15" t="s">
        <v>1</v>
      </c>
      <c r="D354" s="17">
        <f t="shared" si="197"/>
        <v>45557</v>
      </c>
      <c r="E354" s="18">
        <f t="shared" si="198"/>
        <v>9</v>
      </c>
      <c r="F354" s="19">
        <f t="shared" si="199"/>
        <v>2024</v>
      </c>
      <c r="G354" s="9">
        <f t="shared" si="201"/>
        <v>17</v>
      </c>
      <c r="H354" s="8">
        <f t="shared" si="201"/>
        <v>95</v>
      </c>
      <c r="I354" s="9"/>
      <c r="J354" s="9"/>
      <c r="K354" s="9"/>
      <c r="L354" s="9"/>
      <c r="M354" s="9"/>
      <c r="N354" s="9"/>
      <c r="O354" s="12"/>
      <c r="P354" s="12"/>
      <c r="Q354" s="12"/>
      <c r="R354" s="12"/>
      <c r="S354" s="12"/>
      <c r="T354" s="12"/>
      <c r="V354" s="20">
        <f t="shared" si="187"/>
        <v>1</v>
      </c>
      <c r="W354" s="20">
        <f t="shared" si="188"/>
        <v>6</v>
      </c>
      <c r="X354" s="20">
        <f t="shared" si="189"/>
        <v>11</v>
      </c>
      <c r="Y354" s="20">
        <f t="shared" si="190"/>
        <v>16</v>
      </c>
      <c r="Z354" s="20">
        <f t="shared" si="191"/>
        <v>0</v>
      </c>
      <c r="AA354" s="20">
        <f t="shared" si="192"/>
        <v>0</v>
      </c>
      <c r="AC354" s="3">
        <f t="shared" si="168"/>
        <v>53</v>
      </c>
      <c r="AD354" s="3">
        <f t="shared" si="169"/>
        <v>48</v>
      </c>
      <c r="AE354" s="3">
        <f t="shared" si="170"/>
        <v>43</v>
      </c>
      <c r="AF354" s="3">
        <f t="shared" si="171"/>
        <v>37</v>
      </c>
      <c r="AG354" s="3">
        <f t="shared" si="172"/>
        <v>32</v>
      </c>
      <c r="AH354" s="3">
        <f t="shared" si="173"/>
        <v>27</v>
      </c>
      <c r="AI354" s="3">
        <f t="shared" si="174"/>
        <v>22</v>
      </c>
      <c r="AJ354" s="3">
        <f t="shared" si="175"/>
        <v>0</v>
      </c>
      <c r="AK354" s="3">
        <f t="shared" si="176"/>
        <v>95</v>
      </c>
      <c r="AL354" s="3">
        <f t="shared" si="177"/>
        <v>90</v>
      </c>
      <c r="AM354" s="3">
        <f t="shared" si="178"/>
        <v>85</v>
      </c>
      <c r="AN354" s="3">
        <f t="shared" si="179"/>
        <v>79</v>
      </c>
      <c r="AO354" s="3">
        <f t="shared" si="180"/>
        <v>74</v>
      </c>
      <c r="AP354" s="3">
        <f t="shared" si="181"/>
        <v>69</v>
      </c>
      <c r="AQ354" s="3">
        <f t="shared" si="182"/>
        <v>64</v>
      </c>
      <c r="AR354" s="3">
        <f t="shared" si="183"/>
        <v>58</v>
      </c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M354" s="35" t="s">
        <v>12</v>
      </c>
      <c r="BO354" s="35"/>
      <c r="BR354" s="9" t="str">
        <f t="shared" si="193"/>
        <v/>
      </c>
      <c r="BS354" s="37" t="str">
        <f t="shared" si="194"/>
        <v/>
      </c>
      <c r="BT354" s="38" t="str">
        <f t="shared" si="185"/>
        <v/>
      </c>
      <c r="BU354" s="36" t="str">
        <f t="shared" si="195"/>
        <v/>
      </c>
    </row>
    <row r="355" spans="2:73" ht="15">
      <c r="B355" s="16">
        <f t="shared" si="196"/>
        <v>45558</v>
      </c>
      <c r="C355" s="15" t="s">
        <v>1</v>
      </c>
      <c r="D355" s="17">
        <f t="shared" si="197"/>
        <v>45564</v>
      </c>
      <c r="E355" s="18">
        <f t="shared" si="198"/>
        <v>9</v>
      </c>
      <c r="F355" s="19">
        <f t="shared" si="199"/>
        <v>2024</v>
      </c>
      <c r="G355" s="9">
        <f t="shared" si="201"/>
        <v>17</v>
      </c>
      <c r="H355" s="8">
        <f t="shared" si="201"/>
        <v>95</v>
      </c>
      <c r="I355" s="9"/>
      <c r="J355" s="9"/>
      <c r="K355" s="9"/>
      <c r="L355" s="9"/>
      <c r="M355" s="9"/>
      <c r="N355" s="9"/>
      <c r="O355" s="12"/>
      <c r="P355" s="12"/>
      <c r="Q355" s="12"/>
      <c r="R355" s="12"/>
      <c r="S355" s="12"/>
      <c r="T355" s="12"/>
      <c r="V355" s="20">
        <f t="shared" si="187"/>
        <v>2</v>
      </c>
      <c r="W355" s="20">
        <f t="shared" si="188"/>
        <v>7</v>
      </c>
      <c r="X355" s="20">
        <f t="shared" si="189"/>
        <v>12</v>
      </c>
      <c r="Y355" s="20">
        <f t="shared" si="190"/>
        <v>17</v>
      </c>
      <c r="Z355" s="20">
        <f t="shared" si="191"/>
        <v>0</v>
      </c>
      <c r="AA355" s="20">
        <f t="shared" si="192"/>
        <v>0</v>
      </c>
      <c r="AC355" s="3">
        <f t="shared" ref="AC355:AC421" si="202">IF(AND(AS355&gt;=$V$2,AS355&lt;=$AA$2),LOOKUP(AS355,$V$2:$AA$2,$V355:$AA355),IF(AS354="A",0,IF(AC354=$H355,0,IF(AC354=0,0,AC354+1))))</f>
        <v>54</v>
      </c>
      <c r="AD355" s="3">
        <f t="shared" ref="AD355:AD421" si="203">IF(AND(AT355&gt;=$V$2,AT355&lt;=$AA$2),LOOKUP(AT355,$V$2:$AA$2,$V355:$AA355),IF(AT354="A",0,IF(AD354=$H355,0,IF(AD354=0,0,AD354+1))))</f>
        <v>49</v>
      </c>
      <c r="AE355" s="3">
        <f t="shared" ref="AE355:AE421" si="204">IF(AND(AU355&gt;=$V$2,AU355&lt;=$AA$2),LOOKUP(AU355,$V$2:$AA$2,$V355:$AA355),IF(AU354="A",0,IF(AE354=$H355,0,IF(AE354=0,0,AE354+1))))</f>
        <v>44</v>
      </c>
      <c r="AF355" s="3">
        <f t="shared" ref="AF355:AF421" si="205">IF(AND(AV355&gt;=$V$2,AV355&lt;=$AA$2),LOOKUP(AV355,$V$2:$AA$2,$V355:$AA355),IF(AV354="A",0,IF(AF354=$H355,0,IF(AF354=0,0,AF354+1))))</f>
        <v>38</v>
      </c>
      <c r="AG355" s="3">
        <f t="shared" ref="AG355:AG421" si="206">IF(AND(AW355&gt;=$V$2,AW355&lt;=$AA$2),LOOKUP(AW355,$V$2:$AA$2,$V355:$AA355),IF(AW354="A",0,IF(AG354=$H355,0,IF(AG354=0,0,AG354+1))))</f>
        <v>33</v>
      </c>
      <c r="AH355" s="3">
        <f t="shared" ref="AH355:AH421" si="207">IF(AND(AX355&gt;=$V$2,AX355&lt;=$AA$2),LOOKUP(AX355,$V$2:$AA$2,$V355:$AA355),IF(AX354="A",0,IF(AH354=$H355,0,IF(AH354=0,0,AH354+1))))</f>
        <v>28</v>
      </c>
      <c r="AI355" s="3">
        <f t="shared" ref="AI355:AI421" si="208">IF(AND(AY355&gt;=$V$2,AY355&lt;=$AA$2),LOOKUP(AY355,$V$2:$AA$2,$V355:$AA355),IF(AY354="A",0,IF(AI354=$H355,0,IF(AI354=0,0,AI354+1))))</f>
        <v>23</v>
      </c>
      <c r="AJ355" s="3">
        <f t="shared" ref="AJ355:AJ421" si="209">IF(AND(AZ355&gt;=$V$2,AZ355&lt;=$AA$2),LOOKUP(AZ355,$V$2:$AA$2,$V355:$AA355),IF(AZ354="A",0,IF(AJ354=$H355,0,IF(AJ354=0,0,AJ354+1))))</f>
        <v>17</v>
      </c>
      <c r="AK355" s="3">
        <f t="shared" ref="AK355:AK421" si="210">IF(AND(BA355&gt;=$V$2,BA355&lt;=$AA$2),LOOKUP(BA355,$V$2:$AA$2,$V355:$AA355),IF(BA354="A",0,IF(AK354=$H355,0,IF(AK354=0,0,AK354+1))))</f>
        <v>0</v>
      </c>
      <c r="AL355" s="3">
        <f t="shared" ref="AL355:AL421" si="211">IF(AND(BB355&gt;=$V$2,BB355&lt;=$AA$2),LOOKUP(BB355,$V$2:$AA$2,$V355:$AA355),IF(BB354="A",0,IF(AL354=$H355,0,IF(AL354=0,0,AL354+1))))</f>
        <v>91</v>
      </c>
      <c r="AM355" s="3">
        <f t="shared" ref="AM355:AM421" si="212">IF(AND(BC355&gt;=$V$2,BC355&lt;=$AA$2),LOOKUP(BC355,$V$2:$AA$2,$V355:$AA355),IF(BC354="A",0,IF(AM354=$H355,0,IF(AM354=0,0,AM354+1))))</f>
        <v>86</v>
      </c>
      <c r="AN355" s="3">
        <f t="shared" ref="AN355:AN421" si="213">IF(AND(BD355&gt;=$V$2,BD355&lt;=$AA$2),LOOKUP(BD355,$V$2:$AA$2,$V355:$AA355),IF(BD354="A",0,IF(AN354=$H355,0,IF(AN354=0,0,AN354+1))))</f>
        <v>80</v>
      </c>
      <c r="AO355" s="3">
        <f t="shared" ref="AO355:AO421" si="214">IF(AND(BE355&gt;=$V$2,BE355&lt;=$AA$2),LOOKUP(BE355,$V$2:$AA$2,$V355:$AA355),IF(BE354="A",0,IF(AO354=$H355,0,IF(AO354=0,0,AO354+1))))</f>
        <v>75</v>
      </c>
      <c r="AP355" s="3">
        <f t="shared" ref="AP355:AP421" si="215">IF(AND(BF355&gt;=$V$2,BF355&lt;=$AA$2),LOOKUP(BF355,$V$2:$AA$2,$V355:$AA355),IF(BF354="A",0,IF(AP354=$H355,0,IF(AP354=0,0,AP354+1))))</f>
        <v>70</v>
      </c>
      <c r="AQ355" s="3">
        <f t="shared" ref="AQ355:AQ421" si="216">IF(AND(BG355&gt;=$V$2,BG355&lt;=$AA$2),LOOKUP(BG355,$V$2:$AA$2,$V355:$AA355),IF(BG354="A",0,IF(AQ354=$H355,0,IF(AQ354=0,0,AQ354+1))))</f>
        <v>65</v>
      </c>
      <c r="AR355" s="3">
        <f t="shared" ref="AR355:AR421" si="217">IF(AND(BH355&gt;=$V$2,BH355&lt;=$AA$2),LOOKUP(BH355,$V$2:$AA$2,$V355:$AA355),IF(BH354="A",0,IF(AR354=$H355,0,IF(AR354=0,0,AR354+1))))</f>
        <v>59</v>
      </c>
      <c r="AS355" s="8"/>
      <c r="AT355" s="8"/>
      <c r="AU355" s="8"/>
      <c r="AV355" s="8"/>
      <c r="AW355" s="8"/>
      <c r="AX355" s="8"/>
      <c r="AY355" s="8"/>
      <c r="AZ355" s="8">
        <v>4</v>
      </c>
      <c r="BA355" s="8"/>
      <c r="BB355" s="8"/>
      <c r="BC355" s="8"/>
      <c r="BD355" s="8"/>
      <c r="BE355" s="8"/>
      <c r="BF355" s="8"/>
      <c r="BG355" s="8"/>
      <c r="BH355" s="8"/>
      <c r="BM355" s="35" t="s">
        <v>12</v>
      </c>
      <c r="BO355" s="35"/>
      <c r="BR355" s="9" t="str">
        <f t="shared" si="193"/>
        <v/>
      </c>
      <c r="BS355" s="37" t="str">
        <f t="shared" si="194"/>
        <v/>
      </c>
      <c r="BT355" s="38" t="str">
        <f t="shared" si="185"/>
        <v/>
      </c>
      <c r="BU355" s="36" t="str">
        <f t="shared" si="195"/>
        <v/>
      </c>
    </row>
    <row r="356" spans="2:73" ht="15">
      <c r="B356" s="16">
        <f t="shared" si="196"/>
        <v>45565</v>
      </c>
      <c r="C356" s="15" t="s">
        <v>1</v>
      </c>
      <c r="D356" s="17">
        <f t="shared" si="197"/>
        <v>45571</v>
      </c>
      <c r="E356" s="18">
        <f t="shared" si="198"/>
        <v>9</v>
      </c>
      <c r="F356" s="19">
        <f t="shared" si="199"/>
        <v>2024</v>
      </c>
      <c r="G356" s="9">
        <f t="shared" si="201"/>
        <v>17</v>
      </c>
      <c r="H356" s="8">
        <f t="shared" si="201"/>
        <v>95</v>
      </c>
      <c r="I356" s="9"/>
      <c r="J356" s="9"/>
      <c r="K356" s="9"/>
      <c r="L356" s="9"/>
      <c r="M356" s="9"/>
      <c r="N356" s="9"/>
      <c r="O356" s="12"/>
      <c r="P356" s="12"/>
      <c r="Q356" s="12"/>
      <c r="R356" s="12"/>
      <c r="S356" s="12"/>
      <c r="T356" s="12"/>
      <c r="V356" s="20">
        <f t="shared" si="187"/>
        <v>3</v>
      </c>
      <c r="W356" s="20">
        <f t="shared" si="188"/>
        <v>8</v>
      </c>
      <c r="X356" s="20">
        <f t="shared" si="189"/>
        <v>13</v>
      </c>
      <c r="Y356" s="20">
        <f t="shared" si="190"/>
        <v>0</v>
      </c>
      <c r="Z356" s="20">
        <f t="shared" si="191"/>
        <v>0</v>
      </c>
      <c r="AA356" s="20">
        <f t="shared" si="192"/>
        <v>0</v>
      </c>
      <c r="AC356" s="3">
        <f t="shared" si="202"/>
        <v>55</v>
      </c>
      <c r="AD356" s="3">
        <f t="shared" si="203"/>
        <v>50</v>
      </c>
      <c r="AE356" s="3">
        <f t="shared" si="204"/>
        <v>45</v>
      </c>
      <c r="AF356" s="3">
        <f t="shared" si="205"/>
        <v>39</v>
      </c>
      <c r="AG356" s="3">
        <f t="shared" si="206"/>
        <v>34</v>
      </c>
      <c r="AH356" s="3">
        <f t="shared" si="207"/>
        <v>29</v>
      </c>
      <c r="AI356" s="3">
        <f t="shared" si="208"/>
        <v>24</v>
      </c>
      <c r="AJ356" s="3">
        <f t="shared" si="209"/>
        <v>18</v>
      </c>
      <c r="AK356" s="3">
        <f t="shared" si="210"/>
        <v>0</v>
      </c>
      <c r="AL356" s="3">
        <f t="shared" si="211"/>
        <v>92</v>
      </c>
      <c r="AM356" s="3">
        <f t="shared" si="212"/>
        <v>87</v>
      </c>
      <c r="AN356" s="3">
        <f t="shared" si="213"/>
        <v>81</v>
      </c>
      <c r="AO356" s="3">
        <f t="shared" si="214"/>
        <v>76</v>
      </c>
      <c r="AP356" s="3">
        <f t="shared" si="215"/>
        <v>71</v>
      </c>
      <c r="AQ356" s="3">
        <f t="shared" si="216"/>
        <v>66</v>
      </c>
      <c r="AR356" s="3">
        <f t="shared" si="217"/>
        <v>60</v>
      </c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M356" s="35" t="s">
        <v>12</v>
      </c>
      <c r="BO356" s="35"/>
      <c r="BR356" s="9" t="str">
        <f t="shared" si="193"/>
        <v/>
      </c>
      <c r="BS356" s="37" t="str">
        <f t="shared" si="194"/>
        <v/>
      </c>
      <c r="BT356" s="38" t="str">
        <f t="shared" si="185"/>
        <v/>
      </c>
      <c r="BU356" s="36" t="str">
        <f t="shared" si="195"/>
        <v/>
      </c>
    </row>
    <row r="357" spans="2:73" ht="15">
      <c r="B357" s="16">
        <f t="shared" si="196"/>
        <v>45572</v>
      </c>
      <c r="C357" s="15" t="s">
        <v>1</v>
      </c>
      <c r="D357" s="17">
        <f t="shared" si="197"/>
        <v>45578</v>
      </c>
      <c r="E357" s="18">
        <f t="shared" si="198"/>
        <v>10</v>
      </c>
      <c r="F357" s="19">
        <f t="shared" si="199"/>
        <v>2024</v>
      </c>
      <c r="G357" s="9">
        <f t="shared" si="201"/>
        <v>17</v>
      </c>
      <c r="H357" s="8">
        <f t="shared" si="201"/>
        <v>95</v>
      </c>
      <c r="I357" s="9"/>
      <c r="J357" s="9"/>
      <c r="K357" s="9"/>
      <c r="L357" s="9"/>
      <c r="M357" s="9"/>
      <c r="N357" s="9"/>
      <c r="O357" s="12"/>
      <c r="P357" s="12"/>
      <c r="Q357" s="12"/>
      <c r="R357" s="12"/>
      <c r="S357" s="12"/>
      <c r="T357" s="12"/>
      <c r="V357" s="20">
        <f t="shared" si="187"/>
        <v>4</v>
      </c>
      <c r="W357" s="20">
        <f t="shared" si="188"/>
        <v>9</v>
      </c>
      <c r="X357" s="20">
        <f t="shared" si="189"/>
        <v>14</v>
      </c>
      <c r="Y357" s="20">
        <f t="shared" si="190"/>
        <v>0</v>
      </c>
      <c r="Z357" s="20">
        <f t="shared" si="191"/>
        <v>0</v>
      </c>
      <c r="AA357" s="20">
        <f t="shared" si="192"/>
        <v>0</v>
      </c>
      <c r="AC357" s="3">
        <f t="shared" si="202"/>
        <v>56</v>
      </c>
      <c r="AD357" s="3">
        <f t="shared" si="203"/>
        <v>51</v>
      </c>
      <c r="AE357" s="3">
        <f t="shared" si="204"/>
        <v>46</v>
      </c>
      <c r="AF357" s="3">
        <f t="shared" si="205"/>
        <v>40</v>
      </c>
      <c r="AG357" s="3">
        <f t="shared" si="206"/>
        <v>35</v>
      </c>
      <c r="AH357" s="3">
        <f t="shared" si="207"/>
        <v>30</v>
      </c>
      <c r="AI357" s="3">
        <f t="shared" si="208"/>
        <v>25</v>
      </c>
      <c r="AJ357" s="3">
        <f t="shared" si="209"/>
        <v>19</v>
      </c>
      <c r="AK357" s="3">
        <f t="shared" si="210"/>
        <v>0</v>
      </c>
      <c r="AL357" s="3">
        <f t="shared" si="211"/>
        <v>93</v>
      </c>
      <c r="AM357" s="3">
        <f t="shared" si="212"/>
        <v>88</v>
      </c>
      <c r="AN357" s="3">
        <f t="shared" si="213"/>
        <v>82</v>
      </c>
      <c r="AO357" s="3">
        <f t="shared" si="214"/>
        <v>77</v>
      </c>
      <c r="AP357" s="3">
        <f t="shared" si="215"/>
        <v>72</v>
      </c>
      <c r="AQ357" s="3">
        <f t="shared" si="216"/>
        <v>67</v>
      </c>
      <c r="AR357" s="3">
        <f t="shared" si="217"/>
        <v>61</v>
      </c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M357" s="35" t="s">
        <v>12</v>
      </c>
      <c r="BO357" s="35"/>
      <c r="BR357" s="9" t="str">
        <f t="shared" si="193"/>
        <v/>
      </c>
      <c r="BS357" s="37" t="str">
        <f t="shared" si="194"/>
        <v/>
      </c>
      <c r="BT357" s="38" t="str">
        <f t="shared" si="185"/>
        <v/>
      </c>
      <c r="BU357" s="36" t="str">
        <f t="shared" si="195"/>
        <v/>
      </c>
    </row>
    <row r="358" spans="2:73" ht="15">
      <c r="B358" s="16">
        <f t="shared" si="196"/>
        <v>45579</v>
      </c>
      <c r="C358" s="15" t="s">
        <v>1</v>
      </c>
      <c r="D358" s="17">
        <f t="shared" si="197"/>
        <v>45585</v>
      </c>
      <c r="E358" s="18">
        <f t="shared" si="198"/>
        <v>10</v>
      </c>
      <c r="F358" s="19">
        <f t="shared" si="199"/>
        <v>2024</v>
      </c>
      <c r="G358" s="9">
        <f t="shared" ref="G358:H373" si="218">G357</f>
        <v>17</v>
      </c>
      <c r="H358" s="8">
        <f t="shared" si="218"/>
        <v>95</v>
      </c>
      <c r="I358" s="9"/>
      <c r="J358" s="9"/>
      <c r="K358" s="9"/>
      <c r="L358" s="9"/>
      <c r="M358" s="9"/>
      <c r="N358" s="9"/>
      <c r="O358" s="12"/>
      <c r="P358" s="12"/>
      <c r="Q358" s="12"/>
      <c r="R358" s="12"/>
      <c r="S358" s="12"/>
      <c r="T358" s="12"/>
      <c r="V358" s="20">
        <f t="shared" si="187"/>
        <v>5</v>
      </c>
      <c r="W358" s="20">
        <f t="shared" si="188"/>
        <v>10</v>
      </c>
      <c r="X358" s="20">
        <f t="shared" si="189"/>
        <v>15</v>
      </c>
      <c r="Y358" s="20">
        <f t="shared" si="190"/>
        <v>0</v>
      </c>
      <c r="Z358" s="20">
        <f t="shared" si="191"/>
        <v>0</v>
      </c>
      <c r="AA358" s="20">
        <f t="shared" si="192"/>
        <v>0</v>
      </c>
      <c r="AC358" s="3">
        <f t="shared" si="202"/>
        <v>57</v>
      </c>
      <c r="AD358" s="3">
        <f t="shared" si="203"/>
        <v>52</v>
      </c>
      <c r="AE358" s="3">
        <f t="shared" si="204"/>
        <v>47</v>
      </c>
      <c r="AF358" s="3">
        <f t="shared" si="205"/>
        <v>41</v>
      </c>
      <c r="AG358" s="3">
        <f t="shared" si="206"/>
        <v>36</v>
      </c>
      <c r="AH358" s="3">
        <f t="shared" si="207"/>
        <v>31</v>
      </c>
      <c r="AI358" s="3">
        <f t="shared" si="208"/>
        <v>26</v>
      </c>
      <c r="AJ358" s="3">
        <f t="shared" si="209"/>
        <v>20</v>
      </c>
      <c r="AK358" s="3">
        <f t="shared" si="210"/>
        <v>0</v>
      </c>
      <c r="AL358" s="3">
        <f t="shared" si="211"/>
        <v>94</v>
      </c>
      <c r="AM358" s="3">
        <f t="shared" si="212"/>
        <v>89</v>
      </c>
      <c r="AN358" s="3">
        <f t="shared" si="213"/>
        <v>83</v>
      </c>
      <c r="AO358" s="3">
        <f t="shared" si="214"/>
        <v>78</v>
      </c>
      <c r="AP358" s="3">
        <f t="shared" si="215"/>
        <v>73</v>
      </c>
      <c r="AQ358" s="3">
        <f t="shared" si="216"/>
        <v>68</v>
      </c>
      <c r="AR358" s="3">
        <f t="shared" si="217"/>
        <v>62</v>
      </c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M358" s="35" t="s">
        <v>12</v>
      </c>
      <c r="BO358" s="35"/>
      <c r="BR358" s="9" t="str">
        <f t="shared" si="193"/>
        <v/>
      </c>
      <c r="BS358" s="37" t="str">
        <f t="shared" si="194"/>
        <v/>
      </c>
      <c r="BT358" s="38" t="str">
        <f t="shared" si="185"/>
        <v/>
      </c>
      <c r="BU358" s="36" t="str">
        <f t="shared" si="195"/>
        <v/>
      </c>
    </row>
    <row r="359" spans="2:73" ht="15">
      <c r="B359" s="16">
        <f t="shared" si="196"/>
        <v>45586</v>
      </c>
      <c r="C359" s="15" t="s">
        <v>1</v>
      </c>
      <c r="D359" s="17">
        <f t="shared" si="197"/>
        <v>45592</v>
      </c>
      <c r="E359" s="18">
        <f t="shared" si="198"/>
        <v>10</v>
      </c>
      <c r="F359" s="19">
        <f t="shared" si="199"/>
        <v>2024</v>
      </c>
      <c r="G359" s="9">
        <f t="shared" si="218"/>
        <v>17</v>
      </c>
      <c r="H359" s="8">
        <f t="shared" si="218"/>
        <v>95</v>
      </c>
      <c r="I359" s="9"/>
      <c r="J359" s="9"/>
      <c r="K359" s="9"/>
      <c r="L359" s="9"/>
      <c r="M359" s="9"/>
      <c r="N359" s="9"/>
      <c r="O359" s="12"/>
      <c r="P359" s="12"/>
      <c r="Q359" s="12"/>
      <c r="R359" s="12">
        <v>1</v>
      </c>
      <c r="S359" s="12"/>
      <c r="T359" s="12"/>
      <c r="V359" s="20">
        <f t="shared" si="187"/>
        <v>6</v>
      </c>
      <c r="W359" s="20">
        <f t="shared" si="188"/>
        <v>11</v>
      </c>
      <c r="X359" s="20">
        <f t="shared" si="189"/>
        <v>16</v>
      </c>
      <c r="Y359" s="20">
        <f t="shared" si="190"/>
        <v>45588</v>
      </c>
      <c r="Z359" s="20">
        <f t="shared" si="191"/>
        <v>0</v>
      </c>
      <c r="AA359" s="20">
        <f t="shared" si="192"/>
        <v>0</v>
      </c>
      <c r="AC359" s="3">
        <f t="shared" si="202"/>
        <v>58</v>
      </c>
      <c r="AD359" s="3">
        <f t="shared" si="203"/>
        <v>53</v>
      </c>
      <c r="AE359" s="3">
        <f t="shared" si="204"/>
        <v>48</v>
      </c>
      <c r="AF359" s="3">
        <f t="shared" si="205"/>
        <v>42</v>
      </c>
      <c r="AG359" s="3">
        <f t="shared" si="206"/>
        <v>37</v>
      </c>
      <c r="AH359" s="3">
        <f t="shared" si="207"/>
        <v>32</v>
      </c>
      <c r="AI359" s="3">
        <f t="shared" si="208"/>
        <v>27</v>
      </c>
      <c r="AJ359" s="3">
        <f t="shared" si="209"/>
        <v>21</v>
      </c>
      <c r="AK359" s="3">
        <f t="shared" si="210"/>
        <v>0</v>
      </c>
      <c r="AL359" s="3">
        <f t="shared" si="211"/>
        <v>95</v>
      </c>
      <c r="AM359" s="3">
        <f t="shared" si="212"/>
        <v>90</v>
      </c>
      <c r="AN359" s="3">
        <f t="shared" si="213"/>
        <v>84</v>
      </c>
      <c r="AO359" s="3">
        <f t="shared" si="214"/>
        <v>79</v>
      </c>
      <c r="AP359" s="3">
        <f t="shared" si="215"/>
        <v>74</v>
      </c>
      <c r="AQ359" s="3">
        <f t="shared" si="216"/>
        <v>69</v>
      </c>
      <c r="AR359" s="3">
        <f t="shared" si="217"/>
        <v>63</v>
      </c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M359" s="35" t="s">
        <v>12</v>
      </c>
      <c r="BO359" s="35"/>
      <c r="BR359" s="9">
        <f t="shared" si="193"/>
        <v>4</v>
      </c>
      <c r="BS359" s="37">
        <f t="shared" si="194"/>
        <v>45588</v>
      </c>
      <c r="BT359" s="38">
        <f t="shared" si="185"/>
        <v>45707</v>
      </c>
      <c r="BU359" s="36">
        <f t="shared" si="195"/>
        <v>5</v>
      </c>
    </row>
    <row r="360" spans="2:73" ht="15">
      <c r="B360" s="16">
        <f t="shared" si="196"/>
        <v>45593</v>
      </c>
      <c r="C360" s="15" t="s">
        <v>1</v>
      </c>
      <c r="D360" s="17">
        <f t="shared" si="197"/>
        <v>45599</v>
      </c>
      <c r="E360" s="18">
        <f t="shared" si="198"/>
        <v>10</v>
      </c>
      <c r="F360" s="19">
        <f t="shared" si="199"/>
        <v>2024</v>
      </c>
      <c r="G360" s="9">
        <f t="shared" si="218"/>
        <v>17</v>
      </c>
      <c r="H360" s="8">
        <f t="shared" si="218"/>
        <v>95</v>
      </c>
      <c r="I360" s="9"/>
      <c r="J360" s="9"/>
      <c r="K360" s="9"/>
      <c r="L360" s="9"/>
      <c r="M360" s="9"/>
      <c r="N360" s="9"/>
      <c r="O360" s="12"/>
      <c r="P360" s="12"/>
      <c r="Q360" s="12"/>
      <c r="R360" s="12"/>
      <c r="S360" s="12"/>
      <c r="T360" s="12"/>
      <c r="V360" s="20">
        <f t="shared" si="187"/>
        <v>7</v>
      </c>
      <c r="W360" s="20">
        <f t="shared" si="188"/>
        <v>12</v>
      </c>
      <c r="X360" s="20">
        <f t="shared" si="189"/>
        <v>17</v>
      </c>
      <c r="Y360" s="20">
        <f t="shared" si="190"/>
        <v>1</v>
      </c>
      <c r="Z360" s="20">
        <f t="shared" si="191"/>
        <v>0</v>
      </c>
      <c r="AA360" s="20">
        <f t="shared" si="192"/>
        <v>0</v>
      </c>
      <c r="AC360" s="3">
        <f t="shared" si="202"/>
        <v>59</v>
      </c>
      <c r="AD360" s="3">
        <f t="shared" si="203"/>
        <v>54</v>
      </c>
      <c r="AE360" s="3">
        <f t="shared" si="204"/>
        <v>49</v>
      </c>
      <c r="AF360" s="3">
        <f t="shared" si="205"/>
        <v>43</v>
      </c>
      <c r="AG360" s="3">
        <f t="shared" si="206"/>
        <v>38</v>
      </c>
      <c r="AH360" s="3">
        <f t="shared" si="207"/>
        <v>33</v>
      </c>
      <c r="AI360" s="3">
        <f t="shared" si="208"/>
        <v>28</v>
      </c>
      <c r="AJ360" s="3">
        <f t="shared" si="209"/>
        <v>22</v>
      </c>
      <c r="AK360" s="3">
        <f t="shared" si="210"/>
        <v>17</v>
      </c>
      <c r="AL360" s="3">
        <f t="shared" si="211"/>
        <v>0</v>
      </c>
      <c r="AM360" s="3">
        <f t="shared" si="212"/>
        <v>91</v>
      </c>
      <c r="AN360" s="3">
        <f t="shared" si="213"/>
        <v>85</v>
      </c>
      <c r="AO360" s="3">
        <f t="shared" si="214"/>
        <v>80</v>
      </c>
      <c r="AP360" s="3">
        <f t="shared" si="215"/>
        <v>75</v>
      </c>
      <c r="AQ360" s="3">
        <f t="shared" si="216"/>
        <v>70</v>
      </c>
      <c r="AR360" s="3">
        <f t="shared" si="217"/>
        <v>64</v>
      </c>
      <c r="AS360" s="8"/>
      <c r="AT360" s="8"/>
      <c r="AU360" s="8"/>
      <c r="AV360" s="8"/>
      <c r="AW360" s="8"/>
      <c r="AX360" s="8"/>
      <c r="AY360" s="8"/>
      <c r="AZ360" s="8"/>
      <c r="BA360" s="8">
        <v>3</v>
      </c>
      <c r="BB360" s="8"/>
      <c r="BC360" s="8"/>
      <c r="BD360" s="8"/>
      <c r="BE360" s="8"/>
      <c r="BF360" s="8"/>
      <c r="BG360" s="8"/>
      <c r="BH360" s="8"/>
      <c r="BM360" s="35" t="s">
        <v>12</v>
      </c>
      <c r="BO360" s="35"/>
      <c r="BR360" s="9" t="str">
        <f t="shared" si="193"/>
        <v/>
      </c>
      <c r="BS360" s="37" t="str">
        <f t="shared" si="194"/>
        <v/>
      </c>
      <c r="BT360" s="38" t="str">
        <f t="shared" si="185"/>
        <v/>
      </c>
      <c r="BU360" s="36" t="str">
        <f t="shared" si="195"/>
        <v/>
      </c>
    </row>
    <row r="361" spans="2:73" ht="15">
      <c r="B361" s="16">
        <f t="shared" si="196"/>
        <v>45600</v>
      </c>
      <c r="C361" s="15" t="s">
        <v>1</v>
      </c>
      <c r="D361" s="17">
        <f t="shared" si="197"/>
        <v>45606</v>
      </c>
      <c r="E361" s="18">
        <f t="shared" si="198"/>
        <v>11</v>
      </c>
      <c r="F361" s="19">
        <f t="shared" si="199"/>
        <v>2024</v>
      </c>
      <c r="G361" s="9">
        <f t="shared" si="218"/>
        <v>17</v>
      </c>
      <c r="H361" s="8">
        <f t="shared" si="218"/>
        <v>95</v>
      </c>
      <c r="I361" s="9"/>
      <c r="J361" s="9"/>
      <c r="K361" s="9"/>
      <c r="L361" s="9"/>
      <c r="M361" s="9"/>
      <c r="N361" s="9"/>
      <c r="O361" s="12"/>
      <c r="P361" s="12"/>
      <c r="Q361" s="12"/>
      <c r="R361" s="12"/>
      <c r="S361" s="12"/>
      <c r="T361" s="12"/>
      <c r="V361" s="20">
        <f t="shared" si="187"/>
        <v>8</v>
      </c>
      <c r="W361" s="20">
        <f t="shared" si="188"/>
        <v>13</v>
      </c>
      <c r="X361" s="20">
        <f t="shared" si="189"/>
        <v>0</v>
      </c>
      <c r="Y361" s="20">
        <f t="shared" si="190"/>
        <v>2</v>
      </c>
      <c r="Z361" s="20">
        <f t="shared" si="191"/>
        <v>0</v>
      </c>
      <c r="AA361" s="20">
        <f t="shared" si="192"/>
        <v>0</v>
      </c>
      <c r="AC361" s="3">
        <f t="shared" si="202"/>
        <v>60</v>
      </c>
      <c r="AD361" s="3">
        <f t="shared" si="203"/>
        <v>55</v>
      </c>
      <c r="AE361" s="3">
        <f t="shared" si="204"/>
        <v>50</v>
      </c>
      <c r="AF361" s="3">
        <f t="shared" si="205"/>
        <v>44</v>
      </c>
      <c r="AG361" s="3">
        <f t="shared" si="206"/>
        <v>39</v>
      </c>
      <c r="AH361" s="3">
        <f t="shared" si="207"/>
        <v>34</v>
      </c>
      <c r="AI361" s="3">
        <f t="shared" si="208"/>
        <v>29</v>
      </c>
      <c r="AJ361" s="3">
        <f t="shared" si="209"/>
        <v>23</v>
      </c>
      <c r="AK361" s="3">
        <f t="shared" si="210"/>
        <v>18</v>
      </c>
      <c r="AL361" s="3">
        <f t="shared" si="211"/>
        <v>0</v>
      </c>
      <c r="AM361" s="3">
        <f t="shared" si="212"/>
        <v>92</v>
      </c>
      <c r="AN361" s="3">
        <f t="shared" si="213"/>
        <v>86</v>
      </c>
      <c r="AO361" s="3">
        <f t="shared" si="214"/>
        <v>81</v>
      </c>
      <c r="AP361" s="3">
        <f t="shared" si="215"/>
        <v>76</v>
      </c>
      <c r="AQ361" s="3">
        <f t="shared" si="216"/>
        <v>71</v>
      </c>
      <c r="AR361" s="3">
        <f t="shared" si="217"/>
        <v>65</v>
      </c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M361" s="35" t="s">
        <v>12</v>
      </c>
      <c r="BO361" s="35"/>
      <c r="BR361" s="9" t="str">
        <f t="shared" si="193"/>
        <v/>
      </c>
      <c r="BS361" s="37" t="str">
        <f t="shared" si="194"/>
        <v/>
      </c>
      <c r="BT361" s="38" t="str">
        <f t="shared" si="185"/>
        <v/>
      </c>
      <c r="BU361" s="36" t="str">
        <f t="shared" si="195"/>
        <v/>
      </c>
    </row>
    <row r="362" spans="2:73" ht="15">
      <c r="B362" s="16">
        <f t="shared" si="196"/>
        <v>45607</v>
      </c>
      <c r="C362" s="15" t="s">
        <v>1</v>
      </c>
      <c r="D362" s="17">
        <f t="shared" si="197"/>
        <v>45613</v>
      </c>
      <c r="E362" s="18">
        <f t="shared" si="198"/>
        <v>11</v>
      </c>
      <c r="F362" s="19">
        <f t="shared" si="199"/>
        <v>2024</v>
      </c>
      <c r="G362" s="9">
        <f t="shared" si="218"/>
        <v>17</v>
      </c>
      <c r="H362" s="8">
        <f t="shared" si="218"/>
        <v>95</v>
      </c>
      <c r="I362" s="9"/>
      <c r="J362" s="9"/>
      <c r="K362" s="9"/>
      <c r="L362" s="9"/>
      <c r="M362" s="9"/>
      <c r="N362" s="9"/>
      <c r="O362" s="12"/>
      <c r="P362" s="12"/>
      <c r="Q362" s="12"/>
      <c r="R362" s="12"/>
      <c r="S362" s="12"/>
      <c r="T362" s="12"/>
      <c r="V362" s="20">
        <f t="shared" si="187"/>
        <v>9</v>
      </c>
      <c r="W362" s="20">
        <f t="shared" si="188"/>
        <v>14</v>
      </c>
      <c r="X362" s="20">
        <f t="shared" si="189"/>
        <v>0</v>
      </c>
      <c r="Y362" s="20">
        <f t="shared" si="190"/>
        <v>3</v>
      </c>
      <c r="Z362" s="20">
        <f t="shared" si="191"/>
        <v>0</v>
      </c>
      <c r="AA362" s="20">
        <f t="shared" si="192"/>
        <v>0</v>
      </c>
      <c r="AC362" s="3">
        <f t="shared" si="202"/>
        <v>61</v>
      </c>
      <c r="AD362" s="3">
        <f t="shared" si="203"/>
        <v>56</v>
      </c>
      <c r="AE362" s="3">
        <f t="shared" si="204"/>
        <v>51</v>
      </c>
      <c r="AF362" s="3">
        <f t="shared" si="205"/>
        <v>45</v>
      </c>
      <c r="AG362" s="3">
        <f t="shared" si="206"/>
        <v>40</v>
      </c>
      <c r="AH362" s="3">
        <f t="shared" si="207"/>
        <v>35</v>
      </c>
      <c r="AI362" s="3">
        <f t="shared" si="208"/>
        <v>30</v>
      </c>
      <c r="AJ362" s="3">
        <f t="shared" si="209"/>
        <v>24</v>
      </c>
      <c r="AK362" s="3">
        <f t="shared" si="210"/>
        <v>19</v>
      </c>
      <c r="AL362" s="3">
        <f t="shared" si="211"/>
        <v>0</v>
      </c>
      <c r="AM362" s="3">
        <f t="shared" si="212"/>
        <v>93</v>
      </c>
      <c r="AN362" s="3">
        <f t="shared" si="213"/>
        <v>87</v>
      </c>
      <c r="AO362" s="3">
        <f t="shared" si="214"/>
        <v>82</v>
      </c>
      <c r="AP362" s="3">
        <f t="shared" si="215"/>
        <v>77</v>
      </c>
      <c r="AQ362" s="3">
        <f t="shared" si="216"/>
        <v>72</v>
      </c>
      <c r="AR362" s="3">
        <f t="shared" si="217"/>
        <v>66</v>
      </c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M362" s="35" t="s">
        <v>12</v>
      </c>
      <c r="BO362" s="35"/>
      <c r="BR362" s="9" t="str">
        <f t="shared" si="193"/>
        <v/>
      </c>
      <c r="BS362" s="37" t="str">
        <f t="shared" si="194"/>
        <v/>
      </c>
      <c r="BT362" s="38" t="str">
        <f t="shared" ref="BT362:BT421" si="219">IF(BS362="","",BS362+(17*7))</f>
        <v/>
      </c>
      <c r="BU362" s="36" t="str">
        <f t="shared" si="195"/>
        <v/>
      </c>
    </row>
    <row r="363" spans="2:73" ht="15">
      <c r="B363" s="16">
        <f t="shared" si="196"/>
        <v>45614</v>
      </c>
      <c r="C363" s="15" t="s">
        <v>1</v>
      </c>
      <c r="D363" s="17">
        <f t="shared" si="197"/>
        <v>45620</v>
      </c>
      <c r="E363" s="18">
        <f t="shared" si="198"/>
        <v>11</v>
      </c>
      <c r="F363" s="19">
        <f t="shared" si="199"/>
        <v>2024</v>
      </c>
      <c r="G363" s="9">
        <f t="shared" si="218"/>
        <v>17</v>
      </c>
      <c r="H363" s="8">
        <f t="shared" si="218"/>
        <v>95</v>
      </c>
      <c r="I363" s="9"/>
      <c r="J363" s="9"/>
      <c r="K363" s="9"/>
      <c r="L363" s="9"/>
      <c r="M363" s="9"/>
      <c r="N363" s="9"/>
      <c r="O363" s="12"/>
      <c r="P363" s="12"/>
      <c r="Q363" s="12"/>
      <c r="R363" s="12"/>
      <c r="S363" s="12"/>
      <c r="T363" s="12"/>
      <c r="V363" s="20">
        <f t="shared" si="187"/>
        <v>10</v>
      </c>
      <c r="W363" s="20">
        <f t="shared" si="188"/>
        <v>15</v>
      </c>
      <c r="X363" s="20">
        <f t="shared" si="189"/>
        <v>0</v>
      </c>
      <c r="Y363" s="20">
        <f t="shared" si="190"/>
        <v>4</v>
      </c>
      <c r="Z363" s="20">
        <f t="shared" si="191"/>
        <v>0</v>
      </c>
      <c r="AA363" s="20">
        <f t="shared" si="192"/>
        <v>0</v>
      </c>
      <c r="AC363" s="3">
        <f t="shared" si="202"/>
        <v>62</v>
      </c>
      <c r="AD363" s="3">
        <f t="shared" si="203"/>
        <v>57</v>
      </c>
      <c r="AE363" s="3">
        <f t="shared" si="204"/>
        <v>52</v>
      </c>
      <c r="AF363" s="3">
        <f t="shared" si="205"/>
        <v>46</v>
      </c>
      <c r="AG363" s="3">
        <f t="shared" si="206"/>
        <v>41</v>
      </c>
      <c r="AH363" s="3">
        <f t="shared" si="207"/>
        <v>36</v>
      </c>
      <c r="AI363" s="3">
        <f t="shared" si="208"/>
        <v>31</v>
      </c>
      <c r="AJ363" s="3">
        <f t="shared" si="209"/>
        <v>25</v>
      </c>
      <c r="AK363" s="3">
        <f t="shared" si="210"/>
        <v>20</v>
      </c>
      <c r="AL363" s="3">
        <f t="shared" si="211"/>
        <v>0</v>
      </c>
      <c r="AM363" s="3">
        <f t="shared" si="212"/>
        <v>94</v>
      </c>
      <c r="AN363" s="3">
        <f t="shared" si="213"/>
        <v>88</v>
      </c>
      <c r="AO363" s="3">
        <f t="shared" si="214"/>
        <v>83</v>
      </c>
      <c r="AP363" s="3">
        <f t="shared" si="215"/>
        <v>78</v>
      </c>
      <c r="AQ363" s="3">
        <f t="shared" si="216"/>
        <v>73</v>
      </c>
      <c r="AR363" s="3">
        <f t="shared" si="217"/>
        <v>67</v>
      </c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M363" s="35" t="s">
        <v>12</v>
      </c>
      <c r="BO363" s="35"/>
      <c r="BR363" s="9" t="str">
        <f t="shared" si="193"/>
        <v/>
      </c>
      <c r="BS363" s="37" t="str">
        <f t="shared" si="194"/>
        <v/>
      </c>
      <c r="BT363" s="38" t="str">
        <f t="shared" si="219"/>
        <v/>
      </c>
      <c r="BU363" s="36" t="str">
        <f t="shared" si="195"/>
        <v/>
      </c>
    </row>
    <row r="364" spans="2:73" ht="15">
      <c r="B364" s="16">
        <f t="shared" si="196"/>
        <v>45621</v>
      </c>
      <c r="C364" s="15" t="s">
        <v>1</v>
      </c>
      <c r="D364" s="17">
        <f t="shared" si="197"/>
        <v>45627</v>
      </c>
      <c r="E364" s="18">
        <f t="shared" si="198"/>
        <v>11</v>
      </c>
      <c r="F364" s="19">
        <f t="shared" si="199"/>
        <v>2024</v>
      </c>
      <c r="G364" s="9">
        <f t="shared" si="218"/>
        <v>17</v>
      </c>
      <c r="H364" s="8">
        <f t="shared" si="218"/>
        <v>95</v>
      </c>
      <c r="I364" s="9"/>
      <c r="J364" s="9"/>
      <c r="K364" s="9"/>
      <c r="L364" s="9"/>
      <c r="M364" s="9"/>
      <c r="N364" s="9"/>
      <c r="O364" s="12"/>
      <c r="P364" s="12"/>
      <c r="Q364" s="12">
        <v>1</v>
      </c>
      <c r="R364" s="12"/>
      <c r="S364" s="12"/>
      <c r="T364" s="12"/>
      <c r="V364" s="20">
        <f t="shared" si="187"/>
        <v>11</v>
      </c>
      <c r="W364" s="20">
        <f t="shared" si="188"/>
        <v>16</v>
      </c>
      <c r="X364" s="20">
        <f t="shared" si="189"/>
        <v>45623</v>
      </c>
      <c r="Y364" s="20">
        <f t="shared" si="190"/>
        <v>5</v>
      </c>
      <c r="Z364" s="20">
        <f t="shared" si="191"/>
        <v>0</v>
      </c>
      <c r="AA364" s="20">
        <f t="shared" si="192"/>
        <v>0</v>
      </c>
      <c r="AC364" s="3">
        <f t="shared" si="202"/>
        <v>63</v>
      </c>
      <c r="AD364" s="3">
        <f t="shared" si="203"/>
        <v>58</v>
      </c>
      <c r="AE364" s="3">
        <f t="shared" si="204"/>
        <v>53</v>
      </c>
      <c r="AF364" s="3">
        <f t="shared" si="205"/>
        <v>47</v>
      </c>
      <c r="AG364" s="3">
        <f t="shared" si="206"/>
        <v>42</v>
      </c>
      <c r="AH364" s="3">
        <f t="shared" si="207"/>
        <v>37</v>
      </c>
      <c r="AI364" s="3">
        <f t="shared" si="208"/>
        <v>32</v>
      </c>
      <c r="AJ364" s="3">
        <f t="shared" si="209"/>
        <v>26</v>
      </c>
      <c r="AK364" s="3">
        <f t="shared" si="210"/>
        <v>21</v>
      </c>
      <c r="AL364" s="3">
        <f t="shared" si="211"/>
        <v>0</v>
      </c>
      <c r="AM364" s="3">
        <f t="shared" si="212"/>
        <v>95</v>
      </c>
      <c r="AN364" s="3">
        <f t="shared" si="213"/>
        <v>89</v>
      </c>
      <c r="AO364" s="3">
        <f t="shared" si="214"/>
        <v>84</v>
      </c>
      <c r="AP364" s="3">
        <f t="shared" si="215"/>
        <v>79</v>
      </c>
      <c r="AQ364" s="3">
        <f t="shared" si="216"/>
        <v>74</v>
      </c>
      <c r="AR364" s="3">
        <f t="shared" si="217"/>
        <v>68</v>
      </c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M364" s="35" t="s">
        <v>12</v>
      </c>
      <c r="BO364" s="35"/>
      <c r="BR364" s="9">
        <f t="shared" si="193"/>
        <v>3</v>
      </c>
      <c r="BS364" s="37">
        <f t="shared" si="194"/>
        <v>45623</v>
      </c>
      <c r="BT364" s="38">
        <f t="shared" si="219"/>
        <v>45742</v>
      </c>
      <c r="BU364" s="36">
        <f t="shared" si="195"/>
        <v>15</v>
      </c>
    </row>
    <row r="365" spans="2:73" ht="15">
      <c r="B365" s="16">
        <f t="shared" si="196"/>
        <v>45628</v>
      </c>
      <c r="C365" s="15" t="s">
        <v>1</v>
      </c>
      <c r="D365" s="17">
        <f t="shared" si="197"/>
        <v>45634</v>
      </c>
      <c r="E365" s="18">
        <f t="shared" si="198"/>
        <v>12</v>
      </c>
      <c r="F365" s="19">
        <f t="shared" si="199"/>
        <v>2024</v>
      </c>
      <c r="G365" s="9">
        <f t="shared" si="218"/>
        <v>17</v>
      </c>
      <c r="H365" s="8">
        <f t="shared" si="218"/>
        <v>95</v>
      </c>
      <c r="I365" s="9"/>
      <c r="J365" s="9"/>
      <c r="K365" s="9"/>
      <c r="L365" s="9"/>
      <c r="M365" s="9"/>
      <c r="N365" s="9"/>
      <c r="O365" s="12"/>
      <c r="P365" s="12"/>
      <c r="Q365" s="12"/>
      <c r="R365" s="12"/>
      <c r="S365" s="12"/>
      <c r="T365" s="12"/>
      <c r="V365" s="20">
        <f t="shared" si="187"/>
        <v>12</v>
      </c>
      <c r="W365" s="20">
        <f t="shared" si="188"/>
        <v>17</v>
      </c>
      <c r="X365" s="20">
        <f t="shared" si="189"/>
        <v>1</v>
      </c>
      <c r="Y365" s="20">
        <f t="shared" si="190"/>
        <v>6</v>
      </c>
      <c r="Z365" s="20">
        <f t="shared" si="191"/>
        <v>0</v>
      </c>
      <c r="AA365" s="20">
        <f t="shared" si="192"/>
        <v>0</v>
      </c>
      <c r="AC365" s="3">
        <f t="shared" si="202"/>
        <v>64</v>
      </c>
      <c r="AD365" s="3">
        <f t="shared" si="203"/>
        <v>59</v>
      </c>
      <c r="AE365" s="3">
        <f t="shared" si="204"/>
        <v>54</v>
      </c>
      <c r="AF365" s="3">
        <f t="shared" si="205"/>
        <v>48</v>
      </c>
      <c r="AG365" s="3">
        <f t="shared" si="206"/>
        <v>43</v>
      </c>
      <c r="AH365" s="3">
        <f t="shared" si="207"/>
        <v>38</v>
      </c>
      <c r="AI365" s="3">
        <f t="shared" si="208"/>
        <v>33</v>
      </c>
      <c r="AJ365" s="3">
        <f t="shared" si="209"/>
        <v>27</v>
      </c>
      <c r="AK365" s="3">
        <f t="shared" si="210"/>
        <v>22</v>
      </c>
      <c r="AL365" s="3">
        <f t="shared" si="211"/>
        <v>17</v>
      </c>
      <c r="AM365" s="3">
        <f t="shared" si="212"/>
        <v>0</v>
      </c>
      <c r="AN365" s="3">
        <f t="shared" si="213"/>
        <v>90</v>
      </c>
      <c r="AO365" s="3">
        <f t="shared" si="214"/>
        <v>85</v>
      </c>
      <c r="AP365" s="3">
        <f t="shared" si="215"/>
        <v>80</v>
      </c>
      <c r="AQ365" s="3">
        <f t="shared" si="216"/>
        <v>75</v>
      </c>
      <c r="AR365" s="3">
        <f t="shared" si="217"/>
        <v>69</v>
      </c>
      <c r="AS365" s="8"/>
      <c r="AT365" s="8"/>
      <c r="AU365" s="8"/>
      <c r="AV365" s="8"/>
      <c r="AW365" s="8"/>
      <c r="AX365" s="8"/>
      <c r="AY365" s="8"/>
      <c r="AZ365" s="8"/>
      <c r="BA365" s="8"/>
      <c r="BB365" s="8">
        <v>2</v>
      </c>
      <c r="BC365" s="8"/>
      <c r="BD365" s="8"/>
      <c r="BE365" s="8"/>
      <c r="BF365" s="8"/>
      <c r="BG365" s="8"/>
      <c r="BH365" s="8"/>
      <c r="BM365" s="35" t="s">
        <v>12</v>
      </c>
      <c r="BO365" s="35"/>
      <c r="BR365" s="9" t="str">
        <f t="shared" si="193"/>
        <v/>
      </c>
      <c r="BS365" s="37" t="str">
        <f t="shared" si="194"/>
        <v/>
      </c>
      <c r="BT365" s="38" t="str">
        <f t="shared" si="219"/>
        <v/>
      </c>
      <c r="BU365" s="36" t="str">
        <f t="shared" si="195"/>
        <v/>
      </c>
    </row>
    <row r="366" spans="2:73" ht="15">
      <c r="B366" s="16">
        <f t="shared" si="196"/>
        <v>45635</v>
      </c>
      <c r="C366" s="15" t="s">
        <v>1</v>
      </c>
      <c r="D366" s="17">
        <f t="shared" si="197"/>
        <v>45641</v>
      </c>
      <c r="E366" s="18">
        <f t="shared" si="198"/>
        <v>12</v>
      </c>
      <c r="F366" s="19">
        <f t="shared" si="199"/>
        <v>2024</v>
      </c>
      <c r="G366" s="9">
        <f t="shared" si="218"/>
        <v>17</v>
      </c>
      <c r="H366" s="8">
        <f t="shared" si="218"/>
        <v>95</v>
      </c>
      <c r="I366" s="9"/>
      <c r="J366" s="9"/>
      <c r="K366" s="9"/>
      <c r="L366" s="9"/>
      <c r="M366" s="9"/>
      <c r="N366" s="9"/>
      <c r="O366" s="12"/>
      <c r="P366" s="12"/>
      <c r="Q366" s="12"/>
      <c r="R366" s="12"/>
      <c r="S366" s="12"/>
      <c r="T366" s="12"/>
      <c r="V366" s="20">
        <f t="shared" si="187"/>
        <v>13</v>
      </c>
      <c r="W366" s="20">
        <f t="shared" si="188"/>
        <v>0</v>
      </c>
      <c r="X366" s="20">
        <f t="shared" si="189"/>
        <v>2</v>
      </c>
      <c r="Y366" s="20">
        <f t="shared" si="190"/>
        <v>7</v>
      </c>
      <c r="Z366" s="20">
        <f t="shared" si="191"/>
        <v>0</v>
      </c>
      <c r="AA366" s="20">
        <f t="shared" si="192"/>
        <v>0</v>
      </c>
      <c r="AC366" s="3">
        <f t="shared" si="202"/>
        <v>65</v>
      </c>
      <c r="AD366" s="3">
        <f t="shared" si="203"/>
        <v>60</v>
      </c>
      <c r="AE366" s="3">
        <f t="shared" si="204"/>
        <v>55</v>
      </c>
      <c r="AF366" s="3">
        <f t="shared" si="205"/>
        <v>49</v>
      </c>
      <c r="AG366" s="3">
        <f t="shared" si="206"/>
        <v>44</v>
      </c>
      <c r="AH366" s="3">
        <f t="shared" si="207"/>
        <v>39</v>
      </c>
      <c r="AI366" s="3">
        <f t="shared" si="208"/>
        <v>34</v>
      </c>
      <c r="AJ366" s="3">
        <f t="shared" si="209"/>
        <v>28</v>
      </c>
      <c r="AK366" s="3">
        <f t="shared" si="210"/>
        <v>23</v>
      </c>
      <c r="AL366" s="3">
        <f t="shared" si="211"/>
        <v>18</v>
      </c>
      <c r="AM366" s="3">
        <f t="shared" si="212"/>
        <v>0</v>
      </c>
      <c r="AN366" s="3">
        <f t="shared" si="213"/>
        <v>91</v>
      </c>
      <c r="AO366" s="3">
        <f t="shared" si="214"/>
        <v>86</v>
      </c>
      <c r="AP366" s="3">
        <f t="shared" si="215"/>
        <v>81</v>
      </c>
      <c r="AQ366" s="3">
        <f t="shared" si="216"/>
        <v>76</v>
      </c>
      <c r="AR366" s="3">
        <f t="shared" si="217"/>
        <v>70</v>
      </c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M366" s="35" t="s">
        <v>12</v>
      </c>
      <c r="BO366" s="35"/>
      <c r="BR366" s="9" t="str">
        <f t="shared" si="193"/>
        <v/>
      </c>
      <c r="BS366" s="37" t="str">
        <f t="shared" si="194"/>
        <v/>
      </c>
      <c r="BT366" s="38" t="str">
        <f t="shared" si="219"/>
        <v/>
      </c>
      <c r="BU366" s="36" t="str">
        <f t="shared" si="195"/>
        <v/>
      </c>
    </row>
    <row r="367" spans="2:73" ht="15">
      <c r="B367" s="16">
        <f t="shared" si="196"/>
        <v>45642</v>
      </c>
      <c r="C367" s="15" t="s">
        <v>1</v>
      </c>
      <c r="D367" s="17">
        <f t="shared" si="197"/>
        <v>45648</v>
      </c>
      <c r="E367" s="18">
        <f t="shared" si="198"/>
        <v>12</v>
      </c>
      <c r="F367" s="19">
        <f t="shared" si="199"/>
        <v>2024</v>
      </c>
      <c r="G367" s="9">
        <f t="shared" si="218"/>
        <v>17</v>
      </c>
      <c r="H367" s="8">
        <f t="shared" si="218"/>
        <v>95</v>
      </c>
      <c r="I367" s="9"/>
      <c r="J367" s="9"/>
      <c r="K367" s="9"/>
      <c r="L367" s="9"/>
      <c r="M367" s="9"/>
      <c r="N367" s="9"/>
      <c r="O367" s="12"/>
      <c r="P367" s="12"/>
      <c r="Q367" s="12"/>
      <c r="R367" s="12"/>
      <c r="S367" s="12"/>
      <c r="T367" s="12"/>
      <c r="V367" s="20">
        <f t="shared" si="187"/>
        <v>14</v>
      </c>
      <c r="W367" s="20">
        <f t="shared" si="188"/>
        <v>0</v>
      </c>
      <c r="X367" s="20">
        <f t="shared" si="189"/>
        <v>3</v>
      </c>
      <c r="Y367" s="20">
        <f t="shared" si="190"/>
        <v>8</v>
      </c>
      <c r="Z367" s="20">
        <f t="shared" si="191"/>
        <v>0</v>
      </c>
      <c r="AA367" s="20">
        <f t="shared" si="192"/>
        <v>0</v>
      </c>
      <c r="AC367" s="3">
        <f t="shared" si="202"/>
        <v>66</v>
      </c>
      <c r="AD367" s="3">
        <f t="shared" si="203"/>
        <v>61</v>
      </c>
      <c r="AE367" s="3">
        <f t="shared" si="204"/>
        <v>56</v>
      </c>
      <c r="AF367" s="3">
        <f t="shared" si="205"/>
        <v>50</v>
      </c>
      <c r="AG367" s="3">
        <f t="shared" si="206"/>
        <v>45</v>
      </c>
      <c r="AH367" s="3">
        <f t="shared" si="207"/>
        <v>40</v>
      </c>
      <c r="AI367" s="3">
        <f t="shared" si="208"/>
        <v>35</v>
      </c>
      <c r="AJ367" s="3">
        <f t="shared" si="209"/>
        <v>29</v>
      </c>
      <c r="AK367" s="3">
        <f t="shared" si="210"/>
        <v>24</v>
      </c>
      <c r="AL367" s="3">
        <f t="shared" si="211"/>
        <v>19</v>
      </c>
      <c r="AM367" s="3">
        <f t="shared" si="212"/>
        <v>0</v>
      </c>
      <c r="AN367" s="3">
        <f t="shared" si="213"/>
        <v>92</v>
      </c>
      <c r="AO367" s="3">
        <f t="shared" si="214"/>
        <v>87</v>
      </c>
      <c r="AP367" s="3">
        <f t="shared" si="215"/>
        <v>82</v>
      </c>
      <c r="AQ367" s="3">
        <f t="shared" si="216"/>
        <v>77</v>
      </c>
      <c r="AR367" s="3">
        <f t="shared" si="217"/>
        <v>71</v>
      </c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M367" s="35" t="s">
        <v>12</v>
      </c>
      <c r="BO367" s="35"/>
      <c r="BR367" s="9" t="str">
        <f t="shared" si="193"/>
        <v/>
      </c>
      <c r="BS367" s="37" t="str">
        <f t="shared" si="194"/>
        <v/>
      </c>
      <c r="BT367" s="38" t="str">
        <f t="shared" si="219"/>
        <v/>
      </c>
      <c r="BU367" s="36" t="str">
        <f t="shared" si="195"/>
        <v/>
      </c>
    </row>
    <row r="368" spans="2:73" ht="15">
      <c r="B368" s="16">
        <f t="shared" si="196"/>
        <v>45649</v>
      </c>
      <c r="C368" s="15" t="s">
        <v>1</v>
      </c>
      <c r="D368" s="17">
        <f t="shared" si="197"/>
        <v>45655</v>
      </c>
      <c r="E368" s="18">
        <f t="shared" si="198"/>
        <v>12</v>
      </c>
      <c r="F368" s="19">
        <f t="shared" si="199"/>
        <v>2024</v>
      </c>
      <c r="G368" s="9">
        <f t="shared" si="218"/>
        <v>17</v>
      </c>
      <c r="H368" s="8">
        <f t="shared" si="218"/>
        <v>95</v>
      </c>
      <c r="I368" s="9"/>
      <c r="J368" s="9"/>
      <c r="K368" s="9"/>
      <c r="L368" s="9"/>
      <c r="M368" s="9"/>
      <c r="N368" s="9"/>
      <c r="O368" s="12"/>
      <c r="P368" s="12"/>
      <c r="Q368" s="12"/>
      <c r="R368" s="12"/>
      <c r="S368" s="12"/>
      <c r="T368" s="12"/>
      <c r="V368" s="20">
        <f t="shared" si="187"/>
        <v>15</v>
      </c>
      <c r="W368" s="20">
        <f t="shared" si="188"/>
        <v>0</v>
      </c>
      <c r="X368" s="20">
        <f t="shared" si="189"/>
        <v>4</v>
      </c>
      <c r="Y368" s="20">
        <f t="shared" si="190"/>
        <v>9</v>
      </c>
      <c r="Z368" s="20">
        <f t="shared" si="191"/>
        <v>0</v>
      </c>
      <c r="AA368" s="20">
        <f t="shared" si="192"/>
        <v>0</v>
      </c>
      <c r="AC368" s="3">
        <f t="shared" si="202"/>
        <v>67</v>
      </c>
      <c r="AD368" s="3">
        <f t="shared" si="203"/>
        <v>62</v>
      </c>
      <c r="AE368" s="3">
        <f t="shared" si="204"/>
        <v>57</v>
      </c>
      <c r="AF368" s="3">
        <f t="shared" si="205"/>
        <v>51</v>
      </c>
      <c r="AG368" s="3">
        <f t="shared" si="206"/>
        <v>46</v>
      </c>
      <c r="AH368" s="3">
        <f t="shared" si="207"/>
        <v>41</v>
      </c>
      <c r="AI368" s="3">
        <f t="shared" si="208"/>
        <v>36</v>
      </c>
      <c r="AJ368" s="3">
        <f t="shared" si="209"/>
        <v>30</v>
      </c>
      <c r="AK368" s="3">
        <f t="shared" si="210"/>
        <v>25</v>
      </c>
      <c r="AL368" s="3">
        <f t="shared" si="211"/>
        <v>20</v>
      </c>
      <c r="AM368" s="3">
        <f t="shared" si="212"/>
        <v>0</v>
      </c>
      <c r="AN368" s="3">
        <f t="shared" si="213"/>
        <v>93</v>
      </c>
      <c r="AO368" s="3">
        <f t="shared" si="214"/>
        <v>88</v>
      </c>
      <c r="AP368" s="3">
        <f t="shared" si="215"/>
        <v>83</v>
      </c>
      <c r="AQ368" s="3">
        <f t="shared" si="216"/>
        <v>78</v>
      </c>
      <c r="AR368" s="3">
        <f t="shared" si="217"/>
        <v>72</v>
      </c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M368" s="35" t="s">
        <v>12</v>
      </c>
      <c r="BO368" s="35"/>
      <c r="BR368" s="9" t="str">
        <f t="shared" si="193"/>
        <v/>
      </c>
      <c r="BS368" s="37" t="str">
        <f t="shared" si="194"/>
        <v/>
      </c>
      <c r="BT368" s="38" t="str">
        <f t="shared" si="219"/>
        <v/>
      </c>
      <c r="BU368" s="36" t="str">
        <f t="shared" si="195"/>
        <v/>
      </c>
    </row>
    <row r="369" spans="2:73" ht="15">
      <c r="B369" s="16">
        <f t="shared" si="196"/>
        <v>45656</v>
      </c>
      <c r="C369" s="15" t="s">
        <v>1</v>
      </c>
      <c r="D369" s="17">
        <f t="shared" si="197"/>
        <v>45662</v>
      </c>
      <c r="E369" s="18">
        <f t="shared" si="198"/>
        <v>12</v>
      </c>
      <c r="F369" s="19">
        <f t="shared" si="199"/>
        <v>2025</v>
      </c>
      <c r="G369" s="9">
        <f t="shared" si="218"/>
        <v>17</v>
      </c>
      <c r="H369" s="8">
        <f t="shared" si="218"/>
        <v>95</v>
      </c>
      <c r="I369" s="9"/>
      <c r="J369" s="9"/>
      <c r="K369" s="9"/>
      <c r="L369" s="9"/>
      <c r="M369" s="9"/>
      <c r="N369" s="9"/>
      <c r="O369" s="12"/>
      <c r="P369" s="12">
        <v>1</v>
      </c>
      <c r="Q369" s="12"/>
      <c r="R369" s="12"/>
      <c r="S369" s="12"/>
      <c r="T369" s="12"/>
      <c r="V369" s="20">
        <f t="shared" si="187"/>
        <v>16</v>
      </c>
      <c r="W369" s="20">
        <f t="shared" si="188"/>
        <v>45658</v>
      </c>
      <c r="X369" s="20">
        <f t="shared" si="189"/>
        <v>5</v>
      </c>
      <c r="Y369" s="20">
        <f t="shared" si="190"/>
        <v>10</v>
      </c>
      <c r="Z369" s="20">
        <f t="shared" si="191"/>
        <v>0</v>
      </c>
      <c r="AA369" s="20">
        <f t="shared" si="192"/>
        <v>0</v>
      </c>
      <c r="AC369" s="3">
        <f t="shared" si="202"/>
        <v>68</v>
      </c>
      <c r="AD369" s="3">
        <f t="shared" si="203"/>
        <v>63</v>
      </c>
      <c r="AE369" s="3">
        <f t="shared" si="204"/>
        <v>58</v>
      </c>
      <c r="AF369" s="3">
        <f t="shared" si="205"/>
        <v>52</v>
      </c>
      <c r="AG369" s="3">
        <f t="shared" si="206"/>
        <v>47</v>
      </c>
      <c r="AH369" s="3">
        <f t="shared" si="207"/>
        <v>42</v>
      </c>
      <c r="AI369" s="3">
        <f t="shared" si="208"/>
        <v>37</v>
      </c>
      <c r="AJ369" s="3">
        <f t="shared" si="209"/>
        <v>31</v>
      </c>
      <c r="AK369" s="3">
        <f t="shared" si="210"/>
        <v>26</v>
      </c>
      <c r="AL369" s="3">
        <f t="shared" si="211"/>
        <v>21</v>
      </c>
      <c r="AM369" s="3">
        <f t="shared" si="212"/>
        <v>0</v>
      </c>
      <c r="AN369" s="3">
        <f t="shared" si="213"/>
        <v>94</v>
      </c>
      <c r="AO369" s="3">
        <f t="shared" si="214"/>
        <v>89</v>
      </c>
      <c r="AP369" s="3">
        <f t="shared" si="215"/>
        <v>84</v>
      </c>
      <c r="AQ369" s="3">
        <f t="shared" si="216"/>
        <v>79</v>
      </c>
      <c r="AR369" s="3">
        <f t="shared" si="217"/>
        <v>73</v>
      </c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M369" s="35" t="s">
        <v>12</v>
      </c>
      <c r="BO369" s="35"/>
      <c r="BR369" s="9">
        <f t="shared" si="193"/>
        <v>2</v>
      </c>
      <c r="BS369" s="37">
        <f t="shared" si="194"/>
        <v>45658</v>
      </c>
      <c r="BT369" s="38">
        <f t="shared" si="219"/>
        <v>45777</v>
      </c>
      <c r="BU369" s="36">
        <f t="shared" si="195"/>
        <v>7</v>
      </c>
    </row>
    <row r="370" spans="2:73" ht="15">
      <c r="B370" s="16">
        <f t="shared" si="196"/>
        <v>45663</v>
      </c>
      <c r="C370" s="15" t="s">
        <v>1</v>
      </c>
      <c r="D370" s="17">
        <f t="shared" si="197"/>
        <v>45669</v>
      </c>
      <c r="E370" s="18">
        <f t="shared" si="198"/>
        <v>1</v>
      </c>
      <c r="F370" s="19">
        <f t="shared" si="199"/>
        <v>2025</v>
      </c>
      <c r="G370" s="9">
        <f t="shared" si="218"/>
        <v>17</v>
      </c>
      <c r="H370" s="8">
        <f t="shared" si="218"/>
        <v>95</v>
      </c>
      <c r="I370" s="9"/>
      <c r="J370" s="9"/>
      <c r="K370" s="9"/>
      <c r="L370" s="9"/>
      <c r="M370" s="9"/>
      <c r="N370" s="9"/>
      <c r="O370" s="12"/>
      <c r="P370" s="12"/>
      <c r="Q370" s="12"/>
      <c r="R370" s="12"/>
      <c r="S370" s="12"/>
      <c r="T370" s="12"/>
      <c r="V370" s="20">
        <f t="shared" si="187"/>
        <v>17</v>
      </c>
      <c r="W370" s="20">
        <f t="shared" si="188"/>
        <v>1</v>
      </c>
      <c r="X370" s="20">
        <f t="shared" si="189"/>
        <v>6</v>
      </c>
      <c r="Y370" s="20">
        <f t="shared" si="190"/>
        <v>11</v>
      </c>
      <c r="Z370" s="20">
        <f t="shared" si="191"/>
        <v>0</v>
      </c>
      <c r="AA370" s="20">
        <f t="shared" si="192"/>
        <v>0</v>
      </c>
      <c r="AC370" s="3">
        <f t="shared" si="202"/>
        <v>69</v>
      </c>
      <c r="AD370" s="3">
        <f t="shared" si="203"/>
        <v>64</v>
      </c>
      <c r="AE370" s="3">
        <f t="shared" si="204"/>
        <v>59</v>
      </c>
      <c r="AF370" s="3">
        <f t="shared" si="205"/>
        <v>53</v>
      </c>
      <c r="AG370" s="3">
        <f t="shared" si="206"/>
        <v>48</v>
      </c>
      <c r="AH370" s="3">
        <f t="shared" si="207"/>
        <v>43</v>
      </c>
      <c r="AI370" s="3">
        <f t="shared" si="208"/>
        <v>38</v>
      </c>
      <c r="AJ370" s="3">
        <f t="shared" si="209"/>
        <v>32</v>
      </c>
      <c r="AK370" s="3">
        <f t="shared" si="210"/>
        <v>27</v>
      </c>
      <c r="AL370" s="3">
        <f t="shared" si="211"/>
        <v>22</v>
      </c>
      <c r="AM370" s="3">
        <f t="shared" si="212"/>
        <v>17</v>
      </c>
      <c r="AN370" s="3">
        <f t="shared" si="213"/>
        <v>95</v>
      </c>
      <c r="AO370" s="3">
        <f t="shared" si="214"/>
        <v>90</v>
      </c>
      <c r="AP370" s="3">
        <f t="shared" si="215"/>
        <v>85</v>
      </c>
      <c r="AQ370" s="3">
        <f t="shared" si="216"/>
        <v>80</v>
      </c>
      <c r="AR370" s="3">
        <f t="shared" si="217"/>
        <v>74</v>
      </c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>
        <v>1</v>
      </c>
      <c r="BD370" s="8"/>
      <c r="BE370" s="8"/>
      <c r="BF370" s="8"/>
      <c r="BG370" s="8"/>
      <c r="BH370" s="8"/>
      <c r="BM370" s="35" t="s">
        <v>12</v>
      </c>
      <c r="BO370" s="35"/>
      <c r="BR370" s="9" t="str">
        <f t="shared" si="193"/>
        <v/>
      </c>
      <c r="BS370" s="37" t="str">
        <f t="shared" si="194"/>
        <v/>
      </c>
      <c r="BT370" s="38" t="str">
        <f t="shared" si="219"/>
        <v/>
      </c>
      <c r="BU370" s="36" t="str">
        <f t="shared" si="195"/>
        <v/>
      </c>
    </row>
    <row r="371" spans="2:73" ht="15">
      <c r="B371" s="16">
        <f t="shared" si="196"/>
        <v>45670</v>
      </c>
      <c r="C371" s="15" t="s">
        <v>1</v>
      </c>
      <c r="D371" s="17">
        <f t="shared" si="197"/>
        <v>45676</v>
      </c>
      <c r="E371" s="18">
        <f t="shared" si="198"/>
        <v>1</v>
      </c>
      <c r="F371" s="19">
        <f t="shared" si="199"/>
        <v>2025</v>
      </c>
      <c r="G371" s="9">
        <f t="shared" si="218"/>
        <v>17</v>
      </c>
      <c r="H371" s="8">
        <f t="shared" si="218"/>
        <v>95</v>
      </c>
      <c r="I371" s="9"/>
      <c r="J371" s="9"/>
      <c r="K371" s="9"/>
      <c r="L371" s="9"/>
      <c r="M371" s="9"/>
      <c r="N371" s="9"/>
      <c r="O371" s="12"/>
      <c r="P371" s="12"/>
      <c r="Q371" s="12"/>
      <c r="R371" s="12"/>
      <c r="S371" s="12"/>
      <c r="T371" s="12"/>
      <c r="V371" s="20">
        <f t="shared" si="187"/>
        <v>0</v>
      </c>
      <c r="W371" s="20">
        <f t="shared" si="188"/>
        <v>2</v>
      </c>
      <c r="X371" s="20">
        <f t="shared" si="189"/>
        <v>7</v>
      </c>
      <c r="Y371" s="20">
        <f t="shared" si="190"/>
        <v>12</v>
      </c>
      <c r="Z371" s="20">
        <f t="shared" si="191"/>
        <v>0</v>
      </c>
      <c r="AA371" s="20">
        <f t="shared" si="192"/>
        <v>0</v>
      </c>
      <c r="AC371" s="3">
        <f t="shared" si="202"/>
        <v>70</v>
      </c>
      <c r="AD371" s="3">
        <f t="shared" si="203"/>
        <v>65</v>
      </c>
      <c r="AE371" s="3">
        <f t="shared" si="204"/>
        <v>60</v>
      </c>
      <c r="AF371" s="3">
        <f t="shared" si="205"/>
        <v>54</v>
      </c>
      <c r="AG371" s="3">
        <f t="shared" si="206"/>
        <v>49</v>
      </c>
      <c r="AH371" s="3">
        <f t="shared" si="207"/>
        <v>44</v>
      </c>
      <c r="AI371" s="3">
        <f t="shared" si="208"/>
        <v>39</v>
      </c>
      <c r="AJ371" s="3">
        <f t="shared" si="209"/>
        <v>33</v>
      </c>
      <c r="AK371" s="3">
        <f t="shared" si="210"/>
        <v>28</v>
      </c>
      <c r="AL371" s="3">
        <f t="shared" si="211"/>
        <v>23</v>
      </c>
      <c r="AM371" s="3">
        <f t="shared" si="212"/>
        <v>18</v>
      </c>
      <c r="AN371" s="3">
        <f t="shared" si="213"/>
        <v>0</v>
      </c>
      <c r="AO371" s="3">
        <f t="shared" si="214"/>
        <v>91</v>
      </c>
      <c r="AP371" s="3">
        <f t="shared" si="215"/>
        <v>86</v>
      </c>
      <c r="AQ371" s="3">
        <f t="shared" si="216"/>
        <v>81</v>
      </c>
      <c r="AR371" s="3">
        <f t="shared" si="217"/>
        <v>75</v>
      </c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M371" s="35" t="s">
        <v>12</v>
      </c>
      <c r="BO371" s="35"/>
      <c r="BR371" s="9" t="str">
        <f t="shared" si="193"/>
        <v/>
      </c>
      <c r="BS371" s="37" t="str">
        <f t="shared" si="194"/>
        <v/>
      </c>
      <c r="BT371" s="38" t="str">
        <f t="shared" si="219"/>
        <v/>
      </c>
      <c r="BU371" s="36" t="str">
        <f t="shared" si="195"/>
        <v/>
      </c>
    </row>
    <row r="372" spans="2:73" ht="15">
      <c r="B372" s="16">
        <f t="shared" si="196"/>
        <v>45677</v>
      </c>
      <c r="C372" s="15" t="s">
        <v>1</v>
      </c>
      <c r="D372" s="17">
        <f t="shared" si="197"/>
        <v>45683</v>
      </c>
      <c r="E372" s="18">
        <f t="shared" si="198"/>
        <v>1</v>
      </c>
      <c r="F372" s="19">
        <f t="shared" si="199"/>
        <v>2025</v>
      </c>
      <c r="G372" s="9">
        <f t="shared" si="218"/>
        <v>17</v>
      </c>
      <c r="H372" s="8">
        <f t="shared" si="218"/>
        <v>95</v>
      </c>
      <c r="I372" s="9"/>
      <c r="J372" s="9"/>
      <c r="K372" s="9"/>
      <c r="L372" s="9"/>
      <c r="M372" s="9"/>
      <c r="N372" s="9"/>
      <c r="O372" s="12"/>
      <c r="P372" s="12"/>
      <c r="Q372" s="12"/>
      <c r="R372" s="12"/>
      <c r="S372" s="12"/>
      <c r="T372" s="12"/>
      <c r="V372" s="20">
        <f t="shared" si="187"/>
        <v>0</v>
      </c>
      <c r="W372" s="20">
        <f t="shared" si="188"/>
        <v>3</v>
      </c>
      <c r="X372" s="20">
        <f t="shared" si="189"/>
        <v>8</v>
      </c>
      <c r="Y372" s="20">
        <f t="shared" si="190"/>
        <v>13</v>
      </c>
      <c r="Z372" s="20">
        <f t="shared" si="191"/>
        <v>0</v>
      </c>
      <c r="AA372" s="20">
        <f t="shared" si="192"/>
        <v>0</v>
      </c>
      <c r="AC372" s="3">
        <f t="shared" si="202"/>
        <v>71</v>
      </c>
      <c r="AD372" s="3">
        <f t="shared" si="203"/>
        <v>66</v>
      </c>
      <c r="AE372" s="3">
        <f t="shared" si="204"/>
        <v>61</v>
      </c>
      <c r="AF372" s="3">
        <f t="shared" si="205"/>
        <v>55</v>
      </c>
      <c r="AG372" s="3">
        <f t="shared" si="206"/>
        <v>50</v>
      </c>
      <c r="AH372" s="3">
        <f t="shared" si="207"/>
        <v>45</v>
      </c>
      <c r="AI372" s="3">
        <f t="shared" si="208"/>
        <v>40</v>
      </c>
      <c r="AJ372" s="3">
        <f t="shared" si="209"/>
        <v>34</v>
      </c>
      <c r="AK372" s="3">
        <f t="shared" si="210"/>
        <v>29</v>
      </c>
      <c r="AL372" s="3">
        <f t="shared" si="211"/>
        <v>24</v>
      </c>
      <c r="AM372" s="3">
        <f t="shared" si="212"/>
        <v>19</v>
      </c>
      <c r="AN372" s="3">
        <f t="shared" si="213"/>
        <v>0</v>
      </c>
      <c r="AO372" s="3">
        <f t="shared" si="214"/>
        <v>92</v>
      </c>
      <c r="AP372" s="3">
        <f t="shared" si="215"/>
        <v>87</v>
      </c>
      <c r="AQ372" s="3">
        <f t="shared" si="216"/>
        <v>82</v>
      </c>
      <c r="AR372" s="3">
        <f t="shared" si="217"/>
        <v>76</v>
      </c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M372" s="35" t="s">
        <v>12</v>
      </c>
      <c r="BO372" s="35"/>
      <c r="BR372" s="9" t="str">
        <f t="shared" si="193"/>
        <v/>
      </c>
      <c r="BS372" s="37" t="str">
        <f t="shared" si="194"/>
        <v/>
      </c>
      <c r="BT372" s="38" t="str">
        <f t="shared" si="219"/>
        <v/>
      </c>
      <c r="BU372" s="36" t="str">
        <f t="shared" si="195"/>
        <v/>
      </c>
    </row>
    <row r="373" spans="2:73" ht="15">
      <c r="B373" s="16">
        <f t="shared" si="196"/>
        <v>45684</v>
      </c>
      <c r="C373" s="15" t="s">
        <v>1</v>
      </c>
      <c r="D373" s="17">
        <f t="shared" si="197"/>
        <v>45690</v>
      </c>
      <c r="E373" s="18">
        <f t="shared" si="198"/>
        <v>1</v>
      </c>
      <c r="F373" s="19">
        <f t="shared" si="199"/>
        <v>2025</v>
      </c>
      <c r="G373" s="9">
        <f t="shared" si="218"/>
        <v>17</v>
      </c>
      <c r="H373" s="8">
        <f t="shared" si="218"/>
        <v>95</v>
      </c>
      <c r="I373" s="9"/>
      <c r="J373" s="9"/>
      <c r="K373" s="9"/>
      <c r="L373" s="9"/>
      <c r="M373" s="9"/>
      <c r="N373" s="9"/>
      <c r="O373" s="12"/>
      <c r="P373" s="12"/>
      <c r="Q373" s="12"/>
      <c r="R373" s="12"/>
      <c r="S373" s="12"/>
      <c r="T373" s="12"/>
      <c r="V373" s="20">
        <f t="shared" si="187"/>
        <v>0</v>
      </c>
      <c r="W373" s="20">
        <f t="shared" si="188"/>
        <v>4</v>
      </c>
      <c r="X373" s="20">
        <f t="shared" si="189"/>
        <v>9</v>
      </c>
      <c r="Y373" s="20">
        <f t="shared" si="190"/>
        <v>14</v>
      </c>
      <c r="Z373" s="20">
        <f t="shared" si="191"/>
        <v>0</v>
      </c>
      <c r="AA373" s="20">
        <f t="shared" si="192"/>
        <v>0</v>
      </c>
      <c r="AC373" s="3">
        <f t="shared" si="202"/>
        <v>72</v>
      </c>
      <c r="AD373" s="3">
        <f t="shared" si="203"/>
        <v>67</v>
      </c>
      <c r="AE373" s="3">
        <f t="shared" si="204"/>
        <v>62</v>
      </c>
      <c r="AF373" s="3">
        <f t="shared" si="205"/>
        <v>56</v>
      </c>
      <c r="AG373" s="3">
        <f t="shared" si="206"/>
        <v>51</v>
      </c>
      <c r="AH373" s="3">
        <f t="shared" si="207"/>
        <v>46</v>
      </c>
      <c r="AI373" s="3">
        <f t="shared" si="208"/>
        <v>41</v>
      </c>
      <c r="AJ373" s="3">
        <f t="shared" si="209"/>
        <v>35</v>
      </c>
      <c r="AK373" s="3">
        <f t="shared" si="210"/>
        <v>30</v>
      </c>
      <c r="AL373" s="3">
        <f t="shared" si="211"/>
        <v>25</v>
      </c>
      <c r="AM373" s="3">
        <f t="shared" si="212"/>
        <v>20</v>
      </c>
      <c r="AN373" s="3">
        <f t="shared" si="213"/>
        <v>0</v>
      </c>
      <c r="AO373" s="3">
        <f t="shared" si="214"/>
        <v>93</v>
      </c>
      <c r="AP373" s="3">
        <f t="shared" si="215"/>
        <v>88</v>
      </c>
      <c r="AQ373" s="3">
        <f t="shared" si="216"/>
        <v>83</v>
      </c>
      <c r="AR373" s="3">
        <f t="shared" si="217"/>
        <v>77</v>
      </c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M373" s="35" t="s">
        <v>12</v>
      </c>
      <c r="BO373" s="35"/>
      <c r="BR373" s="9" t="str">
        <f t="shared" si="193"/>
        <v/>
      </c>
      <c r="BS373" s="37" t="str">
        <f t="shared" si="194"/>
        <v/>
      </c>
      <c r="BT373" s="38" t="str">
        <f t="shared" si="219"/>
        <v/>
      </c>
      <c r="BU373" s="36" t="str">
        <f t="shared" si="195"/>
        <v/>
      </c>
    </row>
    <row r="374" spans="2:73" ht="15">
      <c r="B374" s="16">
        <f t="shared" si="196"/>
        <v>45691</v>
      </c>
      <c r="C374" s="15" t="s">
        <v>1</v>
      </c>
      <c r="D374" s="17">
        <f t="shared" si="197"/>
        <v>45697</v>
      </c>
      <c r="E374" s="18">
        <f t="shared" si="198"/>
        <v>2</v>
      </c>
      <c r="F374" s="19">
        <f t="shared" si="199"/>
        <v>2025</v>
      </c>
      <c r="G374" s="9">
        <f t="shared" ref="G374:H389" si="220">G373</f>
        <v>17</v>
      </c>
      <c r="H374" s="8">
        <f t="shared" si="220"/>
        <v>95</v>
      </c>
      <c r="I374" s="9"/>
      <c r="J374" s="9"/>
      <c r="K374" s="9"/>
      <c r="L374" s="9"/>
      <c r="M374" s="9"/>
      <c r="N374" s="9"/>
      <c r="O374" s="12">
        <v>1</v>
      </c>
      <c r="P374" s="12"/>
      <c r="Q374" s="12"/>
      <c r="R374" s="12"/>
      <c r="S374" s="12"/>
      <c r="T374" s="12"/>
      <c r="V374" s="20">
        <f t="shared" si="187"/>
        <v>45693</v>
      </c>
      <c r="W374" s="20">
        <f t="shared" si="188"/>
        <v>5</v>
      </c>
      <c r="X374" s="20">
        <f t="shared" si="189"/>
        <v>10</v>
      </c>
      <c r="Y374" s="20">
        <f t="shared" si="190"/>
        <v>15</v>
      </c>
      <c r="Z374" s="20">
        <f t="shared" si="191"/>
        <v>0</v>
      </c>
      <c r="AA374" s="20">
        <f t="shared" si="192"/>
        <v>0</v>
      </c>
      <c r="AC374" s="3">
        <f t="shared" si="202"/>
        <v>73</v>
      </c>
      <c r="AD374" s="3">
        <f t="shared" si="203"/>
        <v>68</v>
      </c>
      <c r="AE374" s="3">
        <f t="shared" si="204"/>
        <v>63</v>
      </c>
      <c r="AF374" s="3">
        <f t="shared" si="205"/>
        <v>57</v>
      </c>
      <c r="AG374" s="3">
        <f t="shared" si="206"/>
        <v>52</v>
      </c>
      <c r="AH374" s="3">
        <f t="shared" si="207"/>
        <v>47</v>
      </c>
      <c r="AI374" s="3">
        <f t="shared" si="208"/>
        <v>42</v>
      </c>
      <c r="AJ374" s="3">
        <f t="shared" si="209"/>
        <v>36</v>
      </c>
      <c r="AK374" s="3">
        <f t="shared" si="210"/>
        <v>31</v>
      </c>
      <c r="AL374" s="3">
        <f t="shared" si="211"/>
        <v>26</v>
      </c>
      <c r="AM374" s="3">
        <f t="shared" si="212"/>
        <v>21</v>
      </c>
      <c r="AN374" s="3">
        <f t="shared" si="213"/>
        <v>0</v>
      </c>
      <c r="AO374" s="3">
        <f t="shared" si="214"/>
        <v>94</v>
      </c>
      <c r="AP374" s="3">
        <f t="shared" si="215"/>
        <v>89</v>
      </c>
      <c r="AQ374" s="3">
        <f t="shared" si="216"/>
        <v>84</v>
      </c>
      <c r="AR374" s="3">
        <f t="shared" si="217"/>
        <v>78</v>
      </c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M374" s="35" t="s">
        <v>12</v>
      </c>
      <c r="BO374" s="35"/>
      <c r="BR374" s="9">
        <f t="shared" si="193"/>
        <v>1</v>
      </c>
      <c r="BS374" s="37">
        <f t="shared" si="194"/>
        <v>45693</v>
      </c>
      <c r="BT374" s="38">
        <f t="shared" si="219"/>
        <v>45812</v>
      </c>
      <c r="BU374" s="36">
        <f t="shared" si="195"/>
        <v>8</v>
      </c>
    </row>
    <row r="375" spans="2:73" ht="15">
      <c r="B375" s="16">
        <f t="shared" si="196"/>
        <v>45698</v>
      </c>
      <c r="C375" s="15" t="s">
        <v>1</v>
      </c>
      <c r="D375" s="17">
        <f t="shared" si="197"/>
        <v>45704</v>
      </c>
      <c r="E375" s="18">
        <f t="shared" si="198"/>
        <v>2</v>
      </c>
      <c r="F375" s="19">
        <f t="shared" si="199"/>
        <v>2025</v>
      </c>
      <c r="G375" s="9">
        <f t="shared" si="220"/>
        <v>17</v>
      </c>
      <c r="H375" s="8">
        <f t="shared" si="220"/>
        <v>95</v>
      </c>
      <c r="I375" s="9"/>
      <c r="J375" s="9"/>
      <c r="K375" s="9"/>
      <c r="L375" s="9"/>
      <c r="M375" s="9"/>
      <c r="N375" s="9"/>
      <c r="O375" s="12"/>
      <c r="P375" s="12"/>
      <c r="Q375" s="12"/>
      <c r="R375" s="12"/>
      <c r="S375" s="12"/>
      <c r="T375" s="12"/>
      <c r="V375" s="20">
        <f t="shared" si="187"/>
        <v>1</v>
      </c>
      <c r="W375" s="20">
        <f t="shared" si="188"/>
        <v>6</v>
      </c>
      <c r="X375" s="20">
        <f t="shared" si="189"/>
        <v>11</v>
      </c>
      <c r="Y375" s="20">
        <f t="shared" si="190"/>
        <v>16</v>
      </c>
      <c r="Z375" s="20">
        <f t="shared" si="191"/>
        <v>0</v>
      </c>
      <c r="AA375" s="20">
        <f t="shared" si="192"/>
        <v>0</v>
      </c>
      <c r="AC375" s="3">
        <f t="shared" si="202"/>
        <v>74</v>
      </c>
      <c r="AD375" s="3">
        <f t="shared" si="203"/>
        <v>69</v>
      </c>
      <c r="AE375" s="3">
        <f t="shared" si="204"/>
        <v>64</v>
      </c>
      <c r="AF375" s="3">
        <f t="shared" si="205"/>
        <v>58</v>
      </c>
      <c r="AG375" s="3">
        <f t="shared" si="206"/>
        <v>53</v>
      </c>
      <c r="AH375" s="3">
        <f t="shared" si="207"/>
        <v>48</v>
      </c>
      <c r="AI375" s="3">
        <f t="shared" si="208"/>
        <v>43</v>
      </c>
      <c r="AJ375" s="3">
        <f t="shared" si="209"/>
        <v>37</v>
      </c>
      <c r="AK375" s="3">
        <f t="shared" si="210"/>
        <v>32</v>
      </c>
      <c r="AL375" s="3">
        <f t="shared" si="211"/>
        <v>27</v>
      </c>
      <c r="AM375" s="3">
        <f t="shared" si="212"/>
        <v>22</v>
      </c>
      <c r="AN375" s="3">
        <f t="shared" si="213"/>
        <v>0</v>
      </c>
      <c r="AO375" s="3">
        <f t="shared" si="214"/>
        <v>95</v>
      </c>
      <c r="AP375" s="3">
        <f t="shared" si="215"/>
        <v>90</v>
      </c>
      <c r="AQ375" s="3">
        <f t="shared" si="216"/>
        <v>85</v>
      </c>
      <c r="AR375" s="3">
        <f t="shared" si="217"/>
        <v>79</v>
      </c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M375" s="35" t="s">
        <v>12</v>
      </c>
      <c r="BO375" s="35"/>
      <c r="BR375" s="9" t="str">
        <f t="shared" si="193"/>
        <v/>
      </c>
      <c r="BS375" s="37" t="str">
        <f t="shared" si="194"/>
        <v/>
      </c>
      <c r="BT375" s="38" t="str">
        <f t="shared" si="219"/>
        <v/>
      </c>
      <c r="BU375" s="36" t="str">
        <f t="shared" si="195"/>
        <v/>
      </c>
    </row>
    <row r="376" spans="2:73" ht="15">
      <c r="B376" s="16">
        <f t="shared" si="196"/>
        <v>45705</v>
      </c>
      <c r="C376" s="15" t="s">
        <v>1</v>
      </c>
      <c r="D376" s="17">
        <f t="shared" si="197"/>
        <v>45711</v>
      </c>
      <c r="E376" s="18">
        <f t="shared" si="198"/>
        <v>2</v>
      </c>
      <c r="F376" s="19">
        <f t="shared" si="199"/>
        <v>2025</v>
      </c>
      <c r="G376" s="9">
        <f t="shared" si="220"/>
        <v>17</v>
      </c>
      <c r="H376" s="8">
        <f t="shared" si="220"/>
        <v>95</v>
      </c>
      <c r="I376" s="9"/>
      <c r="J376" s="9"/>
      <c r="K376" s="9"/>
      <c r="L376" s="9"/>
      <c r="M376" s="9"/>
      <c r="N376" s="9"/>
      <c r="O376" s="12"/>
      <c r="P376" s="12"/>
      <c r="Q376" s="12"/>
      <c r="R376" s="12"/>
      <c r="S376" s="12"/>
      <c r="T376" s="12"/>
      <c r="V376" s="20">
        <f t="shared" si="187"/>
        <v>2</v>
      </c>
      <c r="W376" s="20">
        <f t="shared" si="188"/>
        <v>7</v>
      </c>
      <c r="X376" s="20">
        <f t="shared" si="189"/>
        <v>12</v>
      </c>
      <c r="Y376" s="20">
        <f t="shared" si="190"/>
        <v>17</v>
      </c>
      <c r="Z376" s="20">
        <f t="shared" si="191"/>
        <v>0</v>
      </c>
      <c r="AA376" s="20">
        <f t="shared" si="192"/>
        <v>0</v>
      </c>
      <c r="AC376" s="3">
        <f t="shared" si="202"/>
        <v>75</v>
      </c>
      <c r="AD376" s="3">
        <f t="shared" si="203"/>
        <v>70</v>
      </c>
      <c r="AE376" s="3">
        <f t="shared" si="204"/>
        <v>65</v>
      </c>
      <c r="AF376" s="3">
        <f t="shared" si="205"/>
        <v>59</v>
      </c>
      <c r="AG376" s="3">
        <f t="shared" si="206"/>
        <v>54</v>
      </c>
      <c r="AH376" s="3">
        <f t="shared" si="207"/>
        <v>49</v>
      </c>
      <c r="AI376" s="3">
        <f t="shared" si="208"/>
        <v>44</v>
      </c>
      <c r="AJ376" s="3">
        <f t="shared" si="209"/>
        <v>38</v>
      </c>
      <c r="AK376" s="3">
        <f t="shared" si="210"/>
        <v>33</v>
      </c>
      <c r="AL376" s="3">
        <f t="shared" si="211"/>
        <v>28</v>
      </c>
      <c r="AM376" s="3">
        <f t="shared" si="212"/>
        <v>23</v>
      </c>
      <c r="AN376" s="3">
        <f t="shared" si="213"/>
        <v>17</v>
      </c>
      <c r="AO376" s="3">
        <f t="shared" si="214"/>
        <v>0</v>
      </c>
      <c r="AP376" s="3">
        <f t="shared" si="215"/>
        <v>91</v>
      </c>
      <c r="AQ376" s="3">
        <f t="shared" si="216"/>
        <v>86</v>
      </c>
      <c r="AR376" s="3">
        <f t="shared" si="217"/>
        <v>80</v>
      </c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>
        <v>4</v>
      </c>
      <c r="BE376" s="8"/>
      <c r="BF376" s="8"/>
      <c r="BG376" s="8"/>
      <c r="BH376" s="8"/>
      <c r="BM376" s="35" t="s">
        <v>12</v>
      </c>
      <c r="BO376" s="35"/>
      <c r="BR376" s="9" t="str">
        <f t="shared" si="193"/>
        <v/>
      </c>
      <c r="BS376" s="37" t="str">
        <f t="shared" si="194"/>
        <v/>
      </c>
      <c r="BT376" s="38" t="str">
        <f t="shared" si="219"/>
        <v/>
      </c>
      <c r="BU376" s="36" t="str">
        <f t="shared" si="195"/>
        <v/>
      </c>
    </row>
    <row r="377" spans="2:73" ht="15">
      <c r="B377" s="16">
        <f t="shared" si="196"/>
        <v>45712</v>
      </c>
      <c r="C377" s="15" t="s">
        <v>1</v>
      </c>
      <c r="D377" s="17">
        <f t="shared" si="197"/>
        <v>45718</v>
      </c>
      <c r="E377" s="18">
        <f t="shared" si="198"/>
        <v>2</v>
      </c>
      <c r="F377" s="19">
        <f t="shared" si="199"/>
        <v>2025</v>
      </c>
      <c r="G377" s="9">
        <f t="shared" si="220"/>
        <v>17</v>
      </c>
      <c r="H377" s="8">
        <f t="shared" si="220"/>
        <v>95</v>
      </c>
      <c r="I377" s="9"/>
      <c r="J377" s="9"/>
      <c r="K377" s="9"/>
      <c r="L377" s="9"/>
      <c r="M377" s="9"/>
      <c r="N377" s="9"/>
      <c r="O377" s="12"/>
      <c r="P377" s="12"/>
      <c r="Q377" s="12"/>
      <c r="R377" s="12"/>
      <c r="S377" s="12"/>
      <c r="T377" s="12"/>
      <c r="V377" s="20">
        <f t="shared" si="187"/>
        <v>3</v>
      </c>
      <c r="W377" s="20">
        <f t="shared" si="188"/>
        <v>8</v>
      </c>
      <c r="X377" s="20">
        <f t="shared" si="189"/>
        <v>13</v>
      </c>
      <c r="Y377" s="20">
        <f t="shared" si="190"/>
        <v>0</v>
      </c>
      <c r="Z377" s="20">
        <f t="shared" si="191"/>
        <v>0</v>
      </c>
      <c r="AA377" s="20">
        <f t="shared" si="192"/>
        <v>0</v>
      </c>
      <c r="AC377" s="3">
        <f t="shared" si="202"/>
        <v>76</v>
      </c>
      <c r="AD377" s="3">
        <f t="shared" si="203"/>
        <v>71</v>
      </c>
      <c r="AE377" s="3">
        <f t="shared" si="204"/>
        <v>66</v>
      </c>
      <c r="AF377" s="3">
        <f t="shared" si="205"/>
        <v>60</v>
      </c>
      <c r="AG377" s="3">
        <f t="shared" si="206"/>
        <v>55</v>
      </c>
      <c r="AH377" s="3">
        <f t="shared" si="207"/>
        <v>50</v>
      </c>
      <c r="AI377" s="3">
        <f t="shared" si="208"/>
        <v>45</v>
      </c>
      <c r="AJ377" s="3">
        <f t="shared" si="209"/>
        <v>39</v>
      </c>
      <c r="AK377" s="3">
        <f t="shared" si="210"/>
        <v>34</v>
      </c>
      <c r="AL377" s="3">
        <f t="shared" si="211"/>
        <v>29</v>
      </c>
      <c r="AM377" s="3">
        <f t="shared" si="212"/>
        <v>24</v>
      </c>
      <c r="AN377" s="3">
        <f t="shared" si="213"/>
        <v>18</v>
      </c>
      <c r="AO377" s="3">
        <f t="shared" si="214"/>
        <v>0</v>
      </c>
      <c r="AP377" s="3">
        <f t="shared" si="215"/>
        <v>92</v>
      </c>
      <c r="AQ377" s="3">
        <f t="shared" si="216"/>
        <v>87</v>
      </c>
      <c r="AR377" s="3">
        <f t="shared" si="217"/>
        <v>81</v>
      </c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M377" s="35" t="s">
        <v>12</v>
      </c>
      <c r="BO377" s="35"/>
      <c r="BR377" s="9" t="str">
        <f t="shared" si="193"/>
        <v/>
      </c>
      <c r="BS377" s="37" t="str">
        <f t="shared" si="194"/>
        <v/>
      </c>
      <c r="BT377" s="38" t="str">
        <f t="shared" si="219"/>
        <v/>
      </c>
      <c r="BU377" s="36" t="str">
        <f t="shared" si="195"/>
        <v/>
      </c>
    </row>
    <row r="378" spans="2:73" ht="15">
      <c r="B378" s="16">
        <f t="shared" si="196"/>
        <v>45719</v>
      </c>
      <c r="C378" s="15" t="s">
        <v>1</v>
      </c>
      <c r="D378" s="17">
        <f t="shared" si="197"/>
        <v>45725</v>
      </c>
      <c r="E378" s="18">
        <f t="shared" si="198"/>
        <v>3</v>
      </c>
      <c r="F378" s="19">
        <f t="shared" si="199"/>
        <v>2025</v>
      </c>
      <c r="G378" s="9">
        <f t="shared" si="220"/>
        <v>17</v>
      </c>
      <c r="H378" s="8">
        <f t="shared" si="220"/>
        <v>95</v>
      </c>
      <c r="I378" s="9"/>
      <c r="J378" s="9"/>
      <c r="K378" s="9"/>
      <c r="L378" s="9"/>
      <c r="M378" s="9"/>
      <c r="N378" s="9"/>
      <c r="O378" s="12"/>
      <c r="P378" s="12"/>
      <c r="Q378" s="12"/>
      <c r="R378" s="12"/>
      <c r="S378" s="12"/>
      <c r="T378" s="12"/>
      <c r="V378" s="20">
        <f t="shared" si="187"/>
        <v>4</v>
      </c>
      <c r="W378" s="20">
        <f t="shared" si="188"/>
        <v>9</v>
      </c>
      <c r="X378" s="20">
        <f t="shared" si="189"/>
        <v>14</v>
      </c>
      <c r="Y378" s="20">
        <f t="shared" si="190"/>
        <v>0</v>
      </c>
      <c r="Z378" s="20">
        <f t="shared" si="191"/>
        <v>0</v>
      </c>
      <c r="AA378" s="20">
        <f t="shared" si="192"/>
        <v>0</v>
      </c>
      <c r="AC378" s="3">
        <f t="shared" si="202"/>
        <v>77</v>
      </c>
      <c r="AD378" s="3">
        <f t="shared" si="203"/>
        <v>72</v>
      </c>
      <c r="AE378" s="3">
        <f t="shared" si="204"/>
        <v>67</v>
      </c>
      <c r="AF378" s="3">
        <f t="shared" si="205"/>
        <v>61</v>
      </c>
      <c r="AG378" s="3">
        <f t="shared" si="206"/>
        <v>56</v>
      </c>
      <c r="AH378" s="3">
        <f t="shared" si="207"/>
        <v>51</v>
      </c>
      <c r="AI378" s="3">
        <f t="shared" si="208"/>
        <v>46</v>
      </c>
      <c r="AJ378" s="3">
        <f t="shared" si="209"/>
        <v>40</v>
      </c>
      <c r="AK378" s="3">
        <f t="shared" si="210"/>
        <v>35</v>
      </c>
      <c r="AL378" s="3">
        <f t="shared" si="211"/>
        <v>30</v>
      </c>
      <c r="AM378" s="3">
        <f t="shared" si="212"/>
        <v>25</v>
      </c>
      <c r="AN378" s="3">
        <f t="shared" si="213"/>
        <v>19</v>
      </c>
      <c r="AO378" s="3">
        <f t="shared" si="214"/>
        <v>0</v>
      </c>
      <c r="AP378" s="3">
        <f t="shared" si="215"/>
        <v>93</v>
      </c>
      <c r="AQ378" s="3">
        <f t="shared" si="216"/>
        <v>88</v>
      </c>
      <c r="AR378" s="3">
        <f t="shared" si="217"/>
        <v>82</v>
      </c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M378" s="35" t="s">
        <v>12</v>
      </c>
      <c r="BO378" s="35"/>
      <c r="BR378" s="9" t="str">
        <f t="shared" si="193"/>
        <v/>
      </c>
      <c r="BS378" s="37" t="str">
        <f t="shared" si="194"/>
        <v/>
      </c>
      <c r="BT378" s="38" t="str">
        <f t="shared" si="219"/>
        <v/>
      </c>
      <c r="BU378" s="36" t="str">
        <f t="shared" si="195"/>
        <v/>
      </c>
    </row>
    <row r="379" spans="2:73" ht="15">
      <c r="B379" s="16">
        <f t="shared" si="196"/>
        <v>45726</v>
      </c>
      <c r="C379" s="15" t="s">
        <v>1</v>
      </c>
      <c r="D379" s="17">
        <f t="shared" si="197"/>
        <v>45732</v>
      </c>
      <c r="E379" s="18">
        <f t="shared" si="198"/>
        <v>3</v>
      </c>
      <c r="F379" s="19">
        <f t="shared" si="199"/>
        <v>2025</v>
      </c>
      <c r="G379" s="9">
        <f t="shared" si="220"/>
        <v>17</v>
      </c>
      <c r="H379" s="8">
        <f t="shared" si="220"/>
        <v>95</v>
      </c>
      <c r="I379" s="9"/>
      <c r="J379" s="9"/>
      <c r="K379" s="9"/>
      <c r="L379" s="9"/>
      <c r="M379" s="9"/>
      <c r="N379" s="9"/>
      <c r="O379" s="12"/>
      <c r="P379" s="12"/>
      <c r="Q379" s="12"/>
      <c r="R379" s="12"/>
      <c r="S379" s="12"/>
      <c r="T379" s="12"/>
      <c r="V379" s="20">
        <f t="shared" si="187"/>
        <v>5</v>
      </c>
      <c r="W379" s="20">
        <f t="shared" si="188"/>
        <v>10</v>
      </c>
      <c r="X379" s="20">
        <f t="shared" si="189"/>
        <v>15</v>
      </c>
      <c r="Y379" s="20">
        <f t="shared" si="190"/>
        <v>0</v>
      </c>
      <c r="Z379" s="20">
        <f t="shared" si="191"/>
        <v>0</v>
      </c>
      <c r="AA379" s="20">
        <f t="shared" si="192"/>
        <v>0</v>
      </c>
      <c r="AC379" s="3">
        <f t="shared" si="202"/>
        <v>78</v>
      </c>
      <c r="AD379" s="3">
        <f t="shared" si="203"/>
        <v>73</v>
      </c>
      <c r="AE379" s="3">
        <f t="shared" si="204"/>
        <v>68</v>
      </c>
      <c r="AF379" s="3">
        <f t="shared" si="205"/>
        <v>62</v>
      </c>
      <c r="AG379" s="3">
        <f t="shared" si="206"/>
        <v>57</v>
      </c>
      <c r="AH379" s="3">
        <f t="shared" si="207"/>
        <v>52</v>
      </c>
      <c r="AI379" s="3">
        <f t="shared" si="208"/>
        <v>47</v>
      </c>
      <c r="AJ379" s="3">
        <f t="shared" si="209"/>
        <v>41</v>
      </c>
      <c r="AK379" s="3">
        <f t="shared" si="210"/>
        <v>36</v>
      </c>
      <c r="AL379" s="3">
        <f t="shared" si="211"/>
        <v>31</v>
      </c>
      <c r="AM379" s="3">
        <f t="shared" si="212"/>
        <v>26</v>
      </c>
      <c r="AN379" s="3">
        <f t="shared" si="213"/>
        <v>20</v>
      </c>
      <c r="AO379" s="3">
        <f t="shared" si="214"/>
        <v>0</v>
      </c>
      <c r="AP379" s="3">
        <f t="shared" si="215"/>
        <v>94</v>
      </c>
      <c r="AQ379" s="3">
        <f t="shared" si="216"/>
        <v>89</v>
      </c>
      <c r="AR379" s="3">
        <f t="shared" si="217"/>
        <v>83</v>
      </c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M379" s="35" t="s">
        <v>12</v>
      </c>
      <c r="BO379" s="35"/>
      <c r="BR379" s="9" t="str">
        <f t="shared" si="193"/>
        <v/>
      </c>
      <c r="BS379" s="37" t="str">
        <f t="shared" si="194"/>
        <v/>
      </c>
      <c r="BT379" s="38" t="str">
        <f t="shared" si="219"/>
        <v/>
      </c>
      <c r="BU379" s="36" t="str">
        <f t="shared" si="195"/>
        <v/>
      </c>
    </row>
    <row r="380" spans="2:73" ht="15">
      <c r="B380" s="16">
        <f t="shared" si="196"/>
        <v>45733</v>
      </c>
      <c r="C380" s="15" t="s">
        <v>1</v>
      </c>
      <c r="D380" s="17">
        <f t="shared" si="197"/>
        <v>45739</v>
      </c>
      <c r="E380" s="18">
        <f t="shared" si="198"/>
        <v>3</v>
      </c>
      <c r="F380" s="19">
        <f t="shared" si="199"/>
        <v>2025</v>
      </c>
      <c r="G380" s="9">
        <f t="shared" si="220"/>
        <v>17</v>
      </c>
      <c r="H380" s="8">
        <f t="shared" si="220"/>
        <v>95</v>
      </c>
      <c r="I380" s="9"/>
      <c r="J380" s="9"/>
      <c r="K380" s="9"/>
      <c r="L380" s="9"/>
      <c r="M380" s="9"/>
      <c r="N380" s="9"/>
      <c r="O380" s="12"/>
      <c r="P380" s="12"/>
      <c r="Q380" s="12"/>
      <c r="R380" s="12">
        <v>1</v>
      </c>
      <c r="S380" s="12"/>
      <c r="T380" s="12"/>
      <c r="V380" s="20">
        <f t="shared" si="187"/>
        <v>6</v>
      </c>
      <c r="W380" s="20">
        <f t="shared" si="188"/>
        <v>11</v>
      </c>
      <c r="X380" s="20">
        <f t="shared" si="189"/>
        <v>16</v>
      </c>
      <c r="Y380" s="20">
        <f t="shared" si="190"/>
        <v>45735</v>
      </c>
      <c r="Z380" s="20">
        <f t="shared" si="191"/>
        <v>0</v>
      </c>
      <c r="AA380" s="20">
        <f t="shared" si="192"/>
        <v>0</v>
      </c>
      <c r="AC380" s="3">
        <f t="shared" si="202"/>
        <v>79</v>
      </c>
      <c r="AD380" s="3">
        <f t="shared" si="203"/>
        <v>74</v>
      </c>
      <c r="AE380" s="3">
        <f t="shared" si="204"/>
        <v>69</v>
      </c>
      <c r="AF380" s="3">
        <f t="shared" si="205"/>
        <v>63</v>
      </c>
      <c r="AG380" s="3">
        <f t="shared" si="206"/>
        <v>58</v>
      </c>
      <c r="AH380" s="3">
        <f t="shared" si="207"/>
        <v>53</v>
      </c>
      <c r="AI380" s="3">
        <f t="shared" si="208"/>
        <v>48</v>
      </c>
      <c r="AJ380" s="3">
        <f t="shared" si="209"/>
        <v>42</v>
      </c>
      <c r="AK380" s="3">
        <f t="shared" si="210"/>
        <v>37</v>
      </c>
      <c r="AL380" s="3">
        <f t="shared" si="211"/>
        <v>32</v>
      </c>
      <c r="AM380" s="3">
        <f t="shared" si="212"/>
        <v>27</v>
      </c>
      <c r="AN380" s="3">
        <f t="shared" si="213"/>
        <v>21</v>
      </c>
      <c r="AO380" s="3">
        <f t="shared" si="214"/>
        <v>0</v>
      </c>
      <c r="AP380" s="3">
        <f t="shared" si="215"/>
        <v>95</v>
      </c>
      <c r="AQ380" s="3">
        <f t="shared" si="216"/>
        <v>90</v>
      </c>
      <c r="AR380" s="3">
        <f t="shared" si="217"/>
        <v>84</v>
      </c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M380" s="35" t="s">
        <v>12</v>
      </c>
      <c r="BO380" s="35"/>
      <c r="BR380" s="9">
        <f t="shared" si="193"/>
        <v>4</v>
      </c>
      <c r="BS380" s="37">
        <f t="shared" si="194"/>
        <v>45735</v>
      </c>
      <c r="BT380" s="38">
        <f t="shared" si="219"/>
        <v>45854</v>
      </c>
      <c r="BU380" s="36">
        <f t="shared" si="195"/>
        <v>16</v>
      </c>
    </row>
    <row r="381" spans="2:73" ht="15">
      <c r="B381" s="16">
        <f t="shared" si="196"/>
        <v>45740</v>
      </c>
      <c r="C381" s="15" t="s">
        <v>1</v>
      </c>
      <c r="D381" s="17">
        <f t="shared" si="197"/>
        <v>45746</v>
      </c>
      <c r="E381" s="18">
        <f t="shared" si="198"/>
        <v>3</v>
      </c>
      <c r="F381" s="19">
        <f t="shared" si="199"/>
        <v>2025</v>
      </c>
      <c r="G381" s="9">
        <f t="shared" si="220"/>
        <v>17</v>
      </c>
      <c r="H381" s="8">
        <f t="shared" si="220"/>
        <v>95</v>
      </c>
      <c r="I381" s="9"/>
      <c r="J381" s="9"/>
      <c r="K381" s="9"/>
      <c r="L381" s="9"/>
      <c r="M381" s="9"/>
      <c r="N381" s="9"/>
      <c r="O381" s="12"/>
      <c r="P381" s="12"/>
      <c r="Q381" s="12"/>
      <c r="R381" s="12"/>
      <c r="S381" s="12"/>
      <c r="T381" s="12"/>
      <c r="V381" s="20">
        <f t="shared" si="187"/>
        <v>7</v>
      </c>
      <c r="W381" s="20">
        <f t="shared" si="188"/>
        <v>12</v>
      </c>
      <c r="X381" s="20">
        <f t="shared" si="189"/>
        <v>17</v>
      </c>
      <c r="Y381" s="20">
        <f t="shared" si="190"/>
        <v>1</v>
      </c>
      <c r="Z381" s="20">
        <f t="shared" si="191"/>
        <v>0</v>
      </c>
      <c r="AA381" s="20">
        <f t="shared" si="192"/>
        <v>0</v>
      </c>
      <c r="AC381" s="3">
        <f t="shared" si="202"/>
        <v>80</v>
      </c>
      <c r="AD381" s="3">
        <f t="shared" si="203"/>
        <v>75</v>
      </c>
      <c r="AE381" s="3">
        <f t="shared" si="204"/>
        <v>70</v>
      </c>
      <c r="AF381" s="3">
        <f t="shared" si="205"/>
        <v>64</v>
      </c>
      <c r="AG381" s="3">
        <f t="shared" si="206"/>
        <v>59</v>
      </c>
      <c r="AH381" s="3">
        <f t="shared" si="207"/>
        <v>54</v>
      </c>
      <c r="AI381" s="3">
        <f t="shared" si="208"/>
        <v>49</v>
      </c>
      <c r="AJ381" s="3">
        <f t="shared" si="209"/>
        <v>43</v>
      </c>
      <c r="AK381" s="3">
        <f t="shared" si="210"/>
        <v>38</v>
      </c>
      <c r="AL381" s="3">
        <f t="shared" si="211"/>
        <v>33</v>
      </c>
      <c r="AM381" s="3">
        <f t="shared" si="212"/>
        <v>28</v>
      </c>
      <c r="AN381" s="3">
        <f t="shared" si="213"/>
        <v>22</v>
      </c>
      <c r="AO381" s="3">
        <f t="shared" si="214"/>
        <v>17</v>
      </c>
      <c r="AP381" s="3">
        <f t="shared" si="215"/>
        <v>0</v>
      </c>
      <c r="AQ381" s="3">
        <f t="shared" si="216"/>
        <v>91</v>
      </c>
      <c r="AR381" s="3">
        <f t="shared" si="217"/>
        <v>85</v>
      </c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>
        <v>3</v>
      </c>
      <c r="BF381" s="8"/>
      <c r="BG381" s="8"/>
      <c r="BH381" s="8"/>
      <c r="BM381" s="35" t="s">
        <v>12</v>
      </c>
      <c r="BO381" s="35"/>
      <c r="BR381" s="9" t="str">
        <f t="shared" si="193"/>
        <v/>
      </c>
      <c r="BS381" s="37" t="str">
        <f t="shared" si="194"/>
        <v/>
      </c>
      <c r="BT381" s="38" t="str">
        <f t="shared" si="219"/>
        <v/>
      </c>
      <c r="BU381" s="36" t="str">
        <f t="shared" si="195"/>
        <v/>
      </c>
    </row>
    <row r="382" spans="2:73" ht="15">
      <c r="B382" s="16">
        <f t="shared" si="196"/>
        <v>45747</v>
      </c>
      <c r="C382" s="15" t="s">
        <v>1</v>
      </c>
      <c r="D382" s="17">
        <f t="shared" si="197"/>
        <v>45753</v>
      </c>
      <c r="E382" s="18">
        <f t="shared" si="198"/>
        <v>3</v>
      </c>
      <c r="F382" s="19">
        <f t="shared" si="199"/>
        <v>2025</v>
      </c>
      <c r="G382" s="9">
        <f t="shared" si="220"/>
        <v>17</v>
      </c>
      <c r="H382" s="8">
        <f t="shared" si="220"/>
        <v>95</v>
      </c>
      <c r="I382" s="9"/>
      <c r="J382" s="9"/>
      <c r="K382" s="9"/>
      <c r="L382" s="9"/>
      <c r="M382" s="9"/>
      <c r="N382" s="9"/>
      <c r="O382" s="12"/>
      <c r="P382" s="12"/>
      <c r="Q382" s="12"/>
      <c r="R382" s="12"/>
      <c r="S382" s="12"/>
      <c r="T382" s="12"/>
      <c r="V382" s="20">
        <f t="shared" si="187"/>
        <v>8</v>
      </c>
      <c r="W382" s="20">
        <f t="shared" si="188"/>
        <v>13</v>
      </c>
      <c r="X382" s="20">
        <f t="shared" si="189"/>
        <v>0</v>
      </c>
      <c r="Y382" s="20">
        <f t="shared" si="190"/>
        <v>2</v>
      </c>
      <c r="Z382" s="20">
        <f t="shared" si="191"/>
        <v>0</v>
      </c>
      <c r="AA382" s="20">
        <f t="shared" si="192"/>
        <v>0</v>
      </c>
      <c r="AC382" s="3">
        <f t="shared" si="202"/>
        <v>81</v>
      </c>
      <c r="AD382" s="3">
        <f t="shared" si="203"/>
        <v>76</v>
      </c>
      <c r="AE382" s="3">
        <f t="shared" si="204"/>
        <v>71</v>
      </c>
      <c r="AF382" s="3">
        <f t="shared" si="205"/>
        <v>65</v>
      </c>
      <c r="AG382" s="3">
        <f t="shared" si="206"/>
        <v>60</v>
      </c>
      <c r="AH382" s="3">
        <f t="shared" si="207"/>
        <v>55</v>
      </c>
      <c r="AI382" s="3">
        <f t="shared" si="208"/>
        <v>50</v>
      </c>
      <c r="AJ382" s="3">
        <f t="shared" si="209"/>
        <v>44</v>
      </c>
      <c r="AK382" s="3">
        <f t="shared" si="210"/>
        <v>39</v>
      </c>
      <c r="AL382" s="3">
        <f t="shared" si="211"/>
        <v>34</v>
      </c>
      <c r="AM382" s="3">
        <f t="shared" si="212"/>
        <v>29</v>
      </c>
      <c r="AN382" s="3">
        <f t="shared" si="213"/>
        <v>23</v>
      </c>
      <c r="AO382" s="3">
        <f t="shared" si="214"/>
        <v>18</v>
      </c>
      <c r="AP382" s="3">
        <f t="shared" si="215"/>
        <v>0</v>
      </c>
      <c r="AQ382" s="3">
        <f t="shared" si="216"/>
        <v>92</v>
      </c>
      <c r="AR382" s="3">
        <f t="shared" si="217"/>
        <v>86</v>
      </c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M382" s="35" t="s">
        <v>12</v>
      </c>
      <c r="BO382" s="35"/>
      <c r="BR382" s="9" t="str">
        <f t="shared" si="193"/>
        <v/>
      </c>
      <c r="BS382" s="37" t="str">
        <f t="shared" si="194"/>
        <v/>
      </c>
      <c r="BT382" s="38" t="str">
        <f t="shared" si="219"/>
        <v/>
      </c>
      <c r="BU382" s="36" t="str">
        <f t="shared" si="195"/>
        <v/>
      </c>
    </row>
    <row r="383" spans="2:73" ht="15">
      <c r="B383" s="16">
        <f t="shared" si="196"/>
        <v>45754</v>
      </c>
      <c r="C383" s="15" t="s">
        <v>1</v>
      </c>
      <c r="D383" s="17">
        <f t="shared" si="197"/>
        <v>45760</v>
      </c>
      <c r="E383" s="18">
        <f t="shared" si="198"/>
        <v>4</v>
      </c>
      <c r="F383" s="19">
        <f t="shared" si="199"/>
        <v>2025</v>
      </c>
      <c r="G383" s="9">
        <f t="shared" si="220"/>
        <v>17</v>
      </c>
      <c r="H383" s="8">
        <f t="shared" si="220"/>
        <v>95</v>
      </c>
      <c r="I383" s="9"/>
      <c r="J383" s="9"/>
      <c r="K383" s="9"/>
      <c r="L383" s="9"/>
      <c r="M383" s="9"/>
      <c r="N383" s="9"/>
      <c r="O383" s="12"/>
      <c r="P383" s="12"/>
      <c r="Q383" s="12"/>
      <c r="R383" s="12"/>
      <c r="S383" s="12"/>
      <c r="T383" s="12"/>
      <c r="V383" s="20">
        <f t="shared" si="187"/>
        <v>9</v>
      </c>
      <c r="W383" s="20">
        <f t="shared" si="188"/>
        <v>14</v>
      </c>
      <c r="X383" s="20">
        <f t="shared" si="189"/>
        <v>0</v>
      </c>
      <c r="Y383" s="20">
        <f t="shared" si="190"/>
        <v>3</v>
      </c>
      <c r="Z383" s="20">
        <f t="shared" si="191"/>
        <v>0</v>
      </c>
      <c r="AA383" s="20">
        <f t="shared" si="192"/>
        <v>0</v>
      </c>
      <c r="AC383" s="3">
        <f t="shared" si="202"/>
        <v>82</v>
      </c>
      <c r="AD383" s="3">
        <f t="shared" si="203"/>
        <v>77</v>
      </c>
      <c r="AE383" s="3">
        <f t="shared" si="204"/>
        <v>72</v>
      </c>
      <c r="AF383" s="3">
        <f t="shared" si="205"/>
        <v>66</v>
      </c>
      <c r="AG383" s="3">
        <f t="shared" si="206"/>
        <v>61</v>
      </c>
      <c r="AH383" s="3">
        <f t="shared" si="207"/>
        <v>56</v>
      </c>
      <c r="AI383" s="3">
        <f t="shared" si="208"/>
        <v>51</v>
      </c>
      <c r="AJ383" s="3">
        <f t="shared" si="209"/>
        <v>45</v>
      </c>
      <c r="AK383" s="3">
        <f t="shared" si="210"/>
        <v>40</v>
      </c>
      <c r="AL383" s="3">
        <f t="shared" si="211"/>
        <v>35</v>
      </c>
      <c r="AM383" s="3">
        <f t="shared" si="212"/>
        <v>30</v>
      </c>
      <c r="AN383" s="3">
        <f t="shared" si="213"/>
        <v>24</v>
      </c>
      <c r="AO383" s="3">
        <f t="shared" si="214"/>
        <v>19</v>
      </c>
      <c r="AP383" s="3">
        <f t="shared" si="215"/>
        <v>0</v>
      </c>
      <c r="AQ383" s="3">
        <f t="shared" si="216"/>
        <v>93</v>
      </c>
      <c r="AR383" s="3">
        <f t="shared" si="217"/>
        <v>87</v>
      </c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M383" s="35" t="s">
        <v>12</v>
      </c>
      <c r="BO383" s="35"/>
      <c r="BR383" s="9" t="str">
        <f t="shared" si="193"/>
        <v/>
      </c>
      <c r="BS383" s="37" t="str">
        <f t="shared" si="194"/>
        <v/>
      </c>
      <c r="BT383" s="38" t="str">
        <f t="shared" si="219"/>
        <v/>
      </c>
      <c r="BU383" s="36" t="str">
        <f t="shared" si="195"/>
        <v/>
      </c>
    </row>
    <row r="384" spans="2:73" ht="15">
      <c r="B384" s="16">
        <f t="shared" si="196"/>
        <v>45761</v>
      </c>
      <c r="C384" s="15" t="s">
        <v>1</v>
      </c>
      <c r="D384" s="17">
        <f t="shared" si="197"/>
        <v>45767</v>
      </c>
      <c r="E384" s="18">
        <f t="shared" si="198"/>
        <v>4</v>
      </c>
      <c r="F384" s="19">
        <f t="shared" si="199"/>
        <v>2025</v>
      </c>
      <c r="G384" s="9">
        <f t="shared" si="220"/>
        <v>17</v>
      </c>
      <c r="H384" s="8">
        <f t="shared" si="220"/>
        <v>95</v>
      </c>
      <c r="I384" s="9"/>
      <c r="J384" s="9"/>
      <c r="K384" s="9"/>
      <c r="L384" s="9"/>
      <c r="M384" s="9"/>
      <c r="N384" s="9"/>
      <c r="O384" s="12"/>
      <c r="P384" s="12"/>
      <c r="Q384" s="12"/>
      <c r="R384" s="12"/>
      <c r="S384" s="12"/>
      <c r="T384" s="12"/>
      <c r="V384" s="20">
        <f t="shared" si="187"/>
        <v>10</v>
      </c>
      <c r="W384" s="20">
        <f t="shared" si="188"/>
        <v>15</v>
      </c>
      <c r="X384" s="20">
        <f t="shared" si="189"/>
        <v>0</v>
      </c>
      <c r="Y384" s="20">
        <f t="shared" si="190"/>
        <v>4</v>
      </c>
      <c r="Z384" s="20">
        <f t="shared" si="191"/>
        <v>0</v>
      </c>
      <c r="AA384" s="20">
        <f t="shared" si="192"/>
        <v>0</v>
      </c>
      <c r="AC384" s="3">
        <f t="shared" si="202"/>
        <v>83</v>
      </c>
      <c r="AD384" s="3">
        <f t="shared" si="203"/>
        <v>78</v>
      </c>
      <c r="AE384" s="3">
        <f t="shared" si="204"/>
        <v>73</v>
      </c>
      <c r="AF384" s="3">
        <f t="shared" si="205"/>
        <v>67</v>
      </c>
      <c r="AG384" s="3">
        <f t="shared" si="206"/>
        <v>62</v>
      </c>
      <c r="AH384" s="3">
        <f t="shared" si="207"/>
        <v>57</v>
      </c>
      <c r="AI384" s="3">
        <f t="shared" si="208"/>
        <v>52</v>
      </c>
      <c r="AJ384" s="3">
        <f t="shared" si="209"/>
        <v>46</v>
      </c>
      <c r="AK384" s="3">
        <f t="shared" si="210"/>
        <v>41</v>
      </c>
      <c r="AL384" s="3">
        <f t="shared" si="211"/>
        <v>36</v>
      </c>
      <c r="AM384" s="3">
        <f t="shared" si="212"/>
        <v>31</v>
      </c>
      <c r="AN384" s="3">
        <f t="shared" si="213"/>
        <v>25</v>
      </c>
      <c r="AO384" s="3">
        <f t="shared" si="214"/>
        <v>20</v>
      </c>
      <c r="AP384" s="3">
        <f t="shared" si="215"/>
        <v>0</v>
      </c>
      <c r="AQ384" s="3">
        <f t="shared" si="216"/>
        <v>94</v>
      </c>
      <c r="AR384" s="3">
        <f t="shared" si="217"/>
        <v>88</v>
      </c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M384" s="35" t="s">
        <v>12</v>
      </c>
      <c r="BO384" s="35"/>
      <c r="BR384" s="9" t="str">
        <f t="shared" si="193"/>
        <v/>
      </c>
      <c r="BS384" s="37" t="str">
        <f t="shared" si="194"/>
        <v/>
      </c>
      <c r="BT384" s="38" t="str">
        <f t="shared" si="219"/>
        <v/>
      </c>
      <c r="BU384" s="36" t="str">
        <f t="shared" si="195"/>
        <v/>
      </c>
    </row>
    <row r="385" spans="2:73" ht="15">
      <c r="B385" s="16">
        <f t="shared" si="196"/>
        <v>45768</v>
      </c>
      <c r="C385" s="15" t="s">
        <v>1</v>
      </c>
      <c r="D385" s="17">
        <f t="shared" si="197"/>
        <v>45774</v>
      </c>
      <c r="E385" s="18">
        <f t="shared" si="198"/>
        <v>4</v>
      </c>
      <c r="F385" s="19">
        <f t="shared" si="199"/>
        <v>2025</v>
      </c>
      <c r="G385" s="9">
        <f t="shared" si="220"/>
        <v>17</v>
      </c>
      <c r="H385" s="8">
        <f t="shared" si="220"/>
        <v>95</v>
      </c>
      <c r="I385" s="9"/>
      <c r="J385" s="9"/>
      <c r="K385" s="9"/>
      <c r="L385" s="9"/>
      <c r="M385" s="9"/>
      <c r="N385" s="9"/>
      <c r="O385" s="12"/>
      <c r="P385" s="12"/>
      <c r="Q385" s="12">
        <v>1</v>
      </c>
      <c r="R385" s="12"/>
      <c r="S385" s="12"/>
      <c r="T385" s="12"/>
      <c r="V385" s="20">
        <f t="shared" si="187"/>
        <v>11</v>
      </c>
      <c r="W385" s="20">
        <f t="shared" si="188"/>
        <v>16</v>
      </c>
      <c r="X385" s="20">
        <f t="shared" si="189"/>
        <v>45770</v>
      </c>
      <c r="Y385" s="20">
        <f t="shared" si="190"/>
        <v>5</v>
      </c>
      <c r="Z385" s="20">
        <f t="shared" si="191"/>
        <v>0</v>
      </c>
      <c r="AA385" s="20">
        <f t="shared" si="192"/>
        <v>0</v>
      </c>
      <c r="AC385" s="3">
        <f t="shared" si="202"/>
        <v>84</v>
      </c>
      <c r="AD385" s="3">
        <f t="shared" si="203"/>
        <v>79</v>
      </c>
      <c r="AE385" s="3">
        <f t="shared" si="204"/>
        <v>74</v>
      </c>
      <c r="AF385" s="3">
        <f t="shared" si="205"/>
        <v>68</v>
      </c>
      <c r="AG385" s="3">
        <f t="shared" si="206"/>
        <v>63</v>
      </c>
      <c r="AH385" s="3">
        <f t="shared" si="207"/>
        <v>58</v>
      </c>
      <c r="AI385" s="3">
        <f t="shared" si="208"/>
        <v>53</v>
      </c>
      <c r="AJ385" s="3">
        <f t="shared" si="209"/>
        <v>47</v>
      </c>
      <c r="AK385" s="3">
        <f t="shared" si="210"/>
        <v>42</v>
      </c>
      <c r="AL385" s="3">
        <f t="shared" si="211"/>
        <v>37</v>
      </c>
      <c r="AM385" s="3">
        <f t="shared" si="212"/>
        <v>32</v>
      </c>
      <c r="AN385" s="3">
        <f t="shared" si="213"/>
        <v>26</v>
      </c>
      <c r="AO385" s="3">
        <f t="shared" si="214"/>
        <v>21</v>
      </c>
      <c r="AP385" s="3">
        <f t="shared" si="215"/>
        <v>0</v>
      </c>
      <c r="AQ385" s="3">
        <f t="shared" si="216"/>
        <v>95</v>
      </c>
      <c r="AR385" s="3">
        <f t="shared" si="217"/>
        <v>89</v>
      </c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M385" s="35" t="s">
        <v>12</v>
      </c>
      <c r="BO385" s="35"/>
      <c r="BR385" s="9">
        <f t="shared" si="193"/>
        <v>3</v>
      </c>
      <c r="BS385" s="37">
        <f t="shared" si="194"/>
        <v>45770</v>
      </c>
      <c r="BT385" s="38">
        <f t="shared" si="219"/>
        <v>45889</v>
      </c>
      <c r="BU385" s="36" t="str">
        <f t="shared" si="195"/>
        <v/>
      </c>
    </row>
    <row r="386" spans="2:73" ht="15">
      <c r="B386" s="16">
        <f t="shared" si="196"/>
        <v>45775</v>
      </c>
      <c r="C386" s="15" t="s">
        <v>1</v>
      </c>
      <c r="D386" s="17">
        <f t="shared" si="197"/>
        <v>45781</v>
      </c>
      <c r="E386" s="18">
        <f t="shared" si="198"/>
        <v>4</v>
      </c>
      <c r="F386" s="19">
        <f t="shared" si="199"/>
        <v>2025</v>
      </c>
      <c r="G386" s="9">
        <f t="shared" si="220"/>
        <v>17</v>
      </c>
      <c r="H386" s="8">
        <f t="shared" si="220"/>
        <v>95</v>
      </c>
      <c r="I386" s="9"/>
      <c r="J386" s="9"/>
      <c r="K386" s="9"/>
      <c r="L386" s="9"/>
      <c r="M386" s="9"/>
      <c r="N386" s="9"/>
      <c r="O386" s="12"/>
      <c r="P386" s="12"/>
      <c r="Q386" s="12"/>
      <c r="R386" s="12"/>
      <c r="S386" s="12"/>
      <c r="T386" s="12"/>
      <c r="V386" s="20">
        <f t="shared" si="187"/>
        <v>12</v>
      </c>
      <c r="W386" s="20">
        <f t="shared" si="188"/>
        <v>17</v>
      </c>
      <c r="X386" s="20">
        <f t="shared" si="189"/>
        <v>1</v>
      </c>
      <c r="Y386" s="20">
        <f t="shared" si="190"/>
        <v>6</v>
      </c>
      <c r="Z386" s="20">
        <f t="shared" si="191"/>
        <v>0</v>
      </c>
      <c r="AA386" s="20">
        <f t="shared" si="192"/>
        <v>0</v>
      </c>
      <c r="AC386" s="3">
        <f t="shared" si="202"/>
        <v>85</v>
      </c>
      <c r="AD386" s="3">
        <f t="shared" si="203"/>
        <v>80</v>
      </c>
      <c r="AE386" s="3">
        <f t="shared" si="204"/>
        <v>75</v>
      </c>
      <c r="AF386" s="3">
        <f t="shared" si="205"/>
        <v>69</v>
      </c>
      <c r="AG386" s="3">
        <f t="shared" si="206"/>
        <v>64</v>
      </c>
      <c r="AH386" s="3">
        <f t="shared" si="207"/>
        <v>59</v>
      </c>
      <c r="AI386" s="3">
        <f t="shared" si="208"/>
        <v>54</v>
      </c>
      <c r="AJ386" s="3">
        <f t="shared" si="209"/>
        <v>48</v>
      </c>
      <c r="AK386" s="3">
        <f t="shared" si="210"/>
        <v>43</v>
      </c>
      <c r="AL386" s="3">
        <f t="shared" si="211"/>
        <v>38</v>
      </c>
      <c r="AM386" s="3">
        <f t="shared" si="212"/>
        <v>33</v>
      </c>
      <c r="AN386" s="3">
        <f t="shared" si="213"/>
        <v>27</v>
      </c>
      <c r="AO386" s="3">
        <f t="shared" si="214"/>
        <v>22</v>
      </c>
      <c r="AP386" s="3">
        <f t="shared" si="215"/>
        <v>17</v>
      </c>
      <c r="AQ386" s="3">
        <f t="shared" si="216"/>
        <v>0</v>
      </c>
      <c r="AR386" s="3">
        <f t="shared" si="217"/>
        <v>90</v>
      </c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>
        <v>2</v>
      </c>
      <c r="BG386" s="8"/>
      <c r="BH386" s="8"/>
      <c r="BM386" s="35" t="s">
        <v>12</v>
      </c>
      <c r="BO386" s="35"/>
      <c r="BR386" s="9" t="str">
        <f t="shared" si="193"/>
        <v/>
      </c>
      <c r="BS386" s="37" t="str">
        <f t="shared" si="194"/>
        <v/>
      </c>
      <c r="BT386" s="38" t="str">
        <f t="shared" si="219"/>
        <v/>
      </c>
      <c r="BU386" s="36" t="str">
        <f t="shared" si="195"/>
        <v/>
      </c>
    </row>
    <row r="387" spans="2:73" ht="15">
      <c r="B387" s="16">
        <f t="shared" si="196"/>
        <v>45782</v>
      </c>
      <c r="C387" s="15" t="s">
        <v>1</v>
      </c>
      <c r="D387" s="17">
        <f t="shared" si="197"/>
        <v>45788</v>
      </c>
      <c r="E387" s="18">
        <f t="shared" si="198"/>
        <v>5</v>
      </c>
      <c r="F387" s="19">
        <f t="shared" si="199"/>
        <v>2025</v>
      </c>
      <c r="G387" s="9">
        <f t="shared" si="220"/>
        <v>17</v>
      </c>
      <c r="H387" s="8">
        <f t="shared" si="220"/>
        <v>95</v>
      </c>
      <c r="I387" s="9"/>
      <c r="J387" s="9"/>
      <c r="K387" s="9"/>
      <c r="L387" s="9"/>
      <c r="M387" s="9"/>
      <c r="N387" s="9"/>
      <c r="O387" s="12"/>
      <c r="P387" s="12"/>
      <c r="Q387" s="12"/>
      <c r="R387" s="12"/>
      <c r="S387" s="12"/>
      <c r="T387" s="12"/>
      <c r="V387" s="20">
        <f t="shared" si="187"/>
        <v>13</v>
      </c>
      <c r="W387" s="20">
        <f t="shared" si="188"/>
        <v>0</v>
      </c>
      <c r="X387" s="20">
        <f t="shared" si="189"/>
        <v>2</v>
      </c>
      <c r="Y387" s="20">
        <f t="shared" si="190"/>
        <v>7</v>
      </c>
      <c r="Z387" s="20">
        <f t="shared" si="191"/>
        <v>0</v>
      </c>
      <c r="AA387" s="20">
        <f t="shared" si="192"/>
        <v>0</v>
      </c>
      <c r="AC387" s="3">
        <f t="shared" si="202"/>
        <v>86</v>
      </c>
      <c r="AD387" s="3">
        <f t="shared" si="203"/>
        <v>81</v>
      </c>
      <c r="AE387" s="3">
        <f t="shared" si="204"/>
        <v>76</v>
      </c>
      <c r="AF387" s="3">
        <f t="shared" si="205"/>
        <v>70</v>
      </c>
      <c r="AG387" s="3">
        <f t="shared" si="206"/>
        <v>65</v>
      </c>
      <c r="AH387" s="3">
        <f t="shared" si="207"/>
        <v>60</v>
      </c>
      <c r="AI387" s="3">
        <f t="shared" si="208"/>
        <v>55</v>
      </c>
      <c r="AJ387" s="3">
        <f t="shared" si="209"/>
        <v>49</v>
      </c>
      <c r="AK387" s="3">
        <f t="shared" si="210"/>
        <v>44</v>
      </c>
      <c r="AL387" s="3">
        <f t="shared" si="211"/>
        <v>39</v>
      </c>
      <c r="AM387" s="3">
        <f t="shared" si="212"/>
        <v>34</v>
      </c>
      <c r="AN387" s="3">
        <f t="shared" si="213"/>
        <v>28</v>
      </c>
      <c r="AO387" s="3">
        <f t="shared" si="214"/>
        <v>23</v>
      </c>
      <c r="AP387" s="3">
        <f t="shared" si="215"/>
        <v>18</v>
      </c>
      <c r="AQ387" s="3">
        <f t="shared" si="216"/>
        <v>0</v>
      </c>
      <c r="AR387" s="3">
        <f t="shared" si="217"/>
        <v>91</v>
      </c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M387" s="35" t="s">
        <v>12</v>
      </c>
      <c r="BO387" s="35"/>
      <c r="BR387" s="9" t="str">
        <f t="shared" si="193"/>
        <v/>
      </c>
      <c r="BS387" s="37" t="str">
        <f t="shared" si="194"/>
        <v/>
      </c>
      <c r="BT387" s="38" t="str">
        <f t="shared" si="219"/>
        <v/>
      </c>
      <c r="BU387" s="36" t="str">
        <f t="shared" si="195"/>
        <v/>
      </c>
    </row>
    <row r="388" spans="2:73" ht="15">
      <c r="B388" s="16">
        <f t="shared" si="196"/>
        <v>45789</v>
      </c>
      <c r="C388" s="15" t="s">
        <v>1</v>
      </c>
      <c r="D388" s="17">
        <f t="shared" si="197"/>
        <v>45795</v>
      </c>
      <c r="E388" s="18">
        <f t="shared" si="198"/>
        <v>5</v>
      </c>
      <c r="F388" s="19">
        <f t="shared" si="199"/>
        <v>2025</v>
      </c>
      <c r="G388" s="9">
        <f t="shared" si="220"/>
        <v>17</v>
      </c>
      <c r="H388" s="8">
        <f t="shared" si="220"/>
        <v>95</v>
      </c>
      <c r="I388" s="9"/>
      <c r="J388" s="9"/>
      <c r="K388" s="9"/>
      <c r="L388" s="9"/>
      <c r="M388" s="9"/>
      <c r="N388" s="9"/>
      <c r="O388" s="12"/>
      <c r="P388" s="12"/>
      <c r="Q388" s="12"/>
      <c r="R388" s="12"/>
      <c r="S388" s="12"/>
      <c r="T388" s="12"/>
      <c r="V388" s="20">
        <f t="shared" ref="V388:V421" si="221">IF(I388&gt;0,I388,IF(O388=1,$B388+2,IF(O387=1,1,IF(O387=2,0,IF(V387=$G387,0,(IF(V387&gt;=1,V387+1,0)))))))</f>
        <v>14</v>
      </c>
      <c r="W388" s="20">
        <f t="shared" ref="W388:W421" si="222">IF(J388&gt;0,J388,IF(P388=1,$B388+2,IF(P387=1,1,IF(P387=2,0,IF(W387=$G387,0,(IF(W387&gt;=1,W387+1,0)))))))</f>
        <v>0</v>
      </c>
      <c r="X388" s="20">
        <f t="shared" ref="X388:X421" si="223">IF(K388&gt;0,K388,IF(Q388=1,$B388+2,IF(Q387=1,1,IF(Q387=2,0,IF(X387=$G387,0,(IF(X387&gt;=1,X387+1,0)))))))</f>
        <v>3</v>
      </c>
      <c r="Y388" s="20">
        <f t="shared" ref="Y388:Y421" si="224">IF(L388&gt;0,L388,IF(R388=1,$B388+2,IF(R387=1,1,IF(R387=2,0,IF(Y387=$G387,0,(IF(Y387&gt;=1,Y387+1,0)))))))</f>
        <v>8</v>
      </c>
      <c r="Z388" s="20">
        <f t="shared" ref="Z388:Z421" si="225">IF(M388&gt;0,M388,IF(S388=1,$B388+2,IF(S387=1,1,IF(S387=2,0,IF(Z387=$G387,0,(IF(Z387&gt;=1,Z387+1,0)))))))</f>
        <v>0</v>
      </c>
      <c r="AA388" s="20">
        <f t="shared" ref="AA388:AA421" si="226">IF(N388&gt;0,N388,IF(T388=1,$B388+2,IF(T387=1,1,IF(T387=2,0,IF(AA387=$G387,0,(IF(AA387&gt;=1,AA387+1,0)))))))</f>
        <v>0</v>
      </c>
      <c r="AC388" s="3">
        <f t="shared" si="202"/>
        <v>87</v>
      </c>
      <c r="AD388" s="3">
        <f t="shared" si="203"/>
        <v>82</v>
      </c>
      <c r="AE388" s="3">
        <f t="shared" si="204"/>
        <v>77</v>
      </c>
      <c r="AF388" s="3">
        <f t="shared" si="205"/>
        <v>71</v>
      </c>
      <c r="AG388" s="3">
        <f t="shared" si="206"/>
        <v>66</v>
      </c>
      <c r="AH388" s="3">
        <f t="shared" si="207"/>
        <v>61</v>
      </c>
      <c r="AI388" s="3">
        <f t="shared" si="208"/>
        <v>56</v>
      </c>
      <c r="AJ388" s="3">
        <f t="shared" si="209"/>
        <v>50</v>
      </c>
      <c r="AK388" s="3">
        <f t="shared" si="210"/>
        <v>45</v>
      </c>
      <c r="AL388" s="3">
        <f t="shared" si="211"/>
        <v>40</v>
      </c>
      <c r="AM388" s="3">
        <f t="shared" si="212"/>
        <v>35</v>
      </c>
      <c r="AN388" s="3">
        <f t="shared" si="213"/>
        <v>29</v>
      </c>
      <c r="AO388" s="3">
        <f t="shared" si="214"/>
        <v>24</v>
      </c>
      <c r="AP388" s="3">
        <f t="shared" si="215"/>
        <v>19</v>
      </c>
      <c r="AQ388" s="3">
        <f t="shared" si="216"/>
        <v>0</v>
      </c>
      <c r="AR388" s="3">
        <f t="shared" si="217"/>
        <v>92</v>
      </c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M388" s="35" t="s">
        <v>12</v>
      </c>
      <c r="BO388" s="35"/>
      <c r="BR388" s="9" t="str">
        <f t="shared" ref="BR388:BR421" si="227">IF(AND(V388&gt;0,V387=0),$V$2,IF(AND(W388&gt;0,W387=0),$W$2,IF(AND(X388&gt;0,X387=0),$X$2,IF(AND(Y388&gt;0,Y387=0),$Y$2,IF(AND(Z388&gt;0,Z387=0),$Z$2,IF(AND(AA388&gt;0,AA387=0),$AA$2,""))))))</f>
        <v/>
      </c>
      <c r="BS388" s="37" t="str">
        <f t="shared" ref="BS388:BS421" si="228">IF(OR(AND($V389=1,$V390=2),OR(AND($W389=1,$W390=2),OR(AND($X389=1,$X390=2),OR(AND($Y389=1,$Y390=2),OR(AND($Z389=1,$Z390),OR(AND($AA389=1,$AA390=2))))))),$B388+2,"")</f>
        <v/>
      </c>
      <c r="BT388" s="38" t="str">
        <f t="shared" si="219"/>
        <v/>
      </c>
      <c r="BU388" s="36" t="str">
        <f t="shared" ref="BU388:BU421" si="229">IF(AND(AC405&gt;0,AC404=0),$AC$2,IF(AND(AD405&gt;0,AD404=0),$AD$2,IF(AND(AE405&gt;0,AE404=0),$AE$2,IF(AND(AF405&gt;0,AF404=0),$AF$2,IF(AND(AG405&gt;0,AG404=0),$AG$2,IF(AND(AH405&gt;0,AH404=0),$AH$2,IF(AND(AI405&gt;0,AI404=0),$AI$2,IF(AND(AJ405&gt;0,AJ404=0),$AJ$2,IF(AND(AK405&gt;0,AK404=0),$AK$2,IF(AND(AL405&gt;0,AL404=0),$AL$2,IF(AND(AM405&gt;0,AM404=0),$AM$2,IF(AND(AN405&gt;0,AN404=0),$AN$2,IF(AND(AO405&gt;0,AO404=0),$AO$2,IF(AND(AP405&gt;0,AP404=0),$AP$2,IF(AND(AQ405&gt;0,AQ404=0),$AQ$2,IF(AND(AR405&gt;0,AR404=0),$AR$2,""))))))))))))))))</f>
        <v/>
      </c>
    </row>
    <row r="389" spans="2:73" ht="15">
      <c r="B389" s="16">
        <f t="shared" ref="B389:B421" si="230">D388+1</f>
        <v>45796</v>
      </c>
      <c r="C389" s="15" t="s">
        <v>1</v>
      </c>
      <c r="D389" s="17">
        <f t="shared" ref="D389:D421" si="231">B389+6</f>
        <v>45802</v>
      </c>
      <c r="E389" s="18">
        <f t="shared" ref="E389:E421" si="232">MONTH(B389)</f>
        <v>5</v>
      </c>
      <c r="F389" s="19">
        <f t="shared" ref="F389:F421" si="233">YEAR(D389)</f>
        <v>2025</v>
      </c>
      <c r="G389" s="9">
        <f t="shared" si="220"/>
        <v>17</v>
      </c>
      <c r="H389" s="8">
        <f t="shared" si="220"/>
        <v>95</v>
      </c>
      <c r="I389" s="9"/>
      <c r="J389" s="9"/>
      <c r="K389" s="9"/>
      <c r="L389" s="9"/>
      <c r="M389" s="9"/>
      <c r="N389" s="9"/>
      <c r="O389" s="12"/>
      <c r="P389" s="12"/>
      <c r="Q389" s="12"/>
      <c r="R389" s="12"/>
      <c r="S389" s="12"/>
      <c r="T389" s="12"/>
      <c r="V389" s="20">
        <f t="shared" si="221"/>
        <v>15</v>
      </c>
      <c r="W389" s="20">
        <f t="shared" si="222"/>
        <v>0</v>
      </c>
      <c r="X389" s="20">
        <f t="shared" si="223"/>
        <v>4</v>
      </c>
      <c r="Y389" s="20">
        <f t="shared" si="224"/>
        <v>9</v>
      </c>
      <c r="Z389" s="20">
        <f t="shared" si="225"/>
        <v>0</v>
      </c>
      <c r="AA389" s="20">
        <f t="shared" si="226"/>
        <v>0</v>
      </c>
      <c r="AC389" s="3">
        <f t="shared" si="202"/>
        <v>88</v>
      </c>
      <c r="AD389" s="3">
        <f t="shared" si="203"/>
        <v>83</v>
      </c>
      <c r="AE389" s="3">
        <f t="shared" si="204"/>
        <v>78</v>
      </c>
      <c r="AF389" s="3">
        <f t="shared" si="205"/>
        <v>72</v>
      </c>
      <c r="AG389" s="3">
        <f t="shared" si="206"/>
        <v>67</v>
      </c>
      <c r="AH389" s="3">
        <f t="shared" si="207"/>
        <v>62</v>
      </c>
      <c r="AI389" s="3">
        <f t="shared" si="208"/>
        <v>57</v>
      </c>
      <c r="AJ389" s="3">
        <f t="shared" si="209"/>
        <v>51</v>
      </c>
      <c r="AK389" s="3">
        <f t="shared" si="210"/>
        <v>46</v>
      </c>
      <c r="AL389" s="3">
        <f t="shared" si="211"/>
        <v>41</v>
      </c>
      <c r="AM389" s="3">
        <f t="shared" si="212"/>
        <v>36</v>
      </c>
      <c r="AN389" s="3">
        <f t="shared" si="213"/>
        <v>30</v>
      </c>
      <c r="AO389" s="3">
        <f t="shared" si="214"/>
        <v>25</v>
      </c>
      <c r="AP389" s="3">
        <f t="shared" si="215"/>
        <v>20</v>
      </c>
      <c r="AQ389" s="3">
        <f t="shared" si="216"/>
        <v>0</v>
      </c>
      <c r="AR389" s="3">
        <f t="shared" si="217"/>
        <v>93</v>
      </c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M389" s="35" t="s">
        <v>12</v>
      </c>
      <c r="BO389" s="35"/>
      <c r="BR389" s="9" t="str">
        <f t="shared" si="227"/>
        <v/>
      </c>
      <c r="BS389" s="37" t="str">
        <f t="shared" si="228"/>
        <v/>
      </c>
      <c r="BT389" s="38" t="str">
        <f t="shared" si="219"/>
        <v/>
      </c>
      <c r="BU389" s="36" t="str">
        <f t="shared" si="229"/>
        <v/>
      </c>
    </row>
    <row r="390" spans="2:73" ht="15">
      <c r="B390" s="16">
        <f t="shared" si="230"/>
        <v>45803</v>
      </c>
      <c r="C390" s="15" t="s">
        <v>1</v>
      </c>
      <c r="D390" s="17">
        <f t="shared" si="231"/>
        <v>45809</v>
      </c>
      <c r="E390" s="18">
        <f t="shared" si="232"/>
        <v>5</v>
      </c>
      <c r="F390" s="19">
        <f t="shared" si="233"/>
        <v>2025</v>
      </c>
      <c r="G390" s="9">
        <f t="shared" ref="G390:H405" si="234">G389</f>
        <v>17</v>
      </c>
      <c r="H390" s="8">
        <f t="shared" si="234"/>
        <v>95</v>
      </c>
      <c r="I390" s="9"/>
      <c r="J390" s="9"/>
      <c r="K390" s="9"/>
      <c r="L390" s="9"/>
      <c r="M390" s="9"/>
      <c r="N390" s="9"/>
      <c r="O390" s="12"/>
      <c r="P390" s="12">
        <v>1</v>
      </c>
      <c r="Q390" s="12"/>
      <c r="R390" s="12"/>
      <c r="S390" s="12"/>
      <c r="T390" s="12"/>
      <c r="V390" s="20">
        <f t="shared" si="221"/>
        <v>16</v>
      </c>
      <c r="W390" s="20">
        <f t="shared" si="222"/>
        <v>45805</v>
      </c>
      <c r="X390" s="20">
        <f t="shared" si="223"/>
        <v>5</v>
      </c>
      <c r="Y390" s="20">
        <f t="shared" si="224"/>
        <v>10</v>
      </c>
      <c r="Z390" s="20">
        <f t="shared" si="225"/>
        <v>0</v>
      </c>
      <c r="AA390" s="20">
        <f t="shared" si="226"/>
        <v>0</v>
      </c>
      <c r="AC390" s="3">
        <f t="shared" si="202"/>
        <v>89</v>
      </c>
      <c r="AD390" s="3">
        <f t="shared" si="203"/>
        <v>84</v>
      </c>
      <c r="AE390" s="3">
        <f t="shared" si="204"/>
        <v>79</v>
      </c>
      <c r="AF390" s="3">
        <f t="shared" si="205"/>
        <v>73</v>
      </c>
      <c r="AG390" s="3">
        <f t="shared" si="206"/>
        <v>68</v>
      </c>
      <c r="AH390" s="3">
        <f t="shared" si="207"/>
        <v>63</v>
      </c>
      <c r="AI390" s="3">
        <f t="shared" si="208"/>
        <v>58</v>
      </c>
      <c r="AJ390" s="3">
        <f t="shared" si="209"/>
        <v>52</v>
      </c>
      <c r="AK390" s="3">
        <f t="shared" si="210"/>
        <v>47</v>
      </c>
      <c r="AL390" s="3">
        <f t="shared" si="211"/>
        <v>42</v>
      </c>
      <c r="AM390" s="3">
        <f t="shared" si="212"/>
        <v>37</v>
      </c>
      <c r="AN390" s="3">
        <f t="shared" si="213"/>
        <v>31</v>
      </c>
      <c r="AO390" s="3">
        <f t="shared" si="214"/>
        <v>26</v>
      </c>
      <c r="AP390" s="3">
        <f t="shared" si="215"/>
        <v>21</v>
      </c>
      <c r="AQ390" s="3">
        <f t="shared" si="216"/>
        <v>0</v>
      </c>
      <c r="AR390" s="3">
        <f t="shared" si="217"/>
        <v>94</v>
      </c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M390" s="35" t="s">
        <v>12</v>
      </c>
      <c r="BO390" s="35"/>
      <c r="BR390" s="9">
        <f t="shared" si="227"/>
        <v>2</v>
      </c>
      <c r="BS390" s="37">
        <f t="shared" si="228"/>
        <v>45805</v>
      </c>
      <c r="BT390" s="38">
        <f t="shared" si="219"/>
        <v>45924</v>
      </c>
      <c r="BU390" s="36" t="str">
        <f t="shared" si="229"/>
        <v/>
      </c>
    </row>
    <row r="391" spans="2:73" ht="15">
      <c r="B391" s="16">
        <f t="shared" si="230"/>
        <v>45810</v>
      </c>
      <c r="C391" s="15" t="s">
        <v>1</v>
      </c>
      <c r="D391" s="17">
        <f t="shared" si="231"/>
        <v>45816</v>
      </c>
      <c r="E391" s="18">
        <f t="shared" si="232"/>
        <v>6</v>
      </c>
      <c r="F391" s="19">
        <f t="shared" si="233"/>
        <v>2025</v>
      </c>
      <c r="G391" s="9">
        <f t="shared" si="234"/>
        <v>17</v>
      </c>
      <c r="H391" s="8">
        <f t="shared" si="234"/>
        <v>95</v>
      </c>
      <c r="I391" s="9"/>
      <c r="J391" s="9"/>
      <c r="K391" s="9"/>
      <c r="L391" s="9"/>
      <c r="M391" s="9"/>
      <c r="N391" s="9"/>
      <c r="O391" s="12"/>
      <c r="P391" s="12"/>
      <c r="Q391" s="12"/>
      <c r="R391" s="12"/>
      <c r="S391" s="12"/>
      <c r="T391" s="12"/>
      <c r="V391" s="20">
        <f t="shared" si="221"/>
        <v>17</v>
      </c>
      <c r="W391" s="20">
        <f t="shared" si="222"/>
        <v>1</v>
      </c>
      <c r="X391" s="20">
        <f t="shared" si="223"/>
        <v>6</v>
      </c>
      <c r="Y391" s="20">
        <f t="shared" si="224"/>
        <v>11</v>
      </c>
      <c r="Z391" s="20">
        <f t="shared" si="225"/>
        <v>0</v>
      </c>
      <c r="AA391" s="20">
        <f t="shared" si="226"/>
        <v>0</v>
      </c>
      <c r="AC391" s="3">
        <f t="shared" si="202"/>
        <v>90</v>
      </c>
      <c r="AD391" s="3">
        <f t="shared" si="203"/>
        <v>85</v>
      </c>
      <c r="AE391" s="3">
        <f t="shared" si="204"/>
        <v>80</v>
      </c>
      <c r="AF391" s="3">
        <f t="shared" si="205"/>
        <v>74</v>
      </c>
      <c r="AG391" s="3">
        <f t="shared" si="206"/>
        <v>69</v>
      </c>
      <c r="AH391" s="3">
        <f t="shared" si="207"/>
        <v>64</v>
      </c>
      <c r="AI391" s="3">
        <f t="shared" si="208"/>
        <v>59</v>
      </c>
      <c r="AJ391" s="3">
        <f t="shared" si="209"/>
        <v>53</v>
      </c>
      <c r="AK391" s="3">
        <f t="shared" si="210"/>
        <v>48</v>
      </c>
      <c r="AL391" s="3">
        <f t="shared" si="211"/>
        <v>43</v>
      </c>
      <c r="AM391" s="3">
        <f t="shared" si="212"/>
        <v>38</v>
      </c>
      <c r="AN391" s="3">
        <f t="shared" si="213"/>
        <v>32</v>
      </c>
      <c r="AO391" s="3">
        <f t="shared" si="214"/>
        <v>27</v>
      </c>
      <c r="AP391" s="3">
        <f t="shared" si="215"/>
        <v>22</v>
      </c>
      <c r="AQ391" s="3">
        <f t="shared" si="216"/>
        <v>17</v>
      </c>
      <c r="AR391" s="3">
        <f t="shared" si="217"/>
        <v>95</v>
      </c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>
        <v>1</v>
      </c>
      <c r="BH391" s="8"/>
      <c r="BM391" s="35" t="s">
        <v>12</v>
      </c>
      <c r="BO391" s="35"/>
      <c r="BR391" s="9" t="str">
        <f t="shared" si="227"/>
        <v/>
      </c>
      <c r="BS391" s="37" t="str">
        <f t="shared" si="228"/>
        <v/>
      </c>
      <c r="BT391" s="38" t="str">
        <f t="shared" si="219"/>
        <v/>
      </c>
      <c r="BU391" s="36" t="str">
        <f t="shared" si="229"/>
        <v/>
      </c>
    </row>
    <row r="392" spans="2:73" ht="15">
      <c r="B392" s="16">
        <f t="shared" si="230"/>
        <v>45817</v>
      </c>
      <c r="C392" s="15" t="s">
        <v>1</v>
      </c>
      <c r="D392" s="17">
        <f t="shared" si="231"/>
        <v>45823</v>
      </c>
      <c r="E392" s="18">
        <f t="shared" si="232"/>
        <v>6</v>
      </c>
      <c r="F392" s="19">
        <f t="shared" si="233"/>
        <v>2025</v>
      </c>
      <c r="G392" s="9">
        <f t="shared" si="234"/>
        <v>17</v>
      </c>
      <c r="H392" s="8">
        <f t="shared" si="234"/>
        <v>95</v>
      </c>
      <c r="I392" s="9"/>
      <c r="J392" s="9"/>
      <c r="K392" s="9"/>
      <c r="L392" s="9"/>
      <c r="M392" s="9"/>
      <c r="N392" s="9"/>
      <c r="O392" s="12"/>
      <c r="P392" s="12"/>
      <c r="Q392" s="12"/>
      <c r="R392" s="12"/>
      <c r="S392" s="12"/>
      <c r="T392" s="12"/>
      <c r="V392" s="20">
        <f t="shared" si="221"/>
        <v>0</v>
      </c>
      <c r="W392" s="20">
        <f t="shared" si="222"/>
        <v>2</v>
      </c>
      <c r="X392" s="20">
        <f t="shared" si="223"/>
        <v>7</v>
      </c>
      <c r="Y392" s="20">
        <f t="shared" si="224"/>
        <v>12</v>
      </c>
      <c r="Z392" s="20">
        <f t="shared" si="225"/>
        <v>0</v>
      </c>
      <c r="AA392" s="20">
        <f t="shared" si="226"/>
        <v>0</v>
      </c>
      <c r="AC392" s="3">
        <f t="shared" si="202"/>
        <v>91</v>
      </c>
      <c r="AD392" s="3">
        <f t="shared" si="203"/>
        <v>86</v>
      </c>
      <c r="AE392" s="3">
        <f t="shared" si="204"/>
        <v>81</v>
      </c>
      <c r="AF392" s="3">
        <f t="shared" si="205"/>
        <v>75</v>
      </c>
      <c r="AG392" s="3">
        <f t="shared" si="206"/>
        <v>70</v>
      </c>
      <c r="AH392" s="3">
        <f t="shared" si="207"/>
        <v>65</v>
      </c>
      <c r="AI392" s="3">
        <f t="shared" si="208"/>
        <v>60</v>
      </c>
      <c r="AJ392" s="3">
        <f t="shared" si="209"/>
        <v>54</v>
      </c>
      <c r="AK392" s="3">
        <f t="shared" si="210"/>
        <v>49</v>
      </c>
      <c r="AL392" s="3">
        <f t="shared" si="211"/>
        <v>44</v>
      </c>
      <c r="AM392" s="3">
        <f t="shared" si="212"/>
        <v>39</v>
      </c>
      <c r="AN392" s="3">
        <f t="shared" si="213"/>
        <v>33</v>
      </c>
      <c r="AO392" s="3">
        <f t="shared" si="214"/>
        <v>28</v>
      </c>
      <c r="AP392" s="3">
        <f t="shared" si="215"/>
        <v>23</v>
      </c>
      <c r="AQ392" s="3">
        <f t="shared" si="216"/>
        <v>18</v>
      </c>
      <c r="AR392" s="3">
        <f t="shared" si="217"/>
        <v>0</v>
      </c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M392" s="35" t="s">
        <v>12</v>
      </c>
      <c r="BO392" s="35"/>
      <c r="BR392" s="9" t="str">
        <f t="shared" si="227"/>
        <v/>
      </c>
      <c r="BS392" s="37" t="str">
        <f t="shared" si="228"/>
        <v/>
      </c>
      <c r="BT392" s="38" t="str">
        <f t="shared" si="219"/>
        <v/>
      </c>
      <c r="BU392" s="36" t="str">
        <f t="shared" si="229"/>
        <v/>
      </c>
    </row>
    <row r="393" spans="2:73" ht="15">
      <c r="B393" s="16">
        <f t="shared" si="230"/>
        <v>45824</v>
      </c>
      <c r="C393" s="15" t="s">
        <v>1</v>
      </c>
      <c r="D393" s="17">
        <f t="shared" si="231"/>
        <v>45830</v>
      </c>
      <c r="E393" s="18">
        <f t="shared" si="232"/>
        <v>6</v>
      </c>
      <c r="F393" s="19">
        <f t="shared" si="233"/>
        <v>2025</v>
      </c>
      <c r="G393" s="9">
        <f t="shared" si="234"/>
        <v>17</v>
      </c>
      <c r="H393" s="8">
        <f t="shared" si="234"/>
        <v>95</v>
      </c>
      <c r="I393" s="9"/>
      <c r="J393" s="9"/>
      <c r="K393" s="9"/>
      <c r="L393" s="9"/>
      <c r="M393" s="9"/>
      <c r="N393" s="9"/>
      <c r="O393" s="12"/>
      <c r="P393" s="12"/>
      <c r="Q393" s="12"/>
      <c r="R393" s="12"/>
      <c r="S393" s="12"/>
      <c r="T393" s="12"/>
      <c r="V393" s="20">
        <f t="shared" si="221"/>
        <v>0</v>
      </c>
      <c r="W393" s="20">
        <f t="shared" si="222"/>
        <v>3</v>
      </c>
      <c r="X393" s="20">
        <f t="shared" si="223"/>
        <v>8</v>
      </c>
      <c r="Y393" s="20">
        <f t="shared" si="224"/>
        <v>13</v>
      </c>
      <c r="Z393" s="20">
        <f t="shared" si="225"/>
        <v>0</v>
      </c>
      <c r="AA393" s="20">
        <f t="shared" si="226"/>
        <v>0</v>
      </c>
      <c r="AC393" s="3">
        <f t="shared" si="202"/>
        <v>92</v>
      </c>
      <c r="AD393" s="3">
        <f t="shared" si="203"/>
        <v>87</v>
      </c>
      <c r="AE393" s="3">
        <f t="shared" si="204"/>
        <v>82</v>
      </c>
      <c r="AF393" s="3">
        <f t="shared" si="205"/>
        <v>76</v>
      </c>
      <c r="AG393" s="3">
        <f t="shared" si="206"/>
        <v>71</v>
      </c>
      <c r="AH393" s="3">
        <f t="shared" si="207"/>
        <v>66</v>
      </c>
      <c r="AI393" s="3">
        <f t="shared" si="208"/>
        <v>61</v>
      </c>
      <c r="AJ393" s="3">
        <f t="shared" si="209"/>
        <v>55</v>
      </c>
      <c r="AK393" s="3">
        <f t="shared" si="210"/>
        <v>50</v>
      </c>
      <c r="AL393" s="3">
        <f t="shared" si="211"/>
        <v>45</v>
      </c>
      <c r="AM393" s="3">
        <f t="shared" si="212"/>
        <v>40</v>
      </c>
      <c r="AN393" s="3">
        <f t="shared" si="213"/>
        <v>34</v>
      </c>
      <c r="AO393" s="3">
        <f t="shared" si="214"/>
        <v>29</v>
      </c>
      <c r="AP393" s="3">
        <f t="shared" si="215"/>
        <v>24</v>
      </c>
      <c r="AQ393" s="3">
        <f t="shared" si="216"/>
        <v>19</v>
      </c>
      <c r="AR393" s="3">
        <f t="shared" si="217"/>
        <v>0</v>
      </c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M393" s="35" t="s">
        <v>12</v>
      </c>
      <c r="BO393" s="35"/>
      <c r="BR393" s="9" t="str">
        <f t="shared" si="227"/>
        <v/>
      </c>
      <c r="BS393" s="37" t="str">
        <f t="shared" si="228"/>
        <v/>
      </c>
      <c r="BT393" s="38" t="str">
        <f t="shared" si="219"/>
        <v/>
      </c>
      <c r="BU393" s="36" t="str">
        <f t="shared" si="229"/>
        <v/>
      </c>
    </row>
    <row r="394" spans="2:73" ht="15">
      <c r="B394" s="16">
        <f t="shared" si="230"/>
        <v>45831</v>
      </c>
      <c r="C394" s="15" t="s">
        <v>1</v>
      </c>
      <c r="D394" s="17">
        <f t="shared" si="231"/>
        <v>45837</v>
      </c>
      <c r="E394" s="18">
        <f t="shared" si="232"/>
        <v>6</v>
      </c>
      <c r="F394" s="19">
        <f t="shared" si="233"/>
        <v>2025</v>
      </c>
      <c r="G394" s="9">
        <f t="shared" si="234"/>
        <v>17</v>
      </c>
      <c r="H394" s="8">
        <f t="shared" si="234"/>
        <v>95</v>
      </c>
      <c r="I394" s="9"/>
      <c r="J394" s="9"/>
      <c r="K394" s="9"/>
      <c r="L394" s="9"/>
      <c r="M394" s="9"/>
      <c r="N394" s="9"/>
      <c r="O394" s="12"/>
      <c r="P394" s="12"/>
      <c r="Q394" s="12"/>
      <c r="R394" s="12"/>
      <c r="S394" s="12"/>
      <c r="T394" s="12"/>
      <c r="V394" s="20">
        <f t="shared" si="221"/>
        <v>0</v>
      </c>
      <c r="W394" s="20">
        <f t="shared" si="222"/>
        <v>4</v>
      </c>
      <c r="X394" s="20">
        <f t="shared" si="223"/>
        <v>9</v>
      </c>
      <c r="Y394" s="20">
        <f t="shared" si="224"/>
        <v>14</v>
      </c>
      <c r="Z394" s="20">
        <f t="shared" si="225"/>
        <v>0</v>
      </c>
      <c r="AA394" s="20">
        <f t="shared" si="226"/>
        <v>0</v>
      </c>
      <c r="AC394" s="3">
        <f t="shared" si="202"/>
        <v>93</v>
      </c>
      <c r="AD394" s="3">
        <f t="shared" si="203"/>
        <v>88</v>
      </c>
      <c r="AE394" s="3">
        <f t="shared" si="204"/>
        <v>83</v>
      </c>
      <c r="AF394" s="3">
        <f t="shared" si="205"/>
        <v>77</v>
      </c>
      <c r="AG394" s="3">
        <f t="shared" si="206"/>
        <v>72</v>
      </c>
      <c r="AH394" s="3">
        <f t="shared" si="207"/>
        <v>67</v>
      </c>
      <c r="AI394" s="3">
        <f t="shared" si="208"/>
        <v>62</v>
      </c>
      <c r="AJ394" s="3">
        <f t="shared" si="209"/>
        <v>56</v>
      </c>
      <c r="AK394" s="3">
        <f t="shared" si="210"/>
        <v>51</v>
      </c>
      <c r="AL394" s="3">
        <f t="shared" si="211"/>
        <v>46</v>
      </c>
      <c r="AM394" s="3">
        <f t="shared" si="212"/>
        <v>41</v>
      </c>
      <c r="AN394" s="3">
        <f t="shared" si="213"/>
        <v>35</v>
      </c>
      <c r="AO394" s="3">
        <f t="shared" si="214"/>
        <v>30</v>
      </c>
      <c r="AP394" s="3">
        <f t="shared" si="215"/>
        <v>25</v>
      </c>
      <c r="AQ394" s="3">
        <f t="shared" si="216"/>
        <v>20</v>
      </c>
      <c r="AR394" s="3">
        <f t="shared" si="217"/>
        <v>0</v>
      </c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M394" s="35" t="s">
        <v>12</v>
      </c>
      <c r="BO394" s="35"/>
      <c r="BR394" s="9" t="str">
        <f t="shared" si="227"/>
        <v/>
      </c>
      <c r="BS394" s="37" t="str">
        <f t="shared" si="228"/>
        <v/>
      </c>
      <c r="BT394" s="38" t="str">
        <f t="shared" si="219"/>
        <v/>
      </c>
      <c r="BU394" s="36" t="str">
        <f t="shared" si="229"/>
        <v/>
      </c>
    </row>
    <row r="395" spans="2:73" ht="15">
      <c r="B395" s="16">
        <f t="shared" si="230"/>
        <v>45838</v>
      </c>
      <c r="C395" s="15" t="s">
        <v>1</v>
      </c>
      <c r="D395" s="17">
        <f t="shared" si="231"/>
        <v>45844</v>
      </c>
      <c r="E395" s="18">
        <f t="shared" si="232"/>
        <v>6</v>
      </c>
      <c r="F395" s="19">
        <f t="shared" si="233"/>
        <v>2025</v>
      </c>
      <c r="G395" s="9">
        <f t="shared" si="234"/>
        <v>17</v>
      </c>
      <c r="H395" s="8">
        <f t="shared" si="234"/>
        <v>95</v>
      </c>
      <c r="I395" s="9"/>
      <c r="J395" s="9"/>
      <c r="K395" s="9"/>
      <c r="L395" s="9"/>
      <c r="M395" s="9"/>
      <c r="N395" s="9"/>
      <c r="O395" s="12">
        <v>1</v>
      </c>
      <c r="P395" s="12"/>
      <c r="Q395" s="12"/>
      <c r="R395" s="12"/>
      <c r="S395" s="12"/>
      <c r="T395" s="12"/>
      <c r="V395" s="20">
        <f t="shared" si="221"/>
        <v>45840</v>
      </c>
      <c r="W395" s="20">
        <f t="shared" si="222"/>
        <v>5</v>
      </c>
      <c r="X395" s="20">
        <f t="shared" si="223"/>
        <v>10</v>
      </c>
      <c r="Y395" s="20">
        <f t="shared" si="224"/>
        <v>15</v>
      </c>
      <c r="Z395" s="20">
        <f t="shared" si="225"/>
        <v>0</v>
      </c>
      <c r="AA395" s="20">
        <f t="shared" si="226"/>
        <v>0</v>
      </c>
      <c r="AC395" s="3">
        <f t="shared" si="202"/>
        <v>94</v>
      </c>
      <c r="AD395" s="3">
        <f t="shared" si="203"/>
        <v>89</v>
      </c>
      <c r="AE395" s="3">
        <f t="shared" si="204"/>
        <v>84</v>
      </c>
      <c r="AF395" s="3">
        <f t="shared" si="205"/>
        <v>78</v>
      </c>
      <c r="AG395" s="3">
        <f t="shared" si="206"/>
        <v>73</v>
      </c>
      <c r="AH395" s="3">
        <f t="shared" si="207"/>
        <v>68</v>
      </c>
      <c r="AI395" s="3">
        <f t="shared" si="208"/>
        <v>63</v>
      </c>
      <c r="AJ395" s="3">
        <f t="shared" si="209"/>
        <v>57</v>
      </c>
      <c r="AK395" s="3">
        <f t="shared" si="210"/>
        <v>52</v>
      </c>
      <c r="AL395" s="3">
        <f t="shared" si="211"/>
        <v>47</v>
      </c>
      <c r="AM395" s="3">
        <f t="shared" si="212"/>
        <v>42</v>
      </c>
      <c r="AN395" s="3">
        <f t="shared" si="213"/>
        <v>36</v>
      </c>
      <c r="AO395" s="3">
        <f t="shared" si="214"/>
        <v>31</v>
      </c>
      <c r="AP395" s="3">
        <f t="shared" si="215"/>
        <v>26</v>
      </c>
      <c r="AQ395" s="3">
        <f t="shared" si="216"/>
        <v>21</v>
      </c>
      <c r="AR395" s="3">
        <f t="shared" si="217"/>
        <v>0</v>
      </c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M395" s="35" t="s">
        <v>12</v>
      </c>
      <c r="BO395" s="35"/>
      <c r="BR395" s="9">
        <f t="shared" si="227"/>
        <v>1</v>
      </c>
      <c r="BS395" s="37">
        <f t="shared" si="228"/>
        <v>45840</v>
      </c>
      <c r="BT395" s="38">
        <f t="shared" si="219"/>
        <v>45959</v>
      </c>
      <c r="BU395" s="36" t="str">
        <f t="shared" si="229"/>
        <v/>
      </c>
    </row>
    <row r="396" spans="2:73" ht="15">
      <c r="B396" s="16">
        <f t="shared" si="230"/>
        <v>45845</v>
      </c>
      <c r="C396" s="15" t="s">
        <v>1</v>
      </c>
      <c r="D396" s="17">
        <f t="shared" si="231"/>
        <v>45851</v>
      </c>
      <c r="E396" s="18">
        <f t="shared" si="232"/>
        <v>7</v>
      </c>
      <c r="F396" s="19">
        <f t="shared" si="233"/>
        <v>2025</v>
      </c>
      <c r="G396" s="9">
        <f t="shared" si="234"/>
        <v>17</v>
      </c>
      <c r="H396" s="8">
        <f t="shared" si="234"/>
        <v>95</v>
      </c>
      <c r="I396" s="9"/>
      <c r="J396" s="9"/>
      <c r="K396" s="9"/>
      <c r="L396" s="9"/>
      <c r="M396" s="9"/>
      <c r="N396" s="9"/>
      <c r="O396" s="12"/>
      <c r="P396" s="12"/>
      <c r="Q396" s="12"/>
      <c r="R396" s="12"/>
      <c r="S396" s="12"/>
      <c r="T396" s="12"/>
      <c r="V396" s="20">
        <f t="shared" si="221"/>
        <v>1</v>
      </c>
      <c r="W396" s="20">
        <f t="shared" si="222"/>
        <v>6</v>
      </c>
      <c r="X396" s="20">
        <f t="shared" si="223"/>
        <v>11</v>
      </c>
      <c r="Y396" s="20">
        <f t="shared" si="224"/>
        <v>16</v>
      </c>
      <c r="Z396" s="20">
        <f t="shared" si="225"/>
        <v>0</v>
      </c>
      <c r="AA396" s="20">
        <f t="shared" si="226"/>
        <v>0</v>
      </c>
      <c r="AC396" s="3">
        <f t="shared" si="202"/>
        <v>95</v>
      </c>
      <c r="AD396" s="3">
        <f t="shared" si="203"/>
        <v>90</v>
      </c>
      <c r="AE396" s="3">
        <f t="shared" si="204"/>
        <v>85</v>
      </c>
      <c r="AF396" s="3">
        <f t="shared" si="205"/>
        <v>79</v>
      </c>
      <c r="AG396" s="3">
        <f t="shared" si="206"/>
        <v>74</v>
      </c>
      <c r="AH396" s="3">
        <f t="shared" si="207"/>
        <v>69</v>
      </c>
      <c r="AI396" s="3">
        <f t="shared" si="208"/>
        <v>64</v>
      </c>
      <c r="AJ396" s="3">
        <f t="shared" si="209"/>
        <v>58</v>
      </c>
      <c r="AK396" s="3">
        <f t="shared" si="210"/>
        <v>53</v>
      </c>
      <c r="AL396" s="3">
        <f t="shared" si="211"/>
        <v>48</v>
      </c>
      <c r="AM396" s="3">
        <f t="shared" si="212"/>
        <v>43</v>
      </c>
      <c r="AN396" s="3">
        <f t="shared" si="213"/>
        <v>37</v>
      </c>
      <c r="AO396" s="3">
        <f t="shared" si="214"/>
        <v>32</v>
      </c>
      <c r="AP396" s="3">
        <f t="shared" si="215"/>
        <v>27</v>
      </c>
      <c r="AQ396" s="3">
        <f t="shared" si="216"/>
        <v>22</v>
      </c>
      <c r="AR396" s="3">
        <f t="shared" si="217"/>
        <v>0</v>
      </c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M396" s="35" t="s">
        <v>12</v>
      </c>
      <c r="BO396" s="35"/>
      <c r="BR396" s="9" t="str">
        <f t="shared" si="227"/>
        <v/>
      </c>
      <c r="BS396" s="37" t="str">
        <f t="shared" si="228"/>
        <v/>
      </c>
      <c r="BT396" s="38" t="str">
        <f t="shared" si="219"/>
        <v/>
      </c>
      <c r="BU396" s="36" t="str">
        <f t="shared" si="229"/>
        <v/>
      </c>
    </row>
    <row r="397" spans="2:73" ht="15">
      <c r="B397" s="16">
        <f t="shared" si="230"/>
        <v>45852</v>
      </c>
      <c r="C397" s="15" t="s">
        <v>1</v>
      </c>
      <c r="D397" s="17">
        <f t="shared" si="231"/>
        <v>45858</v>
      </c>
      <c r="E397" s="18">
        <f t="shared" si="232"/>
        <v>7</v>
      </c>
      <c r="F397" s="19">
        <f t="shared" si="233"/>
        <v>2025</v>
      </c>
      <c r="G397" s="9">
        <f t="shared" si="234"/>
        <v>17</v>
      </c>
      <c r="H397" s="8">
        <f t="shared" si="234"/>
        <v>95</v>
      </c>
      <c r="I397" s="9"/>
      <c r="J397" s="9"/>
      <c r="K397" s="9"/>
      <c r="L397" s="9"/>
      <c r="M397" s="9"/>
      <c r="N397" s="9"/>
      <c r="O397" s="12"/>
      <c r="P397" s="12"/>
      <c r="Q397" s="12"/>
      <c r="R397" s="12"/>
      <c r="S397" s="12"/>
      <c r="T397" s="12"/>
      <c r="V397" s="20">
        <f t="shared" si="221"/>
        <v>2</v>
      </c>
      <c r="W397" s="20">
        <f t="shared" si="222"/>
        <v>7</v>
      </c>
      <c r="X397" s="20">
        <f t="shared" si="223"/>
        <v>12</v>
      </c>
      <c r="Y397" s="20">
        <f t="shared" si="224"/>
        <v>17</v>
      </c>
      <c r="Z397" s="20">
        <f t="shared" si="225"/>
        <v>0</v>
      </c>
      <c r="AA397" s="20">
        <f t="shared" si="226"/>
        <v>0</v>
      </c>
      <c r="AC397" s="3">
        <f t="shared" si="202"/>
        <v>0</v>
      </c>
      <c r="AD397" s="3">
        <f t="shared" si="203"/>
        <v>91</v>
      </c>
      <c r="AE397" s="3">
        <f t="shared" si="204"/>
        <v>86</v>
      </c>
      <c r="AF397" s="3">
        <f t="shared" si="205"/>
        <v>80</v>
      </c>
      <c r="AG397" s="3">
        <f t="shared" si="206"/>
        <v>75</v>
      </c>
      <c r="AH397" s="3">
        <f t="shared" si="207"/>
        <v>70</v>
      </c>
      <c r="AI397" s="3">
        <f t="shared" si="208"/>
        <v>65</v>
      </c>
      <c r="AJ397" s="3">
        <f t="shared" si="209"/>
        <v>59</v>
      </c>
      <c r="AK397" s="3">
        <f t="shared" si="210"/>
        <v>54</v>
      </c>
      <c r="AL397" s="3">
        <f t="shared" si="211"/>
        <v>49</v>
      </c>
      <c r="AM397" s="3">
        <f t="shared" si="212"/>
        <v>44</v>
      </c>
      <c r="AN397" s="3">
        <f t="shared" si="213"/>
        <v>38</v>
      </c>
      <c r="AO397" s="3">
        <f t="shared" si="214"/>
        <v>33</v>
      </c>
      <c r="AP397" s="3">
        <f t="shared" si="215"/>
        <v>28</v>
      </c>
      <c r="AQ397" s="3">
        <f t="shared" si="216"/>
        <v>23</v>
      </c>
      <c r="AR397" s="3">
        <f t="shared" si="217"/>
        <v>17</v>
      </c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>
        <v>4</v>
      </c>
      <c r="BM397" s="35" t="s">
        <v>12</v>
      </c>
      <c r="BO397" s="35"/>
      <c r="BR397" s="9" t="str">
        <f t="shared" si="227"/>
        <v/>
      </c>
      <c r="BS397" s="37" t="str">
        <f t="shared" si="228"/>
        <v/>
      </c>
      <c r="BT397" s="38" t="str">
        <f t="shared" si="219"/>
        <v/>
      </c>
      <c r="BU397" s="36" t="str">
        <f t="shared" si="229"/>
        <v/>
      </c>
    </row>
    <row r="398" spans="2:73" ht="15">
      <c r="B398" s="16">
        <f t="shared" si="230"/>
        <v>45859</v>
      </c>
      <c r="C398" s="15" t="s">
        <v>1</v>
      </c>
      <c r="D398" s="17">
        <f t="shared" si="231"/>
        <v>45865</v>
      </c>
      <c r="E398" s="18">
        <f t="shared" si="232"/>
        <v>7</v>
      </c>
      <c r="F398" s="19">
        <f t="shared" si="233"/>
        <v>2025</v>
      </c>
      <c r="G398" s="9">
        <f t="shared" si="234"/>
        <v>17</v>
      </c>
      <c r="H398" s="8">
        <f t="shared" si="234"/>
        <v>95</v>
      </c>
      <c r="I398" s="9"/>
      <c r="J398" s="9"/>
      <c r="K398" s="9"/>
      <c r="L398" s="9"/>
      <c r="M398" s="9"/>
      <c r="N398" s="9"/>
      <c r="O398" s="12"/>
      <c r="P398" s="12"/>
      <c r="Q398" s="12"/>
      <c r="R398" s="12"/>
      <c r="S398" s="12"/>
      <c r="T398" s="12"/>
      <c r="V398" s="20">
        <f t="shared" si="221"/>
        <v>3</v>
      </c>
      <c r="W398" s="20">
        <f t="shared" si="222"/>
        <v>8</v>
      </c>
      <c r="X398" s="20">
        <f t="shared" si="223"/>
        <v>13</v>
      </c>
      <c r="Y398" s="20">
        <f t="shared" si="224"/>
        <v>0</v>
      </c>
      <c r="Z398" s="20">
        <f t="shared" si="225"/>
        <v>0</v>
      </c>
      <c r="AA398" s="20">
        <f t="shared" si="226"/>
        <v>0</v>
      </c>
      <c r="AC398" s="3">
        <f t="shared" si="202"/>
        <v>0</v>
      </c>
      <c r="AD398" s="3">
        <f t="shared" si="203"/>
        <v>92</v>
      </c>
      <c r="AE398" s="3">
        <f t="shared" si="204"/>
        <v>87</v>
      </c>
      <c r="AF398" s="3">
        <f t="shared" si="205"/>
        <v>81</v>
      </c>
      <c r="AG398" s="3">
        <f t="shared" si="206"/>
        <v>76</v>
      </c>
      <c r="AH398" s="3">
        <f t="shared" si="207"/>
        <v>71</v>
      </c>
      <c r="AI398" s="3">
        <f t="shared" si="208"/>
        <v>66</v>
      </c>
      <c r="AJ398" s="3">
        <f t="shared" si="209"/>
        <v>60</v>
      </c>
      <c r="AK398" s="3">
        <f t="shared" si="210"/>
        <v>55</v>
      </c>
      <c r="AL398" s="3">
        <f t="shared" si="211"/>
        <v>50</v>
      </c>
      <c r="AM398" s="3">
        <f t="shared" si="212"/>
        <v>45</v>
      </c>
      <c r="AN398" s="3">
        <f t="shared" si="213"/>
        <v>39</v>
      </c>
      <c r="AO398" s="3">
        <f t="shared" si="214"/>
        <v>34</v>
      </c>
      <c r="AP398" s="3">
        <f t="shared" si="215"/>
        <v>29</v>
      </c>
      <c r="AQ398" s="3">
        <f t="shared" si="216"/>
        <v>24</v>
      </c>
      <c r="AR398" s="3">
        <f t="shared" si="217"/>
        <v>18</v>
      </c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M398" s="35" t="s">
        <v>12</v>
      </c>
      <c r="BO398" s="35"/>
      <c r="BR398" s="9" t="str">
        <f t="shared" si="227"/>
        <v/>
      </c>
      <c r="BS398" s="37" t="str">
        <f t="shared" si="228"/>
        <v/>
      </c>
      <c r="BT398" s="38" t="str">
        <f t="shared" si="219"/>
        <v/>
      </c>
      <c r="BU398" s="36" t="str">
        <f t="shared" si="229"/>
        <v/>
      </c>
    </row>
    <row r="399" spans="2:73" ht="15">
      <c r="B399" s="16">
        <f t="shared" si="230"/>
        <v>45866</v>
      </c>
      <c r="C399" s="15" t="s">
        <v>1</v>
      </c>
      <c r="D399" s="17">
        <f t="shared" si="231"/>
        <v>45872</v>
      </c>
      <c r="E399" s="18">
        <f t="shared" si="232"/>
        <v>7</v>
      </c>
      <c r="F399" s="19">
        <f t="shared" si="233"/>
        <v>2025</v>
      </c>
      <c r="G399" s="9">
        <f t="shared" si="234"/>
        <v>17</v>
      </c>
      <c r="H399" s="8">
        <f t="shared" si="234"/>
        <v>95</v>
      </c>
      <c r="I399" s="9"/>
      <c r="J399" s="9"/>
      <c r="K399" s="9"/>
      <c r="L399" s="9"/>
      <c r="M399" s="9"/>
      <c r="N399" s="9"/>
      <c r="O399" s="12"/>
      <c r="P399" s="12"/>
      <c r="Q399" s="12"/>
      <c r="R399" s="12"/>
      <c r="S399" s="12"/>
      <c r="T399" s="12"/>
      <c r="V399" s="20">
        <f t="shared" si="221"/>
        <v>4</v>
      </c>
      <c r="W399" s="20">
        <f t="shared" si="222"/>
        <v>9</v>
      </c>
      <c r="X399" s="20">
        <f t="shared" si="223"/>
        <v>14</v>
      </c>
      <c r="Y399" s="20">
        <f t="shared" si="224"/>
        <v>0</v>
      </c>
      <c r="Z399" s="20">
        <f t="shared" si="225"/>
        <v>0</v>
      </c>
      <c r="AA399" s="20">
        <f t="shared" si="226"/>
        <v>0</v>
      </c>
      <c r="AC399" s="3">
        <f t="shared" si="202"/>
        <v>0</v>
      </c>
      <c r="AD399" s="3">
        <f t="shared" si="203"/>
        <v>93</v>
      </c>
      <c r="AE399" s="3">
        <f t="shared" si="204"/>
        <v>88</v>
      </c>
      <c r="AF399" s="3">
        <f t="shared" si="205"/>
        <v>82</v>
      </c>
      <c r="AG399" s="3">
        <f t="shared" si="206"/>
        <v>77</v>
      </c>
      <c r="AH399" s="3">
        <f t="shared" si="207"/>
        <v>72</v>
      </c>
      <c r="AI399" s="3">
        <f t="shared" si="208"/>
        <v>67</v>
      </c>
      <c r="AJ399" s="3">
        <f t="shared" si="209"/>
        <v>61</v>
      </c>
      <c r="AK399" s="3">
        <f t="shared" si="210"/>
        <v>56</v>
      </c>
      <c r="AL399" s="3">
        <f t="shared" si="211"/>
        <v>51</v>
      </c>
      <c r="AM399" s="3">
        <f t="shared" si="212"/>
        <v>46</v>
      </c>
      <c r="AN399" s="3">
        <f t="shared" si="213"/>
        <v>40</v>
      </c>
      <c r="AO399" s="3">
        <f t="shared" si="214"/>
        <v>35</v>
      </c>
      <c r="AP399" s="3">
        <f t="shared" si="215"/>
        <v>30</v>
      </c>
      <c r="AQ399" s="3">
        <f t="shared" si="216"/>
        <v>25</v>
      </c>
      <c r="AR399" s="3">
        <f t="shared" si="217"/>
        <v>19</v>
      </c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M399" s="35" t="s">
        <v>12</v>
      </c>
      <c r="BO399" s="35"/>
      <c r="BR399" s="9" t="str">
        <f t="shared" si="227"/>
        <v/>
      </c>
      <c r="BS399" s="37" t="str">
        <f t="shared" si="228"/>
        <v/>
      </c>
      <c r="BT399" s="38" t="str">
        <f t="shared" si="219"/>
        <v/>
      </c>
      <c r="BU399" s="36" t="str">
        <f t="shared" si="229"/>
        <v/>
      </c>
    </row>
    <row r="400" spans="2:73" ht="15">
      <c r="B400" s="16">
        <f t="shared" si="230"/>
        <v>45873</v>
      </c>
      <c r="C400" s="15" t="s">
        <v>1</v>
      </c>
      <c r="D400" s="17">
        <f t="shared" si="231"/>
        <v>45879</v>
      </c>
      <c r="E400" s="18">
        <f t="shared" si="232"/>
        <v>8</v>
      </c>
      <c r="F400" s="19">
        <f t="shared" si="233"/>
        <v>2025</v>
      </c>
      <c r="G400" s="9">
        <f t="shared" si="234"/>
        <v>17</v>
      </c>
      <c r="H400" s="8">
        <f t="shared" si="234"/>
        <v>95</v>
      </c>
      <c r="I400" s="9"/>
      <c r="J400" s="9"/>
      <c r="K400" s="9"/>
      <c r="L400" s="9"/>
      <c r="M400" s="9"/>
      <c r="N400" s="9"/>
      <c r="O400" s="12"/>
      <c r="P400" s="12"/>
      <c r="Q400" s="12"/>
      <c r="R400" s="12"/>
      <c r="S400" s="12"/>
      <c r="T400" s="12"/>
      <c r="V400" s="20">
        <f t="shared" si="221"/>
        <v>5</v>
      </c>
      <c r="W400" s="20">
        <f t="shared" si="222"/>
        <v>10</v>
      </c>
      <c r="X400" s="20">
        <f t="shared" si="223"/>
        <v>15</v>
      </c>
      <c r="Y400" s="20">
        <f t="shared" si="224"/>
        <v>0</v>
      </c>
      <c r="Z400" s="20">
        <f t="shared" si="225"/>
        <v>0</v>
      </c>
      <c r="AA400" s="20">
        <f t="shared" si="226"/>
        <v>0</v>
      </c>
      <c r="AC400" s="3">
        <f t="shared" si="202"/>
        <v>0</v>
      </c>
      <c r="AD400" s="3">
        <f t="shared" si="203"/>
        <v>94</v>
      </c>
      <c r="AE400" s="3">
        <f t="shared" si="204"/>
        <v>89</v>
      </c>
      <c r="AF400" s="3">
        <f t="shared" si="205"/>
        <v>83</v>
      </c>
      <c r="AG400" s="3">
        <f t="shared" si="206"/>
        <v>78</v>
      </c>
      <c r="AH400" s="3">
        <f t="shared" si="207"/>
        <v>73</v>
      </c>
      <c r="AI400" s="3">
        <f t="shared" si="208"/>
        <v>68</v>
      </c>
      <c r="AJ400" s="3">
        <f t="shared" si="209"/>
        <v>62</v>
      </c>
      <c r="AK400" s="3">
        <f t="shared" si="210"/>
        <v>57</v>
      </c>
      <c r="AL400" s="3">
        <f t="shared" si="211"/>
        <v>52</v>
      </c>
      <c r="AM400" s="3">
        <f t="shared" si="212"/>
        <v>47</v>
      </c>
      <c r="AN400" s="3">
        <f t="shared" si="213"/>
        <v>41</v>
      </c>
      <c r="AO400" s="3">
        <f t="shared" si="214"/>
        <v>36</v>
      </c>
      <c r="AP400" s="3">
        <f t="shared" si="215"/>
        <v>31</v>
      </c>
      <c r="AQ400" s="3">
        <f t="shared" si="216"/>
        <v>26</v>
      </c>
      <c r="AR400" s="3">
        <f t="shared" si="217"/>
        <v>20</v>
      </c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M400" s="35" t="s">
        <v>12</v>
      </c>
      <c r="BO400" s="35"/>
      <c r="BR400" s="9" t="str">
        <f t="shared" si="227"/>
        <v/>
      </c>
      <c r="BS400" s="37" t="str">
        <f t="shared" si="228"/>
        <v/>
      </c>
      <c r="BT400" s="38" t="str">
        <f t="shared" si="219"/>
        <v/>
      </c>
      <c r="BU400" s="36" t="str">
        <f t="shared" si="229"/>
        <v/>
      </c>
    </row>
    <row r="401" spans="2:73" ht="15">
      <c r="B401" s="16">
        <f t="shared" si="230"/>
        <v>45880</v>
      </c>
      <c r="C401" s="15" t="s">
        <v>1</v>
      </c>
      <c r="D401" s="17">
        <f t="shared" si="231"/>
        <v>45886</v>
      </c>
      <c r="E401" s="18">
        <f t="shared" si="232"/>
        <v>8</v>
      </c>
      <c r="F401" s="19">
        <f t="shared" si="233"/>
        <v>2025</v>
      </c>
      <c r="G401" s="9">
        <f t="shared" si="234"/>
        <v>17</v>
      </c>
      <c r="H401" s="8">
        <f t="shared" si="234"/>
        <v>95</v>
      </c>
      <c r="I401" s="9"/>
      <c r="J401" s="9"/>
      <c r="K401" s="9"/>
      <c r="L401" s="9"/>
      <c r="M401" s="9"/>
      <c r="N401" s="9"/>
      <c r="O401" s="12"/>
      <c r="P401" s="12"/>
      <c r="Q401" s="12"/>
      <c r="R401" s="12"/>
      <c r="S401" s="12"/>
      <c r="T401" s="12"/>
      <c r="V401" s="20">
        <f t="shared" si="221"/>
        <v>6</v>
      </c>
      <c r="W401" s="20">
        <f t="shared" si="222"/>
        <v>11</v>
      </c>
      <c r="X401" s="20">
        <f t="shared" si="223"/>
        <v>16</v>
      </c>
      <c r="Y401" s="20">
        <f t="shared" si="224"/>
        <v>0</v>
      </c>
      <c r="Z401" s="20">
        <f t="shared" si="225"/>
        <v>0</v>
      </c>
      <c r="AA401" s="20">
        <f t="shared" si="226"/>
        <v>0</v>
      </c>
      <c r="AC401" s="3">
        <f t="shared" si="202"/>
        <v>0</v>
      </c>
      <c r="AD401" s="3">
        <f t="shared" si="203"/>
        <v>95</v>
      </c>
      <c r="AE401" s="3">
        <f t="shared" si="204"/>
        <v>90</v>
      </c>
      <c r="AF401" s="3">
        <f t="shared" si="205"/>
        <v>84</v>
      </c>
      <c r="AG401" s="3">
        <f t="shared" si="206"/>
        <v>79</v>
      </c>
      <c r="AH401" s="3">
        <f t="shared" si="207"/>
        <v>74</v>
      </c>
      <c r="AI401" s="3">
        <f t="shared" si="208"/>
        <v>69</v>
      </c>
      <c r="AJ401" s="3">
        <f t="shared" si="209"/>
        <v>63</v>
      </c>
      <c r="AK401" s="3">
        <f t="shared" si="210"/>
        <v>58</v>
      </c>
      <c r="AL401" s="3">
        <f t="shared" si="211"/>
        <v>53</v>
      </c>
      <c r="AM401" s="3">
        <f t="shared" si="212"/>
        <v>48</v>
      </c>
      <c r="AN401" s="3">
        <f t="shared" si="213"/>
        <v>42</v>
      </c>
      <c r="AO401" s="3">
        <f t="shared" si="214"/>
        <v>37</v>
      </c>
      <c r="AP401" s="3">
        <f t="shared" si="215"/>
        <v>32</v>
      </c>
      <c r="AQ401" s="3">
        <f t="shared" si="216"/>
        <v>27</v>
      </c>
      <c r="AR401" s="3">
        <f t="shared" si="217"/>
        <v>21</v>
      </c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M401" s="35" t="s">
        <v>12</v>
      </c>
      <c r="BO401" s="35"/>
      <c r="BR401" s="9" t="str">
        <f t="shared" si="227"/>
        <v/>
      </c>
      <c r="BS401" s="37" t="str">
        <f t="shared" si="228"/>
        <v/>
      </c>
      <c r="BT401" s="38" t="str">
        <f t="shared" si="219"/>
        <v/>
      </c>
      <c r="BU401" s="36" t="str">
        <f t="shared" si="229"/>
        <v/>
      </c>
    </row>
    <row r="402" spans="2:73" ht="15">
      <c r="B402" s="16">
        <f t="shared" si="230"/>
        <v>45887</v>
      </c>
      <c r="C402" s="15" t="s">
        <v>1</v>
      </c>
      <c r="D402" s="17">
        <f t="shared" si="231"/>
        <v>45893</v>
      </c>
      <c r="E402" s="18">
        <f t="shared" si="232"/>
        <v>8</v>
      </c>
      <c r="F402" s="19">
        <f t="shared" si="233"/>
        <v>2025</v>
      </c>
      <c r="G402" s="9">
        <f t="shared" si="234"/>
        <v>17</v>
      </c>
      <c r="H402" s="8">
        <f t="shared" si="234"/>
        <v>95</v>
      </c>
      <c r="I402" s="9"/>
      <c r="J402" s="9"/>
      <c r="K402" s="9"/>
      <c r="L402" s="9"/>
      <c r="M402" s="9"/>
      <c r="N402" s="9"/>
      <c r="O402" s="12"/>
      <c r="P402" s="12"/>
      <c r="Q402" s="12"/>
      <c r="R402" s="12"/>
      <c r="S402" s="12"/>
      <c r="T402" s="12"/>
      <c r="V402" s="20">
        <f t="shared" si="221"/>
        <v>7</v>
      </c>
      <c r="W402" s="20">
        <f t="shared" si="222"/>
        <v>12</v>
      </c>
      <c r="X402" s="20">
        <f t="shared" si="223"/>
        <v>17</v>
      </c>
      <c r="Y402" s="20">
        <f t="shared" si="224"/>
        <v>0</v>
      </c>
      <c r="Z402" s="20">
        <f t="shared" si="225"/>
        <v>0</v>
      </c>
      <c r="AA402" s="20">
        <f t="shared" si="226"/>
        <v>0</v>
      </c>
      <c r="AC402" s="3">
        <f t="shared" si="202"/>
        <v>0</v>
      </c>
      <c r="AD402" s="3">
        <f t="shared" si="203"/>
        <v>0</v>
      </c>
      <c r="AE402" s="3">
        <f t="shared" si="204"/>
        <v>91</v>
      </c>
      <c r="AF402" s="3">
        <f t="shared" si="205"/>
        <v>85</v>
      </c>
      <c r="AG402" s="3">
        <f t="shared" si="206"/>
        <v>80</v>
      </c>
      <c r="AH402" s="3">
        <f t="shared" si="207"/>
        <v>75</v>
      </c>
      <c r="AI402" s="3">
        <f t="shared" si="208"/>
        <v>70</v>
      </c>
      <c r="AJ402" s="3">
        <f t="shared" si="209"/>
        <v>64</v>
      </c>
      <c r="AK402" s="3">
        <f t="shared" si="210"/>
        <v>59</v>
      </c>
      <c r="AL402" s="3">
        <f t="shared" si="211"/>
        <v>54</v>
      </c>
      <c r="AM402" s="3">
        <f t="shared" si="212"/>
        <v>49</v>
      </c>
      <c r="AN402" s="3">
        <f t="shared" si="213"/>
        <v>43</v>
      </c>
      <c r="AO402" s="3">
        <f t="shared" si="214"/>
        <v>38</v>
      </c>
      <c r="AP402" s="3">
        <f t="shared" si="215"/>
        <v>33</v>
      </c>
      <c r="AQ402" s="3">
        <f t="shared" si="216"/>
        <v>28</v>
      </c>
      <c r="AR402" s="3">
        <f t="shared" si="217"/>
        <v>22</v>
      </c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M402" s="35" t="s">
        <v>12</v>
      </c>
      <c r="BO402" s="35"/>
      <c r="BR402" s="9" t="str">
        <f t="shared" si="227"/>
        <v/>
      </c>
      <c r="BS402" s="37" t="str">
        <f t="shared" si="228"/>
        <v/>
      </c>
      <c r="BT402" s="38" t="str">
        <f t="shared" si="219"/>
        <v/>
      </c>
      <c r="BU402" s="36" t="str">
        <f t="shared" si="229"/>
        <v/>
      </c>
    </row>
    <row r="403" spans="2:73" ht="15">
      <c r="B403" s="16">
        <f t="shared" si="230"/>
        <v>45894</v>
      </c>
      <c r="C403" s="15" t="s">
        <v>1</v>
      </c>
      <c r="D403" s="17">
        <f t="shared" si="231"/>
        <v>45900</v>
      </c>
      <c r="E403" s="18">
        <f t="shared" si="232"/>
        <v>8</v>
      </c>
      <c r="F403" s="19">
        <f t="shared" si="233"/>
        <v>2025</v>
      </c>
      <c r="G403" s="9">
        <f t="shared" si="234"/>
        <v>17</v>
      </c>
      <c r="H403" s="8">
        <f t="shared" si="234"/>
        <v>95</v>
      </c>
      <c r="I403" s="9"/>
      <c r="J403" s="9"/>
      <c r="K403" s="9"/>
      <c r="L403" s="9"/>
      <c r="M403" s="9"/>
      <c r="N403" s="9"/>
      <c r="O403" s="12"/>
      <c r="P403" s="12"/>
      <c r="Q403" s="12"/>
      <c r="R403" s="12"/>
      <c r="S403" s="12"/>
      <c r="T403" s="12"/>
      <c r="V403" s="20">
        <f t="shared" si="221"/>
        <v>8</v>
      </c>
      <c r="W403" s="20">
        <f t="shared" si="222"/>
        <v>13</v>
      </c>
      <c r="X403" s="20">
        <f t="shared" si="223"/>
        <v>0</v>
      </c>
      <c r="Y403" s="20">
        <f t="shared" si="224"/>
        <v>0</v>
      </c>
      <c r="Z403" s="20">
        <f t="shared" si="225"/>
        <v>0</v>
      </c>
      <c r="AA403" s="20">
        <f t="shared" si="226"/>
        <v>0</v>
      </c>
      <c r="AC403" s="3">
        <f t="shared" si="202"/>
        <v>0</v>
      </c>
      <c r="AD403" s="3">
        <f t="shared" si="203"/>
        <v>0</v>
      </c>
      <c r="AE403" s="3">
        <f t="shared" si="204"/>
        <v>92</v>
      </c>
      <c r="AF403" s="3">
        <f t="shared" si="205"/>
        <v>86</v>
      </c>
      <c r="AG403" s="3">
        <f t="shared" si="206"/>
        <v>81</v>
      </c>
      <c r="AH403" s="3">
        <f t="shared" si="207"/>
        <v>76</v>
      </c>
      <c r="AI403" s="3">
        <f t="shared" si="208"/>
        <v>71</v>
      </c>
      <c r="AJ403" s="3">
        <f t="shared" si="209"/>
        <v>65</v>
      </c>
      <c r="AK403" s="3">
        <f t="shared" si="210"/>
        <v>60</v>
      </c>
      <c r="AL403" s="3">
        <f t="shared" si="211"/>
        <v>55</v>
      </c>
      <c r="AM403" s="3">
        <f t="shared" si="212"/>
        <v>50</v>
      </c>
      <c r="AN403" s="3">
        <f t="shared" si="213"/>
        <v>44</v>
      </c>
      <c r="AO403" s="3">
        <f t="shared" si="214"/>
        <v>39</v>
      </c>
      <c r="AP403" s="3">
        <f t="shared" si="215"/>
        <v>34</v>
      </c>
      <c r="AQ403" s="3">
        <f t="shared" si="216"/>
        <v>29</v>
      </c>
      <c r="AR403" s="3">
        <f t="shared" si="217"/>
        <v>23</v>
      </c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M403" s="35" t="s">
        <v>12</v>
      </c>
      <c r="BO403" s="35"/>
      <c r="BR403" s="9" t="str">
        <f t="shared" si="227"/>
        <v/>
      </c>
      <c r="BS403" s="37" t="str">
        <f t="shared" si="228"/>
        <v/>
      </c>
      <c r="BT403" s="38" t="str">
        <f t="shared" si="219"/>
        <v/>
      </c>
      <c r="BU403" s="36" t="str">
        <f t="shared" si="229"/>
        <v/>
      </c>
    </row>
    <row r="404" spans="2:73" ht="15">
      <c r="B404" s="16">
        <f t="shared" si="230"/>
        <v>45901</v>
      </c>
      <c r="C404" s="15" t="s">
        <v>1</v>
      </c>
      <c r="D404" s="17">
        <f t="shared" si="231"/>
        <v>45907</v>
      </c>
      <c r="E404" s="18">
        <f t="shared" si="232"/>
        <v>9</v>
      </c>
      <c r="F404" s="19">
        <f t="shared" si="233"/>
        <v>2025</v>
      </c>
      <c r="G404" s="9">
        <f t="shared" si="234"/>
        <v>17</v>
      </c>
      <c r="H404" s="8">
        <f t="shared" si="234"/>
        <v>95</v>
      </c>
      <c r="I404" s="9"/>
      <c r="J404" s="9"/>
      <c r="K404" s="9"/>
      <c r="L404" s="9"/>
      <c r="M404" s="9"/>
      <c r="N404" s="9"/>
      <c r="O404" s="12"/>
      <c r="P404" s="12"/>
      <c r="Q404" s="12"/>
      <c r="R404" s="12"/>
      <c r="S404" s="12"/>
      <c r="T404" s="12"/>
      <c r="V404" s="20">
        <f t="shared" si="221"/>
        <v>9</v>
      </c>
      <c r="W404" s="20">
        <f t="shared" si="222"/>
        <v>14</v>
      </c>
      <c r="X404" s="20">
        <f t="shared" si="223"/>
        <v>0</v>
      </c>
      <c r="Y404" s="20">
        <f t="shared" si="224"/>
        <v>0</v>
      </c>
      <c r="Z404" s="20">
        <f t="shared" si="225"/>
        <v>0</v>
      </c>
      <c r="AA404" s="20">
        <f t="shared" si="226"/>
        <v>0</v>
      </c>
      <c r="AC404" s="3">
        <f t="shared" si="202"/>
        <v>0</v>
      </c>
      <c r="AD404" s="3">
        <f t="shared" si="203"/>
        <v>0</v>
      </c>
      <c r="AE404" s="3">
        <f t="shared" si="204"/>
        <v>93</v>
      </c>
      <c r="AF404" s="3">
        <f t="shared" si="205"/>
        <v>87</v>
      </c>
      <c r="AG404" s="3">
        <f t="shared" si="206"/>
        <v>82</v>
      </c>
      <c r="AH404" s="3">
        <f t="shared" si="207"/>
        <v>77</v>
      </c>
      <c r="AI404" s="3">
        <f t="shared" si="208"/>
        <v>72</v>
      </c>
      <c r="AJ404" s="3">
        <f t="shared" si="209"/>
        <v>66</v>
      </c>
      <c r="AK404" s="3">
        <f t="shared" si="210"/>
        <v>61</v>
      </c>
      <c r="AL404" s="3">
        <f t="shared" si="211"/>
        <v>56</v>
      </c>
      <c r="AM404" s="3">
        <f t="shared" si="212"/>
        <v>51</v>
      </c>
      <c r="AN404" s="3">
        <f t="shared" si="213"/>
        <v>45</v>
      </c>
      <c r="AO404" s="3">
        <f t="shared" si="214"/>
        <v>40</v>
      </c>
      <c r="AP404" s="3">
        <f t="shared" si="215"/>
        <v>35</v>
      </c>
      <c r="AQ404" s="3">
        <f t="shared" si="216"/>
        <v>30</v>
      </c>
      <c r="AR404" s="3">
        <f t="shared" si="217"/>
        <v>24</v>
      </c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M404" s="35" t="s">
        <v>12</v>
      </c>
      <c r="BO404" s="35"/>
      <c r="BR404" s="9" t="str">
        <f t="shared" si="227"/>
        <v/>
      </c>
      <c r="BS404" s="37" t="str">
        <f t="shared" si="228"/>
        <v/>
      </c>
      <c r="BT404" s="38" t="str">
        <f t="shared" si="219"/>
        <v/>
      </c>
      <c r="BU404" s="36" t="str">
        <f t="shared" si="229"/>
        <v/>
      </c>
    </row>
    <row r="405" spans="2:73" ht="15">
      <c r="B405" s="16">
        <f t="shared" si="230"/>
        <v>45908</v>
      </c>
      <c r="C405" s="15" t="s">
        <v>1</v>
      </c>
      <c r="D405" s="17">
        <f t="shared" si="231"/>
        <v>45914</v>
      </c>
      <c r="E405" s="18">
        <f t="shared" si="232"/>
        <v>9</v>
      </c>
      <c r="F405" s="19">
        <f t="shared" si="233"/>
        <v>2025</v>
      </c>
      <c r="G405" s="9">
        <f t="shared" si="234"/>
        <v>17</v>
      </c>
      <c r="H405" s="8">
        <f t="shared" si="234"/>
        <v>95</v>
      </c>
      <c r="I405" s="9"/>
      <c r="J405" s="9"/>
      <c r="K405" s="9"/>
      <c r="L405" s="9"/>
      <c r="M405" s="9"/>
      <c r="N405" s="9"/>
      <c r="O405" s="12"/>
      <c r="P405" s="12"/>
      <c r="Q405" s="12"/>
      <c r="R405" s="12"/>
      <c r="S405" s="12"/>
      <c r="T405" s="12"/>
      <c r="V405" s="20">
        <f t="shared" si="221"/>
        <v>10</v>
      </c>
      <c r="W405" s="20">
        <f t="shared" si="222"/>
        <v>15</v>
      </c>
      <c r="X405" s="20">
        <f t="shared" si="223"/>
        <v>0</v>
      </c>
      <c r="Y405" s="20">
        <f t="shared" si="224"/>
        <v>0</v>
      </c>
      <c r="Z405" s="20">
        <f t="shared" si="225"/>
        <v>0</v>
      </c>
      <c r="AA405" s="20">
        <f t="shared" si="226"/>
        <v>0</v>
      </c>
      <c r="AC405" s="3">
        <f t="shared" si="202"/>
        <v>0</v>
      </c>
      <c r="AD405" s="3">
        <f t="shared" si="203"/>
        <v>0</v>
      </c>
      <c r="AE405" s="3">
        <f t="shared" si="204"/>
        <v>94</v>
      </c>
      <c r="AF405" s="3">
        <f t="shared" si="205"/>
        <v>88</v>
      </c>
      <c r="AG405" s="3">
        <f t="shared" si="206"/>
        <v>83</v>
      </c>
      <c r="AH405" s="3">
        <f t="shared" si="207"/>
        <v>78</v>
      </c>
      <c r="AI405" s="3">
        <f t="shared" si="208"/>
        <v>73</v>
      </c>
      <c r="AJ405" s="3">
        <f t="shared" si="209"/>
        <v>67</v>
      </c>
      <c r="AK405" s="3">
        <f t="shared" si="210"/>
        <v>62</v>
      </c>
      <c r="AL405" s="3">
        <f t="shared" si="211"/>
        <v>57</v>
      </c>
      <c r="AM405" s="3">
        <f t="shared" si="212"/>
        <v>52</v>
      </c>
      <c r="AN405" s="3">
        <f t="shared" si="213"/>
        <v>46</v>
      </c>
      <c r="AO405" s="3">
        <f t="shared" si="214"/>
        <v>41</v>
      </c>
      <c r="AP405" s="3">
        <f t="shared" si="215"/>
        <v>36</v>
      </c>
      <c r="AQ405" s="3">
        <f t="shared" si="216"/>
        <v>31</v>
      </c>
      <c r="AR405" s="3">
        <f t="shared" si="217"/>
        <v>25</v>
      </c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M405" s="35" t="s">
        <v>12</v>
      </c>
      <c r="BO405" s="35"/>
      <c r="BR405" s="9" t="str">
        <f t="shared" si="227"/>
        <v/>
      </c>
      <c r="BS405" s="37" t="str">
        <f t="shared" si="228"/>
        <v/>
      </c>
      <c r="BT405" s="38" t="str">
        <f t="shared" si="219"/>
        <v/>
      </c>
      <c r="BU405" s="36" t="str">
        <f t="shared" si="229"/>
        <v/>
      </c>
    </row>
    <row r="406" spans="2:73" ht="15">
      <c r="B406" s="16">
        <f t="shared" si="230"/>
        <v>45915</v>
      </c>
      <c r="C406" s="15" t="s">
        <v>1</v>
      </c>
      <c r="D406" s="17">
        <f t="shared" si="231"/>
        <v>45921</v>
      </c>
      <c r="E406" s="18">
        <f t="shared" si="232"/>
        <v>9</v>
      </c>
      <c r="F406" s="19">
        <f t="shared" si="233"/>
        <v>2025</v>
      </c>
      <c r="G406" s="9">
        <f t="shared" ref="G406:H421" si="235">G405</f>
        <v>17</v>
      </c>
      <c r="H406" s="8">
        <f t="shared" si="235"/>
        <v>95</v>
      </c>
      <c r="I406" s="9"/>
      <c r="J406" s="9"/>
      <c r="K406" s="9"/>
      <c r="L406" s="9"/>
      <c r="M406" s="9"/>
      <c r="N406" s="9"/>
      <c r="O406" s="12"/>
      <c r="P406" s="12"/>
      <c r="Q406" s="12"/>
      <c r="R406" s="12"/>
      <c r="S406" s="12"/>
      <c r="T406" s="12"/>
      <c r="V406" s="20">
        <f t="shared" si="221"/>
        <v>11</v>
      </c>
      <c r="W406" s="20">
        <f t="shared" si="222"/>
        <v>16</v>
      </c>
      <c r="X406" s="20">
        <f t="shared" si="223"/>
        <v>0</v>
      </c>
      <c r="Y406" s="20">
        <f t="shared" si="224"/>
        <v>0</v>
      </c>
      <c r="Z406" s="20">
        <f t="shared" si="225"/>
        <v>0</v>
      </c>
      <c r="AA406" s="20">
        <f t="shared" si="226"/>
        <v>0</v>
      </c>
      <c r="AC406" s="3">
        <f t="shared" si="202"/>
        <v>0</v>
      </c>
      <c r="AD406" s="3">
        <f t="shared" si="203"/>
        <v>0</v>
      </c>
      <c r="AE406" s="3">
        <f t="shared" si="204"/>
        <v>95</v>
      </c>
      <c r="AF406" s="3">
        <f t="shared" si="205"/>
        <v>89</v>
      </c>
      <c r="AG406" s="3">
        <f t="shared" si="206"/>
        <v>84</v>
      </c>
      <c r="AH406" s="3">
        <f t="shared" si="207"/>
        <v>79</v>
      </c>
      <c r="AI406" s="3">
        <f t="shared" si="208"/>
        <v>74</v>
      </c>
      <c r="AJ406" s="3">
        <f t="shared" si="209"/>
        <v>68</v>
      </c>
      <c r="AK406" s="3">
        <f t="shared" si="210"/>
        <v>63</v>
      </c>
      <c r="AL406" s="3">
        <f t="shared" si="211"/>
        <v>58</v>
      </c>
      <c r="AM406" s="3">
        <f t="shared" si="212"/>
        <v>53</v>
      </c>
      <c r="AN406" s="3">
        <f t="shared" si="213"/>
        <v>47</v>
      </c>
      <c r="AO406" s="3">
        <f t="shared" si="214"/>
        <v>42</v>
      </c>
      <c r="AP406" s="3">
        <f t="shared" si="215"/>
        <v>37</v>
      </c>
      <c r="AQ406" s="3">
        <f t="shared" si="216"/>
        <v>32</v>
      </c>
      <c r="AR406" s="3">
        <f t="shared" si="217"/>
        <v>26</v>
      </c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M406" s="35" t="s">
        <v>12</v>
      </c>
      <c r="BO406" s="35"/>
      <c r="BR406" s="9" t="str">
        <f t="shared" si="227"/>
        <v/>
      </c>
      <c r="BS406" s="37" t="str">
        <f t="shared" si="228"/>
        <v/>
      </c>
      <c r="BT406" s="38" t="str">
        <f t="shared" si="219"/>
        <v/>
      </c>
      <c r="BU406" s="36" t="str">
        <f t="shared" si="229"/>
        <v/>
      </c>
    </row>
    <row r="407" spans="2:73" ht="15">
      <c r="B407" s="16">
        <f t="shared" si="230"/>
        <v>45922</v>
      </c>
      <c r="C407" s="15" t="s">
        <v>1</v>
      </c>
      <c r="D407" s="17">
        <f t="shared" si="231"/>
        <v>45928</v>
      </c>
      <c r="E407" s="18">
        <f t="shared" si="232"/>
        <v>9</v>
      </c>
      <c r="F407" s="19">
        <f t="shared" si="233"/>
        <v>2025</v>
      </c>
      <c r="G407" s="9">
        <f t="shared" si="235"/>
        <v>17</v>
      </c>
      <c r="H407" s="8">
        <f t="shared" si="235"/>
        <v>95</v>
      </c>
      <c r="I407" s="9"/>
      <c r="J407" s="9"/>
      <c r="K407" s="9"/>
      <c r="L407" s="9"/>
      <c r="M407" s="9"/>
      <c r="N407" s="9"/>
      <c r="O407" s="12"/>
      <c r="P407" s="12"/>
      <c r="Q407" s="12"/>
      <c r="R407" s="12"/>
      <c r="S407" s="12"/>
      <c r="T407" s="12"/>
      <c r="V407" s="20">
        <f t="shared" si="221"/>
        <v>12</v>
      </c>
      <c r="W407" s="20">
        <f t="shared" si="222"/>
        <v>17</v>
      </c>
      <c r="X407" s="20">
        <f t="shared" si="223"/>
        <v>0</v>
      </c>
      <c r="Y407" s="20">
        <f t="shared" si="224"/>
        <v>0</v>
      </c>
      <c r="Z407" s="20">
        <f t="shared" si="225"/>
        <v>0</v>
      </c>
      <c r="AA407" s="20">
        <f t="shared" si="226"/>
        <v>0</v>
      </c>
      <c r="AC407" s="3">
        <f t="shared" si="202"/>
        <v>0</v>
      </c>
      <c r="AD407" s="3">
        <f t="shared" si="203"/>
        <v>0</v>
      </c>
      <c r="AE407" s="3">
        <f t="shared" si="204"/>
        <v>0</v>
      </c>
      <c r="AF407" s="3">
        <f t="shared" si="205"/>
        <v>90</v>
      </c>
      <c r="AG407" s="3">
        <f t="shared" si="206"/>
        <v>85</v>
      </c>
      <c r="AH407" s="3">
        <f t="shared" si="207"/>
        <v>80</v>
      </c>
      <c r="AI407" s="3">
        <f t="shared" si="208"/>
        <v>75</v>
      </c>
      <c r="AJ407" s="3">
        <f t="shared" si="209"/>
        <v>69</v>
      </c>
      <c r="AK407" s="3">
        <f t="shared" si="210"/>
        <v>64</v>
      </c>
      <c r="AL407" s="3">
        <f t="shared" si="211"/>
        <v>59</v>
      </c>
      <c r="AM407" s="3">
        <f t="shared" si="212"/>
        <v>54</v>
      </c>
      <c r="AN407" s="3">
        <f t="shared" si="213"/>
        <v>48</v>
      </c>
      <c r="AO407" s="3">
        <f t="shared" si="214"/>
        <v>43</v>
      </c>
      <c r="AP407" s="3">
        <f t="shared" si="215"/>
        <v>38</v>
      </c>
      <c r="AQ407" s="3">
        <f t="shared" si="216"/>
        <v>33</v>
      </c>
      <c r="AR407" s="3">
        <f t="shared" si="217"/>
        <v>27</v>
      </c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M407" s="35" t="s">
        <v>12</v>
      </c>
      <c r="BO407" s="35"/>
      <c r="BR407" s="9" t="str">
        <f t="shared" si="227"/>
        <v/>
      </c>
      <c r="BS407" s="37" t="str">
        <f t="shared" si="228"/>
        <v/>
      </c>
      <c r="BT407" s="38" t="str">
        <f t="shared" si="219"/>
        <v/>
      </c>
      <c r="BU407" s="36" t="str">
        <f t="shared" si="229"/>
        <v/>
      </c>
    </row>
    <row r="408" spans="2:73" ht="15">
      <c r="B408" s="16">
        <f t="shared" si="230"/>
        <v>45929</v>
      </c>
      <c r="C408" s="15" t="s">
        <v>1</v>
      </c>
      <c r="D408" s="17">
        <f t="shared" si="231"/>
        <v>45935</v>
      </c>
      <c r="E408" s="18">
        <f t="shared" si="232"/>
        <v>9</v>
      </c>
      <c r="F408" s="19">
        <f t="shared" si="233"/>
        <v>2025</v>
      </c>
      <c r="G408" s="9">
        <f t="shared" si="235"/>
        <v>17</v>
      </c>
      <c r="H408" s="8">
        <f t="shared" si="235"/>
        <v>95</v>
      </c>
      <c r="I408" s="9"/>
      <c r="J408" s="9"/>
      <c r="K408" s="9"/>
      <c r="L408" s="9"/>
      <c r="M408" s="9"/>
      <c r="N408" s="9"/>
      <c r="O408" s="12"/>
      <c r="P408" s="12"/>
      <c r="Q408" s="12"/>
      <c r="R408" s="12"/>
      <c r="S408" s="12"/>
      <c r="T408" s="12"/>
      <c r="V408" s="20">
        <f t="shared" si="221"/>
        <v>13</v>
      </c>
      <c r="W408" s="20">
        <f t="shared" si="222"/>
        <v>0</v>
      </c>
      <c r="X408" s="20">
        <f t="shared" si="223"/>
        <v>0</v>
      </c>
      <c r="Y408" s="20">
        <f t="shared" si="224"/>
        <v>0</v>
      </c>
      <c r="Z408" s="20">
        <f t="shared" si="225"/>
        <v>0</v>
      </c>
      <c r="AA408" s="20">
        <f t="shared" si="226"/>
        <v>0</v>
      </c>
      <c r="AC408" s="3">
        <f t="shared" si="202"/>
        <v>0</v>
      </c>
      <c r="AD408" s="3">
        <f t="shared" si="203"/>
        <v>0</v>
      </c>
      <c r="AE408" s="3">
        <f t="shared" si="204"/>
        <v>0</v>
      </c>
      <c r="AF408" s="3">
        <f t="shared" si="205"/>
        <v>91</v>
      </c>
      <c r="AG408" s="3">
        <f t="shared" si="206"/>
        <v>86</v>
      </c>
      <c r="AH408" s="3">
        <f t="shared" si="207"/>
        <v>81</v>
      </c>
      <c r="AI408" s="3">
        <f t="shared" si="208"/>
        <v>76</v>
      </c>
      <c r="AJ408" s="3">
        <f t="shared" si="209"/>
        <v>70</v>
      </c>
      <c r="AK408" s="3">
        <f t="shared" si="210"/>
        <v>65</v>
      </c>
      <c r="AL408" s="3">
        <f t="shared" si="211"/>
        <v>60</v>
      </c>
      <c r="AM408" s="3">
        <f t="shared" si="212"/>
        <v>55</v>
      </c>
      <c r="AN408" s="3">
        <f t="shared" si="213"/>
        <v>49</v>
      </c>
      <c r="AO408" s="3">
        <f t="shared" si="214"/>
        <v>44</v>
      </c>
      <c r="AP408" s="3">
        <f t="shared" si="215"/>
        <v>39</v>
      </c>
      <c r="AQ408" s="3">
        <f t="shared" si="216"/>
        <v>34</v>
      </c>
      <c r="AR408" s="3">
        <f t="shared" si="217"/>
        <v>28</v>
      </c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M408" s="35" t="s">
        <v>12</v>
      </c>
      <c r="BO408" s="35"/>
      <c r="BR408" s="9" t="str">
        <f t="shared" si="227"/>
        <v/>
      </c>
      <c r="BS408" s="37" t="str">
        <f t="shared" si="228"/>
        <v/>
      </c>
      <c r="BT408" s="38" t="str">
        <f t="shared" si="219"/>
        <v/>
      </c>
      <c r="BU408" s="36" t="str">
        <f t="shared" si="229"/>
        <v/>
      </c>
    </row>
    <row r="409" spans="2:73" ht="15">
      <c r="B409" s="16">
        <f t="shared" si="230"/>
        <v>45936</v>
      </c>
      <c r="C409" s="15" t="s">
        <v>1</v>
      </c>
      <c r="D409" s="17">
        <f t="shared" si="231"/>
        <v>45942</v>
      </c>
      <c r="E409" s="18">
        <f t="shared" si="232"/>
        <v>10</v>
      </c>
      <c r="F409" s="19">
        <f t="shared" si="233"/>
        <v>2025</v>
      </c>
      <c r="G409" s="9">
        <f t="shared" si="235"/>
        <v>17</v>
      </c>
      <c r="H409" s="8">
        <f t="shared" si="235"/>
        <v>95</v>
      </c>
      <c r="I409" s="9"/>
      <c r="J409" s="9"/>
      <c r="K409" s="9"/>
      <c r="L409" s="9"/>
      <c r="M409" s="9"/>
      <c r="N409" s="9"/>
      <c r="O409" s="12"/>
      <c r="P409" s="12"/>
      <c r="Q409" s="12"/>
      <c r="R409" s="12"/>
      <c r="S409" s="12"/>
      <c r="T409" s="12"/>
      <c r="V409" s="20">
        <f t="shared" si="221"/>
        <v>14</v>
      </c>
      <c r="W409" s="20">
        <f t="shared" si="222"/>
        <v>0</v>
      </c>
      <c r="X409" s="20">
        <f t="shared" si="223"/>
        <v>0</v>
      </c>
      <c r="Y409" s="20">
        <f t="shared" si="224"/>
        <v>0</v>
      </c>
      <c r="Z409" s="20">
        <f t="shared" si="225"/>
        <v>0</v>
      </c>
      <c r="AA409" s="20">
        <f t="shared" si="226"/>
        <v>0</v>
      </c>
      <c r="AC409" s="3">
        <f t="shared" si="202"/>
        <v>0</v>
      </c>
      <c r="AD409" s="3">
        <f t="shared" si="203"/>
        <v>0</v>
      </c>
      <c r="AE409" s="3">
        <f t="shared" si="204"/>
        <v>0</v>
      </c>
      <c r="AF409" s="3">
        <f t="shared" si="205"/>
        <v>92</v>
      </c>
      <c r="AG409" s="3">
        <f t="shared" si="206"/>
        <v>87</v>
      </c>
      <c r="AH409" s="3">
        <f t="shared" si="207"/>
        <v>82</v>
      </c>
      <c r="AI409" s="3">
        <f t="shared" si="208"/>
        <v>77</v>
      </c>
      <c r="AJ409" s="3">
        <f t="shared" si="209"/>
        <v>71</v>
      </c>
      <c r="AK409" s="3">
        <f t="shared" si="210"/>
        <v>66</v>
      </c>
      <c r="AL409" s="3">
        <f t="shared" si="211"/>
        <v>61</v>
      </c>
      <c r="AM409" s="3">
        <f t="shared" si="212"/>
        <v>56</v>
      </c>
      <c r="AN409" s="3">
        <f t="shared" si="213"/>
        <v>50</v>
      </c>
      <c r="AO409" s="3">
        <f t="shared" si="214"/>
        <v>45</v>
      </c>
      <c r="AP409" s="3">
        <f t="shared" si="215"/>
        <v>40</v>
      </c>
      <c r="AQ409" s="3">
        <f t="shared" si="216"/>
        <v>35</v>
      </c>
      <c r="AR409" s="3">
        <f t="shared" si="217"/>
        <v>29</v>
      </c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M409" s="35" t="s">
        <v>12</v>
      </c>
      <c r="BO409" s="35"/>
      <c r="BR409" s="9" t="str">
        <f t="shared" si="227"/>
        <v/>
      </c>
      <c r="BS409" s="37" t="str">
        <f t="shared" si="228"/>
        <v/>
      </c>
      <c r="BT409" s="38" t="str">
        <f t="shared" si="219"/>
        <v/>
      </c>
      <c r="BU409" s="36" t="str">
        <f t="shared" si="229"/>
        <v/>
      </c>
    </row>
    <row r="410" spans="2:73" ht="15">
      <c r="B410" s="16">
        <f t="shared" si="230"/>
        <v>45943</v>
      </c>
      <c r="C410" s="15" t="s">
        <v>1</v>
      </c>
      <c r="D410" s="17">
        <f t="shared" si="231"/>
        <v>45949</v>
      </c>
      <c r="E410" s="18">
        <f t="shared" si="232"/>
        <v>10</v>
      </c>
      <c r="F410" s="19">
        <f t="shared" si="233"/>
        <v>2025</v>
      </c>
      <c r="G410" s="9">
        <f t="shared" si="235"/>
        <v>17</v>
      </c>
      <c r="H410" s="8">
        <f t="shared" si="235"/>
        <v>95</v>
      </c>
      <c r="I410" s="9"/>
      <c r="J410" s="9"/>
      <c r="K410" s="9"/>
      <c r="L410" s="9"/>
      <c r="M410" s="9"/>
      <c r="N410" s="9"/>
      <c r="O410" s="12"/>
      <c r="P410" s="12"/>
      <c r="Q410" s="12"/>
      <c r="R410" s="12"/>
      <c r="S410" s="12"/>
      <c r="T410" s="12"/>
      <c r="V410" s="20">
        <f t="shared" si="221"/>
        <v>15</v>
      </c>
      <c r="W410" s="20">
        <f t="shared" si="222"/>
        <v>0</v>
      </c>
      <c r="X410" s="20">
        <f t="shared" si="223"/>
        <v>0</v>
      </c>
      <c r="Y410" s="20">
        <f t="shared" si="224"/>
        <v>0</v>
      </c>
      <c r="Z410" s="20">
        <f t="shared" si="225"/>
        <v>0</v>
      </c>
      <c r="AA410" s="20">
        <f t="shared" si="226"/>
        <v>0</v>
      </c>
      <c r="AC410" s="3">
        <f t="shared" si="202"/>
        <v>0</v>
      </c>
      <c r="AD410" s="3">
        <f t="shared" si="203"/>
        <v>0</v>
      </c>
      <c r="AE410" s="3">
        <f t="shared" si="204"/>
        <v>0</v>
      </c>
      <c r="AF410" s="3">
        <f t="shared" si="205"/>
        <v>93</v>
      </c>
      <c r="AG410" s="3">
        <f t="shared" si="206"/>
        <v>88</v>
      </c>
      <c r="AH410" s="3">
        <f t="shared" si="207"/>
        <v>83</v>
      </c>
      <c r="AI410" s="3">
        <f t="shared" si="208"/>
        <v>78</v>
      </c>
      <c r="AJ410" s="3">
        <f t="shared" si="209"/>
        <v>72</v>
      </c>
      <c r="AK410" s="3">
        <f t="shared" si="210"/>
        <v>67</v>
      </c>
      <c r="AL410" s="3">
        <f t="shared" si="211"/>
        <v>62</v>
      </c>
      <c r="AM410" s="3">
        <f t="shared" si="212"/>
        <v>57</v>
      </c>
      <c r="AN410" s="3">
        <f t="shared" si="213"/>
        <v>51</v>
      </c>
      <c r="AO410" s="3">
        <f t="shared" si="214"/>
        <v>46</v>
      </c>
      <c r="AP410" s="3">
        <f t="shared" si="215"/>
        <v>41</v>
      </c>
      <c r="AQ410" s="3">
        <f t="shared" si="216"/>
        <v>36</v>
      </c>
      <c r="AR410" s="3">
        <f t="shared" si="217"/>
        <v>30</v>
      </c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M410" s="35" t="s">
        <v>12</v>
      </c>
      <c r="BO410" s="35"/>
      <c r="BR410" s="9" t="str">
        <f t="shared" si="227"/>
        <v/>
      </c>
      <c r="BS410" s="37" t="str">
        <f t="shared" si="228"/>
        <v/>
      </c>
      <c r="BT410" s="38" t="str">
        <f t="shared" si="219"/>
        <v/>
      </c>
      <c r="BU410" s="36" t="str">
        <f t="shared" si="229"/>
        <v/>
      </c>
    </row>
    <row r="411" spans="2:73" ht="15">
      <c r="B411" s="16">
        <f t="shared" si="230"/>
        <v>45950</v>
      </c>
      <c r="C411" s="15" t="s">
        <v>1</v>
      </c>
      <c r="D411" s="17">
        <f t="shared" si="231"/>
        <v>45956</v>
      </c>
      <c r="E411" s="18">
        <f t="shared" si="232"/>
        <v>10</v>
      </c>
      <c r="F411" s="19">
        <f t="shared" si="233"/>
        <v>2025</v>
      </c>
      <c r="G411" s="9">
        <f t="shared" si="235"/>
        <v>17</v>
      </c>
      <c r="H411" s="8">
        <f t="shared" si="235"/>
        <v>95</v>
      </c>
      <c r="I411" s="9"/>
      <c r="J411" s="9"/>
      <c r="K411" s="9"/>
      <c r="L411" s="9"/>
      <c r="M411" s="9"/>
      <c r="N411" s="9"/>
      <c r="O411" s="12"/>
      <c r="P411" s="12"/>
      <c r="Q411" s="12"/>
      <c r="R411" s="12"/>
      <c r="S411" s="12"/>
      <c r="T411" s="12"/>
      <c r="V411" s="20">
        <f t="shared" si="221"/>
        <v>16</v>
      </c>
      <c r="W411" s="20">
        <f t="shared" si="222"/>
        <v>0</v>
      </c>
      <c r="X411" s="20">
        <f t="shared" si="223"/>
        <v>0</v>
      </c>
      <c r="Y411" s="20">
        <f t="shared" si="224"/>
        <v>0</v>
      </c>
      <c r="Z411" s="20">
        <f t="shared" si="225"/>
        <v>0</v>
      </c>
      <c r="AA411" s="20">
        <f t="shared" si="226"/>
        <v>0</v>
      </c>
      <c r="AC411" s="3">
        <f t="shared" si="202"/>
        <v>0</v>
      </c>
      <c r="AD411" s="3">
        <f t="shared" si="203"/>
        <v>0</v>
      </c>
      <c r="AE411" s="3">
        <f t="shared" si="204"/>
        <v>0</v>
      </c>
      <c r="AF411" s="3">
        <f t="shared" si="205"/>
        <v>94</v>
      </c>
      <c r="AG411" s="3">
        <f t="shared" si="206"/>
        <v>89</v>
      </c>
      <c r="AH411" s="3">
        <f t="shared" si="207"/>
        <v>84</v>
      </c>
      <c r="AI411" s="3">
        <f t="shared" si="208"/>
        <v>79</v>
      </c>
      <c r="AJ411" s="3">
        <f t="shared" si="209"/>
        <v>73</v>
      </c>
      <c r="AK411" s="3">
        <f t="shared" si="210"/>
        <v>68</v>
      </c>
      <c r="AL411" s="3">
        <f t="shared" si="211"/>
        <v>63</v>
      </c>
      <c r="AM411" s="3">
        <f t="shared" si="212"/>
        <v>58</v>
      </c>
      <c r="AN411" s="3">
        <f t="shared" si="213"/>
        <v>52</v>
      </c>
      <c r="AO411" s="3">
        <f t="shared" si="214"/>
        <v>47</v>
      </c>
      <c r="AP411" s="3">
        <f t="shared" si="215"/>
        <v>42</v>
      </c>
      <c r="AQ411" s="3">
        <f t="shared" si="216"/>
        <v>37</v>
      </c>
      <c r="AR411" s="3">
        <f t="shared" si="217"/>
        <v>31</v>
      </c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M411" s="35" t="s">
        <v>12</v>
      </c>
      <c r="BO411" s="35"/>
      <c r="BR411" s="9" t="str">
        <f t="shared" si="227"/>
        <v/>
      </c>
      <c r="BS411" s="37" t="str">
        <f t="shared" si="228"/>
        <v/>
      </c>
      <c r="BT411" s="38" t="str">
        <f t="shared" si="219"/>
        <v/>
      </c>
      <c r="BU411" s="36" t="str">
        <f t="shared" si="229"/>
        <v/>
      </c>
    </row>
    <row r="412" spans="2:73" ht="15">
      <c r="B412" s="16">
        <f t="shared" si="230"/>
        <v>45957</v>
      </c>
      <c r="C412" s="15" t="s">
        <v>1</v>
      </c>
      <c r="D412" s="17">
        <f t="shared" si="231"/>
        <v>45963</v>
      </c>
      <c r="E412" s="18">
        <f t="shared" si="232"/>
        <v>10</v>
      </c>
      <c r="F412" s="19">
        <f t="shared" si="233"/>
        <v>2025</v>
      </c>
      <c r="G412" s="9">
        <f t="shared" si="235"/>
        <v>17</v>
      </c>
      <c r="H412" s="8">
        <f t="shared" si="235"/>
        <v>95</v>
      </c>
      <c r="I412" s="9"/>
      <c r="J412" s="9"/>
      <c r="K412" s="9"/>
      <c r="L412" s="9"/>
      <c r="M412" s="9"/>
      <c r="N412" s="9"/>
      <c r="O412" s="12"/>
      <c r="P412" s="12"/>
      <c r="Q412" s="12"/>
      <c r="R412" s="12"/>
      <c r="S412" s="12"/>
      <c r="T412" s="12"/>
      <c r="V412" s="20">
        <f t="shared" si="221"/>
        <v>17</v>
      </c>
      <c r="W412" s="20">
        <f t="shared" si="222"/>
        <v>0</v>
      </c>
      <c r="X412" s="20">
        <f t="shared" si="223"/>
        <v>0</v>
      </c>
      <c r="Y412" s="20">
        <f t="shared" si="224"/>
        <v>0</v>
      </c>
      <c r="Z412" s="20">
        <f t="shared" si="225"/>
        <v>0</v>
      </c>
      <c r="AA412" s="20">
        <f t="shared" si="226"/>
        <v>0</v>
      </c>
      <c r="AC412" s="3">
        <f t="shared" si="202"/>
        <v>0</v>
      </c>
      <c r="AD412" s="3">
        <f t="shared" si="203"/>
        <v>0</v>
      </c>
      <c r="AE412" s="3">
        <f t="shared" si="204"/>
        <v>0</v>
      </c>
      <c r="AF412" s="3">
        <f t="shared" si="205"/>
        <v>95</v>
      </c>
      <c r="AG412" s="3">
        <f t="shared" si="206"/>
        <v>90</v>
      </c>
      <c r="AH412" s="3">
        <f t="shared" si="207"/>
        <v>85</v>
      </c>
      <c r="AI412" s="3">
        <f t="shared" si="208"/>
        <v>80</v>
      </c>
      <c r="AJ412" s="3">
        <f t="shared" si="209"/>
        <v>74</v>
      </c>
      <c r="AK412" s="3">
        <f t="shared" si="210"/>
        <v>69</v>
      </c>
      <c r="AL412" s="3">
        <f t="shared" si="211"/>
        <v>64</v>
      </c>
      <c r="AM412" s="3">
        <f t="shared" si="212"/>
        <v>59</v>
      </c>
      <c r="AN412" s="3">
        <f t="shared" si="213"/>
        <v>53</v>
      </c>
      <c r="AO412" s="3">
        <f t="shared" si="214"/>
        <v>48</v>
      </c>
      <c r="AP412" s="3">
        <f t="shared" si="215"/>
        <v>43</v>
      </c>
      <c r="AQ412" s="3">
        <f t="shared" si="216"/>
        <v>38</v>
      </c>
      <c r="AR412" s="3">
        <f t="shared" si="217"/>
        <v>32</v>
      </c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M412" s="35" t="s">
        <v>12</v>
      </c>
      <c r="BO412" s="35"/>
      <c r="BR412" s="9" t="str">
        <f t="shared" si="227"/>
        <v/>
      </c>
      <c r="BS412" s="37" t="str">
        <f t="shared" si="228"/>
        <v/>
      </c>
      <c r="BT412" s="38" t="str">
        <f t="shared" si="219"/>
        <v/>
      </c>
      <c r="BU412" s="36" t="str">
        <f t="shared" si="229"/>
        <v/>
      </c>
    </row>
    <row r="413" spans="2:73" ht="15">
      <c r="B413" s="16">
        <f t="shared" si="230"/>
        <v>45964</v>
      </c>
      <c r="C413" s="15" t="s">
        <v>1</v>
      </c>
      <c r="D413" s="17">
        <f t="shared" si="231"/>
        <v>45970</v>
      </c>
      <c r="E413" s="18">
        <f t="shared" si="232"/>
        <v>11</v>
      </c>
      <c r="F413" s="19">
        <f t="shared" si="233"/>
        <v>2025</v>
      </c>
      <c r="G413" s="9">
        <f t="shared" si="235"/>
        <v>17</v>
      </c>
      <c r="H413" s="8">
        <f t="shared" si="235"/>
        <v>95</v>
      </c>
      <c r="I413" s="9"/>
      <c r="J413" s="9"/>
      <c r="K413" s="9"/>
      <c r="L413" s="9"/>
      <c r="M413" s="9"/>
      <c r="N413" s="9"/>
      <c r="O413" s="12"/>
      <c r="P413" s="12"/>
      <c r="Q413" s="12"/>
      <c r="R413" s="12"/>
      <c r="S413" s="12"/>
      <c r="T413" s="12"/>
      <c r="V413" s="20">
        <f t="shared" si="221"/>
        <v>0</v>
      </c>
      <c r="W413" s="20">
        <f t="shared" si="222"/>
        <v>0</v>
      </c>
      <c r="X413" s="20">
        <f t="shared" si="223"/>
        <v>0</v>
      </c>
      <c r="Y413" s="20">
        <f t="shared" si="224"/>
        <v>0</v>
      </c>
      <c r="Z413" s="20">
        <f t="shared" si="225"/>
        <v>0</v>
      </c>
      <c r="AA413" s="20">
        <f t="shared" si="226"/>
        <v>0</v>
      </c>
      <c r="AC413" s="3">
        <f t="shared" si="202"/>
        <v>0</v>
      </c>
      <c r="AD413" s="3">
        <f t="shared" si="203"/>
        <v>0</v>
      </c>
      <c r="AE413" s="3">
        <f t="shared" si="204"/>
        <v>0</v>
      </c>
      <c r="AF413" s="3">
        <f t="shared" si="205"/>
        <v>0</v>
      </c>
      <c r="AG413" s="3">
        <f t="shared" si="206"/>
        <v>91</v>
      </c>
      <c r="AH413" s="3">
        <f t="shared" si="207"/>
        <v>86</v>
      </c>
      <c r="AI413" s="3">
        <f t="shared" si="208"/>
        <v>81</v>
      </c>
      <c r="AJ413" s="3">
        <f t="shared" si="209"/>
        <v>75</v>
      </c>
      <c r="AK413" s="3">
        <f t="shared" si="210"/>
        <v>70</v>
      </c>
      <c r="AL413" s="3">
        <f t="shared" si="211"/>
        <v>65</v>
      </c>
      <c r="AM413" s="3">
        <f t="shared" si="212"/>
        <v>60</v>
      </c>
      <c r="AN413" s="3">
        <f t="shared" si="213"/>
        <v>54</v>
      </c>
      <c r="AO413" s="3">
        <f t="shared" si="214"/>
        <v>49</v>
      </c>
      <c r="AP413" s="3">
        <f t="shared" si="215"/>
        <v>44</v>
      </c>
      <c r="AQ413" s="3">
        <f t="shared" si="216"/>
        <v>39</v>
      </c>
      <c r="AR413" s="3">
        <f t="shared" si="217"/>
        <v>33</v>
      </c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M413" s="35" t="s">
        <v>12</v>
      </c>
      <c r="BO413" s="35"/>
      <c r="BR413" s="9" t="str">
        <f t="shared" si="227"/>
        <v/>
      </c>
      <c r="BS413" s="37" t="str">
        <f t="shared" si="228"/>
        <v/>
      </c>
      <c r="BT413" s="38" t="str">
        <f t="shared" si="219"/>
        <v/>
      </c>
      <c r="BU413" s="36" t="str">
        <f t="shared" si="229"/>
        <v/>
      </c>
    </row>
    <row r="414" spans="2:73" ht="15">
      <c r="B414" s="16">
        <f t="shared" si="230"/>
        <v>45971</v>
      </c>
      <c r="C414" s="15" t="s">
        <v>1</v>
      </c>
      <c r="D414" s="17">
        <f t="shared" si="231"/>
        <v>45977</v>
      </c>
      <c r="E414" s="18">
        <f t="shared" si="232"/>
        <v>11</v>
      </c>
      <c r="F414" s="19">
        <f t="shared" si="233"/>
        <v>2025</v>
      </c>
      <c r="G414" s="9">
        <f t="shared" si="235"/>
        <v>17</v>
      </c>
      <c r="H414" s="8">
        <f t="shared" si="235"/>
        <v>95</v>
      </c>
      <c r="I414" s="9"/>
      <c r="J414" s="9"/>
      <c r="K414" s="9"/>
      <c r="L414" s="9"/>
      <c r="M414" s="9"/>
      <c r="N414" s="9"/>
      <c r="O414" s="12"/>
      <c r="P414" s="12"/>
      <c r="Q414" s="12"/>
      <c r="R414" s="12"/>
      <c r="S414" s="12"/>
      <c r="T414" s="12"/>
      <c r="V414" s="20">
        <f t="shared" si="221"/>
        <v>0</v>
      </c>
      <c r="W414" s="20">
        <f t="shared" si="222"/>
        <v>0</v>
      </c>
      <c r="X414" s="20">
        <f t="shared" si="223"/>
        <v>0</v>
      </c>
      <c r="Y414" s="20">
        <f t="shared" si="224"/>
        <v>0</v>
      </c>
      <c r="Z414" s="20">
        <f t="shared" si="225"/>
        <v>0</v>
      </c>
      <c r="AA414" s="20">
        <f t="shared" si="226"/>
        <v>0</v>
      </c>
      <c r="AC414" s="3">
        <f t="shared" si="202"/>
        <v>0</v>
      </c>
      <c r="AD414" s="3">
        <f t="shared" si="203"/>
        <v>0</v>
      </c>
      <c r="AE414" s="3">
        <f t="shared" si="204"/>
        <v>0</v>
      </c>
      <c r="AF414" s="3">
        <f t="shared" si="205"/>
        <v>0</v>
      </c>
      <c r="AG414" s="3">
        <f t="shared" si="206"/>
        <v>92</v>
      </c>
      <c r="AH414" s="3">
        <f t="shared" si="207"/>
        <v>87</v>
      </c>
      <c r="AI414" s="3">
        <f t="shared" si="208"/>
        <v>82</v>
      </c>
      <c r="AJ414" s="3">
        <f t="shared" si="209"/>
        <v>76</v>
      </c>
      <c r="AK414" s="3">
        <f t="shared" si="210"/>
        <v>71</v>
      </c>
      <c r="AL414" s="3">
        <f t="shared" si="211"/>
        <v>66</v>
      </c>
      <c r="AM414" s="3">
        <f t="shared" si="212"/>
        <v>61</v>
      </c>
      <c r="AN414" s="3">
        <f t="shared" si="213"/>
        <v>55</v>
      </c>
      <c r="AO414" s="3">
        <f t="shared" si="214"/>
        <v>50</v>
      </c>
      <c r="AP414" s="3">
        <f t="shared" si="215"/>
        <v>45</v>
      </c>
      <c r="AQ414" s="3">
        <f t="shared" si="216"/>
        <v>40</v>
      </c>
      <c r="AR414" s="3">
        <f t="shared" si="217"/>
        <v>34</v>
      </c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M414" s="35" t="s">
        <v>12</v>
      </c>
      <c r="BO414" s="35"/>
      <c r="BR414" s="9" t="str">
        <f t="shared" si="227"/>
        <v/>
      </c>
      <c r="BS414" s="37" t="str">
        <f t="shared" si="228"/>
        <v/>
      </c>
      <c r="BT414" s="38" t="str">
        <f t="shared" si="219"/>
        <v/>
      </c>
      <c r="BU414" s="36" t="str">
        <f t="shared" si="229"/>
        <v/>
      </c>
    </row>
    <row r="415" spans="2:73" ht="15">
      <c r="B415" s="16">
        <f t="shared" si="230"/>
        <v>45978</v>
      </c>
      <c r="C415" s="15" t="s">
        <v>1</v>
      </c>
      <c r="D415" s="17">
        <f t="shared" si="231"/>
        <v>45984</v>
      </c>
      <c r="E415" s="18">
        <f t="shared" si="232"/>
        <v>11</v>
      </c>
      <c r="F415" s="19">
        <f t="shared" si="233"/>
        <v>2025</v>
      </c>
      <c r="G415" s="9">
        <f t="shared" si="235"/>
        <v>17</v>
      </c>
      <c r="H415" s="8">
        <f t="shared" si="235"/>
        <v>95</v>
      </c>
      <c r="I415" s="9"/>
      <c r="J415" s="9"/>
      <c r="K415" s="9"/>
      <c r="L415" s="9"/>
      <c r="M415" s="9"/>
      <c r="N415" s="9"/>
      <c r="O415" s="12"/>
      <c r="P415" s="12"/>
      <c r="Q415" s="12"/>
      <c r="R415" s="12"/>
      <c r="S415" s="12"/>
      <c r="T415" s="12"/>
      <c r="V415" s="20">
        <f t="shared" si="221"/>
        <v>0</v>
      </c>
      <c r="W415" s="20">
        <f t="shared" si="222"/>
        <v>0</v>
      </c>
      <c r="X415" s="20">
        <f t="shared" si="223"/>
        <v>0</v>
      </c>
      <c r="Y415" s="20">
        <f t="shared" si="224"/>
        <v>0</v>
      </c>
      <c r="Z415" s="20">
        <f t="shared" si="225"/>
        <v>0</v>
      </c>
      <c r="AA415" s="20">
        <f t="shared" si="226"/>
        <v>0</v>
      </c>
      <c r="AC415" s="3">
        <f t="shared" si="202"/>
        <v>0</v>
      </c>
      <c r="AD415" s="3">
        <f t="shared" si="203"/>
        <v>0</v>
      </c>
      <c r="AE415" s="3">
        <f t="shared" si="204"/>
        <v>0</v>
      </c>
      <c r="AF415" s="3">
        <f t="shared" si="205"/>
        <v>0</v>
      </c>
      <c r="AG415" s="3">
        <f t="shared" si="206"/>
        <v>93</v>
      </c>
      <c r="AH415" s="3">
        <f t="shared" si="207"/>
        <v>88</v>
      </c>
      <c r="AI415" s="3">
        <f t="shared" si="208"/>
        <v>83</v>
      </c>
      <c r="AJ415" s="3">
        <f t="shared" si="209"/>
        <v>77</v>
      </c>
      <c r="AK415" s="3">
        <f t="shared" si="210"/>
        <v>72</v>
      </c>
      <c r="AL415" s="3">
        <f t="shared" si="211"/>
        <v>67</v>
      </c>
      <c r="AM415" s="3">
        <f t="shared" si="212"/>
        <v>62</v>
      </c>
      <c r="AN415" s="3">
        <f t="shared" si="213"/>
        <v>56</v>
      </c>
      <c r="AO415" s="3">
        <f t="shared" si="214"/>
        <v>51</v>
      </c>
      <c r="AP415" s="3">
        <f t="shared" si="215"/>
        <v>46</v>
      </c>
      <c r="AQ415" s="3">
        <f t="shared" si="216"/>
        <v>41</v>
      </c>
      <c r="AR415" s="3">
        <f t="shared" si="217"/>
        <v>35</v>
      </c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M415" s="35" t="s">
        <v>12</v>
      </c>
      <c r="BO415" s="35"/>
      <c r="BR415" s="9" t="str">
        <f t="shared" si="227"/>
        <v/>
      </c>
      <c r="BS415" s="37" t="str">
        <f t="shared" si="228"/>
        <v/>
      </c>
      <c r="BT415" s="38" t="str">
        <f t="shared" si="219"/>
        <v/>
      </c>
      <c r="BU415" s="36" t="str">
        <f t="shared" si="229"/>
        <v/>
      </c>
    </row>
    <row r="416" spans="2:73" ht="15">
      <c r="B416" s="16">
        <f t="shared" si="230"/>
        <v>45985</v>
      </c>
      <c r="C416" s="15" t="s">
        <v>1</v>
      </c>
      <c r="D416" s="17">
        <f t="shared" si="231"/>
        <v>45991</v>
      </c>
      <c r="E416" s="18">
        <f t="shared" si="232"/>
        <v>11</v>
      </c>
      <c r="F416" s="19">
        <f t="shared" si="233"/>
        <v>2025</v>
      </c>
      <c r="G416" s="9">
        <f t="shared" si="235"/>
        <v>17</v>
      </c>
      <c r="H416" s="8">
        <f t="shared" si="235"/>
        <v>95</v>
      </c>
      <c r="I416" s="9"/>
      <c r="J416" s="9"/>
      <c r="K416" s="9"/>
      <c r="L416" s="9"/>
      <c r="M416" s="9"/>
      <c r="N416" s="9"/>
      <c r="O416" s="12"/>
      <c r="P416" s="12"/>
      <c r="Q416" s="12"/>
      <c r="R416" s="12"/>
      <c r="S416" s="12"/>
      <c r="T416" s="12"/>
      <c r="V416" s="20">
        <f t="shared" si="221"/>
        <v>0</v>
      </c>
      <c r="W416" s="20">
        <f t="shared" si="222"/>
        <v>0</v>
      </c>
      <c r="X416" s="20">
        <f t="shared" si="223"/>
        <v>0</v>
      </c>
      <c r="Y416" s="20">
        <f t="shared" si="224"/>
        <v>0</v>
      </c>
      <c r="Z416" s="20">
        <f t="shared" si="225"/>
        <v>0</v>
      </c>
      <c r="AA416" s="20">
        <f t="shared" si="226"/>
        <v>0</v>
      </c>
      <c r="AC416" s="3">
        <f t="shared" si="202"/>
        <v>0</v>
      </c>
      <c r="AD416" s="3">
        <f t="shared" si="203"/>
        <v>0</v>
      </c>
      <c r="AE416" s="3">
        <f t="shared" si="204"/>
        <v>0</v>
      </c>
      <c r="AF416" s="3">
        <f t="shared" si="205"/>
        <v>0</v>
      </c>
      <c r="AG416" s="3">
        <f t="shared" si="206"/>
        <v>94</v>
      </c>
      <c r="AH416" s="3">
        <f t="shared" si="207"/>
        <v>89</v>
      </c>
      <c r="AI416" s="3">
        <f t="shared" si="208"/>
        <v>84</v>
      </c>
      <c r="AJ416" s="3">
        <f t="shared" si="209"/>
        <v>78</v>
      </c>
      <c r="AK416" s="3">
        <f t="shared" si="210"/>
        <v>73</v>
      </c>
      <c r="AL416" s="3">
        <f t="shared" si="211"/>
        <v>68</v>
      </c>
      <c r="AM416" s="3">
        <f t="shared" si="212"/>
        <v>63</v>
      </c>
      <c r="AN416" s="3">
        <f t="shared" si="213"/>
        <v>57</v>
      </c>
      <c r="AO416" s="3">
        <f t="shared" si="214"/>
        <v>52</v>
      </c>
      <c r="AP416" s="3">
        <f t="shared" si="215"/>
        <v>47</v>
      </c>
      <c r="AQ416" s="3">
        <f t="shared" si="216"/>
        <v>42</v>
      </c>
      <c r="AR416" s="3">
        <f t="shared" si="217"/>
        <v>36</v>
      </c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M416" s="35" t="s">
        <v>12</v>
      </c>
      <c r="BO416" s="35"/>
      <c r="BR416" s="9" t="str">
        <f t="shared" si="227"/>
        <v/>
      </c>
      <c r="BS416" s="37" t="str">
        <f t="shared" si="228"/>
        <v/>
      </c>
      <c r="BT416" s="38" t="str">
        <f t="shared" si="219"/>
        <v/>
      </c>
      <c r="BU416" s="36" t="str">
        <f t="shared" si="229"/>
        <v/>
      </c>
    </row>
    <row r="417" spans="2:73" ht="15">
      <c r="B417" s="16">
        <f t="shared" si="230"/>
        <v>45992</v>
      </c>
      <c r="C417" s="15" t="s">
        <v>1</v>
      </c>
      <c r="D417" s="17">
        <f t="shared" si="231"/>
        <v>45998</v>
      </c>
      <c r="E417" s="18">
        <f t="shared" si="232"/>
        <v>12</v>
      </c>
      <c r="F417" s="19">
        <f t="shared" si="233"/>
        <v>2025</v>
      </c>
      <c r="G417" s="9">
        <f t="shared" si="235"/>
        <v>17</v>
      </c>
      <c r="H417" s="8">
        <f t="shared" si="235"/>
        <v>95</v>
      </c>
      <c r="I417" s="9"/>
      <c r="J417" s="9"/>
      <c r="K417" s="9"/>
      <c r="L417" s="9"/>
      <c r="M417" s="9"/>
      <c r="N417" s="9"/>
      <c r="O417" s="12"/>
      <c r="P417" s="12"/>
      <c r="Q417" s="12"/>
      <c r="R417" s="12"/>
      <c r="S417" s="12"/>
      <c r="T417" s="12"/>
      <c r="V417" s="20">
        <f t="shared" si="221"/>
        <v>0</v>
      </c>
      <c r="W417" s="20">
        <f t="shared" si="222"/>
        <v>0</v>
      </c>
      <c r="X417" s="20">
        <f t="shared" si="223"/>
        <v>0</v>
      </c>
      <c r="Y417" s="20">
        <f t="shared" si="224"/>
        <v>0</v>
      </c>
      <c r="Z417" s="20">
        <f t="shared" si="225"/>
        <v>0</v>
      </c>
      <c r="AA417" s="20">
        <f t="shared" si="226"/>
        <v>0</v>
      </c>
      <c r="AC417" s="3">
        <f t="shared" si="202"/>
        <v>0</v>
      </c>
      <c r="AD417" s="3">
        <f t="shared" si="203"/>
        <v>0</v>
      </c>
      <c r="AE417" s="3">
        <f t="shared" si="204"/>
        <v>0</v>
      </c>
      <c r="AF417" s="3">
        <f t="shared" si="205"/>
        <v>0</v>
      </c>
      <c r="AG417" s="3">
        <f t="shared" si="206"/>
        <v>95</v>
      </c>
      <c r="AH417" s="3">
        <f t="shared" si="207"/>
        <v>90</v>
      </c>
      <c r="AI417" s="3">
        <f t="shared" si="208"/>
        <v>85</v>
      </c>
      <c r="AJ417" s="3">
        <f t="shared" si="209"/>
        <v>79</v>
      </c>
      <c r="AK417" s="3">
        <f t="shared" si="210"/>
        <v>74</v>
      </c>
      <c r="AL417" s="3">
        <f t="shared" si="211"/>
        <v>69</v>
      </c>
      <c r="AM417" s="3">
        <f t="shared" si="212"/>
        <v>64</v>
      </c>
      <c r="AN417" s="3">
        <f t="shared" si="213"/>
        <v>58</v>
      </c>
      <c r="AO417" s="3">
        <f t="shared" si="214"/>
        <v>53</v>
      </c>
      <c r="AP417" s="3">
        <f t="shared" si="215"/>
        <v>48</v>
      </c>
      <c r="AQ417" s="3">
        <f t="shared" si="216"/>
        <v>43</v>
      </c>
      <c r="AR417" s="3">
        <f t="shared" si="217"/>
        <v>37</v>
      </c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M417" s="35" t="s">
        <v>12</v>
      </c>
      <c r="BO417" s="35"/>
      <c r="BR417" s="9" t="str">
        <f t="shared" si="227"/>
        <v/>
      </c>
      <c r="BS417" s="37" t="str">
        <f t="shared" si="228"/>
        <v/>
      </c>
      <c r="BT417" s="38" t="str">
        <f t="shared" si="219"/>
        <v/>
      </c>
      <c r="BU417" s="36" t="str">
        <f t="shared" si="229"/>
        <v/>
      </c>
    </row>
    <row r="418" spans="2:73" ht="15">
      <c r="B418" s="16">
        <f t="shared" si="230"/>
        <v>45999</v>
      </c>
      <c r="C418" s="15" t="s">
        <v>1</v>
      </c>
      <c r="D418" s="17">
        <f t="shared" si="231"/>
        <v>46005</v>
      </c>
      <c r="E418" s="18">
        <f t="shared" si="232"/>
        <v>12</v>
      </c>
      <c r="F418" s="19">
        <f t="shared" si="233"/>
        <v>2025</v>
      </c>
      <c r="G418" s="9">
        <f t="shared" si="235"/>
        <v>17</v>
      </c>
      <c r="H418" s="8">
        <f t="shared" si="235"/>
        <v>95</v>
      </c>
      <c r="I418" s="9"/>
      <c r="J418" s="9"/>
      <c r="K418" s="9"/>
      <c r="L418" s="9"/>
      <c r="M418" s="9"/>
      <c r="N418" s="9"/>
      <c r="O418" s="12"/>
      <c r="P418" s="12"/>
      <c r="Q418" s="12"/>
      <c r="R418" s="12"/>
      <c r="S418" s="12"/>
      <c r="T418" s="12"/>
      <c r="V418" s="20">
        <f t="shared" si="221"/>
        <v>0</v>
      </c>
      <c r="W418" s="20">
        <f t="shared" si="222"/>
        <v>0</v>
      </c>
      <c r="X418" s="20">
        <f t="shared" si="223"/>
        <v>0</v>
      </c>
      <c r="Y418" s="20">
        <f t="shared" si="224"/>
        <v>0</v>
      </c>
      <c r="Z418" s="20">
        <f t="shared" si="225"/>
        <v>0</v>
      </c>
      <c r="AA418" s="20">
        <f t="shared" si="226"/>
        <v>0</v>
      </c>
      <c r="AC418" s="3">
        <f t="shared" si="202"/>
        <v>0</v>
      </c>
      <c r="AD418" s="3">
        <f t="shared" si="203"/>
        <v>0</v>
      </c>
      <c r="AE418" s="3">
        <f t="shared" si="204"/>
        <v>0</v>
      </c>
      <c r="AF418" s="3">
        <f t="shared" si="205"/>
        <v>0</v>
      </c>
      <c r="AG418" s="3">
        <f t="shared" si="206"/>
        <v>0</v>
      </c>
      <c r="AH418" s="3">
        <f t="shared" si="207"/>
        <v>91</v>
      </c>
      <c r="AI418" s="3">
        <f t="shared" si="208"/>
        <v>86</v>
      </c>
      <c r="AJ418" s="3">
        <f t="shared" si="209"/>
        <v>80</v>
      </c>
      <c r="AK418" s="3">
        <f t="shared" si="210"/>
        <v>75</v>
      </c>
      <c r="AL418" s="3">
        <f t="shared" si="211"/>
        <v>70</v>
      </c>
      <c r="AM418" s="3">
        <f t="shared" si="212"/>
        <v>65</v>
      </c>
      <c r="AN418" s="3">
        <f t="shared" si="213"/>
        <v>59</v>
      </c>
      <c r="AO418" s="3">
        <f t="shared" si="214"/>
        <v>54</v>
      </c>
      <c r="AP418" s="3">
        <f t="shared" si="215"/>
        <v>49</v>
      </c>
      <c r="AQ418" s="3">
        <f t="shared" si="216"/>
        <v>44</v>
      </c>
      <c r="AR418" s="3">
        <f t="shared" si="217"/>
        <v>38</v>
      </c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M418" s="35" t="s">
        <v>12</v>
      </c>
      <c r="BO418" s="35"/>
      <c r="BR418" s="9" t="str">
        <f t="shared" si="227"/>
        <v/>
      </c>
      <c r="BS418" s="37" t="str">
        <f t="shared" si="228"/>
        <v/>
      </c>
      <c r="BT418" s="38" t="str">
        <f t="shared" si="219"/>
        <v/>
      </c>
      <c r="BU418" s="36" t="str">
        <f t="shared" si="229"/>
        <v/>
      </c>
    </row>
    <row r="419" spans="2:73" ht="15">
      <c r="B419" s="16">
        <f t="shared" si="230"/>
        <v>46006</v>
      </c>
      <c r="C419" s="15" t="s">
        <v>1</v>
      </c>
      <c r="D419" s="17">
        <f t="shared" si="231"/>
        <v>46012</v>
      </c>
      <c r="E419" s="18">
        <f t="shared" si="232"/>
        <v>12</v>
      </c>
      <c r="F419" s="19">
        <f t="shared" si="233"/>
        <v>2025</v>
      </c>
      <c r="G419" s="9">
        <f t="shared" si="235"/>
        <v>17</v>
      </c>
      <c r="H419" s="8">
        <f t="shared" si="235"/>
        <v>95</v>
      </c>
      <c r="I419" s="9"/>
      <c r="J419" s="9"/>
      <c r="K419" s="9"/>
      <c r="L419" s="9"/>
      <c r="M419" s="9"/>
      <c r="N419" s="9"/>
      <c r="O419" s="12"/>
      <c r="P419" s="12"/>
      <c r="Q419" s="12"/>
      <c r="R419" s="12"/>
      <c r="S419" s="12"/>
      <c r="T419" s="12"/>
      <c r="V419" s="20">
        <f t="shared" si="221"/>
        <v>0</v>
      </c>
      <c r="W419" s="20">
        <f t="shared" si="222"/>
        <v>0</v>
      </c>
      <c r="X419" s="20">
        <f t="shared" si="223"/>
        <v>0</v>
      </c>
      <c r="Y419" s="20">
        <f t="shared" si="224"/>
        <v>0</v>
      </c>
      <c r="Z419" s="20">
        <f t="shared" si="225"/>
        <v>0</v>
      </c>
      <c r="AA419" s="20">
        <f t="shared" si="226"/>
        <v>0</v>
      </c>
      <c r="AC419" s="3">
        <f t="shared" si="202"/>
        <v>0</v>
      </c>
      <c r="AD419" s="3">
        <f t="shared" si="203"/>
        <v>0</v>
      </c>
      <c r="AE419" s="3">
        <f t="shared" si="204"/>
        <v>0</v>
      </c>
      <c r="AF419" s="3">
        <f t="shared" si="205"/>
        <v>0</v>
      </c>
      <c r="AG419" s="3">
        <f t="shared" si="206"/>
        <v>0</v>
      </c>
      <c r="AH419" s="3">
        <f t="shared" si="207"/>
        <v>92</v>
      </c>
      <c r="AI419" s="3">
        <f t="shared" si="208"/>
        <v>87</v>
      </c>
      <c r="AJ419" s="3">
        <f t="shared" si="209"/>
        <v>81</v>
      </c>
      <c r="AK419" s="3">
        <f t="shared" si="210"/>
        <v>76</v>
      </c>
      <c r="AL419" s="3">
        <f t="shared" si="211"/>
        <v>71</v>
      </c>
      <c r="AM419" s="3">
        <f t="shared" si="212"/>
        <v>66</v>
      </c>
      <c r="AN419" s="3">
        <f t="shared" si="213"/>
        <v>60</v>
      </c>
      <c r="AO419" s="3">
        <f t="shared" si="214"/>
        <v>55</v>
      </c>
      <c r="AP419" s="3">
        <f t="shared" si="215"/>
        <v>50</v>
      </c>
      <c r="AQ419" s="3">
        <f t="shared" si="216"/>
        <v>45</v>
      </c>
      <c r="AR419" s="3">
        <f t="shared" si="217"/>
        <v>39</v>
      </c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M419" s="35" t="s">
        <v>12</v>
      </c>
      <c r="BO419" s="35"/>
      <c r="BR419" s="9" t="str">
        <f t="shared" si="227"/>
        <v/>
      </c>
      <c r="BS419" s="37" t="str">
        <f t="shared" si="228"/>
        <v/>
      </c>
      <c r="BT419" s="38" t="str">
        <f t="shared" si="219"/>
        <v/>
      </c>
      <c r="BU419" s="36" t="str">
        <f t="shared" si="229"/>
        <v/>
      </c>
    </row>
    <row r="420" spans="2:73" ht="15">
      <c r="B420" s="16">
        <f t="shared" si="230"/>
        <v>46013</v>
      </c>
      <c r="C420" s="15" t="s">
        <v>1</v>
      </c>
      <c r="D420" s="17">
        <f t="shared" si="231"/>
        <v>46019</v>
      </c>
      <c r="E420" s="18">
        <f t="shared" si="232"/>
        <v>12</v>
      </c>
      <c r="F420" s="19">
        <f t="shared" si="233"/>
        <v>2025</v>
      </c>
      <c r="G420" s="9">
        <f t="shared" si="235"/>
        <v>17</v>
      </c>
      <c r="H420" s="8">
        <f t="shared" si="235"/>
        <v>95</v>
      </c>
      <c r="I420" s="9"/>
      <c r="J420" s="9"/>
      <c r="K420" s="9"/>
      <c r="L420" s="9"/>
      <c r="M420" s="9"/>
      <c r="N420" s="9"/>
      <c r="O420" s="12"/>
      <c r="P420" s="12"/>
      <c r="Q420" s="12"/>
      <c r="R420" s="12"/>
      <c r="S420" s="12"/>
      <c r="T420" s="12"/>
      <c r="V420" s="20">
        <f t="shared" si="221"/>
        <v>0</v>
      </c>
      <c r="W420" s="20">
        <f t="shared" si="222"/>
        <v>0</v>
      </c>
      <c r="X420" s="20">
        <f t="shared" si="223"/>
        <v>0</v>
      </c>
      <c r="Y420" s="20">
        <f t="shared" si="224"/>
        <v>0</v>
      </c>
      <c r="Z420" s="20">
        <f t="shared" si="225"/>
        <v>0</v>
      </c>
      <c r="AA420" s="20">
        <f t="shared" si="226"/>
        <v>0</v>
      </c>
      <c r="AC420" s="3">
        <f t="shared" si="202"/>
        <v>0</v>
      </c>
      <c r="AD420" s="3">
        <f t="shared" si="203"/>
        <v>0</v>
      </c>
      <c r="AE420" s="3">
        <f t="shared" si="204"/>
        <v>0</v>
      </c>
      <c r="AF420" s="3">
        <f t="shared" si="205"/>
        <v>0</v>
      </c>
      <c r="AG420" s="3">
        <f t="shared" si="206"/>
        <v>0</v>
      </c>
      <c r="AH420" s="3">
        <f t="shared" si="207"/>
        <v>93</v>
      </c>
      <c r="AI420" s="3">
        <f t="shared" si="208"/>
        <v>88</v>
      </c>
      <c r="AJ420" s="3">
        <f t="shared" si="209"/>
        <v>82</v>
      </c>
      <c r="AK420" s="3">
        <f t="shared" si="210"/>
        <v>77</v>
      </c>
      <c r="AL420" s="3">
        <f t="shared" si="211"/>
        <v>72</v>
      </c>
      <c r="AM420" s="3">
        <f t="shared" si="212"/>
        <v>67</v>
      </c>
      <c r="AN420" s="3">
        <f t="shared" si="213"/>
        <v>61</v>
      </c>
      <c r="AO420" s="3">
        <f t="shared" si="214"/>
        <v>56</v>
      </c>
      <c r="AP420" s="3">
        <f t="shared" si="215"/>
        <v>51</v>
      </c>
      <c r="AQ420" s="3">
        <f t="shared" si="216"/>
        <v>46</v>
      </c>
      <c r="AR420" s="3">
        <f t="shared" si="217"/>
        <v>40</v>
      </c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M420" s="35" t="s">
        <v>12</v>
      </c>
      <c r="BO420" s="35"/>
      <c r="BR420" s="9" t="str">
        <f t="shared" si="227"/>
        <v/>
      </c>
      <c r="BS420" s="37" t="str">
        <f t="shared" si="228"/>
        <v/>
      </c>
      <c r="BT420" s="38" t="str">
        <f t="shared" si="219"/>
        <v/>
      </c>
      <c r="BU420" s="36" t="str">
        <f t="shared" si="229"/>
        <v/>
      </c>
    </row>
    <row r="421" spans="2:73" ht="15">
      <c r="B421" s="16">
        <f t="shared" si="230"/>
        <v>46020</v>
      </c>
      <c r="C421" s="15" t="s">
        <v>1</v>
      </c>
      <c r="D421" s="17">
        <f t="shared" si="231"/>
        <v>46026</v>
      </c>
      <c r="E421" s="18">
        <f t="shared" si="232"/>
        <v>12</v>
      </c>
      <c r="F421" s="19">
        <f t="shared" si="233"/>
        <v>2026</v>
      </c>
      <c r="G421" s="9">
        <f t="shared" si="235"/>
        <v>17</v>
      </c>
      <c r="H421" s="8">
        <f t="shared" si="235"/>
        <v>95</v>
      </c>
      <c r="I421" s="9"/>
      <c r="J421" s="9"/>
      <c r="K421" s="9"/>
      <c r="L421" s="9"/>
      <c r="M421" s="9"/>
      <c r="N421" s="9"/>
      <c r="O421" s="12"/>
      <c r="P421" s="12"/>
      <c r="Q421" s="12"/>
      <c r="R421" s="12"/>
      <c r="S421" s="12"/>
      <c r="T421" s="12"/>
      <c r="V421" s="20">
        <f t="shared" si="221"/>
        <v>0</v>
      </c>
      <c r="W421" s="20">
        <f t="shared" si="222"/>
        <v>0</v>
      </c>
      <c r="X421" s="20">
        <f t="shared" si="223"/>
        <v>0</v>
      </c>
      <c r="Y421" s="20">
        <f t="shared" si="224"/>
        <v>0</v>
      </c>
      <c r="Z421" s="20">
        <f t="shared" si="225"/>
        <v>0</v>
      </c>
      <c r="AA421" s="20">
        <f t="shared" si="226"/>
        <v>0</v>
      </c>
      <c r="AC421" s="3">
        <f t="shared" si="202"/>
        <v>0</v>
      </c>
      <c r="AD421" s="3">
        <f t="shared" si="203"/>
        <v>0</v>
      </c>
      <c r="AE421" s="3">
        <f t="shared" si="204"/>
        <v>0</v>
      </c>
      <c r="AF421" s="3">
        <f t="shared" si="205"/>
        <v>0</v>
      </c>
      <c r="AG421" s="3">
        <f t="shared" si="206"/>
        <v>0</v>
      </c>
      <c r="AH421" s="3">
        <f t="shared" si="207"/>
        <v>94</v>
      </c>
      <c r="AI421" s="3">
        <f t="shared" si="208"/>
        <v>89</v>
      </c>
      <c r="AJ421" s="3">
        <f t="shared" si="209"/>
        <v>83</v>
      </c>
      <c r="AK421" s="3">
        <f t="shared" si="210"/>
        <v>78</v>
      </c>
      <c r="AL421" s="3">
        <f t="shared" si="211"/>
        <v>73</v>
      </c>
      <c r="AM421" s="3">
        <f t="shared" si="212"/>
        <v>68</v>
      </c>
      <c r="AN421" s="3">
        <f t="shared" si="213"/>
        <v>62</v>
      </c>
      <c r="AO421" s="3">
        <f t="shared" si="214"/>
        <v>57</v>
      </c>
      <c r="AP421" s="3">
        <f t="shared" si="215"/>
        <v>52</v>
      </c>
      <c r="AQ421" s="3">
        <f t="shared" si="216"/>
        <v>47</v>
      </c>
      <c r="AR421" s="3">
        <f t="shared" si="217"/>
        <v>41</v>
      </c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M421" s="35" t="s">
        <v>12</v>
      </c>
      <c r="BO421" s="35"/>
      <c r="BR421" s="9" t="str">
        <f t="shared" si="227"/>
        <v/>
      </c>
      <c r="BS421" s="37" t="str">
        <f t="shared" si="228"/>
        <v/>
      </c>
      <c r="BT421" s="38" t="str">
        <f t="shared" si="219"/>
        <v/>
      </c>
      <c r="BU421" s="36" t="str">
        <f t="shared" si="229"/>
        <v/>
      </c>
    </row>
  </sheetData>
  <mergeCells count="4">
    <mergeCell ref="B2:D2"/>
    <mergeCell ref="I2:N2"/>
    <mergeCell ref="BR1:BS1"/>
    <mergeCell ref="BT1:BU1"/>
  </mergeCells>
  <conditionalFormatting sqref="V3:V421">
    <cfRule type="cellIs" dxfId="5" priority="10" operator="greaterThanOrEqual">
      <formula>1</formula>
    </cfRule>
  </conditionalFormatting>
  <conditionalFormatting sqref="W3:Y3">
    <cfRule type="cellIs" dxfId="4" priority="11" operator="greaterThanOrEqual">
      <formula>1</formula>
    </cfRule>
  </conditionalFormatting>
  <conditionalFormatting sqref="Z3:AA421">
    <cfRule type="cellIs" dxfId="3" priority="6" operator="greaterThanOrEqual">
      <formula>1</formula>
    </cfRule>
  </conditionalFormatting>
  <conditionalFormatting sqref="AC3:AR421 W4:AA421">
    <cfRule type="cellIs" dxfId="2" priority="14" operator="greaterThanOrEqual">
      <formula>1</formula>
    </cfRule>
  </conditionalFormatting>
  <printOptions horizontalCentered="1"/>
  <pageMargins left="0.511811024" right="0.511811024" top="0.53740157499999996" bottom="0.53740157499999996" header="0.31496062000000002" footer="0.31496062000000002"/>
  <pageSetup paperSize="9" scale="35" fitToHeight="4" orientation="portrait" horizontalDpi="0" verticalDpi="0"/>
  <headerFooter>
    <oddFooter>&amp;R&amp;"Helvetica,Regular"&amp;12&amp;K000000&amp;D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E90D-3D15-E043-A02C-8D1F8EAB41FC}">
  <sheetPr>
    <pageSetUpPr fitToPage="1"/>
  </sheetPr>
  <dimension ref="A1:DK685"/>
  <sheetViews>
    <sheetView showGridLines="0" tabSelected="1" zoomScale="70" zoomScaleNormal="70" workbookViewId="0">
      <pane xSplit="6" ySplit="5" topLeftCell="AG425" activePane="bottomRight" state="frozen"/>
      <selection pane="topRight" activeCell="E1" sqref="E1"/>
      <selection pane="bottomLeft" activeCell="A3" sqref="A3"/>
      <selection pane="bottomRight" activeCell="BD425" sqref="BD425"/>
    </sheetView>
  </sheetViews>
  <sheetFormatPr baseColWidth="10" defaultRowHeight="13" outlineLevelRow="1" outlineLevelCol="2"/>
  <cols>
    <col min="1" max="1" width="5.83203125" customWidth="1"/>
    <col min="2" max="2" width="3.5" bestFit="1" customWidth="1"/>
    <col min="3" max="3" width="1.83203125" customWidth="1"/>
    <col min="4" max="4" width="3.5" bestFit="1" customWidth="1"/>
    <col min="5" max="5" width="4.83203125" style="1" bestFit="1" customWidth="1"/>
    <col min="6" max="6" width="5.6640625" bestFit="1" customWidth="1"/>
    <col min="7" max="7" width="3.5" style="10" hidden="1" customWidth="1" outlineLevel="2"/>
    <col min="8" max="8" width="4.83203125" style="1" hidden="1" customWidth="1" outlineLevel="2"/>
    <col min="9" max="19" width="3.5" style="10" hidden="1" customWidth="1" outlineLevel="2"/>
    <col min="20" max="20" width="1" style="10" hidden="1" customWidth="1" outlineLevel="2"/>
    <col min="21" max="31" width="3.6640625" style="13" hidden="1" customWidth="1" outlineLevel="1"/>
    <col min="32" max="32" width="1" style="13" hidden="1" customWidth="1" outlineLevel="1"/>
    <col min="33" max="33" width="5.83203125" customWidth="1" collapsed="1"/>
    <col min="34" max="34" width="0.1640625" customWidth="1"/>
    <col min="35" max="36" width="3.83203125" customWidth="1"/>
    <col min="37" max="38" width="3.1640625" bestFit="1" customWidth="1"/>
    <col min="39" max="39" width="4.33203125" bestFit="1" customWidth="1"/>
    <col min="40" max="40" width="3.83203125" customWidth="1"/>
    <col min="41" max="41" width="5.83203125" customWidth="1"/>
    <col min="42" max="42" width="0.1640625" customWidth="1"/>
    <col min="43" max="43" width="3.83203125" customWidth="1"/>
    <col min="44" max="44" width="1.83203125" customWidth="1"/>
    <col min="45" max="51" width="6" style="2" customWidth="1"/>
    <col min="52" max="53" width="3.33203125" style="2" customWidth="1"/>
    <col min="54" max="56" width="6" style="2" customWidth="1"/>
    <col min="57" max="64" width="3.33203125" style="2" customWidth="1"/>
    <col min="65" max="65" width="5.83203125" style="2" customWidth="1"/>
    <col min="66" max="66" width="0.1640625" style="2" customWidth="1"/>
    <col min="67" max="67" width="5.83203125" style="2" customWidth="1"/>
    <col min="68" max="68" width="0.1640625" style="2" customWidth="1"/>
    <col min="69" max="70" width="3.33203125" style="2" customWidth="1"/>
    <col min="71" max="71" width="1" style="2" customWidth="1"/>
    <col min="72" max="97" width="3.1640625" style="1" hidden="1" customWidth="1" outlineLevel="1"/>
    <col min="98" max="98" width="2.33203125" bestFit="1" customWidth="1" collapsed="1"/>
    <col min="99" max="99" width="10.1640625" style="25" hidden="1" customWidth="1"/>
    <col min="100" max="100" width="8.5" hidden="1" customWidth="1"/>
    <col min="101" max="101" width="10.83203125" hidden="1" customWidth="1"/>
    <col min="102" max="102" width="0" style="32" hidden="1" customWidth="1"/>
    <col min="103" max="103" width="0" hidden="1" customWidth="1"/>
    <col min="104" max="104" width="0" style="32" hidden="1" customWidth="1"/>
    <col min="105" max="105" width="0" hidden="1" customWidth="1"/>
    <col min="106" max="106" width="8.5" style="42" bestFit="1" customWidth="1"/>
    <col min="107" max="107" width="6.33203125" bestFit="1" customWidth="1"/>
    <col min="108" max="109" width="8.5" bestFit="1" customWidth="1"/>
    <col min="110" max="110" width="8.33203125" bestFit="1" customWidth="1"/>
    <col min="111" max="111" width="4" customWidth="1"/>
    <col min="115" max="115" width="11.1640625" bestFit="1" customWidth="1"/>
  </cols>
  <sheetData>
    <row r="1" spans="2:110">
      <c r="I1" s="124" t="s">
        <v>21</v>
      </c>
      <c r="J1" s="125"/>
      <c r="K1" s="5" t="s">
        <v>21</v>
      </c>
      <c r="L1" s="5" t="s">
        <v>21</v>
      </c>
      <c r="M1" s="124" t="s">
        <v>21</v>
      </c>
      <c r="N1" s="125"/>
      <c r="O1" s="5" t="s">
        <v>21</v>
      </c>
      <c r="P1" s="5"/>
      <c r="Q1" s="124" t="s">
        <v>22</v>
      </c>
      <c r="R1" s="125"/>
      <c r="S1" s="5" t="s">
        <v>11</v>
      </c>
      <c r="U1" s="124" t="s">
        <v>21</v>
      </c>
      <c r="V1" s="125"/>
      <c r="W1" s="5" t="s">
        <v>21</v>
      </c>
      <c r="X1" s="5" t="s">
        <v>21</v>
      </c>
      <c r="Y1" s="124" t="s">
        <v>21</v>
      </c>
      <c r="Z1" s="125"/>
      <c r="AA1" s="5" t="s">
        <v>21</v>
      </c>
      <c r="AB1" s="5"/>
      <c r="AC1" s="124" t="s">
        <v>22</v>
      </c>
      <c r="AD1" s="125"/>
      <c r="AE1" s="5" t="s">
        <v>11</v>
      </c>
      <c r="AG1" s="124" t="s">
        <v>21</v>
      </c>
      <c r="AH1" s="125"/>
      <c r="AI1" s="5" t="s">
        <v>21</v>
      </c>
      <c r="AJ1" s="5" t="s">
        <v>21</v>
      </c>
      <c r="AK1" s="124" t="s">
        <v>21</v>
      </c>
      <c r="AL1" s="125"/>
      <c r="AM1" s="5" t="s">
        <v>21</v>
      </c>
      <c r="AN1" s="5" t="s">
        <v>23</v>
      </c>
      <c r="AO1" s="124" t="s">
        <v>22</v>
      </c>
      <c r="AP1" s="125"/>
      <c r="AQ1" s="5" t="s">
        <v>11</v>
      </c>
      <c r="AS1" s="7" t="s">
        <v>23</v>
      </c>
      <c r="AT1" s="7" t="s">
        <v>23</v>
      </c>
      <c r="AU1" s="7" t="s">
        <v>23</v>
      </c>
      <c r="AV1" s="7" t="s">
        <v>23</v>
      </c>
      <c r="AW1" s="7" t="s">
        <v>23</v>
      </c>
      <c r="AX1" s="7" t="s">
        <v>23</v>
      </c>
      <c r="AY1" s="7" t="s">
        <v>24</v>
      </c>
      <c r="AZ1" s="116" t="s">
        <v>24</v>
      </c>
      <c r="BA1" s="117"/>
      <c r="BB1" s="7" t="s">
        <v>24</v>
      </c>
      <c r="BC1" s="7" t="s">
        <v>24</v>
      </c>
      <c r="BD1" s="7" t="s">
        <v>24</v>
      </c>
      <c r="BE1" s="116" t="s">
        <v>25</v>
      </c>
      <c r="BF1" s="117"/>
      <c r="BG1" s="116" t="s">
        <v>25</v>
      </c>
      <c r="BH1" s="117"/>
      <c r="BI1" s="116" t="s">
        <v>25</v>
      </c>
      <c r="BJ1" s="117"/>
      <c r="BK1" s="116" t="s">
        <v>26</v>
      </c>
      <c r="BL1" s="117"/>
      <c r="BM1" s="116" t="s">
        <v>26</v>
      </c>
      <c r="BN1" s="117"/>
      <c r="BO1" s="116" t="s">
        <v>27</v>
      </c>
      <c r="BP1" s="117"/>
      <c r="BQ1" s="116" t="s">
        <v>27</v>
      </c>
      <c r="BR1" s="117"/>
      <c r="BT1" s="7" t="s">
        <v>23</v>
      </c>
      <c r="BU1" s="7" t="s">
        <v>23</v>
      </c>
      <c r="BV1" s="7" t="s">
        <v>23</v>
      </c>
      <c r="BW1" s="7" t="s">
        <v>23</v>
      </c>
      <c r="BX1" s="7" t="s">
        <v>23</v>
      </c>
      <c r="BY1" s="7" t="s">
        <v>23</v>
      </c>
      <c r="BZ1" s="7" t="s">
        <v>24</v>
      </c>
      <c r="CA1" s="116" t="s">
        <v>24</v>
      </c>
      <c r="CB1" s="117"/>
      <c r="CC1" s="7" t="s">
        <v>24</v>
      </c>
      <c r="CD1" s="7" t="s">
        <v>24</v>
      </c>
      <c r="CE1" s="7" t="s">
        <v>24</v>
      </c>
      <c r="CF1" s="116" t="s">
        <v>25</v>
      </c>
      <c r="CG1" s="117"/>
      <c r="CH1" s="116" t="s">
        <v>25</v>
      </c>
      <c r="CI1" s="117"/>
      <c r="CJ1" s="116" t="s">
        <v>25</v>
      </c>
      <c r="CK1" s="117"/>
      <c r="CL1" s="116" t="s">
        <v>26</v>
      </c>
      <c r="CM1" s="117"/>
      <c r="CN1" s="116" t="s">
        <v>26</v>
      </c>
      <c r="CO1" s="117"/>
      <c r="CP1" s="116" t="s">
        <v>27</v>
      </c>
      <c r="CQ1" s="117"/>
      <c r="CR1" s="116" t="s">
        <v>27</v>
      </c>
      <c r="CS1" s="117"/>
    </row>
    <row r="2" spans="2:110">
      <c r="I2" s="124" t="s">
        <v>29</v>
      </c>
      <c r="J2" s="125"/>
      <c r="K2" s="5">
        <v>4</v>
      </c>
      <c r="L2" s="5">
        <v>5</v>
      </c>
      <c r="M2" s="124" t="s">
        <v>28</v>
      </c>
      <c r="N2" s="125"/>
      <c r="O2" s="5">
        <v>6</v>
      </c>
      <c r="P2" s="5">
        <v>7</v>
      </c>
      <c r="Q2" s="124" t="s">
        <v>30</v>
      </c>
      <c r="R2" s="125"/>
      <c r="S2" s="5">
        <v>1</v>
      </c>
      <c r="U2" s="124" t="s">
        <v>29</v>
      </c>
      <c r="V2" s="125"/>
      <c r="W2" s="5">
        <v>4</v>
      </c>
      <c r="X2" s="5">
        <v>5</v>
      </c>
      <c r="Y2" s="124" t="s">
        <v>28</v>
      </c>
      <c r="Z2" s="125"/>
      <c r="AA2" s="5">
        <v>6</v>
      </c>
      <c r="AB2" s="5">
        <v>7</v>
      </c>
      <c r="AC2" s="124" t="s">
        <v>30</v>
      </c>
      <c r="AD2" s="125"/>
      <c r="AE2" s="5">
        <v>1</v>
      </c>
      <c r="AG2" s="124" t="s">
        <v>29</v>
      </c>
      <c r="AH2" s="125"/>
      <c r="AI2" s="5">
        <v>4</v>
      </c>
      <c r="AJ2" s="5">
        <v>5</v>
      </c>
      <c r="AK2" s="124" t="s">
        <v>28</v>
      </c>
      <c r="AL2" s="125"/>
      <c r="AM2" s="5">
        <v>6</v>
      </c>
      <c r="AN2" s="5">
        <v>7</v>
      </c>
      <c r="AO2" s="124" t="s">
        <v>30</v>
      </c>
      <c r="AP2" s="125"/>
      <c r="AQ2" s="5">
        <v>1</v>
      </c>
      <c r="AS2" s="7">
        <v>10</v>
      </c>
      <c r="AT2" s="7">
        <v>11</v>
      </c>
      <c r="AU2" s="7">
        <v>12</v>
      </c>
      <c r="AV2" s="7" t="s">
        <v>31</v>
      </c>
      <c r="AW2" s="7" t="s">
        <v>32</v>
      </c>
      <c r="AX2" s="7" t="s">
        <v>33</v>
      </c>
      <c r="AY2" s="7">
        <v>1</v>
      </c>
      <c r="AZ2" s="116">
        <v>2</v>
      </c>
      <c r="BA2" s="117"/>
      <c r="BB2" s="7">
        <v>3</v>
      </c>
      <c r="BC2" s="7">
        <v>4</v>
      </c>
      <c r="BD2" s="7">
        <v>5</v>
      </c>
      <c r="BE2" s="116">
        <v>1</v>
      </c>
      <c r="BF2" s="117"/>
      <c r="BG2" s="116">
        <v>2</v>
      </c>
      <c r="BH2" s="117"/>
      <c r="BI2" s="116">
        <v>3</v>
      </c>
      <c r="BJ2" s="117"/>
      <c r="BK2" s="116">
        <v>1</v>
      </c>
      <c r="BL2" s="117"/>
      <c r="BM2" s="116">
        <v>2</v>
      </c>
      <c r="BN2" s="117"/>
      <c r="BO2" s="116">
        <v>1</v>
      </c>
      <c r="BP2" s="117"/>
      <c r="BQ2" s="116">
        <v>2</v>
      </c>
      <c r="BR2" s="117"/>
      <c r="BT2" s="7">
        <v>10</v>
      </c>
      <c r="BU2" s="7">
        <v>11</v>
      </c>
      <c r="BV2" s="7">
        <v>12</v>
      </c>
      <c r="BW2" s="7" t="s">
        <v>31</v>
      </c>
      <c r="BX2" s="7" t="s">
        <v>32</v>
      </c>
      <c r="BY2" s="7" t="s">
        <v>33</v>
      </c>
      <c r="BZ2" s="7">
        <v>1</v>
      </c>
      <c r="CA2" s="116">
        <v>2</v>
      </c>
      <c r="CB2" s="117"/>
      <c r="CC2" s="7">
        <v>3</v>
      </c>
      <c r="CD2" s="7">
        <v>4</v>
      </c>
      <c r="CE2" s="7">
        <v>5</v>
      </c>
      <c r="CF2" s="116">
        <v>1</v>
      </c>
      <c r="CG2" s="117"/>
      <c r="CH2" s="116">
        <v>2</v>
      </c>
      <c r="CI2" s="117"/>
      <c r="CJ2" s="116">
        <v>3</v>
      </c>
      <c r="CK2" s="117"/>
      <c r="CL2" s="116">
        <v>1</v>
      </c>
      <c r="CM2" s="117"/>
      <c r="CN2" s="116">
        <v>2</v>
      </c>
      <c r="CO2" s="117"/>
      <c r="CP2" s="116">
        <v>1</v>
      </c>
      <c r="CQ2" s="117"/>
      <c r="CR2" s="116">
        <v>2</v>
      </c>
      <c r="CS2" s="117"/>
    </row>
    <row r="3" spans="2:110" s="100" customFormat="1">
      <c r="E3" s="101"/>
      <c r="G3" s="102"/>
      <c r="H3" s="101"/>
      <c r="I3" s="118"/>
      <c r="J3" s="119"/>
      <c r="K3" s="103"/>
      <c r="L3" s="103"/>
      <c r="M3" s="118"/>
      <c r="N3" s="119"/>
      <c r="O3" s="103"/>
      <c r="P3" s="103"/>
      <c r="Q3" s="118"/>
      <c r="R3" s="119"/>
      <c r="S3" s="103"/>
      <c r="T3" s="10"/>
      <c r="U3" s="118"/>
      <c r="V3" s="119"/>
      <c r="W3" s="103"/>
      <c r="X3" s="103"/>
      <c r="Y3" s="118"/>
      <c r="Z3" s="119"/>
      <c r="AA3" s="103"/>
      <c r="AB3" s="103"/>
      <c r="AC3" s="118"/>
      <c r="AD3" s="119"/>
      <c r="AE3" s="103"/>
      <c r="AF3" s="104"/>
      <c r="AG3" s="118">
        <v>28.8</v>
      </c>
      <c r="AH3" s="119"/>
      <c r="AI3" s="103">
        <v>4.5</v>
      </c>
      <c r="AJ3" s="103">
        <v>4.5</v>
      </c>
      <c r="AK3" s="118">
        <v>24</v>
      </c>
      <c r="AL3" s="119"/>
      <c r="AM3" s="103">
        <v>4.5</v>
      </c>
      <c r="AN3" s="103">
        <v>4.5</v>
      </c>
      <c r="AO3" s="118">
        <v>33.048000000000002</v>
      </c>
      <c r="AP3" s="119"/>
      <c r="AQ3" s="103"/>
      <c r="AR3" s="105"/>
      <c r="AS3" s="106">
        <v>23.92</v>
      </c>
      <c r="AT3" s="106">
        <v>22.08</v>
      </c>
      <c r="AU3" s="106">
        <v>28.8</v>
      </c>
      <c r="AV3" s="106">
        <v>34.56</v>
      </c>
      <c r="AW3" s="106">
        <v>34.56</v>
      </c>
      <c r="AX3" s="106">
        <v>34.56</v>
      </c>
      <c r="AY3" s="106">
        <v>21.84</v>
      </c>
      <c r="AZ3" s="112">
        <v>21.888000000000002</v>
      </c>
      <c r="BA3" s="113"/>
      <c r="BB3" s="106">
        <v>30.36</v>
      </c>
      <c r="BC3" s="106">
        <v>25.344000000000001</v>
      </c>
      <c r="BD3" s="106">
        <v>30</v>
      </c>
      <c r="BE3" s="112">
        <v>35.904000000000003</v>
      </c>
      <c r="BF3" s="113"/>
      <c r="BG3" s="112">
        <v>34.584000000000003</v>
      </c>
      <c r="BH3" s="113"/>
      <c r="BI3" s="112">
        <v>30.271999999999998</v>
      </c>
      <c r="BJ3" s="113"/>
      <c r="BK3" s="112">
        <v>29.216000000000001</v>
      </c>
      <c r="BL3" s="113"/>
      <c r="BM3" s="112">
        <v>40.655999999999999</v>
      </c>
      <c r="BN3" s="113"/>
      <c r="BO3" s="112">
        <v>29.04</v>
      </c>
      <c r="BP3" s="113"/>
      <c r="BQ3" s="112">
        <v>27.72</v>
      </c>
      <c r="BR3" s="113"/>
      <c r="BS3" s="2"/>
      <c r="BT3" s="106"/>
      <c r="BU3" s="106"/>
      <c r="BV3" s="106"/>
      <c r="BW3" s="106"/>
      <c r="BX3" s="106"/>
      <c r="BY3" s="106"/>
      <c r="BZ3" s="106"/>
      <c r="CA3" s="112"/>
      <c r="CB3" s="113"/>
      <c r="CC3" s="106"/>
      <c r="CD3" s="106"/>
      <c r="CE3" s="106"/>
      <c r="CF3" s="112"/>
      <c r="CG3" s="113"/>
      <c r="CH3" s="112"/>
      <c r="CI3" s="113"/>
      <c r="CJ3" s="112"/>
      <c r="CK3" s="113"/>
      <c r="CL3" s="112"/>
      <c r="CM3" s="113"/>
      <c r="CN3" s="112"/>
      <c r="CO3" s="113"/>
      <c r="CP3" s="112"/>
      <c r="CQ3" s="113"/>
      <c r="CR3" s="112"/>
      <c r="CS3" s="113"/>
      <c r="CU3" s="107"/>
      <c r="CX3" s="108"/>
      <c r="CZ3" s="108"/>
      <c r="DB3" s="109"/>
      <c r="DC3" s="126" t="s">
        <v>14</v>
      </c>
      <c r="DD3" s="127"/>
      <c r="DE3" s="128" t="s">
        <v>15</v>
      </c>
      <c r="DF3" s="129"/>
    </row>
    <row r="4" spans="2:110" ht="20" customHeight="1">
      <c r="I4" s="120"/>
      <c r="J4" s="121"/>
      <c r="K4" s="95"/>
      <c r="L4" s="95"/>
      <c r="M4" s="120"/>
      <c r="N4" s="121"/>
      <c r="O4" s="95"/>
      <c r="P4" s="95"/>
      <c r="Q4" s="122"/>
      <c r="R4" s="123"/>
      <c r="S4" s="95"/>
      <c r="U4" s="120"/>
      <c r="V4" s="121"/>
      <c r="W4" s="95"/>
      <c r="X4" s="95"/>
      <c r="Y4" s="120"/>
      <c r="Z4" s="121"/>
      <c r="AA4" s="95"/>
      <c r="AB4" s="95"/>
      <c r="AC4" s="122"/>
      <c r="AD4" s="123"/>
      <c r="AE4" s="95"/>
      <c r="AF4" s="94"/>
      <c r="AG4" s="147">
        <f>AG3</f>
        <v>28.8</v>
      </c>
      <c r="AH4" s="121"/>
      <c r="AI4" s="95">
        <f>AI3</f>
        <v>4.5</v>
      </c>
      <c r="AJ4" s="95">
        <f>AJ3</f>
        <v>4.5</v>
      </c>
      <c r="AK4" s="120">
        <f t="shared" ref="AK4:AQ4" si="0">AK3</f>
        <v>24</v>
      </c>
      <c r="AL4" s="121"/>
      <c r="AM4" s="95">
        <f>AM3</f>
        <v>4.5</v>
      </c>
      <c r="AN4" s="95">
        <f>AN3</f>
        <v>4.5</v>
      </c>
      <c r="AO4" s="122">
        <f t="shared" si="0"/>
        <v>33.048000000000002</v>
      </c>
      <c r="AP4" s="123"/>
      <c r="AQ4" s="95">
        <f t="shared" si="0"/>
        <v>0</v>
      </c>
      <c r="AR4" s="96"/>
      <c r="AS4" s="143">
        <f>AS3</f>
        <v>23.92</v>
      </c>
      <c r="AT4" s="143">
        <f t="shared" ref="AT4:BO4" si="1">AT3</f>
        <v>22.08</v>
      </c>
      <c r="AU4" s="143">
        <f t="shared" si="1"/>
        <v>28.8</v>
      </c>
      <c r="AV4" s="143">
        <f t="shared" si="1"/>
        <v>34.56</v>
      </c>
      <c r="AW4" s="143">
        <f t="shared" si="1"/>
        <v>34.56</v>
      </c>
      <c r="AX4" s="143">
        <f t="shared" si="1"/>
        <v>34.56</v>
      </c>
      <c r="AY4" s="143">
        <f t="shared" si="1"/>
        <v>21.84</v>
      </c>
      <c r="AZ4" s="144">
        <f t="shared" si="1"/>
        <v>21.888000000000002</v>
      </c>
      <c r="BA4" s="115"/>
      <c r="BB4" s="97">
        <f t="shared" si="1"/>
        <v>30.36</v>
      </c>
      <c r="BC4" s="97">
        <f t="shared" si="1"/>
        <v>25.344000000000001</v>
      </c>
      <c r="BD4" s="97">
        <f t="shared" si="1"/>
        <v>30</v>
      </c>
      <c r="BE4" s="114">
        <f t="shared" si="1"/>
        <v>35.904000000000003</v>
      </c>
      <c r="BF4" s="115"/>
      <c r="BG4" s="114">
        <f t="shared" si="1"/>
        <v>34.584000000000003</v>
      </c>
      <c r="BH4" s="115"/>
      <c r="BI4" s="114">
        <f t="shared" si="1"/>
        <v>30.271999999999998</v>
      </c>
      <c r="BJ4" s="115"/>
      <c r="BK4" s="114">
        <f t="shared" si="1"/>
        <v>29.216000000000001</v>
      </c>
      <c r="BL4" s="115"/>
      <c r="BM4" s="114">
        <f t="shared" si="1"/>
        <v>40.655999999999999</v>
      </c>
      <c r="BN4" s="115"/>
      <c r="BO4" s="114">
        <f t="shared" si="1"/>
        <v>29.04</v>
      </c>
      <c r="BP4" s="115"/>
      <c r="BQ4" s="114">
        <f>BQ3</f>
        <v>27.72</v>
      </c>
      <c r="BR4" s="115"/>
      <c r="BT4" s="97"/>
      <c r="BU4" s="97"/>
      <c r="BV4" s="97"/>
      <c r="BW4" s="97"/>
      <c r="BX4" s="97"/>
      <c r="BY4" s="97"/>
      <c r="BZ4" s="97"/>
      <c r="CA4" s="114"/>
      <c r="CB4" s="115"/>
      <c r="CC4" s="97"/>
      <c r="CD4" s="97"/>
      <c r="CE4" s="97"/>
      <c r="CF4" s="114"/>
      <c r="CG4" s="115"/>
      <c r="CH4" s="114"/>
      <c r="CI4" s="115"/>
      <c r="CJ4" s="114"/>
      <c r="CK4" s="115"/>
      <c r="CL4" s="114"/>
      <c r="CM4" s="115"/>
      <c r="CN4" s="114"/>
      <c r="CO4" s="115"/>
      <c r="CP4" s="114"/>
      <c r="CQ4" s="115"/>
      <c r="CR4" s="114"/>
      <c r="CS4" s="115"/>
      <c r="CX4" s="35"/>
      <c r="CZ4" s="35"/>
      <c r="DB4" s="78"/>
      <c r="DC4" s="90"/>
      <c r="DD4" s="91"/>
      <c r="DE4" s="93"/>
      <c r="DF4" s="92"/>
    </row>
    <row r="5" spans="2:110">
      <c r="B5" s="130" t="s">
        <v>2</v>
      </c>
      <c r="C5" s="131"/>
      <c r="D5" s="132"/>
      <c r="E5" s="52" t="s">
        <v>3</v>
      </c>
      <c r="F5" s="53" t="s">
        <v>4</v>
      </c>
      <c r="G5" s="11"/>
      <c r="H5" s="7"/>
      <c r="I5" s="5">
        <f>U5</f>
        <v>1</v>
      </c>
      <c r="J5" s="5">
        <f t="shared" ref="J5" si="2">V5</f>
        <v>2</v>
      </c>
      <c r="K5" s="5">
        <f>W5</f>
        <v>3</v>
      </c>
      <c r="L5" s="5">
        <f>X5</f>
        <v>4</v>
      </c>
      <c r="M5" s="5">
        <f t="shared" ref="M5" si="3">Y5</f>
        <v>5</v>
      </c>
      <c r="N5" s="5">
        <f t="shared" ref="N5" si="4">Z5</f>
        <v>6</v>
      </c>
      <c r="O5" s="5">
        <f>AA5</f>
        <v>7</v>
      </c>
      <c r="P5" s="5">
        <f>AB5</f>
        <v>8</v>
      </c>
      <c r="Q5" s="5">
        <f t="shared" ref="Q5" si="5">AC5</f>
        <v>9</v>
      </c>
      <c r="R5" s="5">
        <f t="shared" ref="R5" si="6">AD5</f>
        <v>10</v>
      </c>
      <c r="S5" s="5">
        <f t="shared" ref="S5" si="7">AE5</f>
        <v>11</v>
      </c>
      <c r="U5" s="5">
        <f t="shared" ref="U5:AE5" si="8">AG5</f>
        <v>1</v>
      </c>
      <c r="V5" s="5">
        <f t="shared" si="8"/>
        <v>2</v>
      </c>
      <c r="W5" s="5">
        <f t="shared" si="8"/>
        <v>3</v>
      </c>
      <c r="X5" s="5">
        <f t="shared" si="8"/>
        <v>4</v>
      </c>
      <c r="Y5" s="5">
        <f t="shared" si="8"/>
        <v>5</v>
      </c>
      <c r="Z5" s="5">
        <f t="shared" si="8"/>
        <v>6</v>
      </c>
      <c r="AA5" s="5">
        <f t="shared" si="8"/>
        <v>7</v>
      </c>
      <c r="AB5" s="5">
        <f t="shared" si="8"/>
        <v>8</v>
      </c>
      <c r="AC5" s="5">
        <f t="shared" si="8"/>
        <v>9</v>
      </c>
      <c r="AD5" s="5">
        <f t="shared" si="8"/>
        <v>10</v>
      </c>
      <c r="AE5" s="5">
        <f t="shared" si="8"/>
        <v>11</v>
      </c>
      <c r="AG5" s="149">
        <v>1</v>
      </c>
      <c r="AH5" s="146">
        <v>2</v>
      </c>
      <c r="AI5" s="149">
        <v>3</v>
      </c>
      <c r="AJ5" s="149">
        <v>4</v>
      </c>
      <c r="AK5" s="149">
        <v>5</v>
      </c>
      <c r="AL5" s="110">
        <v>6</v>
      </c>
      <c r="AM5" s="149">
        <v>7</v>
      </c>
      <c r="AN5" s="149">
        <v>8</v>
      </c>
      <c r="AO5" s="149">
        <v>9</v>
      </c>
      <c r="AP5" s="149">
        <v>10</v>
      </c>
      <c r="AQ5" s="149">
        <v>11</v>
      </c>
      <c r="AS5" s="145">
        <v>10</v>
      </c>
      <c r="AT5" s="145">
        <v>11</v>
      </c>
      <c r="AU5" s="145">
        <v>12</v>
      </c>
      <c r="AV5" s="145">
        <v>13</v>
      </c>
      <c r="AW5" s="145">
        <v>14</v>
      </c>
      <c r="AX5" s="145">
        <v>15</v>
      </c>
      <c r="AY5" s="145">
        <v>16</v>
      </c>
      <c r="AZ5" s="145">
        <v>17</v>
      </c>
      <c r="BA5" s="142">
        <v>18</v>
      </c>
      <c r="BB5" s="145">
        <v>19</v>
      </c>
      <c r="BC5" s="145">
        <v>20</v>
      </c>
      <c r="BD5" s="145">
        <v>21</v>
      </c>
      <c r="BE5" s="145">
        <v>22</v>
      </c>
      <c r="BF5" s="111">
        <v>23</v>
      </c>
      <c r="BG5" s="145">
        <v>24</v>
      </c>
      <c r="BH5" s="111">
        <v>25</v>
      </c>
      <c r="BI5" s="145">
        <v>26</v>
      </c>
      <c r="BJ5" s="111">
        <v>27</v>
      </c>
      <c r="BK5" s="145">
        <v>28</v>
      </c>
      <c r="BL5" s="111">
        <v>29</v>
      </c>
      <c r="BM5" s="145">
        <v>30</v>
      </c>
      <c r="BN5" s="111">
        <v>31</v>
      </c>
      <c r="BO5" s="145">
        <v>32</v>
      </c>
      <c r="BP5" s="111">
        <v>33</v>
      </c>
      <c r="BQ5" s="145">
        <v>34</v>
      </c>
      <c r="BR5" s="111">
        <v>35</v>
      </c>
      <c r="BT5" s="7">
        <f>AS5</f>
        <v>10</v>
      </c>
      <c r="BU5" s="7">
        <f t="shared" ref="BU5:CF5" si="9">AT5</f>
        <v>11</v>
      </c>
      <c r="BV5" s="7">
        <f t="shared" si="9"/>
        <v>12</v>
      </c>
      <c r="BW5" s="7">
        <f t="shared" si="9"/>
        <v>13</v>
      </c>
      <c r="BX5" s="7">
        <f t="shared" si="9"/>
        <v>14</v>
      </c>
      <c r="BY5" s="7">
        <f t="shared" si="9"/>
        <v>15</v>
      </c>
      <c r="BZ5" s="7">
        <f t="shared" si="9"/>
        <v>16</v>
      </c>
      <c r="CA5" s="7">
        <f t="shared" si="9"/>
        <v>17</v>
      </c>
      <c r="CB5" s="7">
        <f t="shared" si="9"/>
        <v>18</v>
      </c>
      <c r="CC5" s="7">
        <f t="shared" si="9"/>
        <v>19</v>
      </c>
      <c r="CD5" s="7">
        <f t="shared" si="9"/>
        <v>20</v>
      </c>
      <c r="CE5" s="7">
        <f t="shared" si="9"/>
        <v>21</v>
      </c>
      <c r="CF5" s="7">
        <f t="shared" si="9"/>
        <v>22</v>
      </c>
      <c r="CG5" s="7">
        <f t="shared" ref="CG5" si="10">BF5</f>
        <v>23</v>
      </c>
      <c r="CH5" s="7">
        <f t="shared" ref="CH5" si="11">BG5</f>
        <v>24</v>
      </c>
      <c r="CI5" s="7">
        <f t="shared" ref="CI5" si="12">BH5</f>
        <v>25</v>
      </c>
      <c r="CJ5" s="7">
        <f t="shared" ref="CJ5" si="13">BI5</f>
        <v>26</v>
      </c>
      <c r="CK5" s="7">
        <f t="shared" ref="CK5" si="14">BJ5</f>
        <v>27</v>
      </c>
      <c r="CL5" s="7">
        <f t="shared" ref="CL5" si="15">BK5</f>
        <v>28</v>
      </c>
      <c r="CM5" s="7">
        <f t="shared" ref="CM5" si="16">BL5</f>
        <v>29</v>
      </c>
      <c r="CN5" s="7">
        <f t="shared" ref="CN5" si="17">BM5</f>
        <v>30</v>
      </c>
      <c r="CO5" s="7">
        <f t="shared" ref="CO5" si="18">BN5</f>
        <v>31</v>
      </c>
      <c r="CP5" s="7">
        <f t="shared" ref="CP5" si="19">BO5</f>
        <v>32</v>
      </c>
      <c r="CQ5" s="7">
        <f t="shared" ref="CQ5" si="20">BP5</f>
        <v>33</v>
      </c>
      <c r="CR5" s="7">
        <f t="shared" ref="CR5" si="21">BQ5</f>
        <v>34</v>
      </c>
      <c r="CS5" s="7">
        <f t="shared" ref="CS5" si="22">BR5</f>
        <v>35</v>
      </c>
      <c r="CX5" s="35"/>
      <c r="CZ5" s="35"/>
      <c r="DB5" s="78" t="s">
        <v>20</v>
      </c>
      <c r="DC5" s="5" t="s">
        <v>16</v>
      </c>
      <c r="DD5" s="5" t="s">
        <v>17</v>
      </c>
      <c r="DE5" s="7" t="s">
        <v>17</v>
      </c>
      <c r="DF5" s="7" t="s">
        <v>16</v>
      </c>
    </row>
    <row r="6" spans="2:110">
      <c r="B6" s="54"/>
      <c r="C6" s="55"/>
      <c r="D6" s="56"/>
      <c r="E6" s="52"/>
      <c r="F6" s="53"/>
      <c r="G6" s="57"/>
      <c r="H6" s="58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G6" s="148"/>
      <c r="AH6" s="60"/>
      <c r="AI6" s="60"/>
      <c r="AJ6" s="60"/>
      <c r="AK6" s="60"/>
      <c r="AL6" s="60"/>
      <c r="AM6" s="60"/>
      <c r="AN6" s="60"/>
      <c r="AO6" s="60"/>
      <c r="AP6" s="60"/>
      <c r="AQ6" s="60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X6" s="35"/>
      <c r="CZ6" s="35"/>
    </row>
    <row r="7" spans="2:110" hidden="1" outlineLevel="1">
      <c r="B7" s="54">
        <v>43101</v>
      </c>
      <c r="C7" s="55" t="s">
        <v>1</v>
      </c>
      <c r="D7" s="56">
        <v>43107</v>
      </c>
      <c r="E7" s="52">
        <v>1</v>
      </c>
      <c r="F7" s="53">
        <v>2018</v>
      </c>
      <c r="G7" s="62">
        <v>15</v>
      </c>
      <c r="H7" s="63">
        <v>96</v>
      </c>
      <c r="I7" s="62"/>
      <c r="J7" s="62"/>
      <c r="K7" s="62"/>
      <c r="L7" s="62"/>
      <c r="M7" s="62"/>
      <c r="N7" s="62"/>
      <c r="O7" s="62"/>
      <c r="P7" s="62"/>
      <c r="Q7" s="62"/>
      <c r="R7" s="62"/>
      <c r="S7" s="62">
        <v>15</v>
      </c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80"/>
      <c r="AG7" s="87">
        <f t="shared" ref="AG7:AG70" si="23">IF(I7&gt;0,I7,IF(U7=1,$B7+2,IF(U6=1,1,IF(U6=2,0,IF(AG6=$G6,0,(IF(AG6&gt;=1,AG6+1,0)))))))</f>
        <v>0</v>
      </c>
      <c r="AH7" s="87">
        <f t="shared" ref="AH7:AH70" si="24">IF(J7&gt;0,J7,IF(V7=1,$B7+2,IF(V6=1,1,IF(V6=2,0,IF(AH6=$G6,0,(IF(AH6&gt;=1,AH6+1,0)))))))</f>
        <v>0</v>
      </c>
      <c r="AI7" s="87">
        <f t="shared" ref="AI7:AI70" si="25">IF(K7&gt;0,K7,IF(W7=1,$B7+2,IF(W6=1,1,IF(W6=2,0,IF(AI6=$G6,0,(IF(AI6&gt;=1,AI6+1,0)))))))</f>
        <v>0</v>
      </c>
      <c r="AJ7" s="87">
        <f t="shared" ref="AJ7:AJ70" si="26">IF(L7&gt;0,L7,IF(X7=1,$B7+2,IF(X6=1,1,IF(X6=2,0,IF(AJ6=$G6,0,(IF(AJ6&gt;=1,AJ6+1,0)))))))</f>
        <v>0</v>
      </c>
      <c r="AK7" s="87">
        <f t="shared" ref="AK7:AK70" si="27">IF(M7&gt;0,M7,IF(Y7=1,$B7+2,IF(Y6=1,1,IF(Y6=2,0,IF(AK6=$G6,0,(IF(AK6&gt;=1,AK6+1,0)))))))</f>
        <v>0</v>
      </c>
      <c r="AL7" s="87">
        <f t="shared" ref="AL7:AL70" si="28">IF(N7&gt;0,N7,IF(Z7=1,$B7+2,IF(Z6=1,1,IF(Z6=2,0,IF(AL6=$G6,0,(IF(AL6&gt;=1,AL6+1,0)))))))</f>
        <v>0</v>
      </c>
      <c r="AM7" s="87">
        <f t="shared" ref="AM7:AM70" si="29">IF(O7&gt;0,O7,IF(AA7=1,$B7+2,IF(AA6=1,1,IF(AA6=2,0,IF(AM6=$G6,0,(IF(AM6&gt;=1,AM6+1,0)))))))</f>
        <v>0</v>
      </c>
      <c r="AN7" s="87">
        <f t="shared" ref="AN7:AN70" si="30">IF(P7&gt;0,P7,IF(AB7=1,$B7+2,IF(AB6=1,1,IF(AB6=2,0,IF(AN6=$G6,0,(IF(AN6&gt;=1,AN6+1,0)))))))</f>
        <v>0</v>
      </c>
      <c r="AO7" s="87">
        <f t="shared" ref="AO7:AO70" si="31">IF(Q7&gt;0,Q7,IF(AC7=1,$B7+2,IF(AC6=1,1,IF(AC6=2,0,IF(AO6=$G6,0,(IF(AO6&gt;=1,AO6+1,0)))))))</f>
        <v>0</v>
      </c>
      <c r="AP7" s="87">
        <f t="shared" ref="AP7:AP70" si="32">IF(R7&gt;0,R7,IF(AD7=1,$B7+2,IF(AD6=1,1,IF(AD6=2,0,IF(AP6=$G6,0,(IF(AP6&gt;=1,AP6+1,0)))))))</f>
        <v>0</v>
      </c>
      <c r="AQ7" s="87">
        <f t="shared" ref="AQ7:AQ70" si="33">IF(S7&gt;0,S7,IF(AE7=1,$B7+2,IF(AE6=1,1,IF(AE6=2,0,IF(AQ6=$G6,0,(IF(AQ6&gt;=1,AQ6+1,0)))))))</f>
        <v>15</v>
      </c>
      <c r="AR7" s="81"/>
      <c r="AS7" s="85">
        <f t="shared" ref="AS7:AS70" si="34">IF(AND(BT7&gt;=$AG$5,BT7&lt;=$AQ$5),LOOKUP(BT7,$AG$5:$AQ$5,$AG7:$AQ7),IF(BT6="A",0,IF(AS6=$H7,0,IF(AS6=0,0,AS6+1))))</f>
        <v>0</v>
      </c>
      <c r="AT7" s="85">
        <f t="shared" ref="AT7:AT70" si="35">IF(AND(BU7&gt;=$AG$5,BU7&lt;=$AQ$5),LOOKUP(BU7,$AG$5:$AQ$5,$AG7:$AQ7),IF(BU6="A",0,IF(AT6=$H7,0,IF(AT6=0,0,AT6+1))))</f>
        <v>0</v>
      </c>
      <c r="AU7" s="85">
        <f t="shared" ref="AU7:AU70" si="36">IF(AND(BV7&gt;=$AG$5,BV7&lt;=$AQ$5),LOOKUP(BV7,$AG$5:$AQ$5,$AG7:$AQ7),IF(BV6="A",0,IF(AU6=$H7,0,IF(AU6=0,0,AU6+1))))</f>
        <v>0</v>
      </c>
      <c r="AV7" s="85">
        <f t="shared" ref="AV7:AV70" si="37">IF(AND(BW7&gt;=$AG$5,BW7&lt;=$AQ$5),LOOKUP(BW7,$AG$5:$AQ$5,$AG7:$AQ7),IF(BW6="A",0,IF(AV6=$H7,0,IF(AV6=0,0,AV6+1))))</f>
        <v>0</v>
      </c>
      <c r="AW7" s="85">
        <f t="shared" ref="AW7:AW70" si="38">IF(AND(BX7&gt;=$AG$5,BX7&lt;=$AQ$5),LOOKUP(BX7,$AG$5:$AQ$5,$AG7:$AQ7),IF(BX6="A",0,IF(AW6=$H7,0,IF(AW6=0,0,AW6+1))))</f>
        <v>0</v>
      </c>
      <c r="AX7" s="85">
        <f t="shared" ref="AX7:AX70" si="39">IF(AND(BY7&gt;=$AG$5,BY7&lt;=$AQ$5),LOOKUP(BY7,$AG$5:$AQ$5,$AG7:$AQ7),IF(BY6="A",0,IF(AX6=$H7,0,IF(AX6=0,0,AX6+1))))</f>
        <v>0</v>
      </c>
      <c r="AY7" s="85">
        <f t="shared" ref="AY7:AY70" si="40">IF(AND(BZ7&gt;=$AG$5,BZ7&lt;=$AQ$5),LOOKUP(BZ7,$AG$5:$AQ$5,$AG7:$AQ7),IF(BZ6="A",0,IF(AY6=$H7,0,IF(AY6=0,0,AY6+1))))</f>
        <v>0</v>
      </c>
      <c r="AZ7" s="85">
        <f t="shared" ref="AZ7:AZ70" si="41">IF(AND(CA7&gt;=$AG$5,CA7&lt;=$AQ$5),LOOKUP(CA7,$AG$5:$AQ$5,$AG7:$AQ7),IF(CA6="A",0,IF(AZ6=$H7,0,IF(AZ6=0,0,AZ6+1))))</f>
        <v>0</v>
      </c>
      <c r="BA7" s="85">
        <f t="shared" ref="BA7:BA70" si="42">IF(AND(CB7&gt;=$AG$5,CB7&lt;=$AQ$5),LOOKUP(CB7,$AG$5:$AQ$5,$AG7:$AQ7),IF(CB6="A",0,IF(BA6=$H7,0,IF(BA6=0,0,BA6+1))))</f>
        <v>0</v>
      </c>
      <c r="BB7" s="85">
        <f t="shared" ref="BB7:BB70" si="43">IF(AND(CC7&gt;=$AG$5,CC7&lt;=$AQ$5),LOOKUP(CC7,$AG$5:$AQ$5,$AG7:$AQ7),IF(CC6="A",0,IF(BB6=$H7,0,IF(BB6=0,0,BB6+1))))</f>
        <v>0</v>
      </c>
      <c r="BC7" s="85">
        <f t="shared" ref="BC7:BC70" si="44">IF(AND(CD7&gt;=$AG$5,CD7&lt;=$AQ$5),LOOKUP(CD7,$AG$5:$AQ$5,$AG7:$AQ7),IF(CD6="A",0,IF(BC6=$H7,0,IF(BC6=0,0,BC6+1))))</f>
        <v>0</v>
      </c>
      <c r="BD7" s="85">
        <f t="shared" ref="BD7:BD70" si="45">IF(AND(CE7&gt;=$AG$5,CE7&lt;=$AQ$5),LOOKUP(CE7,$AG$5:$AQ$5,$AG7:$AQ7),IF(CE6="A",0,IF(BD6=$H7,0,IF(BD6=0,0,BD6+1))))</f>
        <v>0</v>
      </c>
      <c r="BE7" s="85">
        <f t="shared" ref="BE7:BE70" si="46">IF(AND(CF7&gt;=$AG$5,CF7&lt;=$AQ$5),LOOKUP(CF7,$AG$5:$AQ$5,$AG7:$AQ7),IF(CF6="A",0,IF(BE6=$H7,0,IF(BE6=0,0,BE6+1))))</f>
        <v>0</v>
      </c>
      <c r="BF7" s="85">
        <f t="shared" ref="BF7:BF70" si="47">IF(AND(CG7&gt;=$AG$5,CG7&lt;=$AQ$5),LOOKUP(CG7,$AG$5:$AQ$5,$AG7:$AQ7),IF(CG6="A",0,IF(BF6=$H7,0,IF(BF6=0,0,BF6+1))))</f>
        <v>0</v>
      </c>
      <c r="BG7" s="85">
        <f t="shared" ref="BG7:BG70" si="48">IF(AND(CH7&gt;=$AG$5,CH7&lt;=$AQ$5),LOOKUP(CH7,$AG$5:$AQ$5,$AG7:$AQ7),IF(CH6="A",0,IF(BG6=$H7,0,IF(BG6=0,0,BG6+1))))</f>
        <v>0</v>
      </c>
      <c r="BH7" s="85">
        <f t="shared" ref="BH7:BH70" si="49">IF(AND(CI7&gt;=$AG$5,CI7&lt;=$AQ$5),LOOKUP(CI7,$AG$5:$AQ$5,$AG7:$AQ7),IF(CI6="A",0,IF(BH6=$H7,0,IF(BH6=0,0,BH6+1))))</f>
        <v>0</v>
      </c>
      <c r="BI7" s="85">
        <f t="shared" ref="BI7:BI70" si="50">IF(AND(CJ7&gt;=$AG$5,CJ7&lt;=$AQ$5),LOOKUP(CJ7,$AG$5:$AQ$5,$AG7:$AQ7),IF(CJ6="A",0,IF(BI6=$H7,0,IF(BI6=0,0,BI6+1))))</f>
        <v>0</v>
      </c>
      <c r="BJ7" s="85">
        <f t="shared" ref="BJ7:BJ70" si="51">IF(AND(CK7&gt;=$AG$5,CK7&lt;=$AQ$5),LOOKUP(CK7,$AG$5:$AQ$5,$AG7:$AQ7),IF(CK6="A",0,IF(BJ6=$H7,0,IF(BJ6=0,0,BJ6+1))))</f>
        <v>0</v>
      </c>
      <c r="BK7" s="85">
        <f t="shared" ref="BK7:BK70" si="52">IF(AND(CL7&gt;=$AG$5,CL7&lt;=$AQ$5),LOOKUP(CL7,$AG$5:$AQ$5,$AG7:$AQ7),IF(CL6="A",0,IF(BK6=$H7,0,IF(BK6=0,0,BK6+1))))</f>
        <v>0</v>
      </c>
      <c r="BL7" s="85">
        <f t="shared" ref="BL7:BL70" si="53">IF(AND(CM7&gt;=$AG$5,CM7&lt;=$AQ$5),LOOKUP(CM7,$AG$5:$AQ$5,$AG7:$AQ7),IF(CM6="A",0,IF(BL6=$H7,0,IF(BL6=0,0,BL6+1))))</f>
        <v>0</v>
      </c>
      <c r="BM7" s="85">
        <f t="shared" ref="BM7:BM70" si="54">IF(AND(CN7&gt;=$AG$5,CN7&lt;=$AQ$5),LOOKUP(CN7,$AG$5:$AQ$5,$AG7:$AQ7),IF(CN6="A",0,IF(BM6=$H7,0,IF(BM6=0,0,BM6+1))))</f>
        <v>0</v>
      </c>
      <c r="BN7" s="85">
        <f t="shared" ref="BN7:BN70" si="55">IF(AND(CO7&gt;=$AG$5,CO7&lt;=$AQ$5),LOOKUP(CO7,$AG$5:$AQ$5,$AG7:$AQ7),IF(CO6="A",0,IF(BN6=$H7,0,IF(BN6=0,0,BN6+1))))</f>
        <v>0</v>
      </c>
      <c r="BO7" s="85">
        <f t="shared" ref="BO7:BO70" si="56">IF(AND(CP7&gt;=$AG$5,CP7&lt;=$AQ$5),LOOKUP(CP7,$AG$5:$AQ$5,$AG7:$AQ7),IF(CP6="A",0,IF(BO6=$H7,0,IF(BO6=0,0,BO6+1))))</f>
        <v>0</v>
      </c>
      <c r="BP7" s="85">
        <f t="shared" ref="BP7:BP70" si="57">IF(AND(CQ7&gt;=$AG$5,CQ7&lt;=$AQ$5),LOOKUP(CQ7,$AG$5:$AQ$5,$AG7:$AQ7),IF(CQ6="A",0,IF(BP6=$H7,0,IF(BP6=0,0,BP6+1))))</f>
        <v>0</v>
      </c>
      <c r="BQ7" s="85">
        <f t="shared" ref="BQ7:BQ70" si="58">IF(AND(CR7&gt;=$AG$5,CR7&lt;=$AQ$5),LOOKUP(CR7,$AG$5:$AQ$5,$AG7:$AQ7),IF(CR6="A",0,IF(BQ6=$H7,0,IF(BQ6=0,0,BQ6+1))))</f>
        <v>0</v>
      </c>
      <c r="BR7" s="85">
        <f t="shared" ref="BR7:BR70" si="59">IF(AND(CS7&gt;=$AG$5,CS7&lt;=$AQ$5),LOOKUP(CS7,$AG$5:$AQ$5,$AG7:$AQ7),IF(CS6="A",0,IF(BR6=$H7,0,IF(BR6=0,0,BR6+1))))</f>
        <v>0</v>
      </c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X7" s="35"/>
      <c r="CZ7" s="35"/>
      <c r="DC7" s="57">
        <f t="shared" ref="DC7:DC70" si="60">IF(AND(AG7&gt;0,AG6=0),$AG$5,IF(AND(AK7&gt;0,AK6=0),$AK$5,IF(AND(AO7&gt;0,AO6=0),$AO$5,IF(AND(AI7&gt;0,AI6=0),$AI$5,IF(AND(AJ7&gt;0,AJ6=0),$AJ$5,IF(AND(AQ7&gt;0,AQ6=0),$AQ$5,IF(AND(AL7&gt;0,AL6=0),$AL$5,IF(AND(AM7&gt;0,AM6=0),$AM$5,IF(AND(AN7&gt;0,AN6=0),$AN$5,"")))))))))</f>
        <v>11</v>
      </c>
      <c r="DD7" s="64" t="str">
        <f t="shared" ref="DD7:DD70" si="61">IF(OR(AND($AG8=1,$AG9=2),OR(AND($AK8=1,$AK9=2),OR(AND($AO8=1,$AO9=2),OR(AND($AI8=1,$AI9=2),OR(AND($AJ8=1,$AJ9),OR(AND($AQ8=1,$AQ9=2,OR(AND($AL8=1,$AL9=2,OR(AND($AM8=1,$AM9=2,OR(AND($AN8=1,$AN9=2))))))))))))),$B7+2,"")</f>
        <v/>
      </c>
      <c r="DE7" s="65" t="str">
        <f t="shared" ref="DE7:DE70" si="62">IF(DD7="","",DD7+(15*7))</f>
        <v/>
      </c>
      <c r="DF7" s="66" t="str">
        <f t="shared" ref="DF7:DF70" si="63">IF(AND(AS22&gt;0,AS21=0),$AS$1,IF(AND(AT22&gt;0,AT21=0),$AT$1,IF(AND(AU22&gt;0,AU21=0),$AU$1,IF(AND(AV22&gt;0,AV21=0),$AV$1,IF(AND(AW22&gt;0,AW21=0),$AW$1,IF(AND(AX22&gt;0,AX21=0),$AX$1,IF(AND(AY22&gt;0,AY21=0),$AY$1,IF(AND(AZ22&gt;0,AZ21=0),$AZ$1,IF(AND(BA22&gt;0,BA21=0),$BA$1,IF(AND(BB22&gt;0,BB21=0),$BB$1,IF(AND(BC22&gt;0,BC21=0),$BC$1,IF(AND(BD22&gt;0,BD21=0),$BD$1,IF(AND(BE22&gt;0,BE21=0),$BE$1,IF(AND(BF22&gt;0,BF21=0),$BF$1,IF(AND(BG22&gt;0,BG21=0),$BG$1,IF(AND(BH22&gt;0,BH21=0),$BH$1,IF(AND(BI22&gt;0,BI21=0),$BI$1,IF(AND(BJ22&gt;0,BJ21=0),$BJ$1,IF(AND(BK22&gt;0,BK21=0),$BK$1,IF(AND(BL22&gt;0,BL21=0),$BL$1,IF(AND(BM22&gt;0,BM21=0),$BM$1,IF(AND(BN22&gt;0,BN21=0),$BN$1,IF(AND(BO22&gt;0,BO21=0),$BO$1,IF(AND(BP22&gt;0,BP21=0),$BP$1,IF(AND(BQ22&gt;0,BQ21=0),$BQ$1,IF(AND(BR22&gt;0,BR21=0),$BQ$1,""))))))))))))))))&amp;(IF(COUNTA(BT22:CS22)&gt;1," ["&amp;COUNTA(BT22:CS22)&amp;"]",""))))))))))))</f>
        <v/>
      </c>
    </row>
    <row r="8" spans="2:110" hidden="1" outlineLevel="1">
      <c r="B8" s="54">
        <f t="shared" ref="B8:B71" si="64">D7+1</f>
        <v>43108</v>
      </c>
      <c r="C8" s="55" t="s">
        <v>1</v>
      </c>
      <c r="D8" s="56">
        <f t="shared" ref="D8:D71" si="65">B8+6</f>
        <v>43114</v>
      </c>
      <c r="E8" s="52">
        <f t="shared" ref="E8:E71" si="66">MONTH(B8)</f>
        <v>1</v>
      </c>
      <c r="F8" s="53">
        <f t="shared" ref="F8:F71" si="67">YEAR(D8)</f>
        <v>2018</v>
      </c>
      <c r="G8" s="62">
        <f>G7</f>
        <v>15</v>
      </c>
      <c r="H8" s="63">
        <f>H7</f>
        <v>96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>
        <v>15</v>
      </c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80"/>
      <c r="AG8" s="87">
        <f t="shared" si="23"/>
        <v>0</v>
      </c>
      <c r="AH8" s="87">
        <f t="shared" si="24"/>
        <v>0</v>
      </c>
      <c r="AI8" s="87">
        <f t="shared" si="25"/>
        <v>0</v>
      </c>
      <c r="AJ8" s="87">
        <f t="shared" si="26"/>
        <v>0</v>
      </c>
      <c r="AK8" s="87">
        <f t="shared" si="27"/>
        <v>0</v>
      </c>
      <c r="AL8" s="87">
        <f t="shared" si="28"/>
        <v>0</v>
      </c>
      <c r="AM8" s="87">
        <f t="shared" si="29"/>
        <v>0</v>
      </c>
      <c r="AN8" s="87">
        <f t="shared" si="30"/>
        <v>0</v>
      </c>
      <c r="AO8" s="87">
        <f t="shared" si="31"/>
        <v>0</v>
      </c>
      <c r="AP8" s="87">
        <f t="shared" si="32"/>
        <v>0</v>
      </c>
      <c r="AQ8" s="87">
        <f t="shared" si="33"/>
        <v>15</v>
      </c>
      <c r="AR8" s="81"/>
      <c r="AS8" s="85">
        <f t="shared" si="34"/>
        <v>0</v>
      </c>
      <c r="AT8" s="85">
        <f t="shared" si="35"/>
        <v>0</v>
      </c>
      <c r="AU8" s="85">
        <f t="shared" si="36"/>
        <v>0</v>
      </c>
      <c r="AV8" s="85">
        <f t="shared" si="37"/>
        <v>0</v>
      </c>
      <c r="AW8" s="85">
        <f t="shared" si="38"/>
        <v>0</v>
      </c>
      <c r="AX8" s="85">
        <f t="shared" si="39"/>
        <v>0</v>
      </c>
      <c r="AY8" s="85">
        <f t="shared" si="40"/>
        <v>0</v>
      </c>
      <c r="AZ8" s="85">
        <f t="shared" si="41"/>
        <v>0</v>
      </c>
      <c r="BA8" s="85">
        <f t="shared" si="42"/>
        <v>0</v>
      </c>
      <c r="BB8" s="85">
        <f t="shared" si="43"/>
        <v>0</v>
      </c>
      <c r="BC8" s="85">
        <f t="shared" si="44"/>
        <v>0</v>
      </c>
      <c r="BD8" s="85">
        <f t="shared" si="45"/>
        <v>0</v>
      </c>
      <c r="BE8" s="85">
        <f t="shared" si="46"/>
        <v>0</v>
      </c>
      <c r="BF8" s="85">
        <f t="shared" si="47"/>
        <v>0</v>
      </c>
      <c r="BG8" s="85">
        <f t="shared" si="48"/>
        <v>0</v>
      </c>
      <c r="BH8" s="85">
        <f t="shared" si="49"/>
        <v>0</v>
      </c>
      <c r="BI8" s="85">
        <f t="shared" si="50"/>
        <v>0</v>
      </c>
      <c r="BJ8" s="85">
        <f t="shared" si="51"/>
        <v>0</v>
      </c>
      <c r="BK8" s="85">
        <f t="shared" si="52"/>
        <v>0</v>
      </c>
      <c r="BL8" s="85">
        <f t="shared" si="53"/>
        <v>0</v>
      </c>
      <c r="BM8" s="85">
        <f t="shared" si="54"/>
        <v>0</v>
      </c>
      <c r="BN8" s="85">
        <f t="shared" si="55"/>
        <v>0</v>
      </c>
      <c r="BO8" s="85">
        <f t="shared" si="56"/>
        <v>0</v>
      </c>
      <c r="BP8" s="85">
        <f t="shared" si="57"/>
        <v>0</v>
      </c>
      <c r="BQ8" s="85">
        <f t="shared" si="58"/>
        <v>0</v>
      </c>
      <c r="BR8" s="85">
        <f t="shared" si="59"/>
        <v>0</v>
      </c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X8" s="35"/>
      <c r="CZ8" s="35"/>
      <c r="DC8" s="57" t="str">
        <f t="shared" si="60"/>
        <v/>
      </c>
      <c r="DD8" s="64" t="str">
        <f t="shared" si="61"/>
        <v/>
      </c>
      <c r="DE8" s="65" t="str">
        <f t="shared" si="62"/>
        <v/>
      </c>
      <c r="DF8" s="66" t="str">
        <f t="shared" si="63"/>
        <v/>
      </c>
    </row>
    <row r="9" spans="2:110" hidden="1" outlineLevel="1">
      <c r="B9" s="54">
        <f t="shared" si="64"/>
        <v>43115</v>
      </c>
      <c r="C9" s="55" t="s">
        <v>1</v>
      </c>
      <c r="D9" s="56">
        <f t="shared" si="65"/>
        <v>43121</v>
      </c>
      <c r="E9" s="52">
        <f t="shared" si="66"/>
        <v>1</v>
      </c>
      <c r="F9" s="53">
        <f t="shared" si="67"/>
        <v>2018</v>
      </c>
      <c r="G9" s="62">
        <f t="shared" ref="G9:G72" si="68">G8</f>
        <v>15</v>
      </c>
      <c r="H9" s="63">
        <f t="shared" ref="H9:H72" si="69">H8</f>
        <v>96</v>
      </c>
      <c r="I9" s="62"/>
      <c r="J9" s="62"/>
      <c r="K9" s="62"/>
      <c r="L9" s="62"/>
      <c r="M9" s="62"/>
      <c r="N9" s="62"/>
      <c r="O9" s="62"/>
      <c r="P9" s="62"/>
      <c r="Q9" s="62"/>
      <c r="R9" s="62"/>
      <c r="S9" s="62">
        <v>15</v>
      </c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87">
        <f t="shared" si="23"/>
        <v>0</v>
      </c>
      <c r="AH9" s="87">
        <f t="shared" si="24"/>
        <v>0</v>
      </c>
      <c r="AI9" s="87">
        <f t="shared" si="25"/>
        <v>0</v>
      </c>
      <c r="AJ9" s="87">
        <f t="shared" si="26"/>
        <v>0</v>
      </c>
      <c r="AK9" s="87">
        <f t="shared" si="27"/>
        <v>0</v>
      </c>
      <c r="AL9" s="87">
        <f t="shared" si="28"/>
        <v>0</v>
      </c>
      <c r="AM9" s="87">
        <f t="shared" si="29"/>
        <v>0</v>
      </c>
      <c r="AN9" s="87">
        <f t="shared" si="30"/>
        <v>0</v>
      </c>
      <c r="AO9" s="87">
        <f t="shared" si="31"/>
        <v>0</v>
      </c>
      <c r="AP9" s="87">
        <f t="shared" si="32"/>
        <v>0</v>
      </c>
      <c r="AQ9" s="87">
        <f t="shared" si="33"/>
        <v>15</v>
      </c>
      <c r="AR9" s="81"/>
      <c r="AS9" s="85">
        <f t="shared" si="34"/>
        <v>0</v>
      </c>
      <c r="AT9" s="85">
        <f t="shared" si="35"/>
        <v>0</v>
      </c>
      <c r="AU9" s="85">
        <f t="shared" si="36"/>
        <v>0</v>
      </c>
      <c r="AV9" s="85">
        <f t="shared" si="37"/>
        <v>0</v>
      </c>
      <c r="AW9" s="85">
        <f t="shared" si="38"/>
        <v>0</v>
      </c>
      <c r="AX9" s="85">
        <f t="shared" si="39"/>
        <v>0</v>
      </c>
      <c r="AY9" s="85">
        <f t="shared" si="40"/>
        <v>0</v>
      </c>
      <c r="AZ9" s="85">
        <f t="shared" si="41"/>
        <v>0</v>
      </c>
      <c r="BA9" s="85">
        <f t="shared" si="42"/>
        <v>0</v>
      </c>
      <c r="BB9" s="85">
        <f t="shared" si="43"/>
        <v>0</v>
      </c>
      <c r="BC9" s="85">
        <f t="shared" si="44"/>
        <v>0</v>
      </c>
      <c r="BD9" s="85">
        <f t="shared" si="45"/>
        <v>0</v>
      </c>
      <c r="BE9" s="85">
        <f t="shared" si="46"/>
        <v>0</v>
      </c>
      <c r="BF9" s="85">
        <f t="shared" si="47"/>
        <v>0</v>
      </c>
      <c r="BG9" s="85">
        <f t="shared" si="48"/>
        <v>0</v>
      </c>
      <c r="BH9" s="85">
        <f t="shared" si="49"/>
        <v>0</v>
      </c>
      <c r="BI9" s="85">
        <f t="shared" si="50"/>
        <v>0</v>
      </c>
      <c r="BJ9" s="85">
        <f t="shared" si="51"/>
        <v>0</v>
      </c>
      <c r="BK9" s="85">
        <f t="shared" si="52"/>
        <v>0</v>
      </c>
      <c r="BL9" s="85">
        <f t="shared" si="53"/>
        <v>0</v>
      </c>
      <c r="BM9" s="85">
        <f t="shared" si="54"/>
        <v>0</v>
      </c>
      <c r="BN9" s="85">
        <f t="shared" si="55"/>
        <v>0</v>
      </c>
      <c r="BO9" s="85">
        <f t="shared" si="56"/>
        <v>0</v>
      </c>
      <c r="BP9" s="85">
        <f t="shared" si="57"/>
        <v>0</v>
      </c>
      <c r="BQ9" s="85">
        <f t="shared" si="58"/>
        <v>0</v>
      </c>
      <c r="BR9" s="85">
        <f t="shared" si="59"/>
        <v>0</v>
      </c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X9" s="35"/>
      <c r="CZ9" s="35"/>
      <c r="DC9" s="57" t="str">
        <f t="shared" si="60"/>
        <v/>
      </c>
      <c r="DD9" s="64" t="str">
        <f t="shared" si="61"/>
        <v/>
      </c>
      <c r="DE9" s="65" t="str">
        <f t="shared" si="62"/>
        <v/>
      </c>
      <c r="DF9" s="66" t="str">
        <f t="shared" si="63"/>
        <v/>
      </c>
    </row>
    <row r="10" spans="2:110" hidden="1" outlineLevel="1">
      <c r="B10" s="54">
        <f t="shared" si="64"/>
        <v>43122</v>
      </c>
      <c r="C10" s="55" t="s">
        <v>1</v>
      </c>
      <c r="D10" s="56">
        <f t="shared" si="65"/>
        <v>43128</v>
      </c>
      <c r="E10" s="52">
        <f t="shared" si="66"/>
        <v>1</v>
      </c>
      <c r="F10" s="53">
        <f t="shared" si="67"/>
        <v>2018</v>
      </c>
      <c r="G10" s="62">
        <f t="shared" si="68"/>
        <v>15</v>
      </c>
      <c r="H10" s="63">
        <f t="shared" si="69"/>
        <v>96</v>
      </c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>
        <v>15</v>
      </c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80"/>
      <c r="AG10" s="87">
        <f t="shared" si="23"/>
        <v>0</v>
      </c>
      <c r="AH10" s="87">
        <f t="shared" si="24"/>
        <v>0</v>
      </c>
      <c r="AI10" s="87">
        <f t="shared" si="25"/>
        <v>0</v>
      </c>
      <c r="AJ10" s="87">
        <f t="shared" si="26"/>
        <v>0</v>
      </c>
      <c r="AK10" s="87">
        <f t="shared" si="27"/>
        <v>0</v>
      </c>
      <c r="AL10" s="87">
        <f t="shared" si="28"/>
        <v>0</v>
      </c>
      <c r="AM10" s="87">
        <f t="shared" si="29"/>
        <v>0</v>
      </c>
      <c r="AN10" s="87">
        <f t="shared" si="30"/>
        <v>0</v>
      </c>
      <c r="AO10" s="87">
        <f t="shared" si="31"/>
        <v>0</v>
      </c>
      <c r="AP10" s="87">
        <f t="shared" si="32"/>
        <v>0</v>
      </c>
      <c r="AQ10" s="87">
        <f t="shared" si="33"/>
        <v>15</v>
      </c>
      <c r="AR10" s="81"/>
      <c r="AS10" s="85">
        <f t="shared" si="34"/>
        <v>0</v>
      </c>
      <c r="AT10" s="85">
        <f t="shared" si="35"/>
        <v>0</v>
      </c>
      <c r="AU10" s="85">
        <f t="shared" si="36"/>
        <v>0</v>
      </c>
      <c r="AV10" s="85">
        <f t="shared" si="37"/>
        <v>0</v>
      </c>
      <c r="AW10" s="85">
        <f t="shared" si="38"/>
        <v>0</v>
      </c>
      <c r="AX10" s="85">
        <f t="shared" si="39"/>
        <v>0</v>
      </c>
      <c r="AY10" s="85">
        <f t="shared" si="40"/>
        <v>0</v>
      </c>
      <c r="AZ10" s="85">
        <f t="shared" si="41"/>
        <v>0</v>
      </c>
      <c r="BA10" s="85">
        <f t="shared" si="42"/>
        <v>0</v>
      </c>
      <c r="BB10" s="85">
        <f t="shared" si="43"/>
        <v>0</v>
      </c>
      <c r="BC10" s="85">
        <f t="shared" si="44"/>
        <v>0</v>
      </c>
      <c r="BD10" s="85">
        <f t="shared" si="45"/>
        <v>0</v>
      </c>
      <c r="BE10" s="85">
        <f t="shared" si="46"/>
        <v>0</v>
      </c>
      <c r="BF10" s="85">
        <f t="shared" si="47"/>
        <v>0</v>
      </c>
      <c r="BG10" s="85">
        <f t="shared" si="48"/>
        <v>0</v>
      </c>
      <c r="BH10" s="85">
        <f t="shared" si="49"/>
        <v>0</v>
      </c>
      <c r="BI10" s="85">
        <f t="shared" si="50"/>
        <v>0</v>
      </c>
      <c r="BJ10" s="85">
        <f t="shared" si="51"/>
        <v>0</v>
      </c>
      <c r="BK10" s="85">
        <f t="shared" si="52"/>
        <v>0</v>
      </c>
      <c r="BL10" s="85">
        <f t="shared" si="53"/>
        <v>0</v>
      </c>
      <c r="BM10" s="85">
        <f t="shared" si="54"/>
        <v>0</v>
      </c>
      <c r="BN10" s="85">
        <f t="shared" si="55"/>
        <v>0</v>
      </c>
      <c r="BO10" s="85">
        <f t="shared" si="56"/>
        <v>0</v>
      </c>
      <c r="BP10" s="85">
        <f t="shared" si="57"/>
        <v>0</v>
      </c>
      <c r="BQ10" s="85">
        <f t="shared" si="58"/>
        <v>0</v>
      </c>
      <c r="BR10" s="85">
        <f t="shared" si="59"/>
        <v>0</v>
      </c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X10" s="35"/>
      <c r="CZ10" s="35"/>
      <c r="DC10" s="57" t="str">
        <f t="shared" si="60"/>
        <v/>
      </c>
      <c r="DD10" s="64" t="str">
        <f t="shared" si="61"/>
        <v/>
      </c>
      <c r="DE10" s="65" t="str">
        <f t="shared" si="62"/>
        <v/>
      </c>
      <c r="DF10" s="66" t="str">
        <f t="shared" si="63"/>
        <v/>
      </c>
    </row>
    <row r="11" spans="2:110" hidden="1" outlineLevel="1">
      <c r="B11" s="54">
        <f t="shared" si="64"/>
        <v>43129</v>
      </c>
      <c r="C11" s="55" t="s">
        <v>1</v>
      </c>
      <c r="D11" s="56">
        <f t="shared" si="65"/>
        <v>43135</v>
      </c>
      <c r="E11" s="52">
        <f t="shared" si="66"/>
        <v>1</v>
      </c>
      <c r="F11" s="53">
        <f t="shared" si="67"/>
        <v>2018</v>
      </c>
      <c r="G11" s="62">
        <f t="shared" si="68"/>
        <v>15</v>
      </c>
      <c r="H11" s="63">
        <f t="shared" si="69"/>
        <v>96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>
        <v>15</v>
      </c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80"/>
      <c r="AG11" s="87">
        <f t="shared" si="23"/>
        <v>0</v>
      </c>
      <c r="AH11" s="87">
        <f t="shared" si="24"/>
        <v>0</v>
      </c>
      <c r="AI11" s="87">
        <f t="shared" si="25"/>
        <v>0</v>
      </c>
      <c r="AJ11" s="87">
        <f t="shared" si="26"/>
        <v>0</v>
      </c>
      <c r="AK11" s="87">
        <f t="shared" si="27"/>
        <v>0</v>
      </c>
      <c r="AL11" s="87">
        <f t="shared" si="28"/>
        <v>0</v>
      </c>
      <c r="AM11" s="87">
        <f t="shared" si="29"/>
        <v>0</v>
      </c>
      <c r="AN11" s="87">
        <f t="shared" si="30"/>
        <v>0</v>
      </c>
      <c r="AO11" s="87">
        <f t="shared" si="31"/>
        <v>0</v>
      </c>
      <c r="AP11" s="87">
        <f t="shared" si="32"/>
        <v>0</v>
      </c>
      <c r="AQ11" s="87">
        <f t="shared" si="33"/>
        <v>15</v>
      </c>
      <c r="AR11" s="81"/>
      <c r="AS11" s="85">
        <f t="shared" si="34"/>
        <v>0</v>
      </c>
      <c r="AT11" s="85">
        <f t="shared" si="35"/>
        <v>0</v>
      </c>
      <c r="AU11" s="85">
        <f t="shared" si="36"/>
        <v>0</v>
      </c>
      <c r="AV11" s="85">
        <f t="shared" si="37"/>
        <v>0</v>
      </c>
      <c r="AW11" s="85">
        <f t="shared" si="38"/>
        <v>0</v>
      </c>
      <c r="AX11" s="85">
        <f t="shared" si="39"/>
        <v>0</v>
      </c>
      <c r="AY11" s="85">
        <f t="shared" si="40"/>
        <v>0</v>
      </c>
      <c r="AZ11" s="85">
        <f t="shared" si="41"/>
        <v>0</v>
      </c>
      <c r="BA11" s="85">
        <f t="shared" si="42"/>
        <v>0</v>
      </c>
      <c r="BB11" s="85">
        <f t="shared" si="43"/>
        <v>0</v>
      </c>
      <c r="BC11" s="85">
        <f t="shared" si="44"/>
        <v>0</v>
      </c>
      <c r="BD11" s="85">
        <f t="shared" si="45"/>
        <v>0</v>
      </c>
      <c r="BE11" s="85">
        <f t="shared" si="46"/>
        <v>0</v>
      </c>
      <c r="BF11" s="85">
        <f t="shared" si="47"/>
        <v>0</v>
      </c>
      <c r="BG11" s="85">
        <f t="shared" si="48"/>
        <v>0</v>
      </c>
      <c r="BH11" s="85">
        <f t="shared" si="49"/>
        <v>0</v>
      </c>
      <c r="BI11" s="85">
        <f t="shared" si="50"/>
        <v>0</v>
      </c>
      <c r="BJ11" s="85">
        <f t="shared" si="51"/>
        <v>0</v>
      </c>
      <c r="BK11" s="85">
        <f t="shared" si="52"/>
        <v>0</v>
      </c>
      <c r="BL11" s="85">
        <f t="shared" si="53"/>
        <v>0</v>
      </c>
      <c r="BM11" s="85">
        <f t="shared" si="54"/>
        <v>0</v>
      </c>
      <c r="BN11" s="85">
        <f t="shared" si="55"/>
        <v>0</v>
      </c>
      <c r="BO11" s="85">
        <f t="shared" si="56"/>
        <v>0</v>
      </c>
      <c r="BP11" s="85">
        <f t="shared" si="57"/>
        <v>0</v>
      </c>
      <c r="BQ11" s="85">
        <f t="shared" si="58"/>
        <v>0</v>
      </c>
      <c r="BR11" s="85">
        <f t="shared" si="59"/>
        <v>0</v>
      </c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X11" s="35"/>
      <c r="CZ11" s="35"/>
      <c r="DC11" s="57" t="str">
        <f t="shared" si="60"/>
        <v/>
      </c>
      <c r="DD11" s="64" t="str">
        <f t="shared" si="61"/>
        <v/>
      </c>
      <c r="DE11" s="65" t="str">
        <f t="shared" si="62"/>
        <v/>
      </c>
      <c r="DF11" s="66" t="str">
        <f t="shared" si="63"/>
        <v/>
      </c>
    </row>
    <row r="12" spans="2:110" hidden="1" outlineLevel="1">
      <c r="B12" s="54">
        <f t="shared" si="64"/>
        <v>43136</v>
      </c>
      <c r="C12" s="55" t="s">
        <v>1</v>
      </c>
      <c r="D12" s="56">
        <f t="shared" si="65"/>
        <v>43142</v>
      </c>
      <c r="E12" s="52">
        <f t="shared" si="66"/>
        <v>2</v>
      </c>
      <c r="F12" s="53">
        <f t="shared" si="67"/>
        <v>2018</v>
      </c>
      <c r="G12" s="62">
        <f t="shared" si="68"/>
        <v>15</v>
      </c>
      <c r="H12" s="63">
        <f t="shared" si="69"/>
        <v>96</v>
      </c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>
        <v>15</v>
      </c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  <c r="AG12" s="87">
        <f t="shared" si="23"/>
        <v>0</v>
      </c>
      <c r="AH12" s="87">
        <f t="shared" si="24"/>
        <v>0</v>
      </c>
      <c r="AI12" s="87">
        <f t="shared" si="25"/>
        <v>0</v>
      </c>
      <c r="AJ12" s="87">
        <f t="shared" si="26"/>
        <v>0</v>
      </c>
      <c r="AK12" s="87">
        <f t="shared" si="27"/>
        <v>0</v>
      </c>
      <c r="AL12" s="87">
        <f t="shared" si="28"/>
        <v>0</v>
      </c>
      <c r="AM12" s="87">
        <f t="shared" si="29"/>
        <v>0</v>
      </c>
      <c r="AN12" s="87">
        <f t="shared" si="30"/>
        <v>0</v>
      </c>
      <c r="AO12" s="87">
        <f t="shared" si="31"/>
        <v>0</v>
      </c>
      <c r="AP12" s="87">
        <f t="shared" si="32"/>
        <v>0</v>
      </c>
      <c r="AQ12" s="87">
        <f t="shared" si="33"/>
        <v>15</v>
      </c>
      <c r="AR12" s="81"/>
      <c r="AS12" s="85">
        <f t="shared" si="34"/>
        <v>0</v>
      </c>
      <c r="AT12" s="85">
        <f t="shared" si="35"/>
        <v>0</v>
      </c>
      <c r="AU12" s="85">
        <f t="shared" si="36"/>
        <v>0</v>
      </c>
      <c r="AV12" s="85">
        <f t="shared" si="37"/>
        <v>0</v>
      </c>
      <c r="AW12" s="85">
        <f t="shared" si="38"/>
        <v>0</v>
      </c>
      <c r="AX12" s="85">
        <f t="shared" si="39"/>
        <v>0</v>
      </c>
      <c r="AY12" s="85">
        <f t="shared" si="40"/>
        <v>0</v>
      </c>
      <c r="AZ12" s="85">
        <f t="shared" si="41"/>
        <v>0</v>
      </c>
      <c r="BA12" s="85">
        <f t="shared" si="42"/>
        <v>0</v>
      </c>
      <c r="BB12" s="85">
        <f t="shared" si="43"/>
        <v>0</v>
      </c>
      <c r="BC12" s="85">
        <f t="shared" si="44"/>
        <v>0</v>
      </c>
      <c r="BD12" s="85">
        <f t="shared" si="45"/>
        <v>0</v>
      </c>
      <c r="BE12" s="85">
        <f t="shared" si="46"/>
        <v>0</v>
      </c>
      <c r="BF12" s="85">
        <f t="shared" si="47"/>
        <v>0</v>
      </c>
      <c r="BG12" s="85">
        <f t="shared" si="48"/>
        <v>0</v>
      </c>
      <c r="BH12" s="85">
        <f t="shared" si="49"/>
        <v>0</v>
      </c>
      <c r="BI12" s="85">
        <f t="shared" si="50"/>
        <v>0</v>
      </c>
      <c r="BJ12" s="85">
        <f t="shared" si="51"/>
        <v>0</v>
      </c>
      <c r="BK12" s="85">
        <f t="shared" si="52"/>
        <v>0</v>
      </c>
      <c r="BL12" s="85">
        <f t="shared" si="53"/>
        <v>0</v>
      </c>
      <c r="BM12" s="85">
        <f t="shared" si="54"/>
        <v>0</v>
      </c>
      <c r="BN12" s="85">
        <f t="shared" si="55"/>
        <v>0</v>
      </c>
      <c r="BO12" s="85">
        <f t="shared" si="56"/>
        <v>0</v>
      </c>
      <c r="BP12" s="85">
        <f t="shared" si="57"/>
        <v>0</v>
      </c>
      <c r="BQ12" s="85">
        <f t="shared" si="58"/>
        <v>0</v>
      </c>
      <c r="BR12" s="85">
        <f t="shared" si="59"/>
        <v>0</v>
      </c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X12" s="35"/>
      <c r="CZ12" s="35"/>
      <c r="DC12" s="57" t="str">
        <f t="shared" si="60"/>
        <v/>
      </c>
      <c r="DD12" s="64" t="str">
        <f t="shared" si="61"/>
        <v/>
      </c>
      <c r="DE12" s="65" t="str">
        <f t="shared" si="62"/>
        <v/>
      </c>
      <c r="DF12" s="66" t="str">
        <f t="shared" si="63"/>
        <v/>
      </c>
    </row>
    <row r="13" spans="2:110" hidden="1" outlineLevel="1">
      <c r="B13" s="54">
        <f t="shared" si="64"/>
        <v>43143</v>
      </c>
      <c r="C13" s="55" t="s">
        <v>1</v>
      </c>
      <c r="D13" s="56">
        <f t="shared" si="65"/>
        <v>43149</v>
      </c>
      <c r="E13" s="52">
        <f t="shared" si="66"/>
        <v>2</v>
      </c>
      <c r="F13" s="53">
        <f t="shared" si="67"/>
        <v>2018</v>
      </c>
      <c r="G13" s="62">
        <f t="shared" si="68"/>
        <v>15</v>
      </c>
      <c r="H13" s="63">
        <f t="shared" si="69"/>
        <v>96</v>
      </c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>
        <v>15</v>
      </c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80"/>
      <c r="AG13" s="87">
        <f t="shared" si="23"/>
        <v>0</v>
      </c>
      <c r="AH13" s="87">
        <f t="shared" si="24"/>
        <v>0</v>
      </c>
      <c r="AI13" s="87">
        <f t="shared" si="25"/>
        <v>0</v>
      </c>
      <c r="AJ13" s="87">
        <f t="shared" si="26"/>
        <v>0</v>
      </c>
      <c r="AK13" s="87">
        <f t="shared" si="27"/>
        <v>0</v>
      </c>
      <c r="AL13" s="87">
        <f t="shared" si="28"/>
        <v>0</v>
      </c>
      <c r="AM13" s="87">
        <f t="shared" si="29"/>
        <v>0</v>
      </c>
      <c r="AN13" s="87">
        <f t="shared" si="30"/>
        <v>0</v>
      </c>
      <c r="AO13" s="87">
        <f t="shared" si="31"/>
        <v>0</v>
      </c>
      <c r="AP13" s="87">
        <f t="shared" si="32"/>
        <v>0</v>
      </c>
      <c r="AQ13" s="87">
        <f t="shared" si="33"/>
        <v>15</v>
      </c>
      <c r="AR13" s="81"/>
      <c r="AS13" s="85">
        <f t="shared" si="34"/>
        <v>0</v>
      </c>
      <c r="AT13" s="85">
        <f t="shared" si="35"/>
        <v>0</v>
      </c>
      <c r="AU13" s="85">
        <f t="shared" si="36"/>
        <v>0</v>
      </c>
      <c r="AV13" s="85">
        <f t="shared" si="37"/>
        <v>0</v>
      </c>
      <c r="AW13" s="85">
        <f t="shared" si="38"/>
        <v>0</v>
      </c>
      <c r="AX13" s="85">
        <f t="shared" si="39"/>
        <v>0</v>
      </c>
      <c r="AY13" s="85">
        <f t="shared" si="40"/>
        <v>0</v>
      </c>
      <c r="AZ13" s="85">
        <f t="shared" si="41"/>
        <v>0</v>
      </c>
      <c r="BA13" s="85">
        <f t="shared" si="42"/>
        <v>0</v>
      </c>
      <c r="BB13" s="85">
        <f t="shared" si="43"/>
        <v>0</v>
      </c>
      <c r="BC13" s="85">
        <f t="shared" si="44"/>
        <v>0</v>
      </c>
      <c r="BD13" s="85">
        <f t="shared" si="45"/>
        <v>0</v>
      </c>
      <c r="BE13" s="85">
        <f t="shared" si="46"/>
        <v>0</v>
      </c>
      <c r="BF13" s="85">
        <f t="shared" si="47"/>
        <v>0</v>
      </c>
      <c r="BG13" s="85">
        <f t="shared" si="48"/>
        <v>0</v>
      </c>
      <c r="BH13" s="85">
        <f t="shared" si="49"/>
        <v>0</v>
      </c>
      <c r="BI13" s="85">
        <f t="shared" si="50"/>
        <v>0</v>
      </c>
      <c r="BJ13" s="85">
        <f t="shared" si="51"/>
        <v>0</v>
      </c>
      <c r="BK13" s="85">
        <f t="shared" si="52"/>
        <v>0</v>
      </c>
      <c r="BL13" s="85">
        <f t="shared" si="53"/>
        <v>0</v>
      </c>
      <c r="BM13" s="85">
        <f t="shared" si="54"/>
        <v>0</v>
      </c>
      <c r="BN13" s="85">
        <f t="shared" si="55"/>
        <v>0</v>
      </c>
      <c r="BO13" s="85">
        <f t="shared" si="56"/>
        <v>0</v>
      </c>
      <c r="BP13" s="85">
        <f t="shared" si="57"/>
        <v>0</v>
      </c>
      <c r="BQ13" s="85">
        <f t="shared" si="58"/>
        <v>0</v>
      </c>
      <c r="BR13" s="85">
        <f t="shared" si="59"/>
        <v>0</v>
      </c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X13" s="35"/>
      <c r="CZ13" s="35"/>
      <c r="DC13" s="57" t="str">
        <f t="shared" si="60"/>
        <v/>
      </c>
      <c r="DD13" s="64" t="str">
        <f t="shared" si="61"/>
        <v/>
      </c>
      <c r="DE13" s="65" t="str">
        <f t="shared" si="62"/>
        <v/>
      </c>
      <c r="DF13" s="66" t="str">
        <f t="shared" si="63"/>
        <v/>
      </c>
    </row>
    <row r="14" spans="2:110" hidden="1" outlineLevel="1">
      <c r="B14" s="54">
        <f t="shared" si="64"/>
        <v>43150</v>
      </c>
      <c r="C14" s="55" t="s">
        <v>1</v>
      </c>
      <c r="D14" s="56">
        <f t="shared" si="65"/>
        <v>43156</v>
      </c>
      <c r="E14" s="52">
        <f t="shared" si="66"/>
        <v>2</v>
      </c>
      <c r="F14" s="53">
        <f t="shared" si="67"/>
        <v>2018</v>
      </c>
      <c r="G14" s="62">
        <f t="shared" si="68"/>
        <v>15</v>
      </c>
      <c r="H14" s="63">
        <f t="shared" si="69"/>
        <v>96</v>
      </c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>
        <v>15</v>
      </c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80"/>
      <c r="AG14" s="87">
        <f t="shared" si="23"/>
        <v>0</v>
      </c>
      <c r="AH14" s="87">
        <f t="shared" si="24"/>
        <v>0</v>
      </c>
      <c r="AI14" s="87">
        <f t="shared" si="25"/>
        <v>0</v>
      </c>
      <c r="AJ14" s="87">
        <f t="shared" si="26"/>
        <v>0</v>
      </c>
      <c r="AK14" s="87">
        <f t="shared" si="27"/>
        <v>0</v>
      </c>
      <c r="AL14" s="87">
        <f t="shared" si="28"/>
        <v>0</v>
      </c>
      <c r="AM14" s="87">
        <f t="shared" si="29"/>
        <v>0</v>
      </c>
      <c r="AN14" s="87">
        <f t="shared" si="30"/>
        <v>0</v>
      </c>
      <c r="AO14" s="87">
        <f t="shared" si="31"/>
        <v>0</v>
      </c>
      <c r="AP14" s="87">
        <f t="shared" si="32"/>
        <v>0</v>
      </c>
      <c r="AQ14" s="87">
        <f t="shared" si="33"/>
        <v>15</v>
      </c>
      <c r="AR14" s="81"/>
      <c r="AS14" s="85">
        <f t="shared" si="34"/>
        <v>0</v>
      </c>
      <c r="AT14" s="85">
        <f t="shared" si="35"/>
        <v>0</v>
      </c>
      <c r="AU14" s="85">
        <f t="shared" si="36"/>
        <v>0</v>
      </c>
      <c r="AV14" s="85">
        <f t="shared" si="37"/>
        <v>0</v>
      </c>
      <c r="AW14" s="85">
        <f t="shared" si="38"/>
        <v>0</v>
      </c>
      <c r="AX14" s="85">
        <f t="shared" si="39"/>
        <v>0</v>
      </c>
      <c r="AY14" s="85">
        <f t="shared" si="40"/>
        <v>0</v>
      </c>
      <c r="AZ14" s="85">
        <f t="shared" si="41"/>
        <v>0</v>
      </c>
      <c r="BA14" s="85">
        <f t="shared" si="42"/>
        <v>0</v>
      </c>
      <c r="BB14" s="85">
        <f t="shared" si="43"/>
        <v>0</v>
      </c>
      <c r="BC14" s="85">
        <f t="shared" si="44"/>
        <v>0</v>
      </c>
      <c r="BD14" s="85">
        <f t="shared" si="45"/>
        <v>0</v>
      </c>
      <c r="BE14" s="85">
        <f t="shared" si="46"/>
        <v>0</v>
      </c>
      <c r="BF14" s="85">
        <f t="shared" si="47"/>
        <v>0</v>
      </c>
      <c r="BG14" s="85">
        <f t="shared" si="48"/>
        <v>0</v>
      </c>
      <c r="BH14" s="85">
        <f t="shared" si="49"/>
        <v>0</v>
      </c>
      <c r="BI14" s="85">
        <f t="shared" si="50"/>
        <v>0</v>
      </c>
      <c r="BJ14" s="85">
        <f t="shared" si="51"/>
        <v>0</v>
      </c>
      <c r="BK14" s="85">
        <f t="shared" si="52"/>
        <v>0</v>
      </c>
      <c r="BL14" s="85">
        <f t="shared" si="53"/>
        <v>0</v>
      </c>
      <c r="BM14" s="85">
        <f t="shared" si="54"/>
        <v>0</v>
      </c>
      <c r="BN14" s="85">
        <f t="shared" si="55"/>
        <v>0</v>
      </c>
      <c r="BO14" s="85">
        <f t="shared" si="56"/>
        <v>0</v>
      </c>
      <c r="BP14" s="85">
        <f t="shared" si="57"/>
        <v>0</v>
      </c>
      <c r="BQ14" s="85">
        <f t="shared" si="58"/>
        <v>0</v>
      </c>
      <c r="BR14" s="85">
        <f t="shared" si="59"/>
        <v>0</v>
      </c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X14" s="35"/>
      <c r="CZ14" s="35"/>
      <c r="DC14" s="57" t="str">
        <f t="shared" si="60"/>
        <v/>
      </c>
      <c r="DD14" s="64" t="str">
        <f t="shared" si="61"/>
        <v/>
      </c>
      <c r="DE14" s="65" t="str">
        <f t="shared" si="62"/>
        <v/>
      </c>
      <c r="DF14" s="66" t="str">
        <f t="shared" si="63"/>
        <v/>
      </c>
    </row>
    <row r="15" spans="2:110" hidden="1" outlineLevel="1">
      <c r="B15" s="54">
        <f t="shared" si="64"/>
        <v>43157</v>
      </c>
      <c r="C15" s="55" t="s">
        <v>1</v>
      </c>
      <c r="D15" s="56">
        <f t="shared" si="65"/>
        <v>43163</v>
      </c>
      <c r="E15" s="52">
        <f t="shared" si="66"/>
        <v>2</v>
      </c>
      <c r="F15" s="53">
        <f t="shared" si="67"/>
        <v>2018</v>
      </c>
      <c r="G15" s="62">
        <f t="shared" si="68"/>
        <v>15</v>
      </c>
      <c r="H15" s="63">
        <f t="shared" si="69"/>
        <v>96</v>
      </c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>
        <v>15</v>
      </c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80"/>
      <c r="AG15" s="87">
        <f t="shared" si="23"/>
        <v>0</v>
      </c>
      <c r="AH15" s="87">
        <f t="shared" si="24"/>
        <v>0</v>
      </c>
      <c r="AI15" s="87">
        <f t="shared" si="25"/>
        <v>0</v>
      </c>
      <c r="AJ15" s="87">
        <f t="shared" si="26"/>
        <v>0</v>
      </c>
      <c r="AK15" s="87">
        <f t="shared" si="27"/>
        <v>0</v>
      </c>
      <c r="AL15" s="87">
        <f t="shared" si="28"/>
        <v>0</v>
      </c>
      <c r="AM15" s="87">
        <f t="shared" si="29"/>
        <v>0</v>
      </c>
      <c r="AN15" s="87">
        <f t="shared" si="30"/>
        <v>0</v>
      </c>
      <c r="AO15" s="87">
        <f t="shared" si="31"/>
        <v>0</v>
      </c>
      <c r="AP15" s="87">
        <f t="shared" si="32"/>
        <v>0</v>
      </c>
      <c r="AQ15" s="87">
        <f t="shared" si="33"/>
        <v>15</v>
      </c>
      <c r="AR15" s="81"/>
      <c r="AS15" s="85">
        <f t="shared" si="34"/>
        <v>0</v>
      </c>
      <c r="AT15" s="85">
        <f t="shared" si="35"/>
        <v>0</v>
      </c>
      <c r="AU15" s="85">
        <f t="shared" si="36"/>
        <v>0</v>
      </c>
      <c r="AV15" s="85">
        <f t="shared" si="37"/>
        <v>0</v>
      </c>
      <c r="AW15" s="85">
        <f t="shared" si="38"/>
        <v>0</v>
      </c>
      <c r="AX15" s="85">
        <f t="shared" si="39"/>
        <v>0</v>
      </c>
      <c r="AY15" s="85">
        <f t="shared" si="40"/>
        <v>0</v>
      </c>
      <c r="AZ15" s="85">
        <f t="shared" si="41"/>
        <v>0</v>
      </c>
      <c r="BA15" s="85">
        <f t="shared" si="42"/>
        <v>0</v>
      </c>
      <c r="BB15" s="85">
        <f t="shared" si="43"/>
        <v>0</v>
      </c>
      <c r="BC15" s="85">
        <f t="shared" si="44"/>
        <v>0</v>
      </c>
      <c r="BD15" s="85">
        <f t="shared" si="45"/>
        <v>0</v>
      </c>
      <c r="BE15" s="85">
        <f t="shared" si="46"/>
        <v>0</v>
      </c>
      <c r="BF15" s="85">
        <f t="shared" si="47"/>
        <v>0</v>
      </c>
      <c r="BG15" s="85">
        <f t="shared" si="48"/>
        <v>0</v>
      </c>
      <c r="BH15" s="85">
        <f t="shared" si="49"/>
        <v>0</v>
      </c>
      <c r="BI15" s="85">
        <f t="shared" si="50"/>
        <v>0</v>
      </c>
      <c r="BJ15" s="85">
        <f t="shared" si="51"/>
        <v>0</v>
      </c>
      <c r="BK15" s="85">
        <f t="shared" si="52"/>
        <v>0</v>
      </c>
      <c r="BL15" s="85">
        <f t="shared" si="53"/>
        <v>0</v>
      </c>
      <c r="BM15" s="85">
        <f t="shared" si="54"/>
        <v>0</v>
      </c>
      <c r="BN15" s="85">
        <f t="shared" si="55"/>
        <v>0</v>
      </c>
      <c r="BO15" s="85">
        <f t="shared" si="56"/>
        <v>0</v>
      </c>
      <c r="BP15" s="85">
        <f t="shared" si="57"/>
        <v>0</v>
      </c>
      <c r="BQ15" s="85">
        <f t="shared" si="58"/>
        <v>0</v>
      </c>
      <c r="BR15" s="85">
        <f t="shared" si="59"/>
        <v>0</v>
      </c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X15" s="35"/>
      <c r="CZ15" s="35"/>
      <c r="DC15" s="57" t="str">
        <f t="shared" si="60"/>
        <v/>
      </c>
      <c r="DD15" s="64" t="str">
        <f t="shared" si="61"/>
        <v/>
      </c>
      <c r="DE15" s="65" t="str">
        <f t="shared" si="62"/>
        <v/>
      </c>
      <c r="DF15" s="66" t="str">
        <f t="shared" si="63"/>
        <v/>
      </c>
    </row>
    <row r="16" spans="2:110" hidden="1" outlineLevel="1">
      <c r="B16" s="54">
        <f t="shared" si="64"/>
        <v>43164</v>
      </c>
      <c r="C16" s="55" t="s">
        <v>1</v>
      </c>
      <c r="D16" s="56">
        <f t="shared" si="65"/>
        <v>43170</v>
      </c>
      <c r="E16" s="52">
        <f t="shared" si="66"/>
        <v>3</v>
      </c>
      <c r="F16" s="53">
        <f t="shared" si="67"/>
        <v>2018</v>
      </c>
      <c r="G16" s="62">
        <f t="shared" si="68"/>
        <v>15</v>
      </c>
      <c r="H16" s="63">
        <f t="shared" si="69"/>
        <v>96</v>
      </c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>
        <v>15</v>
      </c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80"/>
      <c r="AG16" s="87">
        <f t="shared" si="23"/>
        <v>0</v>
      </c>
      <c r="AH16" s="87">
        <f t="shared" si="24"/>
        <v>0</v>
      </c>
      <c r="AI16" s="87">
        <f t="shared" si="25"/>
        <v>0</v>
      </c>
      <c r="AJ16" s="87">
        <f t="shared" si="26"/>
        <v>0</v>
      </c>
      <c r="AK16" s="87">
        <f t="shared" si="27"/>
        <v>0</v>
      </c>
      <c r="AL16" s="87">
        <f t="shared" si="28"/>
        <v>0</v>
      </c>
      <c r="AM16" s="87">
        <f t="shared" si="29"/>
        <v>0</v>
      </c>
      <c r="AN16" s="87">
        <f t="shared" si="30"/>
        <v>0</v>
      </c>
      <c r="AO16" s="87">
        <f t="shared" si="31"/>
        <v>0</v>
      </c>
      <c r="AP16" s="87">
        <f t="shared" si="32"/>
        <v>0</v>
      </c>
      <c r="AQ16" s="87">
        <f t="shared" si="33"/>
        <v>15</v>
      </c>
      <c r="AR16" s="81"/>
      <c r="AS16" s="85">
        <f t="shared" si="34"/>
        <v>0</v>
      </c>
      <c r="AT16" s="85">
        <f t="shared" si="35"/>
        <v>0</v>
      </c>
      <c r="AU16" s="85">
        <f t="shared" si="36"/>
        <v>0</v>
      </c>
      <c r="AV16" s="85">
        <f t="shared" si="37"/>
        <v>0</v>
      </c>
      <c r="AW16" s="85">
        <f t="shared" si="38"/>
        <v>0</v>
      </c>
      <c r="AX16" s="85">
        <f t="shared" si="39"/>
        <v>0</v>
      </c>
      <c r="AY16" s="85">
        <f t="shared" si="40"/>
        <v>0</v>
      </c>
      <c r="AZ16" s="85">
        <f t="shared" si="41"/>
        <v>0</v>
      </c>
      <c r="BA16" s="85">
        <f t="shared" si="42"/>
        <v>0</v>
      </c>
      <c r="BB16" s="85">
        <f t="shared" si="43"/>
        <v>0</v>
      </c>
      <c r="BC16" s="85">
        <f t="shared" si="44"/>
        <v>0</v>
      </c>
      <c r="BD16" s="85">
        <f t="shared" si="45"/>
        <v>0</v>
      </c>
      <c r="BE16" s="85">
        <f t="shared" si="46"/>
        <v>0</v>
      </c>
      <c r="BF16" s="85">
        <f t="shared" si="47"/>
        <v>0</v>
      </c>
      <c r="BG16" s="85">
        <f t="shared" si="48"/>
        <v>0</v>
      </c>
      <c r="BH16" s="85">
        <f t="shared" si="49"/>
        <v>0</v>
      </c>
      <c r="BI16" s="85">
        <f t="shared" si="50"/>
        <v>0</v>
      </c>
      <c r="BJ16" s="85">
        <f t="shared" si="51"/>
        <v>0</v>
      </c>
      <c r="BK16" s="85">
        <f t="shared" si="52"/>
        <v>0</v>
      </c>
      <c r="BL16" s="85">
        <f t="shared" si="53"/>
        <v>0</v>
      </c>
      <c r="BM16" s="85">
        <f t="shared" si="54"/>
        <v>0</v>
      </c>
      <c r="BN16" s="85">
        <f t="shared" si="55"/>
        <v>0</v>
      </c>
      <c r="BO16" s="85">
        <f t="shared" si="56"/>
        <v>0</v>
      </c>
      <c r="BP16" s="85">
        <f t="shared" si="57"/>
        <v>0</v>
      </c>
      <c r="BQ16" s="85">
        <f t="shared" si="58"/>
        <v>0</v>
      </c>
      <c r="BR16" s="85">
        <f t="shared" si="59"/>
        <v>0</v>
      </c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X16" s="35"/>
      <c r="CZ16" s="35"/>
      <c r="DB16" s="43"/>
      <c r="DC16" s="57" t="str">
        <f t="shared" si="60"/>
        <v/>
      </c>
      <c r="DD16" s="64" t="str">
        <f t="shared" si="61"/>
        <v/>
      </c>
      <c r="DE16" s="65" t="str">
        <f t="shared" si="62"/>
        <v/>
      </c>
      <c r="DF16" s="66" t="str">
        <f t="shared" si="63"/>
        <v/>
      </c>
    </row>
    <row r="17" spans="2:110" hidden="1" outlineLevel="1">
      <c r="B17" s="54">
        <f t="shared" si="64"/>
        <v>43171</v>
      </c>
      <c r="C17" s="55" t="s">
        <v>1</v>
      </c>
      <c r="D17" s="56">
        <f t="shared" si="65"/>
        <v>43177</v>
      </c>
      <c r="E17" s="52">
        <f t="shared" si="66"/>
        <v>3</v>
      </c>
      <c r="F17" s="53">
        <f t="shared" si="67"/>
        <v>2018</v>
      </c>
      <c r="G17" s="62">
        <f t="shared" si="68"/>
        <v>15</v>
      </c>
      <c r="H17" s="63">
        <f t="shared" si="69"/>
        <v>96</v>
      </c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>
        <v>15</v>
      </c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80"/>
      <c r="AG17" s="87">
        <f t="shared" si="23"/>
        <v>0</v>
      </c>
      <c r="AH17" s="87">
        <f t="shared" si="24"/>
        <v>0</v>
      </c>
      <c r="AI17" s="87">
        <f t="shared" si="25"/>
        <v>0</v>
      </c>
      <c r="AJ17" s="87">
        <f t="shared" si="26"/>
        <v>0</v>
      </c>
      <c r="AK17" s="87">
        <f t="shared" si="27"/>
        <v>0</v>
      </c>
      <c r="AL17" s="87">
        <f t="shared" si="28"/>
        <v>0</v>
      </c>
      <c r="AM17" s="87">
        <f t="shared" si="29"/>
        <v>0</v>
      </c>
      <c r="AN17" s="87">
        <f t="shared" si="30"/>
        <v>0</v>
      </c>
      <c r="AO17" s="87">
        <f t="shared" si="31"/>
        <v>0</v>
      </c>
      <c r="AP17" s="87">
        <f t="shared" si="32"/>
        <v>0</v>
      </c>
      <c r="AQ17" s="87">
        <f t="shared" si="33"/>
        <v>15</v>
      </c>
      <c r="AR17" s="81"/>
      <c r="AS17" s="85">
        <f t="shared" si="34"/>
        <v>0</v>
      </c>
      <c r="AT17" s="85">
        <f t="shared" si="35"/>
        <v>0</v>
      </c>
      <c r="AU17" s="85">
        <f t="shared" si="36"/>
        <v>0</v>
      </c>
      <c r="AV17" s="85">
        <f t="shared" si="37"/>
        <v>0</v>
      </c>
      <c r="AW17" s="85">
        <f t="shared" si="38"/>
        <v>0</v>
      </c>
      <c r="AX17" s="85">
        <f t="shared" si="39"/>
        <v>0</v>
      </c>
      <c r="AY17" s="85">
        <f t="shared" si="40"/>
        <v>0</v>
      </c>
      <c r="AZ17" s="85">
        <f t="shared" si="41"/>
        <v>0</v>
      </c>
      <c r="BA17" s="85">
        <f t="shared" si="42"/>
        <v>0</v>
      </c>
      <c r="BB17" s="85">
        <f t="shared" si="43"/>
        <v>0</v>
      </c>
      <c r="BC17" s="85">
        <f t="shared" si="44"/>
        <v>0</v>
      </c>
      <c r="BD17" s="85">
        <f t="shared" si="45"/>
        <v>0</v>
      </c>
      <c r="BE17" s="85">
        <f t="shared" si="46"/>
        <v>0</v>
      </c>
      <c r="BF17" s="85">
        <f t="shared" si="47"/>
        <v>0</v>
      </c>
      <c r="BG17" s="85">
        <f t="shared" si="48"/>
        <v>0</v>
      </c>
      <c r="BH17" s="85">
        <f t="shared" si="49"/>
        <v>0</v>
      </c>
      <c r="BI17" s="85">
        <f t="shared" si="50"/>
        <v>0</v>
      </c>
      <c r="BJ17" s="85">
        <f t="shared" si="51"/>
        <v>0</v>
      </c>
      <c r="BK17" s="85">
        <f t="shared" si="52"/>
        <v>0</v>
      </c>
      <c r="BL17" s="85">
        <f t="shared" si="53"/>
        <v>0</v>
      </c>
      <c r="BM17" s="85">
        <f t="shared" si="54"/>
        <v>0</v>
      </c>
      <c r="BN17" s="85">
        <f t="shared" si="55"/>
        <v>0</v>
      </c>
      <c r="BO17" s="85">
        <f t="shared" si="56"/>
        <v>0</v>
      </c>
      <c r="BP17" s="85">
        <f t="shared" si="57"/>
        <v>0</v>
      </c>
      <c r="BQ17" s="85">
        <f t="shared" si="58"/>
        <v>0</v>
      </c>
      <c r="BR17" s="85">
        <f t="shared" si="59"/>
        <v>0</v>
      </c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X17" s="35"/>
      <c r="CZ17" s="35"/>
      <c r="DB17" s="43"/>
      <c r="DC17" s="57" t="str">
        <f t="shared" si="60"/>
        <v/>
      </c>
      <c r="DD17" s="64" t="str">
        <f t="shared" si="61"/>
        <v/>
      </c>
      <c r="DE17" s="65" t="str">
        <f t="shared" si="62"/>
        <v/>
      </c>
      <c r="DF17" s="66" t="str">
        <f t="shared" si="63"/>
        <v/>
      </c>
    </row>
    <row r="18" spans="2:110" hidden="1" outlineLevel="1">
      <c r="B18" s="54">
        <f t="shared" si="64"/>
        <v>43178</v>
      </c>
      <c r="C18" s="55" t="s">
        <v>1</v>
      </c>
      <c r="D18" s="56">
        <f t="shared" si="65"/>
        <v>43184</v>
      </c>
      <c r="E18" s="52">
        <f t="shared" si="66"/>
        <v>3</v>
      </c>
      <c r="F18" s="53">
        <f t="shared" si="67"/>
        <v>2018</v>
      </c>
      <c r="G18" s="62">
        <f t="shared" si="68"/>
        <v>15</v>
      </c>
      <c r="H18" s="63">
        <f t="shared" si="69"/>
        <v>96</v>
      </c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>
        <v>15</v>
      </c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80"/>
      <c r="AG18" s="87">
        <f t="shared" si="23"/>
        <v>0</v>
      </c>
      <c r="AH18" s="87">
        <f t="shared" si="24"/>
        <v>0</v>
      </c>
      <c r="AI18" s="87">
        <f t="shared" si="25"/>
        <v>0</v>
      </c>
      <c r="AJ18" s="87">
        <f t="shared" si="26"/>
        <v>0</v>
      </c>
      <c r="AK18" s="87">
        <f t="shared" si="27"/>
        <v>0</v>
      </c>
      <c r="AL18" s="87">
        <f t="shared" si="28"/>
        <v>0</v>
      </c>
      <c r="AM18" s="87">
        <f t="shared" si="29"/>
        <v>0</v>
      </c>
      <c r="AN18" s="87">
        <f t="shared" si="30"/>
        <v>0</v>
      </c>
      <c r="AO18" s="87">
        <f t="shared" si="31"/>
        <v>0</v>
      </c>
      <c r="AP18" s="87">
        <f t="shared" si="32"/>
        <v>0</v>
      </c>
      <c r="AQ18" s="87">
        <f t="shared" si="33"/>
        <v>15</v>
      </c>
      <c r="AR18" s="81"/>
      <c r="AS18" s="85">
        <f t="shared" si="34"/>
        <v>0</v>
      </c>
      <c r="AT18" s="85">
        <f t="shared" si="35"/>
        <v>0</v>
      </c>
      <c r="AU18" s="85">
        <f t="shared" si="36"/>
        <v>0</v>
      </c>
      <c r="AV18" s="85">
        <f t="shared" si="37"/>
        <v>0</v>
      </c>
      <c r="AW18" s="85">
        <f t="shared" si="38"/>
        <v>0</v>
      </c>
      <c r="AX18" s="85">
        <f t="shared" si="39"/>
        <v>0</v>
      </c>
      <c r="AY18" s="85">
        <f t="shared" si="40"/>
        <v>0</v>
      </c>
      <c r="AZ18" s="85">
        <f t="shared" si="41"/>
        <v>0</v>
      </c>
      <c r="BA18" s="85">
        <f t="shared" si="42"/>
        <v>0</v>
      </c>
      <c r="BB18" s="85">
        <f t="shared" si="43"/>
        <v>0</v>
      </c>
      <c r="BC18" s="85">
        <f t="shared" si="44"/>
        <v>0</v>
      </c>
      <c r="BD18" s="85">
        <f t="shared" si="45"/>
        <v>0</v>
      </c>
      <c r="BE18" s="85">
        <f t="shared" si="46"/>
        <v>0</v>
      </c>
      <c r="BF18" s="85">
        <f t="shared" si="47"/>
        <v>0</v>
      </c>
      <c r="BG18" s="85">
        <f t="shared" si="48"/>
        <v>0</v>
      </c>
      <c r="BH18" s="85">
        <f t="shared" si="49"/>
        <v>0</v>
      </c>
      <c r="BI18" s="85">
        <f t="shared" si="50"/>
        <v>0</v>
      </c>
      <c r="BJ18" s="85">
        <f t="shared" si="51"/>
        <v>0</v>
      </c>
      <c r="BK18" s="85">
        <f t="shared" si="52"/>
        <v>0</v>
      </c>
      <c r="BL18" s="85">
        <f t="shared" si="53"/>
        <v>0</v>
      </c>
      <c r="BM18" s="85">
        <f t="shared" si="54"/>
        <v>0</v>
      </c>
      <c r="BN18" s="85">
        <f t="shared" si="55"/>
        <v>0</v>
      </c>
      <c r="BO18" s="85">
        <f t="shared" si="56"/>
        <v>0</v>
      </c>
      <c r="BP18" s="85">
        <f t="shared" si="57"/>
        <v>0</v>
      </c>
      <c r="BQ18" s="85">
        <f t="shared" si="58"/>
        <v>0</v>
      </c>
      <c r="BR18" s="85">
        <f t="shared" si="59"/>
        <v>0</v>
      </c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X18" s="35"/>
      <c r="CZ18" s="35"/>
      <c r="DB18" s="43"/>
      <c r="DC18" s="57" t="str">
        <f t="shared" si="60"/>
        <v/>
      </c>
      <c r="DD18" s="64" t="str">
        <f t="shared" si="61"/>
        <v/>
      </c>
      <c r="DE18" s="65" t="str">
        <f t="shared" si="62"/>
        <v/>
      </c>
      <c r="DF18" s="66" t="str">
        <f t="shared" si="63"/>
        <v/>
      </c>
    </row>
    <row r="19" spans="2:110" hidden="1" outlineLevel="1">
      <c r="B19" s="54">
        <f t="shared" si="64"/>
        <v>43185</v>
      </c>
      <c r="C19" s="55" t="s">
        <v>1</v>
      </c>
      <c r="D19" s="56">
        <f t="shared" si="65"/>
        <v>43191</v>
      </c>
      <c r="E19" s="52">
        <f t="shared" si="66"/>
        <v>3</v>
      </c>
      <c r="F19" s="53">
        <f t="shared" si="67"/>
        <v>2018</v>
      </c>
      <c r="G19" s="62">
        <f t="shared" si="68"/>
        <v>15</v>
      </c>
      <c r="H19" s="63">
        <f t="shared" si="69"/>
        <v>96</v>
      </c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>
        <v>15</v>
      </c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80"/>
      <c r="AG19" s="87">
        <f t="shared" si="23"/>
        <v>0</v>
      </c>
      <c r="AH19" s="87">
        <f t="shared" si="24"/>
        <v>0</v>
      </c>
      <c r="AI19" s="87">
        <f t="shared" si="25"/>
        <v>0</v>
      </c>
      <c r="AJ19" s="87">
        <f t="shared" si="26"/>
        <v>0</v>
      </c>
      <c r="AK19" s="87">
        <f t="shared" si="27"/>
        <v>0</v>
      </c>
      <c r="AL19" s="87">
        <f t="shared" si="28"/>
        <v>0</v>
      </c>
      <c r="AM19" s="87">
        <f t="shared" si="29"/>
        <v>0</v>
      </c>
      <c r="AN19" s="87">
        <f t="shared" si="30"/>
        <v>0</v>
      </c>
      <c r="AO19" s="87">
        <f t="shared" si="31"/>
        <v>0</v>
      </c>
      <c r="AP19" s="87">
        <f t="shared" si="32"/>
        <v>0</v>
      </c>
      <c r="AQ19" s="87">
        <f t="shared" si="33"/>
        <v>15</v>
      </c>
      <c r="AR19" s="81"/>
      <c r="AS19" s="85">
        <f t="shared" si="34"/>
        <v>0</v>
      </c>
      <c r="AT19" s="85">
        <f t="shared" si="35"/>
        <v>0</v>
      </c>
      <c r="AU19" s="85">
        <f t="shared" si="36"/>
        <v>0</v>
      </c>
      <c r="AV19" s="85">
        <f t="shared" si="37"/>
        <v>0</v>
      </c>
      <c r="AW19" s="85">
        <f t="shared" si="38"/>
        <v>0</v>
      </c>
      <c r="AX19" s="85">
        <f t="shared" si="39"/>
        <v>0</v>
      </c>
      <c r="AY19" s="85">
        <f t="shared" si="40"/>
        <v>0</v>
      </c>
      <c r="AZ19" s="85">
        <f t="shared" si="41"/>
        <v>0</v>
      </c>
      <c r="BA19" s="85">
        <f t="shared" si="42"/>
        <v>0</v>
      </c>
      <c r="BB19" s="85">
        <f t="shared" si="43"/>
        <v>0</v>
      </c>
      <c r="BC19" s="85">
        <f t="shared" si="44"/>
        <v>0</v>
      </c>
      <c r="BD19" s="85">
        <f t="shared" si="45"/>
        <v>0</v>
      </c>
      <c r="BE19" s="85">
        <f t="shared" si="46"/>
        <v>0</v>
      </c>
      <c r="BF19" s="85">
        <f t="shared" si="47"/>
        <v>0</v>
      </c>
      <c r="BG19" s="85">
        <f t="shared" si="48"/>
        <v>0</v>
      </c>
      <c r="BH19" s="85">
        <f t="shared" si="49"/>
        <v>0</v>
      </c>
      <c r="BI19" s="85">
        <f t="shared" si="50"/>
        <v>0</v>
      </c>
      <c r="BJ19" s="85">
        <f t="shared" si="51"/>
        <v>0</v>
      </c>
      <c r="BK19" s="85">
        <f t="shared" si="52"/>
        <v>0</v>
      </c>
      <c r="BL19" s="85">
        <f t="shared" si="53"/>
        <v>0</v>
      </c>
      <c r="BM19" s="85">
        <f t="shared" si="54"/>
        <v>0</v>
      </c>
      <c r="BN19" s="85">
        <f t="shared" si="55"/>
        <v>0</v>
      </c>
      <c r="BO19" s="85">
        <f t="shared" si="56"/>
        <v>0</v>
      </c>
      <c r="BP19" s="85">
        <f t="shared" si="57"/>
        <v>0</v>
      </c>
      <c r="BQ19" s="85">
        <f t="shared" si="58"/>
        <v>0</v>
      </c>
      <c r="BR19" s="85">
        <f t="shared" si="59"/>
        <v>0</v>
      </c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X19" s="35"/>
      <c r="CZ19" s="35"/>
      <c r="DB19" s="43"/>
      <c r="DC19" s="57" t="str">
        <f t="shared" si="60"/>
        <v/>
      </c>
      <c r="DD19" s="64" t="str">
        <f t="shared" si="61"/>
        <v/>
      </c>
      <c r="DE19" s="65" t="str">
        <f t="shared" si="62"/>
        <v/>
      </c>
      <c r="DF19" s="66" t="str">
        <f t="shared" si="63"/>
        <v/>
      </c>
    </row>
    <row r="20" spans="2:110" hidden="1" outlineLevel="1">
      <c r="B20" s="54">
        <f t="shared" si="64"/>
        <v>43192</v>
      </c>
      <c r="C20" s="55" t="s">
        <v>1</v>
      </c>
      <c r="D20" s="56">
        <f t="shared" si="65"/>
        <v>43198</v>
      </c>
      <c r="E20" s="52">
        <f t="shared" si="66"/>
        <v>4</v>
      </c>
      <c r="F20" s="53">
        <f t="shared" si="67"/>
        <v>2018</v>
      </c>
      <c r="G20" s="62">
        <f t="shared" si="68"/>
        <v>15</v>
      </c>
      <c r="H20" s="63">
        <f t="shared" si="69"/>
        <v>96</v>
      </c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>
        <v>15</v>
      </c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80"/>
      <c r="AG20" s="87">
        <f t="shared" si="23"/>
        <v>0</v>
      </c>
      <c r="AH20" s="87">
        <f t="shared" si="24"/>
        <v>0</v>
      </c>
      <c r="AI20" s="87">
        <f t="shared" si="25"/>
        <v>0</v>
      </c>
      <c r="AJ20" s="87">
        <f t="shared" si="26"/>
        <v>0</v>
      </c>
      <c r="AK20" s="87">
        <f t="shared" si="27"/>
        <v>0</v>
      </c>
      <c r="AL20" s="87">
        <f t="shared" si="28"/>
        <v>0</v>
      </c>
      <c r="AM20" s="87">
        <f t="shared" si="29"/>
        <v>0</v>
      </c>
      <c r="AN20" s="87">
        <f t="shared" si="30"/>
        <v>0</v>
      </c>
      <c r="AO20" s="87">
        <f t="shared" si="31"/>
        <v>0</v>
      </c>
      <c r="AP20" s="87">
        <f t="shared" si="32"/>
        <v>0</v>
      </c>
      <c r="AQ20" s="87">
        <f t="shared" si="33"/>
        <v>15</v>
      </c>
      <c r="AR20" s="81"/>
      <c r="AS20" s="85">
        <f t="shared" si="34"/>
        <v>0</v>
      </c>
      <c r="AT20" s="85">
        <f t="shared" si="35"/>
        <v>0</v>
      </c>
      <c r="AU20" s="85">
        <f t="shared" si="36"/>
        <v>0</v>
      </c>
      <c r="AV20" s="85">
        <f t="shared" si="37"/>
        <v>0</v>
      </c>
      <c r="AW20" s="85">
        <f t="shared" si="38"/>
        <v>0</v>
      </c>
      <c r="AX20" s="85">
        <f t="shared" si="39"/>
        <v>0</v>
      </c>
      <c r="AY20" s="85">
        <f t="shared" si="40"/>
        <v>0</v>
      </c>
      <c r="AZ20" s="85">
        <f t="shared" si="41"/>
        <v>0</v>
      </c>
      <c r="BA20" s="85">
        <f t="shared" si="42"/>
        <v>0</v>
      </c>
      <c r="BB20" s="85">
        <f t="shared" si="43"/>
        <v>0</v>
      </c>
      <c r="BC20" s="85">
        <f t="shared" si="44"/>
        <v>0</v>
      </c>
      <c r="BD20" s="85">
        <f t="shared" si="45"/>
        <v>0</v>
      </c>
      <c r="BE20" s="85">
        <f t="shared" si="46"/>
        <v>0</v>
      </c>
      <c r="BF20" s="85">
        <f t="shared" si="47"/>
        <v>0</v>
      </c>
      <c r="BG20" s="85">
        <f t="shared" si="48"/>
        <v>0</v>
      </c>
      <c r="BH20" s="85">
        <f t="shared" si="49"/>
        <v>0</v>
      </c>
      <c r="BI20" s="85">
        <f t="shared" si="50"/>
        <v>0</v>
      </c>
      <c r="BJ20" s="85">
        <f t="shared" si="51"/>
        <v>0</v>
      </c>
      <c r="BK20" s="85">
        <f t="shared" si="52"/>
        <v>0</v>
      </c>
      <c r="BL20" s="85">
        <f t="shared" si="53"/>
        <v>0</v>
      </c>
      <c r="BM20" s="85">
        <f t="shared" si="54"/>
        <v>0</v>
      </c>
      <c r="BN20" s="85">
        <f t="shared" si="55"/>
        <v>0</v>
      </c>
      <c r="BO20" s="85">
        <f t="shared" si="56"/>
        <v>0</v>
      </c>
      <c r="BP20" s="85">
        <f t="shared" si="57"/>
        <v>0</v>
      </c>
      <c r="BQ20" s="85">
        <f t="shared" si="58"/>
        <v>0</v>
      </c>
      <c r="BR20" s="85">
        <f t="shared" si="59"/>
        <v>0</v>
      </c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X20" s="35"/>
      <c r="CZ20" s="35"/>
      <c r="DB20" s="43"/>
      <c r="DC20" s="57" t="str">
        <f t="shared" si="60"/>
        <v/>
      </c>
      <c r="DD20" s="64" t="str">
        <f t="shared" si="61"/>
        <v/>
      </c>
      <c r="DE20" s="65" t="str">
        <f t="shared" si="62"/>
        <v/>
      </c>
      <c r="DF20" s="66" t="str">
        <f t="shared" si="63"/>
        <v/>
      </c>
    </row>
    <row r="21" spans="2:110" hidden="1" outlineLevel="1">
      <c r="B21" s="54">
        <f t="shared" si="64"/>
        <v>43199</v>
      </c>
      <c r="C21" s="55" t="s">
        <v>1</v>
      </c>
      <c r="D21" s="56">
        <f t="shared" si="65"/>
        <v>43205</v>
      </c>
      <c r="E21" s="52">
        <f t="shared" si="66"/>
        <v>4</v>
      </c>
      <c r="F21" s="53">
        <f t="shared" si="67"/>
        <v>2018</v>
      </c>
      <c r="G21" s="62">
        <f t="shared" si="68"/>
        <v>15</v>
      </c>
      <c r="H21" s="63">
        <f t="shared" si="69"/>
        <v>96</v>
      </c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>
        <v>15</v>
      </c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80"/>
      <c r="AG21" s="87">
        <f t="shared" si="23"/>
        <v>0</v>
      </c>
      <c r="AH21" s="87">
        <f t="shared" si="24"/>
        <v>0</v>
      </c>
      <c r="AI21" s="87">
        <f t="shared" si="25"/>
        <v>0</v>
      </c>
      <c r="AJ21" s="87">
        <f t="shared" si="26"/>
        <v>0</v>
      </c>
      <c r="AK21" s="87">
        <f t="shared" si="27"/>
        <v>0</v>
      </c>
      <c r="AL21" s="87">
        <f t="shared" si="28"/>
        <v>0</v>
      </c>
      <c r="AM21" s="87">
        <f t="shared" si="29"/>
        <v>0</v>
      </c>
      <c r="AN21" s="87">
        <f t="shared" si="30"/>
        <v>0</v>
      </c>
      <c r="AO21" s="87">
        <f t="shared" si="31"/>
        <v>0</v>
      </c>
      <c r="AP21" s="87">
        <f t="shared" si="32"/>
        <v>0</v>
      </c>
      <c r="AQ21" s="87">
        <f t="shared" si="33"/>
        <v>15</v>
      </c>
      <c r="AR21" s="81"/>
      <c r="AS21" s="85">
        <f t="shared" si="34"/>
        <v>0</v>
      </c>
      <c r="AT21" s="85">
        <f t="shared" si="35"/>
        <v>0</v>
      </c>
      <c r="AU21" s="85">
        <f t="shared" si="36"/>
        <v>0</v>
      </c>
      <c r="AV21" s="85">
        <f t="shared" si="37"/>
        <v>0</v>
      </c>
      <c r="AW21" s="85">
        <f t="shared" si="38"/>
        <v>0</v>
      </c>
      <c r="AX21" s="85">
        <f t="shared" si="39"/>
        <v>0</v>
      </c>
      <c r="AY21" s="85">
        <f t="shared" si="40"/>
        <v>0</v>
      </c>
      <c r="AZ21" s="85">
        <f t="shared" si="41"/>
        <v>0</v>
      </c>
      <c r="BA21" s="85">
        <f t="shared" si="42"/>
        <v>0</v>
      </c>
      <c r="BB21" s="85">
        <f t="shared" si="43"/>
        <v>0</v>
      </c>
      <c r="BC21" s="85">
        <f t="shared" si="44"/>
        <v>0</v>
      </c>
      <c r="BD21" s="85">
        <f t="shared" si="45"/>
        <v>0</v>
      </c>
      <c r="BE21" s="85">
        <f t="shared" si="46"/>
        <v>0</v>
      </c>
      <c r="BF21" s="85">
        <f t="shared" si="47"/>
        <v>0</v>
      </c>
      <c r="BG21" s="85">
        <f t="shared" si="48"/>
        <v>0</v>
      </c>
      <c r="BH21" s="85">
        <f t="shared" si="49"/>
        <v>0</v>
      </c>
      <c r="BI21" s="85">
        <f t="shared" si="50"/>
        <v>0</v>
      </c>
      <c r="BJ21" s="85">
        <f t="shared" si="51"/>
        <v>0</v>
      </c>
      <c r="BK21" s="85">
        <f t="shared" si="52"/>
        <v>0</v>
      </c>
      <c r="BL21" s="85">
        <f t="shared" si="53"/>
        <v>0</v>
      </c>
      <c r="BM21" s="85">
        <f t="shared" si="54"/>
        <v>0</v>
      </c>
      <c r="BN21" s="85">
        <f t="shared" si="55"/>
        <v>0</v>
      </c>
      <c r="BO21" s="85">
        <f t="shared" si="56"/>
        <v>0</v>
      </c>
      <c r="BP21" s="85">
        <f t="shared" si="57"/>
        <v>0</v>
      </c>
      <c r="BQ21" s="85">
        <f t="shared" si="58"/>
        <v>0</v>
      </c>
      <c r="BR21" s="85">
        <f t="shared" si="59"/>
        <v>0</v>
      </c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X21" s="35"/>
      <c r="CZ21" s="35"/>
      <c r="DB21" s="43"/>
      <c r="DC21" s="57" t="str">
        <f t="shared" si="60"/>
        <v/>
      </c>
      <c r="DD21" s="64" t="str">
        <f t="shared" si="61"/>
        <v/>
      </c>
      <c r="DE21" s="65" t="str">
        <f t="shared" si="62"/>
        <v/>
      </c>
      <c r="DF21" s="66" t="str">
        <f t="shared" si="63"/>
        <v/>
      </c>
    </row>
    <row r="22" spans="2:110" hidden="1" outlineLevel="1">
      <c r="B22" s="54">
        <f t="shared" si="64"/>
        <v>43206</v>
      </c>
      <c r="C22" s="55" t="s">
        <v>1</v>
      </c>
      <c r="D22" s="56">
        <f t="shared" si="65"/>
        <v>43212</v>
      </c>
      <c r="E22" s="52">
        <f t="shared" si="66"/>
        <v>4</v>
      </c>
      <c r="F22" s="53">
        <f t="shared" si="67"/>
        <v>2018</v>
      </c>
      <c r="G22" s="62">
        <f t="shared" si="68"/>
        <v>15</v>
      </c>
      <c r="H22" s="63">
        <f t="shared" si="69"/>
        <v>96</v>
      </c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>
        <v>15</v>
      </c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80"/>
      <c r="AG22" s="87">
        <f t="shared" si="23"/>
        <v>0</v>
      </c>
      <c r="AH22" s="87">
        <f t="shared" si="24"/>
        <v>0</v>
      </c>
      <c r="AI22" s="87">
        <f t="shared" si="25"/>
        <v>0</v>
      </c>
      <c r="AJ22" s="87">
        <f t="shared" si="26"/>
        <v>0</v>
      </c>
      <c r="AK22" s="87">
        <f t="shared" si="27"/>
        <v>0</v>
      </c>
      <c r="AL22" s="87">
        <f t="shared" si="28"/>
        <v>0</v>
      </c>
      <c r="AM22" s="87">
        <f t="shared" si="29"/>
        <v>0</v>
      </c>
      <c r="AN22" s="87">
        <f t="shared" si="30"/>
        <v>0</v>
      </c>
      <c r="AO22" s="87">
        <f t="shared" si="31"/>
        <v>0</v>
      </c>
      <c r="AP22" s="87">
        <f t="shared" si="32"/>
        <v>0</v>
      </c>
      <c r="AQ22" s="87">
        <f t="shared" si="33"/>
        <v>15</v>
      </c>
      <c r="AR22" s="81"/>
      <c r="AS22" s="85">
        <f t="shared" si="34"/>
        <v>0</v>
      </c>
      <c r="AT22" s="85">
        <f t="shared" si="35"/>
        <v>0</v>
      </c>
      <c r="AU22" s="85">
        <f t="shared" si="36"/>
        <v>0</v>
      </c>
      <c r="AV22" s="85">
        <f t="shared" si="37"/>
        <v>0</v>
      </c>
      <c r="AW22" s="85">
        <f t="shared" si="38"/>
        <v>0</v>
      </c>
      <c r="AX22" s="85">
        <f t="shared" si="39"/>
        <v>0</v>
      </c>
      <c r="AY22" s="85">
        <f t="shared" si="40"/>
        <v>0</v>
      </c>
      <c r="AZ22" s="85">
        <f t="shared" si="41"/>
        <v>0</v>
      </c>
      <c r="BA22" s="85">
        <f t="shared" si="42"/>
        <v>0</v>
      </c>
      <c r="BB22" s="85">
        <f t="shared" si="43"/>
        <v>0</v>
      </c>
      <c r="BC22" s="85">
        <f t="shared" si="44"/>
        <v>0</v>
      </c>
      <c r="BD22" s="85">
        <f t="shared" si="45"/>
        <v>0</v>
      </c>
      <c r="BE22" s="85">
        <f t="shared" si="46"/>
        <v>0</v>
      </c>
      <c r="BF22" s="85">
        <f t="shared" si="47"/>
        <v>0</v>
      </c>
      <c r="BG22" s="85">
        <f t="shared" si="48"/>
        <v>0</v>
      </c>
      <c r="BH22" s="85">
        <f t="shared" si="49"/>
        <v>0</v>
      </c>
      <c r="BI22" s="85">
        <f t="shared" si="50"/>
        <v>0</v>
      </c>
      <c r="BJ22" s="85">
        <f t="shared" si="51"/>
        <v>0</v>
      </c>
      <c r="BK22" s="85">
        <f t="shared" si="52"/>
        <v>0</v>
      </c>
      <c r="BL22" s="85">
        <f t="shared" si="53"/>
        <v>0</v>
      </c>
      <c r="BM22" s="85">
        <f t="shared" si="54"/>
        <v>0</v>
      </c>
      <c r="BN22" s="85">
        <f t="shared" si="55"/>
        <v>0</v>
      </c>
      <c r="BO22" s="85">
        <f t="shared" si="56"/>
        <v>0</v>
      </c>
      <c r="BP22" s="85">
        <f t="shared" si="57"/>
        <v>0</v>
      </c>
      <c r="BQ22" s="85">
        <f t="shared" si="58"/>
        <v>0</v>
      </c>
      <c r="BR22" s="85">
        <f t="shared" si="59"/>
        <v>0</v>
      </c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X22" s="35"/>
      <c r="CZ22" s="35"/>
      <c r="DB22" s="43"/>
      <c r="DC22" s="57" t="str">
        <f t="shared" si="60"/>
        <v/>
      </c>
      <c r="DD22" s="64" t="str">
        <f t="shared" si="61"/>
        <v/>
      </c>
      <c r="DE22" s="65" t="str">
        <f t="shared" si="62"/>
        <v/>
      </c>
      <c r="DF22" s="66" t="str">
        <f t="shared" si="63"/>
        <v/>
      </c>
    </row>
    <row r="23" spans="2:110" hidden="1" outlineLevel="1">
      <c r="B23" s="54">
        <f t="shared" si="64"/>
        <v>43213</v>
      </c>
      <c r="C23" s="55" t="s">
        <v>1</v>
      </c>
      <c r="D23" s="56">
        <f t="shared" si="65"/>
        <v>43219</v>
      </c>
      <c r="E23" s="52">
        <f t="shared" si="66"/>
        <v>4</v>
      </c>
      <c r="F23" s="53">
        <f t="shared" si="67"/>
        <v>2018</v>
      </c>
      <c r="G23" s="62">
        <f t="shared" si="68"/>
        <v>15</v>
      </c>
      <c r="H23" s="63">
        <f t="shared" si="69"/>
        <v>96</v>
      </c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>
        <v>15</v>
      </c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80"/>
      <c r="AG23" s="87">
        <f t="shared" si="23"/>
        <v>0</v>
      </c>
      <c r="AH23" s="87">
        <f t="shared" si="24"/>
        <v>0</v>
      </c>
      <c r="AI23" s="87">
        <f t="shared" si="25"/>
        <v>0</v>
      </c>
      <c r="AJ23" s="87">
        <f t="shared" si="26"/>
        <v>0</v>
      </c>
      <c r="AK23" s="87">
        <f t="shared" si="27"/>
        <v>0</v>
      </c>
      <c r="AL23" s="87">
        <f t="shared" si="28"/>
        <v>0</v>
      </c>
      <c r="AM23" s="87">
        <f t="shared" si="29"/>
        <v>0</v>
      </c>
      <c r="AN23" s="87">
        <f t="shared" si="30"/>
        <v>0</v>
      </c>
      <c r="AO23" s="87">
        <f t="shared" si="31"/>
        <v>0</v>
      </c>
      <c r="AP23" s="87">
        <f t="shared" si="32"/>
        <v>0</v>
      </c>
      <c r="AQ23" s="87">
        <f t="shared" si="33"/>
        <v>15</v>
      </c>
      <c r="AR23" s="81"/>
      <c r="AS23" s="85">
        <f t="shared" si="34"/>
        <v>0</v>
      </c>
      <c r="AT23" s="85">
        <f t="shared" si="35"/>
        <v>0</v>
      </c>
      <c r="AU23" s="85">
        <f t="shared" si="36"/>
        <v>0</v>
      </c>
      <c r="AV23" s="85">
        <f t="shared" si="37"/>
        <v>0</v>
      </c>
      <c r="AW23" s="85">
        <f t="shared" si="38"/>
        <v>0</v>
      </c>
      <c r="AX23" s="85">
        <f t="shared" si="39"/>
        <v>0</v>
      </c>
      <c r="AY23" s="85">
        <f t="shared" si="40"/>
        <v>0</v>
      </c>
      <c r="AZ23" s="85">
        <f t="shared" si="41"/>
        <v>0</v>
      </c>
      <c r="BA23" s="85">
        <f t="shared" si="42"/>
        <v>0</v>
      </c>
      <c r="BB23" s="85">
        <f t="shared" si="43"/>
        <v>0</v>
      </c>
      <c r="BC23" s="85">
        <f t="shared" si="44"/>
        <v>0</v>
      </c>
      <c r="BD23" s="85">
        <f t="shared" si="45"/>
        <v>0</v>
      </c>
      <c r="BE23" s="85">
        <f t="shared" si="46"/>
        <v>0</v>
      </c>
      <c r="BF23" s="85">
        <f t="shared" si="47"/>
        <v>0</v>
      </c>
      <c r="BG23" s="85">
        <f t="shared" si="48"/>
        <v>0</v>
      </c>
      <c r="BH23" s="85">
        <f t="shared" si="49"/>
        <v>0</v>
      </c>
      <c r="BI23" s="85">
        <f t="shared" si="50"/>
        <v>0</v>
      </c>
      <c r="BJ23" s="85">
        <f t="shared" si="51"/>
        <v>0</v>
      </c>
      <c r="BK23" s="85">
        <f t="shared" si="52"/>
        <v>0</v>
      </c>
      <c r="BL23" s="85">
        <f t="shared" si="53"/>
        <v>0</v>
      </c>
      <c r="BM23" s="85">
        <f t="shared" si="54"/>
        <v>0</v>
      </c>
      <c r="BN23" s="85">
        <f t="shared" si="55"/>
        <v>0</v>
      </c>
      <c r="BO23" s="85">
        <f t="shared" si="56"/>
        <v>0</v>
      </c>
      <c r="BP23" s="85">
        <f t="shared" si="57"/>
        <v>0</v>
      </c>
      <c r="BQ23" s="85">
        <f t="shared" si="58"/>
        <v>0</v>
      </c>
      <c r="BR23" s="85">
        <f t="shared" si="59"/>
        <v>0</v>
      </c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X23" s="35"/>
      <c r="CZ23" s="35"/>
      <c r="DC23" s="57" t="str">
        <f t="shared" si="60"/>
        <v/>
      </c>
      <c r="DD23" s="64" t="str">
        <f t="shared" si="61"/>
        <v/>
      </c>
      <c r="DE23" s="65" t="str">
        <f t="shared" si="62"/>
        <v/>
      </c>
      <c r="DF23" s="66" t="str">
        <f t="shared" si="63"/>
        <v/>
      </c>
    </row>
    <row r="24" spans="2:110" hidden="1" outlineLevel="1">
      <c r="B24" s="54">
        <f t="shared" si="64"/>
        <v>43220</v>
      </c>
      <c r="C24" s="55" t="s">
        <v>1</v>
      </c>
      <c r="D24" s="56">
        <f t="shared" si="65"/>
        <v>43226</v>
      </c>
      <c r="E24" s="52">
        <f t="shared" si="66"/>
        <v>4</v>
      </c>
      <c r="F24" s="53">
        <f t="shared" si="67"/>
        <v>2018</v>
      </c>
      <c r="G24" s="62">
        <f t="shared" si="68"/>
        <v>15</v>
      </c>
      <c r="H24" s="63">
        <f t="shared" si="69"/>
        <v>96</v>
      </c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>
        <v>15</v>
      </c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80"/>
      <c r="AG24" s="87">
        <f t="shared" si="23"/>
        <v>0</v>
      </c>
      <c r="AH24" s="87">
        <f t="shared" si="24"/>
        <v>0</v>
      </c>
      <c r="AI24" s="87">
        <f t="shared" si="25"/>
        <v>0</v>
      </c>
      <c r="AJ24" s="87">
        <f t="shared" si="26"/>
        <v>0</v>
      </c>
      <c r="AK24" s="87">
        <f t="shared" si="27"/>
        <v>0</v>
      </c>
      <c r="AL24" s="87">
        <f t="shared" si="28"/>
        <v>0</v>
      </c>
      <c r="AM24" s="87">
        <f t="shared" si="29"/>
        <v>0</v>
      </c>
      <c r="AN24" s="87">
        <f t="shared" si="30"/>
        <v>0</v>
      </c>
      <c r="AO24" s="87">
        <f t="shared" si="31"/>
        <v>0</v>
      </c>
      <c r="AP24" s="87">
        <f t="shared" si="32"/>
        <v>0</v>
      </c>
      <c r="AQ24" s="87">
        <f t="shared" si="33"/>
        <v>15</v>
      </c>
      <c r="AR24" s="81"/>
      <c r="AS24" s="85">
        <f t="shared" si="34"/>
        <v>0</v>
      </c>
      <c r="AT24" s="85">
        <f t="shared" si="35"/>
        <v>0</v>
      </c>
      <c r="AU24" s="85">
        <f t="shared" si="36"/>
        <v>0</v>
      </c>
      <c r="AV24" s="85">
        <f t="shared" si="37"/>
        <v>0</v>
      </c>
      <c r="AW24" s="85">
        <f t="shared" si="38"/>
        <v>0</v>
      </c>
      <c r="AX24" s="85">
        <f t="shared" si="39"/>
        <v>0</v>
      </c>
      <c r="AY24" s="85">
        <f t="shared" si="40"/>
        <v>0</v>
      </c>
      <c r="AZ24" s="85">
        <f t="shared" si="41"/>
        <v>0</v>
      </c>
      <c r="BA24" s="85">
        <f t="shared" si="42"/>
        <v>0</v>
      </c>
      <c r="BB24" s="85">
        <f t="shared" si="43"/>
        <v>0</v>
      </c>
      <c r="BC24" s="85">
        <f t="shared" si="44"/>
        <v>0</v>
      </c>
      <c r="BD24" s="85">
        <f t="shared" si="45"/>
        <v>0</v>
      </c>
      <c r="BE24" s="85">
        <f t="shared" si="46"/>
        <v>0</v>
      </c>
      <c r="BF24" s="85">
        <f t="shared" si="47"/>
        <v>0</v>
      </c>
      <c r="BG24" s="85">
        <f t="shared" si="48"/>
        <v>0</v>
      </c>
      <c r="BH24" s="85">
        <f t="shared" si="49"/>
        <v>0</v>
      </c>
      <c r="BI24" s="85">
        <f t="shared" si="50"/>
        <v>0</v>
      </c>
      <c r="BJ24" s="85">
        <f t="shared" si="51"/>
        <v>0</v>
      </c>
      <c r="BK24" s="85">
        <f t="shared" si="52"/>
        <v>0</v>
      </c>
      <c r="BL24" s="85">
        <f t="shared" si="53"/>
        <v>0</v>
      </c>
      <c r="BM24" s="85">
        <f t="shared" si="54"/>
        <v>0</v>
      </c>
      <c r="BN24" s="85">
        <f t="shared" si="55"/>
        <v>0</v>
      </c>
      <c r="BO24" s="85">
        <f t="shared" si="56"/>
        <v>0</v>
      </c>
      <c r="BP24" s="85">
        <f t="shared" si="57"/>
        <v>0</v>
      </c>
      <c r="BQ24" s="85">
        <f t="shared" si="58"/>
        <v>0</v>
      </c>
      <c r="BR24" s="85">
        <f t="shared" si="59"/>
        <v>0</v>
      </c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X24" s="35"/>
      <c r="CZ24" s="35"/>
      <c r="DC24" s="57" t="str">
        <f t="shared" si="60"/>
        <v/>
      </c>
      <c r="DD24" s="64" t="str">
        <f t="shared" si="61"/>
        <v/>
      </c>
      <c r="DE24" s="65" t="str">
        <f t="shared" si="62"/>
        <v/>
      </c>
      <c r="DF24" s="66" t="str">
        <f t="shared" si="63"/>
        <v/>
      </c>
    </row>
    <row r="25" spans="2:110" hidden="1" outlineLevel="1">
      <c r="B25" s="54">
        <f t="shared" si="64"/>
        <v>43227</v>
      </c>
      <c r="C25" s="55" t="s">
        <v>1</v>
      </c>
      <c r="D25" s="56">
        <f t="shared" si="65"/>
        <v>43233</v>
      </c>
      <c r="E25" s="52">
        <f t="shared" si="66"/>
        <v>5</v>
      </c>
      <c r="F25" s="53">
        <f t="shared" si="67"/>
        <v>2018</v>
      </c>
      <c r="G25" s="62">
        <f t="shared" si="68"/>
        <v>15</v>
      </c>
      <c r="H25" s="63">
        <f t="shared" si="69"/>
        <v>96</v>
      </c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>
        <v>15</v>
      </c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80"/>
      <c r="AG25" s="87">
        <f t="shared" si="23"/>
        <v>0</v>
      </c>
      <c r="AH25" s="87">
        <f t="shared" si="24"/>
        <v>0</v>
      </c>
      <c r="AI25" s="87">
        <f t="shared" si="25"/>
        <v>0</v>
      </c>
      <c r="AJ25" s="87">
        <f t="shared" si="26"/>
        <v>0</v>
      </c>
      <c r="AK25" s="87">
        <f t="shared" si="27"/>
        <v>0</v>
      </c>
      <c r="AL25" s="87">
        <f t="shared" si="28"/>
        <v>0</v>
      </c>
      <c r="AM25" s="87">
        <f t="shared" si="29"/>
        <v>0</v>
      </c>
      <c r="AN25" s="87">
        <f t="shared" si="30"/>
        <v>0</v>
      </c>
      <c r="AO25" s="87">
        <f t="shared" si="31"/>
        <v>0</v>
      </c>
      <c r="AP25" s="87">
        <f t="shared" si="32"/>
        <v>0</v>
      </c>
      <c r="AQ25" s="87">
        <f t="shared" si="33"/>
        <v>15</v>
      </c>
      <c r="AR25" s="81"/>
      <c r="AS25" s="85">
        <f t="shared" si="34"/>
        <v>0</v>
      </c>
      <c r="AT25" s="85">
        <f t="shared" si="35"/>
        <v>0</v>
      </c>
      <c r="AU25" s="85">
        <f t="shared" si="36"/>
        <v>0</v>
      </c>
      <c r="AV25" s="85">
        <f t="shared" si="37"/>
        <v>0</v>
      </c>
      <c r="AW25" s="85">
        <f t="shared" si="38"/>
        <v>0</v>
      </c>
      <c r="AX25" s="85">
        <f t="shared" si="39"/>
        <v>0</v>
      </c>
      <c r="AY25" s="85">
        <f t="shared" si="40"/>
        <v>0</v>
      </c>
      <c r="AZ25" s="85">
        <f t="shared" si="41"/>
        <v>0</v>
      </c>
      <c r="BA25" s="85">
        <f t="shared" si="42"/>
        <v>0</v>
      </c>
      <c r="BB25" s="85">
        <f t="shared" si="43"/>
        <v>0</v>
      </c>
      <c r="BC25" s="85">
        <f t="shared" si="44"/>
        <v>0</v>
      </c>
      <c r="BD25" s="85">
        <f t="shared" si="45"/>
        <v>0</v>
      </c>
      <c r="BE25" s="85">
        <f t="shared" si="46"/>
        <v>0</v>
      </c>
      <c r="BF25" s="85">
        <f t="shared" si="47"/>
        <v>0</v>
      </c>
      <c r="BG25" s="85">
        <f t="shared" si="48"/>
        <v>0</v>
      </c>
      <c r="BH25" s="85">
        <f t="shared" si="49"/>
        <v>0</v>
      </c>
      <c r="BI25" s="85">
        <f t="shared" si="50"/>
        <v>0</v>
      </c>
      <c r="BJ25" s="85">
        <f t="shared" si="51"/>
        <v>0</v>
      </c>
      <c r="BK25" s="85">
        <f t="shared" si="52"/>
        <v>0</v>
      </c>
      <c r="BL25" s="85">
        <f t="shared" si="53"/>
        <v>0</v>
      </c>
      <c r="BM25" s="85">
        <f t="shared" si="54"/>
        <v>0</v>
      </c>
      <c r="BN25" s="85">
        <f t="shared" si="55"/>
        <v>0</v>
      </c>
      <c r="BO25" s="85">
        <f t="shared" si="56"/>
        <v>0</v>
      </c>
      <c r="BP25" s="85">
        <f t="shared" si="57"/>
        <v>0</v>
      </c>
      <c r="BQ25" s="85">
        <f t="shared" si="58"/>
        <v>0</v>
      </c>
      <c r="BR25" s="85">
        <f t="shared" si="59"/>
        <v>0</v>
      </c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X25" s="35"/>
      <c r="CZ25" s="35"/>
      <c r="DC25" s="57" t="str">
        <f t="shared" si="60"/>
        <v/>
      </c>
      <c r="DD25" s="64" t="str">
        <f t="shared" si="61"/>
        <v/>
      </c>
      <c r="DE25" s="65" t="str">
        <f t="shared" si="62"/>
        <v/>
      </c>
      <c r="DF25" s="66" t="str">
        <f t="shared" si="63"/>
        <v/>
      </c>
    </row>
    <row r="26" spans="2:110" hidden="1" outlineLevel="1">
      <c r="B26" s="54">
        <f t="shared" si="64"/>
        <v>43234</v>
      </c>
      <c r="C26" s="55" t="s">
        <v>1</v>
      </c>
      <c r="D26" s="56">
        <f t="shared" si="65"/>
        <v>43240</v>
      </c>
      <c r="E26" s="52">
        <f t="shared" si="66"/>
        <v>5</v>
      </c>
      <c r="F26" s="53">
        <f t="shared" si="67"/>
        <v>2018</v>
      </c>
      <c r="G26" s="62">
        <f t="shared" si="68"/>
        <v>15</v>
      </c>
      <c r="H26" s="63">
        <f t="shared" si="69"/>
        <v>96</v>
      </c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>
        <v>15</v>
      </c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80"/>
      <c r="AG26" s="87">
        <f t="shared" si="23"/>
        <v>0</v>
      </c>
      <c r="AH26" s="87">
        <f t="shared" si="24"/>
        <v>0</v>
      </c>
      <c r="AI26" s="87">
        <f t="shared" si="25"/>
        <v>0</v>
      </c>
      <c r="AJ26" s="87">
        <f t="shared" si="26"/>
        <v>0</v>
      </c>
      <c r="AK26" s="87">
        <f t="shared" si="27"/>
        <v>0</v>
      </c>
      <c r="AL26" s="87">
        <f t="shared" si="28"/>
        <v>0</v>
      </c>
      <c r="AM26" s="87">
        <f t="shared" si="29"/>
        <v>0</v>
      </c>
      <c r="AN26" s="87">
        <f t="shared" si="30"/>
        <v>0</v>
      </c>
      <c r="AO26" s="87">
        <f t="shared" si="31"/>
        <v>0</v>
      </c>
      <c r="AP26" s="87">
        <f t="shared" si="32"/>
        <v>0</v>
      </c>
      <c r="AQ26" s="87">
        <f t="shared" si="33"/>
        <v>15</v>
      </c>
      <c r="AR26" s="81"/>
      <c r="AS26" s="85">
        <f t="shared" si="34"/>
        <v>0</v>
      </c>
      <c r="AT26" s="85">
        <f t="shared" si="35"/>
        <v>0</v>
      </c>
      <c r="AU26" s="85">
        <f t="shared" si="36"/>
        <v>0</v>
      </c>
      <c r="AV26" s="85">
        <f t="shared" si="37"/>
        <v>0</v>
      </c>
      <c r="AW26" s="85">
        <f t="shared" si="38"/>
        <v>0</v>
      </c>
      <c r="AX26" s="85">
        <f t="shared" si="39"/>
        <v>0</v>
      </c>
      <c r="AY26" s="85">
        <f t="shared" si="40"/>
        <v>0</v>
      </c>
      <c r="AZ26" s="85">
        <f t="shared" si="41"/>
        <v>0</v>
      </c>
      <c r="BA26" s="85">
        <f t="shared" si="42"/>
        <v>0</v>
      </c>
      <c r="BB26" s="85">
        <f t="shared" si="43"/>
        <v>0</v>
      </c>
      <c r="BC26" s="85">
        <f t="shared" si="44"/>
        <v>0</v>
      </c>
      <c r="BD26" s="85">
        <f t="shared" si="45"/>
        <v>0</v>
      </c>
      <c r="BE26" s="85">
        <f t="shared" si="46"/>
        <v>0</v>
      </c>
      <c r="BF26" s="85">
        <f t="shared" si="47"/>
        <v>0</v>
      </c>
      <c r="BG26" s="85">
        <f t="shared" si="48"/>
        <v>0</v>
      </c>
      <c r="BH26" s="85">
        <f t="shared" si="49"/>
        <v>0</v>
      </c>
      <c r="BI26" s="85">
        <f t="shared" si="50"/>
        <v>0</v>
      </c>
      <c r="BJ26" s="85">
        <f t="shared" si="51"/>
        <v>0</v>
      </c>
      <c r="BK26" s="85">
        <f t="shared" si="52"/>
        <v>0</v>
      </c>
      <c r="BL26" s="85">
        <f t="shared" si="53"/>
        <v>0</v>
      </c>
      <c r="BM26" s="85">
        <f t="shared" si="54"/>
        <v>0</v>
      </c>
      <c r="BN26" s="85">
        <f t="shared" si="55"/>
        <v>0</v>
      </c>
      <c r="BO26" s="85">
        <f t="shared" si="56"/>
        <v>0</v>
      </c>
      <c r="BP26" s="85">
        <f t="shared" si="57"/>
        <v>0</v>
      </c>
      <c r="BQ26" s="85">
        <f t="shared" si="58"/>
        <v>0</v>
      </c>
      <c r="BR26" s="85">
        <f t="shared" si="59"/>
        <v>0</v>
      </c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X26" s="35"/>
      <c r="CZ26" s="35"/>
      <c r="DC26" s="57" t="str">
        <f t="shared" si="60"/>
        <v/>
      </c>
      <c r="DD26" s="64" t="str">
        <f t="shared" si="61"/>
        <v/>
      </c>
      <c r="DE26" s="65" t="str">
        <f t="shared" si="62"/>
        <v/>
      </c>
      <c r="DF26" s="66" t="str">
        <f t="shared" si="63"/>
        <v/>
      </c>
    </row>
    <row r="27" spans="2:110" hidden="1" outlineLevel="1">
      <c r="B27" s="54">
        <f t="shared" si="64"/>
        <v>43241</v>
      </c>
      <c r="C27" s="55" t="s">
        <v>1</v>
      </c>
      <c r="D27" s="56">
        <f t="shared" si="65"/>
        <v>43247</v>
      </c>
      <c r="E27" s="52">
        <f t="shared" si="66"/>
        <v>5</v>
      </c>
      <c r="F27" s="53">
        <f t="shared" si="67"/>
        <v>2018</v>
      </c>
      <c r="G27" s="62">
        <f t="shared" si="68"/>
        <v>15</v>
      </c>
      <c r="H27" s="63">
        <f t="shared" si="69"/>
        <v>96</v>
      </c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>
        <v>15</v>
      </c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80"/>
      <c r="AG27" s="87">
        <f t="shared" si="23"/>
        <v>0</v>
      </c>
      <c r="AH27" s="87">
        <f t="shared" si="24"/>
        <v>0</v>
      </c>
      <c r="AI27" s="87">
        <f t="shared" si="25"/>
        <v>0</v>
      </c>
      <c r="AJ27" s="87">
        <f t="shared" si="26"/>
        <v>0</v>
      </c>
      <c r="AK27" s="87">
        <f t="shared" si="27"/>
        <v>0</v>
      </c>
      <c r="AL27" s="87">
        <f t="shared" si="28"/>
        <v>0</v>
      </c>
      <c r="AM27" s="87">
        <f t="shared" si="29"/>
        <v>0</v>
      </c>
      <c r="AN27" s="87">
        <f t="shared" si="30"/>
        <v>0</v>
      </c>
      <c r="AO27" s="87">
        <f t="shared" si="31"/>
        <v>0</v>
      </c>
      <c r="AP27" s="87">
        <f t="shared" si="32"/>
        <v>0</v>
      </c>
      <c r="AQ27" s="87">
        <f t="shared" si="33"/>
        <v>15</v>
      </c>
      <c r="AR27" s="81"/>
      <c r="AS27" s="85">
        <f t="shared" si="34"/>
        <v>0</v>
      </c>
      <c r="AT27" s="85">
        <f t="shared" si="35"/>
        <v>0</v>
      </c>
      <c r="AU27" s="85">
        <f t="shared" si="36"/>
        <v>0</v>
      </c>
      <c r="AV27" s="85">
        <f t="shared" si="37"/>
        <v>0</v>
      </c>
      <c r="AW27" s="85">
        <f t="shared" si="38"/>
        <v>0</v>
      </c>
      <c r="AX27" s="85">
        <f t="shared" si="39"/>
        <v>0</v>
      </c>
      <c r="AY27" s="85">
        <f t="shared" si="40"/>
        <v>0</v>
      </c>
      <c r="AZ27" s="85">
        <f t="shared" si="41"/>
        <v>0</v>
      </c>
      <c r="BA27" s="85">
        <f t="shared" si="42"/>
        <v>0</v>
      </c>
      <c r="BB27" s="85">
        <f t="shared" si="43"/>
        <v>0</v>
      </c>
      <c r="BC27" s="85">
        <f t="shared" si="44"/>
        <v>0</v>
      </c>
      <c r="BD27" s="85">
        <f t="shared" si="45"/>
        <v>0</v>
      </c>
      <c r="BE27" s="85">
        <f t="shared" si="46"/>
        <v>0</v>
      </c>
      <c r="BF27" s="85">
        <f t="shared" si="47"/>
        <v>0</v>
      </c>
      <c r="BG27" s="85">
        <f t="shared" si="48"/>
        <v>0</v>
      </c>
      <c r="BH27" s="85">
        <f t="shared" si="49"/>
        <v>0</v>
      </c>
      <c r="BI27" s="85">
        <f t="shared" si="50"/>
        <v>0</v>
      </c>
      <c r="BJ27" s="85">
        <f t="shared" si="51"/>
        <v>0</v>
      </c>
      <c r="BK27" s="85">
        <f t="shared" si="52"/>
        <v>0</v>
      </c>
      <c r="BL27" s="85">
        <f t="shared" si="53"/>
        <v>0</v>
      </c>
      <c r="BM27" s="85">
        <f t="shared" si="54"/>
        <v>0</v>
      </c>
      <c r="BN27" s="85">
        <f t="shared" si="55"/>
        <v>0</v>
      </c>
      <c r="BO27" s="85">
        <f t="shared" si="56"/>
        <v>0</v>
      </c>
      <c r="BP27" s="85">
        <f t="shared" si="57"/>
        <v>0</v>
      </c>
      <c r="BQ27" s="85">
        <f t="shared" si="58"/>
        <v>0</v>
      </c>
      <c r="BR27" s="85">
        <f t="shared" si="59"/>
        <v>0</v>
      </c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X27" s="35"/>
      <c r="CZ27" s="35"/>
      <c r="DC27" s="57" t="str">
        <f t="shared" si="60"/>
        <v/>
      </c>
      <c r="DD27" s="64" t="str">
        <f t="shared" si="61"/>
        <v/>
      </c>
      <c r="DE27" s="65" t="str">
        <f t="shared" si="62"/>
        <v/>
      </c>
      <c r="DF27" s="66" t="str">
        <f t="shared" si="63"/>
        <v/>
      </c>
    </row>
    <row r="28" spans="2:110" hidden="1" outlineLevel="1">
      <c r="B28" s="54">
        <f t="shared" si="64"/>
        <v>43248</v>
      </c>
      <c r="C28" s="55" t="s">
        <v>1</v>
      </c>
      <c r="D28" s="56">
        <f t="shared" si="65"/>
        <v>43254</v>
      </c>
      <c r="E28" s="52">
        <f t="shared" si="66"/>
        <v>5</v>
      </c>
      <c r="F28" s="53">
        <f t="shared" si="67"/>
        <v>2018</v>
      </c>
      <c r="G28" s="62">
        <f t="shared" si="68"/>
        <v>15</v>
      </c>
      <c r="H28" s="63">
        <f t="shared" si="69"/>
        <v>96</v>
      </c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>
        <v>15</v>
      </c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80"/>
      <c r="AG28" s="87">
        <f t="shared" si="23"/>
        <v>0</v>
      </c>
      <c r="AH28" s="87">
        <f t="shared" si="24"/>
        <v>0</v>
      </c>
      <c r="AI28" s="87">
        <f t="shared" si="25"/>
        <v>0</v>
      </c>
      <c r="AJ28" s="87">
        <f t="shared" si="26"/>
        <v>0</v>
      </c>
      <c r="AK28" s="87">
        <f t="shared" si="27"/>
        <v>0</v>
      </c>
      <c r="AL28" s="87">
        <f t="shared" si="28"/>
        <v>0</v>
      </c>
      <c r="AM28" s="87">
        <f t="shared" si="29"/>
        <v>0</v>
      </c>
      <c r="AN28" s="87">
        <f t="shared" si="30"/>
        <v>0</v>
      </c>
      <c r="AO28" s="87">
        <f t="shared" si="31"/>
        <v>0</v>
      </c>
      <c r="AP28" s="87">
        <f t="shared" si="32"/>
        <v>0</v>
      </c>
      <c r="AQ28" s="87">
        <f t="shared" si="33"/>
        <v>15</v>
      </c>
      <c r="AR28" s="81"/>
      <c r="AS28" s="85">
        <f t="shared" si="34"/>
        <v>0</v>
      </c>
      <c r="AT28" s="85">
        <f t="shared" si="35"/>
        <v>0</v>
      </c>
      <c r="AU28" s="85">
        <f t="shared" si="36"/>
        <v>0</v>
      </c>
      <c r="AV28" s="85">
        <f t="shared" si="37"/>
        <v>0</v>
      </c>
      <c r="AW28" s="85">
        <f t="shared" si="38"/>
        <v>0</v>
      </c>
      <c r="AX28" s="85">
        <f t="shared" si="39"/>
        <v>0</v>
      </c>
      <c r="AY28" s="85">
        <f t="shared" si="40"/>
        <v>0</v>
      </c>
      <c r="AZ28" s="85">
        <f t="shared" si="41"/>
        <v>0</v>
      </c>
      <c r="BA28" s="85">
        <f t="shared" si="42"/>
        <v>0</v>
      </c>
      <c r="BB28" s="85">
        <f t="shared" si="43"/>
        <v>0</v>
      </c>
      <c r="BC28" s="85">
        <f t="shared" si="44"/>
        <v>0</v>
      </c>
      <c r="BD28" s="85">
        <f t="shared" si="45"/>
        <v>0</v>
      </c>
      <c r="BE28" s="85">
        <f t="shared" si="46"/>
        <v>0</v>
      </c>
      <c r="BF28" s="85">
        <f t="shared" si="47"/>
        <v>0</v>
      </c>
      <c r="BG28" s="85">
        <f t="shared" si="48"/>
        <v>0</v>
      </c>
      <c r="BH28" s="85">
        <f t="shared" si="49"/>
        <v>0</v>
      </c>
      <c r="BI28" s="85">
        <f t="shared" si="50"/>
        <v>0</v>
      </c>
      <c r="BJ28" s="85">
        <f t="shared" si="51"/>
        <v>0</v>
      </c>
      <c r="BK28" s="85">
        <f t="shared" si="52"/>
        <v>0</v>
      </c>
      <c r="BL28" s="85">
        <f t="shared" si="53"/>
        <v>0</v>
      </c>
      <c r="BM28" s="85">
        <f t="shared" si="54"/>
        <v>0</v>
      </c>
      <c r="BN28" s="85">
        <f t="shared" si="55"/>
        <v>0</v>
      </c>
      <c r="BO28" s="85">
        <f t="shared" si="56"/>
        <v>0</v>
      </c>
      <c r="BP28" s="85">
        <f t="shared" si="57"/>
        <v>0</v>
      </c>
      <c r="BQ28" s="85">
        <f t="shared" si="58"/>
        <v>0</v>
      </c>
      <c r="BR28" s="85">
        <f t="shared" si="59"/>
        <v>0</v>
      </c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X28" s="35"/>
      <c r="CZ28" s="35"/>
      <c r="DC28" s="57" t="str">
        <f t="shared" si="60"/>
        <v/>
      </c>
      <c r="DD28" s="64" t="str">
        <f t="shared" si="61"/>
        <v/>
      </c>
      <c r="DE28" s="65" t="str">
        <f t="shared" si="62"/>
        <v/>
      </c>
      <c r="DF28" s="66" t="str">
        <f t="shared" si="63"/>
        <v/>
      </c>
    </row>
    <row r="29" spans="2:110" hidden="1" outlineLevel="1">
      <c r="B29" s="54">
        <f t="shared" si="64"/>
        <v>43255</v>
      </c>
      <c r="C29" s="55" t="s">
        <v>1</v>
      </c>
      <c r="D29" s="56">
        <f t="shared" si="65"/>
        <v>43261</v>
      </c>
      <c r="E29" s="52">
        <f t="shared" si="66"/>
        <v>6</v>
      </c>
      <c r="F29" s="53">
        <f t="shared" si="67"/>
        <v>2018</v>
      </c>
      <c r="G29" s="62">
        <f t="shared" si="68"/>
        <v>15</v>
      </c>
      <c r="H29" s="63">
        <f t="shared" si="69"/>
        <v>96</v>
      </c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>
        <v>15</v>
      </c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80"/>
      <c r="AG29" s="87">
        <f t="shared" si="23"/>
        <v>0</v>
      </c>
      <c r="AH29" s="87">
        <f t="shared" si="24"/>
        <v>0</v>
      </c>
      <c r="AI29" s="87">
        <f t="shared" si="25"/>
        <v>0</v>
      </c>
      <c r="AJ29" s="87">
        <f t="shared" si="26"/>
        <v>0</v>
      </c>
      <c r="AK29" s="87">
        <f t="shared" si="27"/>
        <v>0</v>
      </c>
      <c r="AL29" s="87">
        <f t="shared" si="28"/>
        <v>0</v>
      </c>
      <c r="AM29" s="87">
        <f t="shared" si="29"/>
        <v>0</v>
      </c>
      <c r="AN29" s="87">
        <f t="shared" si="30"/>
        <v>0</v>
      </c>
      <c r="AO29" s="87">
        <f t="shared" si="31"/>
        <v>0</v>
      </c>
      <c r="AP29" s="87">
        <f t="shared" si="32"/>
        <v>0</v>
      </c>
      <c r="AQ29" s="87">
        <f t="shared" si="33"/>
        <v>15</v>
      </c>
      <c r="AR29" s="81"/>
      <c r="AS29" s="85">
        <f t="shared" si="34"/>
        <v>0</v>
      </c>
      <c r="AT29" s="85">
        <f t="shared" si="35"/>
        <v>0</v>
      </c>
      <c r="AU29" s="85">
        <f t="shared" si="36"/>
        <v>0</v>
      </c>
      <c r="AV29" s="85">
        <f t="shared" si="37"/>
        <v>0</v>
      </c>
      <c r="AW29" s="85">
        <f t="shared" si="38"/>
        <v>0</v>
      </c>
      <c r="AX29" s="85">
        <f t="shared" si="39"/>
        <v>0</v>
      </c>
      <c r="AY29" s="85">
        <f t="shared" si="40"/>
        <v>0</v>
      </c>
      <c r="AZ29" s="85">
        <f t="shared" si="41"/>
        <v>0</v>
      </c>
      <c r="BA29" s="85">
        <f t="shared" si="42"/>
        <v>0</v>
      </c>
      <c r="BB29" s="85">
        <f t="shared" si="43"/>
        <v>0</v>
      </c>
      <c r="BC29" s="85">
        <f t="shared" si="44"/>
        <v>0</v>
      </c>
      <c r="BD29" s="85">
        <f t="shared" si="45"/>
        <v>0</v>
      </c>
      <c r="BE29" s="85">
        <f t="shared" si="46"/>
        <v>0</v>
      </c>
      <c r="BF29" s="85">
        <f t="shared" si="47"/>
        <v>0</v>
      </c>
      <c r="BG29" s="85">
        <f t="shared" si="48"/>
        <v>0</v>
      </c>
      <c r="BH29" s="85">
        <f t="shared" si="49"/>
        <v>0</v>
      </c>
      <c r="BI29" s="85">
        <f t="shared" si="50"/>
        <v>0</v>
      </c>
      <c r="BJ29" s="85">
        <f t="shared" si="51"/>
        <v>0</v>
      </c>
      <c r="BK29" s="85">
        <f t="shared" si="52"/>
        <v>0</v>
      </c>
      <c r="BL29" s="85">
        <f t="shared" si="53"/>
        <v>0</v>
      </c>
      <c r="BM29" s="85">
        <f t="shared" si="54"/>
        <v>0</v>
      </c>
      <c r="BN29" s="85">
        <f t="shared" si="55"/>
        <v>0</v>
      </c>
      <c r="BO29" s="85">
        <f t="shared" si="56"/>
        <v>0</v>
      </c>
      <c r="BP29" s="85">
        <f t="shared" si="57"/>
        <v>0</v>
      </c>
      <c r="BQ29" s="85">
        <f t="shared" si="58"/>
        <v>0</v>
      </c>
      <c r="BR29" s="85">
        <f t="shared" si="59"/>
        <v>0</v>
      </c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X29" s="35"/>
      <c r="CZ29" s="35"/>
      <c r="DC29" s="57" t="str">
        <f t="shared" si="60"/>
        <v/>
      </c>
      <c r="DD29" s="64" t="str">
        <f t="shared" si="61"/>
        <v/>
      </c>
      <c r="DE29" s="65" t="str">
        <f t="shared" si="62"/>
        <v/>
      </c>
      <c r="DF29" s="66" t="str">
        <f t="shared" si="63"/>
        <v/>
      </c>
    </row>
    <row r="30" spans="2:110" hidden="1" outlineLevel="1">
      <c r="B30" s="54">
        <f t="shared" si="64"/>
        <v>43262</v>
      </c>
      <c r="C30" s="55" t="s">
        <v>1</v>
      </c>
      <c r="D30" s="56">
        <f t="shared" si="65"/>
        <v>43268</v>
      </c>
      <c r="E30" s="52">
        <f t="shared" si="66"/>
        <v>6</v>
      </c>
      <c r="F30" s="53">
        <f t="shared" si="67"/>
        <v>2018</v>
      </c>
      <c r="G30" s="62">
        <f t="shared" si="68"/>
        <v>15</v>
      </c>
      <c r="H30" s="63">
        <f t="shared" si="69"/>
        <v>96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>
        <v>15</v>
      </c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80"/>
      <c r="AG30" s="87">
        <f t="shared" si="23"/>
        <v>0</v>
      </c>
      <c r="AH30" s="87">
        <f t="shared" si="24"/>
        <v>0</v>
      </c>
      <c r="AI30" s="87">
        <f t="shared" si="25"/>
        <v>0</v>
      </c>
      <c r="AJ30" s="87">
        <f t="shared" si="26"/>
        <v>0</v>
      </c>
      <c r="AK30" s="87">
        <f t="shared" si="27"/>
        <v>0</v>
      </c>
      <c r="AL30" s="87">
        <f t="shared" si="28"/>
        <v>0</v>
      </c>
      <c r="AM30" s="87">
        <f t="shared" si="29"/>
        <v>0</v>
      </c>
      <c r="AN30" s="87">
        <f t="shared" si="30"/>
        <v>0</v>
      </c>
      <c r="AO30" s="87">
        <f t="shared" si="31"/>
        <v>0</v>
      </c>
      <c r="AP30" s="87">
        <f t="shared" si="32"/>
        <v>0</v>
      </c>
      <c r="AQ30" s="87">
        <f t="shared" si="33"/>
        <v>15</v>
      </c>
      <c r="AR30" s="81"/>
      <c r="AS30" s="85">
        <f t="shared" si="34"/>
        <v>0</v>
      </c>
      <c r="AT30" s="85">
        <f t="shared" si="35"/>
        <v>0</v>
      </c>
      <c r="AU30" s="85">
        <f t="shared" si="36"/>
        <v>0</v>
      </c>
      <c r="AV30" s="85">
        <f t="shared" si="37"/>
        <v>0</v>
      </c>
      <c r="AW30" s="85">
        <f t="shared" si="38"/>
        <v>0</v>
      </c>
      <c r="AX30" s="85">
        <f t="shared" si="39"/>
        <v>0</v>
      </c>
      <c r="AY30" s="85">
        <f t="shared" si="40"/>
        <v>0</v>
      </c>
      <c r="AZ30" s="85">
        <f t="shared" si="41"/>
        <v>0</v>
      </c>
      <c r="BA30" s="85">
        <f t="shared" si="42"/>
        <v>0</v>
      </c>
      <c r="BB30" s="85">
        <f t="shared" si="43"/>
        <v>0</v>
      </c>
      <c r="BC30" s="85">
        <f t="shared" si="44"/>
        <v>0</v>
      </c>
      <c r="BD30" s="85">
        <f t="shared" si="45"/>
        <v>0</v>
      </c>
      <c r="BE30" s="85">
        <f t="shared" si="46"/>
        <v>0</v>
      </c>
      <c r="BF30" s="85">
        <f t="shared" si="47"/>
        <v>0</v>
      </c>
      <c r="BG30" s="85">
        <f t="shared" si="48"/>
        <v>0</v>
      </c>
      <c r="BH30" s="85">
        <f t="shared" si="49"/>
        <v>0</v>
      </c>
      <c r="BI30" s="85">
        <f t="shared" si="50"/>
        <v>0</v>
      </c>
      <c r="BJ30" s="85">
        <f t="shared" si="51"/>
        <v>0</v>
      </c>
      <c r="BK30" s="85">
        <f t="shared" si="52"/>
        <v>0</v>
      </c>
      <c r="BL30" s="85">
        <f t="shared" si="53"/>
        <v>0</v>
      </c>
      <c r="BM30" s="85">
        <f t="shared" si="54"/>
        <v>0</v>
      </c>
      <c r="BN30" s="85">
        <f t="shared" si="55"/>
        <v>0</v>
      </c>
      <c r="BO30" s="85">
        <f t="shared" si="56"/>
        <v>0</v>
      </c>
      <c r="BP30" s="85">
        <f t="shared" si="57"/>
        <v>0</v>
      </c>
      <c r="BQ30" s="85">
        <f t="shared" si="58"/>
        <v>0</v>
      </c>
      <c r="BR30" s="85">
        <f t="shared" si="59"/>
        <v>0</v>
      </c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X30" s="35"/>
      <c r="CZ30" s="35"/>
      <c r="DC30" s="57" t="str">
        <f t="shared" si="60"/>
        <v/>
      </c>
      <c r="DD30" s="64" t="str">
        <f t="shared" si="61"/>
        <v/>
      </c>
      <c r="DE30" s="65" t="str">
        <f t="shared" si="62"/>
        <v/>
      </c>
      <c r="DF30" s="66" t="str">
        <f t="shared" si="63"/>
        <v/>
      </c>
    </row>
    <row r="31" spans="2:110" hidden="1" outlineLevel="1">
      <c r="B31" s="54">
        <f t="shared" si="64"/>
        <v>43269</v>
      </c>
      <c r="C31" s="55" t="s">
        <v>1</v>
      </c>
      <c r="D31" s="56">
        <f t="shared" si="65"/>
        <v>43275</v>
      </c>
      <c r="E31" s="52">
        <f t="shared" si="66"/>
        <v>6</v>
      </c>
      <c r="F31" s="53">
        <f t="shared" si="67"/>
        <v>2018</v>
      </c>
      <c r="G31" s="62">
        <f t="shared" si="68"/>
        <v>15</v>
      </c>
      <c r="H31" s="63">
        <f t="shared" si="69"/>
        <v>96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>
        <v>15</v>
      </c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80"/>
      <c r="AG31" s="87">
        <f t="shared" si="23"/>
        <v>0</v>
      </c>
      <c r="AH31" s="87">
        <f t="shared" si="24"/>
        <v>0</v>
      </c>
      <c r="AI31" s="87">
        <f t="shared" si="25"/>
        <v>0</v>
      </c>
      <c r="AJ31" s="87">
        <f t="shared" si="26"/>
        <v>0</v>
      </c>
      <c r="AK31" s="87">
        <f t="shared" si="27"/>
        <v>0</v>
      </c>
      <c r="AL31" s="87">
        <f t="shared" si="28"/>
        <v>0</v>
      </c>
      <c r="AM31" s="87">
        <f t="shared" si="29"/>
        <v>0</v>
      </c>
      <c r="AN31" s="87">
        <f t="shared" si="30"/>
        <v>0</v>
      </c>
      <c r="AO31" s="87">
        <f t="shared" si="31"/>
        <v>0</v>
      </c>
      <c r="AP31" s="87">
        <f t="shared" si="32"/>
        <v>0</v>
      </c>
      <c r="AQ31" s="87">
        <f t="shared" si="33"/>
        <v>15</v>
      </c>
      <c r="AR31" s="81"/>
      <c r="AS31" s="85">
        <f t="shared" si="34"/>
        <v>0</v>
      </c>
      <c r="AT31" s="85">
        <f t="shared" si="35"/>
        <v>0</v>
      </c>
      <c r="AU31" s="85">
        <f t="shared" si="36"/>
        <v>0</v>
      </c>
      <c r="AV31" s="85">
        <f t="shared" si="37"/>
        <v>0</v>
      </c>
      <c r="AW31" s="85">
        <f t="shared" si="38"/>
        <v>0</v>
      </c>
      <c r="AX31" s="85">
        <f t="shared" si="39"/>
        <v>0</v>
      </c>
      <c r="AY31" s="85">
        <f t="shared" si="40"/>
        <v>0</v>
      </c>
      <c r="AZ31" s="85">
        <f t="shared" si="41"/>
        <v>0</v>
      </c>
      <c r="BA31" s="85">
        <f t="shared" si="42"/>
        <v>0</v>
      </c>
      <c r="BB31" s="85">
        <f t="shared" si="43"/>
        <v>0</v>
      </c>
      <c r="BC31" s="85">
        <f t="shared" si="44"/>
        <v>0</v>
      </c>
      <c r="BD31" s="85">
        <f t="shared" si="45"/>
        <v>0</v>
      </c>
      <c r="BE31" s="85">
        <f t="shared" si="46"/>
        <v>0</v>
      </c>
      <c r="BF31" s="85">
        <f t="shared" si="47"/>
        <v>0</v>
      </c>
      <c r="BG31" s="85">
        <f t="shared" si="48"/>
        <v>0</v>
      </c>
      <c r="BH31" s="85">
        <f t="shared" si="49"/>
        <v>0</v>
      </c>
      <c r="BI31" s="85">
        <f t="shared" si="50"/>
        <v>0</v>
      </c>
      <c r="BJ31" s="85">
        <f t="shared" si="51"/>
        <v>0</v>
      </c>
      <c r="BK31" s="85">
        <f t="shared" si="52"/>
        <v>0</v>
      </c>
      <c r="BL31" s="85">
        <f t="shared" si="53"/>
        <v>0</v>
      </c>
      <c r="BM31" s="85">
        <f t="shared" si="54"/>
        <v>0</v>
      </c>
      <c r="BN31" s="85">
        <f t="shared" si="55"/>
        <v>0</v>
      </c>
      <c r="BO31" s="85">
        <f t="shared" si="56"/>
        <v>0</v>
      </c>
      <c r="BP31" s="85">
        <f t="shared" si="57"/>
        <v>0</v>
      </c>
      <c r="BQ31" s="85">
        <f t="shared" si="58"/>
        <v>0</v>
      </c>
      <c r="BR31" s="85">
        <f t="shared" si="59"/>
        <v>0</v>
      </c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X31" s="35"/>
      <c r="CZ31" s="35"/>
      <c r="DC31" s="57" t="str">
        <f t="shared" si="60"/>
        <v/>
      </c>
      <c r="DD31" s="64" t="str">
        <f t="shared" si="61"/>
        <v/>
      </c>
      <c r="DE31" s="65" t="str">
        <f t="shared" si="62"/>
        <v/>
      </c>
      <c r="DF31" s="66" t="str">
        <f t="shared" si="63"/>
        <v/>
      </c>
    </row>
    <row r="32" spans="2:110" hidden="1" outlineLevel="1">
      <c r="B32" s="54">
        <f t="shared" si="64"/>
        <v>43276</v>
      </c>
      <c r="C32" s="55" t="s">
        <v>1</v>
      </c>
      <c r="D32" s="56">
        <f t="shared" si="65"/>
        <v>43282</v>
      </c>
      <c r="E32" s="52">
        <f t="shared" si="66"/>
        <v>6</v>
      </c>
      <c r="F32" s="53">
        <f t="shared" si="67"/>
        <v>2018</v>
      </c>
      <c r="G32" s="62">
        <f t="shared" si="68"/>
        <v>15</v>
      </c>
      <c r="H32" s="63">
        <f t="shared" si="69"/>
        <v>96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>
        <v>15</v>
      </c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80"/>
      <c r="AG32" s="87">
        <f t="shared" si="23"/>
        <v>0</v>
      </c>
      <c r="AH32" s="87">
        <f t="shared" si="24"/>
        <v>0</v>
      </c>
      <c r="AI32" s="87">
        <f t="shared" si="25"/>
        <v>0</v>
      </c>
      <c r="AJ32" s="87">
        <f t="shared" si="26"/>
        <v>0</v>
      </c>
      <c r="AK32" s="87">
        <f t="shared" si="27"/>
        <v>0</v>
      </c>
      <c r="AL32" s="87">
        <f t="shared" si="28"/>
        <v>0</v>
      </c>
      <c r="AM32" s="87">
        <f t="shared" si="29"/>
        <v>0</v>
      </c>
      <c r="AN32" s="87">
        <f t="shared" si="30"/>
        <v>0</v>
      </c>
      <c r="AO32" s="87">
        <f t="shared" si="31"/>
        <v>0</v>
      </c>
      <c r="AP32" s="87">
        <f t="shared" si="32"/>
        <v>0</v>
      </c>
      <c r="AQ32" s="87">
        <f t="shared" si="33"/>
        <v>15</v>
      </c>
      <c r="AR32" s="81"/>
      <c r="AS32" s="85">
        <f t="shared" si="34"/>
        <v>0</v>
      </c>
      <c r="AT32" s="85">
        <f t="shared" si="35"/>
        <v>0</v>
      </c>
      <c r="AU32" s="85">
        <f t="shared" si="36"/>
        <v>0</v>
      </c>
      <c r="AV32" s="85">
        <f t="shared" si="37"/>
        <v>0</v>
      </c>
      <c r="AW32" s="85">
        <f t="shared" si="38"/>
        <v>0</v>
      </c>
      <c r="AX32" s="85">
        <f t="shared" si="39"/>
        <v>0</v>
      </c>
      <c r="AY32" s="85">
        <f t="shared" si="40"/>
        <v>0</v>
      </c>
      <c r="AZ32" s="85">
        <f t="shared" si="41"/>
        <v>0</v>
      </c>
      <c r="BA32" s="85">
        <f t="shared" si="42"/>
        <v>0</v>
      </c>
      <c r="BB32" s="85">
        <f t="shared" si="43"/>
        <v>0</v>
      </c>
      <c r="BC32" s="85">
        <f t="shared" si="44"/>
        <v>0</v>
      </c>
      <c r="BD32" s="85">
        <f t="shared" si="45"/>
        <v>0</v>
      </c>
      <c r="BE32" s="85">
        <f t="shared" si="46"/>
        <v>0</v>
      </c>
      <c r="BF32" s="85">
        <f t="shared" si="47"/>
        <v>0</v>
      </c>
      <c r="BG32" s="85">
        <f t="shared" si="48"/>
        <v>0</v>
      </c>
      <c r="BH32" s="85">
        <f t="shared" si="49"/>
        <v>0</v>
      </c>
      <c r="BI32" s="85">
        <f t="shared" si="50"/>
        <v>0</v>
      </c>
      <c r="BJ32" s="85">
        <f t="shared" si="51"/>
        <v>0</v>
      </c>
      <c r="BK32" s="85">
        <f t="shared" si="52"/>
        <v>0</v>
      </c>
      <c r="BL32" s="85">
        <f t="shared" si="53"/>
        <v>0</v>
      </c>
      <c r="BM32" s="85">
        <f t="shared" si="54"/>
        <v>0</v>
      </c>
      <c r="BN32" s="85">
        <f t="shared" si="55"/>
        <v>0</v>
      </c>
      <c r="BO32" s="85">
        <f t="shared" si="56"/>
        <v>0</v>
      </c>
      <c r="BP32" s="85">
        <f t="shared" si="57"/>
        <v>0</v>
      </c>
      <c r="BQ32" s="85">
        <f t="shared" si="58"/>
        <v>0</v>
      </c>
      <c r="BR32" s="85">
        <f t="shared" si="59"/>
        <v>0</v>
      </c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X32" s="35"/>
      <c r="CZ32" s="35"/>
      <c r="DC32" s="57" t="str">
        <f t="shared" si="60"/>
        <v/>
      </c>
      <c r="DD32" s="64" t="str">
        <f t="shared" si="61"/>
        <v/>
      </c>
      <c r="DE32" s="65" t="str">
        <f t="shared" si="62"/>
        <v/>
      </c>
      <c r="DF32" s="66" t="str">
        <f t="shared" si="63"/>
        <v/>
      </c>
    </row>
    <row r="33" spans="2:110" hidden="1" outlineLevel="1">
      <c r="B33" s="54">
        <f t="shared" si="64"/>
        <v>43283</v>
      </c>
      <c r="C33" s="55" t="s">
        <v>1</v>
      </c>
      <c r="D33" s="56">
        <f t="shared" si="65"/>
        <v>43289</v>
      </c>
      <c r="E33" s="52">
        <f t="shared" si="66"/>
        <v>7</v>
      </c>
      <c r="F33" s="53">
        <f t="shared" si="67"/>
        <v>2018</v>
      </c>
      <c r="G33" s="62">
        <f t="shared" si="68"/>
        <v>15</v>
      </c>
      <c r="H33" s="63">
        <f t="shared" si="69"/>
        <v>96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>
        <v>15</v>
      </c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80"/>
      <c r="AG33" s="87">
        <f t="shared" si="23"/>
        <v>0</v>
      </c>
      <c r="AH33" s="87">
        <f t="shared" si="24"/>
        <v>0</v>
      </c>
      <c r="AI33" s="87">
        <f t="shared" si="25"/>
        <v>0</v>
      </c>
      <c r="AJ33" s="87">
        <f t="shared" si="26"/>
        <v>0</v>
      </c>
      <c r="AK33" s="87">
        <f t="shared" si="27"/>
        <v>0</v>
      </c>
      <c r="AL33" s="87">
        <f t="shared" si="28"/>
        <v>0</v>
      </c>
      <c r="AM33" s="87">
        <f t="shared" si="29"/>
        <v>0</v>
      </c>
      <c r="AN33" s="87">
        <f t="shared" si="30"/>
        <v>0</v>
      </c>
      <c r="AO33" s="87">
        <f t="shared" si="31"/>
        <v>0</v>
      </c>
      <c r="AP33" s="87">
        <f t="shared" si="32"/>
        <v>0</v>
      </c>
      <c r="AQ33" s="87">
        <f t="shared" si="33"/>
        <v>15</v>
      </c>
      <c r="AR33" s="81"/>
      <c r="AS33" s="85">
        <f t="shared" si="34"/>
        <v>0</v>
      </c>
      <c r="AT33" s="85">
        <f t="shared" si="35"/>
        <v>0</v>
      </c>
      <c r="AU33" s="85">
        <f t="shared" si="36"/>
        <v>0</v>
      </c>
      <c r="AV33" s="85">
        <f t="shared" si="37"/>
        <v>0</v>
      </c>
      <c r="AW33" s="85">
        <f t="shared" si="38"/>
        <v>0</v>
      </c>
      <c r="AX33" s="85">
        <f t="shared" si="39"/>
        <v>0</v>
      </c>
      <c r="AY33" s="85">
        <f t="shared" si="40"/>
        <v>0</v>
      </c>
      <c r="AZ33" s="85">
        <f t="shared" si="41"/>
        <v>0</v>
      </c>
      <c r="BA33" s="85">
        <f t="shared" si="42"/>
        <v>0</v>
      </c>
      <c r="BB33" s="85">
        <f t="shared" si="43"/>
        <v>0</v>
      </c>
      <c r="BC33" s="85">
        <f t="shared" si="44"/>
        <v>0</v>
      </c>
      <c r="BD33" s="85">
        <f t="shared" si="45"/>
        <v>0</v>
      </c>
      <c r="BE33" s="85">
        <f t="shared" si="46"/>
        <v>0</v>
      </c>
      <c r="BF33" s="85">
        <f t="shared" si="47"/>
        <v>0</v>
      </c>
      <c r="BG33" s="85">
        <f t="shared" si="48"/>
        <v>0</v>
      </c>
      <c r="BH33" s="85">
        <f t="shared" si="49"/>
        <v>0</v>
      </c>
      <c r="BI33" s="85">
        <f t="shared" si="50"/>
        <v>0</v>
      </c>
      <c r="BJ33" s="85">
        <f t="shared" si="51"/>
        <v>0</v>
      </c>
      <c r="BK33" s="85">
        <f t="shared" si="52"/>
        <v>0</v>
      </c>
      <c r="BL33" s="85">
        <f t="shared" si="53"/>
        <v>0</v>
      </c>
      <c r="BM33" s="85">
        <f t="shared" si="54"/>
        <v>0</v>
      </c>
      <c r="BN33" s="85">
        <f t="shared" si="55"/>
        <v>0</v>
      </c>
      <c r="BO33" s="85">
        <f t="shared" si="56"/>
        <v>0</v>
      </c>
      <c r="BP33" s="85">
        <f t="shared" si="57"/>
        <v>0</v>
      </c>
      <c r="BQ33" s="85">
        <f t="shared" si="58"/>
        <v>0</v>
      </c>
      <c r="BR33" s="85">
        <f t="shared" si="59"/>
        <v>0</v>
      </c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X33" s="35"/>
      <c r="CZ33" s="35"/>
      <c r="DC33" s="57" t="str">
        <f t="shared" si="60"/>
        <v/>
      </c>
      <c r="DD33" s="64" t="str">
        <f t="shared" si="61"/>
        <v/>
      </c>
      <c r="DE33" s="65" t="str">
        <f t="shared" si="62"/>
        <v/>
      </c>
      <c r="DF33" s="66" t="str">
        <f t="shared" si="63"/>
        <v/>
      </c>
    </row>
    <row r="34" spans="2:110" hidden="1" outlineLevel="1">
      <c r="B34" s="54">
        <f t="shared" si="64"/>
        <v>43290</v>
      </c>
      <c r="C34" s="55" t="s">
        <v>1</v>
      </c>
      <c r="D34" s="56">
        <f t="shared" si="65"/>
        <v>43296</v>
      </c>
      <c r="E34" s="52">
        <f t="shared" si="66"/>
        <v>7</v>
      </c>
      <c r="F34" s="53">
        <f t="shared" si="67"/>
        <v>2018</v>
      </c>
      <c r="G34" s="62">
        <f t="shared" si="68"/>
        <v>15</v>
      </c>
      <c r="H34" s="63">
        <f t="shared" si="69"/>
        <v>96</v>
      </c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>
        <v>15</v>
      </c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80"/>
      <c r="AG34" s="87">
        <f t="shared" si="23"/>
        <v>0</v>
      </c>
      <c r="AH34" s="87">
        <f t="shared" si="24"/>
        <v>0</v>
      </c>
      <c r="AI34" s="87">
        <f t="shared" si="25"/>
        <v>0</v>
      </c>
      <c r="AJ34" s="87">
        <f t="shared" si="26"/>
        <v>0</v>
      </c>
      <c r="AK34" s="87">
        <f t="shared" si="27"/>
        <v>0</v>
      </c>
      <c r="AL34" s="87">
        <f t="shared" si="28"/>
        <v>0</v>
      </c>
      <c r="AM34" s="87">
        <f t="shared" si="29"/>
        <v>0</v>
      </c>
      <c r="AN34" s="87">
        <f t="shared" si="30"/>
        <v>0</v>
      </c>
      <c r="AO34" s="87">
        <f t="shared" si="31"/>
        <v>0</v>
      </c>
      <c r="AP34" s="87">
        <f t="shared" si="32"/>
        <v>0</v>
      </c>
      <c r="AQ34" s="87">
        <f t="shared" si="33"/>
        <v>15</v>
      </c>
      <c r="AR34" s="81"/>
      <c r="AS34" s="85">
        <f t="shared" si="34"/>
        <v>0</v>
      </c>
      <c r="AT34" s="85">
        <f t="shared" si="35"/>
        <v>0</v>
      </c>
      <c r="AU34" s="85">
        <f t="shared" si="36"/>
        <v>0</v>
      </c>
      <c r="AV34" s="85">
        <f t="shared" si="37"/>
        <v>0</v>
      </c>
      <c r="AW34" s="85">
        <f t="shared" si="38"/>
        <v>0</v>
      </c>
      <c r="AX34" s="85">
        <f t="shared" si="39"/>
        <v>0</v>
      </c>
      <c r="AY34" s="85">
        <f t="shared" si="40"/>
        <v>0</v>
      </c>
      <c r="AZ34" s="85">
        <f t="shared" si="41"/>
        <v>0</v>
      </c>
      <c r="BA34" s="85">
        <f t="shared" si="42"/>
        <v>0</v>
      </c>
      <c r="BB34" s="85">
        <f t="shared" si="43"/>
        <v>0</v>
      </c>
      <c r="BC34" s="85">
        <f t="shared" si="44"/>
        <v>0</v>
      </c>
      <c r="BD34" s="85">
        <f t="shared" si="45"/>
        <v>0</v>
      </c>
      <c r="BE34" s="85">
        <f t="shared" si="46"/>
        <v>0</v>
      </c>
      <c r="BF34" s="85">
        <f t="shared" si="47"/>
        <v>0</v>
      </c>
      <c r="BG34" s="85">
        <f t="shared" si="48"/>
        <v>0</v>
      </c>
      <c r="BH34" s="85">
        <f t="shared" si="49"/>
        <v>0</v>
      </c>
      <c r="BI34" s="85">
        <f t="shared" si="50"/>
        <v>0</v>
      </c>
      <c r="BJ34" s="85">
        <f t="shared" si="51"/>
        <v>0</v>
      </c>
      <c r="BK34" s="85">
        <f t="shared" si="52"/>
        <v>0</v>
      </c>
      <c r="BL34" s="85">
        <f t="shared" si="53"/>
        <v>0</v>
      </c>
      <c r="BM34" s="85">
        <f t="shared" si="54"/>
        <v>0</v>
      </c>
      <c r="BN34" s="85">
        <f t="shared" si="55"/>
        <v>0</v>
      </c>
      <c r="BO34" s="85">
        <f t="shared" si="56"/>
        <v>0</v>
      </c>
      <c r="BP34" s="85">
        <f t="shared" si="57"/>
        <v>0</v>
      </c>
      <c r="BQ34" s="85">
        <f t="shared" si="58"/>
        <v>0</v>
      </c>
      <c r="BR34" s="85">
        <f t="shared" si="59"/>
        <v>0</v>
      </c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X34" s="35"/>
      <c r="CZ34" s="35"/>
      <c r="DC34" s="57" t="str">
        <f t="shared" si="60"/>
        <v/>
      </c>
      <c r="DD34" s="64" t="str">
        <f t="shared" si="61"/>
        <v/>
      </c>
      <c r="DE34" s="65" t="str">
        <f t="shared" si="62"/>
        <v/>
      </c>
      <c r="DF34" s="66" t="str">
        <f t="shared" si="63"/>
        <v/>
      </c>
    </row>
    <row r="35" spans="2:110" hidden="1" outlineLevel="1">
      <c r="B35" s="54">
        <f t="shared" si="64"/>
        <v>43297</v>
      </c>
      <c r="C35" s="55" t="s">
        <v>1</v>
      </c>
      <c r="D35" s="56">
        <f t="shared" si="65"/>
        <v>43303</v>
      </c>
      <c r="E35" s="52">
        <f t="shared" si="66"/>
        <v>7</v>
      </c>
      <c r="F35" s="53">
        <f t="shared" si="67"/>
        <v>2018</v>
      </c>
      <c r="G35" s="62">
        <f t="shared" si="68"/>
        <v>15</v>
      </c>
      <c r="H35" s="63">
        <f t="shared" si="69"/>
        <v>96</v>
      </c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>
        <v>15</v>
      </c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80"/>
      <c r="AG35" s="87">
        <f t="shared" si="23"/>
        <v>0</v>
      </c>
      <c r="AH35" s="87">
        <f t="shared" si="24"/>
        <v>0</v>
      </c>
      <c r="AI35" s="87">
        <f t="shared" si="25"/>
        <v>0</v>
      </c>
      <c r="AJ35" s="87">
        <f t="shared" si="26"/>
        <v>0</v>
      </c>
      <c r="AK35" s="87">
        <f t="shared" si="27"/>
        <v>0</v>
      </c>
      <c r="AL35" s="87">
        <f t="shared" si="28"/>
        <v>0</v>
      </c>
      <c r="AM35" s="87">
        <f t="shared" si="29"/>
        <v>0</v>
      </c>
      <c r="AN35" s="87">
        <f t="shared" si="30"/>
        <v>0</v>
      </c>
      <c r="AO35" s="87">
        <f t="shared" si="31"/>
        <v>0</v>
      </c>
      <c r="AP35" s="87">
        <f t="shared" si="32"/>
        <v>0</v>
      </c>
      <c r="AQ35" s="87">
        <f t="shared" si="33"/>
        <v>15</v>
      </c>
      <c r="AR35" s="81"/>
      <c r="AS35" s="85">
        <f t="shared" si="34"/>
        <v>0</v>
      </c>
      <c r="AT35" s="85">
        <f t="shared" si="35"/>
        <v>0</v>
      </c>
      <c r="AU35" s="85">
        <f t="shared" si="36"/>
        <v>0</v>
      </c>
      <c r="AV35" s="85">
        <f t="shared" si="37"/>
        <v>0</v>
      </c>
      <c r="AW35" s="85">
        <f t="shared" si="38"/>
        <v>0</v>
      </c>
      <c r="AX35" s="85">
        <f t="shared" si="39"/>
        <v>0</v>
      </c>
      <c r="AY35" s="85">
        <f t="shared" si="40"/>
        <v>0</v>
      </c>
      <c r="AZ35" s="85">
        <f t="shared" si="41"/>
        <v>0</v>
      </c>
      <c r="BA35" s="85">
        <f t="shared" si="42"/>
        <v>0</v>
      </c>
      <c r="BB35" s="85">
        <f t="shared" si="43"/>
        <v>0</v>
      </c>
      <c r="BC35" s="85">
        <f t="shared" si="44"/>
        <v>0</v>
      </c>
      <c r="BD35" s="85">
        <f t="shared" si="45"/>
        <v>0</v>
      </c>
      <c r="BE35" s="85">
        <f t="shared" si="46"/>
        <v>0</v>
      </c>
      <c r="BF35" s="85">
        <f t="shared" si="47"/>
        <v>0</v>
      </c>
      <c r="BG35" s="85">
        <f t="shared" si="48"/>
        <v>0</v>
      </c>
      <c r="BH35" s="85">
        <f t="shared" si="49"/>
        <v>0</v>
      </c>
      <c r="BI35" s="85">
        <f t="shared" si="50"/>
        <v>0</v>
      </c>
      <c r="BJ35" s="85">
        <f t="shared" si="51"/>
        <v>0</v>
      </c>
      <c r="BK35" s="85">
        <f t="shared" si="52"/>
        <v>0</v>
      </c>
      <c r="BL35" s="85">
        <f t="shared" si="53"/>
        <v>0</v>
      </c>
      <c r="BM35" s="85">
        <f t="shared" si="54"/>
        <v>0</v>
      </c>
      <c r="BN35" s="85">
        <f t="shared" si="55"/>
        <v>0</v>
      </c>
      <c r="BO35" s="85">
        <f t="shared" si="56"/>
        <v>0</v>
      </c>
      <c r="BP35" s="85">
        <f t="shared" si="57"/>
        <v>0</v>
      </c>
      <c r="BQ35" s="85">
        <f t="shared" si="58"/>
        <v>0</v>
      </c>
      <c r="BR35" s="85">
        <f t="shared" si="59"/>
        <v>0</v>
      </c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X35" s="35"/>
      <c r="CZ35" s="35"/>
      <c r="DC35" s="57" t="str">
        <f t="shared" si="60"/>
        <v/>
      </c>
      <c r="DD35" s="64" t="str">
        <f t="shared" si="61"/>
        <v/>
      </c>
      <c r="DE35" s="65" t="str">
        <f t="shared" si="62"/>
        <v/>
      </c>
      <c r="DF35" s="66" t="str">
        <f t="shared" si="63"/>
        <v/>
      </c>
    </row>
    <row r="36" spans="2:110" hidden="1" outlineLevel="1">
      <c r="B36" s="54">
        <f t="shared" si="64"/>
        <v>43304</v>
      </c>
      <c r="C36" s="55" t="s">
        <v>1</v>
      </c>
      <c r="D36" s="56">
        <f t="shared" si="65"/>
        <v>43310</v>
      </c>
      <c r="E36" s="52">
        <f t="shared" si="66"/>
        <v>7</v>
      </c>
      <c r="F36" s="53">
        <f t="shared" si="67"/>
        <v>2018</v>
      </c>
      <c r="G36" s="62">
        <f t="shared" si="68"/>
        <v>15</v>
      </c>
      <c r="H36" s="63">
        <f t="shared" si="69"/>
        <v>96</v>
      </c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>
        <v>15</v>
      </c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80"/>
      <c r="AG36" s="87">
        <f t="shared" si="23"/>
        <v>0</v>
      </c>
      <c r="AH36" s="87">
        <f t="shared" si="24"/>
        <v>0</v>
      </c>
      <c r="AI36" s="87">
        <f t="shared" si="25"/>
        <v>0</v>
      </c>
      <c r="AJ36" s="87">
        <f t="shared" si="26"/>
        <v>0</v>
      </c>
      <c r="AK36" s="87">
        <f t="shared" si="27"/>
        <v>0</v>
      </c>
      <c r="AL36" s="87">
        <f t="shared" si="28"/>
        <v>0</v>
      </c>
      <c r="AM36" s="87">
        <f t="shared" si="29"/>
        <v>0</v>
      </c>
      <c r="AN36" s="87">
        <f t="shared" si="30"/>
        <v>0</v>
      </c>
      <c r="AO36" s="87">
        <f t="shared" si="31"/>
        <v>0</v>
      </c>
      <c r="AP36" s="87">
        <f t="shared" si="32"/>
        <v>0</v>
      </c>
      <c r="AQ36" s="87">
        <f t="shared" si="33"/>
        <v>15</v>
      </c>
      <c r="AR36" s="81"/>
      <c r="AS36" s="85">
        <f t="shared" si="34"/>
        <v>0</v>
      </c>
      <c r="AT36" s="85">
        <f t="shared" si="35"/>
        <v>0</v>
      </c>
      <c r="AU36" s="85">
        <f t="shared" si="36"/>
        <v>0</v>
      </c>
      <c r="AV36" s="85">
        <f t="shared" si="37"/>
        <v>0</v>
      </c>
      <c r="AW36" s="85">
        <f t="shared" si="38"/>
        <v>0</v>
      </c>
      <c r="AX36" s="85">
        <f t="shared" si="39"/>
        <v>0</v>
      </c>
      <c r="AY36" s="85">
        <f t="shared" si="40"/>
        <v>0</v>
      </c>
      <c r="AZ36" s="85">
        <f t="shared" si="41"/>
        <v>0</v>
      </c>
      <c r="BA36" s="85">
        <f t="shared" si="42"/>
        <v>0</v>
      </c>
      <c r="BB36" s="85">
        <f t="shared" si="43"/>
        <v>0</v>
      </c>
      <c r="BC36" s="85">
        <f t="shared" si="44"/>
        <v>0</v>
      </c>
      <c r="BD36" s="85">
        <f t="shared" si="45"/>
        <v>0</v>
      </c>
      <c r="BE36" s="85">
        <f t="shared" si="46"/>
        <v>0</v>
      </c>
      <c r="BF36" s="85">
        <f t="shared" si="47"/>
        <v>0</v>
      </c>
      <c r="BG36" s="85">
        <f t="shared" si="48"/>
        <v>0</v>
      </c>
      <c r="BH36" s="85">
        <f t="shared" si="49"/>
        <v>0</v>
      </c>
      <c r="BI36" s="85">
        <f t="shared" si="50"/>
        <v>0</v>
      </c>
      <c r="BJ36" s="85">
        <f t="shared" si="51"/>
        <v>0</v>
      </c>
      <c r="BK36" s="85">
        <f t="shared" si="52"/>
        <v>0</v>
      </c>
      <c r="BL36" s="85">
        <f t="shared" si="53"/>
        <v>0</v>
      </c>
      <c r="BM36" s="85">
        <f t="shared" si="54"/>
        <v>0</v>
      </c>
      <c r="BN36" s="85">
        <f t="shared" si="55"/>
        <v>0</v>
      </c>
      <c r="BO36" s="85">
        <f t="shared" si="56"/>
        <v>0</v>
      </c>
      <c r="BP36" s="85">
        <f t="shared" si="57"/>
        <v>0</v>
      </c>
      <c r="BQ36" s="85">
        <f t="shared" si="58"/>
        <v>0</v>
      </c>
      <c r="BR36" s="85">
        <f t="shared" si="59"/>
        <v>0</v>
      </c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X36" s="35"/>
      <c r="CZ36" s="35"/>
      <c r="DC36" s="57" t="str">
        <f t="shared" si="60"/>
        <v/>
      </c>
      <c r="DD36" s="64" t="str">
        <f t="shared" si="61"/>
        <v/>
      </c>
      <c r="DE36" s="65" t="str">
        <f t="shared" si="62"/>
        <v/>
      </c>
      <c r="DF36" s="66" t="str">
        <f t="shared" si="63"/>
        <v/>
      </c>
    </row>
    <row r="37" spans="2:110" hidden="1" outlineLevel="1">
      <c r="B37" s="54">
        <f t="shared" si="64"/>
        <v>43311</v>
      </c>
      <c r="C37" s="55" t="s">
        <v>1</v>
      </c>
      <c r="D37" s="56">
        <f t="shared" si="65"/>
        <v>43317</v>
      </c>
      <c r="E37" s="52">
        <f t="shared" si="66"/>
        <v>7</v>
      </c>
      <c r="F37" s="53">
        <f t="shared" si="67"/>
        <v>2018</v>
      </c>
      <c r="G37" s="62">
        <f t="shared" si="68"/>
        <v>15</v>
      </c>
      <c r="H37" s="63">
        <f t="shared" si="69"/>
        <v>96</v>
      </c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>
        <v>15</v>
      </c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80"/>
      <c r="AG37" s="87">
        <f t="shared" si="23"/>
        <v>0</v>
      </c>
      <c r="AH37" s="87">
        <f t="shared" si="24"/>
        <v>0</v>
      </c>
      <c r="AI37" s="87">
        <f t="shared" si="25"/>
        <v>0</v>
      </c>
      <c r="AJ37" s="87">
        <f t="shared" si="26"/>
        <v>0</v>
      </c>
      <c r="AK37" s="87">
        <f t="shared" si="27"/>
        <v>0</v>
      </c>
      <c r="AL37" s="87">
        <f t="shared" si="28"/>
        <v>0</v>
      </c>
      <c r="AM37" s="87">
        <f t="shared" si="29"/>
        <v>0</v>
      </c>
      <c r="AN37" s="87">
        <f t="shared" si="30"/>
        <v>0</v>
      </c>
      <c r="AO37" s="87">
        <f t="shared" si="31"/>
        <v>0</v>
      </c>
      <c r="AP37" s="87">
        <f t="shared" si="32"/>
        <v>0</v>
      </c>
      <c r="AQ37" s="87">
        <f t="shared" si="33"/>
        <v>15</v>
      </c>
      <c r="AR37" s="81"/>
      <c r="AS37" s="85">
        <f t="shared" si="34"/>
        <v>0</v>
      </c>
      <c r="AT37" s="85">
        <f t="shared" si="35"/>
        <v>0</v>
      </c>
      <c r="AU37" s="85">
        <f t="shared" si="36"/>
        <v>0</v>
      </c>
      <c r="AV37" s="85">
        <f t="shared" si="37"/>
        <v>0</v>
      </c>
      <c r="AW37" s="85">
        <f t="shared" si="38"/>
        <v>0</v>
      </c>
      <c r="AX37" s="85">
        <f t="shared" si="39"/>
        <v>0</v>
      </c>
      <c r="AY37" s="85">
        <f t="shared" si="40"/>
        <v>0</v>
      </c>
      <c r="AZ37" s="85">
        <f t="shared" si="41"/>
        <v>0</v>
      </c>
      <c r="BA37" s="85">
        <f t="shared" si="42"/>
        <v>0</v>
      </c>
      <c r="BB37" s="85">
        <f t="shared" si="43"/>
        <v>0</v>
      </c>
      <c r="BC37" s="85">
        <f t="shared" si="44"/>
        <v>0</v>
      </c>
      <c r="BD37" s="85">
        <f t="shared" si="45"/>
        <v>0</v>
      </c>
      <c r="BE37" s="85">
        <f t="shared" si="46"/>
        <v>0</v>
      </c>
      <c r="BF37" s="85">
        <f t="shared" si="47"/>
        <v>0</v>
      </c>
      <c r="BG37" s="85">
        <f t="shared" si="48"/>
        <v>0</v>
      </c>
      <c r="BH37" s="85">
        <f t="shared" si="49"/>
        <v>0</v>
      </c>
      <c r="BI37" s="85">
        <f t="shared" si="50"/>
        <v>0</v>
      </c>
      <c r="BJ37" s="85">
        <f t="shared" si="51"/>
        <v>0</v>
      </c>
      <c r="BK37" s="85">
        <f t="shared" si="52"/>
        <v>0</v>
      </c>
      <c r="BL37" s="85">
        <f t="shared" si="53"/>
        <v>0</v>
      </c>
      <c r="BM37" s="85">
        <f t="shared" si="54"/>
        <v>0</v>
      </c>
      <c r="BN37" s="85">
        <f t="shared" si="55"/>
        <v>0</v>
      </c>
      <c r="BO37" s="85">
        <f t="shared" si="56"/>
        <v>0</v>
      </c>
      <c r="BP37" s="85">
        <f t="shared" si="57"/>
        <v>0</v>
      </c>
      <c r="BQ37" s="85">
        <f t="shared" si="58"/>
        <v>0</v>
      </c>
      <c r="BR37" s="85">
        <f t="shared" si="59"/>
        <v>0</v>
      </c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X37" s="35"/>
      <c r="CZ37" s="35"/>
      <c r="DC37" s="57" t="str">
        <f t="shared" si="60"/>
        <v/>
      </c>
      <c r="DD37" s="64" t="str">
        <f t="shared" si="61"/>
        <v/>
      </c>
      <c r="DE37" s="65" t="str">
        <f t="shared" si="62"/>
        <v/>
      </c>
      <c r="DF37" s="66" t="str">
        <f t="shared" si="63"/>
        <v/>
      </c>
    </row>
    <row r="38" spans="2:110" hidden="1" outlineLevel="1">
      <c r="B38" s="54">
        <f t="shared" si="64"/>
        <v>43318</v>
      </c>
      <c r="C38" s="55" t="s">
        <v>1</v>
      </c>
      <c r="D38" s="56">
        <f t="shared" si="65"/>
        <v>43324</v>
      </c>
      <c r="E38" s="52">
        <f t="shared" si="66"/>
        <v>8</v>
      </c>
      <c r="F38" s="53">
        <f t="shared" si="67"/>
        <v>2018</v>
      </c>
      <c r="G38" s="62">
        <f t="shared" si="68"/>
        <v>15</v>
      </c>
      <c r="H38" s="63">
        <f t="shared" si="69"/>
        <v>96</v>
      </c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>
        <v>15</v>
      </c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80"/>
      <c r="AG38" s="87">
        <f t="shared" si="23"/>
        <v>0</v>
      </c>
      <c r="AH38" s="87">
        <f t="shared" si="24"/>
        <v>0</v>
      </c>
      <c r="AI38" s="87">
        <f t="shared" si="25"/>
        <v>0</v>
      </c>
      <c r="AJ38" s="87">
        <f t="shared" si="26"/>
        <v>0</v>
      </c>
      <c r="AK38" s="87">
        <f t="shared" si="27"/>
        <v>0</v>
      </c>
      <c r="AL38" s="87">
        <f t="shared" si="28"/>
        <v>0</v>
      </c>
      <c r="AM38" s="87">
        <f t="shared" si="29"/>
        <v>0</v>
      </c>
      <c r="AN38" s="87">
        <f t="shared" si="30"/>
        <v>0</v>
      </c>
      <c r="AO38" s="87">
        <f t="shared" si="31"/>
        <v>0</v>
      </c>
      <c r="AP38" s="87">
        <f t="shared" si="32"/>
        <v>0</v>
      </c>
      <c r="AQ38" s="87">
        <f t="shared" si="33"/>
        <v>15</v>
      </c>
      <c r="AR38" s="81"/>
      <c r="AS38" s="85">
        <f t="shared" si="34"/>
        <v>0</v>
      </c>
      <c r="AT38" s="85">
        <f t="shared" si="35"/>
        <v>0</v>
      </c>
      <c r="AU38" s="85">
        <f t="shared" si="36"/>
        <v>0</v>
      </c>
      <c r="AV38" s="85">
        <f t="shared" si="37"/>
        <v>0</v>
      </c>
      <c r="AW38" s="85">
        <f t="shared" si="38"/>
        <v>0</v>
      </c>
      <c r="AX38" s="85">
        <f t="shared" si="39"/>
        <v>0</v>
      </c>
      <c r="AY38" s="85">
        <f t="shared" si="40"/>
        <v>0</v>
      </c>
      <c r="AZ38" s="85">
        <f t="shared" si="41"/>
        <v>0</v>
      </c>
      <c r="BA38" s="85">
        <f t="shared" si="42"/>
        <v>0</v>
      </c>
      <c r="BB38" s="85">
        <f t="shared" si="43"/>
        <v>0</v>
      </c>
      <c r="BC38" s="85">
        <f t="shared" si="44"/>
        <v>0</v>
      </c>
      <c r="BD38" s="85">
        <f t="shared" si="45"/>
        <v>0</v>
      </c>
      <c r="BE38" s="85">
        <f t="shared" si="46"/>
        <v>0</v>
      </c>
      <c r="BF38" s="85">
        <f t="shared" si="47"/>
        <v>0</v>
      </c>
      <c r="BG38" s="85">
        <f t="shared" si="48"/>
        <v>0</v>
      </c>
      <c r="BH38" s="85">
        <f t="shared" si="49"/>
        <v>0</v>
      </c>
      <c r="BI38" s="85">
        <f t="shared" si="50"/>
        <v>0</v>
      </c>
      <c r="BJ38" s="85">
        <f t="shared" si="51"/>
        <v>0</v>
      </c>
      <c r="BK38" s="85">
        <f t="shared" si="52"/>
        <v>0</v>
      </c>
      <c r="BL38" s="85">
        <f t="shared" si="53"/>
        <v>0</v>
      </c>
      <c r="BM38" s="85">
        <f t="shared" si="54"/>
        <v>0</v>
      </c>
      <c r="BN38" s="85">
        <f t="shared" si="55"/>
        <v>0</v>
      </c>
      <c r="BO38" s="85">
        <f t="shared" si="56"/>
        <v>0</v>
      </c>
      <c r="BP38" s="85">
        <f t="shared" si="57"/>
        <v>0</v>
      </c>
      <c r="BQ38" s="85">
        <f t="shared" si="58"/>
        <v>0</v>
      </c>
      <c r="BR38" s="85">
        <f t="shared" si="59"/>
        <v>0</v>
      </c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X38" s="35"/>
      <c r="CZ38" s="35"/>
      <c r="DC38" s="57" t="str">
        <f t="shared" si="60"/>
        <v/>
      </c>
      <c r="DD38" s="64" t="str">
        <f t="shared" si="61"/>
        <v/>
      </c>
      <c r="DE38" s="65" t="str">
        <f t="shared" si="62"/>
        <v/>
      </c>
      <c r="DF38" s="66" t="str">
        <f t="shared" si="63"/>
        <v/>
      </c>
    </row>
    <row r="39" spans="2:110" hidden="1" outlineLevel="1">
      <c r="B39" s="54">
        <f t="shared" si="64"/>
        <v>43325</v>
      </c>
      <c r="C39" s="55" t="s">
        <v>1</v>
      </c>
      <c r="D39" s="56">
        <f t="shared" si="65"/>
        <v>43331</v>
      </c>
      <c r="E39" s="52">
        <f t="shared" si="66"/>
        <v>8</v>
      </c>
      <c r="F39" s="53">
        <f t="shared" si="67"/>
        <v>2018</v>
      </c>
      <c r="G39" s="62">
        <f t="shared" si="68"/>
        <v>15</v>
      </c>
      <c r="H39" s="63">
        <f t="shared" si="69"/>
        <v>96</v>
      </c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>
        <v>15</v>
      </c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80"/>
      <c r="AG39" s="87">
        <f t="shared" si="23"/>
        <v>0</v>
      </c>
      <c r="AH39" s="87">
        <f t="shared" si="24"/>
        <v>0</v>
      </c>
      <c r="AI39" s="87">
        <f t="shared" si="25"/>
        <v>0</v>
      </c>
      <c r="AJ39" s="87">
        <f t="shared" si="26"/>
        <v>0</v>
      </c>
      <c r="AK39" s="87">
        <f t="shared" si="27"/>
        <v>0</v>
      </c>
      <c r="AL39" s="87">
        <f t="shared" si="28"/>
        <v>0</v>
      </c>
      <c r="AM39" s="87">
        <f t="shared" si="29"/>
        <v>0</v>
      </c>
      <c r="AN39" s="87">
        <f t="shared" si="30"/>
        <v>0</v>
      </c>
      <c r="AO39" s="87">
        <f t="shared" si="31"/>
        <v>0</v>
      </c>
      <c r="AP39" s="87">
        <f t="shared" si="32"/>
        <v>0</v>
      </c>
      <c r="AQ39" s="87">
        <f t="shared" si="33"/>
        <v>15</v>
      </c>
      <c r="AR39" s="81"/>
      <c r="AS39" s="85">
        <f t="shared" si="34"/>
        <v>0</v>
      </c>
      <c r="AT39" s="85">
        <f t="shared" si="35"/>
        <v>0</v>
      </c>
      <c r="AU39" s="85">
        <f t="shared" si="36"/>
        <v>0</v>
      </c>
      <c r="AV39" s="85">
        <f t="shared" si="37"/>
        <v>0</v>
      </c>
      <c r="AW39" s="85">
        <f t="shared" si="38"/>
        <v>0</v>
      </c>
      <c r="AX39" s="85">
        <f t="shared" si="39"/>
        <v>0</v>
      </c>
      <c r="AY39" s="85">
        <f t="shared" si="40"/>
        <v>0</v>
      </c>
      <c r="AZ39" s="85">
        <f t="shared" si="41"/>
        <v>0</v>
      </c>
      <c r="BA39" s="85">
        <f t="shared" si="42"/>
        <v>0</v>
      </c>
      <c r="BB39" s="85">
        <f t="shared" si="43"/>
        <v>0</v>
      </c>
      <c r="BC39" s="85">
        <f t="shared" si="44"/>
        <v>0</v>
      </c>
      <c r="BD39" s="85">
        <f t="shared" si="45"/>
        <v>0</v>
      </c>
      <c r="BE39" s="85">
        <f t="shared" si="46"/>
        <v>0</v>
      </c>
      <c r="BF39" s="85">
        <f t="shared" si="47"/>
        <v>0</v>
      </c>
      <c r="BG39" s="85">
        <f t="shared" si="48"/>
        <v>0</v>
      </c>
      <c r="BH39" s="85">
        <f t="shared" si="49"/>
        <v>0</v>
      </c>
      <c r="BI39" s="85">
        <f t="shared" si="50"/>
        <v>0</v>
      </c>
      <c r="BJ39" s="85">
        <f t="shared" si="51"/>
        <v>0</v>
      </c>
      <c r="BK39" s="85">
        <f t="shared" si="52"/>
        <v>0</v>
      </c>
      <c r="BL39" s="85">
        <f t="shared" si="53"/>
        <v>0</v>
      </c>
      <c r="BM39" s="85">
        <f t="shared" si="54"/>
        <v>0</v>
      </c>
      <c r="BN39" s="85">
        <f t="shared" si="55"/>
        <v>0</v>
      </c>
      <c r="BO39" s="85">
        <f t="shared" si="56"/>
        <v>0</v>
      </c>
      <c r="BP39" s="85">
        <f t="shared" si="57"/>
        <v>0</v>
      </c>
      <c r="BQ39" s="85">
        <f t="shared" si="58"/>
        <v>0</v>
      </c>
      <c r="BR39" s="85">
        <f t="shared" si="59"/>
        <v>0</v>
      </c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X39" s="35"/>
      <c r="CZ39" s="35"/>
      <c r="DC39" s="57" t="str">
        <f t="shared" si="60"/>
        <v/>
      </c>
      <c r="DD39" s="64" t="str">
        <f t="shared" si="61"/>
        <v/>
      </c>
      <c r="DE39" s="65" t="str">
        <f t="shared" si="62"/>
        <v/>
      </c>
      <c r="DF39" s="66" t="str">
        <f t="shared" si="63"/>
        <v/>
      </c>
    </row>
    <row r="40" spans="2:110" hidden="1" outlineLevel="1">
      <c r="B40" s="54">
        <f t="shared" si="64"/>
        <v>43332</v>
      </c>
      <c r="C40" s="55" t="s">
        <v>1</v>
      </c>
      <c r="D40" s="56">
        <f t="shared" si="65"/>
        <v>43338</v>
      </c>
      <c r="E40" s="52">
        <f t="shared" si="66"/>
        <v>8</v>
      </c>
      <c r="F40" s="53">
        <f t="shared" si="67"/>
        <v>2018</v>
      </c>
      <c r="G40" s="62">
        <f t="shared" si="68"/>
        <v>15</v>
      </c>
      <c r="H40" s="63">
        <f t="shared" si="69"/>
        <v>96</v>
      </c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>
        <v>15</v>
      </c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80"/>
      <c r="AG40" s="87">
        <f t="shared" si="23"/>
        <v>0</v>
      </c>
      <c r="AH40" s="87">
        <f t="shared" si="24"/>
        <v>0</v>
      </c>
      <c r="AI40" s="87">
        <f t="shared" si="25"/>
        <v>0</v>
      </c>
      <c r="AJ40" s="87">
        <f t="shared" si="26"/>
        <v>0</v>
      </c>
      <c r="AK40" s="87">
        <f t="shared" si="27"/>
        <v>0</v>
      </c>
      <c r="AL40" s="87">
        <f t="shared" si="28"/>
        <v>0</v>
      </c>
      <c r="AM40" s="87">
        <f t="shared" si="29"/>
        <v>0</v>
      </c>
      <c r="AN40" s="87">
        <f t="shared" si="30"/>
        <v>0</v>
      </c>
      <c r="AO40" s="87">
        <f t="shared" si="31"/>
        <v>0</v>
      </c>
      <c r="AP40" s="87">
        <f t="shared" si="32"/>
        <v>0</v>
      </c>
      <c r="AQ40" s="87">
        <f t="shared" si="33"/>
        <v>15</v>
      </c>
      <c r="AR40" s="81"/>
      <c r="AS40" s="85">
        <f t="shared" si="34"/>
        <v>0</v>
      </c>
      <c r="AT40" s="85">
        <f t="shared" si="35"/>
        <v>0</v>
      </c>
      <c r="AU40" s="85">
        <f t="shared" si="36"/>
        <v>0</v>
      </c>
      <c r="AV40" s="85">
        <f t="shared" si="37"/>
        <v>0</v>
      </c>
      <c r="AW40" s="85">
        <f t="shared" si="38"/>
        <v>0</v>
      </c>
      <c r="AX40" s="85">
        <f t="shared" si="39"/>
        <v>0</v>
      </c>
      <c r="AY40" s="85">
        <f t="shared" si="40"/>
        <v>0</v>
      </c>
      <c r="AZ40" s="85">
        <f t="shared" si="41"/>
        <v>0</v>
      </c>
      <c r="BA40" s="85">
        <f t="shared" si="42"/>
        <v>0</v>
      </c>
      <c r="BB40" s="85">
        <f t="shared" si="43"/>
        <v>0</v>
      </c>
      <c r="BC40" s="85">
        <f t="shared" si="44"/>
        <v>0</v>
      </c>
      <c r="BD40" s="85">
        <f t="shared" si="45"/>
        <v>0</v>
      </c>
      <c r="BE40" s="85">
        <f t="shared" si="46"/>
        <v>0</v>
      </c>
      <c r="BF40" s="85">
        <f t="shared" si="47"/>
        <v>0</v>
      </c>
      <c r="BG40" s="85">
        <f t="shared" si="48"/>
        <v>0</v>
      </c>
      <c r="BH40" s="85">
        <f t="shared" si="49"/>
        <v>0</v>
      </c>
      <c r="BI40" s="85">
        <f t="shared" si="50"/>
        <v>0</v>
      </c>
      <c r="BJ40" s="85">
        <f t="shared" si="51"/>
        <v>0</v>
      </c>
      <c r="BK40" s="85">
        <f t="shared" si="52"/>
        <v>0</v>
      </c>
      <c r="BL40" s="85">
        <f t="shared" si="53"/>
        <v>0</v>
      </c>
      <c r="BM40" s="85">
        <f t="shared" si="54"/>
        <v>0</v>
      </c>
      <c r="BN40" s="85">
        <f t="shared" si="55"/>
        <v>0</v>
      </c>
      <c r="BO40" s="85">
        <f t="shared" si="56"/>
        <v>0</v>
      </c>
      <c r="BP40" s="85">
        <f t="shared" si="57"/>
        <v>0</v>
      </c>
      <c r="BQ40" s="85">
        <f t="shared" si="58"/>
        <v>0</v>
      </c>
      <c r="BR40" s="85">
        <f t="shared" si="59"/>
        <v>0</v>
      </c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X40" s="35"/>
      <c r="CZ40" s="35"/>
      <c r="DC40" s="57" t="str">
        <f t="shared" si="60"/>
        <v/>
      </c>
      <c r="DD40" s="64" t="str">
        <f t="shared" si="61"/>
        <v/>
      </c>
      <c r="DE40" s="65" t="str">
        <f t="shared" si="62"/>
        <v/>
      </c>
      <c r="DF40" s="66" t="str">
        <f t="shared" si="63"/>
        <v/>
      </c>
    </row>
    <row r="41" spans="2:110" hidden="1" outlineLevel="1">
      <c r="B41" s="54">
        <f t="shared" si="64"/>
        <v>43339</v>
      </c>
      <c r="C41" s="55" t="s">
        <v>1</v>
      </c>
      <c r="D41" s="56">
        <f t="shared" si="65"/>
        <v>43345</v>
      </c>
      <c r="E41" s="52">
        <f t="shared" si="66"/>
        <v>8</v>
      </c>
      <c r="F41" s="53">
        <f t="shared" si="67"/>
        <v>2018</v>
      </c>
      <c r="G41" s="62">
        <f t="shared" si="68"/>
        <v>15</v>
      </c>
      <c r="H41" s="63">
        <f t="shared" si="69"/>
        <v>96</v>
      </c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>
        <v>15</v>
      </c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80"/>
      <c r="AG41" s="87">
        <f t="shared" si="23"/>
        <v>0</v>
      </c>
      <c r="AH41" s="87">
        <f t="shared" si="24"/>
        <v>0</v>
      </c>
      <c r="AI41" s="87">
        <f t="shared" si="25"/>
        <v>0</v>
      </c>
      <c r="AJ41" s="87">
        <f t="shared" si="26"/>
        <v>0</v>
      </c>
      <c r="AK41" s="87">
        <f t="shared" si="27"/>
        <v>0</v>
      </c>
      <c r="AL41" s="87">
        <f t="shared" si="28"/>
        <v>0</v>
      </c>
      <c r="AM41" s="87">
        <f t="shared" si="29"/>
        <v>0</v>
      </c>
      <c r="AN41" s="87">
        <f t="shared" si="30"/>
        <v>0</v>
      </c>
      <c r="AO41" s="87">
        <f t="shared" si="31"/>
        <v>0</v>
      </c>
      <c r="AP41" s="87">
        <f t="shared" si="32"/>
        <v>0</v>
      </c>
      <c r="AQ41" s="87">
        <f t="shared" si="33"/>
        <v>15</v>
      </c>
      <c r="AR41" s="81"/>
      <c r="AS41" s="85">
        <f t="shared" si="34"/>
        <v>0</v>
      </c>
      <c r="AT41" s="85">
        <f t="shared" si="35"/>
        <v>0</v>
      </c>
      <c r="AU41" s="85">
        <f t="shared" si="36"/>
        <v>0</v>
      </c>
      <c r="AV41" s="85">
        <f t="shared" si="37"/>
        <v>0</v>
      </c>
      <c r="AW41" s="85">
        <f t="shared" si="38"/>
        <v>0</v>
      </c>
      <c r="AX41" s="85">
        <f t="shared" si="39"/>
        <v>0</v>
      </c>
      <c r="AY41" s="85">
        <f t="shared" si="40"/>
        <v>0</v>
      </c>
      <c r="AZ41" s="85">
        <f t="shared" si="41"/>
        <v>0</v>
      </c>
      <c r="BA41" s="85">
        <f t="shared" si="42"/>
        <v>0</v>
      </c>
      <c r="BB41" s="85">
        <f t="shared" si="43"/>
        <v>0</v>
      </c>
      <c r="BC41" s="85">
        <f t="shared" si="44"/>
        <v>0</v>
      </c>
      <c r="BD41" s="85">
        <f t="shared" si="45"/>
        <v>0</v>
      </c>
      <c r="BE41" s="85">
        <f t="shared" si="46"/>
        <v>0</v>
      </c>
      <c r="BF41" s="85">
        <f t="shared" si="47"/>
        <v>0</v>
      </c>
      <c r="BG41" s="85">
        <f t="shared" si="48"/>
        <v>0</v>
      </c>
      <c r="BH41" s="85">
        <f t="shared" si="49"/>
        <v>0</v>
      </c>
      <c r="BI41" s="85">
        <f t="shared" si="50"/>
        <v>0</v>
      </c>
      <c r="BJ41" s="85">
        <f t="shared" si="51"/>
        <v>0</v>
      </c>
      <c r="BK41" s="85">
        <f t="shared" si="52"/>
        <v>0</v>
      </c>
      <c r="BL41" s="85">
        <f t="shared" si="53"/>
        <v>0</v>
      </c>
      <c r="BM41" s="85">
        <f t="shared" si="54"/>
        <v>0</v>
      </c>
      <c r="BN41" s="85">
        <f t="shared" si="55"/>
        <v>0</v>
      </c>
      <c r="BO41" s="85">
        <f t="shared" si="56"/>
        <v>0</v>
      </c>
      <c r="BP41" s="85">
        <f t="shared" si="57"/>
        <v>0</v>
      </c>
      <c r="BQ41" s="85">
        <f t="shared" si="58"/>
        <v>0</v>
      </c>
      <c r="BR41" s="85">
        <f t="shared" si="59"/>
        <v>0</v>
      </c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U41" s="30">
        <f>B41+5</f>
        <v>43344</v>
      </c>
      <c r="CV41" s="26" t="s">
        <v>6</v>
      </c>
      <c r="CW41">
        <v>7</v>
      </c>
      <c r="CX41" s="35">
        <v>43344</v>
      </c>
      <c r="CY41" s="26" t="s">
        <v>6</v>
      </c>
      <c r="CZ41" s="35">
        <f>B58</f>
        <v>43458</v>
      </c>
      <c r="DA41">
        <v>92</v>
      </c>
      <c r="DC41" s="57" t="str">
        <f t="shared" si="60"/>
        <v/>
      </c>
      <c r="DD41" s="64" t="str">
        <f t="shared" si="61"/>
        <v/>
      </c>
      <c r="DE41" s="65" t="str">
        <f t="shared" si="62"/>
        <v/>
      </c>
      <c r="DF41" s="66" t="str">
        <f t="shared" si="63"/>
        <v/>
      </c>
    </row>
    <row r="42" spans="2:110" hidden="1" outlineLevel="1">
      <c r="B42" s="54">
        <f t="shared" si="64"/>
        <v>43346</v>
      </c>
      <c r="C42" s="55" t="s">
        <v>1</v>
      </c>
      <c r="D42" s="56">
        <f t="shared" si="65"/>
        <v>43352</v>
      </c>
      <c r="E42" s="52">
        <f t="shared" si="66"/>
        <v>9</v>
      </c>
      <c r="F42" s="53">
        <f t="shared" si="67"/>
        <v>2018</v>
      </c>
      <c r="G42" s="62">
        <f t="shared" si="68"/>
        <v>15</v>
      </c>
      <c r="H42" s="63">
        <f t="shared" si="69"/>
        <v>96</v>
      </c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>
        <v>15</v>
      </c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80"/>
      <c r="AG42" s="87">
        <f t="shared" si="23"/>
        <v>0</v>
      </c>
      <c r="AH42" s="87">
        <f t="shared" si="24"/>
        <v>0</v>
      </c>
      <c r="AI42" s="87">
        <f t="shared" si="25"/>
        <v>0</v>
      </c>
      <c r="AJ42" s="87">
        <f t="shared" si="26"/>
        <v>0</v>
      </c>
      <c r="AK42" s="87">
        <f t="shared" si="27"/>
        <v>0</v>
      </c>
      <c r="AL42" s="87">
        <f t="shared" si="28"/>
        <v>0</v>
      </c>
      <c r="AM42" s="87">
        <f t="shared" si="29"/>
        <v>0</v>
      </c>
      <c r="AN42" s="87">
        <f t="shared" si="30"/>
        <v>0</v>
      </c>
      <c r="AO42" s="87">
        <f t="shared" si="31"/>
        <v>0</v>
      </c>
      <c r="AP42" s="87">
        <f t="shared" si="32"/>
        <v>0</v>
      </c>
      <c r="AQ42" s="87">
        <f t="shared" si="33"/>
        <v>15</v>
      </c>
      <c r="AR42" s="81"/>
      <c r="AS42" s="85">
        <f t="shared" si="34"/>
        <v>0</v>
      </c>
      <c r="AT42" s="85">
        <f t="shared" si="35"/>
        <v>0</v>
      </c>
      <c r="AU42" s="85">
        <f t="shared" si="36"/>
        <v>0</v>
      </c>
      <c r="AV42" s="85">
        <f t="shared" si="37"/>
        <v>0</v>
      </c>
      <c r="AW42" s="85">
        <f t="shared" si="38"/>
        <v>0</v>
      </c>
      <c r="AX42" s="85">
        <f t="shared" si="39"/>
        <v>0</v>
      </c>
      <c r="AY42" s="85">
        <f t="shared" si="40"/>
        <v>0</v>
      </c>
      <c r="AZ42" s="85">
        <f t="shared" si="41"/>
        <v>0</v>
      </c>
      <c r="BA42" s="85">
        <f t="shared" si="42"/>
        <v>0</v>
      </c>
      <c r="BB42" s="85">
        <f t="shared" si="43"/>
        <v>0</v>
      </c>
      <c r="BC42" s="85">
        <f t="shared" si="44"/>
        <v>0</v>
      </c>
      <c r="BD42" s="85">
        <f t="shared" si="45"/>
        <v>0</v>
      </c>
      <c r="BE42" s="85">
        <f t="shared" si="46"/>
        <v>0</v>
      </c>
      <c r="BF42" s="85">
        <f t="shared" si="47"/>
        <v>0</v>
      </c>
      <c r="BG42" s="85">
        <f t="shared" si="48"/>
        <v>0</v>
      </c>
      <c r="BH42" s="85">
        <f t="shared" si="49"/>
        <v>0</v>
      </c>
      <c r="BI42" s="85">
        <f t="shared" si="50"/>
        <v>0</v>
      </c>
      <c r="BJ42" s="85">
        <f t="shared" si="51"/>
        <v>0</v>
      </c>
      <c r="BK42" s="85">
        <f t="shared" si="52"/>
        <v>0</v>
      </c>
      <c r="BL42" s="85">
        <f t="shared" si="53"/>
        <v>0</v>
      </c>
      <c r="BM42" s="85">
        <f t="shared" si="54"/>
        <v>0</v>
      </c>
      <c r="BN42" s="85">
        <f t="shared" si="55"/>
        <v>0</v>
      </c>
      <c r="BO42" s="85">
        <f t="shared" si="56"/>
        <v>0</v>
      </c>
      <c r="BP42" s="85">
        <f t="shared" si="57"/>
        <v>0</v>
      </c>
      <c r="BQ42" s="85">
        <f t="shared" si="58"/>
        <v>0</v>
      </c>
      <c r="BR42" s="85">
        <f t="shared" si="59"/>
        <v>0</v>
      </c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X42" s="35" t="s">
        <v>12</v>
      </c>
      <c r="CZ42" s="35"/>
      <c r="DC42" s="57" t="str">
        <f t="shared" si="60"/>
        <v/>
      </c>
      <c r="DD42" s="64" t="str">
        <f t="shared" si="61"/>
        <v/>
      </c>
      <c r="DE42" s="65" t="str">
        <f t="shared" si="62"/>
        <v/>
      </c>
      <c r="DF42" s="66" t="str">
        <f t="shared" si="63"/>
        <v/>
      </c>
    </row>
    <row r="43" spans="2:110" hidden="1" outlineLevel="1">
      <c r="B43" s="54">
        <f t="shared" si="64"/>
        <v>43353</v>
      </c>
      <c r="C43" s="55" t="s">
        <v>1</v>
      </c>
      <c r="D43" s="56">
        <f t="shared" si="65"/>
        <v>43359</v>
      </c>
      <c r="E43" s="52">
        <f t="shared" si="66"/>
        <v>9</v>
      </c>
      <c r="F43" s="53">
        <f t="shared" si="67"/>
        <v>2018</v>
      </c>
      <c r="G43" s="62">
        <f t="shared" si="68"/>
        <v>15</v>
      </c>
      <c r="H43" s="63">
        <f t="shared" si="69"/>
        <v>96</v>
      </c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>
        <v>15</v>
      </c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80"/>
      <c r="AG43" s="87">
        <f t="shared" si="23"/>
        <v>0</v>
      </c>
      <c r="AH43" s="87">
        <f t="shared" si="24"/>
        <v>0</v>
      </c>
      <c r="AI43" s="87">
        <f t="shared" si="25"/>
        <v>0</v>
      </c>
      <c r="AJ43" s="87">
        <f t="shared" si="26"/>
        <v>0</v>
      </c>
      <c r="AK43" s="87">
        <f t="shared" si="27"/>
        <v>0</v>
      </c>
      <c r="AL43" s="87">
        <f t="shared" si="28"/>
        <v>0</v>
      </c>
      <c r="AM43" s="87">
        <f t="shared" si="29"/>
        <v>0</v>
      </c>
      <c r="AN43" s="87">
        <f t="shared" si="30"/>
        <v>0</v>
      </c>
      <c r="AO43" s="87">
        <f t="shared" si="31"/>
        <v>0</v>
      </c>
      <c r="AP43" s="87">
        <f t="shared" si="32"/>
        <v>0</v>
      </c>
      <c r="AQ43" s="87">
        <f t="shared" si="33"/>
        <v>15</v>
      </c>
      <c r="AR43" s="81"/>
      <c r="AS43" s="85">
        <f t="shared" si="34"/>
        <v>0</v>
      </c>
      <c r="AT43" s="85">
        <f t="shared" si="35"/>
        <v>0</v>
      </c>
      <c r="AU43" s="85">
        <f t="shared" si="36"/>
        <v>0</v>
      </c>
      <c r="AV43" s="85">
        <f t="shared" si="37"/>
        <v>0</v>
      </c>
      <c r="AW43" s="85">
        <f t="shared" si="38"/>
        <v>0</v>
      </c>
      <c r="AX43" s="85">
        <f t="shared" si="39"/>
        <v>0</v>
      </c>
      <c r="AY43" s="85">
        <f t="shared" si="40"/>
        <v>0</v>
      </c>
      <c r="AZ43" s="85">
        <f t="shared" si="41"/>
        <v>0</v>
      </c>
      <c r="BA43" s="85">
        <f t="shared" si="42"/>
        <v>0</v>
      </c>
      <c r="BB43" s="85">
        <f t="shared" si="43"/>
        <v>0</v>
      </c>
      <c r="BC43" s="85">
        <f t="shared" si="44"/>
        <v>0</v>
      </c>
      <c r="BD43" s="85">
        <f t="shared" si="45"/>
        <v>0</v>
      </c>
      <c r="BE43" s="85">
        <f t="shared" si="46"/>
        <v>0</v>
      </c>
      <c r="BF43" s="85">
        <f t="shared" si="47"/>
        <v>0</v>
      </c>
      <c r="BG43" s="85">
        <f t="shared" si="48"/>
        <v>0</v>
      </c>
      <c r="BH43" s="85">
        <f t="shared" si="49"/>
        <v>0</v>
      </c>
      <c r="BI43" s="85">
        <f t="shared" si="50"/>
        <v>0</v>
      </c>
      <c r="BJ43" s="85">
        <f t="shared" si="51"/>
        <v>0</v>
      </c>
      <c r="BK43" s="85">
        <f t="shared" si="52"/>
        <v>0</v>
      </c>
      <c r="BL43" s="85">
        <f t="shared" si="53"/>
        <v>0</v>
      </c>
      <c r="BM43" s="85">
        <f t="shared" si="54"/>
        <v>0</v>
      </c>
      <c r="BN43" s="85">
        <f t="shared" si="55"/>
        <v>0</v>
      </c>
      <c r="BO43" s="85">
        <f t="shared" si="56"/>
        <v>0</v>
      </c>
      <c r="BP43" s="85">
        <f t="shared" si="57"/>
        <v>0</v>
      </c>
      <c r="BQ43" s="85">
        <f t="shared" si="58"/>
        <v>0</v>
      </c>
      <c r="BR43" s="85">
        <f t="shared" si="59"/>
        <v>0</v>
      </c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X43" s="35" t="s">
        <v>12</v>
      </c>
      <c r="CZ43" s="35"/>
      <c r="DC43" s="57" t="str">
        <f t="shared" si="60"/>
        <v/>
      </c>
      <c r="DD43" s="64" t="str">
        <f t="shared" si="61"/>
        <v/>
      </c>
      <c r="DE43" s="65" t="str">
        <f t="shared" si="62"/>
        <v/>
      </c>
      <c r="DF43" s="66" t="str">
        <f t="shared" si="63"/>
        <v/>
      </c>
    </row>
    <row r="44" spans="2:110" hidden="1" outlineLevel="1">
      <c r="B44" s="54">
        <f t="shared" si="64"/>
        <v>43360</v>
      </c>
      <c r="C44" s="55" t="s">
        <v>1</v>
      </c>
      <c r="D44" s="56">
        <f t="shared" si="65"/>
        <v>43366</v>
      </c>
      <c r="E44" s="52">
        <f t="shared" si="66"/>
        <v>9</v>
      </c>
      <c r="F44" s="53">
        <f t="shared" si="67"/>
        <v>2018</v>
      </c>
      <c r="G44" s="62">
        <f t="shared" si="68"/>
        <v>15</v>
      </c>
      <c r="H44" s="63">
        <f t="shared" si="69"/>
        <v>96</v>
      </c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>
        <v>15</v>
      </c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80"/>
      <c r="AG44" s="87">
        <f t="shared" si="23"/>
        <v>0</v>
      </c>
      <c r="AH44" s="87">
        <f t="shared" si="24"/>
        <v>0</v>
      </c>
      <c r="AI44" s="87">
        <f t="shared" si="25"/>
        <v>0</v>
      </c>
      <c r="AJ44" s="87">
        <f t="shared" si="26"/>
        <v>0</v>
      </c>
      <c r="AK44" s="87">
        <f t="shared" si="27"/>
        <v>0</v>
      </c>
      <c r="AL44" s="87">
        <f t="shared" si="28"/>
        <v>0</v>
      </c>
      <c r="AM44" s="87">
        <f t="shared" si="29"/>
        <v>0</v>
      </c>
      <c r="AN44" s="87">
        <f t="shared" si="30"/>
        <v>0</v>
      </c>
      <c r="AO44" s="87">
        <f t="shared" si="31"/>
        <v>0</v>
      </c>
      <c r="AP44" s="87">
        <f t="shared" si="32"/>
        <v>0</v>
      </c>
      <c r="AQ44" s="87">
        <f t="shared" si="33"/>
        <v>15</v>
      </c>
      <c r="AR44" s="81"/>
      <c r="AS44" s="85">
        <f t="shared" si="34"/>
        <v>0</v>
      </c>
      <c r="AT44" s="85">
        <f t="shared" si="35"/>
        <v>0</v>
      </c>
      <c r="AU44" s="85">
        <f t="shared" si="36"/>
        <v>0</v>
      </c>
      <c r="AV44" s="85">
        <f t="shared" si="37"/>
        <v>0</v>
      </c>
      <c r="AW44" s="85">
        <f t="shared" si="38"/>
        <v>0</v>
      </c>
      <c r="AX44" s="85">
        <f t="shared" si="39"/>
        <v>0</v>
      </c>
      <c r="AY44" s="85">
        <f t="shared" si="40"/>
        <v>0</v>
      </c>
      <c r="AZ44" s="85">
        <f t="shared" si="41"/>
        <v>0</v>
      </c>
      <c r="BA44" s="85">
        <f t="shared" si="42"/>
        <v>0</v>
      </c>
      <c r="BB44" s="85">
        <f t="shared" si="43"/>
        <v>0</v>
      </c>
      <c r="BC44" s="85">
        <f t="shared" si="44"/>
        <v>0</v>
      </c>
      <c r="BD44" s="85">
        <f t="shared" si="45"/>
        <v>0</v>
      </c>
      <c r="BE44" s="85">
        <f t="shared" si="46"/>
        <v>0</v>
      </c>
      <c r="BF44" s="85">
        <f t="shared" si="47"/>
        <v>0</v>
      </c>
      <c r="BG44" s="85">
        <f t="shared" si="48"/>
        <v>0</v>
      </c>
      <c r="BH44" s="85">
        <f t="shared" si="49"/>
        <v>0</v>
      </c>
      <c r="BI44" s="85">
        <f t="shared" si="50"/>
        <v>0</v>
      </c>
      <c r="BJ44" s="85">
        <f t="shared" si="51"/>
        <v>0</v>
      </c>
      <c r="BK44" s="85">
        <f t="shared" si="52"/>
        <v>0</v>
      </c>
      <c r="BL44" s="85">
        <f t="shared" si="53"/>
        <v>0</v>
      </c>
      <c r="BM44" s="85">
        <f t="shared" si="54"/>
        <v>0</v>
      </c>
      <c r="BN44" s="85">
        <f t="shared" si="55"/>
        <v>0</v>
      </c>
      <c r="BO44" s="85">
        <f t="shared" si="56"/>
        <v>0</v>
      </c>
      <c r="BP44" s="85">
        <f t="shared" si="57"/>
        <v>0</v>
      </c>
      <c r="BQ44" s="85">
        <f t="shared" si="58"/>
        <v>0</v>
      </c>
      <c r="BR44" s="85">
        <f t="shared" si="59"/>
        <v>0</v>
      </c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U44" s="30">
        <v>43366</v>
      </c>
      <c r="CV44" t="s">
        <v>8</v>
      </c>
      <c r="CW44">
        <v>8</v>
      </c>
      <c r="CX44" s="35">
        <v>43366</v>
      </c>
      <c r="CY44" t="s">
        <v>8</v>
      </c>
      <c r="CZ44" s="35">
        <f>B61</f>
        <v>43479</v>
      </c>
      <c r="DA44">
        <v>93</v>
      </c>
      <c r="DC44" s="57" t="str">
        <f t="shared" si="60"/>
        <v/>
      </c>
      <c r="DD44" s="64" t="str">
        <f t="shared" si="61"/>
        <v/>
      </c>
      <c r="DE44" s="65" t="str">
        <f t="shared" si="62"/>
        <v/>
      </c>
      <c r="DF44" s="66" t="str">
        <f t="shared" si="63"/>
        <v/>
      </c>
    </row>
    <row r="45" spans="2:110" hidden="1" outlineLevel="1">
      <c r="B45" s="54">
        <f t="shared" si="64"/>
        <v>43367</v>
      </c>
      <c r="C45" s="55" t="s">
        <v>1</v>
      </c>
      <c r="D45" s="56">
        <f t="shared" si="65"/>
        <v>43373</v>
      </c>
      <c r="E45" s="52">
        <f t="shared" si="66"/>
        <v>9</v>
      </c>
      <c r="F45" s="53">
        <f t="shared" si="67"/>
        <v>2018</v>
      </c>
      <c r="G45" s="62">
        <f t="shared" si="68"/>
        <v>15</v>
      </c>
      <c r="H45" s="63">
        <f t="shared" si="69"/>
        <v>96</v>
      </c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>
        <v>15</v>
      </c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80"/>
      <c r="AG45" s="87">
        <f t="shared" si="23"/>
        <v>0</v>
      </c>
      <c r="AH45" s="87">
        <f t="shared" si="24"/>
        <v>0</v>
      </c>
      <c r="AI45" s="87">
        <f t="shared" si="25"/>
        <v>0</v>
      </c>
      <c r="AJ45" s="87">
        <f t="shared" si="26"/>
        <v>0</v>
      </c>
      <c r="AK45" s="87">
        <f t="shared" si="27"/>
        <v>0</v>
      </c>
      <c r="AL45" s="87">
        <f t="shared" si="28"/>
        <v>0</v>
      </c>
      <c r="AM45" s="87">
        <f t="shared" si="29"/>
        <v>0</v>
      </c>
      <c r="AN45" s="87">
        <f t="shared" si="30"/>
        <v>0</v>
      </c>
      <c r="AO45" s="87">
        <f t="shared" si="31"/>
        <v>0</v>
      </c>
      <c r="AP45" s="87">
        <f t="shared" si="32"/>
        <v>0</v>
      </c>
      <c r="AQ45" s="87">
        <f t="shared" si="33"/>
        <v>15</v>
      </c>
      <c r="AR45" s="81"/>
      <c r="AS45" s="85">
        <f t="shared" si="34"/>
        <v>0</v>
      </c>
      <c r="AT45" s="85">
        <f t="shared" si="35"/>
        <v>0</v>
      </c>
      <c r="AU45" s="85">
        <f t="shared" si="36"/>
        <v>0</v>
      </c>
      <c r="AV45" s="85">
        <f t="shared" si="37"/>
        <v>0</v>
      </c>
      <c r="AW45" s="85">
        <f t="shared" si="38"/>
        <v>0</v>
      </c>
      <c r="AX45" s="85">
        <f t="shared" si="39"/>
        <v>0</v>
      </c>
      <c r="AY45" s="85">
        <f t="shared" si="40"/>
        <v>0</v>
      </c>
      <c r="AZ45" s="85">
        <f t="shared" si="41"/>
        <v>0</v>
      </c>
      <c r="BA45" s="85">
        <f t="shared" si="42"/>
        <v>0</v>
      </c>
      <c r="BB45" s="85">
        <f t="shared" si="43"/>
        <v>0</v>
      </c>
      <c r="BC45" s="85">
        <f t="shared" si="44"/>
        <v>0</v>
      </c>
      <c r="BD45" s="85">
        <f t="shared" si="45"/>
        <v>0</v>
      </c>
      <c r="BE45" s="85">
        <f t="shared" si="46"/>
        <v>0</v>
      </c>
      <c r="BF45" s="85">
        <f t="shared" si="47"/>
        <v>0</v>
      </c>
      <c r="BG45" s="85">
        <f t="shared" si="48"/>
        <v>0</v>
      </c>
      <c r="BH45" s="85">
        <f t="shared" si="49"/>
        <v>0</v>
      </c>
      <c r="BI45" s="85">
        <f t="shared" si="50"/>
        <v>0</v>
      </c>
      <c r="BJ45" s="85">
        <f t="shared" si="51"/>
        <v>0</v>
      </c>
      <c r="BK45" s="85">
        <f t="shared" si="52"/>
        <v>0</v>
      </c>
      <c r="BL45" s="85">
        <f t="shared" si="53"/>
        <v>0</v>
      </c>
      <c r="BM45" s="85">
        <f t="shared" si="54"/>
        <v>0</v>
      </c>
      <c r="BN45" s="85">
        <f t="shared" si="55"/>
        <v>0</v>
      </c>
      <c r="BO45" s="85">
        <f t="shared" si="56"/>
        <v>0</v>
      </c>
      <c r="BP45" s="85">
        <f t="shared" si="57"/>
        <v>0</v>
      </c>
      <c r="BQ45" s="85">
        <f t="shared" si="58"/>
        <v>0</v>
      </c>
      <c r="BR45" s="85">
        <f t="shared" si="59"/>
        <v>0</v>
      </c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X45" s="35" t="s">
        <v>12</v>
      </c>
      <c r="CZ45" s="35"/>
      <c r="DC45" s="57" t="str">
        <f t="shared" si="60"/>
        <v/>
      </c>
      <c r="DD45" s="64" t="str">
        <f t="shared" si="61"/>
        <v/>
      </c>
      <c r="DE45" s="65" t="str">
        <f t="shared" si="62"/>
        <v/>
      </c>
      <c r="DF45" s="66" t="str">
        <f t="shared" si="63"/>
        <v/>
      </c>
    </row>
    <row r="46" spans="2:110" hidden="1" outlineLevel="1">
      <c r="B46" s="54">
        <f t="shared" si="64"/>
        <v>43374</v>
      </c>
      <c r="C46" s="55" t="s">
        <v>1</v>
      </c>
      <c r="D46" s="56">
        <f t="shared" si="65"/>
        <v>43380</v>
      </c>
      <c r="E46" s="52">
        <f t="shared" si="66"/>
        <v>10</v>
      </c>
      <c r="F46" s="53">
        <f t="shared" si="67"/>
        <v>2018</v>
      </c>
      <c r="G46" s="62">
        <f t="shared" si="68"/>
        <v>15</v>
      </c>
      <c r="H46" s="63">
        <f t="shared" si="69"/>
        <v>96</v>
      </c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>
        <v>15</v>
      </c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80"/>
      <c r="AG46" s="87">
        <f t="shared" si="23"/>
        <v>0</v>
      </c>
      <c r="AH46" s="87">
        <f t="shared" si="24"/>
        <v>0</v>
      </c>
      <c r="AI46" s="87">
        <f t="shared" si="25"/>
        <v>0</v>
      </c>
      <c r="AJ46" s="87">
        <f t="shared" si="26"/>
        <v>0</v>
      </c>
      <c r="AK46" s="87">
        <f t="shared" si="27"/>
        <v>0</v>
      </c>
      <c r="AL46" s="87">
        <f t="shared" si="28"/>
        <v>0</v>
      </c>
      <c r="AM46" s="87">
        <f t="shared" si="29"/>
        <v>0</v>
      </c>
      <c r="AN46" s="87">
        <f t="shared" si="30"/>
        <v>0</v>
      </c>
      <c r="AO46" s="87">
        <f t="shared" si="31"/>
        <v>0</v>
      </c>
      <c r="AP46" s="87">
        <f t="shared" si="32"/>
        <v>0</v>
      </c>
      <c r="AQ46" s="87">
        <f t="shared" si="33"/>
        <v>15</v>
      </c>
      <c r="AR46" s="81"/>
      <c r="AS46" s="85">
        <f t="shared" si="34"/>
        <v>0</v>
      </c>
      <c r="AT46" s="85">
        <f t="shared" si="35"/>
        <v>0</v>
      </c>
      <c r="AU46" s="85">
        <f t="shared" si="36"/>
        <v>0</v>
      </c>
      <c r="AV46" s="85">
        <f t="shared" si="37"/>
        <v>0</v>
      </c>
      <c r="AW46" s="85">
        <f t="shared" si="38"/>
        <v>0</v>
      </c>
      <c r="AX46" s="85">
        <f t="shared" si="39"/>
        <v>0</v>
      </c>
      <c r="AY46" s="85">
        <f t="shared" si="40"/>
        <v>0</v>
      </c>
      <c r="AZ46" s="85">
        <f t="shared" si="41"/>
        <v>0</v>
      </c>
      <c r="BA46" s="85">
        <f t="shared" si="42"/>
        <v>0</v>
      </c>
      <c r="BB46" s="85">
        <f t="shared" si="43"/>
        <v>0</v>
      </c>
      <c r="BC46" s="85">
        <f t="shared" si="44"/>
        <v>0</v>
      </c>
      <c r="BD46" s="85">
        <f t="shared" si="45"/>
        <v>0</v>
      </c>
      <c r="BE46" s="85">
        <f t="shared" si="46"/>
        <v>0</v>
      </c>
      <c r="BF46" s="85">
        <f t="shared" si="47"/>
        <v>0</v>
      </c>
      <c r="BG46" s="85">
        <f t="shared" si="48"/>
        <v>0</v>
      </c>
      <c r="BH46" s="85">
        <f t="shared" si="49"/>
        <v>0</v>
      </c>
      <c r="BI46" s="85">
        <f t="shared" si="50"/>
        <v>0</v>
      </c>
      <c r="BJ46" s="85">
        <f t="shared" si="51"/>
        <v>0</v>
      </c>
      <c r="BK46" s="85">
        <f t="shared" si="52"/>
        <v>0</v>
      </c>
      <c r="BL46" s="85">
        <f t="shared" si="53"/>
        <v>0</v>
      </c>
      <c r="BM46" s="85">
        <f t="shared" si="54"/>
        <v>0</v>
      </c>
      <c r="BN46" s="85">
        <f t="shared" si="55"/>
        <v>0</v>
      </c>
      <c r="BO46" s="85">
        <f t="shared" si="56"/>
        <v>0</v>
      </c>
      <c r="BP46" s="85">
        <f t="shared" si="57"/>
        <v>0</v>
      </c>
      <c r="BQ46" s="85">
        <f t="shared" si="58"/>
        <v>0</v>
      </c>
      <c r="BR46" s="85">
        <f t="shared" si="59"/>
        <v>0</v>
      </c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X46" s="35" t="s">
        <v>12</v>
      </c>
      <c r="CZ46" s="35"/>
      <c r="DC46" s="57" t="str">
        <f t="shared" si="60"/>
        <v/>
      </c>
      <c r="DD46" s="64" t="str">
        <f t="shared" si="61"/>
        <v/>
      </c>
      <c r="DE46" s="65" t="str">
        <f t="shared" si="62"/>
        <v/>
      </c>
      <c r="DF46" s="66" t="str">
        <f t="shared" si="63"/>
        <v/>
      </c>
    </row>
    <row r="47" spans="2:110" hidden="1" outlineLevel="1">
      <c r="B47" s="54">
        <f t="shared" si="64"/>
        <v>43381</v>
      </c>
      <c r="C47" s="55" t="s">
        <v>1</v>
      </c>
      <c r="D47" s="56">
        <f t="shared" si="65"/>
        <v>43387</v>
      </c>
      <c r="E47" s="52">
        <f t="shared" si="66"/>
        <v>10</v>
      </c>
      <c r="F47" s="53">
        <f t="shared" si="67"/>
        <v>2018</v>
      </c>
      <c r="G47" s="62">
        <f t="shared" si="68"/>
        <v>15</v>
      </c>
      <c r="H47" s="63">
        <f t="shared" si="69"/>
        <v>96</v>
      </c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>
        <v>15</v>
      </c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80"/>
      <c r="AG47" s="87">
        <f t="shared" si="23"/>
        <v>0</v>
      </c>
      <c r="AH47" s="87">
        <f t="shared" si="24"/>
        <v>0</v>
      </c>
      <c r="AI47" s="87">
        <f t="shared" si="25"/>
        <v>0</v>
      </c>
      <c r="AJ47" s="87">
        <f t="shared" si="26"/>
        <v>0</v>
      </c>
      <c r="AK47" s="87">
        <f t="shared" si="27"/>
        <v>0</v>
      </c>
      <c r="AL47" s="87">
        <f t="shared" si="28"/>
        <v>0</v>
      </c>
      <c r="AM47" s="87">
        <f t="shared" si="29"/>
        <v>0</v>
      </c>
      <c r="AN47" s="87">
        <f t="shared" si="30"/>
        <v>0</v>
      </c>
      <c r="AO47" s="87">
        <f t="shared" si="31"/>
        <v>0</v>
      </c>
      <c r="AP47" s="87">
        <f t="shared" si="32"/>
        <v>0</v>
      </c>
      <c r="AQ47" s="87">
        <f t="shared" si="33"/>
        <v>15</v>
      </c>
      <c r="AR47" s="81"/>
      <c r="AS47" s="85">
        <f t="shared" si="34"/>
        <v>0</v>
      </c>
      <c r="AT47" s="85">
        <f t="shared" si="35"/>
        <v>0</v>
      </c>
      <c r="AU47" s="85">
        <f t="shared" si="36"/>
        <v>0</v>
      </c>
      <c r="AV47" s="85">
        <f t="shared" si="37"/>
        <v>0</v>
      </c>
      <c r="AW47" s="85">
        <f t="shared" si="38"/>
        <v>0</v>
      </c>
      <c r="AX47" s="85">
        <f t="shared" si="39"/>
        <v>0</v>
      </c>
      <c r="AY47" s="85">
        <f t="shared" si="40"/>
        <v>0</v>
      </c>
      <c r="AZ47" s="85">
        <f t="shared" si="41"/>
        <v>0</v>
      </c>
      <c r="BA47" s="85">
        <f t="shared" si="42"/>
        <v>0</v>
      </c>
      <c r="BB47" s="85">
        <f t="shared" si="43"/>
        <v>0</v>
      </c>
      <c r="BC47" s="85">
        <f t="shared" si="44"/>
        <v>0</v>
      </c>
      <c r="BD47" s="85">
        <f t="shared" si="45"/>
        <v>0</v>
      </c>
      <c r="BE47" s="85">
        <f t="shared" si="46"/>
        <v>0</v>
      </c>
      <c r="BF47" s="85">
        <f t="shared" si="47"/>
        <v>0</v>
      </c>
      <c r="BG47" s="85">
        <f t="shared" si="48"/>
        <v>0</v>
      </c>
      <c r="BH47" s="85">
        <f t="shared" si="49"/>
        <v>0</v>
      </c>
      <c r="BI47" s="85">
        <f t="shared" si="50"/>
        <v>0</v>
      </c>
      <c r="BJ47" s="85">
        <f t="shared" si="51"/>
        <v>0</v>
      </c>
      <c r="BK47" s="85">
        <f t="shared" si="52"/>
        <v>0</v>
      </c>
      <c r="BL47" s="85">
        <f t="shared" si="53"/>
        <v>0</v>
      </c>
      <c r="BM47" s="85">
        <f t="shared" si="54"/>
        <v>0</v>
      </c>
      <c r="BN47" s="85">
        <f t="shared" si="55"/>
        <v>0</v>
      </c>
      <c r="BO47" s="85">
        <f t="shared" si="56"/>
        <v>0</v>
      </c>
      <c r="BP47" s="85">
        <f t="shared" si="57"/>
        <v>0</v>
      </c>
      <c r="BQ47" s="85">
        <f t="shared" si="58"/>
        <v>0</v>
      </c>
      <c r="BR47" s="85">
        <f t="shared" si="59"/>
        <v>0</v>
      </c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U47" s="30">
        <f>B47+2</f>
        <v>43383</v>
      </c>
      <c r="CV47" t="s">
        <v>7</v>
      </c>
      <c r="CW47">
        <v>16</v>
      </c>
      <c r="CX47" s="35">
        <v>43383</v>
      </c>
      <c r="CY47" t="s">
        <v>7</v>
      </c>
      <c r="CZ47" s="35">
        <f>B60</f>
        <v>43472</v>
      </c>
      <c r="DA47">
        <v>94</v>
      </c>
      <c r="DC47" s="57" t="str">
        <f t="shared" si="60"/>
        <v/>
      </c>
      <c r="DD47" s="64" t="str">
        <f t="shared" si="61"/>
        <v/>
      </c>
      <c r="DE47" s="65" t="str">
        <f t="shared" si="62"/>
        <v/>
      </c>
      <c r="DF47" s="66" t="str">
        <f t="shared" si="63"/>
        <v/>
      </c>
    </row>
    <row r="48" spans="2:110" hidden="1" outlineLevel="1">
      <c r="B48" s="54">
        <f t="shared" si="64"/>
        <v>43388</v>
      </c>
      <c r="C48" s="55" t="s">
        <v>1</v>
      </c>
      <c r="D48" s="56">
        <f t="shared" si="65"/>
        <v>43394</v>
      </c>
      <c r="E48" s="52">
        <f t="shared" si="66"/>
        <v>10</v>
      </c>
      <c r="F48" s="53">
        <f t="shared" si="67"/>
        <v>2018</v>
      </c>
      <c r="G48" s="62">
        <f t="shared" si="68"/>
        <v>15</v>
      </c>
      <c r="H48" s="63">
        <f t="shared" si="69"/>
        <v>96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>
        <v>15</v>
      </c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80"/>
      <c r="AG48" s="87">
        <f t="shared" si="23"/>
        <v>0</v>
      </c>
      <c r="AH48" s="87">
        <f t="shared" si="24"/>
        <v>0</v>
      </c>
      <c r="AI48" s="87">
        <f t="shared" si="25"/>
        <v>0</v>
      </c>
      <c r="AJ48" s="87">
        <f t="shared" si="26"/>
        <v>0</v>
      </c>
      <c r="AK48" s="87">
        <f t="shared" si="27"/>
        <v>0</v>
      </c>
      <c r="AL48" s="87">
        <f t="shared" si="28"/>
        <v>0</v>
      </c>
      <c r="AM48" s="87">
        <f t="shared" si="29"/>
        <v>0</v>
      </c>
      <c r="AN48" s="87">
        <f t="shared" si="30"/>
        <v>0</v>
      </c>
      <c r="AO48" s="87">
        <f t="shared" si="31"/>
        <v>0</v>
      </c>
      <c r="AP48" s="87">
        <f t="shared" si="32"/>
        <v>0</v>
      </c>
      <c r="AQ48" s="87">
        <f t="shared" si="33"/>
        <v>15</v>
      </c>
      <c r="AR48" s="81"/>
      <c r="AS48" s="85">
        <f t="shared" si="34"/>
        <v>0</v>
      </c>
      <c r="AT48" s="85">
        <f t="shared" si="35"/>
        <v>0</v>
      </c>
      <c r="AU48" s="85">
        <f t="shared" si="36"/>
        <v>0</v>
      </c>
      <c r="AV48" s="85">
        <f t="shared" si="37"/>
        <v>0</v>
      </c>
      <c r="AW48" s="85">
        <f t="shared" si="38"/>
        <v>0</v>
      </c>
      <c r="AX48" s="85">
        <f t="shared" si="39"/>
        <v>0</v>
      </c>
      <c r="AY48" s="85">
        <f t="shared" si="40"/>
        <v>0</v>
      </c>
      <c r="AZ48" s="85">
        <f t="shared" si="41"/>
        <v>0</v>
      </c>
      <c r="BA48" s="85">
        <f t="shared" si="42"/>
        <v>0</v>
      </c>
      <c r="BB48" s="85">
        <f t="shared" si="43"/>
        <v>0</v>
      </c>
      <c r="BC48" s="85">
        <f t="shared" si="44"/>
        <v>0</v>
      </c>
      <c r="BD48" s="85">
        <f t="shared" si="45"/>
        <v>0</v>
      </c>
      <c r="BE48" s="85">
        <f t="shared" si="46"/>
        <v>0</v>
      </c>
      <c r="BF48" s="85">
        <f t="shared" si="47"/>
        <v>0</v>
      </c>
      <c r="BG48" s="85">
        <f t="shared" si="48"/>
        <v>0</v>
      </c>
      <c r="BH48" s="85">
        <f t="shared" si="49"/>
        <v>0</v>
      </c>
      <c r="BI48" s="85">
        <f t="shared" si="50"/>
        <v>0</v>
      </c>
      <c r="BJ48" s="85">
        <f t="shared" si="51"/>
        <v>0</v>
      </c>
      <c r="BK48" s="85">
        <f t="shared" si="52"/>
        <v>0</v>
      </c>
      <c r="BL48" s="85">
        <f t="shared" si="53"/>
        <v>0</v>
      </c>
      <c r="BM48" s="85">
        <f t="shared" si="54"/>
        <v>0</v>
      </c>
      <c r="BN48" s="85">
        <f t="shared" si="55"/>
        <v>0</v>
      </c>
      <c r="BO48" s="85">
        <f t="shared" si="56"/>
        <v>0</v>
      </c>
      <c r="BP48" s="85">
        <f t="shared" si="57"/>
        <v>0</v>
      </c>
      <c r="BQ48" s="85">
        <f t="shared" si="58"/>
        <v>0</v>
      </c>
      <c r="BR48" s="85">
        <f t="shared" si="59"/>
        <v>0</v>
      </c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X48" s="35" t="s">
        <v>12</v>
      </c>
      <c r="CZ48" s="35"/>
      <c r="DC48" s="57" t="str">
        <f t="shared" si="60"/>
        <v/>
      </c>
      <c r="DD48" s="64" t="str">
        <f t="shared" si="61"/>
        <v/>
      </c>
      <c r="DE48" s="65" t="str">
        <f t="shared" si="62"/>
        <v/>
      </c>
      <c r="DF48" s="66" t="str">
        <f t="shared" si="63"/>
        <v/>
      </c>
    </row>
    <row r="49" spans="2:110" hidden="1" outlineLevel="1">
      <c r="B49" s="54">
        <f t="shared" si="64"/>
        <v>43395</v>
      </c>
      <c r="C49" s="55" t="s">
        <v>1</v>
      </c>
      <c r="D49" s="56">
        <f t="shared" si="65"/>
        <v>43401</v>
      </c>
      <c r="E49" s="52">
        <f t="shared" si="66"/>
        <v>10</v>
      </c>
      <c r="F49" s="53">
        <f t="shared" si="67"/>
        <v>2018</v>
      </c>
      <c r="G49" s="62">
        <f t="shared" si="68"/>
        <v>15</v>
      </c>
      <c r="H49" s="63">
        <f t="shared" si="69"/>
        <v>96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>
        <v>15</v>
      </c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80"/>
      <c r="AG49" s="87">
        <f t="shared" si="23"/>
        <v>0</v>
      </c>
      <c r="AH49" s="87">
        <f t="shared" si="24"/>
        <v>0</v>
      </c>
      <c r="AI49" s="87">
        <f t="shared" si="25"/>
        <v>0</v>
      </c>
      <c r="AJ49" s="87">
        <f t="shared" si="26"/>
        <v>0</v>
      </c>
      <c r="AK49" s="87">
        <f t="shared" si="27"/>
        <v>0</v>
      </c>
      <c r="AL49" s="87">
        <f t="shared" si="28"/>
        <v>0</v>
      </c>
      <c r="AM49" s="87">
        <f t="shared" si="29"/>
        <v>0</v>
      </c>
      <c r="AN49" s="87">
        <f t="shared" si="30"/>
        <v>0</v>
      </c>
      <c r="AO49" s="87">
        <f t="shared" si="31"/>
        <v>0</v>
      </c>
      <c r="AP49" s="87">
        <f t="shared" si="32"/>
        <v>0</v>
      </c>
      <c r="AQ49" s="87">
        <f t="shared" si="33"/>
        <v>15</v>
      </c>
      <c r="AR49" s="81"/>
      <c r="AS49" s="85">
        <f t="shared" si="34"/>
        <v>0</v>
      </c>
      <c r="AT49" s="85">
        <f t="shared" si="35"/>
        <v>0</v>
      </c>
      <c r="AU49" s="85">
        <f t="shared" si="36"/>
        <v>0</v>
      </c>
      <c r="AV49" s="85">
        <f t="shared" si="37"/>
        <v>0</v>
      </c>
      <c r="AW49" s="85">
        <f t="shared" si="38"/>
        <v>0</v>
      </c>
      <c r="AX49" s="85">
        <f t="shared" si="39"/>
        <v>0</v>
      </c>
      <c r="AY49" s="85">
        <f t="shared" si="40"/>
        <v>0</v>
      </c>
      <c r="AZ49" s="85">
        <f t="shared" si="41"/>
        <v>0</v>
      </c>
      <c r="BA49" s="85">
        <f t="shared" si="42"/>
        <v>0</v>
      </c>
      <c r="BB49" s="85">
        <f t="shared" si="43"/>
        <v>0</v>
      </c>
      <c r="BC49" s="85">
        <f t="shared" si="44"/>
        <v>0</v>
      </c>
      <c r="BD49" s="85">
        <f t="shared" si="45"/>
        <v>0</v>
      </c>
      <c r="BE49" s="85">
        <f t="shared" si="46"/>
        <v>0</v>
      </c>
      <c r="BF49" s="85">
        <f t="shared" si="47"/>
        <v>0</v>
      </c>
      <c r="BG49" s="85">
        <f t="shared" si="48"/>
        <v>0</v>
      </c>
      <c r="BH49" s="85">
        <f t="shared" si="49"/>
        <v>0</v>
      </c>
      <c r="BI49" s="85">
        <f t="shared" si="50"/>
        <v>0</v>
      </c>
      <c r="BJ49" s="85">
        <f t="shared" si="51"/>
        <v>0</v>
      </c>
      <c r="BK49" s="85">
        <f t="shared" si="52"/>
        <v>0</v>
      </c>
      <c r="BL49" s="85">
        <f t="shared" si="53"/>
        <v>0</v>
      </c>
      <c r="BM49" s="85">
        <f t="shared" si="54"/>
        <v>0</v>
      </c>
      <c r="BN49" s="85">
        <f t="shared" si="55"/>
        <v>0</v>
      </c>
      <c r="BO49" s="85">
        <f t="shared" si="56"/>
        <v>0</v>
      </c>
      <c r="BP49" s="85">
        <f t="shared" si="57"/>
        <v>0</v>
      </c>
      <c r="BQ49" s="85">
        <f t="shared" si="58"/>
        <v>0</v>
      </c>
      <c r="BR49" s="85">
        <f t="shared" si="59"/>
        <v>0</v>
      </c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X49" s="35" t="s">
        <v>12</v>
      </c>
      <c r="CZ49" s="35"/>
      <c r="DC49" s="57" t="str">
        <f t="shared" si="60"/>
        <v/>
      </c>
      <c r="DD49" s="64" t="str">
        <f t="shared" si="61"/>
        <v/>
      </c>
      <c r="DE49" s="65" t="str">
        <f t="shared" si="62"/>
        <v/>
      </c>
      <c r="DF49" s="66" t="str">
        <f t="shared" si="63"/>
        <v/>
      </c>
    </row>
    <row r="50" spans="2:110" hidden="1" outlineLevel="1">
      <c r="B50" s="54">
        <f t="shared" si="64"/>
        <v>43402</v>
      </c>
      <c r="C50" s="55" t="s">
        <v>1</v>
      </c>
      <c r="D50" s="56">
        <f t="shared" si="65"/>
        <v>43408</v>
      </c>
      <c r="E50" s="52">
        <f t="shared" si="66"/>
        <v>10</v>
      </c>
      <c r="F50" s="53">
        <f t="shared" si="67"/>
        <v>2018</v>
      </c>
      <c r="G50" s="62">
        <f t="shared" si="68"/>
        <v>15</v>
      </c>
      <c r="H50" s="63">
        <f t="shared" si="69"/>
        <v>96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>
        <v>15</v>
      </c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80"/>
      <c r="AG50" s="87">
        <f t="shared" si="23"/>
        <v>0</v>
      </c>
      <c r="AH50" s="87">
        <f t="shared" si="24"/>
        <v>0</v>
      </c>
      <c r="AI50" s="87">
        <f t="shared" si="25"/>
        <v>0</v>
      </c>
      <c r="AJ50" s="87">
        <f t="shared" si="26"/>
        <v>0</v>
      </c>
      <c r="AK50" s="87">
        <f t="shared" si="27"/>
        <v>0</v>
      </c>
      <c r="AL50" s="87">
        <f t="shared" si="28"/>
        <v>0</v>
      </c>
      <c r="AM50" s="87">
        <f t="shared" si="29"/>
        <v>0</v>
      </c>
      <c r="AN50" s="87">
        <f t="shared" si="30"/>
        <v>0</v>
      </c>
      <c r="AO50" s="87">
        <f t="shared" si="31"/>
        <v>0</v>
      </c>
      <c r="AP50" s="87">
        <f t="shared" si="32"/>
        <v>0</v>
      </c>
      <c r="AQ50" s="87">
        <f t="shared" si="33"/>
        <v>15</v>
      </c>
      <c r="AR50" s="81"/>
      <c r="AS50" s="85">
        <f t="shared" si="34"/>
        <v>0</v>
      </c>
      <c r="AT50" s="85">
        <f t="shared" si="35"/>
        <v>0</v>
      </c>
      <c r="AU50" s="85">
        <f t="shared" si="36"/>
        <v>0</v>
      </c>
      <c r="AV50" s="85">
        <f t="shared" si="37"/>
        <v>0</v>
      </c>
      <c r="AW50" s="85">
        <f t="shared" si="38"/>
        <v>0</v>
      </c>
      <c r="AX50" s="85">
        <f t="shared" si="39"/>
        <v>0</v>
      </c>
      <c r="AY50" s="85">
        <f t="shared" si="40"/>
        <v>0</v>
      </c>
      <c r="AZ50" s="85">
        <f t="shared" si="41"/>
        <v>0</v>
      </c>
      <c r="BA50" s="85">
        <f t="shared" si="42"/>
        <v>0</v>
      </c>
      <c r="BB50" s="85">
        <f t="shared" si="43"/>
        <v>0</v>
      </c>
      <c r="BC50" s="85">
        <f t="shared" si="44"/>
        <v>0</v>
      </c>
      <c r="BD50" s="85">
        <f t="shared" si="45"/>
        <v>0</v>
      </c>
      <c r="BE50" s="85">
        <f t="shared" si="46"/>
        <v>0</v>
      </c>
      <c r="BF50" s="85">
        <f t="shared" si="47"/>
        <v>0</v>
      </c>
      <c r="BG50" s="85">
        <f t="shared" si="48"/>
        <v>0</v>
      </c>
      <c r="BH50" s="85">
        <f t="shared" si="49"/>
        <v>0</v>
      </c>
      <c r="BI50" s="85">
        <f t="shared" si="50"/>
        <v>0</v>
      </c>
      <c r="BJ50" s="85">
        <f t="shared" si="51"/>
        <v>0</v>
      </c>
      <c r="BK50" s="85">
        <f t="shared" si="52"/>
        <v>0</v>
      </c>
      <c r="BL50" s="85">
        <f t="shared" si="53"/>
        <v>0</v>
      </c>
      <c r="BM50" s="85">
        <f t="shared" si="54"/>
        <v>0</v>
      </c>
      <c r="BN50" s="85">
        <f t="shared" si="55"/>
        <v>0</v>
      </c>
      <c r="BO50" s="85">
        <f t="shared" si="56"/>
        <v>0</v>
      </c>
      <c r="BP50" s="85">
        <f t="shared" si="57"/>
        <v>0</v>
      </c>
      <c r="BQ50" s="85">
        <f t="shared" si="58"/>
        <v>0</v>
      </c>
      <c r="BR50" s="85">
        <f t="shared" si="59"/>
        <v>0</v>
      </c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U50" s="30">
        <f>B50+2</f>
        <v>43404</v>
      </c>
      <c r="CV50" t="s">
        <v>8</v>
      </c>
      <c r="CW50">
        <v>9</v>
      </c>
      <c r="CX50" s="35">
        <v>43404</v>
      </c>
      <c r="CY50" t="s">
        <v>8</v>
      </c>
      <c r="CZ50" s="35">
        <f>B67</f>
        <v>43521</v>
      </c>
      <c r="DA50">
        <v>96</v>
      </c>
      <c r="DC50" s="57" t="str">
        <f t="shared" si="60"/>
        <v/>
      </c>
      <c r="DD50" s="64" t="str">
        <f t="shared" si="61"/>
        <v/>
      </c>
      <c r="DE50" s="65" t="str">
        <f t="shared" si="62"/>
        <v/>
      </c>
      <c r="DF50" s="66" t="str">
        <f t="shared" si="63"/>
        <v/>
      </c>
    </row>
    <row r="51" spans="2:110" hidden="1" outlineLevel="1">
      <c r="B51" s="54">
        <f t="shared" si="64"/>
        <v>43409</v>
      </c>
      <c r="C51" s="55" t="s">
        <v>1</v>
      </c>
      <c r="D51" s="56">
        <f t="shared" si="65"/>
        <v>43415</v>
      </c>
      <c r="E51" s="52">
        <f t="shared" si="66"/>
        <v>11</v>
      </c>
      <c r="F51" s="53">
        <f t="shared" si="67"/>
        <v>2018</v>
      </c>
      <c r="G51" s="62">
        <f t="shared" si="68"/>
        <v>15</v>
      </c>
      <c r="H51" s="63">
        <f t="shared" si="69"/>
        <v>96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>
        <v>15</v>
      </c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80"/>
      <c r="AG51" s="87">
        <f t="shared" si="23"/>
        <v>0</v>
      </c>
      <c r="AH51" s="87">
        <f t="shared" si="24"/>
        <v>0</v>
      </c>
      <c r="AI51" s="87">
        <f t="shared" si="25"/>
        <v>0</v>
      </c>
      <c r="AJ51" s="87">
        <f t="shared" si="26"/>
        <v>0</v>
      </c>
      <c r="AK51" s="87">
        <f t="shared" si="27"/>
        <v>0</v>
      </c>
      <c r="AL51" s="87">
        <f t="shared" si="28"/>
        <v>0</v>
      </c>
      <c r="AM51" s="87">
        <f t="shared" si="29"/>
        <v>0</v>
      </c>
      <c r="AN51" s="87">
        <f t="shared" si="30"/>
        <v>0</v>
      </c>
      <c r="AO51" s="87">
        <f t="shared" si="31"/>
        <v>0</v>
      </c>
      <c r="AP51" s="87">
        <f t="shared" si="32"/>
        <v>0</v>
      </c>
      <c r="AQ51" s="87">
        <f t="shared" si="33"/>
        <v>15</v>
      </c>
      <c r="AR51" s="81"/>
      <c r="AS51" s="85">
        <f t="shared" si="34"/>
        <v>0</v>
      </c>
      <c r="AT51" s="85">
        <f t="shared" si="35"/>
        <v>0</v>
      </c>
      <c r="AU51" s="85">
        <f t="shared" si="36"/>
        <v>0</v>
      </c>
      <c r="AV51" s="85">
        <f t="shared" si="37"/>
        <v>0</v>
      </c>
      <c r="AW51" s="85">
        <f t="shared" si="38"/>
        <v>0</v>
      </c>
      <c r="AX51" s="85">
        <f t="shared" si="39"/>
        <v>0</v>
      </c>
      <c r="AY51" s="85">
        <f t="shared" si="40"/>
        <v>0</v>
      </c>
      <c r="AZ51" s="85">
        <f t="shared" si="41"/>
        <v>0</v>
      </c>
      <c r="BA51" s="85">
        <f t="shared" si="42"/>
        <v>0</v>
      </c>
      <c r="BB51" s="85">
        <f t="shared" si="43"/>
        <v>0</v>
      </c>
      <c r="BC51" s="85">
        <f t="shared" si="44"/>
        <v>0</v>
      </c>
      <c r="BD51" s="85">
        <f t="shared" si="45"/>
        <v>0</v>
      </c>
      <c r="BE51" s="85">
        <f t="shared" si="46"/>
        <v>0</v>
      </c>
      <c r="BF51" s="85">
        <f t="shared" si="47"/>
        <v>0</v>
      </c>
      <c r="BG51" s="85">
        <f t="shared" si="48"/>
        <v>0</v>
      </c>
      <c r="BH51" s="85">
        <f t="shared" si="49"/>
        <v>0</v>
      </c>
      <c r="BI51" s="85">
        <f t="shared" si="50"/>
        <v>0</v>
      </c>
      <c r="BJ51" s="85">
        <f t="shared" si="51"/>
        <v>0</v>
      </c>
      <c r="BK51" s="85">
        <f t="shared" si="52"/>
        <v>0</v>
      </c>
      <c r="BL51" s="85">
        <f t="shared" si="53"/>
        <v>0</v>
      </c>
      <c r="BM51" s="85">
        <f t="shared" si="54"/>
        <v>0</v>
      </c>
      <c r="BN51" s="85">
        <f t="shared" si="55"/>
        <v>0</v>
      </c>
      <c r="BO51" s="85">
        <f t="shared" si="56"/>
        <v>0</v>
      </c>
      <c r="BP51" s="85">
        <f t="shared" si="57"/>
        <v>0</v>
      </c>
      <c r="BQ51" s="85">
        <f t="shared" si="58"/>
        <v>0</v>
      </c>
      <c r="BR51" s="85">
        <f t="shared" si="59"/>
        <v>0</v>
      </c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X51" s="35" t="s">
        <v>12</v>
      </c>
      <c r="CZ51" s="35"/>
      <c r="DC51" s="57" t="str">
        <f t="shared" si="60"/>
        <v/>
      </c>
      <c r="DD51" s="64" t="str">
        <f t="shared" si="61"/>
        <v/>
      </c>
      <c r="DE51" s="65" t="str">
        <f t="shared" si="62"/>
        <v/>
      </c>
      <c r="DF51" s="66" t="str">
        <f t="shared" si="63"/>
        <v/>
      </c>
    </row>
    <row r="52" spans="2:110" hidden="1" outlineLevel="1">
      <c r="B52" s="54">
        <f t="shared" si="64"/>
        <v>43416</v>
      </c>
      <c r="C52" s="55" t="s">
        <v>1</v>
      </c>
      <c r="D52" s="56">
        <f t="shared" si="65"/>
        <v>43422</v>
      </c>
      <c r="E52" s="52">
        <f t="shared" si="66"/>
        <v>11</v>
      </c>
      <c r="F52" s="53">
        <f t="shared" si="67"/>
        <v>2018</v>
      </c>
      <c r="G52" s="62">
        <f t="shared" si="68"/>
        <v>15</v>
      </c>
      <c r="H52" s="63">
        <f t="shared" si="69"/>
        <v>96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>
        <v>15</v>
      </c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80"/>
      <c r="AG52" s="87">
        <f t="shared" si="23"/>
        <v>0</v>
      </c>
      <c r="AH52" s="87">
        <f t="shared" si="24"/>
        <v>0</v>
      </c>
      <c r="AI52" s="87">
        <f t="shared" si="25"/>
        <v>0</v>
      </c>
      <c r="AJ52" s="87">
        <f t="shared" si="26"/>
        <v>0</v>
      </c>
      <c r="AK52" s="87">
        <f t="shared" si="27"/>
        <v>0</v>
      </c>
      <c r="AL52" s="87">
        <f t="shared" si="28"/>
        <v>0</v>
      </c>
      <c r="AM52" s="87">
        <f t="shared" si="29"/>
        <v>0</v>
      </c>
      <c r="AN52" s="87">
        <f t="shared" si="30"/>
        <v>0</v>
      </c>
      <c r="AO52" s="87">
        <f t="shared" si="31"/>
        <v>0</v>
      </c>
      <c r="AP52" s="87">
        <f t="shared" si="32"/>
        <v>0</v>
      </c>
      <c r="AQ52" s="87">
        <f t="shared" si="33"/>
        <v>15</v>
      </c>
      <c r="AR52" s="81"/>
      <c r="AS52" s="85">
        <f t="shared" si="34"/>
        <v>0</v>
      </c>
      <c r="AT52" s="85">
        <f t="shared" si="35"/>
        <v>0</v>
      </c>
      <c r="AU52" s="85">
        <f t="shared" si="36"/>
        <v>0</v>
      </c>
      <c r="AV52" s="85">
        <f t="shared" si="37"/>
        <v>0</v>
      </c>
      <c r="AW52" s="85">
        <f t="shared" si="38"/>
        <v>0</v>
      </c>
      <c r="AX52" s="85">
        <f t="shared" si="39"/>
        <v>0</v>
      </c>
      <c r="AY52" s="85">
        <f t="shared" si="40"/>
        <v>0</v>
      </c>
      <c r="AZ52" s="85">
        <f t="shared" si="41"/>
        <v>0</v>
      </c>
      <c r="BA52" s="85">
        <f t="shared" si="42"/>
        <v>0</v>
      </c>
      <c r="BB52" s="85">
        <f t="shared" si="43"/>
        <v>0</v>
      </c>
      <c r="BC52" s="85">
        <f t="shared" si="44"/>
        <v>0</v>
      </c>
      <c r="BD52" s="85">
        <f t="shared" si="45"/>
        <v>0</v>
      </c>
      <c r="BE52" s="85">
        <f t="shared" si="46"/>
        <v>0</v>
      </c>
      <c r="BF52" s="85">
        <f t="shared" si="47"/>
        <v>0</v>
      </c>
      <c r="BG52" s="85">
        <f t="shared" si="48"/>
        <v>0</v>
      </c>
      <c r="BH52" s="85">
        <f t="shared" si="49"/>
        <v>0</v>
      </c>
      <c r="BI52" s="85">
        <f t="shared" si="50"/>
        <v>0</v>
      </c>
      <c r="BJ52" s="85">
        <f t="shared" si="51"/>
        <v>0</v>
      </c>
      <c r="BK52" s="85">
        <f t="shared" si="52"/>
        <v>0</v>
      </c>
      <c r="BL52" s="85">
        <f t="shared" si="53"/>
        <v>0</v>
      </c>
      <c r="BM52" s="85">
        <f t="shared" si="54"/>
        <v>0</v>
      </c>
      <c r="BN52" s="85">
        <f t="shared" si="55"/>
        <v>0</v>
      </c>
      <c r="BO52" s="85">
        <f t="shared" si="56"/>
        <v>0</v>
      </c>
      <c r="BP52" s="85">
        <f t="shared" si="57"/>
        <v>0</v>
      </c>
      <c r="BQ52" s="85">
        <f t="shared" si="58"/>
        <v>0</v>
      </c>
      <c r="BR52" s="85">
        <f t="shared" si="59"/>
        <v>0</v>
      </c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X52" s="35" t="s">
        <v>12</v>
      </c>
      <c r="CZ52" s="35"/>
      <c r="DC52" s="57" t="str">
        <f t="shared" si="60"/>
        <v/>
      </c>
      <c r="DD52" s="64" t="str">
        <f t="shared" si="61"/>
        <v/>
      </c>
      <c r="DE52" s="65" t="str">
        <f t="shared" si="62"/>
        <v/>
      </c>
      <c r="DF52" s="66" t="str">
        <f t="shared" si="63"/>
        <v/>
      </c>
    </row>
    <row r="53" spans="2:110" hidden="1" outlineLevel="1">
      <c r="B53" s="54">
        <f t="shared" si="64"/>
        <v>43423</v>
      </c>
      <c r="C53" s="55" t="s">
        <v>1</v>
      </c>
      <c r="D53" s="56">
        <f t="shared" si="65"/>
        <v>43429</v>
      </c>
      <c r="E53" s="52">
        <f t="shared" si="66"/>
        <v>11</v>
      </c>
      <c r="F53" s="53">
        <f t="shared" si="67"/>
        <v>2018</v>
      </c>
      <c r="G53" s="62">
        <f t="shared" si="68"/>
        <v>15</v>
      </c>
      <c r="H53" s="63">
        <f t="shared" si="69"/>
        <v>96</v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>
        <v>15</v>
      </c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80"/>
      <c r="AG53" s="87">
        <f t="shared" si="23"/>
        <v>0</v>
      </c>
      <c r="AH53" s="87">
        <f t="shared" si="24"/>
        <v>0</v>
      </c>
      <c r="AI53" s="87">
        <f t="shared" si="25"/>
        <v>0</v>
      </c>
      <c r="AJ53" s="87">
        <f t="shared" si="26"/>
        <v>0</v>
      </c>
      <c r="AK53" s="87">
        <f t="shared" si="27"/>
        <v>0</v>
      </c>
      <c r="AL53" s="87">
        <f t="shared" si="28"/>
        <v>0</v>
      </c>
      <c r="AM53" s="87">
        <f t="shared" si="29"/>
        <v>0</v>
      </c>
      <c r="AN53" s="87">
        <f t="shared" si="30"/>
        <v>0</v>
      </c>
      <c r="AO53" s="87">
        <f t="shared" si="31"/>
        <v>0</v>
      </c>
      <c r="AP53" s="87">
        <f t="shared" si="32"/>
        <v>0</v>
      </c>
      <c r="AQ53" s="87">
        <f t="shared" si="33"/>
        <v>15</v>
      </c>
      <c r="AR53" s="81"/>
      <c r="AS53" s="85">
        <f t="shared" si="34"/>
        <v>0</v>
      </c>
      <c r="AT53" s="85">
        <f t="shared" si="35"/>
        <v>0</v>
      </c>
      <c r="AU53" s="85">
        <f t="shared" si="36"/>
        <v>0</v>
      </c>
      <c r="AV53" s="85">
        <f t="shared" si="37"/>
        <v>0</v>
      </c>
      <c r="AW53" s="85">
        <f t="shared" si="38"/>
        <v>0</v>
      </c>
      <c r="AX53" s="85">
        <f t="shared" si="39"/>
        <v>0</v>
      </c>
      <c r="AY53" s="85">
        <f t="shared" si="40"/>
        <v>0</v>
      </c>
      <c r="AZ53" s="85">
        <f t="shared" si="41"/>
        <v>0</v>
      </c>
      <c r="BA53" s="85">
        <f t="shared" si="42"/>
        <v>0</v>
      </c>
      <c r="BB53" s="85">
        <f t="shared" si="43"/>
        <v>0</v>
      </c>
      <c r="BC53" s="85">
        <f t="shared" si="44"/>
        <v>0</v>
      </c>
      <c r="BD53" s="85">
        <f t="shared" si="45"/>
        <v>0</v>
      </c>
      <c r="BE53" s="85">
        <f t="shared" si="46"/>
        <v>0</v>
      </c>
      <c r="BF53" s="85">
        <f t="shared" si="47"/>
        <v>0</v>
      </c>
      <c r="BG53" s="85">
        <f t="shared" si="48"/>
        <v>0</v>
      </c>
      <c r="BH53" s="85">
        <f t="shared" si="49"/>
        <v>0</v>
      </c>
      <c r="BI53" s="85">
        <f t="shared" si="50"/>
        <v>0</v>
      </c>
      <c r="BJ53" s="85">
        <f t="shared" si="51"/>
        <v>0</v>
      </c>
      <c r="BK53" s="85">
        <f t="shared" si="52"/>
        <v>0</v>
      </c>
      <c r="BL53" s="85">
        <f t="shared" si="53"/>
        <v>0</v>
      </c>
      <c r="BM53" s="85">
        <f t="shared" si="54"/>
        <v>0</v>
      </c>
      <c r="BN53" s="85">
        <f t="shared" si="55"/>
        <v>0</v>
      </c>
      <c r="BO53" s="85">
        <f t="shared" si="56"/>
        <v>0</v>
      </c>
      <c r="BP53" s="85">
        <f t="shared" si="57"/>
        <v>0</v>
      </c>
      <c r="BQ53" s="85">
        <f t="shared" si="58"/>
        <v>0</v>
      </c>
      <c r="BR53" s="85">
        <f t="shared" si="59"/>
        <v>0</v>
      </c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X53" s="35" t="s">
        <v>12</v>
      </c>
      <c r="CZ53" s="35"/>
      <c r="DC53" s="57" t="str">
        <f t="shared" si="60"/>
        <v/>
      </c>
      <c r="DD53" s="64" t="str">
        <f t="shared" si="61"/>
        <v/>
      </c>
      <c r="DE53" s="65" t="str">
        <f t="shared" si="62"/>
        <v/>
      </c>
      <c r="DF53" s="66" t="str">
        <f t="shared" si="63"/>
        <v/>
      </c>
    </row>
    <row r="54" spans="2:110" hidden="1" outlineLevel="1">
      <c r="B54" s="54">
        <f t="shared" si="64"/>
        <v>43430</v>
      </c>
      <c r="C54" s="55" t="s">
        <v>1</v>
      </c>
      <c r="D54" s="56">
        <f t="shared" si="65"/>
        <v>43436</v>
      </c>
      <c r="E54" s="52">
        <f t="shared" si="66"/>
        <v>11</v>
      </c>
      <c r="F54" s="53">
        <f t="shared" si="67"/>
        <v>2018</v>
      </c>
      <c r="G54" s="62">
        <f t="shared" si="68"/>
        <v>15</v>
      </c>
      <c r="H54" s="63">
        <f t="shared" si="69"/>
        <v>96</v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>
        <v>15</v>
      </c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80"/>
      <c r="AG54" s="87">
        <f t="shared" si="23"/>
        <v>0</v>
      </c>
      <c r="AH54" s="87">
        <f t="shared" si="24"/>
        <v>0</v>
      </c>
      <c r="AI54" s="87">
        <f t="shared" si="25"/>
        <v>0</v>
      </c>
      <c r="AJ54" s="87">
        <f t="shared" si="26"/>
        <v>0</v>
      </c>
      <c r="AK54" s="87">
        <f t="shared" si="27"/>
        <v>0</v>
      </c>
      <c r="AL54" s="87">
        <f t="shared" si="28"/>
        <v>0</v>
      </c>
      <c r="AM54" s="87">
        <f t="shared" si="29"/>
        <v>0</v>
      </c>
      <c r="AN54" s="87">
        <f t="shared" si="30"/>
        <v>0</v>
      </c>
      <c r="AO54" s="87">
        <f t="shared" si="31"/>
        <v>0</v>
      </c>
      <c r="AP54" s="87">
        <f t="shared" si="32"/>
        <v>0</v>
      </c>
      <c r="AQ54" s="87">
        <f t="shared" si="33"/>
        <v>15</v>
      </c>
      <c r="AR54" s="81"/>
      <c r="AS54" s="85">
        <f t="shared" si="34"/>
        <v>0</v>
      </c>
      <c r="AT54" s="85">
        <f t="shared" si="35"/>
        <v>0</v>
      </c>
      <c r="AU54" s="85">
        <f t="shared" si="36"/>
        <v>0</v>
      </c>
      <c r="AV54" s="85">
        <f t="shared" si="37"/>
        <v>0</v>
      </c>
      <c r="AW54" s="85">
        <f t="shared" si="38"/>
        <v>0</v>
      </c>
      <c r="AX54" s="85">
        <f t="shared" si="39"/>
        <v>0</v>
      </c>
      <c r="AY54" s="85">
        <f t="shared" si="40"/>
        <v>0</v>
      </c>
      <c r="AZ54" s="85">
        <f t="shared" si="41"/>
        <v>0</v>
      </c>
      <c r="BA54" s="85">
        <f t="shared" si="42"/>
        <v>0</v>
      </c>
      <c r="BB54" s="85">
        <f t="shared" si="43"/>
        <v>0</v>
      </c>
      <c r="BC54" s="85">
        <f t="shared" si="44"/>
        <v>0</v>
      </c>
      <c r="BD54" s="85">
        <f t="shared" si="45"/>
        <v>0</v>
      </c>
      <c r="BE54" s="85">
        <f t="shared" si="46"/>
        <v>0</v>
      </c>
      <c r="BF54" s="85">
        <f t="shared" si="47"/>
        <v>0</v>
      </c>
      <c r="BG54" s="85">
        <f t="shared" si="48"/>
        <v>0</v>
      </c>
      <c r="BH54" s="85">
        <f t="shared" si="49"/>
        <v>0</v>
      </c>
      <c r="BI54" s="85">
        <f t="shared" si="50"/>
        <v>0</v>
      </c>
      <c r="BJ54" s="85">
        <f t="shared" si="51"/>
        <v>0</v>
      </c>
      <c r="BK54" s="85">
        <f t="shared" si="52"/>
        <v>0</v>
      </c>
      <c r="BL54" s="85">
        <f t="shared" si="53"/>
        <v>0</v>
      </c>
      <c r="BM54" s="85">
        <f t="shared" si="54"/>
        <v>0</v>
      </c>
      <c r="BN54" s="85">
        <f t="shared" si="55"/>
        <v>0</v>
      </c>
      <c r="BO54" s="85">
        <f t="shared" si="56"/>
        <v>0</v>
      </c>
      <c r="BP54" s="85">
        <f t="shared" si="57"/>
        <v>0</v>
      </c>
      <c r="BQ54" s="85">
        <f t="shared" si="58"/>
        <v>0</v>
      </c>
      <c r="BR54" s="85">
        <f t="shared" si="59"/>
        <v>0</v>
      </c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U54" s="30">
        <f>B54+3</f>
        <v>43433</v>
      </c>
      <c r="CV54" s="26" t="s">
        <v>6</v>
      </c>
      <c r="CW54">
        <v>10</v>
      </c>
      <c r="CX54" s="35">
        <v>43433</v>
      </c>
      <c r="CY54" s="26" t="s">
        <v>6</v>
      </c>
      <c r="CZ54" s="35">
        <f>B71</f>
        <v>43549</v>
      </c>
      <c r="DA54">
        <v>98</v>
      </c>
      <c r="DC54" s="57" t="str">
        <f t="shared" si="60"/>
        <v/>
      </c>
      <c r="DD54" s="64" t="str">
        <f t="shared" si="61"/>
        <v/>
      </c>
      <c r="DE54" s="65" t="str">
        <f t="shared" si="62"/>
        <v/>
      </c>
      <c r="DF54" s="66" t="str">
        <f t="shared" si="63"/>
        <v/>
      </c>
    </row>
    <row r="55" spans="2:110" hidden="1" outlineLevel="1">
      <c r="B55" s="54">
        <f t="shared" si="64"/>
        <v>43437</v>
      </c>
      <c r="C55" s="55" t="s">
        <v>1</v>
      </c>
      <c r="D55" s="56">
        <f t="shared" si="65"/>
        <v>43443</v>
      </c>
      <c r="E55" s="52">
        <f t="shared" si="66"/>
        <v>12</v>
      </c>
      <c r="F55" s="53">
        <f t="shared" si="67"/>
        <v>2018</v>
      </c>
      <c r="G55" s="62">
        <f t="shared" si="68"/>
        <v>15</v>
      </c>
      <c r="H55" s="63">
        <f t="shared" si="69"/>
        <v>96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>
        <v>15</v>
      </c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80"/>
      <c r="AG55" s="87">
        <f t="shared" si="23"/>
        <v>0</v>
      </c>
      <c r="AH55" s="87">
        <f t="shared" si="24"/>
        <v>0</v>
      </c>
      <c r="AI55" s="87">
        <f t="shared" si="25"/>
        <v>0</v>
      </c>
      <c r="AJ55" s="87">
        <f t="shared" si="26"/>
        <v>0</v>
      </c>
      <c r="AK55" s="87">
        <f t="shared" si="27"/>
        <v>0</v>
      </c>
      <c r="AL55" s="87">
        <f t="shared" si="28"/>
        <v>0</v>
      </c>
      <c r="AM55" s="87">
        <f t="shared" si="29"/>
        <v>0</v>
      </c>
      <c r="AN55" s="87">
        <f t="shared" si="30"/>
        <v>0</v>
      </c>
      <c r="AO55" s="87">
        <f t="shared" si="31"/>
        <v>0</v>
      </c>
      <c r="AP55" s="87">
        <f t="shared" si="32"/>
        <v>0</v>
      </c>
      <c r="AQ55" s="87">
        <f t="shared" si="33"/>
        <v>15</v>
      </c>
      <c r="AR55" s="81"/>
      <c r="AS55" s="85">
        <f t="shared" si="34"/>
        <v>0</v>
      </c>
      <c r="AT55" s="85">
        <f t="shared" si="35"/>
        <v>0</v>
      </c>
      <c r="AU55" s="85">
        <f t="shared" si="36"/>
        <v>0</v>
      </c>
      <c r="AV55" s="85">
        <f t="shared" si="37"/>
        <v>0</v>
      </c>
      <c r="AW55" s="85">
        <f t="shared" si="38"/>
        <v>0</v>
      </c>
      <c r="AX55" s="85">
        <f t="shared" si="39"/>
        <v>0</v>
      </c>
      <c r="AY55" s="85">
        <f t="shared" si="40"/>
        <v>0</v>
      </c>
      <c r="AZ55" s="85">
        <f t="shared" si="41"/>
        <v>0</v>
      </c>
      <c r="BA55" s="85">
        <f t="shared" si="42"/>
        <v>0</v>
      </c>
      <c r="BB55" s="85">
        <f t="shared" si="43"/>
        <v>0</v>
      </c>
      <c r="BC55" s="85">
        <f t="shared" si="44"/>
        <v>0</v>
      </c>
      <c r="BD55" s="85">
        <f t="shared" si="45"/>
        <v>0</v>
      </c>
      <c r="BE55" s="85">
        <f t="shared" si="46"/>
        <v>0</v>
      </c>
      <c r="BF55" s="85">
        <f t="shared" si="47"/>
        <v>0</v>
      </c>
      <c r="BG55" s="85">
        <f t="shared" si="48"/>
        <v>0</v>
      </c>
      <c r="BH55" s="85">
        <f t="shared" si="49"/>
        <v>0</v>
      </c>
      <c r="BI55" s="85">
        <f t="shared" si="50"/>
        <v>0</v>
      </c>
      <c r="BJ55" s="85">
        <f t="shared" si="51"/>
        <v>0</v>
      </c>
      <c r="BK55" s="85">
        <f t="shared" si="52"/>
        <v>0</v>
      </c>
      <c r="BL55" s="85">
        <f t="shared" si="53"/>
        <v>0</v>
      </c>
      <c r="BM55" s="85">
        <f t="shared" si="54"/>
        <v>0</v>
      </c>
      <c r="BN55" s="85">
        <f t="shared" si="55"/>
        <v>0</v>
      </c>
      <c r="BO55" s="85">
        <f t="shared" si="56"/>
        <v>0</v>
      </c>
      <c r="BP55" s="85">
        <f t="shared" si="57"/>
        <v>0</v>
      </c>
      <c r="BQ55" s="85">
        <f t="shared" si="58"/>
        <v>0</v>
      </c>
      <c r="BR55" s="85">
        <f t="shared" si="59"/>
        <v>0</v>
      </c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X55" s="35" t="s">
        <v>12</v>
      </c>
      <c r="CZ55" s="35"/>
      <c r="DC55" s="57" t="str">
        <f t="shared" si="60"/>
        <v/>
      </c>
      <c r="DD55" s="64" t="str">
        <f t="shared" si="61"/>
        <v/>
      </c>
      <c r="DE55" s="65" t="str">
        <f t="shared" si="62"/>
        <v/>
      </c>
      <c r="DF55" s="66" t="str">
        <f t="shared" si="63"/>
        <v/>
      </c>
    </row>
    <row r="56" spans="2:110" hidden="1" outlineLevel="1">
      <c r="B56" s="54">
        <f t="shared" si="64"/>
        <v>43444</v>
      </c>
      <c r="C56" s="55" t="s">
        <v>1</v>
      </c>
      <c r="D56" s="56">
        <f t="shared" si="65"/>
        <v>43450</v>
      </c>
      <c r="E56" s="52">
        <f t="shared" si="66"/>
        <v>12</v>
      </c>
      <c r="F56" s="53">
        <f t="shared" si="67"/>
        <v>2018</v>
      </c>
      <c r="G56" s="62">
        <f t="shared" si="68"/>
        <v>15</v>
      </c>
      <c r="H56" s="63">
        <f t="shared" si="69"/>
        <v>96</v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>
        <v>15</v>
      </c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80"/>
      <c r="AG56" s="87">
        <f t="shared" si="23"/>
        <v>0</v>
      </c>
      <c r="AH56" s="87">
        <f t="shared" si="24"/>
        <v>0</v>
      </c>
      <c r="AI56" s="87">
        <f t="shared" si="25"/>
        <v>0</v>
      </c>
      <c r="AJ56" s="87">
        <f t="shared" si="26"/>
        <v>0</v>
      </c>
      <c r="AK56" s="87">
        <f t="shared" si="27"/>
        <v>0</v>
      </c>
      <c r="AL56" s="87">
        <f t="shared" si="28"/>
        <v>0</v>
      </c>
      <c r="AM56" s="87">
        <f t="shared" si="29"/>
        <v>0</v>
      </c>
      <c r="AN56" s="87">
        <f t="shared" si="30"/>
        <v>0</v>
      </c>
      <c r="AO56" s="87">
        <f t="shared" si="31"/>
        <v>0</v>
      </c>
      <c r="AP56" s="87">
        <f t="shared" si="32"/>
        <v>0</v>
      </c>
      <c r="AQ56" s="87">
        <f t="shared" si="33"/>
        <v>15</v>
      </c>
      <c r="AR56" s="81"/>
      <c r="AS56" s="85">
        <f t="shared" si="34"/>
        <v>0</v>
      </c>
      <c r="AT56" s="85">
        <f t="shared" si="35"/>
        <v>0</v>
      </c>
      <c r="AU56" s="85">
        <f t="shared" si="36"/>
        <v>0</v>
      </c>
      <c r="AV56" s="85">
        <f t="shared" si="37"/>
        <v>0</v>
      </c>
      <c r="AW56" s="85">
        <f t="shared" si="38"/>
        <v>0</v>
      </c>
      <c r="AX56" s="85">
        <f t="shared" si="39"/>
        <v>0</v>
      </c>
      <c r="AY56" s="85">
        <f t="shared" si="40"/>
        <v>0</v>
      </c>
      <c r="AZ56" s="85">
        <f t="shared" si="41"/>
        <v>0</v>
      </c>
      <c r="BA56" s="85">
        <f t="shared" si="42"/>
        <v>0</v>
      </c>
      <c r="BB56" s="85">
        <f t="shared" si="43"/>
        <v>0</v>
      </c>
      <c r="BC56" s="85">
        <f t="shared" si="44"/>
        <v>0</v>
      </c>
      <c r="BD56" s="85">
        <f t="shared" si="45"/>
        <v>0</v>
      </c>
      <c r="BE56" s="85">
        <f t="shared" si="46"/>
        <v>0</v>
      </c>
      <c r="BF56" s="85">
        <f t="shared" si="47"/>
        <v>0</v>
      </c>
      <c r="BG56" s="85">
        <f t="shared" si="48"/>
        <v>0</v>
      </c>
      <c r="BH56" s="85">
        <f t="shared" si="49"/>
        <v>0</v>
      </c>
      <c r="BI56" s="85">
        <f t="shared" si="50"/>
        <v>0</v>
      </c>
      <c r="BJ56" s="85">
        <f t="shared" si="51"/>
        <v>0</v>
      </c>
      <c r="BK56" s="85">
        <f t="shared" si="52"/>
        <v>0</v>
      </c>
      <c r="BL56" s="85">
        <f t="shared" si="53"/>
        <v>0</v>
      </c>
      <c r="BM56" s="85">
        <f t="shared" si="54"/>
        <v>0</v>
      </c>
      <c r="BN56" s="85">
        <f t="shared" si="55"/>
        <v>0</v>
      </c>
      <c r="BO56" s="85">
        <f t="shared" si="56"/>
        <v>0</v>
      </c>
      <c r="BP56" s="85">
        <f t="shared" si="57"/>
        <v>0</v>
      </c>
      <c r="BQ56" s="85">
        <f t="shared" si="58"/>
        <v>0</v>
      </c>
      <c r="BR56" s="85">
        <f t="shared" si="59"/>
        <v>0</v>
      </c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X56" s="35" t="s">
        <v>12</v>
      </c>
      <c r="CZ56" s="35"/>
      <c r="DC56" s="57" t="str">
        <f t="shared" si="60"/>
        <v/>
      </c>
      <c r="DD56" s="64" t="str">
        <f t="shared" si="61"/>
        <v/>
      </c>
      <c r="DE56" s="65" t="str">
        <f t="shared" si="62"/>
        <v/>
      </c>
      <c r="DF56" s="66" t="str">
        <f t="shared" si="63"/>
        <v/>
      </c>
    </row>
    <row r="57" spans="2:110" hidden="1" outlineLevel="1">
      <c r="B57" s="54">
        <f t="shared" si="64"/>
        <v>43451</v>
      </c>
      <c r="C57" s="55" t="s">
        <v>1</v>
      </c>
      <c r="D57" s="56">
        <f t="shared" si="65"/>
        <v>43457</v>
      </c>
      <c r="E57" s="52">
        <f t="shared" si="66"/>
        <v>12</v>
      </c>
      <c r="F57" s="53">
        <f t="shared" si="67"/>
        <v>2018</v>
      </c>
      <c r="G57" s="62">
        <f t="shared" si="68"/>
        <v>15</v>
      </c>
      <c r="H57" s="63">
        <f t="shared" si="69"/>
        <v>96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>
        <v>15</v>
      </c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80"/>
      <c r="AG57" s="87">
        <f t="shared" si="23"/>
        <v>0</v>
      </c>
      <c r="AH57" s="87">
        <f t="shared" si="24"/>
        <v>0</v>
      </c>
      <c r="AI57" s="87">
        <f t="shared" si="25"/>
        <v>0</v>
      </c>
      <c r="AJ57" s="87">
        <f t="shared" si="26"/>
        <v>0</v>
      </c>
      <c r="AK57" s="87">
        <f t="shared" si="27"/>
        <v>0</v>
      </c>
      <c r="AL57" s="87">
        <f t="shared" si="28"/>
        <v>0</v>
      </c>
      <c r="AM57" s="87">
        <f t="shared" si="29"/>
        <v>0</v>
      </c>
      <c r="AN57" s="87">
        <f t="shared" si="30"/>
        <v>0</v>
      </c>
      <c r="AO57" s="87">
        <f t="shared" si="31"/>
        <v>0</v>
      </c>
      <c r="AP57" s="87">
        <f t="shared" si="32"/>
        <v>0</v>
      </c>
      <c r="AQ57" s="87">
        <f t="shared" si="33"/>
        <v>15</v>
      </c>
      <c r="AR57" s="81"/>
      <c r="AS57" s="85">
        <f t="shared" si="34"/>
        <v>0</v>
      </c>
      <c r="AT57" s="85">
        <f t="shared" si="35"/>
        <v>0</v>
      </c>
      <c r="AU57" s="85">
        <f t="shared" si="36"/>
        <v>0</v>
      </c>
      <c r="AV57" s="85">
        <f t="shared" si="37"/>
        <v>0</v>
      </c>
      <c r="AW57" s="85">
        <f t="shared" si="38"/>
        <v>0</v>
      </c>
      <c r="AX57" s="85">
        <f t="shared" si="39"/>
        <v>0</v>
      </c>
      <c r="AY57" s="85">
        <f t="shared" si="40"/>
        <v>0</v>
      </c>
      <c r="AZ57" s="85">
        <f t="shared" si="41"/>
        <v>0</v>
      </c>
      <c r="BA57" s="85">
        <f t="shared" si="42"/>
        <v>0</v>
      </c>
      <c r="BB57" s="85">
        <f t="shared" si="43"/>
        <v>0</v>
      </c>
      <c r="BC57" s="85">
        <f t="shared" si="44"/>
        <v>0</v>
      </c>
      <c r="BD57" s="85">
        <f t="shared" si="45"/>
        <v>0</v>
      </c>
      <c r="BE57" s="85">
        <f t="shared" si="46"/>
        <v>0</v>
      </c>
      <c r="BF57" s="85">
        <f t="shared" si="47"/>
        <v>0</v>
      </c>
      <c r="BG57" s="85">
        <f t="shared" si="48"/>
        <v>0</v>
      </c>
      <c r="BH57" s="85">
        <f t="shared" si="49"/>
        <v>0</v>
      </c>
      <c r="BI57" s="85">
        <f t="shared" si="50"/>
        <v>0</v>
      </c>
      <c r="BJ57" s="85">
        <f t="shared" si="51"/>
        <v>0</v>
      </c>
      <c r="BK57" s="85">
        <f t="shared" si="52"/>
        <v>0</v>
      </c>
      <c r="BL57" s="85">
        <f t="shared" si="53"/>
        <v>0</v>
      </c>
      <c r="BM57" s="85">
        <f t="shared" si="54"/>
        <v>0</v>
      </c>
      <c r="BN57" s="85">
        <f t="shared" si="55"/>
        <v>0</v>
      </c>
      <c r="BO57" s="85">
        <f t="shared" si="56"/>
        <v>0</v>
      </c>
      <c r="BP57" s="85">
        <f t="shared" si="57"/>
        <v>0</v>
      </c>
      <c r="BQ57" s="85">
        <f t="shared" si="58"/>
        <v>0</v>
      </c>
      <c r="BR57" s="85">
        <f t="shared" si="59"/>
        <v>0</v>
      </c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U57" s="31">
        <f>B57+2</f>
        <v>43453</v>
      </c>
      <c r="CV57" t="s">
        <v>8</v>
      </c>
      <c r="CX57" s="35" t="s">
        <v>12</v>
      </c>
      <c r="CZ57" s="35"/>
      <c r="DC57" s="57" t="str">
        <f t="shared" si="60"/>
        <v/>
      </c>
      <c r="DD57" s="64" t="str">
        <f t="shared" si="61"/>
        <v/>
      </c>
      <c r="DE57" s="65" t="str">
        <f t="shared" si="62"/>
        <v/>
      </c>
      <c r="DF57" s="66" t="str">
        <f t="shared" si="63"/>
        <v/>
      </c>
    </row>
    <row r="58" spans="2:110" hidden="1" outlineLevel="1" collapsed="1">
      <c r="B58" s="54">
        <f t="shared" si="64"/>
        <v>43458</v>
      </c>
      <c r="C58" s="55" t="s">
        <v>1</v>
      </c>
      <c r="D58" s="56">
        <f t="shared" si="65"/>
        <v>43464</v>
      </c>
      <c r="E58" s="52">
        <f t="shared" si="66"/>
        <v>12</v>
      </c>
      <c r="F58" s="53">
        <f t="shared" si="67"/>
        <v>2018</v>
      </c>
      <c r="G58" s="62">
        <f t="shared" si="68"/>
        <v>15</v>
      </c>
      <c r="H58" s="63">
        <f t="shared" si="69"/>
        <v>96</v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>
        <v>15</v>
      </c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80"/>
      <c r="AG58" s="87">
        <f t="shared" si="23"/>
        <v>0</v>
      </c>
      <c r="AH58" s="87">
        <f t="shared" si="24"/>
        <v>0</v>
      </c>
      <c r="AI58" s="87">
        <f t="shared" si="25"/>
        <v>0</v>
      </c>
      <c r="AJ58" s="87">
        <f t="shared" si="26"/>
        <v>0</v>
      </c>
      <c r="AK58" s="87">
        <f t="shared" si="27"/>
        <v>0</v>
      </c>
      <c r="AL58" s="87">
        <f t="shared" si="28"/>
        <v>0</v>
      </c>
      <c r="AM58" s="87">
        <f t="shared" si="29"/>
        <v>0</v>
      </c>
      <c r="AN58" s="87">
        <f t="shared" si="30"/>
        <v>0</v>
      </c>
      <c r="AO58" s="87">
        <f t="shared" si="31"/>
        <v>0</v>
      </c>
      <c r="AP58" s="87">
        <f t="shared" si="32"/>
        <v>0</v>
      </c>
      <c r="AQ58" s="87">
        <f t="shared" si="33"/>
        <v>15</v>
      </c>
      <c r="AR58" s="81"/>
      <c r="AS58" s="85">
        <f t="shared" si="34"/>
        <v>0</v>
      </c>
      <c r="AT58" s="85">
        <f t="shared" si="35"/>
        <v>0</v>
      </c>
      <c r="AU58" s="85">
        <f t="shared" si="36"/>
        <v>0</v>
      </c>
      <c r="AV58" s="85">
        <f t="shared" si="37"/>
        <v>0</v>
      </c>
      <c r="AW58" s="85">
        <f t="shared" si="38"/>
        <v>0</v>
      </c>
      <c r="AX58" s="85">
        <f t="shared" si="39"/>
        <v>0</v>
      </c>
      <c r="AY58" s="85">
        <f t="shared" si="40"/>
        <v>0</v>
      </c>
      <c r="AZ58" s="85">
        <f t="shared" si="41"/>
        <v>0</v>
      </c>
      <c r="BA58" s="85">
        <f t="shared" si="42"/>
        <v>0</v>
      </c>
      <c r="BB58" s="85">
        <f t="shared" si="43"/>
        <v>0</v>
      </c>
      <c r="BC58" s="85">
        <f t="shared" si="44"/>
        <v>0</v>
      </c>
      <c r="BD58" s="85">
        <f t="shared" si="45"/>
        <v>0</v>
      </c>
      <c r="BE58" s="85">
        <f t="shared" si="46"/>
        <v>0</v>
      </c>
      <c r="BF58" s="85">
        <f t="shared" si="47"/>
        <v>0</v>
      </c>
      <c r="BG58" s="85">
        <f t="shared" si="48"/>
        <v>0</v>
      </c>
      <c r="BH58" s="85">
        <f t="shared" si="49"/>
        <v>0</v>
      </c>
      <c r="BI58" s="85">
        <f t="shared" si="50"/>
        <v>0</v>
      </c>
      <c r="BJ58" s="85">
        <f t="shared" si="51"/>
        <v>0</v>
      </c>
      <c r="BK58" s="85">
        <f t="shared" si="52"/>
        <v>0</v>
      </c>
      <c r="BL58" s="85">
        <f t="shared" si="53"/>
        <v>0</v>
      </c>
      <c r="BM58" s="85">
        <f t="shared" si="54"/>
        <v>0</v>
      </c>
      <c r="BN58" s="85">
        <f t="shared" si="55"/>
        <v>0</v>
      </c>
      <c r="BO58" s="85">
        <f t="shared" si="56"/>
        <v>0</v>
      </c>
      <c r="BP58" s="85">
        <f t="shared" si="57"/>
        <v>0</v>
      </c>
      <c r="BQ58" s="85">
        <f t="shared" si="58"/>
        <v>0</v>
      </c>
      <c r="BR58" s="85">
        <f t="shared" si="59"/>
        <v>0</v>
      </c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X58" s="35" t="s">
        <v>12</v>
      </c>
      <c r="CZ58" s="35"/>
      <c r="DC58" s="57" t="str">
        <f t="shared" si="60"/>
        <v/>
      </c>
      <c r="DD58" s="64" t="str">
        <f t="shared" si="61"/>
        <v/>
      </c>
      <c r="DE58" s="65" t="str">
        <f t="shared" si="62"/>
        <v/>
      </c>
      <c r="DF58" s="66" t="str">
        <f t="shared" si="63"/>
        <v/>
      </c>
    </row>
    <row r="59" spans="2:110" collapsed="1">
      <c r="B59" s="54">
        <f t="shared" si="64"/>
        <v>43465</v>
      </c>
      <c r="C59" s="55" t="s">
        <v>1</v>
      </c>
      <c r="D59" s="56">
        <f t="shared" si="65"/>
        <v>43471</v>
      </c>
      <c r="E59" s="52">
        <f t="shared" si="66"/>
        <v>12</v>
      </c>
      <c r="F59" s="53">
        <f t="shared" si="67"/>
        <v>2019</v>
      </c>
      <c r="G59" s="62">
        <f t="shared" si="68"/>
        <v>15</v>
      </c>
      <c r="H59" s="63">
        <f t="shared" si="69"/>
        <v>96</v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>
        <v>15</v>
      </c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80"/>
      <c r="AG59" s="87">
        <f t="shared" si="23"/>
        <v>0</v>
      </c>
      <c r="AH59" s="87">
        <f t="shared" si="24"/>
        <v>0</v>
      </c>
      <c r="AI59" s="87">
        <f t="shared" si="25"/>
        <v>0</v>
      </c>
      <c r="AJ59" s="87">
        <f t="shared" si="26"/>
        <v>0</v>
      </c>
      <c r="AK59" s="87">
        <f t="shared" si="27"/>
        <v>0</v>
      </c>
      <c r="AL59" s="87">
        <f t="shared" si="28"/>
        <v>0</v>
      </c>
      <c r="AM59" s="87">
        <f t="shared" si="29"/>
        <v>0</v>
      </c>
      <c r="AN59" s="87">
        <f t="shared" si="30"/>
        <v>0</v>
      </c>
      <c r="AO59" s="87">
        <f t="shared" si="31"/>
        <v>0</v>
      </c>
      <c r="AP59" s="87">
        <f t="shared" si="32"/>
        <v>0</v>
      </c>
      <c r="AQ59" s="87">
        <f t="shared" si="33"/>
        <v>15</v>
      </c>
      <c r="AR59" s="81"/>
      <c r="AS59" s="85">
        <f t="shared" si="34"/>
        <v>0</v>
      </c>
      <c r="AT59" s="85">
        <f t="shared" si="35"/>
        <v>0</v>
      </c>
      <c r="AU59" s="85">
        <f t="shared" si="36"/>
        <v>0</v>
      </c>
      <c r="AV59" s="85">
        <f t="shared" si="37"/>
        <v>0</v>
      </c>
      <c r="AW59" s="85">
        <f t="shared" si="38"/>
        <v>0</v>
      </c>
      <c r="AX59" s="85">
        <f t="shared" si="39"/>
        <v>0</v>
      </c>
      <c r="AY59" s="85">
        <f t="shared" si="40"/>
        <v>0</v>
      </c>
      <c r="AZ59" s="85">
        <f t="shared" si="41"/>
        <v>0</v>
      </c>
      <c r="BA59" s="85">
        <f t="shared" si="42"/>
        <v>0</v>
      </c>
      <c r="BB59" s="85">
        <f t="shared" si="43"/>
        <v>0</v>
      </c>
      <c r="BC59" s="85">
        <f t="shared" si="44"/>
        <v>0</v>
      </c>
      <c r="BD59" s="85">
        <f t="shared" si="45"/>
        <v>0</v>
      </c>
      <c r="BE59" s="85">
        <f t="shared" si="46"/>
        <v>0</v>
      </c>
      <c r="BF59" s="85">
        <f t="shared" si="47"/>
        <v>0</v>
      </c>
      <c r="BG59" s="85">
        <f t="shared" si="48"/>
        <v>0</v>
      </c>
      <c r="BH59" s="85">
        <f t="shared" si="49"/>
        <v>0</v>
      </c>
      <c r="BI59" s="85">
        <f t="shared" si="50"/>
        <v>0</v>
      </c>
      <c r="BJ59" s="85">
        <f t="shared" si="51"/>
        <v>0</v>
      </c>
      <c r="BK59" s="85">
        <f t="shared" si="52"/>
        <v>0</v>
      </c>
      <c r="BL59" s="85">
        <f t="shared" si="53"/>
        <v>0</v>
      </c>
      <c r="BM59" s="85">
        <f t="shared" si="54"/>
        <v>0</v>
      </c>
      <c r="BN59" s="85">
        <f t="shared" si="55"/>
        <v>0</v>
      </c>
      <c r="BO59" s="85">
        <f t="shared" si="56"/>
        <v>0</v>
      </c>
      <c r="BP59" s="85">
        <f t="shared" si="57"/>
        <v>0</v>
      </c>
      <c r="BQ59" s="85">
        <f t="shared" si="58"/>
        <v>0</v>
      </c>
      <c r="BR59" s="85">
        <f t="shared" si="59"/>
        <v>0</v>
      </c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X59" s="35" t="s">
        <v>12</v>
      </c>
      <c r="CZ59" s="35"/>
      <c r="DC59" s="57" t="str">
        <f t="shared" si="60"/>
        <v/>
      </c>
      <c r="DD59" s="64" t="str">
        <f t="shared" si="61"/>
        <v/>
      </c>
      <c r="DE59" s="65" t="str">
        <f t="shared" si="62"/>
        <v/>
      </c>
      <c r="DF59" s="66" t="str">
        <f t="shared" si="63"/>
        <v/>
      </c>
    </row>
    <row r="60" spans="2:110" hidden="1" outlineLevel="1">
      <c r="B60" s="54">
        <f t="shared" si="64"/>
        <v>43472</v>
      </c>
      <c r="C60" s="55" t="s">
        <v>1</v>
      </c>
      <c r="D60" s="56">
        <f t="shared" si="65"/>
        <v>43478</v>
      </c>
      <c r="E60" s="52">
        <f t="shared" si="66"/>
        <v>1</v>
      </c>
      <c r="F60" s="53">
        <f t="shared" si="67"/>
        <v>2019</v>
      </c>
      <c r="G60" s="62">
        <f t="shared" si="68"/>
        <v>15</v>
      </c>
      <c r="H60" s="63">
        <f t="shared" si="69"/>
        <v>96</v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>
        <v>15</v>
      </c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80"/>
      <c r="AG60" s="87">
        <f t="shared" si="23"/>
        <v>0</v>
      </c>
      <c r="AH60" s="87">
        <f t="shared" si="24"/>
        <v>0</v>
      </c>
      <c r="AI60" s="87">
        <f t="shared" si="25"/>
        <v>0</v>
      </c>
      <c r="AJ60" s="87">
        <f t="shared" si="26"/>
        <v>0</v>
      </c>
      <c r="AK60" s="87">
        <f t="shared" si="27"/>
        <v>0</v>
      </c>
      <c r="AL60" s="87">
        <f t="shared" si="28"/>
        <v>0</v>
      </c>
      <c r="AM60" s="87">
        <f t="shared" si="29"/>
        <v>0</v>
      </c>
      <c r="AN60" s="87">
        <f t="shared" si="30"/>
        <v>0</v>
      </c>
      <c r="AO60" s="87">
        <f t="shared" si="31"/>
        <v>0</v>
      </c>
      <c r="AP60" s="87">
        <f t="shared" si="32"/>
        <v>0</v>
      </c>
      <c r="AQ60" s="87">
        <f t="shared" si="33"/>
        <v>15</v>
      </c>
      <c r="AR60" s="81"/>
      <c r="AS60" s="85">
        <f t="shared" si="34"/>
        <v>0</v>
      </c>
      <c r="AT60" s="85">
        <f t="shared" si="35"/>
        <v>0</v>
      </c>
      <c r="AU60" s="85">
        <f t="shared" si="36"/>
        <v>0</v>
      </c>
      <c r="AV60" s="85">
        <f t="shared" si="37"/>
        <v>0</v>
      </c>
      <c r="AW60" s="85">
        <f t="shared" si="38"/>
        <v>0</v>
      </c>
      <c r="AX60" s="85">
        <f t="shared" si="39"/>
        <v>0</v>
      </c>
      <c r="AY60" s="85">
        <f t="shared" si="40"/>
        <v>0</v>
      </c>
      <c r="AZ60" s="85">
        <f t="shared" si="41"/>
        <v>0</v>
      </c>
      <c r="BA60" s="85">
        <f t="shared" si="42"/>
        <v>0</v>
      </c>
      <c r="BB60" s="85">
        <f t="shared" si="43"/>
        <v>0</v>
      </c>
      <c r="BC60" s="85">
        <f t="shared" si="44"/>
        <v>0</v>
      </c>
      <c r="BD60" s="85">
        <f t="shared" si="45"/>
        <v>0</v>
      </c>
      <c r="BE60" s="85">
        <f t="shared" si="46"/>
        <v>0</v>
      </c>
      <c r="BF60" s="85">
        <f t="shared" si="47"/>
        <v>0</v>
      </c>
      <c r="BG60" s="85">
        <f t="shared" si="48"/>
        <v>0</v>
      </c>
      <c r="BH60" s="85">
        <f t="shared" si="49"/>
        <v>0</v>
      </c>
      <c r="BI60" s="85">
        <f t="shared" si="50"/>
        <v>0</v>
      </c>
      <c r="BJ60" s="85">
        <f t="shared" si="51"/>
        <v>0</v>
      </c>
      <c r="BK60" s="85">
        <f t="shared" si="52"/>
        <v>0</v>
      </c>
      <c r="BL60" s="85">
        <f t="shared" si="53"/>
        <v>0</v>
      </c>
      <c r="BM60" s="85">
        <f t="shared" si="54"/>
        <v>0</v>
      </c>
      <c r="BN60" s="85">
        <f t="shared" si="55"/>
        <v>0</v>
      </c>
      <c r="BO60" s="85">
        <f t="shared" si="56"/>
        <v>0</v>
      </c>
      <c r="BP60" s="85">
        <f t="shared" si="57"/>
        <v>0</v>
      </c>
      <c r="BQ60" s="85">
        <f t="shared" si="58"/>
        <v>0</v>
      </c>
      <c r="BR60" s="85">
        <f t="shared" si="59"/>
        <v>0</v>
      </c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X60" s="35" t="s">
        <v>12</v>
      </c>
      <c r="CZ60" s="35"/>
      <c r="DC60" s="57" t="str">
        <f t="shared" si="60"/>
        <v/>
      </c>
      <c r="DD60" s="64" t="str">
        <f t="shared" si="61"/>
        <v/>
      </c>
      <c r="DE60" s="65" t="str">
        <f t="shared" si="62"/>
        <v/>
      </c>
      <c r="DF60" s="66" t="str">
        <f t="shared" si="63"/>
        <v/>
      </c>
    </row>
    <row r="61" spans="2:110" hidden="1" outlineLevel="1">
      <c r="B61" s="54">
        <f t="shared" si="64"/>
        <v>43479</v>
      </c>
      <c r="C61" s="55" t="s">
        <v>1</v>
      </c>
      <c r="D61" s="56">
        <f t="shared" si="65"/>
        <v>43485</v>
      </c>
      <c r="E61" s="52">
        <f t="shared" si="66"/>
        <v>1</v>
      </c>
      <c r="F61" s="53">
        <f t="shared" si="67"/>
        <v>2019</v>
      </c>
      <c r="G61" s="62">
        <f t="shared" si="68"/>
        <v>15</v>
      </c>
      <c r="H61" s="63">
        <f t="shared" si="69"/>
        <v>96</v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>
        <v>15</v>
      </c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80"/>
      <c r="AG61" s="87">
        <f t="shared" si="23"/>
        <v>0</v>
      </c>
      <c r="AH61" s="87">
        <f t="shared" si="24"/>
        <v>0</v>
      </c>
      <c r="AI61" s="87">
        <f t="shared" si="25"/>
        <v>0</v>
      </c>
      <c r="AJ61" s="87">
        <f t="shared" si="26"/>
        <v>0</v>
      </c>
      <c r="AK61" s="87">
        <f t="shared" si="27"/>
        <v>0</v>
      </c>
      <c r="AL61" s="87">
        <f t="shared" si="28"/>
        <v>0</v>
      </c>
      <c r="AM61" s="87">
        <f t="shared" si="29"/>
        <v>0</v>
      </c>
      <c r="AN61" s="87">
        <f t="shared" si="30"/>
        <v>0</v>
      </c>
      <c r="AO61" s="87">
        <f t="shared" si="31"/>
        <v>0</v>
      </c>
      <c r="AP61" s="87">
        <f t="shared" si="32"/>
        <v>0</v>
      </c>
      <c r="AQ61" s="87">
        <f t="shared" si="33"/>
        <v>15</v>
      </c>
      <c r="AR61" s="81"/>
      <c r="AS61" s="85">
        <f t="shared" si="34"/>
        <v>0</v>
      </c>
      <c r="AT61" s="85">
        <f t="shared" si="35"/>
        <v>0</v>
      </c>
      <c r="AU61" s="85">
        <f t="shared" si="36"/>
        <v>0</v>
      </c>
      <c r="AV61" s="85">
        <f t="shared" si="37"/>
        <v>0</v>
      </c>
      <c r="AW61" s="85">
        <f t="shared" si="38"/>
        <v>0</v>
      </c>
      <c r="AX61" s="85">
        <f t="shared" si="39"/>
        <v>0</v>
      </c>
      <c r="AY61" s="85">
        <f t="shared" si="40"/>
        <v>0</v>
      </c>
      <c r="AZ61" s="85">
        <f t="shared" si="41"/>
        <v>0</v>
      </c>
      <c r="BA61" s="85">
        <f t="shared" si="42"/>
        <v>0</v>
      </c>
      <c r="BB61" s="85">
        <f t="shared" si="43"/>
        <v>0</v>
      </c>
      <c r="BC61" s="85">
        <f t="shared" si="44"/>
        <v>0</v>
      </c>
      <c r="BD61" s="85">
        <f t="shared" si="45"/>
        <v>0</v>
      </c>
      <c r="BE61" s="85">
        <f t="shared" si="46"/>
        <v>0</v>
      </c>
      <c r="BF61" s="85">
        <f t="shared" si="47"/>
        <v>0</v>
      </c>
      <c r="BG61" s="85">
        <f t="shared" si="48"/>
        <v>0</v>
      </c>
      <c r="BH61" s="85">
        <f t="shared" si="49"/>
        <v>0</v>
      </c>
      <c r="BI61" s="85">
        <f t="shared" si="50"/>
        <v>0</v>
      </c>
      <c r="BJ61" s="85">
        <f t="shared" si="51"/>
        <v>0</v>
      </c>
      <c r="BK61" s="85">
        <f t="shared" si="52"/>
        <v>0</v>
      </c>
      <c r="BL61" s="85">
        <f t="shared" si="53"/>
        <v>0</v>
      </c>
      <c r="BM61" s="85">
        <f t="shared" si="54"/>
        <v>0</v>
      </c>
      <c r="BN61" s="85">
        <f t="shared" si="55"/>
        <v>0</v>
      </c>
      <c r="BO61" s="85">
        <f t="shared" si="56"/>
        <v>0</v>
      </c>
      <c r="BP61" s="85">
        <f t="shared" si="57"/>
        <v>0</v>
      </c>
      <c r="BQ61" s="85">
        <f t="shared" si="58"/>
        <v>0</v>
      </c>
      <c r="BR61" s="85">
        <f t="shared" si="59"/>
        <v>0</v>
      </c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X61" s="35" t="s">
        <v>12</v>
      </c>
      <c r="CZ61" s="35"/>
      <c r="DC61" s="57" t="str">
        <f t="shared" si="60"/>
        <v/>
      </c>
      <c r="DD61" s="64" t="str">
        <f t="shared" si="61"/>
        <v/>
      </c>
      <c r="DE61" s="65" t="str">
        <f t="shared" si="62"/>
        <v/>
      </c>
      <c r="DF61" s="66" t="str">
        <f t="shared" si="63"/>
        <v/>
      </c>
    </row>
    <row r="62" spans="2:110" hidden="1" outlineLevel="1">
      <c r="B62" s="54">
        <f t="shared" si="64"/>
        <v>43486</v>
      </c>
      <c r="C62" s="55" t="s">
        <v>1</v>
      </c>
      <c r="D62" s="56">
        <f t="shared" si="65"/>
        <v>43492</v>
      </c>
      <c r="E62" s="52">
        <f t="shared" si="66"/>
        <v>1</v>
      </c>
      <c r="F62" s="53">
        <f t="shared" si="67"/>
        <v>2019</v>
      </c>
      <c r="G62" s="62">
        <f t="shared" si="68"/>
        <v>15</v>
      </c>
      <c r="H62" s="63">
        <f t="shared" si="69"/>
        <v>96</v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>
        <v>15</v>
      </c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80"/>
      <c r="AG62" s="87">
        <f t="shared" si="23"/>
        <v>0</v>
      </c>
      <c r="AH62" s="87">
        <f t="shared" si="24"/>
        <v>0</v>
      </c>
      <c r="AI62" s="87">
        <f t="shared" si="25"/>
        <v>0</v>
      </c>
      <c r="AJ62" s="87">
        <f t="shared" si="26"/>
        <v>0</v>
      </c>
      <c r="AK62" s="87">
        <f t="shared" si="27"/>
        <v>0</v>
      </c>
      <c r="AL62" s="87">
        <f t="shared" si="28"/>
        <v>0</v>
      </c>
      <c r="AM62" s="87">
        <f t="shared" si="29"/>
        <v>0</v>
      </c>
      <c r="AN62" s="87">
        <f t="shared" si="30"/>
        <v>0</v>
      </c>
      <c r="AO62" s="87">
        <f t="shared" si="31"/>
        <v>0</v>
      </c>
      <c r="AP62" s="87">
        <f t="shared" si="32"/>
        <v>0</v>
      </c>
      <c r="AQ62" s="87">
        <f t="shared" si="33"/>
        <v>15</v>
      </c>
      <c r="AR62" s="81"/>
      <c r="AS62" s="85">
        <f t="shared" si="34"/>
        <v>0</v>
      </c>
      <c r="AT62" s="85">
        <f t="shared" si="35"/>
        <v>0</v>
      </c>
      <c r="AU62" s="85">
        <f t="shared" si="36"/>
        <v>0</v>
      </c>
      <c r="AV62" s="85">
        <f t="shared" si="37"/>
        <v>0</v>
      </c>
      <c r="AW62" s="85">
        <f t="shared" si="38"/>
        <v>0</v>
      </c>
      <c r="AX62" s="85">
        <f t="shared" si="39"/>
        <v>0</v>
      </c>
      <c r="AY62" s="85">
        <f t="shared" si="40"/>
        <v>0</v>
      </c>
      <c r="AZ62" s="85">
        <f t="shared" si="41"/>
        <v>0</v>
      </c>
      <c r="BA62" s="85">
        <f t="shared" si="42"/>
        <v>0</v>
      </c>
      <c r="BB62" s="85">
        <f t="shared" si="43"/>
        <v>0</v>
      </c>
      <c r="BC62" s="85">
        <f t="shared" si="44"/>
        <v>0</v>
      </c>
      <c r="BD62" s="85">
        <f t="shared" si="45"/>
        <v>0</v>
      </c>
      <c r="BE62" s="85">
        <f t="shared" si="46"/>
        <v>0</v>
      </c>
      <c r="BF62" s="85">
        <f t="shared" si="47"/>
        <v>0</v>
      </c>
      <c r="BG62" s="85">
        <f t="shared" si="48"/>
        <v>0</v>
      </c>
      <c r="BH62" s="85">
        <f t="shared" si="49"/>
        <v>0</v>
      </c>
      <c r="BI62" s="85">
        <f t="shared" si="50"/>
        <v>0</v>
      </c>
      <c r="BJ62" s="85">
        <f t="shared" si="51"/>
        <v>0</v>
      </c>
      <c r="BK62" s="85">
        <f t="shared" si="52"/>
        <v>0</v>
      </c>
      <c r="BL62" s="85">
        <f t="shared" si="53"/>
        <v>0</v>
      </c>
      <c r="BM62" s="85">
        <f t="shared" si="54"/>
        <v>0</v>
      </c>
      <c r="BN62" s="85">
        <f t="shared" si="55"/>
        <v>0</v>
      </c>
      <c r="BO62" s="85">
        <f t="shared" si="56"/>
        <v>0</v>
      </c>
      <c r="BP62" s="85">
        <f t="shared" si="57"/>
        <v>0</v>
      </c>
      <c r="BQ62" s="85">
        <f t="shared" si="58"/>
        <v>0</v>
      </c>
      <c r="BR62" s="85">
        <f t="shared" si="59"/>
        <v>0</v>
      </c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U62" s="31">
        <f>B62+2</f>
        <v>43488</v>
      </c>
      <c r="CV62" t="s">
        <v>7</v>
      </c>
      <c r="CW62">
        <v>11</v>
      </c>
      <c r="CX62" s="35">
        <v>43488</v>
      </c>
      <c r="CZ62" s="35">
        <f>B79</f>
        <v>43605</v>
      </c>
      <c r="DA62">
        <v>97</v>
      </c>
      <c r="DC62" s="57" t="str">
        <f t="shared" si="60"/>
        <v/>
      </c>
      <c r="DD62" s="64" t="str">
        <f t="shared" si="61"/>
        <v/>
      </c>
      <c r="DE62" s="65" t="str">
        <f t="shared" si="62"/>
        <v/>
      </c>
      <c r="DF62" s="66" t="str">
        <f t="shared" si="63"/>
        <v/>
      </c>
    </row>
    <row r="63" spans="2:110" hidden="1" outlineLevel="1">
      <c r="B63" s="54">
        <f t="shared" si="64"/>
        <v>43493</v>
      </c>
      <c r="C63" s="55" t="s">
        <v>1</v>
      </c>
      <c r="D63" s="56">
        <f t="shared" si="65"/>
        <v>43499</v>
      </c>
      <c r="E63" s="52">
        <f t="shared" si="66"/>
        <v>1</v>
      </c>
      <c r="F63" s="53">
        <f t="shared" si="67"/>
        <v>2019</v>
      </c>
      <c r="G63" s="62">
        <f t="shared" si="68"/>
        <v>15</v>
      </c>
      <c r="H63" s="63">
        <f t="shared" si="69"/>
        <v>96</v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>
        <v>15</v>
      </c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80"/>
      <c r="AG63" s="87">
        <f t="shared" si="23"/>
        <v>0</v>
      </c>
      <c r="AH63" s="87">
        <f t="shared" si="24"/>
        <v>0</v>
      </c>
      <c r="AI63" s="87">
        <f t="shared" si="25"/>
        <v>0</v>
      </c>
      <c r="AJ63" s="87">
        <f t="shared" si="26"/>
        <v>0</v>
      </c>
      <c r="AK63" s="87">
        <f t="shared" si="27"/>
        <v>0</v>
      </c>
      <c r="AL63" s="87">
        <f t="shared" si="28"/>
        <v>0</v>
      </c>
      <c r="AM63" s="87">
        <f t="shared" si="29"/>
        <v>0</v>
      </c>
      <c r="AN63" s="87">
        <f t="shared" si="30"/>
        <v>0</v>
      </c>
      <c r="AO63" s="87">
        <f t="shared" si="31"/>
        <v>0</v>
      </c>
      <c r="AP63" s="87">
        <f t="shared" si="32"/>
        <v>0</v>
      </c>
      <c r="AQ63" s="87">
        <f t="shared" si="33"/>
        <v>15</v>
      </c>
      <c r="AR63" s="81"/>
      <c r="AS63" s="85">
        <f t="shared" si="34"/>
        <v>0</v>
      </c>
      <c r="AT63" s="85">
        <f t="shared" si="35"/>
        <v>0</v>
      </c>
      <c r="AU63" s="85">
        <f t="shared" si="36"/>
        <v>0</v>
      </c>
      <c r="AV63" s="85">
        <f t="shared" si="37"/>
        <v>0</v>
      </c>
      <c r="AW63" s="85">
        <f t="shared" si="38"/>
        <v>0</v>
      </c>
      <c r="AX63" s="85">
        <f t="shared" si="39"/>
        <v>0</v>
      </c>
      <c r="AY63" s="85">
        <f t="shared" si="40"/>
        <v>0</v>
      </c>
      <c r="AZ63" s="85">
        <f t="shared" si="41"/>
        <v>0</v>
      </c>
      <c r="BA63" s="85">
        <f t="shared" si="42"/>
        <v>0</v>
      </c>
      <c r="BB63" s="85">
        <f t="shared" si="43"/>
        <v>0</v>
      </c>
      <c r="BC63" s="85">
        <f t="shared" si="44"/>
        <v>0</v>
      </c>
      <c r="BD63" s="85">
        <f t="shared" si="45"/>
        <v>0</v>
      </c>
      <c r="BE63" s="85">
        <f t="shared" si="46"/>
        <v>0</v>
      </c>
      <c r="BF63" s="85">
        <f t="shared" si="47"/>
        <v>0</v>
      </c>
      <c r="BG63" s="85">
        <f t="shared" si="48"/>
        <v>0</v>
      </c>
      <c r="BH63" s="85">
        <f t="shared" si="49"/>
        <v>0</v>
      </c>
      <c r="BI63" s="85">
        <f t="shared" si="50"/>
        <v>0</v>
      </c>
      <c r="BJ63" s="85">
        <f t="shared" si="51"/>
        <v>0</v>
      </c>
      <c r="BK63" s="85">
        <f t="shared" si="52"/>
        <v>0</v>
      </c>
      <c r="BL63" s="85">
        <f t="shared" si="53"/>
        <v>0</v>
      </c>
      <c r="BM63" s="85">
        <f t="shared" si="54"/>
        <v>0</v>
      </c>
      <c r="BN63" s="85">
        <f t="shared" si="55"/>
        <v>0</v>
      </c>
      <c r="BO63" s="85">
        <f t="shared" si="56"/>
        <v>0</v>
      </c>
      <c r="BP63" s="85">
        <f t="shared" si="57"/>
        <v>0</v>
      </c>
      <c r="BQ63" s="85">
        <f t="shared" si="58"/>
        <v>0</v>
      </c>
      <c r="BR63" s="85">
        <f t="shared" si="59"/>
        <v>0</v>
      </c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X63" s="35" t="s">
        <v>12</v>
      </c>
      <c r="CZ63" s="35"/>
      <c r="DC63" s="57" t="str">
        <f t="shared" si="60"/>
        <v/>
      </c>
      <c r="DD63" s="64" t="str">
        <f t="shared" si="61"/>
        <v/>
      </c>
      <c r="DE63" s="65" t="str">
        <f t="shared" si="62"/>
        <v/>
      </c>
      <c r="DF63" s="66" t="str">
        <f t="shared" si="63"/>
        <v/>
      </c>
    </row>
    <row r="64" spans="2:110" hidden="1" outlineLevel="1">
      <c r="B64" s="54">
        <f t="shared" si="64"/>
        <v>43500</v>
      </c>
      <c r="C64" s="55" t="s">
        <v>1</v>
      </c>
      <c r="D64" s="56">
        <f t="shared" si="65"/>
        <v>43506</v>
      </c>
      <c r="E64" s="52">
        <f t="shared" si="66"/>
        <v>2</v>
      </c>
      <c r="F64" s="53">
        <f t="shared" si="67"/>
        <v>2019</v>
      </c>
      <c r="G64" s="62">
        <f t="shared" si="68"/>
        <v>15</v>
      </c>
      <c r="H64" s="63">
        <f t="shared" si="69"/>
        <v>96</v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>
        <v>15</v>
      </c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80"/>
      <c r="AG64" s="87">
        <f t="shared" si="23"/>
        <v>0</v>
      </c>
      <c r="AH64" s="87">
        <f t="shared" si="24"/>
        <v>0</v>
      </c>
      <c r="AI64" s="87">
        <f t="shared" si="25"/>
        <v>0</v>
      </c>
      <c r="AJ64" s="87">
        <f t="shared" si="26"/>
        <v>0</v>
      </c>
      <c r="AK64" s="87">
        <f t="shared" si="27"/>
        <v>0</v>
      </c>
      <c r="AL64" s="87">
        <f t="shared" si="28"/>
        <v>0</v>
      </c>
      <c r="AM64" s="87">
        <f t="shared" si="29"/>
        <v>0</v>
      </c>
      <c r="AN64" s="87">
        <f t="shared" si="30"/>
        <v>0</v>
      </c>
      <c r="AO64" s="87">
        <f t="shared" si="31"/>
        <v>0</v>
      </c>
      <c r="AP64" s="87">
        <f t="shared" si="32"/>
        <v>0</v>
      </c>
      <c r="AQ64" s="87">
        <f t="shared" si="33"/>
        <v>15</v>
      </c>
      <c r="AR64" s="81"/>
      <c r="AS64" s="85">
        <f t="shared" si="34"/>
        <v>0</v>
      </c>
      <c r="AT64" s="85">
        <f t="shared" si="35"/>
        <v>0</v>
      </c>
      <c r="AU64" s="85">
        <f t="shared" si="36"/>
        <v>0</v>
      </c>
      <c r="AV64" s="85">
        <f t="shared" si="37"/>
        <v>0</v>
      </c>
      <c r="AW64" s="85">
        <f t="shared" si="38"/>
        <v>0</v>
      </c>
      <c r="AX64" s="85">
        <f t="shared" si="39"/>
        <v>0</v>
      </c>
      <c r="AY64" s="85">
        <f t="shared" si="40"/>
        <v>0</v>
      </c>
      <c r="AZ64" s="85">
        <f t="shared" si="41"/>
        <v>0</v>
      </c>
      <c r="BA64" s="85">
        <f t="shared" si="42"/>
        <v>0</v>
      </c>
      <c r="BB64" s="85">
        <f t="shared" si="43"/>
        <v>0</v>
      </c>
      <c r="BC64" s="85">
        <f t="shared" si="44"/>
        <v>0</v>
      </c>
      <c r="BD64" s="85">
        <f t="shared" si="45"/>
        <v>0</v>
      </c>
      <c r="BE64" s="85">
        <f t="shared" si="46"/>
        <v>0</v>
      </c>
      <c r="BF64" s="85">
        <f t="shared" si="47"/>
        <v>0</v>
      </c>
      <c r="BG64" s="85">
        <f t="shared" si="48"/>
        <v>0</v>
      </c>
      <c r="BH64" s="85">
        <f t="shared" si="49"/>
        <v>0</v>
      </c>
      <c r="BI64" s="85">
        <f t="shared" si="50"/>
        <v>0</v>
      </c>
      <c r="BJ64" s="85">
        <f t="shared" si="51"/>
        <v>0</v>
      </c>
      <c r="BK64" s="85">
        <f t="shared" si="52"/>
        <v>0</v>
      </c>
      <c r="BL64" s="85">
        <f t="shared" si="53"/>
        <v>0</v>
      </c>
      <c r="BM64" s="85">
        <f t="shared" si="54"/>
        <v>0</v>
      </c>
      <c r="BN64" s="85">
        <f t="shared" si="55"/>
        <v>0</v>
      </c>
      <c r="BO64" s="85">
        <f t="shared" si="56"/>
        <v>0</v>
      </c>
      <c r="BP64" s="85">
        <f t="shared" si="57"/>
        <v>0</v>
      </c>
      <c r="BQ64" s="85">
        <f t="shared" si="58"/>
        <v>0</v>
      </c>
      <c r="BR64" s="85">
        <f t="shared" si="59"/>
        <v>0</v>
      </c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X64" s="35" t="s">
        <v>12</v>
      </c>
      <c r="CZ64" s="35"/>
      <c r="DC64" s="57" t="str">
        <f t="shared" si="60"/>
        <v/>
      </c>
      <c r="DD64" s="64" t="str">
        <f t="shared" si="61"/>
        <v/>
      </c>
      <c r="DE64" s="65" t="str">
        <f t="shared" si="62"/>
        <v/>
      </c>
      <c r="DF64" s="66" t="str">
        <f t="shared" si="63"/>
        <v/>
      </c>
    </row>
    <row r="65" spans="2:110" hidden="1" outlineLevel="1">
      <c r="B65" s="54">
        <f t="shared" si="64"/>
        <v>43507</v>
      </c>
      <c r="C65" s="55" t="s">
        <v>1</v>
      </c>
      <c r="D65" s="56">
        <f t="shared" si="65"/>
        <v>43513</v>
      </c>
      <c r="E65" s="52">
        <f t="shared" si="66"/>
        <v>2</v>
      </c>
      <c r="F65" s="53">
        <f t="shared" si="67"/>
        <v>2019</v>
      </c>
      <c r="G65" s="62">
        <f t="shared" si="68"/>
        <v>15</v>
      </c>
      <c r="H65" s="63">
        <f t="shared" si="69"/>
        <v>96</v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>
        <v>15</v>
      </c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80"/>
      <c r="AG65" s="87">
        <f t="shared" si="23"/>
        <v>0</v>
      </c>
      <c r="AH65" s="87">
        <f t="shared" si="24"/>
        <v>0</v>
      </c>
      <c r="AI65" s="87">
        <f t="shared" si="25"/>
        <v>0</v>
      </c>
      <c r="AJ65" s="87">
        <f t="shared" si="26"/>
        <v>0</v>
      </c>
      <c r="AK65" s="87">
        <f t="shared" si="27"/>
        <v>0</v>
      </c>
      <c r="AL65" s="87">
        <f t="shared" si="28"/>
        <v>0</v>
      </c>
      <c r="AM65" s="87">
        <f t="shared" si="29"/>
        <v>0</v>
      </c>
      <c r="AN65" s="87">
        <f t="shared" si="30"/>
        <v>0</v>
      </c>
      <c r="AO65" s="87">
        <f t="shared" si="31"/>
        <v>0</v>
      </c>
      <c r="AP65" s="87">
        <f t="shared" si="32"/>
        <v>0</v>
      </c>
      <c r="AQ65" s="87">
        <f t="shared" si="33"/>
        <v>15</v>
      </c>
      <c r="AR65" s="81"/>
      <c r="AS65" s="85">
        <f t="shared" si="34"/>
        <v>0</v>
      </c>
      <c r="AT65" s="85">
        <f t="shared" si="35"/>
        <v>0</v>
      </c>
      <c r="AU65" s="85">
        <f t="shared" si="36"/>
        <v>0</v>
      </c>
      <c r="AV65" s="85">
        <f t="shared" si="37"/>
        <v>0</v>
      </c>
      <c r="AW65" s="85">
        <f t="shared" si="38"/>
        <v>0</v>
      </c>
      <c r="AX65" s="85">
        <f t="shared" si="39"/>
        <v>0</v>
      </c>
      <c r="AY65" s="85">
        <f t="shared" si="40"/>
        <v>0</v>
      </c>
      <c r="AZ65" s="85">
        <f t="shared" si="41"/>
        <v>0</v>
      </c>
      <c r="BA65" s="85">
        <f t="shared" si="42"/>
        <v>0</v>
      </c>
      <c r="BB65" s="85">
        <f t="shared" si="43"/>
        <v>0</v>
      </c>
      <c r="BC65" s="85">
        <f t="shared" si="44"/>
        <v>0</v>
      </c>
      <c r="BD65" s="85">
        <f t="shared" si="45"/>
        <v>0</v>
      </c>
      <c r="BE65" s="85">
        <f t="shared" si="46"/>
        <v>0</v>
      </c>
      <c r="BF65" s="85">
        <f t="shared" si="47"/>
        <v>0</v>
      </c>
      <c r="BG65" s="85">
        <f t="shared" si="48"/>
        <v>0</v>
      </c>
      <c r="BH65" s="85">
        <f t="shared" si="49"/>
        <v>0</v>
      </c>
      <c r="BI65" s="85">
        <f t="shared" si="50"/>
        <v>0</v>
      </c>
      <c r="BJ65" s="85">
        <f t="shared" si="51"/>
        <v>0</v>
      </c>
      <c r="BK65" s="85">
        <f t="shared" si="52"/>
        <v>0</v>
      </c>
      <c r="BL65" s="85">
        <f t="shared" si="53"/>
        <v>0</v>
      </c>
      <c r="BM65" s="85">
        <f t="shared" si="54"/>
        <v>0</v>
      </c>
      <c r="BN65" s="85">
        <f t="shared" si="55"/>
        <v>0</v>
      </c>
      <c r="BO65" s="85">
        <f t="shared" si="56"/>
        <v>0</v>
      </c>
      <c r="BP65" s="85">
        <f t="shared" si="57"/>
        <v>0</v>
      </c>
      <c r="BQ65" s="85">
        <f t="shared" si="58"/>
        <v>0</v>
      </c>
      <c r="BR65" s="85">
        <f t="shared" si="59"/>
        <v>0</v>
      </c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X65" s="35" t="s">
        <v>12</v>
      </c>
      <c r="CZ65" s="35"/>
      <c r="DC65" s="57" t="str">
        <f t="shared" si="60"/>
        <v/>
      </c>
      <c r="DD65" s="64" t="str">
        <f t="shared" si="61"/>
        <v/>
      </c>
      <c r="DE65" s="65" t="str">
        <f t="shared" si="62"/>
        <v/>
      </c>
      <c r="DF65" s="66" t="str">
        <f t="shared" si="63"/>
        <v/>
      </c>
    </row>
    <row r="66" spans="2:110" hidden="1" outlineLevel="1">
      <c r="B66" s="54">
        <f t="shared" si="64"/>
        <v>43514</v>
      </c>
      <c r="C66" s="55" t="s">
        <v>1</v>
      </c>
      <c r="D66" s="56">
        <f t="shared" si="65"/>
        <v>43520</v>
      </c>
      <c r="E66" s="52">
        <f t="shared" si="66"/>
        <v>2</v>
      </c>
      <c r="F66" s="53">
        <f t="shared" si="67"/>
        <v>2019</v>
      </c>
      <c r="G66" s="62">
        <f t="shared" si="68"/>
        <v>15</v>
      </c>
      <c r="H66" s="63">
        <f t="shared" si="69"/>
        <v>96</v>
      </c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>
        <v>15</v>
      </c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80"/>
      <c r="AG66" s="87">
        <f t="shared" si="23"/>
        <v>0</v>
      </c>
      <c r="AH66" s="87">
        <f t="shared" si="24"/>
        <v>0</v>
      </c>
      <c r="AI66" s="87">
        <f t="shared" si="25"/>
        <v>0</v>
      </c>
      <c r="AJ66" s="87">
        <f t="shared" si="26"/>
        <v>0</v>
      </c>
      <c r="AK66" s="87">
        <f t="shared" si="27"/>
        <v>0</v>
      </c>
      <c r="AL66" s="87">
        <f t="shared" si="28"/>
        <v>0</v>
      </c>
      <c r="AM66" s="87">
        <f t="shared" si="29"/>
        <v>0</v>
      </c>
      <c r="AN66" s="87">
        <f t="shared" si="30"/>
        <v>0</v>
      </c>
      <c r="AO66" s="87">
        <f t="shared" si="31"/>
        <v>0</v>
      </c>
      <c r="AP66" s="87">
        <f t="shared" si="32"/>
        <v>0</v>
      </c>
      <c r="AQ66" s="87">
        <f t="shared" si="33"/>
        <v>15</v>
      </c>
      <c r="AR66" s="81"/>
      <c r="AS66" s="85">
        <f t="shared" si="34"/>
        <v>0</v>
      </c>
      <c r="AT66" s="85">
        <f t="shared" si="35"/>
        <v>0</v>
      </c>
      <c r="AU66" s="85">
        <f t="shared" si="36"/>
        <v>0</v>
      </c>
      <c r="AV66" s="85">
        <f t="shared" si="37"/>
        <v>0</v>
      </c>
      <c r="AW66" s="85">
        <f t="shared" si="38"/>
        <v>0</v>
      </c>
      <c r="AX66" s="85">
        <f t="shared" si="39"/>
        <v>0</v>
      </c>
      <c r="AY66" s="85">
        <f t="shared" si="40"/>
        <v>0</v>
      </c>
      <c r="AZ66" s="85">
        <f t="shared" si="41"/>
        <v>0</v>
      </c>
      <c r="BA66" s="85">
        <f t="shared" si="42"/>
        <v>0</v>
      </c>
      <c r="BB66" s="85">
        <f t="shared" si="43"/>
        <v>0</v>
      </c>
      <c r="BC66" s="85">
        <f t="shared" si="44"/>
        <v>0</v>
      </c>
      <c r="BD66" s="85">
        <f t="shared" si="45"/>
        <v>0</v>
      </c>
      <c r="BE66" s="85">
        <f t="shared" si="46"/>
        <v>0</v>
      </c>
      <c r="BF66" s="85">
        <f t="shared" si="47"/>
        <v>0</v>
      </c>
      <c r="BG66" s="85">
        <f t="shared" si="48"/>
        <v>0</v>
      </c>
      <c r="BH66" s="85">
        <f t="shared" si="49"/>
        <v>0</v>
      </c>
      <c r="BI66" s="85">
        <f t="shared" si="50"/>
        <v>0</v>
      </c>
      <c r="BJ66" s="85">
        <f t="shared" si="51"/>
        <v>0</v>
      </c>
      <c r="BK66" s="85">
        <f t="shared" si="52"/>
        <v>0</v>
      </c>
      <c r="BL66" s="85">
        <f t="shared" si="53"/>
        <v>0</v>
      </c>
      <c r="BM66" s="85">
        <f t="shared" si="54"/>
        <v>0</v>
      </c>
      <c r="BN66" s="85">
        <f t="shared" si="55"/>
        <v>0</v>
      </c>
      <c r="BO66" s="85">
        <f t="shared" si="56"/>
        <v>0</v>
      </c>
      <c r="BP66" s="85">
        <f t="shared" si="57"/>
        <v>0</v>
      </c>
      <c r="BQ66" s="85">
        <f t="shared" si="58"/>
        <v>0</v>
      </c>
      <c r="BR66" s="85">
        <f t="shared" si="59"/>
        <v>0</v>
      </c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W66">
        <v>12</v>
      </c>
      <c r="CX66" s="35">
        <v>43514</v>
      </c>
      <c r="CZ66" s="35">
        <f>B83</f>
        <v>43633</v>
      </c>
      <c r="DA66">
        <v>97</v>
      </c>
      <c r="DC66" s="57" t="str">
        <f t="shared" si="60"/>
        <v/>
      </c>
      <c r="DD66" s="64" t="str">
        <f t="shared" si="61"/>
        <v/>
      </c>
      <c r="DE66" s="65" t="str">
        <f t="shared" si="62"/>
        <v/>
      </c>
      <c r="DF66" s="66" t="str">
        <f t="shared" si="63"/>
        <v/>
      </c>
    </row>
    <row r="67" spans="2:110" hidden="1" outlineLevel="1">
      <c r="B67" s="54">
        <f t="shared" si="64"/>
        <v>43521</v>
      </c>
      <c r="C67" s="55" t="s">
        <v>1</v>
      </c>
      <c r="D67" s="56">
        <f t="shared" si="65"/>
        <v>43527</v>
      </c>
      <c r="E67" s="52">
        <f t="shared" si="66"/>
        <v>2</v>
      </c>
      <c r="F67" s="53">
        <f t="shared" si="67"/>
        <v>2019</v>
      </c>
      <c r="G67" s="62">
        <f t="shared" si="68"/>
        <v>15</v>
      </c>
      <c r="H67" s="63">
        <f t="shared" si="69"/>
        <v>96</v>
      </c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>
        <v>15</v>
      </c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80"/>
      <c r="AG67" s="87">
        <f t="shared" si="23"/>
        <v>0</v>
      </c>
      <c r="AH67" s="87">
        <f t="shared" si="24"/>
        <v>0</v>
      </c>
      <c r="AI67" s="87">
        <f t="shared" si="25"/>
        <v>0</v>
      </c>
      <c r="AJ67" s="87">
        <f t="shared" si="26"/>
        <v>0</v>
      </c>
      <c r="AK67" s="87">
        <f t="shared" si="27"/>
        <v>0</v>
      </c>
      <c r="AL67" s="87">
        <f t="shared" si="28"/>
        <v>0</v>
      </c>
      <c r="AM67" s="87">
        <f t="shared" si="29"/>
        <v>0</v>
      </c>
      <c r="AN67" s="87">
        <f t="shared" si="30"/>
        <v>0</v>
      </c>
      <c r="AO67" s="87">
        <f t="shared" si="31"/>
        <v>0</v>
      </c>
      <c r="AP67" s="87">
        <f t="shared" si="32"/>
        <v>0</v>
      </c>
      <c r="AQ67" s="87">
        <f t="shared" si="33"/>
        <v>15</v>
      </c>
      <c r="AR67" s="81"/>
      <c r="AS67" s="85">
        <f t="shared" si="34"/>
        <v>0</v>
      </c>
      <c r="AT67" s="85">
        <f t="shared" si="35"/>
        <v>0</v>
      </c>
      <c r="AU67" s="85">
        <f t="shared" si="36"/>
        <v>0</v>
      </c>
      <c r="AV67" s="85">
        <f t="shared" si="37"/>
        <v>0</v>
      </c>
      <c r="AW67" s="85">
        <f t="shared" si="38"/>
        <v>0</v>
      </c>
      <c r="AX67" s="85">
        <f t="shared" si="39"/>
        <v>0</v>
      </c>
      <c r="AY67" s="85">
        <f t="shared" si="40"/>
        <v>0</v>
      </c>
      <c r="AZ67" s="85">
        <f t="shared" si="41"/>
        <v>0</v>
      </c>
      <c r="BA67" s="85">
        <f t="shared" si="42"/>
        <v>0</v>
      </c>
      <c r="BB67" s="85">
        <f t="shared" si="43"/>
        <v>0</v>
      </c>
      <c r="BC67" s="85">
        <f t="shared" si="44"/>
        <v>0</v>
      </c>
      <c r="BD67" s="85">
        <f t="shared" si="45"/>
        <v>0</v>
      </c>
      <c r="BE67" s="85">
        <f t="shared" si="46"/>
        <v>0</v>
      </c>
      <c r="BF67" s="85">
        <f t="shared" si="47"/>
        <v>0</v>
      </c>
      <c r="BG67" s="85">
        <f t="shared" si="48"/>
        <v>0</v>
      </c>
      <c r="BH67" s="85">
        <f t="shared" si="49"/>
        <v>0</v>
      </c>
      <c r="BI67" s="85">
        <f t="shared" si="50"/>
        <v>0</v>
      </c>
      <c r="BJ67" s="85">
        <f t="shared" si="51"/>
        <v>0</v>
      </c>
      <c r="BK67" s="85">
        <f t="shared" si="52"/>
        <v>0</v>
      </c>
      <c r="BL67" s="85">
        <f t="shared" si="53"/>
        <v>0</v>
      </c>
      <c r="BM67" s="85">
        <f t="shared" si="54"/>
        <v>0</v>
      </c>
      <c r="BN67" s="85">
        <f t="shared" si="55"/>
        <v>0</v>
      </c>
      <c r="BO67" s="85">
        <f t="shared" si="56"/>
        <v>0</v>
      </c>
      <c r="BP67" s="85">
        <f t="shared" si="57"/>
        <v>0</v>
      </c>
      <c r="BQ67" s="85">
        <f t="shared" si="58"/>
        <v>0</v>
      </c>
      <c r="BR67" s="85">
        <f t="shared" si="59"/>
        <v>0</v>
      </c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X67" s="35" t="s">
        <v>12</v>
      </c>
      <c r="CZ67" s="35"/>
      <c r="DC67" s="57" t="str">
        <f t="shared" si="60"/>
        <v/>
      </c>
      <c r="DD67" s="64" t="str">
        <f t="shared" si="61"/>
        <v/>
      </c>
      <c r="DE67" s="65" t="str">
        <f t="shared" si="62"/>
        <v/>
      </c>
      <c r="DF67" s="66" t="str">
        <f t="shared" si="63"/>
        <v/>
      </c>
    </row>
    <row r="68" spans="2:110" hidden="1" outlineLevel="1">
      <c r="B68" s="54">
        <f t="shared" si="64"/>
        <v>43528</v>
      </c>
      <c r="C68" s="55" t="s">
        <v>1</v>
      </c>
      <c r="D68" s="56">
        <f t="shared" si="65"/>
        <v>43534</v>
      </c>
      <c r="E68" s="52">
        <f t="shared" si="66"/>
        <v>3</v>
      </c>
      <c r="F68" s="53">
        <f t="shared" si="67"/>
        <v>2019</v>
      </c>
      <c r="G68" s="62">
        <f t="shared" si="68"/>
        <v>15</v>
      </c>
      <c r="H68" s="63">
        <f t="shared" si="69"/>
        <v>96</v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>
        <v>15</v>
      </c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80"/>
      <c r="AG68" s="87">
        <f t="shared" si="23"/>
        <v>0</v>
      </c>
      <c r="AH68" s="87">
        <f t="shared" si="24"/>
        <v>0</v>
      </c>
      <c r="AI68" s="87">
        <f t="shared" si="25"/>
        <v>0</v>
      </c>
      <c r="AJ68" s="87">
        <f t="shared" si="26"/>
        <v>0</v>
      </c>
      <c r="AK68" s="87">
        <f t="shared" si="27"/>
        <v>0</v>
      </c>
      <c r="AL68" s="87">
        <f t="shared" si="28"/>
        <v>0</v>
      </c>
      <c r="AM68" s="87">
        <f t="shared" si="29"/>
        <v>0</v>
      </c>
      <c r="AN68" s="87">
        <f t="shared" si="30"/>
        <v>0</v>
      </c>
      <c r="AO68" s="87">
        <f t="shared" si="31"/>
        <v>0</v>
      </c>
      <c r="AP68" s="87">
        <f t="shared" si="32"/>
        <v>0</v>
      </c>
      <c r="AQ68" s="87">
        <f t="shared" si="33"/>
        <v>15</v>
      </c>
      <c r="AR68" s="81"/>
      <c r="AS68" s="85">
        <f t="shared" si="34"/>
        <v>0</v>
      </c>
      <c r="AT68" s="85">
        <f t="shared" si="35"/>
        <v>0</v>
      </c>
      <c r="AU68" s="85">
        <f t="shared" si="36"/>
        <v>0</v>
      </c>
      <c r="AV68" s="85">
        <f t="shared" si="37"/>
        <v>0</v>
      </c>
      <c r="AW68" s="85">
        <f t="shared" si="38"/>
        <v>0</v>
      </c>
      <c r="AX68" s="85">
        <f t="shared" si="39"/>
        <v>0</v>
      </c>
      <c r="AY68" s="85">
        <f t="shared" si="40"/>
        <v>0</v>
      </c>
      <c r="AZ68" s="85">
        <f t="shared" si="41"/>
        <v>0</v>
      </c>
      <c r="BA68" s="85">
        <f t="shared" si="42"/>
        <v>0</v>
      </c>
      <c r="BB68" s="85">
        <f t="shared" si="43"/>
        <v>0</v>
      </c>
      <c r="BC68" s="85">
        <f t="shared" si="44"/>
        <v>0</v>
      </c>
      <c r="BD68" s="85">
        <f t="shared" si="45"/>
        <v>0</v>
      </c>
      <c r="BE68" s="85">
        <f t="shared" si="46"/>
        <v>0</v>
      </c>
      <c r="BF68" s="85">
        <f t="shared" si="47"/>
        <v>0</v>
      </c>
      <c r="BG68" s="85">
        <f t="shared" si="48"/>
        <v>0</v>
      </c>
      <c r="BH68" s="85">
        <f t="shared" si="49"/>
        <v>0</v>
      </c>
      <c r="BI68" s="85">
        <f t="shared" si="50"/>
        <v>0</v>
      </c>
      <c r="BJ68" s="85">
        <f t="shared" si="51"/>
        <v>0</v>
      </c>
      <c r="BK68" s="85">
        <f t="shared" si="52"/>
        <v>0</v>
      </c>
      <c r="BL68" s="85">
        <f t="shared" si="53"/>
        <v>0</v>
      </c>
      <c r="BM68" s="85">
        <f t="shared" si="54"/>
        <v>0</v>
      </c>
      <c r="BN68" s="85">
        <f t="shared" si="55"/>
        <v>0</v>
      </c>
      <c r="BO68" s="85">
        <f t="shared" si="56"/>
        <v>0</v>
      </c>
      <c r="BP68" s="85">
        <f t="shared" si="57"/>
        <v>0</v>
      </c>
      <c r="BQ68" s="85">
        <f t="shared" si="58"/>
        <v>0</v>
      </c>
      <c r="BR68" s="85">
        <f t="shared" si="59"/>
        <v>0</v>
      </c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X68" s="35" t="s">
        <v>12</v>
      </c>
      <c r="CZ68" s="35"/>
      <c r="DC68" s="57" t="str">
        <f t="shared" si="60"/>
        <v/>
      </c>
      <c r="DD68" s="64" t="str">
        <f t="shared" si="61"/>
        <v/>
      </c>
      <c r="DE68" s="65" t="str">
        <f t="shared" si="62"/>
        <v/>
      </c>
      <c r="DF68" s="66" t="str">
        <f t="shared" si="63"/>
        <v/>
      </c>
    </row>
    <row r="69" spans="2:110" hidden="1" outlineLevel="1">
      <c r="B69" s="54">
        <f t="shared" si="64"/>
        <v>43535</v>
      </c>
      <c r="C69" s="55" t="s">
        <v>1</v>
      </c>
      <c r="D69" s="56">
        <f t="shared" si="65"/>
        <v>43541</v>
      </c>
      <c r="E69" s="52">
        <f t="shared" si="66"/>
        <v>3</v>
      </c>
      <c r="F69" s="53">
        <f t="shared" si="67"/>
        <v>2019</v>
      </c>
      <c r="G69" s="62">
        <f t="shared" si="68"/>
        <v>15</v>
      </c>
      <c r="H69" s="63">
        <f t="shared" si="69"/>
        <v>96</v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>
        <v>15</v>
      </c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80"/>
      <c r="AG69" s="87">
        <f t="shared" si="23"/>
        <v>0</v>
      </c>
      <c r="AH69" s="87">
        <f t="shared" si="24"/>
        <v>0</v>
      </c>
      <c r="AI69" s="87">
        <f t="shared" si="25"/>
        <v>0</v>
      </c>
      <c r="AJ69" s="87">
        <f t="shared" si="26"/>
        <v>0</v>
      </c>
      <c r="AK69" s="87">
        <f t="shared" si="27"/>
        <v>0</v>
      </c>
      <c r="AL69" s="87">
        <f t="shared" si="28"/>
        <v>0</v>
      </c>
      <c r="AM69" s="87">
        <f t="shared" si="29"/>
        <v>0</v>
      </c>
      <c r="AN69" s="87">
        <f t="shared" si="30"/>
        <v>0</v>
      </c>
      <c r="AO69" s="87">
        <f t="shared" si="31"/>
        <v>0</v>
      </c>
      <c r="AP69" s="87">
        <f t="shared" si="32"/>
        <v>0</v>
      </c>
      <c r="AQ69" s="87">
        <f t="shared" si="33"/>
        <v>15</v>
      </c>
      <c r="AR69" s="81"/>
      <c r="AS69" s="85">
        <f t="shared" si="34"/>
        <v>0</v>
      </c>
      <c r="AT69" s="85">
        <f t="shared" si="35"/>
        <v>0</v>
      </c>
      <c r="AU69" s="85">
        <f t="shared" si="36"/>
        <v>0</v>
      </c>
      <c r="AV69" s="85">
        <f t="shared" si="37"/>
        <v>0</v>
      </c>
      <c r="AW69" s="85">
        <f t="shared" si="38"/>
        <v>0</v>
      </c>
      <c r="AX69" s="85">
        <f t="shared" si="39"/>
        <v>0</v>
      </c>
      <c r="AY69" s="85">
        <f t="shared" si="40"/>
        <v>0</v>
      </c>
      <c r="AZ69" s="85">
        <f t="shared" si="41"/>
        <v>0</v>
      </c>
      <c r="BA69" s="85">
        <f t="shared" si="42"/>
        <v>0</v>
      </c>
      <c r="BB69" s="85">
        <f t="shared" si="43"/>
        <v>0</v>
      </c>
      <c r="BC69" s="85">
        <f t="shared" si="44"/>
        <v>0</v>
      </c>
      <c r="BD69" s="85">
        <f t="shared" si="45"/>
        <v>0</v>
      </c>
      <c r="BE69" s="85">
        <f t="shared" si="46"/>
        <v>0</v>
      </c>
      <c r="BF69" s="85">
        <f t="shared" si="47"/>
        <v>0</v>
      </c>
      <c r="BG69" s="85">
        <f t="shared" si="48"/>
        <v>0</v>
      </c>
      <c r="BH69" s="85">
        <f t="shared" si="49"/>
        <v>0</v>
      </c>
      <c r="BI69" s="85">
        <f t="shared" si="50"/>
        <v>0</v>
      </c>
      <c r="BJ69" s="85">
        <f t="shared" si="51"/>
        <v>0</v>
      </c>
      <c r="BK69" s="85">
        <f t="shared" si="52"/>
        <v>0</v>
      </c>
      <c r="BL69" s="85">
        <f t="shared" si="53"/>
        <v>0</v>
      </c>
      <c r="BM69" s="85">
        <f t="shared" si="54"/>
        <v>0</v>
      </c>
      <c r="BN69" s="85">
        <f t="shared" si="55"/>
        <v>0</v>
      </c>
      <c r="BO69" s="85">
        <f t="shared" si="56"/>
        <v>0</v>
      </c>
      <c r="BP69" s="85">
        <f t="shared" si="57"/>
        <v>0</v>
      </c>
      <c r="BQ69" s="85">
        <f t="shared" si="58"/>
        <v>0</v>
      </c>
      <c r="BR69" s="85">
        <f t="shared" si="59"/>
        <v>0</v>
      </c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X69" s="35" t="s">
        <v>12</v>
      </c>
      <c r="CZ69" s="35"/>
      <c r="DC69" s="57" t="str">
        <f t="shared" si="60"/>
        <v/>
      </c>
      <c r="DD69" s="64" t="str">
        <f t="shared" si="61"/>
        <v/>
      </c>
      <c r="DE69" s="65" t="str">
        <f t="shared" si="62"/>
        <v/>
      </c>
      <c r="DF69" s="66" t="str">
        <f t="shared" si="63"/>
        <v/>
      </c>
    </row>
    <row r="70" spans="2:110" hidden="1" outlineLevel="1">
      <c r="B70" s="54">
        <f t="shared" si="64"/>
        <v>43542</v>
      </c>
      <c r="C70" s="55" t="s">
        <v>1</v>
      </c>
      <c r="D70" s="56">
        <f t="shared" si="65"/>
        <v>43548</v>
      </c>
      <c r="E70" s="52">
        <f t="shared" si="66"/>
        <v>3</v>
      </c>
      <c r="F70" s="53">
        <f t="shared" si="67"/>
        <v>2019</v>
      </c>
      <c r="G70" s="62">
        <f t="shared" si="68"/>
        <v>15</v>
      </c>
      <c r="H70" s="63">
        <f t="shared" si="69"/>
        <v>96</v>
      </c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>
        <v>15</v>
      </c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80"/>
      <c r="AG70" s="87">
        <f t="shared" si="23"/>
        <v>0</v>
      </c>
      <c r="AH70" s="87">
        <f t="shared" si="24"/>
        <v>0</v>
      </c>
      <c r="AI70" s="87">
        <f t="shared" si="25"/>
        <v>0</v>
      </c>
      <c r="AJ70" s="87">
        <f t="shared" si="26"/>
        <v>0</v>
      </c>
      <c r="AK70" s="87">
        <f t="shared" si="27"/>
        <v>0</v>
      </c>
      <c r="AL70" s="87">
        <f t="shared" si="28"/>
        <v>0</v>
      </c>
      <c r="AM70" s="87">
        <f t="shared" si="29"/>
        <v>0</v>
      </c>
      <c r="AN70" s="87">
        <f t="shared" si="30"/>
        <v>0</v>
      </c>
      <c r="AO70" s="87">
        <f t="shared" si="31"/>
        <v>0</v>
      </c>
      <c r="AP70" s="87">
        <f t="shared" si="32"/>
        <v>0</v>
      </c>
      <c r="AQ70" s="87">
        <f t="shared" si="33"/>
        <v>15</v>
      </c>
      <c r="AR70" s="81"/>
      <c r="AS70" s="85">
        <f t="shared" si="34"/>
        <v>0</v>
      </c>
      <c r="AT70" s="85">
        <f t="shared" si="35"/>
        <v>0</v>
      </c>
      <c r="AU70" s="85">
        <f t="shared" si="36"/>
        <v>0</v>
      </c>
      <c r="AV70" s="85">
        <f t="shared" si="37"/>
        <v>0</v>
      </c>
      <c r="AW70" s="85">
        <f t="shared" si="38"/>
        <v>0</v>
      </c>
      <c r="AX70" s="85">
        <f t="shared" si="39"/>
        <v>0</v>
      </c>
      <c r="AY70" s="85">
        <f t="shared" si="40"/>
        <v>0</v>
      </c>
      <c r="AZ70" s="85">
        <f t="shared" si="41"/>
        <v>0</v>
      </c>
      <c r="BA70" s="85">
        <f t="shared" si="42"/>
        <v>0</v>
      </c>
      <c r="BB70" s="85">
        <f t="shared" si="43"/>
        <v>0</v>
      </c>
      <c r="BC70" s="85">
        <f t="shared" si="44"/>
        <v>0</v>
      </c>
      <c r="BD70" s="85">
        <f t="shared" si="45"/>
        <v>0</v>
      </c>
      <c r="BE70" s="85">
        <f t="shared" si="46"/>
        <v>0</v>
      </c>
      <c r="BF70" s="85">
        <f t="shared" si="47"/>
        <v>0</v>
      </c>
      <c r="BG70" s="85">
        <f t="shared" si="48"/>
        <v>0</v>
      </c>
      <c r="BH70" s="85">
        <f t="shared" si="49"/>
        <v>0</v>
      </c>
      <c r="BI70" s="85">
        <f t="shared" si="50"/>
        <v>0</v>
      </c>
      <c r="BJ70" s="85">
        <f t="shared" si="51"/>
        <v>0</v>
      </c>
      <c r="BK70" s="85">
        <f t="shared" si="52"/>
        <v>0</v>
      </c>
      <c r="BL70" s="85">
        <f t="shared" si="53"/>
        <v>0</v>
      </c>
      <c r="BM70" s="85">
        <f t="shared" si="54"/>
        <v>0</v>
      </c>
      <c r="BN70" s="85">
        <f t="shared" si="55"/>
        <v>0</v>
      </c>
      <c r="BO70" s="85">
        <f t="shared" si="56"/>
        <v>0</v>
      </c>
      <c r="BP70" s="85">
        <f t="shared" si="57"/>
        <v>0</v>
      </c>
      <c r="BQ70" s="85">
        <f t="shared" si="58"/>
        <v>0</v>
      </c>
      <c r="BR70" s="85">
        <f t="shared" si="59"/>
        <v>0</v>
      </c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3"/>
      <c r="CM70" s="63"/>
      <c r="CN70" s="63"/>
      <c r="CO70" s="63"/>
      <c r="CP70" s="63"/>
      <c r="CQ70" s="63"/>
      <c r="CR70" s="63"/>
      <c r="CS70" s="63"/>
      <c r="CX70" s="35" t="s">
        <v>12</v>
      </c>
      <c r="CZ70" s="35"/>
      <c r="DC70" s="57" t="str">
        <f t="shared" si="60"/>
        <v/>
      </c>
      <c r="DD70" s="64" t="str">
        <f t="shared" si="61"/>
        <v/>
      </c>
      <c r="DE70" s="65" t="str">
        <f t="shared" si="62"/>
        <v/>
      </c>
      <c r="DF70" s="66" t="str">
        <f t="shared" si="63"/>
        <v/>
      </c>
    </row>
    <row r="71" spans="2:110" hidden="1" outlineLevel="1">
      <c r="B71" s="54">
        <f t="shared" si="64"/>
        <v>43549</v>
      </c>
      <c r="C71" s="55" t="s">
        <v>1</v>
      </c>
      <c r="D71" s="56">
        <f t="shared" si="65"/>
        <v>43555</v>
      </c>
      <c r="E71" s="52">
        <f t="shared" si="66"/>
        <v>3</v>
      </c>
      <c r="F71" s="53">
        <f t="shared" si="67"/>
        <v>2019</v>
      </c>
      <c r="G71" s="62">
        <f t="shared" si="68"/>
        <v>15</v>
      </c>
      <c r="H71" s="63">
        <f t="shared" si="69"/>
        <v>96</v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>
        <v>15</v>
      </c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80"/>
      <c r="AG71" s="87">
        <f t="shared" ref="AG71:AG134" si="70">IF(I71&gt;0,I71,IF(U71=1,$B71+2,IF(U70=1,1,IF(U70=2,0,IF(AG70=$G70,0,(IF(AG70&gt;=1,AG70+1,0)))))))</f>
        <v>0</v>
      </c>
      <c r="AH71" s="87">
        <f t="shared" ref="AH71:AH134" si="71">IF(J71&gt;0,J71,IF(V71=1,$B71+2,IF(V70=1,1,IF(V70=2,0,IF(AH70=$G70,0,(IF(AH70&gt;=1,AH70+1,0)))))))</f>
        <v>0</v>
      </c>
      <c r="AI71" s="87">
        <f t="shared" ref="AI71:AI134" si="72">IF(K71&gt;0,K71,IF(W71=1,$B71+2,IF(W70=1,1,IF(W70=2,0,IF(AI70=$G70,0,(IF(AI70&gt;=1,AI70+1,0)))))))</f>
        <v>0</v>
      </c>
      <c r="AJ71" s="87">
        <f t="shared" ref="AJ71:AJ134" si="73">IF(L71&gt;0,L71,IF(X71=1,$B71+2,IF(X70=1,1,IF(X70=2,0,IF(AJ70=$G70,0,(IF(AJ70&gt;=1,AJ70+1,0)))))))</f>
        <v>0</v>
      </c>
      <c r="AK71" s="87">
        <f t="shared" ref="AK71:AK134" si="74">IF(M71&gt;0,M71,IF(Y71=1,$B71+2,IF(Y70=1,1,IF(Y70=2,0,IF(AK70=$G70,0,(IF(AK70&gt;=1,AK70+1,0)))))))</f>
        <v>0</v>
      </c>
      <c r="AL71" s="87">
        <f t="shared" ref="AL71:AL134" si="75">IF(N71&gt;0,N71,IF(Z71=1,$B71+2,IF(Z70=1,1,IF(Z70=2,0,IF(AL70=$G70,0,(IF(AL70&gt;=1,AL70+1,0)))))))</f>
        <v>0</v>
      </c>
      <c r="AM71" s="87">
        <f t="shared" ref="AM71:AM134" si="76">IF(O71&gt;0,O71,IF(AA71=1,$B71+2,IF(AA70=1,1,IF(AA70=2,0,IF(AM70=$G70,0,(IF(AM70&gt;=1,AM70+1,0)))))))</f>
        <v>0</v>
      </c>
      <c r="AN71" s="87">
        <f t="shared" ref="AN71:AN134" si="77">IF(P71&gt;0,P71,IF(AB71=1,$B71+2,IF(AB70=1,1,IF(AB70=2,0,IF(AN70=$G70,0,(IF(AN70&gt;=1,AN70+1,0)))))))</f>
        <v>0</v>
      </c>
      <c r="AO71" s="87">
        <f t="shared" ref="AO71:AO134" si="78">IF(Q71&gt;0,Q71,IF(AC71=1,$B71+2,IF(AC70=1,1,IF(AC70=2,0,IF(AO70=$G70,0,(IF(AO70&gt;=1,AO70+1,0)))))))</f>
        <v>0</v>
      </c>
      <c r="AP71" s="87">
        <f t="shared" ref="AP71:AP134" si="79">IF(R71&gt;0,R71,IF(AD71=1,$B71+2,IF(AD70=1,1,IF(AD70=2,0,IF(AP70=$G70,0,(IF(AP70&gt;=1,AP70+1,0)))))))</f>
        <v>0</v>
      </c>
      <c r="AQ71" s="87">
        <f t="shared" ref="AQ71:AQ134" si="80">IF(S71&gt;0,S71,IF(AE71=1,$B71+2,IF(AE70=1,1,IF(AE70=2,0,IF(AQ70=$G70,0,(IF(AQ70&gt;=1,AQ70+1,0)))))))</f>
        <v>15</v>
      </c>
      <c r="AR71" s="81"/>
      <c r="AS71" s="85">
        <f t="shared" ref="AS71:AS134" si="81">IF(AND(BT71&gt;=$AG$5,BT71&lt;=$AQ$5),LOOKUP(BT71,$AG$5:$AQ$5,$AG71:$AQ71),IF(BT70="A",0,IF(AS70=$H71,0,IF(AS70=0,0,AS70+1))))</f>
        <v>0</v>
      </c>
      <c r="AT71" s="85">
        <f t="shared" ref="AT71:AT134" si="82">IF(AND(BU71&gt;=$AG$5,BU71&lt;=$AQ$5),LOOKUP(BU71,$AG$5:$AQ$5,$AG71:$AQ71),IF(BU70="A",0,IF(AT70=$H71,0,IF(AT70=0,0,AT70+1))))</f>
        <v>0</v>
      </c>
      <c r="AU71" s="85">
        <f t="shared" ref="AU71:AU134" si="83">IF(AND(BV71&gt;=$AG$5,BV71&lt;=$AQ$5),LOOKUP(BV71,$AG$5:$AQ$5,$AG71:$AQ71),IF(BV70="A",0,IF(AU70=$H71,0,IF(AU70=0,0,AU70+1))))</f>
        <v>0</v>
      </c>
      <c r="AV71" s="85">
        <f t="shared" ref="AV71:AV134" si="84">IF(AND(BW71&gt;=$AG$5,BW71&lt;=$AQ$5),LOOKUP(BW71,$AG$5:$AQ$5,$AG71:$AQ71),IF(BW70="A",0,IF(AV70=$H71,0,IF(AV70=0,0,AV70+1))))</f>
        <v>0</v>
      </c>
      <c r="AW71" s="85">
        <f t="shared" ref="AW71:AW134" si="85">IF(AND(BX71&gt;=$AG$5,BX71&lt;=$AQ$5),LOOKUP(BX71,$AG$5:$AQ$5,$AG71:$AQ71),IF(BX70="A",0,IF(AW70=$H71,0,IF(AW70=0,0,AW70+1))))</f>
        <v>0</v>
      </c>
      <c r="AX71" s="85">
        <f t="shared" ref="AX71:AX134" si="86">IF(AND(BY71&gt;=$AG$5,BY71&lt;=$AQ$5),LOOKUP(BY71,$AG$5:$AQ$5,$AG71:$AQ71),IF(BY70="A",0,IF(AX70=$H71,0,IF(AX70=0,0,AX70+1))))</f>
        <v>0</v>
      </c>
      <c r="AY71" s="85">
        <f t="shared" ref="AY71:AY134" si="87">IF(AND(BZ71&gt;=$AG$5,BZ71&lt;=$AQ$5),LOOKUP(BZ71,$AG$5:$AQ$5,$AG71:$AQ71),IF(BZ70="A",0,IF(AY70=$H71,0,IF(AY70=0,0,AY70+1))))</f>
        <v>0</v>
      </c>
      <c r="AZ71" s="85">
        <f t="shared" ref="AZ71:AZ134" si="88">IF(AND(CA71&gt;=$AG$5,CA71&lt;=$AQ$5),LOOKUP(CA71,$AG$5:$AQ$5,$AG71:$AQ71),IF(CA70="A",0,IF(AZ70=$H71,0,IF(AZ70=0,0,AZ70+1))))</f>
        <v>0</v>
      </c>
      <c r="BA71" s="85">
        <f t="shared" ref="BA71:BA134" si="89">IF(AND(CB71&gt;=$AG$5,CB71&lt;=$AQ$5),LOOKUP(CB71,$AG$5:$AQ$5,$AG71:$AQ71),IF(CB70="A",0,IF(BA70=$H71,0,IF(BA70=0,0,BA70+1))))</f>
        <v>0</v>
      </c>
      <c r="BB71" s="85">
        <f t="shared" ref="BB71:BB134" si="90">IF(AND(CC71&gt;=$AG$5,CC71&lt;=$AQ$5),LOOKUP(CC71,$AG$5:$AQ$5,$AG71:$AQ71),IF(CC70="A",0,IF(BB70=$H71,0,IF(BB70=0,0,BB70+1))))</f>
        <v>0</v>
      </c>
      <c r="BC71" s="85">
        <f t="shared" ref="BC71:BC134" si="91">IF(AND(CD71&gt;=$AG$5,CD71&lt;=$AQ$5),LOOKUP(CD71,$AG$5:$AQ$5,$AG71:$AQ71),IF(CD70="A",0,IF(BC70=$H71,0,IF(BC70=0,0,BC70+1))))</f>
        <v>0</v>
      </c>
      <c r="BD71" s="85">
        <f t="shared" ref="BD71:BD134" si="92">IF(AND(CE71&gt;=$AG$5,CE71&lt;=$AQ$5),LOOKUP(CE71,$AG$5:$AQ$5,$AG71:$AQ71),IF(CE70="A",0,IF(BD70=$H71,0,IF(BD70=0,0,BD70+1))))</f>
        <v>0</v>
      </c>
      <c r="BE71" s="85">
        <f t="shared" ref="BE71:BE134" si="93">IF(AND(CF71&gt;=$AG$5,CF71&lt;=$AQ$5),LOOKUP(CF71,$AG$5:$AQ$5,$AG71:$AQ71),IF(CF70="A",0,IF(BE70=$H71,0,IF(BE70=0,0,BE70+1))))</f>
        <v>0</v>
      </c>
      <c r="BF71" s="85">
        <f t="shared" ref="BF71:BF134" si="94">IF(AND(CG71&gt;=$AG$5,CG71&lt;=$AQ$5),LOOKUP(CG71,$AG$5:$AQ$5,$AG71:$AQ71),IF(CG70="A",0,IF(BF70=$H71,0,IF(BF70=0,0,BF70+1))))</f>
        <v>0</v>
      </c>
      <c r="BG71" s="85">
        <f t="shared" ref="BG71:BG134" si="95">IF(AND(CH71&gt;=$AG$5,CH71&lt;=$AQ$5),LOOKUP(CH71,$AG$5:$AQ$5,$AG71:$AQ71),IF(CH70="A",0,IF(BG70=$H71,0,IF(BG70=0,0,BG70+1))))</f>
        <v>0</v>
      </c>
      <c r="BH71" s="85">
        <f t="shared" ref="BH71:BH134" si="96">IF(AND(CI71&gt;=$AG$5,CI71&lt;=$AQ$5),LOOKUP(CI71,$AG$5:$AQ$5,$AG71:$AQ71),IF(CI70="A",0,IF(BH70=$H71,0,IF(BH70=0,0,BH70+1))))</f>
        <v>0</v>
      </c>
      <c r="BI71" s="85">
        <f t="shared" ref="BI71:BI134" si="97">IF(AND(CJ71&gt;=$AG$5,CJ71&lt;=$AQ$5),LOOKUP(CJ71,$AG$5:$AQ$5,$AG71:$AQ71),IF(CJ70="A",0,IF(BI70=$H71,0,IF(BI70=0,0,BI70+1))))</f>
        <v>0</v>
      </c>
      <c r="BJ71" s="85">
        <f t="shared" ref="BJ71:BJ134" si="98">IF(AND(CK71&gt;=$AG$5,CK71&lt;=$AQ$5),LOOKUP(CK71,$AG$5:$AQ$5,$AG71:$AQ71),IF(CK70="A",0,IF(BJ70=$H71,0,IF(BJ70=0,0,BJ70+1))))</f>
        <v>0</v>
      </c>
      <c r="BK71" s="85">
        <f t="shared" ref="BK71:BK134" si="99">IF(AND(CL71&gt;=$AG$5,CL71&lt;=$AQ$5),LOOKUP(CL71,$AG$5:$AQ$5,$AG71:$AQ71),IF(CL70="A",0,IF(BK70=$H71,0,IF(BK70=0,0,BK70+1))))</f>
        <v>0</v>
      </c>
      <c r="BL71" s="85">
        <f t="shared" ref="BL71:BL134" si="100">IF(AND(CM71&gt;=$AG$5,CM71&lt;=$AQ$5),LOOKUP(CM71,$AG$5:$AQ$5,$AG71:$AQ71),IF(CM70="A",0,IF(BL70=$H71,0,IF(BL70=0,0,BL70+1))))</f>
        <v>0</v>
      </c>
      <c r="BM71" s="85">
        <f t="shared" ref="BM71:BM134" si="101">IF(AND(CN71&gt;=$AG$5,CN71&lt;=$AQ$5),LOOKUP(CN71,$AG$5:$AQ$5,$AG71:$AQ71),IF(CN70="A",0,IF(BM70=$H71,0,IF(BM70=0,0,BM70+1))))</f>
        <v>0</v>
      </c>
      <c r="BN71" s="85">
        <f t="shared" ref="BN71:BN134" si="102">IF(AND(CO71&gt;=$AG$5,CO71&lt;=$AQ$5),LOOKUP(CO71,$AG$5:$AQ$5,$AG71:$AQ71),IF(CO70="A",0,IF(BN70=$H71,0,IF(BN70=0,0,BN70+1))))</f>
        <v>0</v>
      </c>
      <c r="BO71" s="85">
        <f t="shared" ref="BO71:BO134" si="103">IF(AND(CP71&gt;=$AG$5,CP71&lt;=$AQ$5),LOOKUP(CP71,$AG$5:$AQ$5,$AG71:$AQ71),IF(CP70="A",0,IF(BO70=$H71,0,IF(BO70=0,0,BO70+1))))</f>
        <v>0</v>
      </c>
      <c r="BP71" s="85">
        <f t="shared" ref="BP71:BP134" si="104">IF(AND(CQ71&gt;=$AG$5,CQ71&lt;=$AQ$5),LOOKUP(CQ71,$AG$5:$AQ$5,$AG71:$AQ71),IF(CQ70="A",0,IF(BP70=$H71,0,IF(BP70=0,0,BP70+1))))</f>
        <v>0</v>
      </c>
      <c r="BQ71" s="85">
        <f t="shared" ref="BQ71:BQ134" si="105">IF(AND(CR71&gt;=$AG$5,CR71&lt;=$AQ$5),LOOKUP(CR71,$AG$5:$AQ$5,$AG71:$AQ71),IF(CR70="A",0,IF(BQ70=$H71,0,IF(BQ70=0,0,BQ70+1))))</f>
        <v>0</v>
      </c>
      <c r="BR71" s="85">
        <f t="shared" ref="BR71:BR134" si="106">IF(AND(CS71&gt;=$AG$5,CS71&lt;=$AQ$5),LOOKUP(CS71,$AG$5:$AQ$5,$AG71:$AQ71),IF(CS70="A",0,IF(BR70=$H71,0,IF(BR70=0,0,BR70+1))))</f>
        <v>0</v>
      </c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X71" s="35" t="s">
        <v>12</v>
      </c>
      <c r="CZ71" s="35"/>
      <c r="DC71" s="57" t="str">
        <f t="shared" ref="DC71:DC134" si="107">IF(AND(AG71&gt;0,AG70=0),$AG$5,IF(AND(AK71&gt;0,AK70=0),$AK$5,IF(AND(AO71&gt;0,AO70=0),$AO$5,IF(AND(AI71&gt;0,AI70=0),$AI$5,IF(AND(AJ71&gt;0,AJ70=0),$AJ$5,IF(AND(AQ71&gt;0,AQ70=0),$AQ$5,IF(AND(AL71&gt;0,AL70=0),$AL$5,IF(AND(AM71&gt;0,AM70=0),$AM$5,IF(AND(AN71&gt;0,AN70=0),$AN$5,"")))))))))</f>
        <v/>
      </c>
      <c r="DD71" s="64" t="str">
        <f t="shared" ref="DD71:DD134" si="108">IF(OR(AND($AG72=1,$AG73=2),OR(AND($AK72=1,$AK73=2),OR(AND($AO72=1,$AO73=2),OR(AND($AI72=1,$AI73=2),OR(AND($AJ72=1,$AJ73),OR(AND($AQ72=1,$AQ73=2,OR(AND($AL72=1,$AL73=2,OR(AND($AM72=1,$AM73=2,OR(AND($AN72=1,$AN73=2))))))))))))),$B71+2,"")</f>
        <v/>
      </c>
      <c r="DE71" s="65" t="str">
        <f t="shared" ref="DE71:DE134" si="109">IF(DD71="","",DD71+(15*7))</f>
        <v/>
      </c>
      <c r="DF71" s="66" t="str">
        <f t="shared" ref="DF71:DF134" si="110">IF(AND(AS86&gt;0,AS85=0),$AS$1,IF(AND(AT86&gt;0,AT85=0),$AT$1,IF(AND(AU86&gt;0,AU85=0),$AU$1,IF(AND(AV86&gt;0,AV85=0),$AV$1,IF(AND(AW86&gt;0,AW85=0),$AW$1,IF(AND(AX86&gt;0,AX85=0),$AX$1,IF(AND(AY86&gt;0,AY85=0),$AY$1,IF(AND(AZ86&gt;0,AZ85=0),$AZ$1,IF(AND(BA86&gt;0,BA85=0),$BA$1,IF(AND(BB86&gt;0,BB85=0),$BB$1,IF(AND(BC86&gt;0,BC85=0),$BC$1,IF(AND(BD86&gt;0,BD85=0),$BD$1,IF(AND(BE86&gt;0,BE85=0),$BE$1,IF(AND(BF86&gt;0,BF85=0),$BF$1,IF(AND(BG86&gt;0,BG85=0),$BG$1,IF(AND(BH86&gt;0,BH85=0),$BH$1,IF(AND(BI86&gt;0,BI85=0),$BI$1,IF(AND(BJ86&gt;0,BJ85=0),$BJ$1,IF(AND(BK86&gt;0,BK85=0),$BK$1,IF(AND(BL86&gt;0,BL85=0),$BL$1,IF(AND(BM86&gt;0,BM85=0),$BM$1,IF(AND(BN86&gt;0,BN85=0),$BN$1,IF(AND(BO86&gt;0,BO85=0),$BO$1,IF(AND(BP86&gt;0,BP85=0),$BP$1,IF(AND(BQ86&gt;0,BQ85=0),$BQ$1,IF(AND(BR86&gt;0,BR85=0),$BQ$1,""))))))))))))))))&amp;(IF(COUNTA(BT86:CS86)&gt;1," ["&amp;COUNTA(BT86:CS86)&amp;"]",""))))))))))))</f>
        <v/>
      </c>
    </row>
    <row r="72" spans="2:110" hidden="1" outlineLevel="1">
      <c r="B72" s="54">
        <f t="shared" ref="B72:B135" si="111">D71+1</f>
        <v>43556</v>
      </c>
      <c r="C72" s="55" t="s">
        <v>1</v>
      </c>
      <c r="D72" s="56">
        <f t="shared" ref="D72:D135" si="112">B72+6</f>
        <v>43562</v>
      </c>
      <c r="E72" s="52">
        <f t="shared" ref="E72:E135" si="113">MONTH(B72)</f>
        <v>4</v>
      </c>
      <c r="F72" s="53">
        <f t="shared" ref="F72:F135" si="114">YEAR(D72)</f>
        <v>2019</v>
      </c>
      <c r="G72" s="62">
        <f t="shared" si="68"/>
        <v>15</v>
      </c>
      <c r="H72" s="63">
        <f t="shared" si="69"/>
        <v>96</v>
      </c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>
        <v>15</v>
      </c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80"/>
      <c r="AG72" s="87">
        <f t="shared" si="70"/>
        <v>0</v>
      </c>
      <c r="AH72" s="87">
        <f t="shared" si="71"/>
        <v>0</v>
      </c>
      <c r="AI72" s="87">
        <f t="shared" si="72"/>
        <v>0</v>
      </c>
      <c r="AJ72" s="87">
        <f t="shared" si="73"/>
        <v>0</v>
      </c>
      <c r="AK72" s="87">
        <f t="shared" si="74"/>
        <v>0</v>
      </c>
      <c r="AL72" s="87">
        <f t="shared" si="75"/>
        <v>0</v>
      </c>
      <c r="AM72" s="87">
        <f t="shared" si="76"/>
        <v>0</v>
      </c>
      <c r="AN72" s="87">
        <f t="shared" si="77"/>
        <v>0</v>
      </c>
      <c r="AO72" s="87">
        <f t="shared" si="78"/>
        <v>0</v>
      </c>
      <c r="AP72" s="87">
        <f t="shared" si="79"/>
        <v>0</v>
      </c>
      <c r="AQ72" s="87">
        <f t="shared" si="80"/>
        <v>15</v>
      </c>
      <c r="AR72" s="81"/>
      <c r="AS72" s="85">
        <f t="shared" si="81"/>
        <v>0</v>
      </c>
      <c r="AT72" s="85">
        <f t="shared" si="82"/>
        <v>0</v>
      </c>
      <c r="AU72" s="85">
        <f t="shared" si="83"/>
        <v>0</v>
      </c>
      <c r="AV72" s="85">
        <f t="shared" si="84"/>
        <v>0</v>
      </c>
      <c r="AW72" s="85">
        <f t="shared" si="85"/>
        <v>0</v>
      </c>
      <c r="AX72" s="85">
        <f t="shared" si="86"/>
        <v>0</v>
      </c>
      <c r="AY72" s="85">
        <f t="shared" si="87"/>
        <v>0</v>
      </c>
      <c r="AZ72" s="85">
        <f t="shared" si="88"/>
        <v>0</v>
      </c>
      <c r="BA72" s="85">
        <f t="shared" si="89"/>
        <v>0</v>
      </c>
      <c r="BB72" s="85">
        <f t="shared" si="90"/>
        <v>0</v>
      </c>
      <c r="BC72" s="85">
        <f t="shared" si="91"/>
        <v>0</v>
      </c>
      <c r="BD72" s="85">
        <f t="shared" si="92"/>
        <v>0</v>
      </c>
      <c r="BE72" s="85">
        <f t="shared" si="93"/>
        <v>0</v>
      </c>
      <c r="BF72" s="85">
        <f t="shared" si="94"/>
        <v>0</v>
      </c>
      <c r="BG72" s="85">
        <f t="shared" si="95"/>
        <v>0</v>
      </c>
      <c r="BH72" s="85">
        <f t="shared" si="96"/>
        <v>0</v>
      </c>
      <c r="BI72" s="85">
        <f t="shared" si="97"/>
        <v>0</v>
      </c>
      <c r="BJ72" s="85">
        <f t="shared" si="98"/>
        <v>0</v>
      </c>
      <c r="BK72" s="85">
        <f t="shared" si="99"/>
        <v>0</v>
      </c>
      <c r="BL72" s="85">
        <f t="shared" si="100"/>
        <v>0</v>
      </c>
      <c r="BM72" s="85">
        <f t="shared" si="101"/>
        <v>0</v>
      </c>
      <c r="BN72" s="85">
        <f t="shared" si="102"/>
        <v>0</v>
      </c>
      <c r="BO72" s="85">
        <f t="shared" si="103"/>
        <v>0</v>
      </c>
      <c r="BP72" s="85">
        <f t="shared" si="104"/>
        <v>0</v>
      </c>
      <c r="BQ72" s="85">
        <f t="shared" si="105"/>
        <v>0</v>
      </c>
      <c r="BR72" s="85">
        <f t="shared" si="106"/>
        <v>0</v>
      </c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W72">
        <v>1</v>
      </c>
      <c r="CX72" s="35">
        <v>43556</v>
      </c>
      <c r="CZ72" s="35">
        <f>B89</f>
        <v>43675</v>
      </c>
      <c r="DA72">
        <v>95</v>
      </c>
      <c r="DC72" s="57" t="str">
        <f t="shared" si="107"/>
        <v/>
      </c>
      <c r="DD72" s="64" t="str">
        <f t="shared" si="108"/>
        <v/>
      </c>
      <c r="DE72" s="65" t="str">
        <f t="shared" si="109"/>
        <v/>
      </c>
      <c r="DF72" s="66" t="str">
        <f t="shared" si="110"/>
        <v/>
      </c>
    </row>
    <row r="73" spans="2:110" hidden="1" outlineLevel="1">
      <c r="B73" s="54">
        <f t="shared" si="111"/>
        <v>43563</v>
      </c>
      <c r="C73" s="55" t="s">
        <v>1</v>
      </c>
      <c r="D73" s="56">
        <f t="shared" si="112"/>
        <v>43569</v>
      </c>
      <c r="E73" s="52">
        <f t="shared" si="113"/>
        <v>4</v>
      </c>
      <c r="F73" s="53">
        <f t="shared" si="114"/>
        <v>2019</v>
      </c>
      <c r="G73" s="62">
        <f t="shared" ref="G73:G136" si="115">G72</f>
        <v>15</v>
      </c>
      <c r="H73" s="63">
        <f t="shared" ref="H73:H136" si="116">H72</f>
        <v>96</v>
      </c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>
        <v>15</v>
      </c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80"/>
      <c r="AG73" s="87">
        <f t="shared" si="70"/>
        <v>0</v>
      </c>
      <c r="AH73" s="87">
        <f t="shared" si="71"/>
        <v>0</v>
      </c>
      <c r="AI73" s="87">
        <f t="shared" si="72"/>
        <v>0</v>
      </c>
      <c r="AJ73" s="87">
        <f t="shared" si="73"/>
        <v>0</v>
      </c>
      <c r="AK73" s="87">
        <f t="shared" si="74"/>
        <v>0</v>
      </c>
      <c r="AL73" s="87">
        <f t="shared" si="75"/>
        <v>0</v>
      </c>
      <c r="AM73" s="87">
        <f t="shared" si="76"/>
        <v>0</v>
      </c>
      <c r="AN73" s="87">
        <f t="shared" si="77"/>
        <v>0</v>
      </c>
      <c r="AO73" s="87">
        <f t="shared" si="78"/>
        <v>0</v>
      </c>
      <c r="AP73" s="87">
        <f t="shared" si="79"/>
        <v>0</v>
      </c>
      <c r="AQ73" s="87">
        <f t="shared" si="80"/>
        <v>15</v>
      </c>
      <c r="AR73" s="81"/>
      <c r="AS73" s="85">
        <f t="shared" si="81"/>
        <v>0</v>
      </c>
      <c r="AT73" s="85">
        <f t="shared" si="82"/>
        <v>0</v>
      </c>
      <c r="AU73" s="85">
        <f t="shared" si="83"/>
        <v>0</v>
      </c>
      <c r="AV73" s="85">
        <f t="shared" si="84"/>
        <v>0</v>
      </c>
      <c r="AW73" s="85">
        <f t="shared" si="85"/>
        <v>0</v>
      </c>
      <c r="AX73" s="85">
        <f t="shared" si="86"/>
        <v>0</v>
      </c>
      <c r="AY73" s="85">
        <f t="shared" si="87"/>
        <v>0</v>
      </c>
      <c r="AZ73" s="85">
        <f t="shared" si="88"/>
        <v>0</v>
      </c>
      <c r="BA73" s="85">
        <f t="shared" si="89"/>
        <v>0</v>
      </c>
      <c r="BB73" s="85">
        <f t="shared" si="90"/>
        <v>0</v>
      </c>
      <c r="BC73" s="85">
        <f t="shared" si="91"/>
        <v>0</v>
      </c>
      <c r="BD73" s="85">
        <f t="shared" si="92"/>
        <v>0</v>
      </c>
      <c r="BE73" s="85">
        <f t="shared" si="93"/>
        <v>0</v>
      </c>
      <c r="BF73" s="85">
        <f t="shared" si="94"/>
        <v>0</v>
      </c>
      <c r="BG73" s="85">
        <f t="shared" si="95"/>
        <v>0</v>
      </c>
      <c r="BH73" s="85">
        <f t="shared" si="96"/>
        <v>0</v>
      </c>
      <c r="BI73" s="85">
        <f t="shared" si="97"/>
        <v>0</v>
      </c>
      <c r="BJ73" s="85">
        <f t="shared" si="98"/>
        <v>0</v>
      </c>
      <c r="BK73" s="85">
        <f t="shared" si="99"/>
        <v>0</v>
      </c>
      <c r="BL73" s="85">
        <f t="shared" si="100"/>
        <v>0</v>
      </c>
      <c r="BM73" s="85">
        <f t="shared" si="101"/>
        <v>0</v>
      </c>
      <c r="BN73" s="85">
        <f t="shared" si="102"/>
        <v>0</v>
      </c>
      <c r="BO73" s="85">
        <f t="shared" si="103"/>
        <v>0</v>
      </c>
      <c r="BP73" s="85">
        <f t="shared" si="104"/>
        <v>0</v>
      </c>
      <c r="BQ73" s="85">
        <f t="shared" si="105"/>
        <v>0</v>
      </c>
      <c r="BR73" s="85">
        <f t="shared" si="106"/>
        <v>0</v>
      </c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X73" s="35" t="s">
        <v>12</v>
      </c>
      <c r="CZ73" s="35"/>
      <c r="DC73" s="57" t="str">
        <f t="shared" si="107"/>
        <v/>
      </c>
      <c r="DD73" s="64" t="str">
        <f t="shared" si="108"/>
        <v/>
      </c>
      <c r="DE73" s="65" t="str">
        <f t="shared" si="109"/>
        <v/>
      </c>
      <c r="DF73" s="66" t="str">
        <f t="shared" si="110"/>
        <v/>
      </c>
    </row>
    <row r="74" spans="2:110" hidden="1" outlineLevel="1">
      <c r="B74" s="54">
        <f t="shared" si="111"/>
        <v>43570</v>
      </c>
      <c r="C74" s="55" t="s">
        <v>1</v>
      </c>
      <c r="D74" s="56">
        <f t="shared" si="112"/>
        <v>43576</v>
      </c>
      <c r="E74" s="52">
        <f t="shared" si="113"/>
        <v>4</v>
      </c>
      <c r="F74" s="53">
        <f t="shared" si="114"/>
        <v>2019</v>
      </c>
      <c r="G74" s="62">
        <f t="shared" si="115"/>
        <v>15</v>
      </c>
      <c r="H74" s="63">
        <f t="shared" si="116"/>
        <v>96</v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>
        <v>15</v>
      </c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80"/>
      <c r="AG74" s="87">
        <f t="shared" si="70"/>
        <v>0</v>
      </c>
      <c r="AH74" s="87">
        <f t="shared" si="71"/>
        <v>0</v>
      </c>
      <c r="AI74" s="87">
        <f t="shared" si="72"/>
        <v>0</v>
      </c>
      <c r="AJ74" s="87">
        <f t="shared" si="73"/>
        <v>0</v>
      </c>
      <c r="AK74" s="87">
        <f t="shared" si="74"/>
        <v>0</v>
      </c>
      <c r="AL74" s="87">
        <f t="shared" si="75"/>
        <v>0</v>
      </c>
      <c r="AM74" s="87">
        <f t="shared" si="76"/>
        <v>0</v>
      </c>
      <c r="AN74" s="87">
        <f t="shared" si="77"/>
        <v>0</v>
      </c>
      <c r="AO74" s="87">
        <f t="shared" si="78"/>
        <v>0</v>
      </c>
      <c r="AP74" s="87">
        <f t="shared" si="79"/>
        <v>0</v>
      </c>
      <c r="AQ74" s="87">
        <f t="shared" si="80"/>
        <v>15</v>
      </c>
      <c r="AR74" s="81"/>
      <c r="AS74" s="85">
        <f t="shared" si="81"/>
        <v>0</v>
      </c>
      <c r="AT74" s="85">
        <f t="shared" si="82"/>
        <v>0</v>
      </c>
      <c r="AU74" s="85">
        <f t="shared" si="83"/>
        <v>0</v>
      </c>
      <c r="AV74" s="85">
        <f t="shared" si="84"/>
        <v>0</v>
      </c>
      <c r="AW74" s="85">
        <f t="shared" si="85"/>
        <v>0</v>
      </c>
      <c r="AX74" s="85">
        <f t="shared" si="86"/>
        <v>0</v>
      </c>
      <c r="AY74" s="85">
        <f t="shared" si="87"/>
        <v>0</v>
      </c>
      <c r="AZ74" s="85">
        <f t="shared" si="88"/>
        <v>0</v>
      </c>
      <c r="BA74" s="85">
        <f t="shared" si="89"/>
        <v>0</v>
      </c>
      <c r="BB74" s="85">
        <f t="shared" si="90"/>
        <v>0</v>
      </c>
      <c r="BC74" s="85">
        <f t="shared" si="91"/>
        <v>0</v>
      </c>
      <c r="BD74" s="85">
        <f t="shared" si="92"/>
        <v>0</v>
      </c>
      <c r="BE74" s="85">
        <f t="shared" si="93"/>
        <v>0</v>
      </c>
      <c r="BF74" s="85">
        <f t="shared" si="94"/>
        <v>0</v>
      </c>
      <c r="BG74" s="85">
        <f t="shared" si="95"/>
        <v>0</v>
      </c>
      <c r="BH74" s="85">
        <f t="shared" si="96"/>
        <v>0</v>
      </c>
      <c r="BI74" s="85">
        <f t="shared" si="97"/>
        <v>0</v>
      </c>
      <c r="BJ74" s="85">
        <f t="shared" si="98"/>
        <v>0</v>
      </c>
      <c r="BK74" s="85">
        <f t="shared" si="99"/>
        <v>0</v>
      </c>
      <c r="BL74" s="85">
        <f t="shared" si="100"/>
        <v>0</v>
      </c>
      <c r="BM74" s="85">
        <f t="shared" si="101"/>
        <v>0</v>
      </c>
      <c r="BN74" s="85">
        <f t="shared" si="102"/>
        <v>0</v>
      </c>
      <c r="BO74" s="85">
        <f t="shared" si="103"/>
        <v>0</v>
      </c>
      <c r="BP74" s="85">
        <f t="shared" si="104"/>
        <v>0</v>
      </c>
      <c r="BQ74" s="85">
        <f t="shared" si="105"/>
        <v>0</v>
      </c>
      <c r="BR74" s="85">
        <f t="shared" si="106"/>
        <v>0</v>
      </c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X74" s="35" t="s">
        <v>12</v>
      </c>
      <c r="CZ74" s="35"/>
      <c r="DC74" s="57" t="str">
        <f t="shared" si="107"/>
        <v/>
      </c>
      <c r="DD74" s="64" t="str">
        <f t="shared" si="108"/>
        <v/>
      </c>
      <c r="DE74" s="65" t="str">
        <f t="shared" si="109"/>
        <v/>
      </c>
      <c r="DF74" s="66" t="str">
        <f t="shared" si="110"/>
        <v/>
      </c>
    </row>
    <row r="75" spans="2:110" hidden="1" outlineLevel="1">
      <c r="B75" s="54">
        <f t="shared" si="111"/>
        <v>43577</v>
      </c>
      <c r="C75" s="55" t="s">
        <v>1</v>
      </c>
      <c r="D75" s="56">
        <f t="shared" si="112"/>
        <v>43583</v>
      </c>
      <c r="E75" s="52">
        <f t="shared" si="113"/>
        <v>4</v>
      </c>
      <c r="F75" s="53">
        <f t="shared" si="114"/>
        <v>2019</v>
      </c>
      <c r="G75" s="62">
        <f t="shared" si="115"/>
        <v>15</v>
      </c>
      <c r="H75" s="63">
        <f t="shared" si="116"/>
        <v>96</v>
      </c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>
        <v>15</v>
      </c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80"/>
      <c r="AG75" s="87">
        <f t="shared" si="70"/>
        <v>0</v>
      </c>
      <c r="AH75" s="87">
        <f t="shared" si="71"/>
        <v>0</v>
      </c>
      <c r="AI75" s="87">
        <f t="shared" si="72"/>
        <v>0</v>
      </c>
      <c r="AJ75" s="87">
        <f t="shared" si="73"/>
        <v>0</v>
      </c>
      <c r="AK75" s="87">
        <f t="shared" si="74"/>
        <v>0</v>
      </c>
      <c r="AL75" s="87">
        <f t="shared" si="75"/>
        <v>0</v>
      </c>
      <c r="AM75" s="87">
        <f t="shared" si="76"/>
        <v>0</v>
      </c>
      <c r="AN75" s="87">
        <f t="shared" si="77"/>
        <v>0</v>
      </c>
      <c r="AO75" s="87">
        <f t="shared" si="78"/>
        <v>0</v>
      </c>
      <c r="AP75" s="87">
        <f t="shared" si="79"/>
        <v>0</v>
      </c>
      <c r="AQ75" s="87">
        <f t="shared" si="80"/>
        <v>15</v>
      </c>
      <c r="AR75" s="81"/>
      <c r="AS75" s="85">
        <f t="shared" si="81"/>
        <v>0</v>
      </c>
      <c r="AT75" s="85">
        <f t="shared" si="82"/>
        <v>0</v>
      </c>
      <c r="AU75" s="85">
        <f t="shared" si="83"/>
        <v>0</v>
      </c>
      <c r="AV75" s="85">
        <f t="shared" si="84"/>
        <v>0</v>
      </c>
      <c r="AW75" s="85">
        <f t="shared" si="85"/>
        <v>0</v>
      </c>
      <c r="AX75" s="85">
        <f t="shared" si="86"/>
        <v>0</v>
      </c>
      <c r="AY75" s="85">
        <f t="shared" si="87"/>
        <v>0</v>
      </c>
      <c r="AZ75" s="85">
        <f t="shared" si="88"/>
        <v>0</v>
      </c>
      <c r="BA75" s="85">
        <f t="shared" si="89"/>
        <v>0</v>
      </c>
      <c r="BB75" s="85">
        <f t="shared" si="90"/>
        <v>0</v>
      </c>
      <c r="BC75" s="85">
        <f t="shared" si="91"/>
        <v>0</v>
      </c>
      <c r="BD75" s="85">
        <f t="shared" si="92"/>
        <v>0</v>
      </c>
      <c r="BE75" s="85">
        <f t="shared" si="93"/>
        <v>0</v>
      </c>
      <c r="BF75" s="85">
        <f t="shared" si="94"/>
        <v>0</v>
      </c>
      <c r="BG75" s="85">
        <f t="shared" si="95"/>
        <v>0</v>
      </c>
      <c r="BH75" s="85">
        <f t="shared" si="96"/>
        <v>0</v>
      </c>
      <c r="BI75" s="85">
        <f t="shared" si="97"/>
        <v>0</v>
      </c>
      <c r="BJ75" s="85">
        <f t="shared" si="98"/>
        <v>0</v>
      </c>
      <c r="BK75" s="85">
        <f t="shared" si="99"/>
        <v>0</v>
      </c>
      <c r="BL75" s="85">
        <f t="shared" si="100"/>
        <v>0</v>
      </c>
      <c r="BM75" s="85">
        <f t="shared" si="101"/>
        <v>0</v>
      </c>
      <c r="BN75" s="85">
        <f t="shared" si="102"/>
        <v>0</v>
      </c>
      <c r="BO75" s="85">
        <f t="shared" si="103"/>
        <v>0</v>
      </c>
      <c r="BP75" s="85">
        <f t="shared" si="104"/>
        <v>0</v>
      </c>
      <c r="BQ75" s="85">
        <f t="shared" si="105"/>
        <v>0</v>
      </c>
      <c r="BR75" s="85">
        <f t="shared" si="106"/>
        <v>0</v>
      </c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X75" s="35" t="s">
        <v>12</v>
      </c>
      <c r="CZ75" s="35"/>
      <c r="DC75" s="57" t="str">
        <f t="shared" si="107"/>
        <v/>
      </c>
      <c r="DD75" s="64" t="str">
        <f t="shared" si="108"/>
        <v/>
      </c>
      <c r="DE75" s="65" t="str">
        <f t="shared" si="109"/>
        <v/>
      </c>
      <c r="DF75" s="66" t="str">
        <f t="shared" si="110"/>
        <v/>
      </c>
    </row>
    <row r="76" spans="2:110" hidden="1" outlineLevel="1">
      <c r="B76" s="54">
        <f t="shared" si="111"/>
        <v>43584</v>
      </c>
      <c r="C76" s="55" t="s">
        <v>1</v>
      </c>
      <c r="D76" s="56">
        <f t="shared" si="112"/>
        <v>43590</v>
      </c>
      <c r="E76" s="52">
        <f t="shared" si="113"/>
        <v>4</v>
      </c>
      <c r="F76" s="53">
        <f t="shared" si="114"/>
        <v>2019</v>
      </c>
      <c r="G76" s="62">
        <f t="shared" si="115"/>
        <v>15</v>
      </c>
      <c r="H76" s="63">
        <f t="shared" si="116"/>
        <v>96</v>
      </c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>
        <v>15</v>
      </c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80"/>
      <c r="AG76" s="87">
        <f t="shared" si="70"/>
        <v>0</v>
      </c>
      <c r="AH76" s="87">
        <f t="shared" si="71"/>
        <v>0</v>
      </c>
      <c r="AI76" s="87">
        <f t="shared" si="72"/>
        <v>0</v>
      </c>
      <c r="AJ76" s="87">
        <f t="shared" si="73"/>
        <v>0</v>
      </c>
      <c r="AK76" s="87">
        <f t="shared" si="74"/>
        <v>0</v>
      </c>
      <c r="AL76" s="87">
        <f t="shared" si="75"/>
        <v>0</v>
      </c>
      <c r="AM76" s="87">
        <f t="shared" si="76"/>
        <v>0</v>
      </c>
      <c r="AN76" s="87">
        <f t="shared" si="77"/>
        <v>0</v>
      </c>
      <c r="AO76" s="87">
        <f t="shared" si="78"/>
        <v>0</v>
      </c>
      <c r="AP76" s="87">
        <f t="shared" si="79"/>
        <v>0</v>
      </c>
      <c r="AQ76" s="87">
        <f t="shared" si="80"/>
        <v>15</v>
      </c>
      <c r="AR76" s="81"/>
      <c r="AS76" s="85">
        <f t="shared" si="81"/>
        <v>0</v>
      </c>
      <c r="AT76" s="85">
        <f t="shared" si="82"/>
        <v>0</v>
      </c>
      <c r="AU76" s="85">
        <f t="shared" si="83"/>
        <v>0</v>
      </c>
      <c r="AV76" s="85">
        <f t="shared" si="84"/>
        <v>0</v>
      </c>
      <c r="AW76" s="85">
        <f t="shared" si="85"/>
        <v>0</v>
      </c>
      <c r="AX76" s="85">
        <f t="shared" si="86"/>
        <v>0</v>
      </c>
      <c r="AY76" s="85">
        <f t="shared" si="87"/>
        <v>0</v>
      </c>
      <c r="AZ76" s="85">
        <f t="shared" si="88"/>
        <v>0</v>
      </c>
      <c r="BA76" s="85">
        <f t="shared" si="89"/>
        <v>0</v>
      </c>
      <c r="BB76" s="85">
        <f t="shared" si="90"/>
        <v>0</v>
      </c>
      <c r="BC76" s="85">
        <f t="shared" si="91"/>
        <v>0</v>
      </c>
      <c r="BD76" s="85">
        <f t="shared" si="92"/>
        <v>0</v>
      </c>
      <c r="BE76" s="85">
        <f t="shared" si="93"/>
        <v>0</v>
      </c>
      <c r="BF76" s="85">
        <f t="shared" si="94"/>
        <v>0</v>
      </c>
      <c r="BG76" s="85">
        <f t="shared" si="95"/>
        <v>0</v>
      </c>
      <c r="BH76" s="85">
        <f t="shared" si="96"/>
        <v>0</v>
      </c>
      <c r="BI76" s="85">
        <f t="shared" si="97"/>
        <v>0</v>
      </c>
      <c r="BJ76" s="85">
        <f t="shared" si="98"/>
        <v>0</v>
      </c>
      <c r="BK76" s="85">
        <f t="shared" si="99"/>
        <v>0</v>
      </c>
      <c r="BL76" s="85">
        <f t="shared" si="100"/>
        <v>0</v>
      </c>
      <c r="BM76" s="85">
        <f t="shared" si="101"/>
        <v>0</v>
      </c>
      <c r="BN76" s="85">
        <f t="shared" si="102"/>
        <v>0</v>
      </c>
      <c r="BO76" s="85">
        <f t="shared" si="103"/>
        <v>0</v>
      </c>
      <c r="BP76" s="85">
        <f t="shared" si="104"/>
        <v>0</v>
      </c>
      <c r="BQ76" s="85">
        <f t="shared" si="105"/>
        <v>0</v>
      </c>
      <c r="BR76" s="85">
        <f t="shared" si="106"/>
        <v>0</v>
      </c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X76" s="35" t="s">
        <v>12</v>
      </c>
      <c r="CZ76" s="35"/>
      <c r="DC76" s="57" t="str">
        <f t="shared" si="107"/>
        <v/>
      </c>
      <c r="DD76" s="64" t="str">
        <f t="shared" si="108"/>
        <v/>
      </c>
      <c r="DE76" s="65" t="str">
        <f t="shared" si="109"/>
        <v/>
      </c>
      <c r="DF76" s="66" t="str">
        <f t="shared" si="110"/>
        <v/>
      </c>
    </row>
    <row r="77" spans="2:110" hidden="1" outlineLevel="1">
      <c r="B77" s="54">
        <f t="shared" si="111"/>
        <v>43591</v>
      </c>
      <c r="C77" s="55" t="s">
        <v>1</v>
      </c>
      <c r="D77" s="56">
        <f t="shared" si="112"/>
        <v>43597</v>
      </c>
      <c r="E77" s="52">
        <f t="shared" si="113"/>
        <v>5</v>
      </c>
      <c r="F77" s="53">
        <f t="shared" si="114"/>
        <v>2019</v>
      </c>
      <c r="G77" s="62">
        <f t="shared" si="115"/>
        <v>15</v>
      </c>
      <c r="H77" s="63">
        <f t="shared" si="116"/>
        <v>96</v>
      </c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>
        <v>15</v>
      </c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80"/>
      <c r="AG77" s="87">
        <f t="shared" si="70"/>
        <v>0</v>
      </c>
      <c r="AH77" s="87">
        <f t="shared" si="71"/>
        <v>0</v>
      </c>
      <c r="AI77" s="87">
        <f t="shared" si="72"/>
        <v>0</v>
      </c>
      <c r="AJ77" s="87">
        <f t="shared" si="73"/>
        <v>0</v>
      </c>
      <c r="AK77" s="87">
        <f t="shared" si="74"/>
        <v>0</v>
      </c>
      <c r="AL77" s="87">
        <f t="shared" si="75"/>
        <v>0</v>
      </c>
      <c r="AM77" s="87">
        <f t="shared" si="76"/>
        <v>0</v>
      </c>
      <c r="AN77" s="87">
        <f t="shared" si="77"/>
        <v>0</v>
      </c>
      <c r="AO77" s="87">
        <f t="shared" si="78"/>
        <v>0</v>
      </c>
      <c r="AP77" s="87">
        <f t="shared" si="79"/>
        <v>0</v>
      </c>
      <c r="AQ77" s="87">
        <f t="shared" si="80"/>
        <v>15</v>
      </c>
      <c r="AR77" s="81"/>
      <c r="AS77" s="85">
        <f t="shared" si="81"/>
        <v>0</v>
      </c>
      <c r="AT77" s="85">
        <f t="shared" si="82"/>
        <v>0</v>
      </c>
      <c r="AU77" s="85">
        <f t="shared" si="83"/>
        <v>0</v>
      </c>
      <c r="AV77" s="85">
        <f t="shared" si="84"/>
        <v>0</v>
      </c>
      <c r="AW77" s="85">
        <f t="shared" si="85"/>
        <v>0</v>
      </c>
      <c r="AX77" s="85">
        <f t="shared" si="86"/>
        <v>0</v>
      </c>
      <c r="AY77" s="85">
        <f t="shared" si="87"/>
        <v>0</v>
      </c>
      <c r="AZ77" s="85">
        <f t="shared" si="88"/>
        <v>0</v>
      </c>
      <c r="BA77" s="85">
        <f t="shared" si="89"/>
        <v>0</v>
      </c>
      <c r="BB77" s="85">
        <f t="shared" si="90"/>
        <v>0</v>
      </c>
      <c r="BC77" s="85">
        <f t="shared" si="91"/>
        <v>0</v>
      </c>
      <c r="BD77" s="85">
        <f t="shared" si="92"/>
        <v>0</v>
      </c>
      <c r="BE77" s="85">
        <f t="shared" si="93"/>
        <v>0</v>
      </c>
      <c r="BF77" s="85">
        <f t="shared" si="94"/>
        <v>0</v>
      </c>
      <c r="BG77" s="85">
        <f t="shared" si="95"/>
        <v>0</v>
      </c>
      <c r="BH77" s="85">
        <f t="shared" si="96"/>
        <v>0</v>
      </c>
      <c r="BI77" s="85">
        <f t="shared" si="97"/>
        <v>0</v>
      </c>
      <c r="BJ77" s="85">
        <f t="shared" si="98"/>
        <v>0</v>
      </c>
      <c r="BK77" s="85">
        <f t="shared" si="99"/>
        <v>0</v>
      </c>
      <c r="BL77" s="85">
        <f t="shared" si="100"/>
        <v>0</v>
      </c>
      <c r="BM77" s="85">
        <f t="shared" si="101"/>
        <v>0</v>
      </c>
      <c r="BN77" s="85">
        <f t="shared" si="102"/>
        <v>0</v>
      </c>
      <c r="BO77" s="85">
        <f t="shared" si="103"/>
        <v>0</v>
      </c>
      <c r="BP77" s="85">
        <f t="shared" si="104"/>
        <v>0</v>
      </c>
      <c r="BQ77" s="85">
        <f t="shared" si="105"/>
        <v>0</v>
      </c>
      <c r="BR77" s="85">
        <f t="shared" si="106"/>
        <v>0</v>
      </c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U77" s="33"/>
      <c r="CV77" s="34"/>
      <c r="CW77">
        <v>6</v>
      </c>
      <c r="CX77" s="35">
        <v>43591</v>
      </c>
      <c r="CZ77" s="35">
        <f>B94</f>
        <v>43710</v>
      </c>
      <c r="DA77">
        <v>95</v>
      </c>
      <c r="DC77" s="57" t="str">
        <f t="shared" si="107"/>
        <v/>
      </c>
      <c r="DD77" s="64" t="str">
        <f t="shared" si="108"/>
        <v/>
      </c>
      <c r="DE77" s="65" t="str">
        <f t="shared" si="109"/>
        <v/>
      </c>
      <c r="DF77" s="66" t="str">
        <f t="shared" si="110"/>
        <v/>
      </c>
    </row>
    <row r="78" spans="2:110" hidden="1" outlineLevel="1">
      <c r="B78" s="54">
        <f t="shared" si="111"/>
        <v>43598</v>
      </c>
      <c r="C78" s="55" t="s">
        <v>1</v>
      </c>
      <c r="D78" s="56">
        <f t="shared" si="112"/>
        <v>43604</v>
      </c>
      <c r="E78" s="52">
        <f t="shared" si="113"/>
        <v>5</v>
      </c>
      <c r="F78" s="53">
        <f t="shared" si="114"/>
        <v>2019</v>
      </c>
      <c r="G78" s="62">
        <f t="shared" si="115"/>
        <v>15</v>
      </c>
      <c r="H78" s="63">
        <f t="shared" si="116"/>
        <v>96</v>
      </c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>
        <v>15</v>
      </c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80"/>
      <c r="AG78" s="87">
        <f t="shared" si="70"/>
        <v>0</v>
      </c>
      <c r="AH78" s="87">
        <f t="shared" si="71"/>
        <v>0</v>
      </c>
      <c r="AI78" s="87">
        <f t="shared" si="72"/>
        <v>0</v>
      </c>
      <c r="AJ78" s="87">
        <f t="shared" si="73"/>
        <v>0</v>
      </c>
      <c r="AK78" s="87">
        <f t="shared" si="74"/>
        <v>0</v>
      </c>
      <c r="AL78" s="87">
        <f t="shared" si="75"/>
        <v>0</v>
      </c>
      <c r="AM78" s="87">
        <f t="shared" si="76"/>
        <v>0</v>
      </c>
      <c r="AN78" s="87">
        <f t="shared" si="77"/>
        <v>0</v>
      </c>
      <c r="AO78" s="87">
        <f t="shared" si="78"/>
        <v>0</v>
      </c>
      <c r="AP78" s="87">
        <f t="shared" si="79"/>
        <v>0</v>
      </c>
      <c r="AQ78" s="87">
        <f t="shared" si="80"/>
        <v>15</v>
      </c>
      <c r="AR78" s="81"/>
      <c r="AS78" s="85">
        <f t="shared" si="81"/>
        <v>0</v>
      </c>
      <c r="AT78" s="85">
        <f t="shared" si="82"/>
        <v>0</v>
      </c>
      <c r="AU78" s="85">
        <f t="shared" si="83"/>
        <v>0</v>
      </c>
      <c r="AV78" s="85">
        <f t="shared" si="84"/>
        <v>0</v>
      </c>
      <c r="AW78" s="85">
        <f t="shared" si="85"/>
        <v>0</v>
      </c>
      <c r="AX78" s="85">
        <f t="shared" si="86"/>
        <v>0</v>
      </c>
      <c r="AY78" s="85">
        <f t="shared" si="87"/>
        <v>0</v>
      </c>
      <c r="AZ78" s="85">
        <f t="shared" si="88"/>
        <v>0</v>
      </c>
      <c r="BA78" s="85">
        <f t="shared" si="89"/>
        <v>0</v>
      </c>
      <c r="BB78" s="85">
        <f t="shared" si="90"/>
        <v>0</v>
      </c>
      <c r="BC78" s="85">
        <f t="shared" si="91"/>
        <v>0</v>
      </c>
      <c r="BD78" s="85">
        <f t="shared" si="92"/>
        <v>0</v>
      </c>
      <c r="BE78" s="85">
        <f t="shared" si="93"/>
        <v>0</v>
      </c>
      <c r="BF78" s="85">
        <f t="shared" si="94"/>
        <v>0</v>
      </c>
      <c r="BG78" s="85">
        <f t="shared" si="95"/>
        <v>0</v>
      </c>
      <c r="BH78" s="85">
        <f t="shared" si="96"/>
        <v>0</v>
      </c>
      <c r="BI78" s="85">
        <f t="shared" si="97"/>
        <v>0</v>
      </c>
      <c r="BJ78" s="85">
        <f t="shared" si="98"/>
        <v>0</v>
      </c>
      <c r="BK78" s="85">
        <f t="shared" si="99"/>
        <v>0</v>
      </c>
      <c r="BL78" s="85">
        <f t="shared" si="100"/>
        <v>0</v>
      </c>
      <c r="BM78" s="85">
        <f t="shared" si="101"/>
        <v>0</v>
      </c>
      <c r="BN78" s="85">
        <f t="shared" si="102"/>
        <v>0</v>
      </c>
      <c r="BO78" s="85">
        <f t="shared" si="103"/>
        <v>0</v>
      </c>
      <c r="BP78" s="85">
        <f t="shared" si="104"/>
        <v>0</v>
      </c>
      <c r="BQ78" s="85">
        <f t="shared" si="105"/>
        <v>0</v>
      </c>
      <c r="BR78" s="85">
        <f t="shared" si="106"/>
        <v>0</v>
      </c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X78" s="35" t="s">
        <v>12</v>
      </c>
      <c r="CZ78" s="35"/>
      <c r="DC78" s="57" t="str">
        <f t="shared" si="107"/>
        <v/>
      </c>
      <c r="DD78" s="64" t="str">
        <f t="shared" si="108"/>
        <v/>
      </c>
      <c r="DE78" s="65" t="str">
        <f t="shared" si="109"/>
        <v/>
      </c>
      <c r="DF78" s="66" t="str">
        <f t="shared" si="110"/>
        <v/>
      </c>
    </row>
    <row r="79" spans="2:110" hidden="1" outlineLevel="1">
      <c r="B79" s="54">
        <f t="shared" si="111"/>
        <v>43605</v>
      </c>
      <c r="C79" s="55" t="s">
        <v>1</v>
      </c>
      <c r="D79" s="56">
        <f t="shared" si="112"/>
        <v>43611</v>
      </c>
      <c r="E79" s="52">
        <f t="shared" si="113"/>
        <v>5</v>
      </c>
      <c r="F79" s="53">
        <f t="shared" si="114"/>
        <v>2019</v>
      </c>
      <c r="G79" s="62">
        <f t="shared" si="115"/>
        <v>15</v>
      </c>
      <c r="H79" s="63">
        <f t="shared" si="116"/>
        <v>96</v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>
        <v>15</v>
      </c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80"/>
      <c r="AG79" s="87">
        <f t="shared" si="70"/>
        <v>0</v>
      </c>
      <c r="AH79" s="87">
        <f t="shared" si="71"/>
        <v>0</v>
      </c>
      <c r="AI79" s="87">
        <f t="shared" si="72"/>
        <v>0</v>
      </c>
      <c r="AJ79" s="87">
        <f t="shared" si="73"/>
        <v>0</v>
      </c>
      <c r="AK79" s="87">
        <f t="shared" si="74"/>
        <v>0</v>
      </c>
      <c r="AL79" s="87">
        <f t="shared" si="75"/>
        <v>0</v>
      </c>
      <c r="AM79" s="87">
        <f t="shared" si="76"/>
        <v>0</v>
      </c>
      <c r="AN79" s="87">
        <f t="shared" si="77"/>
        <v>0</v>
      </c>
      <c r="AO79" s="87">
        <f t="shared" si="78"/>
        <v>0</v>
      </c>
      <c r="AP79" s="87">
        <f t="shared" si="79"/>
        <v>0</v>
      </c>
      <c r="AQ79" s="87">
        <f t="shared" si="80"/>
        <v>15</v>
      </c>
      <c r="AR79" s="81"/>
      <c r="AS79" s="85">
        <f t="shared" si="81"/>
        <v>0</v>
      </c>
      <c r="AT79" s="85">
        <f t="shared" si="82"/>
        <v>0</v>
      </c>
      <c r="AU79" s="85">
        <f t="shared" si="83"/>
        <v>0</v>
      </c>
      <c r="AV79" s="85">
        <f t="shared" si="84"/>
        <v>0</v>
      </c>
      <c r="AW79" s="85">
        <f t="shared" si="85"/>
        <v>0</v>
      </c>
      <c r="AX79" s="85">
        <f t="shared" si="86"/>
        <v>0</v>
      </c>
      <c r="AY79" s="85">
        <f t="shared" si="87"/>
        <v>0</v>
      </c>
      <c r="AZ79" s="85">
        <f t="shared" si="88"/>
        <v>0</v>
      </c>
      <c r="BA79" s="85">
        <f t="shared" si="89"/>
        <v>0</v>
      </c>
      <c r="BB79" s="85">
        <f t="shared" si="90"/>
        <v>0</v>
      </c>
      <c r="BC79" s="85">
        <f t="shared" si="91"/>
        <v>0</v>
      </c>
      <c r="BD79" s="85">
        <f t="shared" si="92"/>
        <v>0</v>
      </c>
      <c r="BE79" s="85">
        <f t="shared" si="93"/>
        <v>0</v>
      </c>
      <c r="BF79" s="85">
        <f t="shared" si="94"/>
        <v>0</v>
      </c>
      <c r="BG79" s="85">
        <f t="shared" si="95"/>
        <v>0</v>
      </c>
      <c r="BH79" s="85">
        <f t="shared" si="96"/>
        <v>0</v>
      </c>
      <c r="BI79" s="85">
        <f t="shared" si="97"/>
        <v>0</v>
      </c>
      <c r="BJ79" s="85">
        <f t="shared" si="98"/>
        <v>0</v>
      </c>
      <c r="BK79" s="85">
        <f t="shared" si="99"/>
        <v>0</v>
      </c>
      <c r="BL79" s="85">
        <f t="shared" si="100"/>
        <v>0</v>
      </c>
      <c r="BM79" s="85">
        <f t="shared" si="101"/>
        <v>0</v>
      </c>
      <c r="BN79" s="85">
        <f t="shared" si="102"/>
        <v>0</v>
      </c>
      <c r="BO79" s="85">
        <f t="shared" si="103"/>
        <v>0</v>
      </c>
      <c r="BP79" s="85">
        <f t="shared" si="104"/>
        <v>0</v>
      </c>
      <c r="BQ79" s="85">
        <f t="shared" si="105"/>
        <v>0</v>
      </c>
      <c r="BR79" s="85">
        <f t="shared" si="106"/>
        <v>0</v>
      </c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X79" s="35" t="s">
        <v>12</v>
      </c>
      <c r="CZ79" s="35"/>
      <c r="DC79" s="57" t="str">
        <f t="shared" si="107"/>
        <v/>
      </c>
      <c r="DD79" s="64" t="str">
        <f t="shared" si="108"/>
        <v/>
      </c>
      <c r="DE79" s="65" t="str">
        <f t="shared" si="109"/>
        <v/>
      </c>
      <c r="DF79" s="66" t="str">
        <f t="shared" si="110"/>
        <v/>
      </c>
    </row>
    <row r="80" spans="2:110" hidden="1" outlineLevel="1">
      <c r="B80" s="54">
        <f t="shared" si="111"/>
        <v>43612</v>
      </c>
      <c r="C80" s="55" t="s">
        <v>1</v>
      </c>
      <c r="D80" s="56">
        <f t="shared" si="112"/>
        <v>43618</v>
      </c>
      <c r="E80" s="52">
        <f t="shared" si="113"/>
        <v>5</v>
      </c>
      <c r="F80" s="53">
        <f t="shared" si="114"/>
        <v>2019</v>
      </c>
      <c r="G80" s="62">
        <f t="shared" si="115"/>
        <v>15</v>
      </c>
      <c r="H80" s="63">
        <f t="shared" si="116"/>
        <v>96</v>
      </c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>
        <v>15</v>
      </c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80"/>
      <c r="AG80" s="87">
        <f t="shared" si="70"/>
        <v>0</v>
      </c>
      <c r="AH80" s="87">
        <f t="shared" si="71"/>
        <v>0</v>
      </c>
      <c r="AI80" s="87">
        <f t="shared" si="72"/>
        <v>0</v>
      </c>
      <c r="AJ80" s="87">
        <f t="shared" si="73"/>
        <v>0</v>
      </c>
      <c r="AK80" s="87">
        <f t="shared" si="74"/>
        <v>0</v>
      </c>
      <c r="AL80" s="87">
        <f t="shared" si="75"/>
        <v>0</v>
      </c>
      <c r="AM80" s="87">
        <f t="shared" si="76"/>
        <v>0</v>
      </c>
      <c r="AN80" s="87">
        <f t="shared" si="77"/>
        <v>0</v>
      </c>
      <c r="AO80" s="87">
        <f t="shared" si="78"/>
        <v>0</v>
      </c>
      <c r="AP80" s="87">
        <f t="shared" si="79"/>
        <v>0</v>
      </c>
      <c r="AQ80" s="87">
        <f t="shared" si="80"/>
        <v>15</v>
      </c>
      <c r="AR80" s="81"/>
      <c r="AS80" s="85">
        <f t="shared" si="81"/>
        <v>0</v>
      </c>
      <c r="AT80" s="85">
        <f t="shared" si="82"/>
        <v>0</v>
      </c>
      <c r="AU80" s="85">
        <f t="shared" si="83"/>
        <v>0</v>
      </c>
      <c r="AV80" s="85">
        <f t="shared" si="84"/>
        <v>0</v>
      </c>
      <c r="AW80" s="85">
        <f t="shared" si="85"/>
        <v>0</v>
      </c>
      <c r="AX80" s="85">
        <f t="shared" si="86"/>
        <v>0</v>
      </c>
      <c r="AY80" s="85">
        <f t="shared" si="87"/>
        <v>0</v>
      </c>
      <c r="AZ80" s="85">
        <f t="shared" si="88"/>
        <v>0</v>
      </c>
      <c r="BA80" s="85">
        <f t="shared" si="89"/>
        <v>0</v>
      </c>
      <c r="BB80" s="85">
        <f t="shared" si="90"/>
        <v>0</v>
      </c>
      <c r="BC80" s="85">
        <f t="shared" si="91"/>
        <v>0</v>
      </c>
      <c r="BD80" s="85">
        <f t="shared" si="92"/>
        <v>0</v>
      </c>
      <c r="BE80" s="85">
        <f t="shared" si="93"/>
        <v>0</v>
      </c>
      <c r="BF80" s="85">
        <f t="shared" si="94"/>
        <v>0</v>
      </c>
      <c r="BG80" s="85">
        <f t="shared" si="95"/>
        <v>0</v>
      </c>
      <c r="BH80" s="85">
        <f t="shared" si="96"/>
        <v>0</v>
      </c>
      <c r="BI80" s="85">
        <f t="shared" si="97"/>
        <v>0</v>
      </c>
      <c r="BJ80" s="85">
        <f t="shared" si="98"/>
        <v>0</v>
      </c>
      <c r="BK80" s="85">
        <f t="shared" si="99"/>
        <v>0</v>
      </c>
      <c r="BL80" s="85">
        <f t="shared" si="100"/>
        <v>0</v>
      </c>
      <c r="BM80" s="85">
        <f t="shared" si="101"/>
        <v>0</v>
      </c>
      <c r="BN80" s="85">
        <f t="shared" si="102"/>
        <v>0</v>
      </c>
      <c r="BO80" s="85">
        <f t="shared" si="103"/>
        <v>0</v>
      </c>
      <c r="BP80" s="85">
        <f t="shared" si="104"/>
        <v>0</v>
      </c>
      <c r="BQ80" s="85">
        <f t="shared" si="105"/>
        <v>0</v>
      </c>
      <c r="BR80" s="85">
        <f t="shared" si="106"/>
        <v>0</v>
      </c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X80" s="35" t="s">
        <v>12</v>
      </c>
      <c r="CZ80" s="35"/>
      <c r="DC80" s="57" t="str">
        <f t="shared" si="107"/>
        <v/>
      </c>
      <c r="DD80" s="64" t="str">
        <f t="shared" si="108"/>
        <v/>
      </c>
      <c r="DE80" s="65" t="str">
        <f t="shared" si="109"/>
        <v/>
      </c>
      <c r="DF80" s="66" t="str">
        <f t="shared" si="110"/>
        <v/>
      </c>
    </row>
    <row r="81" spans="2:110" hidden="1" outlineLevel="1">
      <c r="B81" s="54">
        <f t="shared" si="111"/>
        <v>43619</v>
      </c>
      <c r="C81" s="55" t="s">
        <v>1</v>
      </c>
      <c r="D81" s="56">
        <f t="shared" si="112"/>
        <v>43625</v>
      </c>
      <c r="E81" s="52">
        <f t="shared" si="113"/>
        <v>6</v>
      </c>
      <c r="F81" s="53">
        <f t="shared" si="114"/>
        <v>2019</v>
      </c>
      <c r="G81" s="62">
        <f t="shared" si="115"/>
        <v>15</v>
      </c>
      <c r="H81" s="63">
        <f t="shared" si="116"/>
        <v>96</v>
      </c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>
        <v>15</v>
      </c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80"/>
      <c r="AG81" s="87">
        <f t="shared" si="70"/>
        <v>0</v>
      </c>
      <c r="AH81" s="87">
        <f t="shared" si="71"/>
        <v>0</v>
      </c>
      <c r="AI81" s="87">
        <f t="shared" si="72"/>
        <v>0</v>
      </c>
      <c r="AJ81" s="87">
        <f t="shared" si="73"/>
        <v>0</v>
      </c>
      <c r="AK81" s="87">
        <f t="shared" si="74"/>
        <v>0</v>
      </c>
      <c r="AL81" s="87">
        <f t="shared" si="75"/>
        <v>0</v>
      </c>
      <c r="AM81" s="87">
        <f t="shared" si="76"/>
        <v>0</v>
      </c>
      <c r="AN81" s="87">
        <f t="shared" si="77"/>
        <v>0</v>
      </c>
      <c r="AO81" s="87">
        <f t="shared" si="78"/>
        <v>0</v>
      </c>
      <c r="AP81" s="87">
        <f t="shared" si="79"/>
        <v>0</v>
      </c>
      <c r="AQ81" s="87">
        <f t="shared" si="80"/>
        <v>15</v>
      </c>
      <c r="AR81" s="81"/>
      <c r="AS81" s="85">
        <f t="shared" si="81"/>
        <v>0</v>
      </c>
      <c r="AT81" s="85">
        <f t="shared" si="82"/>
        <v>0</v>
      </c>
      <c r="AU81" s="85">
        <f t="shared" si="83"/>
        <v>0</v>
      </c>
      <c r="AV81" s="85">
        <f t="shared" si="84"/>
        <v>0</v>
      </c>
      <c r="AW81" s="85">
        <f t="shared" si="85"/>
        <v>0</v>
      </c>
      <c r="AX81" s="85">
        <f t="shared" si="86"/>
        <v>0</v>
      </c>
      <c r="AY81" s="85">
        <f t="shared" si="87"/>
        <v>0</v>
      </c>
      <c r="AZ81" s="85">
        <f t="shared" si="88"/>
        <v>0</v>
      </c>
      <c r="BA81" s="85">
        <f t="shared" si="89"/>
        <v>0</v>
      </c>
      <c r="BB81" s="85">
        <f t="shared" si="90"/>
        <v>0</v>
      </c>
      <c r="BC81" s="85">
        <f t="shared" si="91"/>
        <v>0</v>
      </c>
      <c r="BD81" s="85">
        <f t="shared" si="92"/>
        <v>0</v>
      </c>
      <c r="BE81" s="85">
        <f t="shared" si="93"/>
        <v>0</v>
      </c>
      <c r="BF81" s="85">
        <f t="shared" si="94"/>
        <v>0</v>
      </c>
      <c r="BG81" s="85">
        <f t="shared" si="95"/>
        <v>0</v>
      </c>
      <c r="BH81" s="85">
        <f t="shared" si="96"/>
        <v>0</v>
      </c>
      <c r="BI81" s="85">
        <f t="shared" si="97"/>
        <v>0</v>
      </c>
      <c r="BJ81" s="85">
        <f t="shared" si="98"/>
        <v>0</v>
      </c>
      <c r="BK81" s="85">
        <f t="shared" si="99"/>
        <v>0</v>
      </c>
      <c r="BL81" s="85">
        <f t="shared" si="100"/>
        <v>0</v>
      </c>
      <c r="BM81" s="85">
        <f t="shared" si="101"/>
        <v>0</v>
      </c>
      <c r="BN81" s="85">
        <f t="shared" si="102"/>
        <v>0</v>
      </c>
      <c r="BO81" s="85">
        <f t="shared" si="103"/>
        <v>0</v>
      </c>
      <c r="BP81" s="85">
        <f t="shared" si="104"/>
        <v>0</v>
      </c>
      <c r="BQ81" s="85">
        <f t="shared" si="105"/>
        <v>0</v>
      </c>
      <c r="BR81" s="85">
        <f t="shared" si="106"/>
        <v>0</v>
      </c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X81" s="35" t="s">
        <v>12</v>
      </c>
      <c r="CZ81" s="35"/>
      <c r="DC81" s="57" t="str">
        <f t="shared" si="107"/>
        <v/>
      </c>
      <c r="DD81" s="64" t="str">
        <f t="shared" si="108"/>
        <v/>
      </c>
      <c r="DE81" s="65" t="str">
        <f t="shared" si="109"/>
        <v/>
      </c>
      <c r="DF81" s="66" t="str">
        <f t="shared" si="110"/>
        <v/>
      </c>
    </row>
    <row r="82" spans="2:110" hidden="1" outlineLevel="1">
      <c r="B82" s="54">
        <f t="shared" si="111"/>
        <v>43626</v>
      </c>
      <c r="C82" s="55" t="s">
        <v>1</v>
      </c>
      <c r="D82" s="56">
        <f t="shared" si="112"/>
        <v>43632</v>
      </c>
      <c r="E82" s="52">
        <f t="shared" si="113"/>
        <v>6</v>
      </c>
      <c r="F82" s="53">
        <f t="shared" si="114"/>
        <v>2019</v>
      </c>
      <c r="G82" s="62">
        <f t="shared" si="115"/>
        <v>15</v>
      </c>
      <c r="H82" s="63">
        <f t="shared" si="116"/>
        <v>96</v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>
        <v>15</v>
      </c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80"/>
      <c r="AG82" s="87">
        <f t="shared" si="70"/>
        <v>0</v>
      </c>
      <c r="AH82" s="87">
        <f t="shared" si="71"/>
        <v>0</v>
      </c>
      <c r="AI82" s="87">
        <f t="shared" si="72"/>
        <v>0</v>
      </c>
      <c r="AJ82" s="87">
        <f t="shared" si="73"/>
        <v>0</v>
      </c>
      <c r="AK82" s="87">
        <f t="shared" si="74"/>
        <v>0</v>
      </c>
      <c r="AL82" s="87">
        <f t="shared" si="75"/>
        <v>0</v>
      </c>
      <c r="AM82" s="87">
        <f t="shared" si="76"/>
        <v>0</v>
      </c>
      <c r="AN82" s="87">
        <f t="shared" si="77"/>
        <v>0</v>
      </c>
      <c r="AO82" s="87">
        <f t="shared" si="78"/>
        <v>0</v>
      </c>
      <c r="AP82" s="87">
        <f t="shared" si="79"/>
        <v>0</v>
      </c>
      <c r="AQ82" s="87">
        <f t="shared" si="80"/>
        <v>15</v>
      </c>
      <c r="AR82" s="81"/>
      <c r="AS82" s="85">
        <f t="shared" si="81"/>
        <v>0</v>
      </c>
      <c r="AT82" s="85">
        <f t="shared" si="82"/>
        <v>0</v>
      </c>
      <c r="AU82" s="85">
        <f t="shared" si="83"/>
        <v>0</v>
      </c>
      <c r="AV82" s="85">
        <f t="shared" si="84"/>
        <v>0</v>
      </c>
      <c r="AW82" s="85">
        <f t="shared" si="85"/>
        <v>0</v>
      </c>
      <c r="AX82" s="85">
        <f t="shared" si="86"/>
        <v>0</v>
      </c>
      <c r="AY82" s="85">
        <f t="shared" si="87"/>
        <v>0</v>
      </c>
      <c r="AZ82" s="85">
        <f t="shared" si="88"/>
        <v>0</v>
      </c>
      <c r="BA82" s="85">
        <f t="shared" si="89"/>
        <v>0</v>
      </c>
      <c r="BB82" s="85">
        <f t="shared" si="90"/>
        <v>0</v>
      </c>
      <c r="BC82" s="85">
        <f t="shared" si="91"/>
        <v>0</v>
      </c>
      <c r="BD82" s="85">
        <f t="shared" si="92"/>
        <v>0</v>
      </c>
      <c r="BE82" s="85">
        <f t="shared" si="93"/>
        <v>0</v>
      </c>
      <c r="BF82" s="85">
        <f t="shared" si="94"/>
        <v>0</v>
      </c>
      <c r="BG82" s="85">
        <f t="shared" si="95"/>
        <v>0</v>
      </c>
      <c r="BH82" s="85">
        <f t="shared" si="96"/>
        <v>0</v>
      </c>
      <c r="BI82" s="85">
        <f t="shared" si="97"/>
        <v>0</v>
      </c>
      <c r="BJ82" s="85">
        <f t="shared" si="98"/>
        <v>0</v>
      </c>
      <c r="BK82" s="85">
        <f t="shared" si="99"/>
        <v>0</v>
      </c>
      <c r="BL82" s="85">
        <f t="shared" si="100"/>
        <v>0</v>
      </c>
      <c r="BM82" s="85">
        <f t="shared" si="101"/>
        <v>0</v>
      </c>
      <c r="BN82" s="85">
        <f t="shared" si="102"/>
        <v>0</v>
      </c>
      <c r="BO82" s="85">
        <f t="shared" si="103"/>
        <v>0</v>
      </c>
      <c r="BP82" s="85">
        <f t="shared" si="104"/>
        <v>0</v>
      </c>
      <c r="BQ82" s="85">
        <f t="shared" si="105"/>
        <v>0</v>
      </c>
      <c r="BR82" s="85">
        <f t="shared" si="106"/>
        <v>0</v>
      </c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X82" s="35" t="s">
        <v>12</v>
      </c>
      <c r="CZ82" s="35"/>
      <c r="DC82" s="57" t="str">
        <f t="shared" si="107"/>
        <v/>
      </c>
      <c r="DD82" s="64" t="str">
        <f t="shared" si="108"/>
        <v/>
      </c>
      <c r="DE82" s="65" t="str">
        <f t="shared" si="109"/>
        <v/>
      </c>
      <c r="DF82" s="66" t="str">
        <f t="shared" si="110"/>
        <v/>
      </c>
    </row>
    <row r="83" spans="2:110" hidden="1" outlineLevel="1">
      <c r="B83" s="54">
        <f t="shared" si="111"/>
        <v>43633</v>
      </c>
      <c r="C83" s="55" t="s">
        <v>1</v>
      </c>
      <c r="D83" s="56">
        <f t="shared" si="112"/>
        <v>43639</v>
      </c>
      <c r="E83" s="52">
        <f t="shared" si="113"/>
        <v>6</v>
      </c>
      <c r="F83" s="53">
        <f t="shared" si="114"/>
        <v>2019</v>
      </c>
      <c r="G83" s="62">
        <f t="shared" si="115"/>
        <v>15</v>
      </c>
      <c r="H83" s="63">
        <f t="shared" si="116"/>
        <v>96</v>
      </c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>
        <v>15</v>
      </c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80"/>
      <c r="AG83" s="87">
        <f t="shared" si="70"/>
        <v>0</v>
      </c>
      <c r="AH83" s="87">
        <f t="shared" si="71"/>
        <v>0</v>
      </c>
      <c r="AI83" s="87">
        <f t="shared" si="72"/>
        <v>0</v>
      </c>
      <c r="AJ83" s="87">
        <f t="shared" si="73"/>
        <v>0</v>
      </c>
      <c r="AK83" s="87">
        <f t="shared" si="74"/>
        <v>0</v>
      </c>
      <c r="AL83" s="87">
        <f t="shared" si="75"/>
        <v>0</v>
      </c>
      <c r="AM83" s="87">
        <f t="shared" si="76"/>
        <v>0</v>
      </c>
      <c r="AN83" s="87">
        <f t="shared" si="77"/>
        <v>0</v>
      </c>
      <c r="AO83" s="87">
        <f t="shared" si="78"/>
        <v>0</v>
      </c>
      <c r="AP83" s="87">
        <f t="shared" si="79"/>
        <v>0</v>
      </c>
      <c r="AQ83" s="87">
        <f t="shared" si="80"/>
        <v>15</v>
      </c>
      <c r="AR83" s="81"/>
      <c r="AS83" s="85">
        <f t="shared" si="81"/>
        <v>0</v>
      </c>
      <c r="AT83" s="85">
        <f t="shared" si="82"/>
        <v>0</v>
      </c>
      <c r="AU83" s="85">
        <f t="shared" si="83"/>
        <v>0</v>
      </c>
      <c r="AV83" s="85">
        <f t="shared" si="84"/>
        <v>0</v>
      </c>
      <c r="AW83" s="85">
        <f t="shared" si="85"/>
        <v>0</v>
      </c>
      <c r="AX83" s="85">
        <f t="shared" si="86"/>
        <v>0</v>
      </c>
      <c r="AY83" s="85">
        <f t="shared" si="87"/>
        <v>0</v>
      </c>
      <c r="AZ83" s="85">
        <f t="shared" si="88"/>
        <v>0</v>
      </c>
      <c r="BA83" s="85">
        <f t="shared" si="89"/>
        <v>0</v>
      </c>
      <c r="BB83" s="85">
        <f t="shared" si="90"/>
        <v>0</v>
      </c>
      <c r="BC83" s="85">
        <f t="shared" si="91"/>
        <v>0</v>
      </c>
      <c r="BD83" s="85">
        <f t="shared" si="92"/>
        <v>0</v>
      </c>
      <c r="BE83" s="85">
        <f t="shared" si="93"/>
        <v>0</v>
      </c>
      <c r="BF83" s="85">
        <f t="shared" si="94"/>
        <v>0</v>
      </c>
      <c r="BG83" s="85">
        <f t="shared" si="95"/>
        <v>0</v>
      </c>
      <c r="BH83" s="85">
        <f t="shared" si="96"/>
        <v>0</v>
      </c>
      <c r="BI83" s="85">
        <f t="shared" si="97"/>
        <v>0</v>
      </c>
      <c r="BJ83" s="85">
        <f t="shared" si="98"/>
        <v>0</v>
      </c>
      <c r="BK83" s="85">
        <f t="shared" si="99"/>
        <v>0</v>
      </c>
      <c r="BL83" s="85">
        <f t="shared" si="100"/>
        <v>0</v>
      </c>
      <c r="BM83" s="85">
        <f t="shared" si="101"/>
        <v>0</v>
      </c>
      <c r="BN83" s="85">
        <f t="shared" si="102"/>
        <v>0</v>
      </c>
      <c r="BO83" s="85">
        <f t="shared" si="103"/>
        <v>0</v>
      </c>
      <c r="BP83" s="85">
        <f t="shared" si="104"/>
        <v>0</v>
      </c>
      <c r="BQ83" s="85">
        <f t="shared" si="105"/>
        <v>0</v>
      </c>
      <c r="BR83" s="85">
        <f t="shared" si="106"/>
        <v>0</v>
      </c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X83" s="35" t="s">
        <v>12</v>
      </c>
      <c r="CZ83" s="35"/>
      <c r="DC83" s="57" t="str">
        <f t="shared" si="107"/>
        <v/>
      </c>
      <c r="DD83" s="64" t="str">
        <f t="shared" si="108"/>
        <v/>
      </c>
      <c r="DE83" s="65" t="str">
        <f t="shared" si="109"/>
        <v/>
      </c>
      <c r="DF83" s="66" t="str">
        <f t="shared" si="110"/>
        <v/>
      </c>
    </row>
    <row r="84" spans="2:110" hidden="1" outlineLevel="1">
      <c r="B84" s="54">
        <f t="shared" si="111"/>
        <v>43640</v>
      </c>
      <c r="C84" s="55" t="s">
        <v>1</v>
      </c>
      <c r="D84" s="56">
        <f t="shared" si="112"/>
        <v>43646</v>
      </c>
      <c r="E84" s="52">
        <f t="shared" si="113"/>
        <v>6</v>
      </c>
      <c r="F84" s="53">
        <f t="shared" si="114"/>
        <v>2019</v>
      </c>
      <c r="G84" s="62">
        <f t="shared" si="115"/>
        <v>15</v>
      </c>
      <c r="H84" s="63">
        <f t="shared" si="116"/>
        <v>96</v>
      </c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>
        <v>15</v>
      </c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80"/>
      <c r="AG84" s="87">
        <f t="shared" si="70"/>
        <v>0</v>
      </c>
      <c r="AH84" s="87">
        <f t="shared" si="71"/>
        <v>0</v>
      </c>
      <c r="AI84" s="87">
        <f t="shared" si="72"/>
        <v>0</v>
      </c>
      <c r="AJ84" s="87">
        <f t="shared" si="73"/>
        <v>0</v>
      </c>
      <c r="AK84" s="87">
        <f t="shared" si="74"/>
        <v>0</v>
      </c>
      <c r="AL84" s="87">
        <f t="shared" si="75"/>
        <v>0</v>
      </c>
      <c r="AM84" s="87">
        <f t="shared" si="76"/>
        <v>0</v>
      </c>
      <c r="AN84" s="87">
        <f t="shared" si="77"/>
        <v>0</v>
      </c>
      <c r="AO84" s="87">
        <f t="shared" si="78"/>
        <v>0</v>
      </c>
      <c r="AP84" s="87">
        <f t="shared" si="79"/>
        <v>0</v>
      </c>
      <c r="AQ84" s="87">
        <f t="shared" si="80"/>
        <v>15</v>
      </c>
      <c r="AR84" s="81"/>
      <c r="AS84" s="85">
        <f t="shared" si="81"/>
        <v>0</v>
      </c>
      <c r="AT84" s="85">
        <f t="shared" si="82"/>
        <v>0</v>
      </c>
      <c r="AU84" s="85">
        <f t="shared" si="83"/>
        <v>0</v>
      </c>
      <c r="AV84" s="85">
        <f t="shared" si="84"/>
        <v>0</v>
      </c>
      <c r="AW84" s="85">
        <f t="shared" si="85"/>
        <v>0</v>
      </c>
      <c r="AX84" s="85">
        <f t="shared" si="86"/>
        <v>0</v>
      </c>
      <c r="AY84" s="85">
        <f t="shared" si="87"/>
        <v>0</v>
      </c>
      <c r="AZ84" s="85">
        <f t="shared" si="88"/>
        <v>0</v>
      </c>
      <c r="BA84" s="85">
        <f t="shared" si="89"/>
        <v>0</v>
      </c>
      <c r="BB84" s="85">
        <f t="shared" si="90"/>
        <v>0</v>
      </c>
      <c r="BC84" s="85">
        <f t="shared" si="91"/>
        <v>0</v>
      </c>
      <c r="BD84" s="85">
        <f t="shared" si="92"/>
        <v>0</v>
      </c>
      <c r="BE84" s="85">
        <f t="shared" si="93"/>
        <v>0</v>
      </c>
      <c r="BF84" s="85">
        <f t="shared" si="94"/>
        <v>0</v>
      </c>
      <c r="BG84" s="85">
        <f t="shared" si="95"/>
        <v>0</v>
      </c>
      <c r="BH84" s="85">
        <f t="shared" si="96"/>
        <v>0</v>
      </c>
      <c r="BI84" s="85">
        <f t="shared" si="97"/>
        <v>0</v>
      </c>
      <c r="BJ84" s="85">
        <f t="shared" si="98"/>
        <v>0</v>
      </c>
      <c r="BK84" s="85">
        <f t="shared" si="99"/>
        <v>0</v>
      </c>
      <c r="BL84" s="85">
        <f t="shared" si="100"/>
        <v>0</v>
      </c>
      <c r="BM84" s="85">
        <f t="shared" si="101"/>
        <v>0</v>
      </c>
      <c r="BN84" s="85">
        <f t="shared" si="102"/>
        <v>0</v>
      </c>
      <c r="BO84" s="85">
        <f t="shared" si="103"/>
        <v>0</v>
      </c>
      <c r="BP84" s="85">
        <f t="shared" si="104"/>
        <v>0</v>
      </c>
      <c r="BQ84" s="85">
        <f t="shared" si="105"/>
        <v>0</v>
      </c>
      <c r="BR84" s="85">
        <f t="shared" si="106"/>
        <v>0</v>
      </c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W84">
        <v>13</v>
      </c>
      <c r="CX84" s="35">
        <v>43640</v>
      </c>
      <c r="CZ84" s="35">
        <f>B101</f>
        <v>43759</v>
      </c>
      <c r="DA84">
        <v>98</v>
      </c>
      <c r="DC84" s="57" t="str">
        <f t="shared" si="107"/>
        <v/>
      </c>
      <c r="DD84" s="64" t="str">
        <f t="shared" si="108"/>
        <v/>
      </c>
      <c r="DE84" s="65" t="str">
        <f t="shared" si="109"/>
        <v/>
      </c>
      <c r="DF84" s="66" t="str">
        <f t="shared" si="110"/>
        <v/>
      </c>
    </row>
    <row r="85" spans="2:110" hidden="1" outlineLevel="1">
      <c r="B85" s="54">
        <f t="shared" si="111"/>
        <v>43647</v>
      </c>
      <c r="C85" s="55" t="s">
        <v>1</v>
      </c>
      <c r="D85" s="56">
        <f t="shared" si="112"/>
        <v>43653</v>
      </c>
      <c r="E85" s="52">
        <f t="shared" si="113"/>
        <v>7</v>
      </c>
      <c r="F85" s="53">
        <f t="shared" si="114"/>
        <v>2019</v>
      </c>
      <c r="G85" s="62">
        <f t="shared" si="115"/>
        <v>15</v>
      </c>
      <c r="H85" s="63">
        <f t="shared" si="116"/>
        <v>96</v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>
        <v>15</v>
      </c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80"/>
      <c r="AG85" s="87">
        <f t="shared" si="70"/>
        <v>0</v>
      </c>
      <c r="AH85" s="87">
        <f t="shared" si="71"/>
        <v>0</v>
      </c>
      <c r="AI85" s="87">
        <f t="shared" si="72"/>
        <v>0</v>
      </c>
      <c r="AJ85" s="87">
        <f t="shared" si="73"/>
        <v>0</v>
      </c>
      <c r="AK85" s="87">
        <f t="shared" si="74"/>
        <v>0</v>
      </c>
      <c r="AL85" s="87">
        <f t="shared" si="75"/>
        <v>0</v>
      </c>
      <c r="AM85" s="87">
        <f t="shared" si="76"/>
        <v>0</v>
      </c>
      <c r="AN85" s="87">
        <f t="shared" si="77"/>
        <v>0</v>
      </c>
      <c r="AO85" s="87">
        <f t="shared" si="78"/>
        <v>0</v>
      </c>
      <c r="AP85" s="87">
        <f t="shared" si="79"/>
        <v>0</v>
      </c>
      <c r="AQ85" s="87">
        <f t="shared" si="80"/>
        <v>15</v>
      </c>
      <c r="AR85" s="81"/>
      <c r="AS85" s="85">
        <f t="shared" si="81"/>
        <v>0</v>
      </c>
      <c r="AT85" s="85">
        <f t="shared" si="82"/>
        <v>0</v>
      </c>
      <c r="AU85" s="85">
        <f t="shared" si="83"/>
        <v>0</v>
      </c>
      <c r="AV85" s="85">
        <f t="shared" si="84"/>
        <v>0</v>
      </c>
      <c r="AW85" s="85">
        <f t="shared" si="85"/>
        <v>0</v>
      </c>
      <c r="AX85" s="85">
        <f t="shared" si="86"/>
        <v>0</v>
      </c>
      <c r="AY85" s="85">
        <f t="shared" si="87"/>
        <v>0</v>
      </c>
      <c r="AZ85" s="85">
        <f t="shared" si="88"/>
        <v>0</v>
      </c>
      <c r="BA85" s="85">
        <f t="shared" si="89"/>
        <v>0</v>
      </c>
      <c r="BB85" s="85">
        <f t="shared" si="90"/>
        <v>0</v>
      </c>
      <c r="BC85" s="85">
        <f t="shared" si="91"/>
        <v>0</v>
      </c>
      <c r="BD85" s="85">
        <f t="shared" si="92"/>
        <v>0</v>
      </c>
      <c r="BE85" s="85">
        <f t="shared" si="93"/>
        <v>0</v>
      </c>
      <c r="BF85" s="85">
        <f t="shared" si="94"/>
        <v>0</v>
      </c>
      <c r="BG85" s="85">
        <f t="shared" si="95"/>
        <v>0</v>
      </c>
      <c r="BH85" s="85">
        <f t="shared" si="96"/>
        <v>0</v>
      </c>
      <c r="BI85" s="85">
        <f t="shared" si="97"/>
        <v>0</v>
      </c>
      <c r="BJ85" s="85">
        <f t="shared" si="98"/>
        <v>0</v>
      </c>
      <c r="BK85" s="85">
        <f t="shared" si="99"/>
        <v>0</v>
      </c>
      <c r="BL85" s="85">
        <f t="shared" si="100"/>
        <v>0</v>
      </c>
      <c r="BM85" s="85">
        <f t="shared" si="101"/>
        <v>0</v>
      </c>
      <c r="BN85" s="85">
        <f t="shared" si="102"/>
        <v>0</v>
      </c>
      <c r="BO85" s="85">
        <f t="shared" si="103"/>
        <v>0</v>
      </c>
      <c r="BP85" s="85">
        <f t="shared" si="104"/>
        <v>0</v>
      </c>
      <c r="BQ85" s="85">
        <f t="shared" si="105"/>
        <v>0</v>
      </c>
      <c r="BR85" s="85">
        <f t="shared" si="106"/>
        <v>0</v>
      </c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X85" s="35" t="s">
        <v>12</v>
      </c>
      <c r="CZ85" s="35"/>
      <c r="DC85" s="57" t="str">
        <f t="shared" si="107"/>
        <v/>
      </c>
      <c r="DD85" s="64" t="str">
        <f t="shared" si="108"/>
        <v/>
      </c>
      <c r="DE85" s="65" t="str">
        <f t="shared" si="109"/>
        <v/>
      </c>
      <c r="DF85" s="66" t="str">
        <f t="shared" si="110"/>
        <v/>
      </c>
    </row>
    <row r="86" spans="2:110" hidden="1" outlineLevel="1">
      <c r="B86" s="54">
        <f t="shared" si="111"/>
        <v>43654</v>
      </c>
      <c r="C86" s="55" t="s">
        <v>1</v>
      </c>
      <c r="D86" s="56">
        <f t="shared" si="112"/>
        <v>43660</v>
      </c>
      <c r="E86" s="52">
        <f t="shared" si="113"/>
        <v>7</v>
      </c>
      <c r="F86" s="53">
        <f t="shared" si="114"/>
        <v>2019</v>
      </c>
      <c r="G86" s="62">
        <f t="shared" si="115"/>
        <v>15</v>
      </c>
      <c r="H86" s="63">
        <f t="shared" si="116"/>
        <v>96</v>
      </c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>
        <v>15</v>
      </c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80"/>
      <c r="AG86" s="87">
        <f t="shared" si="70"/>
        <v>0</v>
      </c>
      <c r="AH86" s="87">
        <f t="shared" si="71"/>
        <v>0</v>
      </c>
      <c r="AI86" s="87">
        <f t="shared" si="72"/>
        <v>0</v>
      </c>
      <c r="AJ86" s="87">
        <f t="shared" si="73"/>
        <v>0</v>
      </c>
      <c r="AK86" s="87">
        <f t="shared" si="74"/>
        <v>0</v>
      </c>
      <c r="AL86" s="87">
        <f t="shared" si="75"/>
        <v>0</v>
      </c>
      <c r="AM86" s="87">
        <f t="shared" si="76"/>
        <v>0</v>
      </c>
      <c r="AN86" s="87">
        <f t="shared" si="77"/>
        <v>0</v>
      </c>
      <c r="AO86" s="87">
        <f t="shared" si="78"/>
        <v>0</v>
      </c>
      <c r="AP86" s="87">
        <f t="shared" si="79"/>
        <v>0</v>
      </c>
      <c r="AQ86" s="87">
        <f t="shared" si="80"/>
        <v>15</v>
      </c>
      <c r="AR86" s="81"/>
      <c r="AS86" s="85">
        <f t="shared" si="81"/>
        <v>0</v>
      </c>
      <c r="AT86" s="85">
        <f t="shared" si="82"/>
        <v>0</v>
      </c>
      <c r="AU86" s="85">
        <f t="shared" si="83"/>
        <v>0</v>
      </c>
      <c r="AV86" s="85">
        <f t="shared" si="84"/>
        <v>0</v>
      </c>
      <c r="AW86" s="85">
        <f t="shared" si="85"/>
        <v>0</v>
      </c>
      <c r="AX86" s="85">
        <f t="shared" si="86"/>
        <v>0</v>
      </c>
      <c r="AY86" s="85">
        <f t="shared" si="87"/>
        <v>0</v>
      </c>
      <c r="AZ86" s="85">
        <f t="shared" si="88"/>
        <v>0</v>
      </c>
      <c r="BA86" s="85">
        <f t="shared" si="89"/>
        <v>0</v>
      </c>
      <c r="BB86" s="85">
        <f t="shared" si="90"/>
        <v>0</v>
      </c>
      <c r="BC86" s="85">
        <f t="shared" si="91"/>
        <v>0</v>
      </c>
      <c r="BD86" s="85">
        <f t="shared" si="92"/>
        <v>0</v>
      </c>
      <c r="BE86" s="85">
        <f t="shared" si="93"/>
        <v>0</v>
      </c>
      <c r="BF86" s="85">
        <f t="shared" si="94"/>
        <v>0</v>
      </c>
      <c r="BG86" s="85">
        <f t="shared" si="95"/>
        <v>0</v>
      </c>
      <c r="BH86" s="85">
        <f t="shared" si="96"/>
        <v>0</v>
      </c>
      <c r="BI86" s="85">
        <f t="shared" si="97"/>
        <v>0</v>
      </c>
      <c r="BJ86" s="85">
        <f t="shared" si="98"/>
        <v>0</v>
      </c>
      <c r="BK86" s="85">
        <f t="shared" si="99"/>
        <v>0</v>
      </c>
      <c r="BL86" s="85">
        <f t="shared" si="100"/>
        <v>0</v>
      </c>
      <c r="BM86" s="85">
        <f t="shared" si="101"/>
        <v>0</v>
      </c>
      <c r="BN86" s="85">
        <f t="shared" si="102"/>
        <v>0</v>
      </c>
      <c r="BO86" s="85">
        <f t="shared" si="103"/>
        <v>0</v>
      </c>
      <c r="BP86" s="85">
        <f t="shared" si="104"/>
        <v>0</v>
      </c>
      <c r="BQ86" s="85">
        <f t="shared" si="105"/>
        <v>0</v>
      </c>
      <c r="BR86" s="85">
        <f t="shared" si="106"/>
        <v>0</v>
      </c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X86" s="35" t="s">
        <v>12</v>
      </c>
      <c r="CZ86" s="35"/>
      <c r="DC86" s="57" t="str">
        <f t="shared" si="107"/>
        <v/>
      </c>
      <c r="DD86" s="64" t="str">
        <f t="shared" si="108"/>
        <v/>
      </c>
      <c r="DE86" s="65" t="str">
        <f t="shared" si="109"/>
        <v/>
      </c>
      <c r="DF86" s="66" t="str">
        <f t="shared" si="110"/>
        <v/>
      </c>
    </row>
    <row r="87" spans="2:110" hidden="1" outlineLevel="1">
      <c r="B87" s="54">
        <f t="shared" si="111"/>
        <v>43661</v>
      </c>
      <c r="C87" s="55" t="s">
        <v>1</v>
      </c>
      <c r="D87" s="56">
        <f t="shared" si="112"/>
        <v>43667</v>
      </c>
      <c r="E87" s="52">
        <f t="shared" si="113"/>
        <v>7</v>
      </c>
      <c r="F87" s="53">
        <f t="shared" si="114"/>
        <v>2019</v>
      </c>
      <c r="G87" s="62">
        <f t="shared" si="115"/>
        <v>15</v>
      </c>
      <c r="H87" s="63">
        <f t="shared" si="116"/>
        <v>96</v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>
        <v>15</v>
      </c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80"/>
      <c r="AG87" s="87">
        <f t="shared" si="70"/>
        <v>0</v>
      </c>
      <c r="AH87" s="87">
        <f t="shared" si="71"/>
        <v>0</v>
      </c>
      <c r="AI87" s="87">
        <f t="shared" si="72"/>
        <v>0</v>
      </c>
      <c r="AJ87" s="87">
        <f t="shared" si="73"/>
        <v>0</v>
      </c>
      <c r="AK87" s="87">
        <f t="shared" si="74"/>
        <v>0</v>
      </c>
      <c r="AL87" s="87">
        <f t="shared" si="75"/>
        <v>0</v>
      </c>
      <c r="AM87" s="87">
        <f t="shared" si="76"/>
        <v>0</v>
      </c>
      <c r="AN87" s="87">
        <f t="shared" si="77"/>
        <v>0</v>
      </c>
      <c r="AO87" s="87">
        <f t="shared" si="78"/>
        <v>0</v>
      </c>
      <c r="AP87" s="87">
        <f t="shared" si="79"/>
        <v>0</v>
      </c>
      <c r="AQ87" s="87">
        <f t="shared" si="80"/>
        <v>15</v>
      </c>
      <c r="AR87" s="81"/>
      <c r="AS87" s="85">
        <f t="shared" si="81"/>
        <v>0</v>
      </c>
      <c r="AT87" s="85">
        <f t="shared" si="82"/>
        <v>0</v>
      </c>
      <c r="AU87" s="85">
        <f t="shared" si="83"/>
        <v>0</v>
      </c>
      <c r="AV87" s="85">
        <f t="shared" si="84"/>
        <v>0</v>
      </c>
      <c r="AW87" s="85">
        <f t="shared" si="85"/>
        <v>0</v>
      </c>
      <c r="AX87" s="85">
        <f t="shared" si="86"/>
        <v>0</v>
      </c>
      <c r="AY87" s="85">
        <f t="shared" si="87"/>
        <v>0</v>
      </c>
      <c r="AZ87" s="85">
        <f t="shared" si="88"/>
        <v>0</v>
      </c>
      <c r="BA87" s="85">
        <f t="shared" si="89"/>
        <v>0</v>
      </c>
      <c r="BB87" s="85">
        <f t="shared" si="90"/>
        <v>0</v>
      </c>
      <c r="BC87" s="85">
        <f t="shared" si="91"/>
        <v>0</v>
      </c>
      <c r="BD87" s="85">
        <f t="shared" si="92"/>
        <v>0</v>
      </c>
      <c r="BE87" s="85">
        <f t="shared" si="93"/>
        <v>0</v>
      </c>
      <c r="BF87" s="85">
        <f t="shared" si="94"/>
        <v>0</v>
      </c>
      <c r="BG87" s="85">
        <f t="shared" si="95"/>
        <v>0</v>
      </c>
      <c r="BH87" s="85">
        <f t="shared" si="96"/>
        <v>0</v>
      </c>
      <c r="BI87" s="85">
        <f t="shared" si="97"/>
        <v>0</v>
      </c>
      <c r="BJ87" s="85">
        <f t="shared" si="98"/>
        <v>0</v>
      </c>
      <c r="BK87" s="85">
        <f t="shared" si="99"/>
        <v>0</v>
      </c>
      <c r="BL87" s="85">
        <f t="shared" si="100"/>
        <v>0</v>
      </c>
      <c r="BM87" s="85">
        <f t="shared" si="101"/>
        <v>0</v>
      </c>
      <c r="BN87" s="85">
        <f t="shared" si="102"/>
        <v>0</v>
      </c>
      <c r="BO87" s="85">
        <f t="shared" si="103"/>
        <v>0</v>
      </c>
      <c r="BP87" s="85">
        <f t="shared" si="104"/>
        <v>0</v>
      </c>
      <c r="BQ87" s="85">
        <f t="shared" si="105"/>
        <v>0</v>
      </c>
      <c r="BR87" s="85">
        <f t="shared" si="106"/>
        <v>0</v>
      </c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X87" s="35" t="s">
        <v>12</v>
      </c>
      <c r="CZ87" s="35"/>
      <c r="DC87" s="57" t="str">
        <f t="shared" si="107"/>
        <v/>
      </c>
      <c r="DD87" s="64" t="str">
        <f t="shared" si="108"/>
        <v/>
      </c>
      <c r="DE87" s="65" t="str">
        <f t="shared" si="109"/>
        <v/>
      </c>
      <c r="DF87" s="66" t="str">
        <f t="shared" si="110"/>
        <v/>
      </c>
    </row>
    <row r="88" spans="2:110" hidden="1" outlineLevel="1">
      <c r="B88" s="54">
        <f t="shared" si="111"/>
        <v>43668</v>
      </c>
      <c r="C88" s="55" t="s">
        <v>1</v>
      </c>
      <c r="D88" s="56">
        <f t="shared" si="112"/>
        <v>43674</v>
      </c>
      <c r="E88" s="52">
        <f t="shared" si="113"/>
        <v>7</v>
      </c>
      <c r="F88" s="53">
        <f t="shared" si="114"/>
        <v>2019</v>
      </c>
      <c r="G88" s="62">
        <f t="shared" si="115"/>
        <v>15</v>
      </c>
      <c r="H88" s="63">
        <f t="shared" si="116"/>
        <v>96</v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>
        <v>15</v>
      </c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80"/>
      <c r="AG88" s="87">
        <f t="shared" si="70"/>
        <v>0</v>
      </c>
      <c r="AH88" s="87">
        <f t="shared" si="71"/>
        <v>0</v>
      </c>
      <c r="AI88" s="87">
        <f t="shared" si="72"/>
        <v>0</v>
      </c>
      <c r="AJ88" s="87">
        <f t="shared" si="73"/>
        <v>0</v>
      </c>
      <c r="AK88" s="87">
        <f t="shared" si="74"/>
        <v>0</v>
      </c>
      <c r="AL88" s="87">
        <f t="shared" si="75"/>
        <v>0</v>
      </c>
      <c r="AM88" s="87">
        <f t="shared" si="76"/>
        <v>0</v>
      </c>
      <c r="AN88" s="87">
        <f t="shared" si="77"/>
        <v>0</v>
      </c>
      <c r="AO88" s="87">
        <f t="shared" si="78"/>
        <v>0</v>
      </c>
      <c r="AP88" s="87">
        <f t="shared" si="79"/>
        <v>0</v>
      </c>
      <c r="AQ88" s="87">
        <f t="shared" si="80"/>
        <v>15</v>
      </c>
      <c r="AR88" s="81"/>
      <c r="AS88" s="85">
        <f t="shared" si="81"/>
        <v>0</v>
      </c>
      <c r="AT88" s="85">
        <f t="shared" si="82"/>
        <v>0</v>
      </c>
      <c r="AU88" s="85">
        <f t="shared" si="83"/>
        <v>0</v>
      </c>
      <c r="AV88" s="85">
        <f t="shared" si="84"/>
        <v>0</v>
      </c>
      <c r="AW88" s="85">
        <f t="shared" si="85"/>
        <v>0</v>
      </c>
      <c r="AX88" s="85">
        <f t="shared" si="86"/>
        <v>0</v>
      </c>
      <c r="AY88" s="85">
        <f t="shared" si="87"/>
        <v>0</v>
      </c>
      <c r="AZ88" s="85">
        <f t="shared" si="88"/>
        <v>0</v>
      </c>
      <c r="BA88" s="85">
        <f t="shared" si="89"/>
        <v>0</v>
      </c>
      <c r="BB88" s="85">
        <f t="shared" si="90"/>
        <v>0</v>
      </c>
      <c r="BC88" s="85">
        <f t="shared" si="91"/>
        <v>0</v>
      </c>
      <c r="BD88" s="85">
        <f t="shared" si="92"/>
        <v>0</v>
      </c>
      <c r="BE88" s="85">
        <f t="shared" si="93"/>
        <v>0</v>
      </c>
      <c r="BF88" s="85">
        <f t="shared" si="94"/>
        <v>0</v>
      </c>
      <c r="BG88" s="85">
        <f t="shared" si="95"/>
        <v>0</v>
      </c>
      <c r="BH88" s="85">
        <f t="shared" si="96"/>
        <v>0</v>
      </c>
      <c r="BI88" s="85">
        <f t="shared" si="97"/>
        <v>0</v>
      </c>
      <c r="BJ88" s="85">
        <f t="shared" si="98"/>
        <v>0</v>
      </c>
      <c r="BK88" s="85">
        <f t="shared" si="99"/>
        <v>0</v>
      </c>
      <c r="BL88" s="85">
        <f t="shared" si="100"/>
        <v>0</v>
      </c>
      <c r="BM88" s="85">
        <f t="shared" si="101"/>
        <v>0</v>
      </c>
      <c r="BN88" s="85">
        <f t="shared" si="102"/>
        <v>0</v>
      </c>
      <c r="BO88" s="85">
        <f t="shared" si="103"/>
        <v>0</v>
      </c>
      <c r="BP88" s="85">
        <f t="shared" si="104"/>
        <v>0</v>
      </c>
      <c r="BQ88" s="85">
        <f t="shared" si="105"/>
        <v>0</v>
      </c>
      <c r="BR88" s="85">
        <f t="shared" si="106"/>
        <v>0</v>
      </c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X88" s="35" t="s">
        <v>12</v>
      </c>
      <c r="CZ88" s="35"/>
      <c r="DC88" s="57" t="str">
        <f t="shared" si="107"/>
        <v/>
      </c>
      <c r="DD88" s="64" t="str">
        <f t="shared" si="108"/>
        <v/>
      </c>
      <c r="DE88" s="65" t="str">
        <f t="shared" si="109"/>
        <v/>
      </c>
      <c r="DF88" s="66" t="str">
        <f t="shared" si="110"/>
        <v/>
      </c>
    </row>
    <row r="89" spans="2:110" hidden="1" outlineLevel="1">
      <c r="B89" s="54">
        <f t="shared" si="111"/>
        <v>43675</v>
      </c>
      <c r="C89" s="55" t="s">
        <v>1</v>
      </c>
      <c r="D89" s="56">
        <f t="shared" si="112"/>
        <v>43681</v>
      </c>
      <c r="E89" s="52">
        <f t="shared" si="113"/>
        <v>7</v>
      </c>
      <c r="F89" s="53">
        <f t="shared" si="114"/>
        <v>2019</v>
      </c>
      <c r="G89" s="62">
        <f t="shared" si="115"/>
        <v>15</v>
      </c>
      <c r="H89" s="63">
        <f t="shared" si="116"/>
        <v>96</v>
      </c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>
        <v>15</v>
      </c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80"/>
      <c r="AG89" s="87">
        <f t="shared" si="70"/>
        <v>0</v>
      </c>
      <c r="AH89" s="87">
        <f t="shared" si="71"/>
        <v>0</v>
      </c>
      <c r="AI89" s="87">
        <f t="shared" si="72"/>
        <v>0</v>
      </c>
      <c r="AJ89" s="87">
        <f t="shared" si="73"/>
        <v>0</v>
      </c>
      <c r="AK89" s="87">
        <f t="shared" si="74"/>
        <v>0</v>
      </c>
      <c r="AL89" s="87">
        <f t="shared" si="75"/>
        <v>0</v>
      </c>
      <c r="AM89" s="87">
        <f t="shared" si="76"/>
        <v>0</v>
      </c>
      <c r="AN89" s="87">
        <f t="shared" si="77"/>
        <v>0</v>
      </c>
      <c r="AO89" s="87">
        <f t="shared" si="78"/>
        <v>0</v>
      </c>
      <c r="AP89" s="87">
        <f t="shared" si="79"/>
        <v>0</v>
      </c>
      <c r="AQ89" s="87">
        <f t="shared" si="80"/>
        <v>15</v>
      </c>
      <c r="AR89" s="81"/>
      <c r="AS89" s="85">
        <f t="shared" si="81"/>
        <v>0</v>
      </c>
      <c r="AT89" s="85">
        <f t="shared" si="82"/>
        <v>0</v>
      </c>
      <c r="AU89" s="85">
        <f t="shared" si="83"/>
        <v>0</v>
      </c>
      <c r="AV89" s="85">
        <f t="shared" si="84"/>
        <v>0</v>
      </c>
      <c r="AW89" s="85">
        <f t="shared" si="85"/>
        <v>0</v>
      </c>
      <c r="AX89" s="85">
        <f t="shared" si="86"/>
        <v>0</v>
      </c>
      <c r="AY89" s="85">
        <f t="shared" si="87"/>
        <v>0</v>
      </c>
      <c r="AZ89" s="85">
        <f t="shared" si="88"/>
        <v>0</v>
      </c>
      <c r="BA89" s="85">
        <f t="shared" si="89"/>
        <v>0</v>
      </c>
      <c r="BB89" s="85">
        <f t="shared" si="90"/>
        <v>0</v>
      </c>
      <c r="BC89" s="85">
        <f t="shared" si="91"/>
        <v>0</v>
      </c>
      <c r="BD89" s="85">
        <f t="shared" si="92"/>
        <v>0</v>
      </c>
      <c r="BE89" s="85">
        <f t="shared" si="93"/>
        <v>0</v>
      </c>
      <c r="BF89" s="85">
        <f t="shared" si="94"/>
        <v>0</v>
      </c>
      <c r="BG89" s="85">
        <f t="shared" si="95"/>
        <v>0</v>
      </c>
      <c r="BH89" s="85">
        <f t="shared" si="96"/>
        <v>0</v>
      </c>
      <c r="BI89" s="85">
        <f t="shared" si="97"/>
        <v>0</v>
      </c>
      <c r="BJ89" s="85">
        <f t="shared" si="98"/>
        <v>0</v>
      </c>
      <c r="BK89" s="85">
        <f t="shared" si="99"/>
        <v>0</v>
      </c>
      <c r="BL89" s="85">
        <f t="shared" si="100"/>
        <v>0</v>
      </c>
      <c r="BM89" s="85">
        <f t="shared" si="101"/>
        <v>0</v>
      </c>
      <c r="BN89" s="85">
        <f t="shared" si="102"/>
        <v>0</v>
      </c>
      <c r="BO89" s="85">
        <f t="shared" si="103"/>
        <v>0</v>
      </c>
      <c r="BP89" s="85">
        <f t="shared" si="104"/>
        <v>0</v>
      </c>
      <c r="BQ89" s="85">
        <f t="shared" si="105"/>
        <v>0</v>
      </c>
      <c r="BR89" s="85">
        <f t="shared" si="106"/>
        <v>0</v>
      </c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  <c r="CO89" s="63"/>
      <c r="CP89" s="63"/>
      <c r="CQ89" s="63"/>
      <c r="CR89" s="63"/>
      <c r="CS89" s="63"/>
      <c r="CW89">
        <v>14</v>
      </c>
      <c r="CX89" s="35">
        <v>43675</v>
      </c>
      <c r="CZ89" s="35">
        <f>B106</f>
        <v>43794</v>
      </c>
      <c r="DA89">
        <v>98</v>
      </c>
      <c r="DC89" s="57" t="str">
        <f t="shared" si="107"/>
        <v/>
      </c>
      <c r="DD89" s="64" t="str">
        <f t="shared" si="108"/>
        <v/>
      </c>
      <c r="DE89" s="65" t="str">
        <f t="shared" si="109"/>
        <v/>
      </c>
      <c r="DF89" s="66" t="str">
        <f t="shared" si="110"/>
        <v/>
      </c>
    </row>
    <row r="90" spans="2:110" hidden="1" outlineLevel="1">
      <c r="B90" s="54">
        <f t="shared" si="111"/>
        <v>43682</v>
      </c>
      <c r="C90" s="55" t="s">
        <v>1</v>
      </c>
      <c r="D90" s="56">
        <f t="shared" si="112"/>
        <v>43688</v>
      </c>
      <c r="E90" s="52">
        <f t="shared" si="113"/>
        <v>8</v>
      </c>
      <c r="F90" s="53">
        <f t="shared" si="114"/>
        <v>2019</v>
      </c>
      <c r="G90" s="62">
        <f t="shared" si="115"/>
        <v>15</v>
      </c>
      <c r="H90" s="63">
        <f t="shared" si="116"/>
        <v>96</v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>
        <v>15</v>
      </c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80"/>
      <c r="AG90" s="87">
        <f t="shared" si="70"/>
        <v>0</v>
      </c>
      <c r="AH90" s="87">
        <f t="shared" si="71"/>
        <v>0</v>
      </c>
      <c r="AI90" s="87">
        <f t="shared" si="72"/>
        <v>0</v>
      </c>
      <c r="AJ90" s="87">
        <f t="shared" si="73"/>
        <v>0</v>
      </c>
      <c r="AK90" s="87">
        <f t="shared" si="74"/>
        <v>0</v>
      </c>
      <c r="AL90" s="87">
        <f t="shared" si="75"/>
        <v>0</v>
      </c>
      <c r="AM90" s="87">
        <f t="shared" si="76"/>
        <v>0</v>
      </c>
      <c r="AN90" s="87">
        <f t="shared" si="77"/>
        <v>0</v>
      </c>
      <c r="AO90" s="87">
        <f t="shared" si="78"/>
        <v>0</v>
      </c>
      <c r="AP90" s="87">
        <f t="shared" si="79"/>
        <v>0</v>
      </c>
      <c r="AQ90" s="87">
        <f t="shared" si="80"/>
        <v>15</v>
      </c>
      <c r="AR90" s="81"/>
      <c r="AS90" s="85">
        <f t="shared" si="81"/>
        <v>0</v>
      </c>
      <c r="AT90" s="85">
        <f t="shared" si="82"/>
        <v>0</v>
      </c>
      <c r="AU90" s="85">
        <f t="shared" si="83"/>
        <v>0</v>
      </c>
      <c r="AV90" s="85">
        <f t="shared" si="84"/>
        <v>0</v>
      </c>
      <c r="AW90" s="85">
        <f t="shared" si="85"/>
        <v>0</v>
      </c>
      <c r="AX90" s="85">
        <f t="shared" si="86"/>
        <v>0</v>
      </c>
      <c r="AY90" s="85">
        <f t="shared" si="87"/>
        <v>0</v>
      </c>
      <c r="AZ90" s="85">
        <f t="shared" si="88"/>
        <v>0</v>
      </c>
      <c r="BA90" s="85">
        <f t="shared" si="89"/>
        <v>0</v>
      </c>
      <c r="BB90" s="85">
        <f t="shared" si="90"/>
        <v>0</v>
      </c>
      <c r="BC90" s="85">
        <f t="shared" si="91"/>
        <v>0</v>
      </c>
      <c r="BD90" s="85">
        <f t="shared" si="92"/>
        <v>0</v>
      </c>
      <c r="BE90" s="85">
        <f t="shared" si="93"/>
        <v>0</v>
      </c>
      <c r="BF90" s="85">
        <f t="shared" si="94"/>
        <v>0</v>
      </c>
      <c r="BG90" s="85">
        <f t="shared" si="95"/>
        <v>0</v>
      </c>
      <c r="BH90" s="85">
        <f t="shared" si="96"/>
        <v>0</v>
      </c>
      <c r="BI90" s="85">
        <f t="shared" si="97"/>
        <v>0</v>
      </c>
      <c r="BJ90" s="85">
        <f t="shared" si="98"/>
        <v>0</v>
      </c>
      <c r="BK90" s="85">
        <f t="shared" si="99"/>
        <v>0</v>
      </c>
      <c r="BL90" s="85">
        <f t="shared" si="100"/>
        <v>0</v>
      </c>
      <c r="BM90" s="85">
        <f t="shared" si="101"/>
        <v>0</v>
      </c>
      <c r="BN90" s="85">
        <f t="shared" si="102"/>
        <v>0</v>
      </c>
      <c r="BO90" s="85">
        <f t="shared" si="103"/>
        <v>0</v>
      </c>
      <c r="BP90" s="85">
        <f t="shared" si="104"/>
        <v>0</v>
      </c>
      <c r="BQ90" s="85">
        <f t="shared" si="105"/>
        <v>0</v>
      </c>
      <c r="BR90" s="85">
        <f t="shared" si="106"/>
        <v>0</v>
      </c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  <c r="CO90" s="63"/>
      <c r="CP90" s="63"/>
      <c r="CQ90" s="63"/>
      <c r="CR90" s="63"/>
      <c r="CS90" s="63"/>
      <c r="CX90" s="35" t="s">
        <v>12</v>
      </c>
      <c r="CZ90" s="35"/>
      <c r="DC90" s="57" t="str">
        <f t="shared" si="107"/>
        <v/>
      </c>
      <c r="DD90" s="64" t="str">
        <f t="shared" si="108"/>
        <v/>
      </c>
      <c r="DE90" s="65" t="str">
        <f t="shared" si="109"/>
        <v/>
      </c>
      <c r="DF90" s="66" t="str">
        <f t="shared" si="110"/>
        <v/>
      </c>
    </row>
    <row r="91" spans="2:110" hidden="1" outlineLevel="1">
      <c r="B91" s="54">
        <f t="shared" si="111"/>
        <v>43689</v>
      </c>
      <c r="C91" s="55" t="s">
        <v>1</v>
      </c>
      <c r="D91" s="56">
        <f t="shared" si="112"/>
        <v>43695</v>
      </c>
      <c r="E91" s="52">
        <f t="shared" si="113"/>
        <v>8</v>
      </c>
      <c r="F91" s="53">
        <f t="shared" si="114"/>
        <v>2019</v>
      </c>
      <c r="G91" s="62">
        <f t="shared" si="115"/>
        <v>15</v>
      </c>
      <c r="H91" s="63">
        <f t="shared" si="116"/>
        <v>96</v>
      </c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>
        <v>15</v>
      </c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80"/>
      <c r="AG91" s="87">
        <f t="shared" si="70"/>
        <v>0</v>
      </c>
      <c r="AH91" s="87">
        <f t="shared" si="71"/>
        <v>0</v>
      </c>
      <c r="AI91" s="87">
        <f t="shared" si="72"/>
        <v>0</v>
      </c>
      <c r="AJ91" s="87">
        <f t="shared" si="73"/>
        <v>0</v>
      </c>
      <c r="AK91" s="87">
        <f t="shared" si="74"/>
        <v>0</v>
      </c>
      <c r="AL91" s="87">
        <f t="shared" si="75"/>
        <v>0</v>
      </c>
      <c r="AM91" s="87">
        <f t="shared" si="76"/>
        <v>0</v>
      </c>
      <c r="AN91" s="87">
        <f t="shared" si="77"/>
        <v>0</v>
      </c>
      <c r="AO91" s="87">
        <f t="shared" si="78"/>
        <v>0</v>
      </c>
      <c r="AP91" s="87">
        <f t="shared" si="79"/>
        <v>0</v>
      </c>
      <c r="AQ91" s="87">
        <f t="shared" si="80"/>
        <v>15</v>
      </c>
      <c r="AR91" s="81"/>
      <c r="AS91" s="85">
        <f t="shared" si="81"/>
        <v>0</v>
      </c>
      <c r="AT91" s="85">
        <f t="shared" si="82"/>
        <v>0</v>
      </c>
      <c r="AU91" s="85">
        <f t="shared" si="83"/>
        <v>0</v>
      </c>
      <c r="AV91" s="85">
        <f t="shared" si="84"/>
        <v>0</v>
      </c>
      <c r="AW91" s="85">
        <f t="shared" si="85"/>
        <v>0</v>
      </c>
      <c r="AX91" s="85">
        <f t="shared" si="86"/>
        <v>0</v>
      </c>
      <c r="AY91" s="85">
        <f t="shared" si="87"/>
        <v>0</v>
      </c>
      <c r="AZ91" s="85">
        <f t="shared" si="88"/>
        <v>0</v>
      </c>
      <c r="BA91" s="85">
        <f t="shared" si="89"/>
        <v>0</v>
      </c>
      <c r="BB91" s="85">
        <f t="shared" si="90"/>
        <v>0</v>
      </c>
      <c r="BC91" s="85">
        <f t="shared" si="91"/>
        <v>0</v>
      </c>
      <c r="BD91" s="85">
        <f t="shared" si="92"/>
        <v>0</v>
      </c>
      <c r="BE91" s="85">
        <f t="shared" si="93"/>
        <v>0</v>
      </c>
      <c r="BF91" s="85">
        <f t="shared" si="94"/>
        <v>0</v>
      </c>
      <c r="BG91" s="85">
        <f t="shared" si="95"/>
        <v>0</v>
      </c>
      <c r="BH91" s="85">
        <f t="shared" si="96"/>
        <v>0</v>
      </c>
      <c r="BI91" s="85">
        <f t="shared" si="97"/>
        <v>0</v>
      </c>
      <c r="BJ91" s="85">
        <f t="shared" si="98"/>
        <v>0</v>
      </c>
      <c r="BK91" s="85">
        <f t="shared" si="99"/>
        <v>0</v>
      </c>
      <c r="BL91" s="85">
        <f t="shared" si="100"/>
        <v>0</v>
      </c>
      <c r="BM91" s="85">
        <f t="shared" si="101"/>
        <v>0</v>
      </c>
      <c r="BN91" s="85">
        <f t="shared" si="102"/>
        <v>0</v>
      </c>
      <c r="BO91" s="85">
        <f t="shared" si="103"/>
        <v>0</v>
      </c>
      <c r="BP91" s="85">
        <f t="shared" si="104"/>
        <v>0</v>
      </c>
      <c r="BQ91" s="85">
        <f t="shared" si="105"/>
        <v>0</v>
      </c>
      <c r="BR91" s="85">
        <f t="shared" si="106"/>
        <v>0</v>
      </c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3"/>
      <c r="CM91" s="63"/>
      <c r="CN91" s="63"/>
      <c r="CO91" s="63"/>
      <c r="CP91" s="63"/>
      <c r="CQ91" s="63"/>
      <c r="CR91" s="63"/>
      <c r="CS91" s="63"/>
      <c r="CX91" s="35" t="s">
        <v>12</v>
      </c>
      <c r="CZ91" s="35"/>
      <c r="DC91" s="57" t="str">
        <f t="shared" si="107"/>
        <v/>
      </c>
      <c r="DD91" s="64" t="str">
        <f t="shared" si="108"/>
        <v/>
      </c>
      <c r="DE91" s="65" t="str">
        <f t="shared" si="109"/>
        <v/>
      </c>
      <c r="DF91" s="66" t="str">
        <f t="shared" si="110"/>
        <v/>
      </c>
    </row>
    <row r="92" spans="2:110" hidden="1" outlineLevel="1">
      <c r="B92" s="54">
        <f t="shared" si="111"/>
        <v>43696</v>
      </c>
      <c r="C92" s="55" t="s">
        <v>1</v>
      </c>
      <c r="D92" s="56">
        <f t="shared" si="112"/>
        <v>43702</v>
      </c>
      <c r="E92" s="52">
        <f t="shared" si="113"/>
        <v>8</v>
      </c>
      <c r="F92" s="53">
        <f t="shared" si="114"/>
        <v>2019</v>
      </c>
      <c r="G92" s="62">
        <f t="shared" si="115"/>
        <v>15</v>
      </c>
      <c r="H92" s="63">
        <f t="shared" si="116"/>
        <v>96</v>
      </c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>
        <v>15</v>
      </c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80"/>
      <c r="AG92" s="87">
        <f t="shared" si="70"/>
        <v>0</v>
      </c>
      <c r="AH92" s="87">
        <f t="shared" si="71"/>
        <v>0</v>
      </c>
      <c r="AI92" s="87">
        <f t="shared" si="72"/>
        <v>0</v>
      </c>
      <c r="AJ92" s="87">
        <f t="shared" si="73"/>
        <v>0</v>
      </c>
      <c r="AK92" s="87">
        <f t="shared" si="74"/>
        <v>0</v>
      </c>
      <c r="AL92" s="87">
        <f t="shared" si="75"/>
        <v>0</v>
      </c>
      <c r="AM92" s="87">
        <f t="shared" si="76"/>
        <v>0</v>
      </c>
      <c r="AN92" s="87">
        <f t="shared" si="77"/>
        <v>0</v>
      </c>
      <c r="AO92" s="87">
        <f t="shared" si="78"/>
        <v>0</v>
      </c>
      <c r="AP92" s="87">
        <f t="shared" si="79"/>
        <v>0</v>
      </c>
      <c r="AQ92" s="87">
        <f t="shared" si="80"/>
        <v>15</v>
      </c>
      <c r="AR92" s="81"/>
      <c r="AS92" s="85">
        <f t="shared" si="81"/>
        <v>0</v>
      </c>
      <c r="AT92" s="85">
        <f t="shared" si="82"/>
        <v>0</v>
      </c>
      <c r="AU92" s="85">
        <f t="shared" si="83"/>
        <v>0</v>
      </c>
      <c r="AV92" s="85">
        <f t="shared" si="84"/>
        <v>0</v>
      </c>
      <c r="AW92" s="85">
        <f t="shared" si="85"/>
        <v>0</v>
      </c>
      <c r="AX92" s="85">
        <f t="shared" si="86"/>
        <v>0</v>
      </c>
      <c r="AY92" s="85">
        <f t="shared" si="87"/>
        <v>0</v>
      </c>
      <c r="AZ92" s="85">
        <f t="shared" si="88"/>
        <v>0</v>
      </c>
      <c r="BA92" s="85">
        <f t="shared" si="89"/>
        <v>0</v>
      </c>
      <c r="BB92" s="85">
        <f t="shared" si="90"/>
        <v>0</v>
      </c>
      <c r="BC92" s="85">
        <f t="shared" si="91"/>
        <v>0</v>
      </c>
      <c r="BD92" s="85">
        <f t="shared" si="92"/>
        <v>0</v>
      </c>
      <c r="BE92" s="85">
        <f t="shared" si="93"/>
        <v>0</v>
      </c>
      <c r="BF92" s="85">
        <f t="shared" si="94"/>
        <v>0</v>
      </c>
      <c r="BG92" s="85">
        <f t="shared" si="95"/>
        <v>0</v>
      </c>
      <c r="BH92" s="85">
        <f t="shared" si="96"/>
        <v>0</v>
      </c>
      <c r="BI92" s="85">
        <f t="shared" si="97"/>
        <v>0</v>
      </c>
      <c r="BJ92" s="85">
        <f t="shared" si="98"/>
        <v>0</v>
      </c>
      <c r="BK92" s="85">
        <f t="shared" si="99"/>
        <v>0</v>
      </c>
      <c r="BL92" s="85">
        <f t="shared" si="100"/>
        <v>0</v>
      </c>
      <c r="BM92" s="85">
        <f t="shared" si="101"/>
        <v>0</v>
      </c>
      <c r="BN92" s="85">
        <f t="shared" si="102"/>
        <v>0</v>
      </c>
      <c r="BO92" s="85">
        <f t="shared" si="103"/>
        <v>0</v>
      </c>
      <c r="BP92" s="85">
        <f t="shared" si="104"/>
        <v>0</v>
      </c>
      <c r="BQ92" s="85">
        <f t="shared" si="105"/>
        <v>0</v>
      </c>
      <c r="BR92" s="85">
        <f t="shared" si="106"/>
        <v>0</v>
      </c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  <c r="CO92" s="63"/>
      <c r="CP92" s="63"/>
      <c r="CQ92" s="63"/>
      <c r="CR92" s="63"/>
      <c r="CS92" s="63"/>
      <c r="CX92" s="35" t="s">
        <v>12</v>
      </c>
      <c r="CZ92" s="35"/>
      <c r="DC92" s="57" t="str">
        <f t="shared" si="107"/>
        <v/>
      </c>
      <c r="DD92" s="64" t="str">
        <f t="shared" si="108"/>
        <v/>
      </c>
      <c r="DE92" s="65" t="str">
        <f t="shared" si="109"/>
        <v/>
      </c>
      <c r="DF92" s="66" t="str">
        <f t="shared" si="110"/>
        <v/>
      </c>
    </row>
    <row r="93" spans="2:110" hidden="1" outlineLevel="1">
      <c r="B93" s="54">
        <f t="shared" si="111"/>
        <v>43703</v>
      </c>
      <c r="C93" s="55" t="s">
        <v>1</v>
      </c>
      <c r="D93" s="56">
        <f t="shared" si="112"/>
        <v>43709</v>
      </c>
      <c r="E93" s="52">
        <f t="shared" si="113"/>
        <v>8</v>
      </c>
      <c r="F93" s="53">
        <f t="shared" si="114"/>
        <v>2019</v>
      </c>
      <c r="G93" s="62">
        <f t="shared" si="115"/>
        <v>15</v>
      </c>
      <c r="H93" s="63">
        <f t="shared" si="116"/>
        <v>96</v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>
        <v>15</v>
      </c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80"/>
      <c r="AG93" s="87">
        <f t="shared" si="70"/>
        <v>0</v>
      </c>
      <c r="AH93" s="87">
        <f t="shared" si="71"/>
        <v>0</v>
      </c>
      <c r="AI93" s="87">
        <f t="shared" si="72"/>
        <v>0</v>
      </c>
      <c r="AJ93" s="87">
        <f t="shared" si="73"/>
        <v>0</v>
      </c>
      <c r="AK93" s="87">
        <f t="shared" si="74"/>
        <v>0</v>
      </c>
      <c r="AL93" s="87">
        <f t="shared" si="75"/>
        <v>0</v>
      </c>
      <c r="AM93" s="87">
        <f t="shared" si="76"/>
        <v>0</v>
      </c>
      <c r="AN93" s="87">
        <f t="shared" si="77"/>
        <v>0</v>
      </c>
      <c r="AO93" s="87">
        <f t="shared" si="78"/>
        <v>0</v>
      </c>
      <c r="AP93" s="87">
        <f t="shared" si="79"/>
        <v>0</v>
      </c>
      <c r="AQ93" s="87">
        <f t="shared" si="80"/>
        <v>15</v>
      </c>
      <c r="AR93" s="81"/>
      <c r="AS93" s="85">
        <f t="shared" si="81"/>
        <v>0</v>
      </c>
      <c r="AT93" s="85">
        <f t="shared" si="82"/>
        <v>0</v>
      </c>
      <c r="AU93" s="85">
        <f t="shared" si="83"/>
        <v>0</v>
      </c>
      <c r="AV93" s="85">
        <f t="shared" si="84"/>
        <v>0</v>
      </c>
      <c r="AW93" s="85">
        <f t="shared" si="85"/>
        <v>0</v>
      </c>
      <c r="AX93" s="85">
        <f t="shared" si="86"/>
        <v>0</v>
      </c>
      <c r="AY93" s="85">
        <f t="shared" si="87"/>
        <v>0</v>
      </c>
      <c r="AZ93" s="85">
        <f t="shared" si="88"/>
        <v>0</v>
      </c>
      <c r="BA93" s="85">
        <f t="shared" si="89"/>
        <v>0</v>
      </c>
      <c r="BB93" s="85">
        <f t="shared" si="90"/>
        <v>0</v>
      </c>
      <c r="BC93" s="85">
        <f t="shared" si="91"/>
        <v>0</v>
      </c>
      <c r="BD93" s="85">
        <f t="shared" si="92"/>
        <v>0</v>
      </c>
      <c r="BE93" s="85">
        <f t="shared" si="93"/>
        <v>0</v>
      </c>
      <c r="BF93" s="85">
        <f t="shared" si="94"/>
        <v>0</v>
      </c>
      <c r="BG93" s="85">
        <f t="shared" si="95"/>
        <v>0</v>
      </c>
      <c r="BH93" s="85">
        <f t="shared" si="96"/>
        <v>0</v>
      </c>
      <c r="BI93" s="85">
        <f t="shared" si="97"/>
        <v>0</v>
      </c>
      <c r="BJ93" s="85">
        <f t="shared" si="98"/>
        <v>0</v>
      </c>
      <c r="BK93" s="85">
        <f t="shared" si="99"/>
        <v>0</v>
      </c>
      <c r="BL93" s="85">
        <f t="shared" si="100"/>
        <v>0</v>
      </c>
      <c r="BM93" s="85">
        <f t="shared" si="101"/>
        <v>0</v>
      </c>
      <c r="BN93" s="85">
        <f t="shared" si="102"/>
        <v>0</v>
      </c>
      <c r="BO93" s="85">
        <f t="shared" si="103"/>
        <v>0</v>
      </c>
      <c r="BP93" s="85">
        <f t="shared" si="104"/>
        <v>0</v>
      </c>
      <c r="BQ93" s="85">
        <f t="shared" si="105"/>
        <v>0</v>
      </c>
      <c r="BR93" s="85">
        <f t="shared" si="106"/>
        <v>0</v>
      </c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  <c r="CO93" s="63"/>
      <c r="CP93" s="63"/>
      <c r="CQ93" s="63"/>
      <c r="CR93" s="63"/>
      <c r="CS93" s="63"/>
      <c r="CX93" s="35" t="s">
        <v>12</v>
      </c>
      <c r="CZ93" s="35"/>
      <c r="DC93" s="57" t="str">
        <f t="shared" si="107"/>
        <v/>
      </c>
      <c r="DD93" s="64" t="str">
        <f t="shared" si="108"/>
        <v/>
      </c>
      <c r="DE93" s="65" t="str">
        <f t="shared" si="109"/>
        <v/>
      </c>
      <c r="DF93" s="66" t="str">
        <f t="shared" si="110"/>
        <v/>
      </c>
    </row>
    <row r="94" spans="2:110" hidden="1" outlineLevel="1">
      <c r="B94" s="54">
        <f t="shared" si="111"/>
        <v>43710</v>
      </c>
      <c r="C94" s="55" t="s">
        <v>1</v>
      </c>
      <c r="D94" s="56">
        <f t="shared" si="112"/>
        <v>43716</v>
      </c>
      <c r="E94" s="52">
        <f t="shared" si="113"/>
        <v>9</v>
      </c>
      <c r="F94" s="53">
        <f t="shared" si="114"/>
        <v>2019</v>
      </c>
      <c r="G94" s="62">
        <f t="shared" si="115"/>
        <v>15</v>
      </c>
      <c r="H94" s="63">
        <f t="shared" si="116"/>
        <v>96</v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>
        <v>15</v>
      </c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80"/>
      <c r="AG94" s="87">
        <f t="shared" si="70"/>
        <v>0</v>
      </c>
      <c r="AH94" s="87">
        <f t="shared" si="71"/>
        <v>0</v>
      </c>
      <c r="AI94" s="87">
        <f t="shared" si="72"/>
        <v>0</v>
      </c>
      <c r="AJ94" s="87">
        <f t="shared" si="73"/>
        <v>0</v>
      </c>
      <c r="AK94" s="87">
        <f t="shared" si="74"/>
        <v>0</v>
      </c>
      <c r="AL94" s="87">
        <f t="shared" si="75"/>
        <v>0</v>
      </c>
      <c r="AM94" s="87">
        <f t="shared" si="76"/>
        <v>0</v>
      </c>
      <c r="AN94" s="87">
        <f t="shared" si="77"/>
        <v>0</v>
      </c>
      <c r="AO94" s="87">
        <f t="shared" si="78"/>
        <v>0</v>
      </c>
      <c r="AP94" s="87">
        <f t="shared" si="79"/>
        <v>0</v>
      </c>
      <c r="AQ94" s="87">
        <f t="shared" si="80"/>
        <v>15</v>
      </c>
      <c r="AR94" s="81"/>
      <c r="AS94" s="85">
        <f t="shared" si="81"/>
        <v>0</v>
      </c>
      <c r="AT94" s="85">
        <f t="shared" si="82"/>
        <v>0</v>
      </c>
      <c r="AU94" s="85">
        <f t="shared" si="83"/>
        <v>0</v>
      </c>
      <c r="AV94" s="85">
        <f t="shared" si="84"/>
        <v>0</v>
      </c>
      <c r="AW94" s="85">
        <f t="shared" si="85"/>
        <v>0</v>
      </c>
      <c r="AX94" s="85">
        <f t="shared" si="86"/>
        <v>0</v>
      </c>
      <c r="AY94" s="85">
        <f t="shared" si="87"/>
        <v>0</v>
      </c>
      <c r="AZ94" s="85">
        <f t="shared" si="88"/>
        <v>0</v>
      </c>
      <c r="BA94" s="85">
        <f t="shared" si="89"/>
        <v>0</v>
      </c>
      <c r="BB94" s="85">
        <f t="shared" si="90"/>
        <v>0</v>
      </c>
      <c r="BC94" s="85">
        <f t="shared" si="91"/>
        <v>0</v>
      </c>
      <c r="BD94" s="85">
        <f t="shared" si="92"/>
        <v>0</v>
      </c>
      <c r="BE94" s="85">
        <f t="shared" si="93"/>
        <v>0</v>
      </c>
      <c r="BF94" s="85">
        <f t="shared" si="94"/>
        <v>0</v>
      </c>
      <c r="BG94" s="85">
        <f t="shared" si="95"/>
        <v>0</v>
      </c>
      <c r="BH94" s="85">
        <f t="shared" si="96"/>
        <v>0</v>
      </c>
      <c r="BI94" s="85">
        <f t="shared" si="97"/>
        <v>0</v>
      </c>
      <c r="BJ94" s="85">
        <f t="shared" si="98"/>
        <v>0</v>
      </c>
      <c r="BK94" s="85">
        <f t="shared" si="99"/>
        <v>0</v>
      </c>
      <c r="BL94" s="85">
        <f t="shared" si="100"/>
        <v>0</v>
      </c>
      <c r="BM94" s="85">
        <f t="shared" si="101"/>
        <v>0</v>
      </c>
      <c r="BN94" s="85">
        <f t="shared" si="102"/>
        <v>0</v>
      </c>
      <c r="BO94" s="85">
        <f t="shared" si="103"/>
        <v>0</v>
      </c>
      <c r="BP94" s="85">
        <f t="shared" si="104"/>
        <v>0</v>
      </c>
      <c r="BQ94" s="85">
        <f t="shared" si="105"/>
        <v>0</v>
      </c>
      <c r="BR94" s="85">
        <f t="shared" si="106"/>
        <v>0</v>
      </c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3"/>
      <c r="CM94" s="63"/>
      <c r="CN94" s="63"/>
      <c r="CO94" s="63"/>
      <c r="CP94" s="63"/>
      <c r="CQ94" s="63"/>
      <c r="CR94" s="63"/>
      <c r="CS94" s="63"/>
      <c r="CU94"/>
      <c r="CX94"/>
      <c r="CZ94"/>
      <c r="DC94" s="57" t="str">
        <f t="shared" si="107"/>
        <v/>
      </c>
      <c r="DD94" s="64" t="str">
        <f t="shared" si="108"/>
        <v/>
      </c>
      <c r="DE94" s="65" t="str">
        <f t="shared" si="109"/>
        <v/>
      </c>
      <c r="DF94" s="66" t="str">
        <f t="shared" si="110"/>
        <v/>
      </c>
    </row>
    <row r="95" spans="2:110" hidden="1" outlineLevel="1">
      <c r="B95" s="54">
        <f t="shared" si="111"/>
        <v>43717</v>
      </c>
      <c r="C95" s="55" t="s">
        <v>1</v>
      </c>
      <c r="D95" s="56">
        <f t="shared" si="112"/>
        <v>43723</v>
      </c>
      <c r="E95" s="52">
        <f t="shared" si="113"/>
        <v>9</v>
      </c>
      <c r="F95" s="53">
        <f t="shared" si="114"/>
        <v>2019</v>
      </c>
      <c r="G95" s="62">
        <f t="shared" si="115"/>
        <v>15</v>
      </c>
      <c r="H95" s="63">
        <f t="shared" si="116"/>
        <v>96</v>
      </c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>
        <v>15</v>
      </c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80"/>
      <c r="AG95" s="87">
        <f t="shared" si="70"/>
        <v>0</v>
      </c>
      <c r="AH95" s="87">
        <f t="shared" si="71"/>
        <v>0</v>
      </c>
      <c r="AI95" s="87">
        <f t="shared" si="72"/>
        <v>0</v>
      </c>
      <c r="AJ95" s="87">
        <f t="shared" si="73"/>
        <v>0</v>
      </c>
      <c r="AK95" s="87">
        <f t="shared" si="74"/>
        <v>0</v>
      </c>
      <c r="AL95" s="87">
        <f t="shared" si="75"/>
        <v>0</v>
      </c>
      <c r="AM95" s="87">
        <f t="shared" si="76"/>
        <v>0</v>
      </c>
      <c r="AN95" s="87">
        <f t="shared" si="77"/>
        <v>0</v>
      </c>
      <c r="AO95" s="87">
        <f t="shared" si="78"/>
        <v>0</v>
      </c>
      <c r="AP95" s="87">
        <f t="shared" si="79"/>
        <v>0</v>
      </c>
      <c r="AQ95" s="87">
        <f t="shared" si="80"/>
        <v>15</v>
      </c>
      <c r="AR95" s="81"/>
      <c r="AS95" s="85">
        <f t="shared" si="81"/>
        <v>0</v>
      </c>
      <c r="AT95" s="85">
        <f t="shared" si="82"/>
        <v>0</v>
      </c>
      <c r="AU95" s="85">
        <f t="shared" si="83"/>
        <v>0</v>
      </c>
      <c r="AV95" s="85">
        <f t="shared" si="84"/>
        <v>0</v>
      </c>
      <c r="AW95" s="85">
        <f t="shared" si="85"/>
        <v>0</v>
      </c>
      <c r="AX95" s="85">
        <f t="shared" si="86"/>
        <v>0</v>
      </c>
      <c r="AY95" s="85">
        <f t="shared" si="87"/>
        <v>0</v>
      </c>
      <c r="AZ95" s="85">
        <f t="shared" si="88"/>
        <v>0</v>
      </c>
      <c r="BA95" s="85">
        <f t="shared" si="89"/>
        <v>0</v>
      </c>
      <c r="BB95" s="85">
        <f t="shared" si="90"/>
        <v>0</v>
      </c>
      <c r="BC95" s="85">
        <f t="shared" si="91"/>
        <v>0</v>
      </c>
      <c r="BD95" s="85">
        <f t="shared" si="92"/>
        <v>0</v>
      </c>
      <c r="BE95" s="85">
        <f t="shared" si="93"/>
        <v>0</v>
      </c>
      <c r="BF95" s="85">
        <f t="shared" si="94"/>
        <v>0</v>
      </c>
      <c r="BG95" s="85">
        <f t="shared" si="95"/>
        <v>0</v>
      </c>
      <c r="BH95" s="85">
        <f t="shared" si="96"/>
        <v>0</v>
      </c>
      <c r="BI95" s="85">
        <f t="shared" si="97"/>
        <v>0</v>
      </c>
      <c r="BJ95" s="85">
        <f t="shared" si="98"/>
        <v>0</v>
      </c>
      <c r="BK95" s="85">
        <f t="shared" si="99"/>
        <v>0</v>
      </c>
      <c r="BL95" s="85">
        <f t="shared" si="100"/>
        <v>0</v>
      </c>
      <c r="BM95" s="85">
        <f t="shared" si="101"/>
        <v>0</v>
      </c>
      <c r="BN95" s="85">
        <f t="shared" si="102"/>
        <v>0</v>
      </c>
      <c r="BO95" s="85">
        <f t="shared" si="103"/>
        <v>0</v>
      </c>
      <c r="BP95" s="85">
        <f t="shared" si="104"/>
        <v>0</v>
      </c>
      <c r="BQ95" s="85">
        <f t="shared" si="105"/>
        <v>0</v>
      </c>
      <c r="BR95" s="85">
        <f t="shared" si="106"/>
        <v>0</v>
      </c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  <c r="CO95" s="63"/>
      <c r="CP95" s="63"/>
      <c r="CQ95" s="63"/>
      <c r="CR95" s="63"/>
      <c r="CS95" s="63"/>
      <c r="CU95"/>
      <c r="CX95"/>
      <c r="CZ95"/>
      <c r="DC95" s="57" t="str">
        <f t="shared" si="107"/>
        <v/>
      </c>
      <c r="DD95" s="64" t="str">
        <f t="shared" si="108"/>
        <v/>
      </c>
      <c r="DE95" s="65" t="str">
        <f t="shared" si="109"/>
        <v/>
      </c>
      <c r="DF95" s="66" t="str">
        <f t="shared" si="110"/>
        <v/>
      </c>
    </row>
    <row r="96" spans="2:110" hidden="1" outlineLevel="1">
      <c r="B96" s="54">
        <f t="shared" si="111"/>
        <v>43724</v>
      </c>
      <c r="C96" s="55" t="s">
        <v>1</v>
      </c>
      <c r="D96" s="56">
        <f t="shared" si="112"/>
        <v>43730</v>
      </c>
      <c r="E96" s="52">
        <f t="shared" si="113"/>
        <v>9</v>
      </c>
      <c r="F96" s="53">
        <f t="shared" si="114"/>
        <v>2019</v>
      </c>
      <c r="G96" s="62">
        <f t="shared" si="115"/>
        <v>15</v>
      </c>
      <c r="H96" s="63">
        <f t="shared" si="116"/>
        <v>96</v>
      </c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>
        <v>15</v>
      </c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80"/>
      <c r="AG96" s="87">
        <f t="shared" si="70"/>
        <v>0</v>
      </c>
      <c r="AH96" s="87">
        <f t="shared" si="71"/>
        <v>0</v>
      </c>
      <c r="AI96" s="87">
        <f t="shared" si="72"/>
        <v>0</v>
      </c>
      <c r="AJ96" s="87">
        <f t="shared" si="73"/>
        <v>0</v>
      </c>
      <c r="AK96" s="87">
        <f t="shared" si="74"/>
        <v>0</v>
      </c>
      <c r="AL96" s="87">
        <f t="shared" si="75"/>
        <v>0</v>
      </c>
      <c r="AM96" s="87">
        <f t="shared" si="76"/>
        <v>0</v>
      </c>
      <c r="AN96" s="87">
        <f t="shared" si="77"/>
        <v>0</v>
      </c>
      <c r="AO96" s="87">
        <f t="shared" si="78"/>
        <v>0</v>
      </c>
      <c r="AP96" s="87">
        <f t="shared" si="79"/>
        <v>0</v>
      </c>
      <c r="AQ96" s="87">
        <f t="shared" si="80"/>
        <v>15</v>
      </c>
      <c r="AR96" s="81"/>
      <c r="AS96" s="85">
        <f t="shared" si="81"/>
        <v>0</v>
      </c>
      <c r="AT96" s="85">
        <f t="shared" si="82"/>
        <v>0</v>
      </c>
      <c r="AU96" s="85">
        <f t="shared" si="83"/>
        <v>0</v>
      </c>
      <c r="AV96" s="85">
        <f t="shared" si="84"/>
        <v>0</v>
      </c>
      <c r="AW96" s="85">
        <f t="shared" si="85"/>
        <v>0</v>
      </c>
      <c r="AX96" s="85">
        <f t="shared" si="86"/>
        <v>0</v>
      </c>
      <c r="AY96" s="85">
        <f t="shared" si="87"/>
        <v>0</v>
      </c>
      <c r="AZ96" s="85">
        <f t="shared" si="88"/>
        <v>0</v>
      </c>
      <c r="BA96" s="85">
        <f t="shared" si="89"/>
        <v>0</v>
      </c>
      <c r="BB96" s="85">
        <f t="shared" si="90"/>
        <v>0</v>
      </c>
      <c r="BC96" s="85">
        <f t="shared" si="91"/>
        <v>0</v>
      </c>
      <c r="BD96" s="85">
        <f t="shared" si="92"/>
        <v>0</v>
      </c>
      <c r="BE96" s="85">
        <f t="shared" si="93"/>
        <v>0</v>
      </c>
      <c r="BF96" s="85">
        <f t="shared" si="94"/>
        <v>0</v>
      </c>
      <c r="BG96" s="85">
        <f t="shared" si="95"/>
        <v>0</v>
      </c>
      <c r="BH96" s="85">
        <f t="shared" si="96"/>
        <v>0</v>
      </c>
      <c r="BI96" s="85">
        <f t="shared" si="97"/>
        <v>0</v>
      </c>
      <c r="BJ96" s="85">
        <f t="shared" si="98"/>
        <v>0</v>
      </c>
      <c r="BK96" s="85">
        <f t="shared" si="99"/>
        <v>0</v>
      </c>
      <c r="BL96" s="85">
        <f t="shared" si="100"/>
        <v>0</v>
      </c>
      <c r="BM96" s="85">
        <f t="shared" si="101"/>
        <v>0</v>
      </c>
      <c r="BN96" s="85">
        <f t="shared" si="102"/>
        <v>0</v>
      </c>
      <c r="BO96" s="85">
        <f t="shared" si="103"/>
        <v>0</v>
      </c>
      <c r="BP96" s="85">
        <f t="shared" si="104"/>
        <v>0</v>
      </c>
      <c r="BQ96" s="85">
        <f t="shared" si="105"/>
        <v>0</v>
      </c>
      <c r="BR96" s="85">
        <f t="shared" si="106"/>
        <v>0</v>
      </c>
      <c r="BT96" s="63"/>
      <c r="BU96" s="63"/>
      <c r="BV96" s="63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3"/>
      <c r="CM96" s="63"/>
      <c r="CN96" s="63"/>
      <c r="CO96" s="63"/>
      <c r="CP96" s="63"/>
      <c r="CQ96" s="63"/>
      <c r="CR96" s="63"/>
      <c r="CS96" s="63"/>
      <c r="CU96"/>
      <c r="CX96"/>
      <c r="CZ96"/>
      <c r="DC96" s="57" t="str">
        <f t="shared" si="107"/>
        <v/>
      </c>
      <c r="DD96" s="64" t="str">
        <f t="shared" si="108"/>
        <v/>
      </c>
      <c r="DE96" s="65" t="str">
        <f t="shared" si="109"/>
        <v/>
      </c>
      <c r="DF96" s="66" t="str">
        <f t="shared" si="110"/>
        <v/>
      </c>
    </row>
    <row r="97" spans="2:110" hidden="1" outlineLevel="1">
      <c r="B97" s="54">
        <f t="shared" si="111"/>
        <v>43731</v>
      </c>
      <c r="C97" s="55" t="s">
        <v>1</v>
      </c>
      <c r="D97" s="56">
        <f t="shared" si="112"/>
        <v>43737</v>
      </c>
      <c r="E97" s="52">
        <f t="shared" si="113"/>
        <v>9</v>
      </c>
      <c r="F97" s="53">
        <f t="shared" si="114"/>
        <v>2019</v>
      </c>
      <c r="G97" s="62">
        <f t="shared" si="115"/>
        <v>15</v>
      </c>
      <c r="H97" s="63">
        <f t="shared" si="116"/>
        <v>96</v>
      </c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>
        <v>15</v>
      </c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80"/>
      <c r="AG97" s="87">
        <f t="shared" si="70"/>
        <v>0</v>
      </c>
      <c r="AH97" s="87">
        <f t="shared" si="71"/>
        <v>0</v>
      </c>
      <c r="AI97" s="87">
        <f t="shared" si="72"/>
        <v>0</v>
      </c>
      <c r="AJ97" s="87">
        <f t="shared" si="73"/>
        <v>0</v>
      </c>
      <c r="AK97" s="87">
        <f t="shared" si="74"/>
        <v>0</v>
      </c>
      <c r="AL97" s="87">
        <f t="shared" si="75"/>
        <v>0</v>
      </c>
      <c r="AM97" s="87">
        <f t="shared" si="76"/>
        <v>0</v>
      </c>
      <c r="AN97" s="87">
        <f t="shared" si="77"/>
        <v>0</v>
      </c>
      <c r="AO97" s="87">
        <f t="shared" si="78"/>
        <v>0</v>
      </c>
      <c r="AP97" s="87">
        <f t="shared" si="79"/>
        <v>0</v>
      </c>
      <c r="AQ97" s="87">
        <f t="shared" si="80"/>
        <v>15</v>
      </c>
      <c r="AR97" s="81"/>
      <c r="AS97" s="85">
        <f t="shared" si="81"/>
        <v>0</v>
      </c>
      <c r="AT97" s="85">
        <f t="shared" si="82"/>
        <v>0</v>
      </c>
      <c r="AU97" s="85">
        <f t="shared" si="83"/>
        <v>0</v>
      </c>
      <c r="AV97" s="85">
        <f t="shared" si="84"/>
        <v>0</v>
      </c>
      <c r="AW97" s="85">
        <f t="shared" si="85"/>
        <v>0</v>
      </c>
      <c r="AX97" s="85">
        <f t="shared" si="86"/>
        <v>0</v>
      </c>
      <c r="AY97" s="85">
        <f t="shared" si="87"/>
        <v>0</v>
      </c>
      <c r="AZ97" s="85">
        <f t="shared" si="88"/>
        <v>0</v>
      </c>
      <c r="BA97" s="85">
        <f t="shared" si="89"/>
        <v>0</v>
      </c>
      <c r="BB97" s="85">
        <f t="shared" si="90"/>
        <v>0</v>
      </c>
      <c r="BC97" s="85">
        <f t="shared" si="91"/>
        <v>0</v>
      </c>
      <c r="BD97" s="85">
        <f t="shared" si="92"/>
        <v>0</v>
      </c>
      <c r="BE97" s="85">
        <f t="shared" si="93"/>
        <v>0</v>
      </c>
      <c r="BF97" s="85">
        <f t="shared" si="94"/>
        <v>0</v>
      </c>
      <c r="BG97" s="85">
        <f t="shared" si="95"/>
        <v>0</v>
      </c>
      <c r="BH97" s="85">
        <f t="shared" si="96"/>
        <v>0</v>
      </c>
      <c r="BI97" s="85">
        <f t="shared" si="97"/>
        <v>0</v>
      </c>
      <c r="BJ97" s="85">
        <f t="shared" si="98"/>
        <v>0</v>
      </c>
      <c r="BK97" s="85">
        <f t="shared" si="99"/>
        <v>0</v>
      </c>
      <c r="BL97" s="85">
        <f t="shared" si="100"/>
        <v>0</v>
      </c>
      <c r="BM97" s="85">
        <f t="shared" si="101"/>
        <v>0</v>
      </c>
      <c r="BN97" s="85">
        <f t="shared" si="102"/>
        <v>0</v>
      </c>
      <c r="BO97" s="85">
        <f t="shared" si="103"/>
        <v>0</v>
      </c>
      <c r="BP97" s="85">
        <f t="shared" si="104"/>
        <v>0</v>
      </c>
      <c r="BQ97" s="85">
        <f t="shared" si="105"/>
        <v>0</v>
      </c>
      <c r="BR97" s="85">
        <f t="shared" si="106"/>
        <v>0</v>
      </c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63"/>
      <c r="CP97" s="63"/>
      <c r="CQ97" s="63"/>
      <c r="CR97" s="63"/>
      <c r="CS97" s="63"/>
      <c r="CU97"/>
      <c r="CX97"/>
      <c r="CZ97"/>
      <c r="DC97" s="57" t="str">
        <f t="shared" si="107"/>
        <v/>
      </c>
      <c r="DD97" s="64" t="str">
        <f t="shared" si="108"/>
        <v/>
      </c>
      <c r="DE97" s="65" t="str">
        <f t="shared" si="109"/>
        <v/>
      </c>
      <c r="DF97" s="66" t="str">
        <f t="shared" si="110"/>
        <v/>
      </c>
    </row>
    <row r="98" spans="2:110" hidden="1" outlineLevel="1">
      <c r="B98" s="54">
        <f t="shared" si="111"/>
        <v>43738</v>
      </c>
      <c r="C98" s="55" t="s">
        <v>1</v>
      </c>
      <c r="D98" s="56">
        <f t="shared" si="112"/>
        <v>43744</v>
      </c>
      <c r="E98" s="52">
        <f t="shared" si="113"/>
        <v>9</v>
      </c>
      <c r="F98" s="53">
        <f t="shared" si="114"/>
        <v>2019</v>
      </c>
      <c r="G98" s="62">
        <f t="shared" si="115"/>
        <v>15</v>
      </c>
      <c r="H98" s="63">
        <f t="shared" si="116"/>
        <v>96</v>
      </c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>
        <v>15</v>
      </c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80"/>
      <c r="AG98" s="87">
        <f t="shared" si="70"/>
        <v>0</v>
      </c>
      <c r="AH98" s="87">
        <f t="shared" si="71"/>
        <v>0</v>
      </c>
      <c r="AI98" s="87">
        <f t="shared" si="72"/>
        <v>0</v>
      </c>
      <c r="AJ98" s="87">
        <f t="shared" si="73"/>
        <v>0</v>
      </c>
      <c r="AK98" s="87">
        <f t="shared" si="74"/>
        <v>0</v>
      </c>
      <c r="AL98" s="87">
        <f t="shared" si="75"/>
        <v>0</v>
      </c>
      <c r="AM98" s="87">
        <f t="shared" si="76"/>
        <v>0</v>
      </c>
      <c r="AN98" s="87">
        <f t="shared" si="77"/>
        <v>0</v>
      </c>
      <c r="AO98" s="87">
        <f t="shared" si="78"/>
        <v>0</v>
      </c>
      <c r="AP98" s="87">
        <f t="shared" si="79"/>
        <v>0</v>
      </c>
      <c r="AQ98" s="87">
        <f t="shared" si="80"/>
        <v>15</v>
      </c>
      <c r="AR98" s="81"/>
      <c r="AS98" s="85">
        <f t="shared" si="81"/>
        <v>0</v>
      </c>
      <c r="AT98" s="85">
        <f t="shared" si="82"/>
        <v>0</v>
      </c>
      <c r="AU98" s="85">
        <f t="shared" si="83"/>
        <v>0</v>
      </c>
      <c r="AV98" s="85">
        <f t="shared" si="84"/>
        <v>0</v>
      </c>
      <c r="AW98" s="85">
        <f t="shared" si="85"/>
        <v>0</v>
      </c>
      <c r="AX98" s="85">
        <f t="shared" si="86"/>
        <v>0</v>
      </c>
      <c r="AY98" s="85">
        <f t="shared" si="87"/>
        <v>0</v>
      </c>
      <c r="AZ98" s="85">
        <f t="shared" si="88"/>
        <v>0</v>
      </c>
      <c r="BA98" s="85">
        <f t="shared" si="89"/>
        <v>0</v>
      </c>
      <c r="BB98" s="85">
        <f t="shared" si="90"/>
        <v>0</v>
      </c>
      <c r="BC98" s="85">
        <f t="shared" si="91"/>
        <v>0</v>
      </c>
      <c r="BD98" s="85">
        <f t="shared" si="92"/>
        <v>0</v>
      </c>
      <c r="BE98" s="85">
        <f t="shared" si="93"/>
        <v>0</v>
      </c>
      <c r="BF98" s="85">
        <f t="shared" si="94"/>
        <v>0</v>
      </c>
      <c r="BG98" s="85">
        <f t="shared" si="95"/>
        <v>0</v>
      </c>
      <c r="BH98" s="85">
        <f t="shared" si="96"/>
        <v>0</v>
      </c>
      <c r="BI98" s="85">
        <f t="shared" si="97"/>
        <v>0</v>
      </c>
      <c r="BJ98" s="85">
        <f t="shared" si="98"/>
        <v>0</v>
      </c>
      <c r="BK98" s="85">
        <f t="shared" si="99"/>
        <v>0</v>
      </c>
      <c r="BL98" s="85">
        <f t="shared" si="100"/>
        <v>0</v>
      </c>
      <c r="BM98" s="85">
        <f t="shared" si="101"/>
        <v>0</v>
      </c>
      <c r="BN98" s="85">
        <f t="shared" si="102"/>
        <v>0</v>
      </c>
      <c r="BO98" s="85">
        <f t="shared" si="103"/>
        <v>0</v>
      </c>
      <c r="BP98" s="85">
        <f t="shared" si="104"/>
        <v>0</v>
      </c>
      <c r="BQ98" s="85">
        <f t="shared" si="105"/>
        <v>0</v>
      </c>
      <c r="BR98" s="85">
        <f t="shared" si="106"/>
        <v>0</v>
      </c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63"/>
      <c r="CP98" s="63"/>
      <c r="CQ98" s="63"/>
      <c r="CR98" s="63"/>
      <c r="CS98" s="63"/>
      <c r="CU98"/>
      <c r="CX98"/>
      <c r="CZ98"/>
      <c r="DC98" s="57" t="str">
        <f t="shared" si="107"/>
        <v/>
      </c>
      <c r="DD98" s="64" t="str">
        <f t="shared" si="108"/>
        <v/>
      </c>
      <c r="DE98" s="65" t="str">
        <f t="shared" si="109"/>
        <v/>
      </c>
      <c r="DF98" s="66" t="str">
        <f t="shared" si="110"/>
        <v/>
      </c>
    </row>
    <row r="99" spans="2:110" hidden="1" outlineLevel="1">
      <c r="B99" s="54">
        <f t="shared" si="111"/>
        <v>43745</v>
      </c>
      <c r="C99" s="55" t="s">
        <v>1</v>
      </c>
      <c r="D99" s="56">
        <f t="shared" si="112"/>
        <v>43751</v>
      </c>
      <c r="E99" s="52">
        <f t="shared" si="113"/>
        <v>10</v>
      </c>
      <c r="F99" s="53">
        <f t="shared" si="114"/>
        <v>2019</v>
      </c>
      <c r="G99" s="62">
        <f t="shared" si="115"/>
        <v>15</v>
      </c>
      <c r="H99" s="63">
        <f t="shared" si="116"/>
        <v>96</v>
      </c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>
        <v>15</v>
      </c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80"/>
      <c r="AG99" s="87">
        <f t="shared" si="70"/>
        <v>0</v>
      </c>
      <c r="AH99" s="87">
        <f t="shared" si="71"/>
        <v>0</v>
      </c>
      <c r="AI99" s="87">
        <f t="shared" si="72"/>
        <v>0</v>
      </c>
      <c r="AJ99" s="87">
        <f t="shared" si="73"/>
        <v>0</v>
      </c>
      <c r="AK99" s="87">
        <f t="shared" si="74"/>
        <v>0</v>
      </c>
      <c r="AL99" s="87">
        <f t="shared" si="75"/>
        <v>0</v>
      </c>
      <c r="AM99" s="87">
        <f t="shared" si="76"/>
        <v>0</v>
      </c>
      <c r="AN99" s="87">
        <f t="shared" si="77"/>
        <v>0</v>
      </c>
      <c r="AO99" s="87">
        <f t="shared" si="78"/>
        <v>0</v>
      </c>
      <c r="AP99" s="87">
        <f t="shared" si="79"/>
        <v>0</v>
      </c>
      <c r="AQ99" s="87">
        <f t="shared" si="80"/>
        <v>15</v>
      </c>
      <c r="AR99" s="81"/>
      <c r="AS99" s="85">
        <f t="shared" si="81"/>
        <v>0</v>
      </c>
      <c r="AT99" s="85">
        <f t="shared" si="82"/>
        <v>0</v>
      </c>
      <c r="AU99" s="85">
        <f t="shared" si="83"/>
        <v>0</v>
      </c>
      <c r="AV99" s="85">
        <f t="shared" si="84"/>
        <v>0</v>
      </c>
      <c r="AW99" s="85">
        <f t="shared" si="85"/>
        <v>0</v>
      </c>
      <c r="AX99" s="85">
        <f t="shared" si="86"/>
        <v>0</v>
      </c>
      <c r="AY99" s="85">
        <f t="shared" si="87"/>
        <v>0</v>
      </c>
      <c r="AZ99" s="85">
        <f t="shared" si="88"/>
        <v>0</v>
      </c>
      <c r="BA99" s="85">
        <f t="shared" si="89"/>
        <v>0</v>
      </c>
      <c r="BB99" s="85">
        <f t="shared" si="90"/>
        <v>0</v>
      </c>
      <c r="BC99" s="85">
        <f t="shared" si="91"/>
        <v>0</v>
      </c>
      <c r="BD99" s="85">
        <f t="shared" si="92"/>
        <v>0</v>
      </c>
      <c r="BE99" s="85">
        <f t="shared" si="93"/>
        <v>0</v>
      </c>
      <c r="BF99" s="85">
        <f t="shared" si="94"/>
        <v>0</v>
      </c>
      <c r="BG99" s="85">
        <f t="shared" si="95"/>
        <v>0</v>
      </c>
      <c r="BH99" s="85">
        <f t="shared" si="96"/>
        <v>0</v>
      </c>
      <c r="BI99" s="85">
        <f t="shared" si="97"/>
        <v>0</v>
      </c>
      <c r="BJ99" s="85">
        <f t="shared" si="98"/>
        <v>0</v>
      </c>
      <c r="BK99" s="85">
        <f t="shared" si="99"/>
        <v>0</v>
      </c>
      <c r="BL99" s="85">
        <f t="shared" si="100"/>
        <v>0</v>
      </c>
      <c r="BM99" s="85">
        <f t="shared" si="101"/>
        <v>0</v>
      </c>
      <c r="BN99" s="85">
        <f t="shared" si="102"/>
        <v>0</v>
      </c>
      <c r="BO99" s="85">
        <f t="shared" si="103"/>
        <v>0</v>
      </c>
      <c r="BP99" s="85">
        <f t="shared" si="104"/>
        <v>0</v>
      </c>
      <c r="BQ99" s="85">
        <f t="shared" si="105"/>
        <v>0</v>
      </c>
      <c r="BR99" s="85">
        <f t="shared" si="106"/>
        <v>0</v>
      </c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3"/>
      <c r="CQ99" s="63"/>
      <c r="CR99" s="63"/>
      <c r="CS99" s="63"/>
      <c r="CU99"/>
      <c r="CX99"/>
      <c r="CZ99"/>
      <c r="DC99" s="57" t="str">
        <f t="shared" si="107"/>
        <v/>
      </c>
      <c r="DD99" s="64" t="str">
        <f t="shared" si="108"/>
        <v/>
      </c>
      <c r="DE99" s="65" t="str">
        <f t="shared" si="109"/>
        <v/>
      </c>
      <c r="DF99" s="66" t="str">
        <f t="shared" si="110"/>
        <v/>
      </c>
    </row>
    <row r="100" spans="2:110" hidden="1" outlineLevel="1">
      <c r="B100" s="54">
        <f t="shared" si="111"/>
        <v>43752</v>
      </c>
      <c r="C100" s="55" t="s">
        <v>1</v>
      </c>
      <c r="D100" s="56">
        <f t="shared" si="112"/>
        <v>43758</v>
      </c>
      <c r="E100" s="52">
        <f t="shared" si="113"/>
        <v>10</v>
      </c>
      <c r="F100" s="53">
        <f t="shared" si="114"/>
        <v>2019</v>
      </c>
      <c r="G100" s="62">
        <f t="shared" si="115"/>
        <v>15</v>
      </c>
      <c r="H100" s="63">
        <f t="shared" si="116"/>
        <v>96</v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>
        <v>15</v>
      </c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80"/>
      <c r="AG100" s="87">
        <f t="shared" si="70"/>
        <v>0</v>
      </c>
      <c r="AH100" s="87">
        <f t="shared" si="71"/>
        <v>0</v>
      </c>
      <c r="AI100" s="87">
        <f t="shared" si="72"/>
        <v>0</v>
      </c>
      <c r="AJ100" s="87">
        <f t="shared" si="73"/>
        <v>0</v>
      </c>
      <c r="AK100" s="87">
        <f t="shared" si="74"/>
        <v>0</v>
      </c>
      <c r="AL100" s="87">
        <f t="shared" si="75"/>
        <v>0</v>
      </c>
      <c r="AM100" s="87">
        <f t="shared" si="76"/>
        <v>0</v>
      </c>
      <c r="AN100" s="87">
        <f t="shared" si="77"/>
        <v>0</v>
      </c>
      <c r="AO100" s="87">
        <f t="shared" si="78"/>
        <v>0</v>
      </c>
      <c r="AP100" s="87">
        <f t="shared" si="79"/>
        <v>0</v>
      </c>
      <c r="AQ100" s="87">
        <f t="shared" si="80"/>
        <v>15</v>
      </c>
      <c r="AR100" s="81"/>
      <c r="AS100" s="85">
        <f t="shared" si="81"/>
        <v>0</v>
      </c>
      <c r="AT100" s="85">
        <f t="shared" si="82"/>
        <v>0</v>
      </c>
      <c r="AU100" s="85">
        <f t="shared" si="83"/>
        <v>0</v>
      </c>
      <c r="AV100" s="85">
        <f t="shared" si="84"/>
        <v>0</v>
      </c>
      <c r="AW100" s="85">
        <f t="shared" si="85"/>
        <v>0</v>
      </c>
      <c r="AX100" s="85">
        <f t="shared" si="86"/>
        <v>0</v>
      </c>
      <c r="AY100" s="85">
        <f t="shared" si="87"/>
        <v>0</v>
      </c>
      <c r="AZ100" s="85">
        <f t="shared" si="88"/>
        <v>0</v>
      </c>
      <c r="BA100" s="85">
        <f t="shared" si="89"/>
        <v>0</v>
      </c>
      <c r="BB100" s="85">
        <f t="shared" si="90"/>
        <v>0</v>
      </c>
      <c r="BC100" s="85">
        <f t="shared" si="91"/>
        <v>0</v>
      </c>
      <c r="BD100" s="85">
        <f t="shared" si="92"/>
        <v>0</v>
      </c>
      <c r="BE100" s="85">
        <f t="shared" si="93"/>
        <v>0</v>
      </c>
      <c r="BF100" s="85">
        <f t="shared" si="94"/>
        <v>0</v>
      </c>
      <c r="BG100" s="85">
        <f t="shared" si="95"/>
        <v>0</v>
      </c>
      <c r="BH100" s="85">
        <f t="shared" si="96"/>
        <v>0</v>
      </c>
      <c r="BI100" s="85">
        <f t="shared" si="97"/>
        <v>0</v>
      </c>
      <c r="BJ100" s="85">
        <f t="shared" si="98"/>
        <v>0</v>
      </c>
      <c r="BK100" s="85">
        <f t="shared" si="99"/>
        <v>0</v>
      </c>
      <c r="BL100" s="85">
        <f t="shared" si="100"/>
        <v>0</v>
      </c>
      <c r="BM100" s="85">
        <f t="shared" si="101"/>
        <v>0</v>
      </c>
      <c r="BN100" s="85">
        <f t="shared" si="102"/>
        <v>0</v>
      </c>
      <c r="BO100" s="85">
        <f t="shared" si="103"/>
        <v>0</v>
      </c>
      <c r="BP100" s="85">
        <f t="shared" si="104"/>
        <v>0</v>
      </c>
      <c r="BQ100" s="85">
        <f t="shared" si="105"/>
        <v>0</v>
      </c>
      <c r="BR100" s="85">
        <f t="shared" si="106"/>
        <v>0</v>
      </c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  <c r="CO100" s="63"/>
      <c r="CP100" s="63"/>
      <c r="CQ100" s="63"/>
      <c r="CR100" s="63"/>
      <c r="CS100" s="63"/>
      <c r="CU100"/>
      <c r="CX100"/>
      <c r="CZ100"/>
      <c r="DC100" s="57" t="str">
        <f t="shared" si="107"/>
        <v/>
      </c>
      <c r="DD100" s="64" t="str">
        <f t="shared" si="108"/>
        <v/>
      </c>
      <c r="DE100" s="65" t="str">
        <f t="shared" si="109"/>
        <v/>
      </c>
      <c r="DF100" s="66" t="str">
        <f t="shared" si="110"/>
        <v/>
      </c>
    </row>
    <row r="101" spans="2:110" hidden="1" outlineLevel="1">
      <c r="B101" s="54">
        <f t="shared" si="111"/>
        <v>43759</v>
      </c>
      <c r="C101" s="55" t="s">
        <v>1</v>
      </c>
      <c r="D101" s="56">
        <f t="shared" si="112"/>
        <v>43765</v>
      </c>
      <c r="E101" s="52">
        <f t="shared" si="113"/>
        <v>10</v>
      </c>
      <c r="F101" s="53">
        <f t="shared" si="114"/>
        <v>2019</v>
      </c>
      <c r="G101" s="62">
        <f t="shared" si="115"/>
        <v>15</v>
      </c>
      <c r="H101" s="63">
        <f t="shared" si="116"/>
        <v>96</v>
      </c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>
        <v>15</v>
      </c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80"/>
      <c r="AG101" s="87">
        <f t="shared" si="70"/>
        <v>0</v>
      </c>
      <c r="AH101" s="87">
        <f t="shared" si="71"/>
        <v>0</v>
      </c>
      <c r="AI101" s="87">
        <f t="shared" si="72"/>
        <v>0</v>
      </c>
      <c r="AJ101" s="87">
        <f t="shared" si="73"/>
        <v>0</v>
      </c>
      <c r="AK101" s="87">
        <f t="shared" si="74"/>
        <v>0</v>
      </c>
      <c r="AL101" s="87">
        <f t="shared" si="75"/>
        <v>0</v>
      </c>
      <c r="AM101" s="87">
        <f t="shared" si="76"/>
        <v>0</v>
      </c>
      <c r="AN101" s="87">
        <f t="shared" si="77"/>
        <v>0</v>
      </c>
      <c r="AO101" s="87">
        <f t="shared" si="78"/>
        <v>0</v>
      </c>
      <c r="AP101" s="87">
        <f t="shared" si="79"/>
        <v>0</v>
      </c>
      <c r="AQ101" s="87">
        <f t="shared" si="80"/>
        <v>15</v>
      </c>
      <c r="AR101" s="81"/>
      <c r="AS101" s="85">
        <f t="shared" si="81"/>
        <v>0</v>
      </c>
      <c r="AT101" s="85">
        <f t="shared" si="82"/>
        <v>0</v>
      </c>
      <c r="AU101" s="85">
        <f t="shared" si="83"/>
        <v>0</v>
      </c>
      <c r="AV101" s="85">
        <f t="shared" si="84"/>
        <v>0</v>
      </c>
      <c r="AW101" s="85">
        <f t="shared" si="85"/>
        <v>0</v>
      </c>
      <c r="AX101" s="85">
        <f t="shared" si="86"/>
        <v>0</v>
      </c>
      <c r="AY101" s="85">
        <f t="shared" si="87"/>
        <v>0</v>
      </c>
      <c r="AZ101" s="85">
        <f t="shared" si="88"/>
        <v>0</v>
      </c>
      <c r="BA101" s="85">
        <f t="shared" si="89"/>
        <v>0</v>
      </c>
      <c r="BB101" s="85">
        <f t="shared" si="90"/>
        <v>0</v>
      </c>
      <c r="BC101" s="85">
        <f t="shared" si="91"/>
        <v>0</v>
      </c>
      <c r="BD101" s="85">
        <f t="shared" si="92"/>
        <v>0</v>
      </c>
      <c r="BE101" s="85">
        <f t="shared" si="93"/>
        <v>0</v>
      </c>
      <c r="BF101" s="85">
        <f t="shared" si="94"/>
        <v>0</v>
      </c>
      <c r="BG101" s="85">
        <f t="shared" si="95"/>
        <v>0</v>
      </c>
      <c r="BH101" s="85">
        <f t="shared" si="96"/>
        <v>0</v>
      </c>
      <c r="BI101" s="85">
        <f t="shared" si="97"/>
        <v>0</v>
      </c>
      <c r="BJ101" s="85">
        <f t="shared" si="98"/>
        <v>0</v>
      </c>
      <c r="BK101" s="85">
        <f t="shared" si="99"/>
        <v>0</v>
      </c>
      <c r="BL101" s="85">
        <f t="shared" si="100"/>
        <v>0</v>
      </c>
      <c r="BM101" s="85">
        <f t="shared" si="101"/>
        <v>0</v>
      </c>
      <c r="BN101" s="85">
        <f t="shared" si="102"/>
        <v>0</v>
      </c>
      <c r="BO101" s="85">
        <f t="shared" si="103"/>
        <v>0</v>
      </c>
      <c r="BP101" s="85">
        <f t="shared" si="104"/>
        <v>0</v>
      </c>
      <c r="BQ101" s="85">
        <f t="shared" si="105"/>
        <v>0</v>
      </c>
      <c r="BR101" s="85">
        <f t="shared" si="106"/>
        <v>0</v>
      </c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  <c r="CO101" s="63"/>
      <c r="CP101" s="63"/>
      <c r="CQ101" s="63"/>
      <c r="CR101" s="63"/>
      <c r="CS101" s="63"/>
      <c r="CU101"/>
      <c r="CX101"/>
      <c r="CZ101"/>
      <c r="DC101" s="57" t="str">
        <f t="shared" si="107"/>
        <v/>
      </c>
      <c r="DD101" s="64" t="str">
        <f t="shared" si="108"/>
        <v/>
      </c>
      <c r="DE101" s="65" t="str">
        <f t="shared" si="109"/>
        <v/>
      </c>
      <c r="DF101" s="66" t="str">
        <f t="shared" si="110"/>
        <v/>
      </c>
    </row>
    <row r="102" spans="2:110" hidden="1" outlineLevel="1">
      <c r="B102" s="54">
        <f t="shared" si="111"/>
        <v>43766</v>
      </c>
      <c r="C102" s="55" t="s">
        <v>1</v>
      </c>
      <c r="D102" s="56">
        <f t="shared" si="112"/>
        <v>43772</v>
      </c>
      <c r="E102" s="52">
        <f t="shared" si="113"/>
        <v>10</v>
      </c>
      <c r="F102" s="53">
        <f t="shared" si="114"/>
        <v>2019</v>
      </c>
      <c r="G102" s="62">
        <f t="shared" si="115"/>
        <v>15</v>
      </c>
      <c r="H102" s="63">
        <f t="shared" si="116"/>
        <v>96</v>
      </c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>
        <v>15</v>
      </c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80"/>
      <c r="AG102" s="87">
        <f t="shared" si="70"/>
        <v>0</v>
      </c>
      <c r="AH102" s="87">
        <f t="shared" si="71"/>
        <v>0</v>
      </c>
      <c r="AI102" s="87">
        <f t="shared" si="72"/>
        <v>0</v>
      </c>
      <c r="AJ102" s="87">
        <f t="shared" si="73"/>
        <v>0</v>
      </c>
      <c r="AK102" s="87">
        <f t="shared" si="74"/>
        <v>0</v>
      </c>
      <c r="AL102" s="87">
        <f t="shared" si="75"/>
        <v>0</v>
      </c>
      <c r="AM102" s="87">
        <f t="shared" si="76"/>
        <v>0</v>
      </c>
      <c r="AN102" s="87">
        <f t="shared" si="77"/>
        <v>0</v>
      </c>
      <c r="AO102" s="87">
        <f t="shared" si="78"/>
        <v>0</v>
      </c>
      <c r="AP102" s="87">
        <f t="shared" si="79"/>
        <v>0</v>
      </c>
      <c r="AQ102" s="87">
        <f t="shared" si="80"/>
        <v>15</v>
      </c>
      <c r="AR102" s="81"/>
      <c r="AS102" s="85">
        <f t="shared" si="81"/>
        <v>0</v>
      </c>
      <c r="AT102" s="85">
        <f t="shared" si="82"/>
        <v>0</v>
      </c>
      <c r="AU102" s="85">
        <f t="shared" si="83"/>
        <v>0</v>
      </c>
      <c r="AV102" s="85">
        <f t="shared" si="84"/>
        <v>0</v>
      </c>
      <c r="AW102" s="85">
        <f t="shared" si="85"/>
        <v>0</v>
      </c>
      <c r="AX102" s="85">
        <f t="shared" si="86"/>
        <v>0</v>
      </c>
      <c r="AY102" s="85">
        <f t="shared" si="87"/>
        <v>0</v>
      </c>
      <c r="AZ102" s="85">
        <f t="shared" si="88"/>
        <v>0</v>
      </c>
      <c r="BA102" s="85">
        <f t="shared" si="89"/>
        <v>0</v>
      </c>
      <c r="BB102" s="85">
        <f t="shared" si="90"/>
        <v>0</v>
      </c>
      <c r="BC102" s="85">
        <f t="shared" si="91"/>
        <v>0</v>
      </c>
      <c r="BD102" s="85">
        <f t="shared" si="92"/>
        <v>0</v>
      </c>
      <c r="BE102" s="85">
        <f t="shared" si="93"/>
        <v>0</v>
      </c>
      <c r="BF102" s="85">
        <f t="shared" si="94"/>
        <v>0</v>
      </c>
      <c r="BG102" s="85">
        <f t="shared" si="95"/>
        <v>0</v>
      </c>
      <c r="BH102" s="85">
        <f t="shared" si="96"/>
        <v>0</v>
      </c>
      <c r="BI102" s="85">
        <f t="shared" si="97"/>
        <v>0</v>
      </c>
      <c r="BJ102" s="85">
        <f t="shared" si="98"/>
        <v>0</v>
      </c>
      <c r="BK102" s="85">
        <f t="shared" si="99"/>
        <v>0</v>
      </c>
      <c r="BL102" s="85">
        <f t="shared" si="100"/>
        <v>0</v>
      </c>
      <c r="BM102" s="85">
        <f t="shared" si="101"/>
        <v>0</v>
      </c>
      <c r="BN102" s="85">
        <f t="shared" si="102"/>
        <v>0</v>
      </c>
      <c r="BO102" s="85">
        <f t="shared" si="103"/>
        <v>0</v>
      </c>
      <c r="BP102" s="85">
        <f t="shared" si="104"/>
        <v>0</v>
      </c>
      <c r="BQ102" s="85">
        <f t="shared" si="105"/>
        <v>0</v>
      </c>
      <c r="BR102" s="85">
        <f t="shared" si="106"/>
        <v>0</v>
      </c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3"/>
      <c r="CH102" s="63"/>
      <c r="CI102" s="63"/>
      <c r="CJ102" s="63"/>
      <c r="CK102" s="63"/>
      <c r="CL102" s="63"/>
      <c r="CM102" s="63"/>
      <c r="CN102" s="63"/>
      <c r="CO102" s="63"/>
      <c r="CP102" s="63"/>
      <c r="CQ102" s="63"/>
      <c r="CR102" s="63"/>
      <c r="CS102" s="63"/>
      <c r="CU102"/>
      <c r="CX102"/>
      <c r="CZ102"/>
      <c r="DC102" s="57" t="str">
        <f t="shared" si="107"/>
        <v/>
      </c>
      <c r="DD102" s="64" t="str">
        <f t="shared" si="108"/>
        <v/>
      </c>
      <c r="DE102" s="65" t="str">
        <f t="shared" si="109"/>
        <v/>
      </c>
      <c r="DF102" s="66" t="str">
        <f t="shared" si="110"/>
        <v/>
      </c>
    </row>
    <row r="103" spans="2:110" hidden="1" outlineLevel="1">
      <c r="B103" s="54">
        <f t="shared" si="111"/>
        <v>43773</v>
      </c>
      <c r="C103" s="55" t="s">
        <v>1</v>
      </c>
      <c r="D103" s="56">
        <f t="shared" si="112"/>
        <v>43779</v>
      </c>
      <c r="E103" s="52">
        <f t="shared" si="113"/>
        <v>11</v>
      </c>
      <c r="F103" s="53">
        <f t="shared" si="114"/>
        <v>2019</v>
      </c>
      <c r="G103" s="62">
        <f t="shared" si="115"/>
        <v>15</v>
      </c>
      <c r="H103" s="63">
        <f t="shared" si="116"/>
        <v>96</v>
      </c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>
        <v>15</v>
      </c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80"/>
      <c r="AG103" s="87">
        <f t="shared" si="70"/>
        <v>0</v>
      </c>
      <c r="AH103" s="87">
        <f t="shared" si="71"/>
        <v>0</v>
      </c>
      <c r="AI103" s="87">
        <f t="shared" si="72"/>
        <v>0</v>
      </c>
      <c r="AJ103" s="87">
        <f t="shared" si="73"/>
        <v>0</v>
      </c>
      <c r="AK103" s="87">
        <f t="shared" si="74"/>
        <v>0</v>
      </c>
      <c r="AL103" s="87">
        <f t="shared" si="75"/>
        <v>0</v>
      </c>
      <c r="AM103" s="87">
        <f t="shared" si="76"/>
        <v>0</v>
      </c>
      <c r="AN103" s="87">
        <f t="shared" si="77"/>
        <v>0</v>
      </c>
      <c r="AO103" s="87">
        <f t="shared" si="78"/>
        <v>0</v>
      </c>
      <c r="AP103" s="87">
        <f t="shared" si="79"/>
        <v>0</v>
      </c>
      <c r="AQ103" s="87">
        <f t="shared" si="80"/>
        <v>15</v>
      </c>
      <c r="AR103" s="81"/>
      <c r="AS103" s="85">
        <f t="shared" si="81"/>
        <v>0</v>
      </c>
      <c r="AT103" s="85">
        <f t="shared" si="82"/>
        <v>0</v>
      </c>
      <c r="AU103" s="85">
        <f t="shared" si="83"/>
        <v>0</v>
      </c>
      <c r="AV103" s="85">
        <f t="shared" si="84"/>
        <v>0</v>
      </c>
      <c r="AW103" s="85">
        <f t="shared" si="85"/>
        <v>0</v>
      </c>
      <c r="AX103" s="85">
        <f t="shared" si="86"/>
        <v>0</v>
      </c>
      <c r="AY103" s="85">
        <f t="shared" si="87"/>
        <v>0</v>
      </c>
      <c r="AZ103" s="85">
        <f t="shared" si="88"/>
        <v>0</v>
      </c>
      <c r="BA103" s="85">
        <f t="shared" si="89"/>
        <v>0</v>
      </c>
      <c r="BB103" s="85">
        <f t="shared" si="90"/>
        <v>0</v>
      </c>
      <c r="BC103" s="85">
        <f t="shared" si="91"/>
        <v>0</v>
      </c>
      <c r="BD103" s="85">
        <f t="shared" si="92"/>
        <v>0</v>
      </c>
      <c r="BE103" s="85">
        <f t="shared" si="93"/>
        <v>0</v>
      </c>
      <c r="BF103" s="85">
        <f t="shared" si="94"/>
        <v>0</v>
      </c>
      <c r="BG103" s="85">
        <f t="shared" si="95"/>
        <v>0</v>
      </c>
      <c r="BH103" s="85">
        <f t="shared" si="96"/>
        <v>0</v>
      </c>
      <c r="BI103" s="85">
        <f t="shared" si="97"/>
        <v>0</v>
      </c>
      <c r="BJ103" s="85">
        <f t="shared" si="98"/>
        <v>0</v>
      </c>
      <c r="BK103" s="85">
        <f t="shared" si="99"/>
        <v>0</v>
      </c>
      <c r="BL103" s="85">
        <f t="shared" si="100"/>
        <v>0</v>
      </c>
      <c r="BM103" s="85">
        <f t="shared" si="101"/>
        <v>0</v>
      </c>
      <c r="BN103" s="85">
        <f t="shared" si="102"/>
        <v>0</v>
      </c>
      <c r="BO103" s="85">
        <f t="shared" si="103"/>
        <v>0</v>
      </c>
      <c r="BP103" s="85">
        <f t="shared" si="104"/>
        <v>0</v>
      </c>
      <c r="BQ103" s="85">
        <f t="shared" si="105"/>
        <v>0</v>
      </c>
      <c r="BR103" s="85">
        <f t="shared" si="106"/>
        <v>0</v>
      </c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3"/>
      <c r="CM103" s="63"/>
      <c r="CN103" s="63"/>
      <c r="CO103" s="63"/>
      <c r="CP103" s="63"/>
      <c r="CQ103" s="63"/>
      <c r="CR103" s="63"/>
      <c r="CS103" s="63"/>
      <c r="CX103" s="35" t="s">
        <v>12</v>
      </c>
      <c r="CZ103" s="35"/>
      <c r="DC103" s="57" t="str">
        <f t="shared" si="107"/>
        <v/>
      </c>
      <c r="DD103" s="64" t="str">
        <f t="shared" si="108"/>
        <v/>
      </c>
      <c r="DE103" s="65" t="str">
        <f t="shared" si="109"/>
        <v/>
      </c>
      <c r="DF103" s="66" t="str">
        <f t="shared" si="110"/>
        <v/>
      </c>
    </row>
    <row r="104" spans="2:110" hidden="1" outlineLevel="1">
      <c r="B104" s="54">
        <f t="shared" si="111"/>
        <v>43780</v>
      </c>
      <c r="C104" s="55" t="s">
        <v>1</v>
      </c>
      <c r="D104" s="56">
        <f t="shared" si="112"/>
        <v>43786</v>
      </c>
      <c r="E104" s="52">
        <f t="shared" si="113"/>
        <v>11</v>
      </c>
      <c r="F104" s="53">
        <f t="shared" si="114"/>
        <v>2019</v>
      </c>
      <c r="G104" s="62">
        <f t="shared" si="115"/>
        <v>15</v>
      </c>
      <c r="H104" s="63">
        <f t="shared" si="116"/>
        <v>96</v>
      </c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>
        <v>15</v>
      </c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80"/>
      <c r="AG104" s="87">
        <f t="shared" si="70"/>
        <v>0</v>
      </c>
      <c r="AH104" s="87">
        <f t="shared" si="71"/>
        <v>0</v>
      </c>
      <c r="AI104" s="87">
        <f t="shared" si="72"/>
        <v>0</v>
      </c>
      <c r="AJ104" s="87">
        <f t="shared" si="73"/>
        <v>0</v>
      </c>
      <c r="AK104" s="87">
        <f t="shared" si="74"/>
        <v>0</v>
      </c>
      <c r="AL104" s="87">
        <f t="shared" si="75"/>
        <v>0</v>
      </c>
      <c r="AM104" s="87">
        <f t="shared" si="76"/>
        <v>0</v>
      </c>
      <c r="AN104" s="87">
        <f t="shared" si="77"/>
        <v>0</v>
      </c>
      <c r="AO104" s="87">
        <f t="shared" si="78"/>
        <v>0</v>
      </c>
      <c r="AP104" s="87">
        <f t="shared" si="79"/>
        <v>0</v>
      </c>
      <c r="AQ104" s="87">
        <f t="shared" si="80"/>
        <v>15</v>
      </c>
      <c r="AR104" s="81"/>
      <c r="AS104" s="85">
        <f t="shared" si="81"/>
        <v>0</v>
      </c>
      <c r="AT104" s="85">
        <f t="shared" si="82"/>
        <v>0</v>
      </c>
      <c r="AU104" s="85">
        <f t="shared" si="83"/>
        <v>0</v>
      </c>
      <c r="AV104" s="85">
        <f t="shared" si="84"/>
        <v>0</v>
      </c>
      <c r="AW104" s="85">
        <f t="shared" si="85"/>
        <v>0</v>
      </c>
      <c r="AX104" s="85">
        <f t="shared" si="86"/>
        <v>0</v>
      </c>
      <c r="AY104" s="85">
        <f t="shared" si="87"/>
        <v>0</v>
      </c>
      <c r="AZ104" s="85">
        <f t="shared" si="88"/>
        <v>0</v>
      </c>
      <c r="BA104" s="85">
        <f t="shared" si="89"/>
        <v>0</v>
      </c>
      <c r="BB104" s="85">
        <f t="shared" si="90"/>
        <v>0</v>
      </c>
      <c r="BC104" s="85">
        <f t="shared" si="91"/>
        <v>0</v>
      </c>
      <c r="BD104" s="85">
        <f t="shared" si="92"/>
        <v>0</v>
      </c>
      <c r="BE104" s="85">
        <f t="shared" si="93"/>
        <v>0</v>
      </c>
      <c r="BF104" s="85">
        <f t="shared" si="94"/>
        <v>0</v>
      </c>
      <c r="BG104" s="85">
        <f t="shared" si="95"/>
        <v>0</v>
      </c>
      <c r="BH104" s="85">
        <f t="shared" si="96"/>
        <v>0</v>
      </c>
      <c r="BI104" s="85">
        <f t="shared" si="97"/>
        <v>0</v>
      </c>
      <c r="BJ104" s="85">
        <f t="shared" si="98"/>
        <v>0</v>
      </c>
      <c r="BK104" s="85">
        <f t="shared" si="99"/>
        <v>0</v>
      </c>
      <c r="BL104" s="85">
        <f t="shared" si="100"/>
        <v>0</v>
      </c>
      <c r="BM104" s="85">
        <f t="shared" si="101"/>
        <v>0</v>
      </c>
      <c r="BN104" s="85">
        <f t="shared" si="102"/>
        <v>0</v>
      </c>
      <c r="BO104" s="85">
        <f t="shared" si="103"/>
        <v>0</v>
      </c>
      <c r="BP104" s="85">
        <f t="shared" si="104"/>
        <v>0</v>
      </c>
      <c r="BQ104" s="85">
        <f t="shared" si="105"/>
        <v>0</v>
      </c>
      <c r="BR104" s="85">
        <f t="shared" si="106"/>
        <v>0</v>
      </c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X104" s="35" t="s">
        <v>12</v>
      </c>
      <c r="CZ104" s="35"/>
      <c r="DC104" s="57" t="str">
        <f t="shared" si="107"/>
        <v/>
      </c>
      <c r="DD104" s="64" t="str">
        <f t="shared" si="108"/>
        <v/>
      </c>
      <c r="DE104" s="65" t="str">
        <f t="shared" si="109"/>
        <v/>
      </c>
      <c r="DF104" s="66" t="str">
        <f t="shared" si="110"/>
        <v/>
      </c>
    </row>
    <row r="105" spans="2:110" hidden="1" outlineLevel="1">
      <c r="B105" s="54">
        <f t="shared" si="111"/>
        <v>43787</v>
      </c>
      <c r="C105" s="55" t="s">
        <v>1</v>
      </c>
      <c r="D105" s="56">
        <f t="shared" si="112"/>
        <v>43793</v>
      </c>
      <c r="E105" s="52">
        <f t="shared" si="113"/>
        <v>11</v>
      </c>
      <c r="F105" s="53">
        <f t="shared" si="114"/>
        <v>2019</v>
      </c>
      <c r="G105" s="62">
        <f t="shared" si="115"/>
        <v>15</v>
      </c>
      <c r="H105" s="63">
        <f t="shared" si="116"/>
        <v>96</v>
      </c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>
        <v>15</v>
      </c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80"/>
      <c r="AG105" s="87">
        <f t="shared" si="70"/>
        <v>0</v>
      </c>
      <c r="AH105" s="87">
        <f t="shared" si="71"/>
        <v>0</v>
      </c>
      <c r="AI105" s="87">
        <f t="shared" si="72"/>
        <v>0</v>
      </c>
      <c r="AJ105" s="87">
        <f t="shared" si="73"/>
        <v>0</v>
      </c>
      <c r="AK105" s="87">
        <f t="shared" si="74"/>
        <v>0</v>
      </c>
      <c r="AL105" s="87">
        <f t="shared" si="75"/>
        <v>0</v>
      </c>
      <c r="AM105" s="87">
        <f t="shared" si="76"/>
        <v>0</v>
      </c>
      <c r="AN105" s="87">
        <f t="shared" si="77"/>
        <v>0</v>
      </c>
      <c r="AO105" s="87">
        <f t="shared" si="78"/>
        <v>0</v>
      </c>
      <c r="AP105" s="87">
        <f t="shared" si="79"/>
        <v>0</v>
      </c>
      <c r="AQ105" s="87">
        <f t="shared" si="80"/>
        <v>15</v>
      </c>
      <c r="AR105" s="81"/>
      <c r="AS105" s="85">
        <f t="shared" si="81"/>
        <v>0</v>
      </c>
      <c r="AT105" s="85">
        <f t="shared" si="82"/>
        <v>0</v>
      </c>
      <c r="AU105" s="85">
        <f t="shared" si="83"/>
        <v>0</v>
      </c>
      <c r="AV105" s="85">
        <f t="shared" si="84"/>
        <v>0</v>
      </c>
      <c r="AW105" s="85">
        <f t="shared" si="85"/>
        <v>0</v>
      </c>
      <c r="AX105" s="85">
        <f t="shared" si="86"/>
        <v>0</v>
      </c>
      <c r="AY105" s="85">
        <f t="shared" si="87"/>
        <v>0</v>
      </c>
      <c r="AZ105" s="85">
        <f t="shared" si="88"/>
        <v>0</v>
      </c>
      <c r="BA105" s="85">
        <f t="shared" si="89"/>
        <v>0</v>
      </c>
      <c r="BB105" s="85">
        <f t="shared" si="90"/>
        <v>0</v>
      </c>
      <c r="BC105" s="85">
        <f t="shared" si="91"/>
        <v>0</v>
      </c>
      <c r="BD105" s="85">
        <f t="shared" si="92"/>
        <v>0</v>
      </c>
      <c r="BE105" s="85">
        <f t="shared" si="93"/>
        <v>0</v>
      </c>
      <c r="BF105" s="85">
        <f t="shared" si="94"/>
        <v>0</v>
      </c>
      <c r="BG105" s="85">
        <f t="shared" si="95"/>
        <v>0</v>
      </c>
      <c r="BH105" s="85">
        <f t="shared" si="96"/>
        <v>0</v>
      </c>
      <c r="BI105" s="85">
        <f t="shared" si="97"/>
        <v>0</v>
      </c>
      <c r="BJ105" s="85">
        <f t="shared" si="98"/>
        <v>0</v>
      </c>
      <c r="BK105" s="85">
        <f t="shared" si="99"/>
        <v>0</v>
      </c>
      <c r="BL105" s="85">
        <f t="shared" si="100"/>
        <v>0</v>
      </c>
      <c r="BM105" s="85">
        <f t="shared" si="101"/>
        <v>0</v>
      </c>
      <c r="BN105" s="85">
        <f t="shared" si="102"/>
        <v>0</v>
      </c>
      <c r="BO105" s="85">
        <f t="shared" si="103"/>
        <v>0</v>
      </c>
      <c r="BP105" s="85">
        <f t="shared" si="104"/>
        <v>0</v>
      </c>
      <c r="BQ105" s="85">
        <f t="shared" si="105"/>
        <v>0</v>
      </c>
      <c r="BR105" s="85">
        <f t="shared" si="106"/>
        <v>0</v>
      </c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  <c r="CK105" s="63"/>
      <c r="CL105" s="63"/>
      <c r="CM105" s="63"/>
      <c r="CN105" s="63"/>
      <c r="CO105" s="63"/>
      <c r="CP105" s="63"/>
      <c r="CQ105" s="63"/>
      <c r="CR105" s="63"/>
      <c r="CS105" s="63"/>
      <c r="CX105" s="35" t="s">
        <v>12</v>
      </c>
      <c r="CZ105" s="35"/>
      <c r="DC105" s="57" t="str">
        <f t="shared" si="107"/>
        <v/>
      </c>
      <c r="DD105" s="64" t="str">
        <f t="shared" si="108"/>
        <v/>
      </c>
      <c r="DE105" s="65" t="str">
        <f t="shared" si="109"/>
        <v/>
      </c>
      <c r="DF105" s="66" t="str">
        <f t="shared" si="110"/>
        <v/>
      </c>
    </row>
    <row r="106" spans="2:110" hidden="1" outlineLevel="1">
      <c r="B106" s="54">
        <f t="shared" si="111"/>
        <v>43794</v>
      </c>
      <c r="C106" s="55" t="s">
        <v>1</v>
      </c>
      <c r="D106" s="56">
        <f t="shared" si="112"/>
        <v>43800</v>
      </c>
      <c r="E106" s="52">
        <f t="shared" si="113"/>
        <v>11</v>
      </c>
      <c r="F106" s="53">
        <f t="shared" si="114"/>
        <v>2019</v>
      </c>
      <c r="G106" s="62">
        <f t="shared" si="115"/>
        <v>15</v>
      </c>
      <c r="H106" s="63">
        <f t="shared" si="116"/>
        <v>96</v>
      </c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>
        <v>15</v>
      </c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80"/>
      <c r="AG106" s="87">
        <f t="shared" si="70"/>
        <v>0</v>
      </c>
      <c r="AH106" s="87">
        <f t="shared" si="71"/>
        <v>0</v>
      </c>
      <c r="AI106" s="87">
        <f t="shared" si="72"/>
        <v>0</v>
      </c>
      <c r="AJ106" s="87">
        <f t="shared" si="73"/>
        <v>0</v>
      </c>
      <c r="AK106" s="87">
        <f t="shared" si="74"/>
        <v>0</v>
      </c>
      <c r="AL106" s="87">
        <f t="shared" si="75"/>
        <v>0</v>
      </c>
      <c r="AM106" s="87">
        <f t="shared" si="76"/>
        <v>0</v>
      </c>
      <c r="AN106" s="87">
        <f t="shared" si="77"/>
        <v>0</v>
      </c>
      <c r="AO106" s="87">
        <f t="shared" si="78"/>
        <v>0</v>
      </c>
      <c r="AP106" s="87">
        <f t="shared" si="79"/>
        <v>0</v>
      </c>
      <c r="AQ106" s="87">
        <f t="shared" si="80"/>
        <v>15</v>
      </c>
      <c r="AR106" s="81"/>
      <c r="AS106" s="85">
        <f t="shared" si="81"/>
        <v>0</v>
      </c>
      <c r="AT106" s="85">
        <f t="shared" si="82"/>
        <v>0</v>
      </c>
      <c r="AU106" s="85">
        <f t="shared" si="83"/>
        <v>0</v>
      </c>
      <c r="AV106" s="85">
        <f t="shared" si="84"/>
        <v>0</v>
      </c>
      <c r="AW106" s="85">
        <f t="shared" si="85"/>
        <v>0</v>
      </c>
      <c r="AX106" s="85">
        <f t="shared" si="86"/>
        <v>0</v>
      </c>
      <c r="AY106" s="85">
        <f t="shared" si="87"/>
        <v>0</v>
      </c>
      <c r="AZ106" s="85">
        <f t="shared" si="88"/>
        <v>0</v>
      </c>
      <c r="BA106" s="85">
        <f t="shared" si="89"/>
        <v>0</v>
      </c>
      <c r="BB106" s="85">
        <f t="shared" si="90"/>
        <v>0</v>
      </c>
      <c r="BC106" s="85">
        <f t="shared" si="91"/>
        <v>0</v>
      </c>
      <c r="BD106" s="85">
        <f t="shared" si="92"/>
        <v>0</v>
      </c>
      <c r="BE106" s="85">
        <f t="shared" si="93"/>
        <v>0</v>
      </c>
      <c r="BF106" s="85">
        <f t="shared" si="94"/>
        <v>0</v>
      </c>
      <c r="BG106" s="85">
        <f t="shared" si="95"/>
        <v>0</v>
      </c>
      <c r="BH106" s="85">
        <f t="shared" si="96"/>
        <v>0</v>
      </c>
      <c r="BI106" s="85">
        <f t="shared" si="97"/>
        <v>0</v>
      </c>
      <c r="BJ106" s="85">
        <f t="shared" si="98"/>
        <v>0</v>
      </c>
      <c r="BK106" s="85">
        <f t="shared" si="99"/>
        <v>0</v>
      </c>
      <c r="BL106" s="85">
        <f t="shared" si="100"/>
        <v>0</v>
      </c>
      <c r="BM106" s="85">
        <f t="shared" si="101"/>
        <v>0</v>
      </c>
      <c r="BN106" s="85">
        <f t="shared" si="102"/>
        <v>0</v>
      </c>
      <c r="BO106" s="85">
        <f t="shared" si="103"/>
        <v>0</v>
      </c>
      <c r="BP106" s="85">
        <f t="shared" si="104"/>
        <v>0</v>
      </c>
      <c r="BQ106" s="85">
        <f t="shared" si="105"/>
        <v>0</v>
      </c>
      <c r="BR106" s="85">
        <f t="shared" si="106"/>
        <v>0</v>
      </c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63"/>
      <c r="CL106" s="63"/>
      <c r="CM106" s="63"/>
      <c r="CN106" s="63"/>
      <c r="CO106" s="63"/>
      <c r="CP106" s="63"/>
      <c r="CQ106" s="63"/>
      <c r="CR106" s="63"/>
      <c r="CS106" s="63"/>
      <c r="CX106" s="35" t="s">
        <v>12</v>
      </c>
      <c r="CZ106" s="35"/>
      <c r="DC106" s="57" t="str">
        <f t="shared" si="107"/>
        <v/>
      </c>
      <c r="DD106" s="64" t="str">
        <f t="shared" si="108"/>
        <v/>
      </c>
      <c r="DE106" s="65" t="str">
        <f t="shared" si="109"/>
        <v/>
      </c>
      <c r="DF106" s="66" t="str">
        <f t="shared" si="110"/>
        <v/>
      </c>
    </row>
    <row r="107" spans="2:110" hidden="1" outlineLevel="1" collapsed="1">
      <c r="B107" s="54">
        <f t="shared" si="111"/>
        <v>43801</v>
      </c>
      <c r="C107" s="55" t="s">
        <v>1</v>
      </c>
      <c r="D107" s="56">
        <f t="shared" si="112"/>
        <v>43807</v>
      </c>
      <c r="E107" s="52">
        <f t="shared" si="113"/>
        <v>12</v>
      </c>
      <c r="F107" s="53">
        <f t="shared" si="114"/>
        <v>2019</v>
      </c>
      <c r="G107" s="62">
        <f t="shared" si="115"/>
        <v>15</v>
      </c>
      <c r="H107" s="63">
        <f t="shared" si="116"/>
        <v>96</v>
      </c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>
        <v>15</v>
      </c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80"/>
      <c r="AG107" s="87">
        <f t="shared" si="70"/>
        <v>0</v>
      </c>
      <c r="AH107" s="87">
        <f t="shared" si="71"/>
        <v>0</v>
      </c>
      <c r="AI107" s="87">
        <f t="shared" si="72"/>
        <v>0</v>
      </c>
      <c r="AJ107" s="87">
        <f t="shared" si="73"/>
        <v>0</v>
      </c>
      <c r="AK107" s="87">
        <f t="shared" si="74"/>
        <v>0</v>
      </c>
      <c r="AL107" s="87">
        <f t="shared" si="75"/>
        <v>0</v>
      </c>
      <c r="AM107" s="87">
        <f t="shared" si="76"/>
        <v>0</v>
      </c>
      <c r="AN107" s="87">
        <f t="shared" si="77"/>
        <v>0</v>
      </c>
      <c r="AO107" s="87">
        <f t="shared" si="78"/>
        <v>0</v>
      </c>
      <c r="AP107" s="87">
        <f t="shared" si="79"/>
        <v>0</v>
      </c>
      <c r="AQ107" s="87">
        <f t="shared" si="80"/>
        <v>15</v>
      </c>
      <c r="AR107" s="81"/>
      <c r="AS107" s="85">
        <f t="shared" si="81"/>
        <v>0</v>
      </c>
      <c r="AT107" s="85">
        <f t="shared" si="82"/>
        <v>0</v>
      </c>
      <c r="AU107" s="85">
        <f t="shared" si="83"/>
        <v>0</v>
      </c>
      <c r="AV107" s="85">
        <f t="shared" si="84"/>
        <v>0</v>
      </c>
      <c r="AW107" s="85">
        <f t="shared" si="85"/>
        <v>0</v>
      </c>
      <c r="AX107" s="85">
        <f t="shared" si="86"/>
        <v>0</v>
      </c>
      <c r="AY107" s="85">
        <f t="shared" si="87"/>
        <v>0</v>
      </c>
      <c r="AZ107" s="85">
        <f t="shared" si="88"/>
        <v>0</v>
      </c>
      <c r="BA107" s="85">
        <f t="shared" si="89"/>
        <v>0</v>
      </c>
      <c r="BB107" s="85">
        <f t="shared" si="90"/>
        <v>0</v>
      </c>
      <c r="BC107" s="85">
        <f t="shared" si="91"/>
        <v>0</v>
      </c>
      <c r="BD107" s="85">
        <f t="shared" si="92"/>
        <v>0</v>
      </c>
      <c r="BE107" s="85">
        <f t="shared" si="93"/>
        <v>0</v>
      </c>
      <c r="BF107" s="85">
        <f t="shared" si="94"/>
        <v>0</v>
      </c>
      <c r="BG107" s="85">
        <f t="shared" si="95"/>
        <v>0</v>
      </c>
      <c r="BH107" s="85">
        <f t="shared" si="96"/>
        <v>0</v>
      </c>
      <c r="BI107" s="85">
        <f t="shared" si="97"/>
        <v>0</v>
      </c>
      <c r="BJ107" s="85">
        <f t="shared" si="98"/>
        <v>0</v>
      </c>
      <c r="BK107" s="85">
        <f t="shared" si="99"/>
        <v>0</v>
      </c>
      <c r="BL107" s="85">
        <f t="shared" si="100"/>
        <v>0</v>
      </c>
      <c r="BM107" s="85">
        <f t="shared" si="101"/>
        <v>0</v>
      </c>
      <c r="BN107" s="85">
        <f t="shared" si="102"/>
        <v>0</v>
      </c>
      <c r="BO107" s="85">
        <f t="shared" si="103"/>
        <v>0</v>
      </c>
      <c r="BP107" s="85">
        <f t="shared" si="104"/>
        <v>0</v>
      </c>
      <c r="BQ107" s="85">
        <f t="shared" si="105"/>
        <v>0</v>
      </c>
      <c r="BR107" s="85">
        <f t="shared" si="106"/>
        <v>0</v>
      </c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63"/>
      <c r="CQ107" s="63"/>
      <c r="CR107" s="63"/>
      <c r="CS107" s="63"/>
      <c r="CW107">
        <v>5</v>
      </c>
      <c r="CX107" s="35">
        <v>43801</v>
      </c>
      <c r="CZ107" s="35">
        <f>B124</f>
        <v>43920</v>
      </c>
      <c r="DA107">
        <v>98</v>
      </c>
      <c r="DC107" s="57" t="str">
        <f t="shared" si="107"/>
        <v/>
      </c>
      <c r="DD107" s="64" t="str">
        <f t="shared" si="108"/>
        <v/>
      </c>
      <c r="DE107" s="65" t="str">
        <f t="shared" si="109"/>
        <v/>
      </c>
      <c r="DF107" s="66" t="str">
        <f t="shared" si="110"/>
        <v/>
      </c>
    </row>
    <row r="108" spans="2:110" hidden="1" outlineLevel="1">
      <c r="B108" s="54">
        <f t="shared" si="111"/>
        <v>43808</v>
      </c>
      <c r="C108" s="55" t="s">
        <v>1</v>
      </c>
      <c r="D108" s="56">
        <f t="shared" si="112"/>
        <v>43814</v>
      </c>
      <c r="E108" s="52">
        <f t="shared" si="113"/>
        <v>12</v>
      </c>
      <c r="F108" s="53">
        <f t="shared" si="114"/>
        <v>2019</v>
      </c>
      <c r="G108" s="62">
        <f t="shared" si="115"/>
        <v>15</v>
      </c>
      <c r="H108" s="63">
        <f t="shared" si="116"/>
        <v>96</v>
      </c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>
        <v>15</v>
      </c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80"/>
      <c r="AG108" s="87">
        <f t="shared" si="70"/>
        <v>0</v>
      </c>
      <c r="AH108" s="87">
        <f t="shared" si="71"/>
        <v>0</v>
      </c>
      <c r="AI108" s="87">
        <f t="shared" si="72"/>
        <v>0</v>
      </c>
      <c r="AJ108" s="87">
        <f t="shared" si="73"/>
        <v>0</v>
      </c>
      <c r="AK108" s="87">
        <f t="shared" si="74"/>
        <v>0</v>
      </c>
      <c r="AL108" s="87">
        <f t="shared" si="75"/>
        <v>0</v>
      </c>
      <c r="AM108" s="87">
        <f t="shared" si="76"/>
        <v>0</v>
      </c>
      <c r="AN108" s="87">
        <f t="shared" si="77"/>
        <v>0</v>
      </c>
      <c r="AO108" s="87">
        <f t="shared" si="78"/>
        <v>0</v>
      </c>
      <c r="AP108" s="87">
        <f t="shared" si="79"/>
        <v>0</v>
      </c>
      <c r="AQ108" s="87">
        <f t="shared" si="80"/>
        <v>15</v>
      </c>
      <c r="AR108" s="81"/>
      <c r="AS108" s="85">
        <f t="shared" si="81"/>
        <v>0</v>
      </c>
      <c r="AT108" s="85">
        <f t="shared" si="82"/>
        <v>0</v>
      </c>
      <c r="AU108" s="85">
        <f t="shared" si="83"/>
        <v>0</v>
      </c>
      <c r="AV108" s="85">
        <f t="shared" si="84"/>
        <v>0</v>
      </c>
      <c r="AW108" s="85">
        <f t="shared" si="85"/>
        <v>0</v>
      </c>
      <c r="AX108" s="85">
        <f t="shared" si="86"/>
        <v>0</v>
      </c>
      <c r="AY108" s="85">
        <f t="shared" si="87"/>
        <v>0</v>
      </c>
      <c r="AZ108" s="85">
        <f t="shared" si="88"/>
        <v>0</v>
      </c>
      <c r="BA108" s="85">
        <f t="shared" si="89"/>
        <v>0</v>
      </c>
      <c r="BB108" s="85">
        <f t="shared" si="90"/>
        <v>0</v>
      </c>
      <c r="BC108" s="85">
        <f t="shared" si="91"/>
        <v>0</v>
      </c>
      <c r="BD108" s="85">
        <f t="shared" si="92"/>
        <v>0</v>
      </c>
      <c r="BE108" s="85">
        <f t="shared" si="93"/>
        <v>0</v>
      </c>
      <c r="BF108" s="85">
        <f t="shared" si="94"/>
        <v>0</v>
      </c>
      <c r="BG108" s="85">
        <f t="shared" si="95"/>
        <v>0</v>
      </c>
      <c r="BH108" s="85">
        <f t="shared" si="96"/>
        <v>0</v>
      </c>
      <c r="BI108" s="85">
        <f t="shared" si="97"/>
        <v>0</v>
      </c>
      <c r="BJ108" s="85">
        <f t="shared" si="98"/>
        <v>0</v>
      </c>
      <c r="BK108" s="85">
        <f t="shared" si="99"/>
        <v>0</v>
      </c>
      <c r="BL108" s="85">
        <f t="shared" si="100"/>
        <v>0</v>
      </c>
      <c r="BM108" s="85">
        <f t="shared" si="101"/>
        <v>0</v>
      </c>
      <c r="BN108" s="85">
        <f t="shared" si="102"/>
        <v>0</v>
      </c>
      <c r="BO108" s="85">
        <f t="shared" si="103"/>
        <v>0</v>
      </c>
      <c r="BP108" s="85">
        <f t="shared" si="104"/>
        <v>0</v>
      </c>
      <c r="BQ108" s="85">
        <f t="shared" si="105"/>
        <v>0</v>
      </c>
      <c r="BR108" s="85">
        <f t="shared" si="106"/>
        <v>0</v>
      </c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3"/>
      <c r="CM108" s="63"/>
      <c r="CN108" s="63"/>
      <c r="CO108" s="63"/>
      <c r="CP108" s="63"/>
      <c r="CQ108" s="63"/>
      <c r="CR108" s="63"/>
      <c r="CS108" s="63"/>
      <c r="CX108" s="35" t="s">
        <v>12</v>
      </c>
      <c r="CZ108" s="35"/>
      <c r="DC108" s="57" t="str">
        <f t="shared" si="107"/>
        <v/>
      </c>
      <c r="DD108" s="64" t="str">
        <f t="shared" si="108"/>
        <v/>
      </c>
      <c r="DE108" s="65" t="str">
        <f t="shared" si="109"/>
        <v/>
      </c>
      <c r="DF108" s="66" t="str">
        <f t="shared" si="110"/>
        <v/>
      </c>
    </row>
    <row r="109" spans="2:110" hidden="1" outlineLevel="1">
      <c r="B109" s="54">
        <f t="shared" si="111"/>
        <v>43815</v>
      </c>
      <c r="C109" s="55" t="s">
        <v>1</v>
      </c>
      <c r="D109" s="56">
        <f t="shared" si="112"/>
        <v>43821</v>
      </c>
      <c r="E109" s="52">
        <f t="shared" si="113"/>
        <v>12</v>
      </c>
      <c r="F109" s="53">
        <f t="shared" si="114"/>
        <v>2019</v>
      </c>
      <c r="G109" s="62">
        <f t="shared" si="115"/>
        <v>15</v>
      </c>
      <c r="H109" s="63">
        <f t="shared" si="116"/>
        <v>96</v>
      </c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>
        <v>15</v>
      </c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80"/>
      <c r="AG109" s="87">
        <f t="shared" si="70"/>
        <v>0</v>
      </c>
      <c r="AH109" s="87">
        <f t="shared" si="71"/>
        <v>0</v>
      </c>
      <c r="AI109" s="87">
        <f t="shared" si="72"/>
        <v>0</v>
      </c>
      <c r="AJ109" s="87">
        <f t="shared" si="73"/>
        <v>0</v>
      </c>
      <c r="AK109" s="87">
        <f t="shared" si="74"/>
        <v>0</v>
      </c>
      <c r="AL109" s="87">
        <f t="shared" si="75"/>
        <v>0</v>
      </c>
      <c r="AM109" s="87">
        <f t="shared" si="76"/>
        <v>0</v>
      </c>
      <c r="AN109" s="87">
        <f t="shared" si="77"/>
        <v>0</v>
      </c>
      <c r="AO109" s="87">
        <f t="shared" si="78"/>
        <v>0</v>
      </c>
      <c r="AP109" s="87">
        <f t="shared" si="79"/>
        <v>0</v>
      </c>
      <c r="AQ109" s="87">
        <f t="shared" si="80"/>
        <v>15</v>
      </c>
      <c r="AR109" s="81"/>
      <c r="AS109" s="85">
        <f t="shared" si="81"/>
        <v>0</v>
      </c>
      <c r="AT109" s="85">
        <f t="shared" si="82"/>
        <v>0</v>
      </c>
      <c r="AU109" s="85">
        <f t="shared" si="83"/>
        <v>0</v>
      </c>
      <c r="AV109" s="85">
        <f t="shared" si="84"/>
        <v>0</v>
      </c>
      <c r="AW109" s="85">
        <f t="shared" si="85"/>
        <v>0</v>
      </c>
      <c r="AX109" s="85">
        <f t="shared" si="86"/>
        <v>0</v>
      </c>
      <c r="AY109" s="85">
        <f t="shared" si="87"/>
        <v>0</v>
      </c>
      <c r="AZ109" s="85">
        <f t="shared" si="88"/>
        <v>0</v>
      </c>
      <c r="BA109" s="85">
        <f t="shared" si="89"/>
        <v>0</v>
      </c>
      <c r="BB109" s="85">
        <f t="shared" si="90"/>
        <v>0</v>
      </c>
      <c r="BC109" s="85">
        <f t="shared" si="91"/>
        <v>0</v>
      </c>
      <c r="BD109" s="85">
        <f t="shared" si="92"/>
        <v>0</v>
      </c>
      <c r="BE109" s="85">
        <f t="shared" si="93"/>
        <v>0</v>
      </c>
      <c r="BF109" s="85">
        <f t="shared" si="94"/>
        <v>0</v>
      </c>
      <c r="BG109" s="85">
        <f t="shared" si="95"/>
        <v>0</v>
      </c>
      <c r="BH109" s="85">
        <f t="shared" si="96"/>
        <v>0</v>
      </c>
      <c r="BI109" s="85">
        <f t="shared" si="97"/>
        <v>0</v>
      </c>
      <c r="BJ109" s="85">
        <f t="shared" si="98"/>
        <v>0</v>
      </c>
      <c r="BK109" s="85">
        <f t="shared" si="99"/>
        <v>0</v>
      </c>
      <c r="BL109" s="85">
        <f t="shared" si="100"/>
        <v>0</v>
      </c>
      <c r="BM109" s="85">
        <f t="shared" si="101"/>
        <v>0</v>
      </c>
      <c r="BN109" s="85">
        <f t="shared" si="102"/>
        <v>0</v>
      </c>
      <c r="BO109" s="85">
        <f t="shared" si="103"/>
        <v>0</v>
      </c>
      <c r="BP109" s="85">
        <f t="shared" si="104"/>
        <v>0</v>
      </c>
      <c r="BQ109" s="85">
        <f t="shared" si="105"/>
        <v>0</v>
      </c>
      <c r="BR109" s="85">
        <f t="shared" si="106"/>
        <v>0</v>
      </c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3"/>
      <c r="CO109" s="63"/>
      <c r="CP109" s="63"/>
      <c r="CQ109" s="63"/>
      <c r="CR109" s="63"/>
      <c r="CS109" s="63"/>
      <c r="CX109" s="35" t="s">
        <v>12</v>
      </c>
      <c r="CZ109" s="35"/>
      <c r="DC109" s="57" t="str">
        <f t="shared" si="107"/>
        <v/>
      </c>
      <c r="DD109" s="64" t="str">
        <f t="shared" si="108"/>
        <v/>
      </c>
      <c r="DE109" s="65" t="str">
        <f t="shared" si="109"/>
        <v/>
      </c>
      <c r="DF109" s="66" t="str">
        <f t="shared" si="110"/>
        <v/>
      </c>
    </row>
    <row r="110" spans="2:110" hidden="1" outlineLevel="1">
      <c r="B110" s="54">
        <f t="shared" si="111"/>
        <v>43822</v>
      </c>
      <c r="C110" s="55" t="s">
        <v>1</v>
      </c>
      <c r="D110" s="56">
        <f t="shared" si="112"/>
        <v>43828</v>
      </c>
      <c r="E110" s="52">
        <f t="shared" si="113"/>
        <v>12</v>
      </c>
      <c r="F110" s="53">
        <f t="shared" si="114"/>
        <v>2019</v>
      </c>
      <c r="G110" s="62">
        <f t="shared" si="115"/>
        <v>15</v>
      </c>
      <c r="H110" s="63">
        <f t="shared" si="116"/>
        <v>96</v>
      </c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>
        <v>15</v>
      </c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80"/>
      <c r="AG110" s="87">
        <f t="shared" si="70"/>
        <v>0</v>
      </c>
      <c r="AH110" s="87">
        <f t="shared" si="71"/>
        <v>0</v>
      </c>
      <c r="AI110" s="87">
        <f t="shared" si="72"/>
        <v>0</v>
      </c>
      <c r="AJ110" s="87">
        <f t="shared" si="73"/>
        <v>0</v>
      </c>
      <c r="AK110" s="87">
        <f t="shared" si="74"/>
        <v>0</v>
      </c>
      <c r="AL110" s="87">
        <f t="shared" si="75"/>
        <v>0</v>
      </c>
      <c r="AM110" s="87">
        <f t="shared" si="76"/>
        <v>0</v>
      </c>
      <c r="AN110" s="87">
        <f t="shared" si="77"/>
        <v>0</v>
      </c>
      <c r="AO110" s="87">
        <f t="shared" si="78"/>
        <v>0</v>
      </c>
      <c r="AP110" s="87">
        <f t="shared" si="79"/>
        <v>0</v>
      </c>
      <c r="AQ110" s="87">
        <f t="shared" si="80"/>
        <v>15</v>
      </c>
      <c r="AR110" s="81"/>
      <c r="AS110" s="85">
        <f t="shared" si="81"/>
        <v>0</v>
      </c>
      <c r="AT110" s="85">
        <f t="shared" si="82"/>
        <v>0</v>
      </c>
      <c r="AU110" s="85">
        <f t="shared" si="83"/>
        <v>0</v>
      </c>
      <c r="AV110" s="85">
        <f t="shared" si="84"/>
        <v>0</v>
      </c>
      <c r="AW110" s="85">
        <f t="shared" si="85"/>
        <v>0</v>
      </c>
      <c r="AX110" s="85">
        <f t="shared" si="86"/>
        <v>0</v>
      </c>
      <c r="AY110" s="85">
        <f t="shared" si="87"/>
        <v>0</v>
      </c>
      <c r="AZ110" s="85">
        <f t="shared" si="88"/>
        <v>0</v>
      </c>
      <c r="BA110" s="85">
        <f t="shared" si="89"/>
        <v>0</v>
      </c>
      <c r="BB110" s="85">
        <f t="shared" si="90"/>
        <v>0</v>
      </c>
      <c r="BC110" s="85">
        <f t="shared" si="91"/>
        <v>0</v>
      </c>
      <c r="BD110" s="85">
        <f t="shared" si="92"/>
        <v>0</v>
      </c>
      <c r="BE110" s="85">
        <f t="shared" si="93"/>
        <v>0</v>
      </c>
      <c r="BF110" s="85">
        <f t="shared" si="94"/>
        <v>0</v>
      </c>
      <c r="BG110" s="85">
        <f t="shared" si="95"/>
        <v>0</v>
      </c>
      <c r="BH110" s="85">
        <f t="shared" si="96"/>
        <v>0</v>
      </c>
      <c r="BI110" s="85">
        <f t="shared" si="97"/>
        <v>0</v>
      </c>
      <c r="BJ110" s="85">
        <f t="shared" si="98"/>
        <v>0</v>
      </c>
      <c r="BK110" s="85">
        <f t="shared" si="99"/>
        <v>0</v>
      </c>
      <c r="BL110" s="85">
        <f t="shared" si="100"/>
        <v>0</v>
      </c>
      <c r="BM110" s="85">
        <f t="shared" si="101"/>
        <v>0</v>
      </c>
      <c r="BN110" s="85">
        <f t="shared" si="102"/>
        <v>0</v>
      </c>
      <c r="BO110" s="85">
        <f t="shared" si="103"/>
        <v>0</v>
      </c>
      <c r="BP110" s="85">
        <f t="shared" si="104"/>
        <v>0</v>
      </c>
      <c r="BQ110" s="85">
        <f t="shared" si="105"/>
        <v>0</v>
      </c>
      <c r="BR110" s="85">
        <f t="shared" si="106"/>
        <v>0</v>
      </c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X110" s="35" t="s">
        <v>12</v>
      </c>
      <c r="CZ110" s="35"/>
      <c r="DC110" s="57" t="str">
        <f t="shared" si="107"/>
        <v/>
      </c>
      <c r="DD110" s="64" t="str">
        <f t="shared" si="108"/>
        <v/>
      </c>
      <c r="DE110" s="65" t="str">
        <f t="shared" si="109"/>
        <v/>
      </c>
      <c r="DF110" s="66" t="str">
        <f t="shared" si="110"/>
        <v/>
      </c>
    </row>
    <row r="111" spans="2:110" collapsed="1">
      <c r="B111" s="54">
        <f t="shared" si="111"/>
        <v>43829</v>
      </c>
      <c r="C111" s="55" t="s">
        <v>1</v>
      </c>
      <c r="D111" s="56">
        <f t="shared" si="112"/>
        <v>43835</v>
      </c>
      <c r="E111" s="52">
        <f t="shared" si="113"/>
        <v>12</v>
      </c>
      <c r="F111" s="53">
        <f t="shared" si="114"/>
        <v>2020</v>
      </c>
      <c r="G111" s="62">
        <f t="shared" si="115"/>
        <v>15</v>
      </c>
      <c r="H111" s="63">
        <f t="shared" si="116"/>
        <v>96</v>
      </c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>
        <v>15</v>
      </c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80"/>
      <c r="AG111" s="87">
        <f t="shared" si="70"/>
        <v>0</v>
      </c>
      <c r="AH111" s="87">
        <f t="shared" si="71"/>
        <v>0</v>
      </c>
      <c r="AI111" s="87">
        <f t="shared" si="72"/>
        <v>0</v>
      </c>
      <c r="AJ111" s="87">
        <f t="shared" si="73"/>
        <v>0</v>
      </c>
      <c r="AK111" s="87">
        <f t="shared" si="74"/>
        <v>0</v>
      </c>
      <c r="AL111" s="87">
        <f t="shared" si="75"/>
        <v>0</v>
      </c>
      <c r="AM111" s="87">
        <f t="shared" si="76"/>
        <v>0</v>
      </c>
      <c r="AN111" s="87">
        <f t="shared" si="77"/>
        <v>0</v>
      </c>
      <c r="AO111" s="87">
        <f t="shared" si="78"/>
        <v>0</v>
      </c>
      <c r="AP111" s="87">
        <f t="shared" si="79"/>
        <v>0</v>
      </c>
      <c r="AQ111" s="87">
        <f t="shared" si="80"/>
        <v>15</v>
      </c>
      <c r="AR111" s="81"/>
      <c r="AS111" s="85">
        <f t="shared" si="81"/>
        <v>0</v>
      </c>
      <c r="AT111" s="85">
        <f t="shared" si="82"/>
        <v>0</v>
      </c>
      <c r="AU111" s="85">
        <f t="shared" si="83"/>
        <v>0</v>
      </c>
      <c r="AV111" s="85">
        <f t="shared" si="84"/>
        <v>0</v>
      </c>
      <c r="AW111" s="85">
        <f t="shared" si="85"/>
        <v>0</v>
      </c>
      <c r="AX111" s="85">
        <f t="shared" si="86"/>
        <v>0</v>
      </c>
      <c r="AY111" s="85">
        <f t="shared" si="87"/>
        <v>0</v>
      </c>
      <c r="AZ111" s="85">
        <f t="shared" si="88"/>
        <v>0</v>
      </c>
      <c r="BA111" s="85">
        <f t="shared" si="89"/>
        <v>0</v>
      </c>
      <c r="BB111" s="85">
        <f t="shared" si="90"/>
        <v>0</v>
      </c>
      <c r="BC111" s="85">
        <f t="shared" si="91"/>
        <v>0</v>
      </c>
      <c r="BD111" s="85">
        <f t="shared" si="92"/>
        <v>0</v>
      </c>
      <c r="BE111" s="85">
        <f t="shared" si="93"/>
        <v>0</v>
      </c>
      <c r="BF111" s="85">
        <f t="shared" si="94"/>
        <v>0</v>
      </c>
      <c r="BG111" s="85">
        <f t="shared" si="95"/>
        <v>0</v>
      </c>
      <c r="BH111" s="85">
        <f t="shared" si="96"/>
        <v>0</v>
      </c>
      <c r="BI111" s="85">
        <f t="shared" si="97"/>
        <v>0</v>
      </c>
      <c r="BJ111" s="85">
        <f t="shared" si="98"/>
        <v>0</v>
      </c>
      <c r="BK111" s="85">
        <f t="shared" si="99"/>
        <v>0</v>
      </c>
      <c r="BL111" s="85">
        <f t="shared" si="100"/>
        <v>0</v>
      </c>
      <c r="BM111" s="85">
        <f t="shared" si="101"/>
        <v>0</v>
      </c>
      <c r="BN111" s="85">
        <f t="shared" si="102"/>
        <v>0</v>
      </c>
      <c r="BO111" s="85">
        <f t="shared" si="103"/>
        <v>0</v>
      </c>
      <c r="BP111" s="85">
        <f t="shared" si="104"/>
        <v>0</v>
      </c>
      <c r="BQ111" s="85">
        <f t="shared" si="105"/>
        <v>0</v>
      </c>
      <c r="BR111" s="85">
        <f t="shared" si="106"/>
        <v>0</v>
      </c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63"/>
      <c r="CL111" s="63"/>
      <c r="CM111" s="63"/>
      <c r="CN111" s="63"/>
      <c r="CO111" s="63"/>
      <c r="CP111" s="63"/>
      <c r="CQ111" s="63"/>
      <c r="CR111" s="63"/>
      <c r="CS111" s="63"/>
      <c r="CX111" s="35" t="s">
        <v>12</v>
      </c>
      <c r="CZ111" s="35"/>
      <c r="DC111" s="57" t="str">
        <f t="shared" si="107"/>
        <v/>
      </c>
      <c r="DD111" s="64" t="str">
        <f t="shared" si="108"/>
        <v/>
      </c>
      <c r="DE111" s="65" t="str">
        <f t="shared" si="109"/>
        <v/>
      </c>
      <c r="DF111" s="66" t="str">
        <f t="shared" si="110"/>
        <v/>
      </c>
    </row>
    <row r="112" spans="2:110" hidden="1" outlineLevel="1">
      <c r="B112" s="54">
        <f t="shared" si="111"/>
        <v>43836</v>
      </c>
      <c r="C112" s="55" t="s">
        <v>1</v>
      </c>
      <c r="D112" s="56">
        <f t="shared" si="112"/>
        <v>43842</v>
      </c>
      <c r="E112" s="52">
        <f t="shared" si="113"/>
        <v>1</v>
      </c>
      <c r="F112" s="53">
        <f t="shared" si="114"/>
        <v>2020</v>
      </c>
      <c r="G112" s="62">
        <f t="shared" si="115"/>
        <v>15</v>
      </c>
      <c r="H112" s="63">
        <f t="shared" si="116"/>
        <v>96</v>
      </c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>
        <v>15</v>
      </c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80"/>
      <c r="AG112" s="87">
        <f t="shared" si="70"/>
        <v>0</v>
      </c>
      <c r="AH112" s="87">
        <f t="shared" si="71"/>
        <v>0</v>
      </c>
      <c r="AI112" s="87">
        <f t="shared" si="72"/>
        <v>0</v>
      </c>
      <c r="AJ112" s="87">
        <f t="shared" si="73"/>
        <v>0</v>
      </c>
      <c r="AK112" s="87">
        <f t="shared" si="74"/>
        <v>0</v>
      </c>
      <c r="AL112" s="87">
        <f t="shared" si="75"/>
        <v>0</v>
      </c>
      <c r="AM112" s="87">
        <f t="shared" si="76"/>
        <v>0</v>
      </c>
      <c r="AN112" s="87">
        <f t="shared" si="77"/>
        <v>0</v>
      </c>
      <c r="AO112" s="87">
        <f t="shared" si="78"/>
        <v>0</v>
      </c>
      <c r="AP112" s="87">
        <f t="shared" si="79"/>
        <v>0</v>
      </c>
      <c r="AQ112" s="87">
        <f t="shared" si="80"/>
        <v>15</v>
      </c>
      <c r="AR112" s="81"/>
      <c r="AS112" s="85">
        <f t="shared" si="81"/>
        <v>0</v>
      </c>
      <c r="AT112" s="85">
        <f t="shared" si="82"/>
        <v>0</v>
      </c>
      <c r="AU112" s="85">
        <f t="shared" si="83"/>
        <v>0</v>
      </c>
      <c r="AV112" s="85">
        <f t="shared" si="84"/>
        <v>0</v>
      </c>
      <c r="AW112" s="85">
        <f t="shared" si="85"/>
        <v>0</v>
      </c>
      <c r="AX112" s="85">
        <f t="shared" si="86"/>
        <v>0</v>
      </c>
      <c r="AY112" s="85">
        <f t="shared" si="87"/>
        <v>0</v>
      </c>
      <c r="AZ112" s="85">
        <f t="shared" si="88"/>
        <v>0</v>
      </c>
      <c r="BA112" s="85">
        <f t="shared" si="89"/>
        <v>0</v>
      </c>
      <c r="BB112" s="85">
        <f t="shared" si="90"/>
        <v>0</v>
      </c>
      <c r="BC112" s="85">
        <f t="shared" si="91"/>
        <v>0</v>
      </c>
      <c r="BD112" s="85">
        <f t="shared" si="92"/>
        <v>0</v>
      </c>
      <c r="BE112" s="85">
        <f t="shared" si="93"/>
        <v>0</v>
      </c>
      <c r="BF112" s="85">
        <f t="shared" si="94"/>
        <v>0</v>
      </c>
      <c r="BG112" s="85">
        <f t="shared" si="95"/>
        <v>0</v>
      </c>
      <c r="BH112" s="85">
        <f t="shared" si="96"/>
        <v>0</v>
      </c>
      <c r="BI112" s="85">
        <f t="shared" si="97"/>
        <v>0</v>
      </c>
      <c r="BJ112" s="85">
        <f t="shared" si="98"/>
        <v>0</v>
      </c>
      <c r="BK112" s="85">
        <f t="shared" si="99"/>
        <v>0</v>
      </c>
      <c r="BL112" s="85">
        <f t="shared" si="100"/>
        <v>0</v>
      </c>
      <c r="BM112" s="85">
        <f t="shared" si="101"/>
        <v>0</v>
      </c>
      <c r="BN112" s="85">
        <f t="shared" si="102"/>
        <v>0</v>
      </c>
      <c r="BO112" s="85">
        <f t="shared" si="103"/>
        <v>0</v>
      </c>
      <c r="BP112" s="85">
        <f t="shared" si="104"/>
        <v>0</v>
      </c>
      <c r="BQ112" s="85">
        <f t="shared" si="105"/>
        <v>0</v>
      </c>
      <c r="BR112" s="85">
        <f t="shared" si="106"/>
        <v>0</v>
      </c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63"/>
      <c r="CO112" s="63"/>
      <c r="CP112" s="63"/>
      <c r="CQ112" s="63"/>
      <c r="CR112" s="63"/>
      <c r="CS112" s="63"/>
      <c r="CW112">
        <v>15</v>
      </c>
      <c r="CX112" s="35">
        <v>43836</v>
      </c>
      <c r="CZ112" s="35">
        <f>B129</f>
        <v>43955</v>
      </c>
      <c r="DA112">
        <v>98</v>
      </c>
      <c r="DC112" s="57" t="str">
        <f t="shared" si="107"/>
        <v/>
      </c>
      <c r="DD112" s="64" t="str">
        <f t="shared" si="108"/>
        <v/>
      </c>
      <c r="DE112" s="65" t="str">
        <f t="shared" si="109"/>
        <v/>
      </c>
      <c r="DF112" s="66" t="str">
        <f t="shared" si="110"/>
        <v/>
      </c>
    </row>
    <row r="113" spans="2:110" hidden="1" outlineLevel="1">
      <c r="B113" s="54">
        <f t="shared" si="111"/>
        <v>43843</v>
      </c>
      <c r="C113" s="55" t="s">
        <v>1</v>
      </c>
      <c r="D113" s="56">
        <f t="shared" si="112"/>
        <v>43849</v>
      </c>
      <c r="E113" s="52">
        <f t="shared" si="113"/>
        <v>1</v>
      </c>
      <c r="F113" s="53">
        <f t="shared" si="114"/>
        <v>2020</v>
      </c>
      <c r="G113" s="62">
        <f t="shared" si="115"/>
        <v>15</v>
      </c>
      <c r="H113" s="63">
        <f t="shared" si="116"/>
        <v>96</v>
      </c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>
        <v>15</v>
      </c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80"/>
      <c r="AG113" s="87">
        <f t="shared" si="70"/>
        <v>0</v>
      </c>
      <c r="AH113" s="87">
        <f t="shared" si="71"/>
        <v>0</v>
      </c>
      <c r="AI113" s="87">
        <f t="shared" si="72"/>
        <v>0</v>
      </c>
      <c r="AJ113" s="87">
        <f t="shared" si="73"/>
        <v>0</v>
      </c>
      <c r="AK113" s="87">
        <f t="shared" si="74"/>
        <v>0</v>
      </c>
      <c r="AL113" s="87">
        <f t="shared" si="75"/>
        <v>0</v>
      </c>
      <c r="AM113" s="87">
        <f t="shared" si="76"/>
        <v>0</v>
      </c>
      <c r="AN113" s="87">
        <f t="shared" si="77"/>
        <v>0</v>
      </c>
      <c r="AO113" s="87">
        <f t="shared" si="78"/>
        <v>0</v>
      </c>
      <c r="AP113" s="87">
        <f t="shared" si="79"/>
        <v>0</v>
      </c>
      <c r="AQ113" s="87">
        <f t="shared" si="80"/>
        <v>15</v>
      </c>
      <c r="AR113" s="81"/>
      <c r="AS113" s="85">
        <f t="shared" si="81"/>
        <v>0</v>
      </c>
      <c r="AT113" s="85">
        <f t="shared" si="82"/>
        <v>0</v>
      </c>
      <c r="AU113" s="85">
        <f t="shared" si="83"/>
        <v>0</v>
      </c>
      <c r="AV113" s="85">
        <f t="shared" si="84"/>
        <v>0</v>
      </c>
      <c r="AW113" s="85">
        <f t="shared" si="85"/>
        <v>0</v>
      </c>
      <c r="AX113" s="85">
        <f t="shared" si="86"/>
        <v>0</v>
      </c>
      <c r="AY113" s="85">
        <f t="shared" si="87"/>
        <v>0</v>
      </c>
      <c r="AZ113" s="85">
        <f t="shared" si="88"/>
        <v>0</v>
      </c>
      <c r="BA113" s="85">
        <f t="shared" si="89"/>
        <v>0</v>
      </c>
      <c r="BB113" s="85">
        <f t="shared" si="90"/>
        <v>0</v>
      </c>
      <c r="BC113" s="85">
        <f t="shared" si="91"/>
        <v>0</v>
      </c>
      <c r="BD113" s="85">
        <f t="shared" si="92"/>
        <v>0</v>
      </c>
      <c r="BE113" s="85">
        <f t="shared" si="93"/>
        <v>0</v>
      </c>
      <c r="BF113" s="85">
        <f t="shared" si="94"/>
        <v>0</v>
      </c>
      <c r="BG113" s="85">
        <f t="shared" si="95"/>
        <v>0</v>
      </c>
      <c r="BH113" s="85">
        <f t="shared" si="96"/>
        <v>0</v>
      </c>
      <c r="BI113" s="85">
        <f t="shared" si="97"/>
        <v>0</v>
      </c>
      <c r="BJ113" s="85">
        <f t="shared" si="98"/>
        <v>0</v>
      </c>
      <c r="BK113" s="85">
        <f t="shared" si="99"/>
        <v>0</v>
      </c>
      <c r="BL113" s="85">
        <f t="shared" si="100"/>
        <v>0</v>
      </c>
      <c r="BM113" s="85">
        <f t="shared" si="101"/>
        <v>0</v>
      </c>
      <c r="BN113" s="85">
        <f t="shared" si="102"/>
        <v>0</v>
      </c>
      <c r="BO113" s="85">
        <f t="shared" si="103"/>
        <v>0</v>
      </c>
      <c r="BP113" s="85">
        <f t="shared" si="104"/>
        <v>0</v>
      </c>
      <c r="BQ113" s="85">
        <f t="shared" si="105"/>
        <v>0</v>
      </c>
      <c r="BR113" s="85">
        <f t="shared" si="106"/>
        <v>0</v>
      </c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3"/>
      <c r="CH113" s="63"/>
      <c r="CI113" s="63"/>
      <c r="CJ113" s="63"/>
      <c r="CK113" s="63"/>
      <c r="CL113" s="63"/>
      <c r="CM113" s="63"/>
      <c r="CN113" s="63"/>
      <c r="CO113" s="63"/>
      <c r="CP113" s="63"/>
      <c r="CQ113" s="63"/>
      <c r="CR113" s="63"/>
      <c r="CS113" s="63"/>
      <c r="CX113" s="35" t="s">
        <v>12</v>
      </c>
      <c r="CZ113" s="35"/>
      <c r="DC113" s="57" t="str">
        <f t="shared" si="107"/>
        <v/>
      </c>
      <c r="DD113" s="64" t="str">
        <f t="shared" si="108"/>
        <v/>
      </c>
      <c r="DE113" s="65" t="str">
        <f t="shared" si="109"/>
        <v/>
      </c>
      <c r="DF113" s="66" t="str">
        <f t="shared" si="110"/>
        <v/>
      </c>
    </row>
    <row r="114" spans="2:110" hidden="1" outlineLevel="1">
      <c r="B114" s="54">
        <f t="shared" si="111"/>
        <v>43850</v>
      </c>
      <c r="C114" s="55" t="s">
        <v>1</v>
      </c>
      <c r="D114" s="56">
        <f t="shared" si="112"/>
        <v>43856</v>
      </c>
      <c r="E114" s="52">
        <f t="shared" si="113"/>
        <v>1</v>
      </c>
      <c r="F114" s="53">
        <f t="shared" si="114"/>
        <v>2020</v>
      </c>
      <c r="G114" s="62">
        <f t="shared" si="115"/>
        <v>15</v>
      </c>
      <c r="H114" s="63">
        <f t="shared" si="116"/>
        <v>96</v>
      </c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>
        <v>15</v>
      </c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80"/>
      <c r="AG114" s="87">
        <f t="shared" si="70"/>
        <v>0</v>
      </c>
      <c r="AH114" s="87">
        <f t="shared" si="71"/>
        <v>0</v>
      </c>
      <c r="AI114" s="87">
        <f t="shared" si="72"/>
        <v>0</v>
      </c>
      <c r="AJ114" s="87">
        <f t="shared" si="73"/>
        <v>0</v>
      </c>
      <c r="AK114" s="87">
        <f t="shared" si="74"/>
        <v>0</v>
      </c>
      <c r="AL114" s="87">
        <f t="shared" si="75"/>
        <v>0</v>
      </c>
      <c r="AM114" s="87">
        <f t="shared" si="76"/>
        <v>0</v>
      </c>
      <c r="AN114" s="87">
        <f t="shared" si="77"/>
        <v>0</v>
      </c>
      <c r="AO114" s="87">
        <f t="shared" si="78"/>
        <v>0</v>
      </c>
      <c r="AP114" s="87">
        <f t="shared" si="79"/>
        <v>0</v>
      </c>
      <c r="AQ114" s="87">
        <f t="shared" si="80"/>
        <v>15</v>
      </c>
      <c r="AR114" s="81"/>
      <c r="AS114" s="85">
        <f t="shared" si="81"/>
        <v>0</v>
      </c>
      <c r="AT114" s="85">
        <f t="shared" si="82"/>
        <v>0</v>
      </c>
      <c r="AU114" s="85">
        <f t="shared" si="83"/>
        <v>0</v>
      </c>
      <c r="AV114" s="85">
        <f t="shared" si="84"/>
        <v>0</v>
      </c>
      <c r="AW114" s="85">
        <f t="shared" si="85"/>
        <v>0</v>
      </c>
      <c r="AX114" s="85">
        <f t="shared" si="86"/>
        <v>0</v>
      </c>
      <c r="AY114" s="85">
        <f t="shared" si="87"/>
        <v>0</v>
      </c>
      <c r="AZ114" s="85">
        <f t="shared" si="88"/>
        <v>0</v>
      </c>
      <c r="BA114" s="85">
        <f t="shared" si="89"/>
        <v>0</v>
      </c>
      <c r="BB114" s="85">
        <f t="shared" si="90"/>
        <v>0</v>
      </c>
      <c r="BC114" s="85">
        <f t="shared" si="91"/>
        <v>0</v>
      </c>
      <c r="BD114" s="85">
        <f t="shared" si="92"/>
        <v>0</v>
      </c>
      <c r="BE114" s="85">
        <f t="shared" si="93"/>
        <v>0</v>
      </c>
      <c r="BF114" s="85">
        <f t="shared" si="94"/>
        <v>0</v>
      </c>
      <c r="BG114" s="85">
        <f t="shared" si="95"/>
        <v>0</v>
      </c>
      <c r="BH114" s="85">
        <f t="shared" si="96"/>
        <v>0</v>
      </c>
      <c r="BI114" s="85">
        <f t="shared" si="97"/>
        <v>0</v>
      </c>
      <c r="BJ114" s="85">
        <f t="shared" si="98"/>
        <v>0</v>
      </c>
      <c r="BK114" s="85">
        <f t="shared" si="99"/>
        <v>0</v>
      </c>
      <c r="BL114" s="85">
        <f t="shared" si="100"/>
        <v>0</v>
      </c>
      <c r="BM114" s="85">
        <f t="shared" si="101"/>
        <v>0</v>
      </c>
      <c r="BN114" s="85">
        <f t="shared" si="102"/>
        <v>0</v>
      </c>
      <c r="BO114" s="85">
        <f t="shared" si="103"/>
        <v>0</v>
      </c>
      <c r="BP114" s="85">
        <f t="shared" si="104"/>
        <v>0</v>
      </c>
      <c r="BQ114" s="85">
        <f t="shared" si="105"/>
        <v>0</v>
      </c>
      <c r="BR114" s="85">
        <f t="shared" si="106"/>
        <v>0</v>
      </c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3"/>
      <c r="CM114" s="63"/>
      <c r="CN114" s="63"/>
      <c r="CO114" s="63"/>
      <c r="CP114" s="63"/>
      <c r="CQ114" s="63"/>
      <c r="CR114" s="63"/>
      <c r="CS114" s="63"/>
      <c r="CX114" s="35" t="s">
        <v>12</v>
      </c>
      <c r="CZ114" s="35"/>
      <c r="DC114" s="57" t="str">
        <f t="shared" si="107"/>
        <v/>
      </c>
      <c r="DD114" s="64" t="str">
        <f t="shared" si="108"/>
        <v/>
      </c>
      <c r="DE114" s="65" t="str">
        <f t="shared" si="109"/>
        <v/>
      </c>
      <c r="DF114" s="66" t="str">
        <f t="shared" si="110"/>
        <v/>
      </c>
    </row>
    <row r="115" spans="2:110" hidden="1" outlineLevel="1">
      <c r="B115" s="54">
        <f t="shared" si="111"/>
        <v>43857</v>
      </c>
      <c r="C115" s="55" t="s">
        <v>1</v>
      </c>
      <c r="D115" s="56">
        <f t="shared" si="112"/>
        <v>43863</v>
      </c>
      <c r="E115" s="52">
        <f t="shared" si="113"/>
        <v>1</v>
      </c>
      <c r="F115" s="53">
        <f t="shared" si="114"/>
        <v>2020</v>
      </c>
      <c r="G115" s="62">
        <f t="shared" si="115"/>
        <v>15</v>
      </c>
      <c r="H115" s="63">
        <f t="shared" si="116"/>
        <v>96</v>
      </c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>
        <v>15</v>
      </c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80"/>
      <c r="AG115" s="87">
        <f t="shared" si="70"/>
        <v>0</v>
      </c>
      <c r="AH115" s="87">
        <f t="shared" si="71"/>
        <v>0</v>
      </c>
      <c r="AI115" s="87">
        <f t="shared" si="72"/>
        <v>0</v>
      </c>
      <c r="AJ115" s="87">
        <f t="shared" si="73"/>
        <v>0</v>
      </c>
      <c r="AK115" s="87">
        <f t="shared" si="74"/>
        <v>0</v>
      </c>
      <c r="AL115" s="87">
        <f t="shared" si="75"/>
        <v>0</v>
      </c>
      <c r="AM115" s="87">
        <f t="shared" si="76"/>
        <v>0</v>
      </c>
      <c r="AN115" s="87">
        <f t="shared" si="77"/>
        <v>0</v>
      </c>
      <c r="AO115" s="87">
        <f t="shared" si="78"/>
        <v>0</v>
      </c>
      <c r="AP115" s="87">
        <f t="shared" si="79"/>
        <v>0</v>
      </c>
      <c r="AQ115" s="87">
        <f t="shared" si="80"/>
        <v>15</v>
      </c>
      <c r="AR115" s="81"/>
      <c r="AS115" s="85">
        <f t="shared" si="81"/>
        <v>0</v>
      </c>
      <c r="AT115" s="85">
        <f t="shared" si="82"/>
        <v>0</v>
      </c>
      <c r="AU115" s="85">
        <f t="shared" si="83"/>
        <v>0</v>
      </c>
      <c r="AV115" s="85">
        <f t="shared" si="84"/>
        <v>0</v>
      </c>
      <c r="AW115" s="85">
        <f t="shared" si="85"/>
        <v>0</v>
      </c>
      <c r="AX115" s="85">
        <f t="shared" si="86"/>
        <v>0</v>
      </c>
      <c r="AY115" s="85">
        <f t="shared" si="87"/>
        <v>0</v>
      </c>
      <c r="AZ115" s="85">
        <f t="shared" si="88"/>
        <v>0</v>
      </c>
      <c r="BA115" s="85">
        <f t="shared" si="89"/>
        <v>0</v>
      </c>
      <c r="BB115" s="85">
        <f t="shared" si="90"/>
        <v>0</v>
      </c>
      <c r="BC115" s="85">
        <f t="shared" si="91"/>
        <v>0</v>
      </c>
      <c r="BD115" s="85">
        <f t="shared" si="92"/>
        <v>0</v>
      </c>
      <c r="BE115" s="85">
        <f t="shared" si="93"/>
        <v>0</v>
      </c>
      <c r="BF115" s="85">
        <f t="shared" si="94"/>
        <v>0</v>
      </c>
      <c r="BG115" s="85">
        <f t="shared" si="95"/>
        <v>0</v>
      </c>
      <c r="BH115" s="85">
        <f t="shared" si="96"/>
        <v>0</v>
      </c>
      <c r="BI115" s="85">
        <f t="shared" si="97"/>
        <v>0</v>
      </c>
      <c r="BJ115" s="85">
        <f t="shared" si="98"/>
        <v>0</v>
      </c>
      <c r="BK115" s="85">
        <f t="shared" si="99"/>
        <v>0</v>
      </c>
      <c r="BL115" s="85">
        <f t="shared" si="100"/>
        <v>0</v>
      </c>
      <c r="BM115" s="85">
        <f t="shared" si="101"/>
        <v>0</v>
      </c>
      <c r="BN115" s="85">
        <f t="shared" si="102"/>
        <v>0</v>
      </c>
      <c r="BO115" s="85">
        <f t="shared" si="103"/>
        <v>0</v>
      </c>
      <c r="BP115" s="85">
        <f t="shared" si="104"/>
        <v>0</v>
      </c>
      <c r="BQ115" s="85">
        <f t="shared" si="105"/>
        <v>0</v>
      </c>
      <c r="BR115" s="85">
        <f t="shared" si="106"/>
        <v>0</v>
      </c>
      <c r="BT115" s="63"/>
      <c r="BU115" s="63"/>
      <c r="BV115" s="63"/>
      <c r="BW115" s="63"/>
      <c r="BX115" s="63"/>
      <c r="BY115" s="6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63"/>
      <c r="CL115" s="63"/>
      <c r="CM115" s="63"/>
      <c r="CN115" s="63"/>
      <c r="CO115" s="63"/>
      <c r="CP115" s="63"/>
      <c r="CQ115" s="63"/>
      <c r="CR115" s="63"/>
      <c r="CS115" s="63"/>
      <c r="CX115" s="35" t="s">
        <v>12</v>
      </c>
      <c r="CZ115" s="35"/>
      <c r="DC115" s="57" t="str">
        <f t="shared" si="107"/>
        <v/>
      </c>
      <c r="DD115" s="64" t="str">
        <f t="shared" si="108"/>
        <v/>
      </c>
      <c r="DE115" s="65" t="str">
        <f t="shared" si="109"/>
        <v/>
      </c>
      <c r="DF115" s="66" t="str">
        <f t="shared" si="110"/>
        <v/>
      </c>
    </row>
    <row r="116" spans="2:110" hidden="1" outlineLevel="1">
      <c r="B116" s="54">
        <f t="shared" si="111"/>
        <v>43864</v>
      </c>
      <c r="C116" s="55" t="s">
        <v>1</v>
      </c>
      <c r="D116" s="56">
        <f t="shared" si="112"/>
        <v>43870</v>
      </c>
      <c r="E116" s="52">
        <f t="shared" si="113"/>
        <v>2</v>
      </c>
      <c r="F116" s="53">
        <f t="shared" si="114"/>
        <v>2020</v>
      </c>
      <c r="G116" s="62">
        <f t="shared" si="115"/>
        <v>15</v>
      </c>
      <c r="H116" s="63">
        <f t="shared" si="116"/>
        <v>96</v>
      </c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>
        <v>15</v>
      </c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80"/>
      <c r="AG116" s="87">
        <f t="shared" si="70"/>
        <v>0</v>
      </c>
      <c r="AH116" s="87">
        <f t="shared" si="71"/>
        <v>0</v>
      </c>
      <c r="AI116" s="87">
        <f t="shared" si="72"/>
        <v>0</v>
      </c>
      <c r="AJ116" s="87">
        <f t="shared" si="73"/>
        <v>0</v>
      </c>
      <c r="AK116" s="87">
        <f t="shared" si="74"/>
        <v>0</v>
      </c>
      <c r="AL116" s="87">
        <f t="shared" si="75"/>
        <v>0</v>
      </c>
      <c r="AM116" s="87">
        <f t="shared" si="76"/>
        <v>0</v>
      </c>
      <c r="AN116" s="87">
        <f t="shared" si="77"/>
        <v>0</v>
      </c>
      <c r="AO116" s="87">
        <f t="shared" si="78"/>
        <v>0</v>
      </c>
      <c r="AP116" s="87">
        <f t="shared" si="79"/>
        <v>0</v>
      </c>
      <c r="AQ116" s="87">
        <f t="shared" si="80"/>
        <v>15</v>
      </c>
      <c r="AR116" s="81"/>
      <c r="AS116" s="85">
        <f t="shared" si="81"/>
        <v>0</v>
      </c>
      <c r="AT116" s="85">
        <f t="shared" si="82"/>
        <v>0</v>
      </c>
      <c r="AU116" s="85">
        <f t="shared" si="83"/>
        <v>0</v>
      </c>
      <c r="AV116" s="85">
        <f t="shared" si="84"/>
        <v>0</v>
      </c>
      <c r="AW116" s="85">
        <f t="shared" si="85"/>
        <v>0</v>
      </c>
      <c r="AX116" s="85">
        <f t="shared" si="86"/>
        <v>0</v>
      </c>
      <c r="AY116" s="85">
        <f t="shared" si="87"/>
        <v>0</v>
      </c>
      <c r="AZ116" s="85">
        <f t="shared" si="88"/>
        <v>0</v>
      </c>
      <c r="BA116" s="85">
        <f t="shared" si="89"/>
        <v>0</v>
      </c>
      <c r="BB116" s="85">
        <f t="shared" si="90"/>
        <v>0</v>
      </c>
      <c r="BC116" s="85">
        <f t="shared" si="91"/>
        <v>0</v>
      </c>
      <c r="BD116" s="85">
        <f t="shared" si="92"/>
        <v>0</v>
      </c>
      <c r="BE116" s="85">
        <f t="shared" si="93"/>
        <v>0</v>
      </c>
      <c r="BF116" s="85">
        <f t="shared" si="94"/>
        <v>0</v>
      </c>
      <c r="BG116" s="85">
        <f t="shared" si="95"/>
        <v>0</v>
      </c>
      <c r="BH116" s="85">
        <f t="shared" si="96"/>
        <v>0</v>
      </c>
      <c r="BI116" s="85">
        <f t="shared" si="97"/>
        <v>0</v>
      </c>
      <c r="BJ116" s="85">
        <f t="shared" si="98"/>
        <v>0</v>
      </c>
      <c r="BK116" s="85">
        <f t="shared" si="99"/>
        <v>0</v>
      </c>
      <c r="BL116" s="85">
        <f t="shared" si="100"/>
        <v>0</v>
      </c>
      <c r="BM116" s="85">
        <f t="shared" si="101"/>
        <v>0</v>
      </c>
      <c r="BN116" s="85">
        <f t="shared" si="102"/>
        <v>0</v>
      </c>
      <c r="BO116" s="85">
        <f t="shared" si="103"/>
        <v>0</v>
      </c>
      <c r="BP116" s="85">
        <f t="shared" si="104"/>
        <v>0</v>
      </c>
      <c r="BQ116" s="85">
        <f t="shared" si="105"/>
        <v>0</v>
      </c>
      <c r="BR116" s="85">
        <f t="shared" si="106"/>
        <v>0</v>
      </c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63"/>
      <c r="CL116" s="63"/>
      <c r="CM116" s="63"/>
      <c r="CN116" s="63"/>
      <c r="CO116" s="63"/>
      <c r="CP116" s="63"/>
      <c r="CQ116" s="63"/>
      <c r="CR116" s="63"/>
      <c r="CS116" s="63"/>
      <c r="CX116" s="35" t="s">
        <v>12</v>
      </c>
      <c r="CZ116" s="35"/>
      <c r="DC116" s="57" t="str">
        <f t="shared" si="107"/>
        <v/>
      </c>
      <c r="DD116" s="64" t="str">
        <f t="shared" si="108"/>
        <v/>
      </c>
      <c r="DE116" s="65" t="str">
        <f t="shared" si="109"/>
        <v/>
      </c>
      <c r="DF116" s="66" t="str">
        <f t="shared" si="110"/>
        <v/>
      </c>
    </row>
    <row r="117" spans="2:110" hidden="1" outlineLevel="1">
      <c r="B117" s="54">
        <f t="shared" si="111"/>
        <v>43871</v>
      </c>
      <c r="C117" s="55" t="s">
        <v>1</v>
      </c>
      <c r="D117" s="56">
        <f t="shared" si="112"/>
        <v>43877</v>
      </c>
      <c r="E117" s="52">
        <f t="shared" si="113"/>
        <v>2</v>
      </c>
      <c r="F117" s="53">
        <f t="shared" si="114"/>
        <v>2020</v>
      </c>
      <c r="G117" s="62">
        <f t="shared" si="115"/>
        <v>15</v>
      </c>
      <c r="H117" s="63">
        <f t="shared" si="116"/>
        <v>96</v>
      </c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>
        <v>15</v>
      </c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80"/>
      <c r="AG117" s="87">
        <f t="shared" si="70"/>
        <v>0</v>
      </c>
      <c r="AH117" s="87">
        <f t="shared" si="71"/>
        <v>0</v>
      </c>
      <c r="AI117" s="87">
        <f t="shared" si="72"/>
        <v>0</v>
      </c>
      <c r="AJ117" s="87">
        <f t="shared" si="73"/>
        <v>0</v>
      </c>
      <c r="AK117" s="87">
        <f t="shared" si="74"/>
        <v>0</v>
      </c>
      <c r="AL117" s="87">
        <f t="shared" si="75"/>
        <v>0</v>
      </c>
      <c r="AM117" s="87">
        <f t="shared" si="76"/>
        <v>0</v>
      </c>
      <c r="AN117" s="87">
        <f t="shared" si="77"/>
        <v>0</v>
      </c>
      <c r="AO117" s="87">
        <f t="shared" si="78"/>
        <v>0</v>
      </c>
      <c r="AP117" s="87">
        <f t="shared" si="79"/>
        <v>0</v>
      </c>
      <c r="AQ117" s="87">
        <f t="shared" si="80"/>
        <v>15</v>
      </c>
      <c r="AR117" s="81"/>
      <c r="AS117" s="85">
        <f t="shared" si="81"/>
        <v>0</v>
      </c>
      <c r="AT117" s="85">
        <f t="shared" si="82"/>
        <v>0</v>
      </c>
      <c r="AU117" s="85">
        <f t="shared" si="83"/>
        <v>0</v>
      </c>
      <c r="AV117" s="85">
        <f t="shared" si="84"/>
        <v>0</v>
      </c>
      <c r="AW117" s="85">
        <f t="shared" si="85"/>
        <v>0</v>
      </c>
      <c r="AX117" s="85">
        <f t="shared" si="86"/>
        <v>0</v>
      </c>
      <c r="AY117" s="85">
        <f t="shared" si="87"/>
        <v>0</v>
      </c>
      <c r="AZ117" s="85">
        <f t="shared" si="88"/>
        <v>0</v>
      </c>
      <c r="BA117" s="85">
        <f t="shared" si="89"/>
        <v>0</v>
      </c>
      <c r="BB117" s="85">
        <f t="shared" si="90"/>
        <v>0</v>
      </c>
      <c r="BC117" s="85">
        <f t="shared" si="91"/>
        <v>0</v>
      </c>
      <c r="BD117" s="85">
        <f t="shared" si="92"/>
        <v>0</v>
      </c>
      <c r="BE117" s="85">
        <f t="shared" si="93"/>
        <v>0</v>
      </c>
      <c r="BF117" s="85">
        <f t="shared" si="94"/>
        <v>0</v>
      </c>
      <c r="BG117" s="85">
        <f t="shared" si="95"/>
        <v>0</v>
      </c>
      <c r="BH117" s="85">
        <f t="shared" si="96"/>
        <v>0</v>
      </c>
      <c r="BI117" s="85">
        <f t="shared" si="97"/>
        <v>0</v>
      </c>
      <c r="BJ117" s="85">
        <f t="shared" si="98"/>
        <v>0</v>
      </c>
      <c r="BK117" s="85">
        <f t="shared" si="99"/>
        <v>0</v>
      </c>
      <c r="BL117" s="85">
        <f t="shared" si="100"/>
        <v>0</v>
      </c>
      <c r="BM117" s="85">
        <f t="shared" si="101"/>
        <v>0</v>
      </c>
      <c r="BN117" s="85">
        <f t="shared" si="102"/>
        <v>0</v>
      </c>
      <c r="BO117" s="85">
        <f t="shared" si="103"/>
        <v>0</v>
      </c>
      <c r="BP117" s="85">
        <f t="shared" si="104"/>
        <v>0</v>
      </c>
      <c r="BQ117" s="85">
        <f t="shared" si="105"/>
        <v>0</v>
      </c>
      <c r="BR117" s="85">
        <f t="shared" si="106"/>
        <v>0</v>
      </c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  <c r="CL117" s="63"/>
      <c r="CM117" s="63"/>
      <c r="CN117" s="63"/>
      <c r="CO117" s="63"/>
      <c r="CP117" s="63"/>
      <c r="CQ117" s="63"/>
      <c r="CR117" s="63"/>
      <c r="CS117" s="63"/>
      <c r="CX117" s="35" t="s">
        <v>12</v>
      </c>
      <c r="CZ117" s="35"/>
      <c r="DC117" s="57" t="str">
        <f t="shared" si="107"/>
        <v/>
      </c>
      <c r="DD117" s="64" t="str">
        <f t="shared" si="108"/>
        <v/>
      </c>
      <c r="DE117" s="65" t="str">
        <f t="shared" si="109"/>
        <v/>
      </c>
      <c r="DF117" s="66" t="str">
        <f t="shared" si="110"/>
        <v/>
      </c>
    </row>
    <row r="118" spans="2:110" hidden="1" outlineLevel="1">
      <c r="B118" s="54">
        <f t="shared" si="111"/>
        <v>43878</v>
      </c>
      <c r="C118" s="55" t="s">
        <v>1</v>
      </c>
      <c r="D118" s="56">
        <f t="shared" si="112"/>
        <v>43884</v>
      </c>
      <c r="E118" s="52">
        <f t="shared" si="113"/>
        <v>2</v>
      </c>
      <c r="F118" s="53">
        <f t="shared" si="114"/>
        <v>2020</v>
      </c>
      <c r="G118" s="62">
        <f t="shared" si="115"/>
        <v>15</v>
      </c>
      <c r="H118" s="63">
        <f t="shared" si="116"/>
        <v>96</v>
      </c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>
        <v>15</v>
      </c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80"/>
      <c r="AG118" s="87">
        <f t="shared" si="70"/>
        <v>0</v>
      </c>
      <c r="AH118" s="87">
        <f t="shared" si="71"/>
        <v>0</v>
      </c>
      <c r="AI118" s="87">
        <f t="shared" si="72"/>
        <v>0</v>
      </c>
      <c r="AJ118" s="87">
        <f t="shared" si="73"/>
        <v>0</v>
      </c>
      <c r="AK118" s="87">
        <f t="shared" si="74"/>
        <v>0</v>
      </c>
      <c r="AL118" s="87">
        <f t="shared" si="75"/>
        <v>0</v>
      </c>
      <c r="AM118" s="87">
        <f t="shared" si="76"/>
        <v>0</v>
      </c>
      <c r="AN118" s="87">
        <f t="shared" si="77"/>
        <v>0</v>
      </c>
      <c r="AO118" s="87">
        <f t="shared" si="78"/>
        <v>0</v>
      </c>
      <c r="AP118" s="87">
        <f t="shared" si="79"/>
        <v>0</v>
      </c>
      <c r="AQ118" s="87">
        <f t="shared" si="80"/>
        <v>15</v>
      </c>
      <c r="AR118" s="81"/>
      <c r="AS118" s="85">
        <f t="shared" si="81"/>
        <v>0</v>
      </c>
      <c r="AT118" s="85">
        <f t="shared" si="82"/>
        <v>0</v>
      </c>
      <c r="AU118" s="85">
        <f t="shared" si="83"/>
        <v>0</v>
      </c>
      <c r="AV118" s="85">
        <f t="shared" si="84"/>
        <v>0</v>
      </c>
      <c r="AW118" s="85">
        <f t="shared" si="85"/>
        <v>0</v>
      </c>
      <c r="AX118" s="85">
        <f t="shared" si="86"/>
        <v>0</v>
      </c>
      <c r="AY118" s="85">
        <f t="shared" si="87"/>
        <v>0</v>
      </c>
      <c r="AZ118" s="85">
        <f t="shared" si="88"/>
        <v>0</v>
      </c>
      <c r="BA118" s="85">
        <f t="shared" si="89"/>
        <v>0</v>
      </c>
      <c r="BB118" s="85">
        <f t="shared" si="90"/>
        <v>0</v>
      </c>
      <c r="BC118" s="85">
        <f t="shared" si="91"/>
        <v>0</v>
      </c>
      <c r="BD118" s="85">
        <f t="shared" si="92"/>
        <v>0</v>
      </c>
      <c r="BE118" s="85">
        <f t="shared" si="93"/>
        <v>0</v>
      </c>
      <c r="BF118" s="85">
        <f t="shared" si="94"/>
        <v>0</v>
      </c>
      <c r="BG118" s="85">
        <f t="shared" si="95"/>
        <v>0</v>
      </c>
      <c r="BH118" s="85">
        <f t="shared" si="96"/>
        <v>0</v>
      </c>
      <c r="BI118" s="85">
        <f t="shared" si="97"/>
        <v>0</v>
      </c>
      <c r="BJ118" s="85">
        <f t="shared" si="98"/>
        <v>0</v>
      </c>
      <c r="BK118" s="85">
        <f t="shared" si="99"/>
        <v>0</v>
      </c>
      <c r="BL118" s="85">
        <f t="shared" si="100"/>
        <v>0</v>
      </c>
      <c r="BM118" s="85">
        <f t="shared" si="101"/>
        <v>0</v>
      </c>
      <c r="BN118" s="85">
        <f t="shared" si="102"/>
        <v>0</v>
      </c>
      <c r="BO118" s="85">
        <f t="shared" si="103"/>
        <v>0</v>
      </c>
      <c r="BP118" s="85">
        <f t="shared" si="104"/>
        <v>0</v>
      </c>
      <c r="BQ118" s="85">
        <f t="shared" si="105"/>
        <v>0</v>
      </c>
      <c r="BR118" s="85">
        <f t="shared" si="106"/>
        <v>0</v>
      </c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3"/>
      <c r="CH118" s="63"/>
      <c r="CI118" s="63"/>
      <c r="CJ118" s="63"/>
      <c r="CK118" s="63"/>
      <c r="CL118" s="63"/>
      <c r="CM118" s="63"/>
      <c r="CN118" s="63"/>
      <c r="CO118" s="63"/>
      <c r="CP118" s="63"/>
      <c r="CQ118" s="63"/>
      <c r="CR118" s="63"/>
      <c r="CS118" s="63"/>
      <c r="CX118" s="35" t="s">
        <v>12</v>
      </c>
      <c r="CZ118" s="35"/>
      <c r="DC118" s="57" t="str">
        <f t="shared" si="107"/>
        <v/>
      </c>
      <c r="DD118" s="64" t="str">
        <f t="shared" si="108"/>
        <v/>
      </c>
      <c r="DE118" s="65" t="str">
        <f t="shared" si="109"/>
        <v/>
      </c>
      <c r="DF118" s="66" t="str">
        <f t="shared" si="110"/>
        <v/>
      </c>
    </row>
    <row r="119" spans="2:110" hidden="1" outlineLevel="1">
      <c r="B119" s="54">
        <f t="shared" si="111"/>
        <v>43885</v>
      </c>
      <c r="C119" s="55" t="s">
        <v>1</v>
      </c>
      <c r="D119" s="56">
        <f t="shared" si="112"/>
        <v>43891</v>
      </c>
      <c r="E119" s="52">
        <f t="shared" si="113"/>
        <v>2</v>
      </c>
      <c r="F119" s="53">
        <f t="shared" si="114"/>
        <v>2020</v>
      </c>
      <c r="G119" s="62">
        <f t="shared" si="115"/>
        <v>15</v>
      </c>
      <c r="H119" s="63">
        <f t="shared" si="116"/>
        <v>96</v>
      </c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>
        <v>15</v>
      </c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80"/>
      <c r="AG119" s="87">
        <f t="shared" si="70"/>
        <v>0</v>
      </c>
      <c r="AH119" s="87">
        <f t="shared" si="71"/>
        <v>0</v>
      </c>
      <c r="AI119" s="87">
        <f t="shared" si="72"/>
        <v>0</v>
      </c>
      <c r="AJ119" s="87">
        <f t="shared" si="73"/>
        <v>0</v>
      </c>
      <c r="AK119" s="87">
        <f t="shared" si="74"/>
        <v>0</v>
      </c>
      <c r="AL119" s="87">
        <f t="shared" si="75"/>
        <v>0</v>
      </c>
      <c r="AM119" s="87">
        <f t="shared" si="76"/>
        <v>0</v>
      </c>
      <c r="AN119" s="87">
        <f t="shared" si="77"/>
        <v>0</v>
      </c>
      <c r="AO119" s="87">
        <f t="shared" si="78"/>
        <v>0</v>
      </c>
      <c r="AP119" s="87">
        <f t="shared" si="79"/>
        <v>0</v>
      </c>
      <c r="AQ119" s="87">
        <f t="shared" si="80"/>
        <v>15</v>
      </c>
      <c r="AR119" s="81"/>
      <c r="AS119" s="85">
        <f t="shared" si="81"/>
        <v>0</v>
      </c>
      <c r="AT119" s="85">
        <f t="shared" si="82"/>
        <v>0</v>
      </c>
      <c r="AU119" s="85">
        <f t="shared" si="83"/>
        <v>0</v>
      </c>
      <c r="AV119" s="85">
        <f t="shared" si="84"/>
        <v>0</v>
      </c>
      <c r="AW119" s="85">
        <f t="shared" si="85"/>
        <v>0</v>
      </c>
      <c r="AX119" s="85">
        <f t="shared" si="86"/>
        <v>0</v>
      </c>
      <c r="AY119" s="85">
        <f t="shared" si="87"/>
        <v>0</v>
      </c>
      <c r="AZ119" s="85">
        <f t="shared" si="88"/>
        <v>0</v>
      </c>
      <c r="BA119" s="85">
        <f t="shared" si="89"/>
        <v>0</v>
      </c>
      <c r="BB119" s="85">
        <f t="shared" si="90"/>
        <v>0</v>
      </c>
      <c r="BC119" s="85">
        <f t="shared" si="91"/>
        <v>0</v>
      </c>
      <c r="BD119" s="85">
        <f t="shared" si="92"/>
        <v>0</v>
      </c>
      <c r="BE119" s="85">
        <f t="shared" si="93"/>
        <v>0</v>
      </c>
      <c r="BF119" s="85">
        <f t="shared" si="94"/>
        <v>0</v>
      </c>
      <c r="BG119" s="85">
        <f t="shared" si="95"/>
        <v>0</v>
      </c>
      <c r="BH119" s="85">
        <f t="shared" si="96"/>
        <v>0</v>
      </c>
      <c r="BI119" s="85">
        <f t="shared" si="97"/>
        <v>0</v>
      </c>
      <c r="BJ119" s="85">
        <f t="shared" si="98"/>
        <v>0</v>
      </c>
      <c r="BK119" s="85">
        <f t="shared" si="99"/>
        <v>0</v>
      </c>
      <c r="BL119" s="85">
        <f t="shared" si="100"/>
        <v>0</v>
      </c>
      <c r="BM119" s="85">
        <f t="shared" si="101"/>
        <v>0</v>
      </c>
      <c r="BN119" s="85">
        <f t="shared" si="102"/>
        <v>0</v>
      </c>
      <c r="BO119" s="85">
        <f t="shared" si="103"/>
        <v>0</v>
      </c>
      <c r="BP119" s="85">
        <f t="shared" si="104"/>
        <v>0</v>
      </c>
      <c r="BQ119" s="85">
        <f t="shared" si="105"/>
        <v>0</v>
      </c>
      <c r="BR119" s="85">
        <f t="shared" si="106"/>
        <v>0</v>
      </c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X119" s="35" t="s">
        <v>12</v>
      </c>
      <c r="CZ119" s="35"/>
      <c r="DC119" s="57" t="str">
        <f t="shared" si="107"/>
        <v/>
      </c>
      <c r="DD119" s="64" t="str">
        <f t="shared" si="108"/>
        <v/>
      </c>
      <c r="DE119" s="65" t="str">
        <f t="shared" si="109"/>
        <v/>
      </c>
      <c r="DF119" s="66" t="str">
        <f t="shared" si="110"/>
        <v/>
      </c>
    </row>
    <row r="120" spans="2:110" hidden="1" outlineLevel="1">
      <c r="B120" s="54">
        <f t="shared" si="111"/>
        <v>43892</v>
      </c>
      <c r="C120" s="55" t="s">
        <v>1</v>
      </c>
      <c r="D120" s="56">
        <f t="shared" si="112"/>
        <v>43898</v>
      </c>
      <c r="E120" s="52">
        <f t="shared" si="113"/>
        <v>3</v>
      </c>
      <c r="F120" s="53">
        <f t="shared" si="114"/>
        <v>2020</v>
      </c>
      <c r="G120" s="62">
        <f t="shared" si="115"/>
        <v>15</v>
      </c>
      <c r="H120" s="63">
        <f t="shared" si="116"/>
        <v>96</v>
      </c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>
        <v>15</v>
      </c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80"/>
      <c r="AG120" s="87">
        <f t="shared" si="70"/>
        <v>0</v>
      </c>
      <c r="AH120" s="87">
        <f t="shared" si="71"/>
        <v>0</v>
      </c>
      <c r="AI120" s="87">
        <f t="shared" si="72"/>
        <v>0</v>
      </c>
      <c r="AJ120" s="87">
        <f t="shared" si="73"/>
        <v>0</v>
      </c>
      <c r="AK120" s="87">
        <f t="shared" si="74"/>
        <v>0</v>
      </c>
      <c r="AL120" s="87">
        <f t="shared" si="75"/>
        <v>0</v>
      </c>
      <c r="AM120" s="87">
        <f t="shared" si="76"/>
        <v>0</v>
      </c>
      <c r="AN120" s="87">
        <f t="shared" si="77"/>
        <v>0</v>
      </c>
      <c r="AO120" s="87">
        <f t="shared" si="78"/>
        <v>0</v>
      </c>
      <c r="AP120" s="87">
        <f t="shared" si="79"/>
        <v>0</v>
      </c>
      <c r="AQ120" s="87">
        <f t="shared" si="80"/>
        <v>15</v>
      </c>
      <c r="AR120" s="81"/>
      <c r="AS120" s="85">
        <f t="shared" si="81"/>
        <v>0</v>
      </c>
      <c r="AT120" s="85">
        <f t="shared" si="82"/>
        <v>0</v>
      </c>
      <c r="AU120" s="85">
        <f t="shared" si="83"/>
        <v>0</v>
      </c>
      <c r="AV120" s="85">
        <f t="shared" si="84"/>
        <v>0</v>
      </c>
      <c r="AW120" s="85">
        <f t="shared" si="85"/>
        <v>0</v>
      </c>
      <c r="AX120" s="85">
        <f t="shared" si="86"/>
        <v>0</v>
      </c>
      <c r="AY120" s="85">
        <f t="shared" si="87"/>
        <v>0</v>
      </c>
      <c r="AZ120" s="85">
        <f t="shared" si="88"/>
        <v>0</v>
      </c>
      <c r="BA120" s="85">
        <f t="shared" si="89"/>
        <v>0</v>
      </c>
      <c r="BB120" s="85">
        <f t="shared" si="90"/>
        <v>0</v>
      </c>
      <c r="BC120" s="85">
        <f t="shared" si="91"/>
        <v>0</v>
      </c>
      <c r="BD120" s="85">
        <f t="shared" si="92"/>
        <v>0</v>
      </c>
      <c r="BE120" s="85">
        <f t="shared" si="93"/>
        <v>0</v>
      </c>
      <c r="BF120" s="85">
        <f t="shared" si="94"/>
        <v>0</v>
      </c>
      <c r="BG120" s="85">
        <f t="shared" si="95"/>
        <v>0</v>
      </c>
      <c r="BH120" s="85">
        <f t="shared" si="96"/>
        <v>0</v>
      </c>
      <c r="BI120" s="85">
        <f t="shared" si="97"/>
        <v>0</v>
      </c>
      <c r="BJ120" s="85">
        <f t="shared" si="98"/>
        <v>0</v>
      </c>
      <c r="BK120" s="85">
        <f t="shared" si="99"/>
        <v>0</v>
      </c>
      <c r="BL120" s="85">
        <f t="shared" si="100"/>
        <v>0</v>
      </c>
      <c r="BM120" s="85">
        <f t="shared" si="101"/>
        <v>0</v>
      </c>
      <c r="BN120" s="85">
        <f t="shared" si="102"/>
        <v>0</v>
      </c>
      <c r="BO120" s="85">
        <f t="shared" si="103"/>
        <v>0</v>
      </c>
      <c r="BP120" s="85">
        <f t="shared" si="104"/>
        <v>0</v>
      </c>
      <c r="BQ120" s="85">
        <f t="shared" si="105"/>
        <v>0</v>
      </c>
      <c r="BR120" s="85">
        <f t="shared" si="106"/>
        <v>0</v>
      </c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3"/>
      <c r="CM120" s="63"/>
      <c r="CN120" s="63"/>
      <c r="CO120" s="63"/>
      <c r="CP120" s="63"/>
      <c r="CQ120" s="63"/>
      <c r="CR120" s="63"/>
      <c r="CS120" s="63"/>
      <c r="CW120">
        <v>7</v>
      </c>
      <c r="CX120" s="35">
        <v>43892</v>
      </c>
      <c r="CZ120" s="35">
        <f>B137</f>
        <v>44011</v>
      </c>
      <c r="DA120">
        <v>95</v>
      </c>
      <c r="DC120" s="57" t="str">
        <f t="shared" si="107"/>
        <v/>
      </c>
      <c r="DD120" s="64" t="str">
        <f t="shared" si="108"/>
        <v/>
      </c>
      <c r="DE120" s="65" t="str">
        <f t="shared" si="109"/>
        <v/>
      </c>
      <c r="DF120" s="66" t="str">
        <f t="shared" si="110"/>
        <v/>
      </c>
    </row>
    <row r="121" spans="2:110" hidden="1" outlineLevel="1">
      <c r="B121" s="54">
        <f t="shared" si="111"/>
        <v>43899</v>
      </c>
      <c r="C121" s="55" t="s">
        <v>1</v>
      </c>
      <c r="D121" s="56">
        <f t="shared" si="112"/>
        <v>43905</v>
      </c>
      <c r="E121" s="52">
        <f t="shared" si="113"/>
        <v>3</v>
      </c>
      <c r="F121" s="53">
        <f t="shared" si="114"/>
        <v>2020</v>
      </c>
      <c r="G121" s="62">
        <f t="shared" si="115"/>
        <v>15</v>
      </c>
      <c r="H121" s="63">
        <f t="shared" si="116"/>
        <v>96</v>
      </c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>
        <v>15</v>
      </c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80"/>
      <c r="AG121" s="87">
        <f t="shared" si="70"/>
        <v>0</v>
      </c>
      <c r="AH121" s="87">
        <f t="shared" si="71"/>
        <v>0</v>
      </c>
      <c r="AI121" s="87">
        <f t="shared" si="72"/>
        <v>0</v>
      </c>
      <c r="AJ121" s="87">
        <f t="shared" si="73"/>
        <v>0</v>
      </c>
      <c r="AK121" s="87">
        <f t="shared" si="74"/>
        <v>0</v>
      </c>
      <c r="AL121" s="87">
        <f t="shared" si="75"/>
        <v>0</v>
      </c>
      <c r="AM121" s="87">
        <f t="shared" si="76"/>
        <v>0</v>
      </c>
      <c r="AN121" s="87">
        <f t="shared" si="77"/>
        <v>0</v>
      </c>
      <c r="AO121" s="87">
        <f t="shared" si="78"/>
        <v>0</v>
      </c>
      <c r="AP121" s="87">
        <f t="shared" si="79"/>
        <v>0</v>
      </c>
      <c r="AQ121" s="87">
        <f t="shared" si="80"/>
        <v>15</v>
      </c>
      <c r="AR121" s="81"/>
      <c r="AS121" s="85">
        <f t="shared" si="81"/>
        <v>0</v>
      </c>
      <c r="AT121" s="85">
        <f t="shared" si="82"/>
        <v>0</v>
      </c>
      <c r="AU121" s="85">
        <f t="shared" si="83"/>
        <v>0</v>
      </c>
      <c r="AV121" s="85">
        <f t="shared" si="84"/>
        <v>0</v>
      </c>
      <c r="AW121" s="85">
        <f t="shared" si="85"/>
        <v>0</v>
      </c>
      <c r="AX121" s="85">
        <f t="shared" si="86"/>
        <v>0</v>
      </c>
      <c r="AY121" s="85">
        <f t="shared" si="87"/>
        <v>0</v>
      </c>
      <c r="AZ121" s="85">
        <f t="shared" si="88"/>
        <v>0</v>
      </c>
      <c r="BA121" s="85">
        <f t="shared" si="89"/>
        <v>0</v>
      </c>
      <c r="BB121" s="85">
        <f t="shared" si="90"/>
        <v>0</v>
      </c>
      <c r="BC121" s="85">
        <f t="shared" si="91"/>
        <v>0</v>
      </c>
      <c r="BD121" s="85">
        <f t="shared" si="92"/>
        <v>0</v>
      </c>
      <c r="BE121" s="85">
        <f t="shared" si="93"/>
        <v>0</v>
      </c>
      <c r="BF121" s="85">
        <f t="shared" si="94"/>
        <v>0</v>
      </c>
      <c r="BG121" s="85">
        <f t="shared" si="95"/>
        <v>0</v>
      </c>
      <c r="BH121" s="85">
        <f t="shared" si="96"/>
        <v>0</v>
      </c>
      <c r="BI121" s="85">
        <f t="shared" si="97"/>
        <v>0</v>
      </c>
      <c r="BJ121" s="85">
        <f t="shared" si="98"/>
        <v>0</v>
      </c>
      <c r="BK121" s="85">
        <f t="shared" si="99"/>
        <v>0</v>
      </c>
      <c r="BL121" s="85">
        <f t="shared" si="100"/>
        <v>0</v>
      </c>
      <c r="BM121" s="85">
        <f t="shared" si="101"/>
        <v>0</v>
      </c>
      <c r="BN121" s="85">
        <f t="shared" si="102"/>
        <v>0</v>
      </c>
      <c r="BO121" s="85">
        <f t="shared" si="103"/>
        <v>0</v>
      </c>
      <c r="BP121" s="85">
        <f t="shared" si="104"/>
        <v>0</v>
      </c>
      <c r="BQ121" s="85">
        <f t="shared" si="105"/>
        <v>0</v>
      </c>
      <c r="BR121" s="85">
        <f t="shared" si="106"/>
        <v>0</v>
      </c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63"/>
      <c r="CL121" s="63"/>
      <c r="CM121" s="63"/>
      <c r="CN121" s="63"/>
      <c r="CO121" s="63"/>
      <c r="CP121" s="63"/>
      <c r="CQ121" s="63"/>
      <c r="CR121" s="63"/>
      <c r="CS121" s="63"/>
      <c r="CX121" s="35" t="s">
        <v>12</v>
      </c>
      <c r="CZ121" s="35"/>
      <c r="DC121" s="57" t="str">
        <f t="shared" si="107"/>
        <v/>
      </c>
      <c r="DD121" s="64" t="str">
        <f t="shared" si="108"/>
        <v/>
      </c>
      <c r="DE121" s="65" t="str">
        <f t="shared" si="109"/>
        <v/>
      </c>
      <c r="DF121" s="66" t="str">
        <f t="shared" si="110"/>
        <v/>
      </c>
    </row>
    <row r="122" spans="2:110" hidden="1" outlineLevel="1">
      <c r="B122" s="54">
        <f t="shared" si="111"/>
        <v>43906</v>
      </c>
      <c r="C122" s="55" t="s">
        <v>1</v>
      </c>
      <c r="D122" s="56">
        <f t="shared" si="112"/>
        <v>43912</v>
      </c>
      <c r="E122" s="52">
        <f t="shared" si="113"/>
        <v>3</v>
      </c>
      <c r="F122" s="53">
        <f t="shared" si="114"/>
        <v>2020</v>
      </c>
      <c r="G122" s="62">
        <f t="shared" si="115"/>
        <v>15</v>
      </c>
      <c r="H122" s="63">
        <f t="shared" si="116"/>
        <v>96</v>
      </c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>
        <v>15</v>
      </c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80"/>
      <c r="AG122" s="87">
        <f t="shared" si="70"/>
        <v>0</v>
      </c>
      <c r="AH122" s="87">
        <f t="shared" si="71"/>
        <v>0</v>
      </c>
      <c r="AI122" s="87">
        <f t="shared" si="72"/>
        <v>0</v>
      </c>
      <c r="AJ122" s="87">
        <f t="shared" si="73"/>
        <v>0</v>
      </c>
      <c r="AK122" s="87">
        <f t="shared" si="74"/>
        <v>0</v>
      </c>
      <c r="AL122" s="87">
        <f t="shared" si="75"/>
        <v>0</v>
      </c>
      <c r="AM122" s="87">
        <f t="shared" si="76"/>
        <v>0</v>
      </c>
      <c r="AN122" s="87">
        <f t="shared" si="77"/>
        <v>0</v>
      </c>
      <c r="AO122" s="87">
        <f t="shared" si="78"/>
        <v>0</v>
      </c>
      <c r="AP122" s="87">
        <f t="shared" si="79"/>
        <v>0</v>
      </c>
      <c r="AQ122" s="87">
        <f t="shared" si="80"/>
        <v>15</v>
      </c>
      <c r="AR122" s="81"/>
      <c r="AS122" s="85">
        <f t="shared" si="81"/>
        <v>0</v>
      </c>
      <c r="AT122" s="85">
        <f t="shared" si="82"/>
        <v>0</v>
      </c>
      <c r="AU122" s="85">
        <f t="shared" si="83"/>
        <v>0</v>
      </c>
      <c r="AV122" s="85">
        <f t="shared" si="84"/>
        <v>0</v>
      </c>
      <c r="AW122" s="85">
        <f t="shared" si="85"/>
        <v>0</v>
      </c>
      <c r="AX122" s="85">
        <f t="shared" si="86"/>
        <v>0</v>
      </c>
      <c r="AY122" s="85">
        <f t="shared" si="87"/>
        <v>0</v>
      </c>
      <c r="AZ122" s="85">
        <f t="shared" si="88"/>
        <v>0</v>
      </c>
      <c r="BA122" s="85">
        <f t="shared" si="89"/>
        <v>0</v>
      </c>
      <c r="BB122" s="85">
        <f t="shared" si="90"/>
        <v>0</v>
      </c>
      <c r="BC122" s="85">
        <f t="shared" si="91"/>
        <v>0</v>
      </c>
      <c r="BD122" s="85">
        <f t="shared" si="92"/>
        <v>0</v>
      </c>
      <c r="BE122" s="85">
        <f t="shared" si="93"/>
        <v>0</v>
      </c>
      <c r="BF122" s="85">
        <f t="shared" si="94"/>
        <v>0</v>
      </c>
      <c r="BG122" s="85">
        <f t="shared" si="95"/>
        <v>0</v>
      </c>
      <c r="BH122" s="85">
        <f t="shared" si="96"/>
        <v>0</v>
      </c>
      <c r="BI122" s="85">
        <f t="shared" si="97"/>
        <v>0</v>
      </c>
      <c r="BJ122" s="85">
        <f t="shared" si="98"/>
        <v>0</v>
      </c>
      <c r="BK122" s="85">
        <f t="shared" si="99"/>
        <v>0</v>
      </c>
      <c r="BL122" s="85">
        <f t="shared" si="100"/>
        <v>0</v>
      </c>
      <c r="BM122" s="85">
        <f t="shared" si="101"/>
        <v>0</v>
      </c>
      <c r="BN122" s="85">
        <f t="shared" si="102"/>
        <v>0</v>
      </c>
      <c r="BO122" s="85">
        <f t="shared" si="103"/>
        <v>0</v>
      </c>
      <c r="BP122" s="85">
        <f t="shared" si="104"/>
        <v>0</v>
      </c>
      <c r="BQ122" s="85">
        <f t="shared" si="105"/>
        <v>0</v>
      </c>
      <c r="BR122" s="85">
        <f t="shared" si="106"/>
        <v>0</v>
      </c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3"/>
      <c r="CH122" s="63"/>
      <c r="CI122" s="63"/>
      <c r="CJ122" s="63"/>
      <c r="CK122" s="63"/>
      <c r="CL122" s="63"/>
      <c r="CM122" s="63"/>
      <c r="CN122" s="63"/>
      <c r="CO122" s="63"/>
      <c r="CP122" s="63"/>
      <c r="CQ122" s="63"/>
      <c r="CR122" s="63"/>
      <c r="CS122" s="63"/>
      <c r="CX122" s="35" t="s">
        <v>12</v>
      </c>
      <c r="CZ122" s="35"/>
      <c r="DC122" s="57" t="str">
        <f t="shared" si="107"/>
        <v/>
      </c>
      <c r="DD122" s="64" t="str">
        <f t="shared" si="108"/>
        <v/>
      </c>
      <c r="DE122" s="65" t="str">
        <f t="shared" si="109"/>
        <v/>
      </c>
      <c r="DF122" s="66" t="str">
        <f t="shared" si="110"/>
        <v/>
      </c>
    </row>
    <row r="123" spans="2:110" hidden="1" outlineLevel="1">
      <c r="B123" s="54">
        <f t="shared" si="111"/>
        <v>43913</v>
      </c>
      <c r="C123" s="55" t="s">
        <v>1</v>
      </c>
      <c r="D123" s="56">
        <f t="shared" si="112"/>
        <v>43919</v>
      </c>
      <c r="E123" s="52">
        <f t="shared" si="113"/>
        <v>3</v>
      </c>
      <c r="F123" s="53">
        <f t="shared" si="114"/>
        <v>2020</v>
      </c>
      <c r="G123" s="62">
        <f t="shared" si="115"/>
        <v>15</v>
      </c>
      <c r="H123" s="63">
        <f t="shared" si="116"/>
        <v>96</v>
      </c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>
        <v>15</v>
      </c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80"/>
      <c r="AG123" s="87">
        <f t="shared" si="70"/>
        <v>0</v>
      </c>
      <c r="AH123" s="87">
        <f t="shared" si="71"/>
        <v>0</v>
      </c>
      <c r="AI123" s="87">
        <f t="shared" si="72"/>
        <v>0</v>
      </c>
      <c r="AJ123" s="87">
        <f t="shared" si="73"/>
        <v>0</v>
      </c>
      <c r="AK123" s="87">
        <f t="shared" si="74"/>
        <v>0</v>
      </c>
      <c r="AL123" s="87">
        <f t="shared" si="75"/>
        <v>0</v>
      </c>
      <c r="AM123" s="87">
        <f t="shared" si="76"/>
        <v>0</v>
      </c>
      <c r="AN123" s="87">
        <f t="shared" si="77"/>
        <v>0</v>
      </c>
      <c r="AO123" s="87">
        <f t="shared" si="78"/>
        <v>0</v>
      </c>
      <c r="AP123" s="87">
        <f t="shared" si="79"/>
        <v>0</v>
      </c>
      <c r="AQ123" s="87">
        <f t="shared" si="80"/>
        <v>15</v>
      </c>
      <c r="AR123" s="81"/>
      <c r="AS123" s="85">
        <f t="shared" si="81"/>
        <v>0</v>
      </c>
      <c r="AT123" s="85">
        <f t="shared" si="82"/>
        <v>0</v>
      </c>
      <c r="AU123" s="85">
        <f t="shared" si="83"/>
        <v>0</v>
      </c>
      <c r="AV123" s="85">
        <f t="shared" si="84"/>
        <v>0</v>
      </c>
      <c r="AW123" s="85">
        <f t="shared" si="85"/>
        <v>0</v>
      </c>
      <c r="AX123" s="85">
        <f t="shared" si="86"/>
        <v>0</v>
      </c>
      <c r="AY123" s="85">
        <f t="shared" si="87"/>
        <v>0</v>
      </c>
      <c r="AZ123" s="85">
        <f t="shared" si="88"/>
        <v>0</v>
      </c>
      <c r="BA123" s="85">
        <f t="shared" si="89"/>
        <v>0</v>
      </c>
      <c r="BB123" s="85">
        <f t="shared" si="90"/>
        <v>0</v>
      </c>
      <c r="BC123" s="85">
        <f t="shared" si="91"/>
        <v>0</v>
      </c>
      <c r="BD123" s="85">
        <f t="shared" si="92"/>
        <v>0</v>
      </c>
      <c r="BE123" s="85">
        <f t="shared" si="93"/>
        <v>0</v>
      </c>
      <c r="BF123" s="85">
        <f t="shared" si="94"/>
        <v>0</v>
      </c>
      <c r="BG123" s="85">
        <f t="shared" si="95"/>
        <v>0</v>
      </c>
      <c r="BH123" s="85">
        <f t="shared" si="96"/>
        <v>0</v>
      </c>
      <c r="BI123" s="85">
        <f t="shared" si="97"/>
        <v>0</v>
      </c>
      <c r="BJ123" s="85">
        <f t="shared" si="98"/>
        <v>0</v>
      </c>
      <c r="BK123" s="85">
        <f t="shared" si="99"/>
        <v>0</v>
      </c>
      <c r="BL123" s="85">
        <f t="shared" si="100"/>
        <v>0</v>
      </c>
      <c r="BM123" s="85">
        <f t="shared" si="101"/>
        <v>0</v>
      </c>
      <c r="BN123" s="85">
        <f t="shared" si="102"/>
        <v>0</v>
      </c>
      <c r="BO123" s="85">
        <f t="shared" si="103"/>
        <v>0</v>
      </c>
      <c r="BP123" s="85">
        <f t="shared" si="104"/>
        <v>0</v>
      </c>
      <c r="BQ123" s="85">
        <f t="shared" si="105"/>
        <v>0</v>
      </c>
      <c r="BR123" s="85">
        <f t="shared" si="106"/>
        <v>0</v>
      </c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X123" s="35" t="s">
        <v>12</v>
      </c>
      <c r="CZ123" s="35"/>
      <c r="DC123" s="57" t="str">
        <f t="shared" si="107"/>
        <v/>
      </c>
      <c r="DD123" s="64" t="str">
        <f t="shared" si="108"/>
        <v/>
      </c>
      <c r="DE123" s="65" t="str">
        <f t="shared" si="109"/>
        <v/>
      </c>
      <c r="DF123" s="66" t="str">
        <f t="shared" si="110"/>
        <v/>
      </c>
    </row>
    <row r="124" spans="2:110" hidden="1" outlineLevel="1">
      <c r="B124" s="54">
        <f t="shared" si="111"/>
        <v>43920</v>
      </c>
      <c r="C124" s="55" t="s">
        <v>1</v>
      </c>
      <c r="D124" s="56">
        <f t="shared" si="112"/>
        <v>43926</v>
      </c>
      <c r="E124" s="52">
        <f t="shared" si="113"/>
        <v>3</v>
      </c>
      <c r="F124" s="53">
        <f t="shared" si="114"/>
        <v>2020</v>
      </c>
      <c r="G124" s="62">
        <f t="shared" si="115"/>
        <v>15</v>
      </c>
      <c r="H124" s="63">
        <f t="shared" si="116"/>
        <v>96</v>
      </c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>
        <v>15</v>
      </c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80"/>
      <c r="AG124" s="87">
        <f t="shared" si="70"/>
        <v>0</v>
      </c>
      <c r="AH124" s="87">
        <f t="shared" si="71"/>
        <v>0</v>
      </c>
      <c r="AI124" s="87">
        <f t="shared" si="72"/>
        <v>0</v>
      </c>
      <c r="AJ124" s="87">
        <f t="shared" si="73"/>
        <v>0</v>
      </c>
      <c r="AK124" s="87">
        <f t="shared" si="74"/>
        <v>0</v>
      </c>
      <c r="AL124" s="87">
        <f t="shared" si="75"/>
        <v>0</v>
      </c>
      <c r="AM124" s="87">
        <f t="shared" si="76"/>
        <v>0</v>
      </c>
      <c r="AN124" s="87">
        <f t="shared" si="77"/>
        <v>0</v>
      </c>
      <c r="AO124" s="87">
        <f t="shared" si="78"/>
        <v>0</v>
      </c>
      <c r="AP124" s="87">
        <f t="shared" si="79"/>
        <v>0</v>
      </c>
      <c r="AQ124" s="87">
        <f t="shared" si="80"/>
        <v>15</v>
      </c>
      <c r="AR124" s="81"/>
      <c r="AS124" s="85">
        <f t="shared" si="81"/>
        <v>0</v>
      </c>
      <c r="AT124" s="85">
        <f t="shared" si="82"/>
        <v>0</v>
      </c>
      <c r="AU124" s="85">
        <f t="shared" si="83"/>
        <v>0</v>
      </c>
      <c r="AV124" s="85">
        <f t="shared" si="84"/>
        <v>0</v>
      </c>
      <c r="AW124" s="85">
        <f t="shared" si="85"/>
        <v>0</v>
      </c>
      <c r="AX124" s="85">
        <f t="shared" si="86"/>
        <v>0</v>
      </c>
      <c r="AY124" s="85">
        <f t="shared" si="87"/>
        <v>0</v>
      </c>
      <c r="AZ124" s="85">
        <f t="shared" si="88"/>
        <v>0</v>
      </c>
      <c r="BA124" s="85">
        <f t="shared" si="89"/>
        <v>0</v>
      </c>
      <c r="BB124" s="85">
        <f t="shared" si="90"/>
        <v>0</v>
      </c>
      <c r="BC124" s="85">
        <f t="shared" si="91"/>
        <v>0</v>
      </c>
      <c r="BD124" s="85">
        <f t="shared" si="92"/>
        <v>0</v>
      </c>
      <c r="BE124" s="85">
        <f t="shared" si="93"/>
        <v>0</v>
      </c>
      <c r="BF124" s="85">
        <f t="shared" si="94"/>
        <v>0</v>
      </c>
      <c r="BG124" s="85">
        <f t="shared" si="95"/>
        <v>0</v>
      </c>
      <c r="BH124" s="85">
        <f t="shared" si="96"/>
        <v>0</v>
      </c>
      <c r="BI124" s="85">
        <f t="shared" si="97"/>
        <v>0</v>
      </c>
      <c r="BJ124" s="85">
        <f t="shared" si="98"/>
        <v>0</v>
      </c>
      <c r="BK124" s="85">
        <f t="shared" si="99"/>
        <v>0</v>
      </c>
      <c r="BL124" s="85">
        <f t="shared" si="100"/>
        <v>0</v>
      </c>
      <c r="BM124" s="85">
        <f t="shared" si="101"/>
        <v>0</v>
      </c>
      <c r="BN124" s="85">
        <f t="shared" si="102"/>
        <v>0</v>
      </c>
      <c r="BO124" s="85">
        <f t="shared" si="103"/>
        <v>0</v>
      </c>
      <c r="BP124" s="85">
        <f t="shared" si="104"/>
        <v>0</v>
      </c>
      <c r="BQ124" s="85">
        <f t="shared" si="105"/>
        <v>0</v>
      </c>
      <c r="BR124" s="85">
        <f t="shared" si="106"/>
        <v>0</v>
      </c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3"/>
      <c r="CM124" s="63"/>
      <c r="CN124" s="63"/>
      <c r="CO124" s="63"/>
      <c r="CP124" s="63"/>
      <c r="CQ124" s="63"/>
      <c r="CR124" s="63"/>
      <c r="CS124" s="63"/>
      <c r="CX124" s="35" t="s">
        <v>12</v>
      </c>
      <c r="CZ124" s="35"/>
      <c r="DC124" s="57" t="str">
        <f t="shared" si="107"/>
        <v/>
      </c>
      <c r="DD124" s="64" t="str">
        <f t="shared" si="108"/>
        <v/>
      </c>
      <c r="DE124" s="65" t="str">
        <f t="shared" si="109"/>
        <v/>
      </c>
      <c r="DF124" s="66" t="str">
        <f t="shared" si="110"/>
        <v/>
      </c>
    </row>
    <row r="125" spans="2:110" hidden="1" outlineLevel="1">
      <c r="B125" s="54">
        <f t="shared" si="111"/>
        <v>43927</v>
      </c>
      <c r="C125" s="55" t="s">
        <v>1</v>
      </c>
      <c r="D125" s="56">
        <f t="shared" si="112"/>
        <v>43933</v>
      </c>
      <c r="E125" s="52">
        <f t="shared" si="113"/>
        <v>4</v>
      </c>
      <c r="F125" s="53">
        <f t="shared" si="114"/>
        <v>2020</v>
      </c>
      <c r="G125" s="62">
        <f t="shared" si="115"/>
        <v>15</v>
      </c>
      <c r="H125" s="63">
        <f t="shared" si="116"/>
        <v>96</v>
      </c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>
        <v>15</v>
      </c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80"/>
      <c r="AG125" s="87">
        <f t="shared" si="70"/>
        <v>0</v>
      </c>
      <c r="AH125" s="87">
        <f t="shared" si="71"/>
        <v>0</v>
      </c>
      <c r="AI125" s="87">
        <f t="shared" si="72"/>
        <v>0</v>
      </c>
      <c r="AJ125" s="87">
        <f t="shared" si="73"/>
        <v>0</v>
      </c>
      <c r="AK125" s="87">
        <f t="shared" si="74"/>
        <v>0</v>
      </c>
      <c r="AL125" s="87">
        <f t="shared" si="75"/>
        <v>0</v>
      </c>
      <c r="AM125" s="87">
        <f t="shared" si="76"/>
        <v>0</v>
      </c>
      <c r="AN125" s="87">
        <f t="shared" si="77"/>
        <v>0</v>
      </c>
      <c r="AO125" s="87">
        <f t="shared" si="78"/>
        <v>0</v>
      </c>
      <c r="AP125" s="87">
        <f t="shared" si="79"/>
        <v>0</v>
      </c>
      <c r="AQ125" s="87">
        <f t="shared" si="80"/>
        <v>15</v>
      </c>
      <c r="AR125" s="81"/>
      <c r="AS125" s="85">
        <f t="shared" si="81"/>
        <v>0</v>
      </c>
      <c r="AT125" s="85">
        <f t="shared" si="82"/>
        <v>0</v>
      </c>
      <c r="AU125" s="85">
        <f t="shared" si="83"/>
        <v>0</v>
      </c>
      <c r="AV125" s="85">
        <f t="shared" si="84"/>
        <v>0</v>
      </c>
      <c r="AW125" s="85">
        <f t="shared" si="85"/>
        <v>0</v>
      </c>
      <c r="AX125" s="85">
        <f t="shared" si="86"/>
        <v>0</v>
      </c>
      <c r="AY125" s="85">
        <f t="shared" si="87"/>
        <v>0</v>
      </c>
      <c r="AZ125" s="85">
        <f t="shared" si="88"/>
        <v>0</v>
      </c>
      <c r="BA125" s="85">
        <f t="shared" si="89"/>
        <v>0</v>
      </c>
      <c r="BB125" s="85">
        <f t="shared" si="90"/>
        <v>0</v>
      </c>
      <c r="BC125" s="85">
        <f t="shared" si="91"/>
        <v>0</v>
      </c>
      <c r="BD125" s="85">
        <f t="shared" si="92"/>
        <v>0</v>
      </c>
      <c r="BE125" s="85">
        <f t="shared" si="93"/>
        <v>0</v>
      </c>
      <c r="BF125" s="85">
        <f t="shared" si="94"/>
        <v>0</v>
      </c>
      <c r="BG125" s="85">
        <f t="shared" si="95"/>
        <v>0</v>
      </c>
      <c r="BH125" s="85">
        <f t="shared" si="96"/>
        <v>0</v>
      </c>
      <c r="BI125" s="85">
        <f t="shared" si="97"/>
        <v>0</v>
      </c>
      <c r="BJ125" s="85">
        <f t="shared" si="98"/>
        <v>0</v>
      </c>
      <c r="BK125" s="85">
        <f t="shared" si="99"/>
        <v>0</v>
      </c>
      <c r="BL125" s="85">
        <f t="shared" si="100"/>
        <v>0</v>
      </c>
      <c r="BM125" s="85">
        <f t="shared" si="101"/>
        <v>0</v>
      </c>
      <c r="BN125" s="85">
        <f t="shared" si="102"/>
        <v>0</v>
      </c>
      <c r="BO125" s="85">
        <f t="shared" si="103"/>
        <v>0</v>
      </c>
      <c r="BP125" s="85">
        <f t="shared" si="104"/>
        <v>0</v>
      </c>
      <c r="BQ125" s="85">
        <f t="shared" si="105"/>
        <v>0</v>
      </c>
      <c r="BR125" s="85">
        <f t="shared" si="106"/>
        <v>0</v>
      </c>
      <c r="BT125" s="63"/>
      <c r="BU125" s="63"/>
      <c r="BV125" s="63"/>
      <c r="BW125" s="63"/>
      <c r="BX125" s="63"/>
      <c r="BY125" s="6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3"/>
      <c r="CM125" s="63"/>
      <c r="CN125" s="63"/>
      <c r="CO125" s="63"/>
      <c r="CP125" s="63"/>
      <c r="CQ125" s="63"/>
      <c r="CR125" s="63"/>
      <c r="CS125" s="63"/>
      <c r="CW125">
        <v>8</v>
      </c>
      <c r="CX125" s="35">
        <v>43927</v>
      </c>
      <c r="CZ125" s="35">
        <f>B142</f>
        <v>44046</v>
      </c>
      <c r="DA125">
        <v>95</v>
      </c>
      <c r="DC125" s="57" t="str">
        <f t="shared" si="107"/>
        <v/>
      </c>
      <c r="DD125" s="64" t="str">
        <f t="shared" si="108"/>
        <v/>
      </c>
      <c r="DE125" s="65" t="str">
        <f t="shared" si="109"/>
        <v/>
      </c>
      <c r="DF125" s="66" t="str">
        <f t="shared" si="110"/>
        <v/>
      </c>
    </row>
    <row r="126" spans="2:110" hidden="1" outlineLevel="1">
      <c r="B126" s="54">
        <f t="shared" si="111"/>
        <v>43934</v>
      </c>
      <c r="C126" s="55" t="s">
        <v>1</v>
      </c>
      <c r="D126" s="56">
        <f t="shared" si="112"/>
        <v>43940</v>
      </c>
      <c r="E126" s="52">
        <f t="shared" si="113"/>
        <v>4</v>
      </c>
      <c r="F126" s="53">
        <f t="shared" si="114"/>
        <v>2020</v>
      </c>
      <c r="G126" s="62">
        <f t="shared" si="115"/>
        <v>15</v>
      </c>
      <c r="H126" s="63">
        <f t="shared" si="116"/>
        <v>96</v>
      </c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>
        <v>15</v>
      </c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80"/>
      <c r="AG126" s="87">
        <f t="shared" si="70"/>
        <v>0</v>
      </c>
      <c r="AH126" s="87">
        <f t="shared" si="71"/>
        <v>0</v>
      </c>
      <c r="AI126" s="87">
        <f t="shared" si="72"/>
        <v>0</v>
      </c>
      <c r="AJ126" s="87">
        <f t="shared" si="73"/>
        <v>0</v>
      </c>
      <c r="AK126" s="87">
        <f t="shared" si="74"/>
        <v>0</v>
      </c>
      <c r="AL126" s="87">
        <f t="shared" si="75"/>
        <v>0</v>
      </c>
      <c r="AM126" s="87">
        <f t="shared" si="76"/>
        <v>0</v>
      </c>
      <c r="AN126" s="87">
        <f t="shared" si="77"/>
        <v>0</v>
      </c>
      <c r="AO126" s="87">
        <f t="shared" si="78"/>
        <v>0</v>
      </c>
      <c r="AP126" s="87">
        <f t="shared" si="79"/>
        <v>0</v>
      </c>
      <c r="AQ126" s="87">
        <f t="shared" si="80"/>
        <v>15</v>
      </c>
      <c r="AR126" s="81"/>
      <c r="AS126" s="85">
        <f t="shared" si="81"/>
        <v>0</v>
      </c>
      <c r="AT126" s="85">
        <f t="shared" si="82"/>
        <v>0</v>
      </c>
      <c r="AU126" s="85">
        <f t="shared" si="83"/>
        <v>0</v>
      </c>
      <c r="AV126" s="85">
        <f t="shared" si="84"/>
        <v>0</v>
      </c>
      <c r="AW126" s="85">
        <f t="shared" si="85"/>
        <v>0</v>
      </c>
      <c r="AX126" s="85">
        <f t="shared" si="86"/>
        <v>0</v>
      </c>
      <c r="AY126" s="85">
        <f t="shared" si="87"/>
        <v>0</v>
      </c>
      <c r="AZ126" s="85">
        <f t="shared" si="88"/>
        <v>0</v>
      </c>
      <c r="BA126" s="85">
        <f t="shared" si="89"/>
        <v>0</v>
      </c>
      <c r="BB126" s="85">
        <f t="shared" si="90"/>
        <v>0</v>
      </c>
      <c r="BC126" s="85">
        <f t="shared" si="91"/>
        <v>0</v>
      </c>
      <c r="BD126" s="85">
        <f t="shared" si="92"/>
        <v>0</v>
      </c>
      <c r="BE126" s="85">
        <f t="shared" si="93"/>
        <v>0</v>
      </c>
      <c r="BF126" s="85">
        <f t="shared" si="94"/>
        <v>0</v>
      </c>
      <c r="BG126" s="85">
        <f t="shared" si="95"/>
        <v>0</v>
      </c>
      <c r="BH126" s="85">
        <f t="shared" si="96"/>
        <v>0</v>
      </c>
      <c r="BI126" s="85">
        <f t="shared" si="97"/>
        <v>0</v>
      </c>
      <c r="BJ126" s="85">
        <f t="shared" si="98"/>
        <v>0</v>
      </c>
      <c r="BK126" s="85">
        <f t="shared" si="99"/>
        <v>0</v>
      </c>
      <c r="BL126" s="85">
        <f t="shared" si="100"/>
        <v>0</v>
      </c>
      <c r="BM126" s="85">
        <f t="shared" si="101"/>
        <v>0</v>
      </c>
      <c r="BN126" s="85">
        <f t="shared" si="102"/>
        <v>0</v>
      </c>
      <c r="BO126" s="85">
        <f t="shared" si="103"/>
        <v>0</v>
      </c>
      <c r="BP126" s="85">
        <f t="shared" si="104"/>
        <v>0</v>
      </c>
      <c r="BQ126" s="85">
        <f t="shared" si="105"/>
        <v>0</v>
      </c>
      <c r="BR126" s="85">
        <f t="shared" si="106"/>
        <v>0</v>
      </c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X126" s="35" t="s">
        <v>12</v>
      </c>
      <c r="CZ126" s="35"/>
      <c r="DC126" s="57" t="str">
        <f t="shared" si="107"/>
        <v/>
      </c>
      <c r="DD126" s="64" t="str">
        <f t="shared" si="108"/>
        <v/>
      </c>
      <c r="DE126" s="65" t="str">
        <f t="shared" si="109"/>
        <v/>
      </c>
      <c r="DF126" s="66" t="str">
        <f t="shared" si="110"/>
        <v/>
      </c>
    </row>
    <row r="127" spans="2:110" hidden="1" outlineLevel="1">
      <c r="B127" s="54">
        <f t="shared" si="111"/>
        <v>43941</v>
      </c>
      <c r="C127" s="55" t="s">
        <v>1</v>
      </c>
      <c r="D127" s="56">
        <f t="shared" si="112"/>
        <v>43947</v>
      </c>
      <c r="E127" s="52">
        <f t="shared" si="113"/>
        <v>4</v>
      </c>
      <c r="F127" s="53">
        <f t="shared" si="114"/>
        <v>2020</v>
      </c>
      <c r="G127" s="62">
        <f t="shared" si="115"/>
        <v>15</v>
      </c>
      <c r="H127" s="63">
        <f t="shared" si="116"/>
        <v>96</v>
      </c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>
        <v>15</v>
      </c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80"/>
      <c r="AG127" s="87">
        <f t="shared" si="70"/>
        <v>0</v>
      </c>
      <c r="AH127" s="87">
        <f t="shared" si="71"/>
        <v>0</v>
      </c>
      <c r="AI127" s="87">
        <f t="shared" si="72"/>
        <v>0</v>
      </c>
      <c r="AJ127" s="87">
        <f t="shared" si="73"/>
        <v>0</v>
      </c>
      <c r="AK127" s="87">
        <f t="shared" si="74"/>
        <v>0</v>
      </c>
      <c r="AL127" s="87">
        <f t="shared" si="75"/>
        <v>0</v>
      </c>
      <c r="AM127" s="87">
        <f t="shared" si="76"/>
        <v>0</v>
      </c>
      <c r="AN127" s="87">
        <f t="shared" si="77"/>
        <v>0</v>
      </c>
      <c r="AO127" s="87">
        <f t="shared" si="78"/>
        <v>0</v>
      </c>
      <c r="AP127" s="87">
        <f t="shared" si="79"/>
        <v>0</v>
      </c>
      <c r="AQ127" s="87">
        <f t="shared" si="80"/>
        <v>15</v>
      </c>
      <c r="AR127" s="81"/>
      <c r="AS127" s="85">
        <f t="shared" si="81"/>
        <v>0</v>
      </c>
      <c r="AT127" s="85">
        <f t="shared" si="82"/>
        <v>0</v>
      </c>
      <c r="AU127" s="85">
        <f t="shared" si="83"/>
        <v>0</v>
      </c>
      <c r="AV127" s="85">
        <f t="shared" si="84"/>
        <v>0</v>
      </c>
      <c r="AW127" s="85">
        <f t="shared" si="85"/>
        <v>0</v>
      </c>
      <c r="AX127" s="85">
        <f t="shared" si="86"/>
        <v>0</v>
      </c>
      <c r="AY127" s="85">
        <f t="shared" si="87"/>
        <v>0</v>
      </c>
      <c r="AZ127" s="85">
        <f t="shared" si="88"/>
        <v>0</v>
      </c>
      <c r="BA127" s="85">
        <f t="shared" si="89"/>
        <v>0</v>
      </c>
      <c r="BB127" s="85">
        <f t="shared" si="90"/>
        <v>0</v>
      </c>
      <c r="BC127" s="85">
        <f t="shared" si="91"/>
        <v>0</v>
      </c>
      <c r="BD127" s="85">
        <f t="shared" si="92"/>
        <v>0</v>
      </c>
      <c r="BE127" s="85">
        <f t="shared" si="93"/>
        <v>0</v>
      </c>
      <c r="BF127" s="85">
        <f t="shared" si="94"/>
        <v>0</v>
      </c>
      <c r="BG127" s="85">
        <f t="shared" si="95"/>
        <v>0</v>
      </c>
      <c r="BH127" s="85">
        <f t="shared" si="96"/>
        <v>0</v>
      </c>
      <c r="BI127" s="85">
        <f t="shared" si="97"/>
        <v>0</v>
      </c>
      <c r="BJ127" s="85">
        <f t="shared" si="98"/>
        <v>0</v>
      </c>
      <c r="BK127" s="85">
        <f t="shared" si="99"/>
        <v>0</v>
      </c>
      <c r="BL127" s="85">
        <f t="shared" si="100"/>
        <v>0</v>
      </c>
      <c r="BM127" s="85">
        <f t="shared" si="101"/>
        <v>0</v>
      </c>
      <c r="BN127" s="85">
        <f t="shared" si="102"/>
        <v>0</v>
      </c>
      <c r="BO127" s="85">
        <f t="shared" si="103"/>
        <v>0</v>
      </c>
      <c r="BP127" s="85">
        <f t="shared" si="104"/>
        <v>0</v>
      </c>
      <c r="BQ127" s="85">
        <f t="shared" si="105"/>
        <v>0</v>
      </c>
      <c r="BR127" s="85">
        <f t="shared" si="106"/>
        <v>0</v>
      </c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3"/>
      <c r="CM127" s="63"/>
      <c r="CN127" s="63"/>
      <c r="CO127" s="63"/>
      <c r="CP127" s="63"/>
      <c r="CQ127" s="63"/>
      <c r="CR127" s="63"/>
      <c r="CS127" s="63"/>
      <c r="CX127" s="35" t="s">
        <v>12</v>
      </c>
      <c r="CZ127" s="35"/>
      <c r="DC127" s="57" t="str">
        <f t="shared" si="107"/>
        <v/>
      </c>
      <c r="DD127" s="64" t="str">
        <f t="shared" si="108"/>
        <v/>
      </c>
      <c r="DE127" s="65" t="str">
        <f t="shared" si="109"/>
        <v/>
      </c>
      <c r="DF127" s="66" t="str">
        <f t="shared" si="110"/>
        <v/>
      </c>
    </row>
    <row r="128" spans="2:110" hidden="1" outlineLevel="1">
      <c r="B128" s="54">
        <f t="shared" si="111"/>
        <v>43948</v>
      </c>
      <c r="C128" s="55" t="s">
        <v>1</v>
      </c>
      <c r="D128" s="56">
        <f t="shared" si="112"/>
        <v>43954</v>
      </c>
      <c r="E128" s="52">
        <f t="shared" si="113"/>
        <v>4</v>
      </c>
      <c r="F128" s="53">
        <f t="shared" si="114"/>
        <v>2020</v>
      </c>
      <c r="G128" s="62">
        <f t="shared" si="115"/>
        <v>15</v>
      </c>
      <c r="H128" s="63">
        <f t="shared" si="116"/>
        <v>96</v>
      </c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>
        <v>15</v>
      </c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80"/>
      <c r="AG128" s="87">
        <f t="shared" si="70"/>
        <v>0</v>
      </c>
      <c r="AH128" s="87">
        <f t="shared" si="71"/>
        <v>0</v>
      </c>
      <c r="AI128" s="87">
        <f t="shared" si="72"/>
        <v>0</v>
      </c>
      <c r="AJ128" s="87">
        <f t="shared" si="73"/>
        <v>0</v>
      </c>
      <c r="AK128" s="87">
        <f t="shared" si="74"/>
        <v>0</v>
      </c>
      <c r="AL128" s="87">
        <f t="shared" si="75"/>
        <v>0</v>
      </c>
      <c r="AM128" s="87">
        <f t="shared" si="76"/>
        <v>0</v>
      </c>
      <c r="AN128" s="87">
        <f t="shared" si="77"/>
        <v>0</v>
      </c>
      <c r="AO128" s="87">
        <f t="shared" si="78"/>
        <v>0</v>
      </c>
      <c r="AP128" s="87">
        <f t="shared" si="79"/>
        <v>0</v>
      </c>
      <c r="AQ128" s="87">
        <f t="shared" si="80"/>
        <v>15</v>
      </c>
      <c r="AR128" s="81"/>
      <c r="AS128" s="85">
        <f t="shared" si="81"/>
        <v>0</v>
      </c>
      <c r="AT128" s="85">
        <f t="shared" si="82"/>
        <v>0</v>
      </c>
      <c r="AU128" s="85">
        <f t="shared" si="83"/>
        <v>0</v>
      </c>
      <c r="AV128" s="85">
        <f t="shared" si="84"/>
        <v>0</v>
      </c>
      <c r="AW128" s="85">
        <f t="shared" si="85"/>
        <v>0</v>
      </c>
      <c r="AX128" s="85">
        <f t="shared" si="86"/>
        <v>0</v>
      </c>
      <c r="AY128" s="85">
        <f t="shared" si="87"/>
        <v>0</v>
      </c>
      <c r="AZ128" s="85">
        <f t="shared" si="88"/>
        <v>0</v>
      </c>
      <c r="BA128" s="85">
        <f t="shared" si="89"/>
        <v>0</v>
      </c>
      <c r="BB128" s="85">
        <f t="shared" si="90"/>
        <v>0</v>
      </c>
      <c r="BC128" s="85">
        <f t="shared" si="91"/>
        <v>0</v>
      </c>
      <c r="BD128" s="85">
        <f t="shared" si="92"/>
        <v>0</v>
      </c>
      <c r="BE128" s="85">
        <f t="shared" si="93"/>
        <v>0</v>
      </c>
      <c r="BF128" s="85">
        <f t="shared" si="94"/>
        <v>0</v>
      </c>
      <c r="BG128" s="85">
        <f t="shared" si="95"/>
        <v>0</v>
      </c>
      <c r="BH128" s="85">
        <f t="shared" si="96"/>
        <v>0</v>
      </c>
      <c r="BI128" s="85">
        <f t="shared" si="97"/>
        <v>0</v>
      </c>
      <c r="BJ128" s="85">
        <f t="shared" si="98"/>
        <v>0</v>
      </c>
      <c r="BK128" s="85">
        <f t="shared" si="99"/>
        <v>0</v>
      </c>
      <c r="BL128" s="85">
        <f t="shared" si="100"/>
        <v>0</v>
      </c>
      <c r="BM128" s="85">
        <f t="shared" si="101"/>
        <v>0</v>
      </c>
      <c r="BN128" s="85">
        <f t="shared" si="102"/>
        <v>0</v>
      </c>
      <c r="BO128" s="85">
        <f t="shared" si="103"/>
        <v>0</v>
      </c>
      <c r="BP128" s="85">
        <f t="shared" si="104"/>
        <v>0</v>
      </c>
      <c r="BQ128" s="85">
        <f t="shared" si="105"/>
        <v>0</v>
      </c>
      <c r="BR128" s="85">
        <f t="shared" si="106"/>
        <v>0</v>
      </c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3"/>
      <c r="CH128" s="63"/>
      <c r="CI128" s="63"/>
      <c r="CJ128" s="63"/>
      <c r="CK128" s="63"/>
      <c r="CL128" s="63"/>
      <c r="CM128" s="63"/>
      <c r="CN128" s="63"/>
      <c r="CO128" s="63"/>
      <c r="CP128" s="63"/>
      <c r="CQ128" s="63"/>
      <c r="CR128" s="63"/>
      <c r="CS128" s="63"/>
      <c r="CX128" s="35" t="s">
        <v>12</v>
      </c>
      <c r="CZ128" s="35"/>
      <c r="DC128" s="57" t="str">
        <f t="shared" si="107"/>
        <v/>
      </c>
      <c r="DD128" s="64" t="str">
        <f t="shared" si="108"/>
        <v/>
      </c>
      <c r="DE128" s="65" t="str">
        <f t="shared" si="109"/>
        <v/>
      </c>
      <c r="DF128" s="66" t="str">
        <f t="shared" si="110"/>
        <v/>
      </c>
    </row>
    <row r="129" spans="2:110" hidden="1" outlineLevel="1">
      <c r="B129" s="54">
        <f t="shared" si="111"/>
        <v>43955</v>
      </c>
      <c r="C129" s="55" t="s">
        <v>1</v>
      </c>
      <c r="D129" s="56">
        <f t="shared" si="112"/>
        <v>43961</v>
      </c>
      <c r="E129" s="52">
        <f t="shared" si="113"/>
        <v>5</v>
      </c>
      <c r="F129" s="53">
        <f t="shared" si="114"/>
        <v>2020</v>
      </c>
      <c r="G129" s="62">
        <f t="shared" si="115"/>
        <v>15</v>
      </c>
      <c r="H129" s="63">
        <f t="shared" si="116"/>
        <v>96</v>
      </c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>
        <v>15</v>
      </c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80"/>
      <c r="AG129" s="87">
        <f t="shared" si="70"/>
        <v>0</v>
      </c>
      <c r="AH129" s="87">
        <f t="shared" si="71"/>
        <v>0</v>
      </c>
      <c r="AI129" s="87">
        <f t="shared" si="72"/>
        <v>0</v>
      </c>
      <c r="AJ129" s="87">
        <f t="shared" si="73"/>
        <v>0</v>
      </c>
      <c r="AK129" s="87">
        <f t="shared" si="74"/>
        <v>0</v>
      </c>
      <c r="AL129" s="87">
        <f t="shared" si="75"/>
        <v>0</v>
      </c>
      <c r="AM129" s="87">
        <f t="shared" si="76"/>
        <v>0</v>
      </c>
      <c r="AN129" s="87">
        <f t="shared" si="77"/>
        <v>0</v>
      </c>
      <c r="AO129" s="87">
        <f t="shared" si="78"/>
        <v>0</v>
      </c>
      <c r="AP129" s="87">
        <f t="shared" si="79"/>
        <v>0</v>
      </c>
      <c r="AQ129" s="87">
        <f t="shared" si="80"/>
        <v>15</v>
      </c>
      <c r="AR129" s="81"/>
      <c r="AS129" s="85">
        <f t="shared" si="81"/>
        <v>0</v>
      </c>
      <c r="AT129" s="85">
        <f t="shared" si="82"/>
        <v>0</v>
      </c>
      <c r="AU129" s="85">
        <f t="shared" si="83"/>
        <v>0</v>
      </c>
      <c r="AV129" s="85">
        <f t="shared" si="84"/>
        <v>0</v>
      </c>
      <c r="AW129" s="85">
        <f t="shared" si="85"/>
        <v>0</v>
      </c>
      <c r="AX129" s="85">
        <f t="shared" si="86"/>
        <v>0</v>
      </c>
      <c r="AY129" s="85">
        <f t="shared" si="87"/>
        <v>0</v>
      </c>
      <c r="AZ129" s="85">
        <f t="shared" si="88"/>
        <v>0</v>
      </c>
      <c r="BA129" s="85">
        <f t="shared" si="89"/>
        <v>0</v>
      </c>
      <c r="BB129" s="85">
        <f t="shared" si="90"/>
        <v>0</v>
      </c>
      <c r="BC129" s="85">
        <f t="shared" si="91"/>
        <v>0</v>
      </c>
      <c r="BD129" s="85">
        <f t="shared" si="92"/>
        <v>0</v>
      </c>
      <c r="BE129" s="85">
        <f t="shared" si="93"/>
        <v>0</v>
      </c>
      <c r="BF129" s="85">
        <f t="shared" si="94"/>
        <v>0</v>
      </c>
      <c r="BG129" s="85">
        <f t="shared" si="95"/>
        <v>0</v>
      </c>
      <c r="BH129" s="85">
        <f t="shared" si="96"/>
        <v>0</v>
      </c>
      <c r="BI129" s="85">
        <f t="shared" si="97"/>
        <v>0</v>
      </c>
      <c r="BJ129" s="85">
        <f t="shared" si="98"/>
        <v>0</v>
      </c>
      <c r="BK129" s="85">
        <f t="shared" si="99"/>
        <v>0</v>
      </c>
      <c r="BL129" s="85">
        <f t="shared" si="100"/>
        <v>0</v>
      </c>
      <c r="BM129" s="85">
        <f t="shared" si="101"/>
        <v>0</v>
      </c>
      <c r="BN129" s="85">
        <f t="shared" si="102"/>
        <v>0</v>
      </c>
      <c r="BO129" s="85">
        <f t="shared" si="103"/>
        <v>0</v>
      </c>
      <c r="BP129" s="85">
        <f t="shared" si="104"/>
        <v>0</v>
      </c>
      <c r="BQ129" s="85">
        <f t="shared" si="105"/>
        <v>0</v>
      </c>
      <c r="BR129" s="85">
        <f t="shared" si="106"/>
        <v>0</v>
      </c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W129">
        <v>16</v>
      </c>
      <c r="CX129" s="35">
        <v>43955</v>
      </c>
      <c r="CZ129" s="35">
        <f>B146</f>
        <v>44074</v>
      </c>
      <c r="DA129">
        <v>98</v>
      </c>
      <c r="DC129" s="57" t="str">
        <f t="shared" si="107"/>
        <v/>
      </c>
      <c r="DD129" s="64" t="str">
        <f t="shared" si="108"/>
        <v/>
      </c>
      <c r="DE129" s="65" t="str">
        <f t="shared" si="109"/>
        <v/>
      </c>
      <c r="DF129" s="66" t="str">
        <f t="shared" si="110"/>
        <v/>
      </c>
    </row>
    <row r="130" spans="2:110" hidden="1" outlineLevel="1">
      <c r="B130" s="54">
        <f t="shared" si="111"/>
        <v>43962</v>
      </c>
      <c r="C130" s="55" t="s">
        <v>1</v>
      </c>
      <c r="D130" s="56">
        <f t="shared" si="112"/>
        <v>43968</v>
      </c>
      <c r="E130" s="52">
        <f t="shared" si="113"/>
        <v>5</v>
      </c>
      <c r="F130" s="53">
        <f t="shared" si="114"/>
        <v>2020</v>
      </c>
      <c r="G130" s="62">
        <f t="shared" si="115"/>
        <v>15</v>
      </c>
      <c r="H130" s="63">
        <f t="shared" si="116"/>
        <v>96</v>
      </c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>
        <v>15</v>
      </c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80"/>
      <c r="AG130" s="87">
        <f t="shared" si="70"/>
        <v>0</v>
      </c>
      <c r="AH130" s="87">
        <f t="shared" si="71"/>
        <v>0</v>
      </c>
      <c r="AI130" s="87">
        <f t="shared" si="72"/>
        <v>0</v>
      </c>
      <c r="AJ130" s="87">
        <f t="shared" si="73"/>
        <v>0</v>
      </c>
      <c r="AK130" s="87">
        <f t="shared" si="74"/>
        <v>0</v>
      </c>
      <c r="AL130" s="87">
        <f t="shared" si="75"/>
        <v>0</v>
      </c>
      <c r="AM130" s="87">
        <f t="shared" si="76"/>
        <v>0</v>
      </c>
      <c r="AN130" s="87">
        <f t="shared" si="77"/>
        <v>0</v>
      </c>
      <c r="AO130" s="87">
        <f t="shared" si="78"/>
        <v>0</v>
      </c>
      <c r="AP130" s="87">
        <f t="shared" si="79"/>
        <v>0</v>
      </c>
      <c r="AQ130" s="87">
        <f t="shared" si="80"/>
        <v>15</v>
      </c>
      <c r="AR130" s="81"/>
      <c r="AS130" s="85">
        <f t="shared" si="81"/>
        <v>0</v>
      </c>
      <c r="AT130" s="85">
        <f t="shared" si="82"/>
        <v>0</v>
      </c>
      <c r="AU130" s="85">
        <f t="shared" si="83"/>
        <v>0</v>
      </c>
      <c r="AV130" s="85">
        <f t="shared" si="84"/>
        <v>0</v>
      </c>
      <c r="AW130" s="85">
        <f t="shared" si="85"/>
        <v>0</v>
      </c>
      <c r="AX130" s="85">
        <f t="shared" si="86"/>
        <v>0</v>
      </c>
      <c r="AY130" s="85">
        <f t="shared" si="87"/>
        <v>0</v>
      </c>
      <c r="AZ130" s="85">
        <f t="shared" si="88"/>
        <v>0</v>
      </c>
      <c r="BA130" s="85">
        <f t="shared" si="89"/>
        <v>0</v>
      </c>
      <c r="BB130" s="85">
        <f t="shared" si="90"/>
        <v>0</v>
      </c>
      <c r="BC130" s="85">
        <f t="shared" si="91"/>
        <v>0</v>
      </c>
      <c r="BD130" s="85">
        <f t="shared" si="92"/>
        <v>0</v>
      </c>
      <c r="BE130" s="85">
        <f t="shared" si="93"/>
        <v>0</v>
      </c>
      <c r="BF130" s="85">
        <f t="shared" si="94"/>
        <v>0</v>
      </c>
      <c r="BG130" s="85">
        <f t="shared" si="95"/>
        <v>0</v>
      </c>
      <c r="BH130" s="85">
        <f t="shared" si="96"/>
        <v>0</v>
      </c>
      <c r="BI130" s="85">
        <f t="shared" si="97"/>
        <v>0</v>
      </c>
      <c r="BJ130" s="85">
        <f t="shared" si="98"/>
        <v>0</v>
      </c>
      <c r="BK130" s="85">
        <f t="shared" si="99"/>
        <v>0</v>
      </c>
      <c r="BL130" s="85">
        <f t="shared" si="100"/>
        <v>0</v>
      </c>
      <c r="BM130" s="85">
        <f t="shared" si="101"/>
        <v>0</v>
      </c>
      <c r="BN130" s="85">
        <f t="shared" si="102"/>
        <v>0</v>
      </c>
      <c r="BO130" s="85">
        <f t="shared" si="103"/>
        <v>0</v>
      </c>
      <c r="BP130" s="85">
        <f t="shared" si="104"/>
        <v>0</v>
      </c>
      <c r="BQ130" s="85">
        <f t="shared" si="105"/>
        <v>0</v>
      </c>
      <c r="BR130" s="85">
        <f t="shared" si="106"/>
        <v>0</v>
      </c>
      <c r="BT130" s="63"/>
      <c r="BU130" s="63"/>
      <c r="BV130" s="63"/>
      <c r="BW130" s="63"/>
      <c r="BX130" s="63"/>
      <c r="BY130" s="6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3"/>
      <c r="CM130" s="63"/>
      <c r="CN130" s="63"/>
      <c r="CO130" s="63"/>
      <c r="CP130" s="63"/>
      <c r="CQ130" s="63"/>
      <c r="CR130" s="63"/>
      <c r="CS130" s="63"/>
      <c r="CX130" s="35" t="s">
        <v>12</v>
      </c>
      <c r="CZ130" s="35"/>
      <c r="DC130" s="57" t="str">
        <f t="shared" si="107"/>
        <v/>
      </c>
      <c r="DD130" s="64" t="str">
        <f t="shared" si="108"/>
        <v/>
      </c>
      <c r="DE130" s="65" t="str">
        <f t="shared" si="109"/>
        <v/>
      </c>
      <c r="DF130" s="66" t="str">
        <f t="shared" si="110"/>
        <v/>
      </c>
    </row>
    <row r="131" spans="2:110" hidden="1" outlineLevel="1">
      <c r="B131" s="54">
        <f t="shared" si="111"/>
        <v>43969</v>
      </c>
      <c r="C131" s="55" t="s">
        <v>1</v>
      </c>
      <c r="D131" s="56">
        <f t="shared" si="112"/>
        <v>43975</v>
      </c>
      <c r="E131" s="52">
        <f t="shared" si="113"/>
        <v>5</v>
      </c>
      <c r="F131" s="53">
        <f t="shared" si="114"/>
        <v>2020</v>
      </c>
      <c r="G131" s="62">
        <f t="shared" si="115"/>
        <v>15</v>
      </c>
      <c r="H131" s="63">
        <f t="shared" si="116"/>
        <v>96</v>
      </c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>
        <v>15</v>
      </c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80"/>
      <c r="AG131" s="87">
        <f t="shared" si="70"/>
        <v>0</v>
      </c>
      <c r="AH131" s="87">
        <f t="shared" si="71"/>
        <v>0</v>
      </c>
      <c r="AI131" s="87">
        <f t="shared" si="72"/>
        <v>0</v>
      </c>
      <c r="AJ131" s="87">
        <f t="shared" si="73"/>
        <v>0</v>
      </c>
      <c r="AK131" s="87">
        <f t="shared" si="74"/>
        <v>0</v>
      </c>
      <c r="AL131" s="87">
        <f t="shared" si="75"/>
        <v>0</v>
      </c>
      <c r="AM131" s="87">
        <f t="shared" si="76"/>
        <v>0</v>
      </c>
      <c r="AN131" s="87">
        <f t="shared" si="77"/>
        <v>0</v>
      </c>
      <c r="AO131" s="87">
        <f t="shared" si="78"/>
        <v>0</v>
      </c>
      <c r="AP131" s="87">
        <f t="shared" si="79"/>
        <v>0</v>
      </c>
      <c r="AQ131" s="87">
        <f t="shared" si="80"/>
        <v>15</v>
      </c>
      <c r="AR131" s="81"/>
      <c r="AS131" s="85">
        <f t="shared" si="81"/>
        <v>0</v>
      </c>
      <c r="AT131" s="85">
        <f t="shared" si="82"/>
        <v>0</v>
      </c>
      <c r="AU131" s="85">
        <f t="shared" si="83"/>
        <v>0</v>
      </c>
      <c r="AV131" s="85">
        <f t="shared" si="84"/>
        <v>0</v>
      </c>
      <c r="AW131" s="85">
        <f t="shared" si="85"/>
        <v>0</v>
      </c>
      <c r="AX131" s="85">
        <f t="shared" si="86"/>
        <v>0</v>
      </c>
      <c r="AY131" s="85">
        <f t="shared" si="87"/>
        <v>0</v>
      </c>
      <c r="AZ131" s="85">
        <f t="shared" si="88"/>
        <v>0</v>
      </c>
      <c r="BA131" s="85">
        <f t="shared" si="89"/>
        <v>0</v>
      </c>
      <c r="BB131" s="85">
        <f t="shared" si="90"/>
        <v>0</v>
      </c>
      <c r="BC131" s="85">
        <f t="shared" si="91"/>
        <v>0</v>
      </c>
      <c r="BD131" s="85">
        <f t="shared" si="92"/>
        <v>0</v>
      </c>
      <c r="BE131" s="85">
        <f t="shared" si="93"/>
        <v>0</v>
      </c>
      <c r="BF131" s="85">
        <f t="shared" si="94"/>
        <v>0</v>
      </c>
      <c r="BG131" s="85">
        <f t="shared" si="95"/>
        <v>0</v>
      </c>
      <c r="BH131" s="85">
        <f t="shared" si="96"/>
        <v>0</v>
      </c>
      <c r="BI131" s="85">
        <f t="shared" si="97"/>
        <v>0</v>
      </c>
      <c r="BJ131" s="85">
        <f t="shared" si="98"/>
        <v>0</v>
      </c>
      <c r="BK131" s="85">
        <f t="shared" si="99"/>
        <v>0</v>
      </c>
      <c r="BL131" s="85">
        <f t="shared" si="100"/>
        <v>0</v>
      </c>
      <c r="BM131" s="85">
        <f t="shared" si="101"/>
        <v>0</v>
      </c>
      <c r="BN131" s="85">
        <f t="shared" si="102"/>
        <v>0</v>
      </c>
      <c r="BO131" s="85">
        <f t="shared" si="103"/>
        <v>0</v>
      </c>
      <c r="BP131" s="85">
        <f t="shared" si="104"/>
        <v>0</v>
      </c>
      <c r="BQ131" s="85">
        <f t="shared" si="105"/>
        <v>0</v>
      </c>
      <c r="BR131" s="85">
        <f t="shared" si="106"/>
        <v>0</v>
      </c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3"/>
      <c r="CH131" s="63"/>
      <c r="CI131" s="63"/>
      <c r="CJ131" s="63"/>
      <c r="CK131" s="63"/>
      <c r="CL131" s="63"/>
      <c r="CM131" s="63"/>
      <c r="CN131" s="63"/>
      <c r="CO131" s="63"/>
      <c r="CP131" s="63"/>
      <c r="CQ131" s="63"/>
      <c r="CR131" s="63"/>
      <c r="CS131" s="63"/>
      <c r="CX131" s="35" t="s">
        <v>12</v>
      </c>
      <c r="CZ131" s="35"/>
      <c r="DC131" s="57" t="str">
        <f t="shared" si="107"/>
        <v/>
      </c>
      <c r="DD131" s="64" t="str">
        <f t="shared" si="108"/>
        <v/>
      </c>
      <c r="DE131" s="65" t="str">
        <f t="shared" si="109"/>
        <v/>
      </c>
      <c r="DF131" s="66" t="str">
        <f t="shared" si="110"/>
        <v/>
      </c>
    </row>
    <row r="132" spans="2:110" hidden="1" outlineLevel="1">
      <c r="B132" s="54">
        <f t="shared" si="111"/>
        <v>43976</v>
      </c>
      <c r="C132" s="55" t="s">
        <v>1</v>
      </c>
      <c r="D132" s="56">
        <f t="shared" si="112"/>
        <v>43982</v>
      </c>
      <c r="E132" s="52">
        <f t="shared" si="113"/>
        <v>5</v>
      </c>
      <c r="F132" s="53">
        <f t="shared" si="114"/>
        <v>2020</v>
      </c>
      <c r="G132" s="62">
        <f t="shared" si="115"/>
        <v>15</v>
      </c>
      <c r="H132" s="63">
        <f t="shared" si="116"/>
        <v>96</v>
      </c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>
        <v>15</v>
      </c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80"/>
      <c r="AG132" s="87">
        <f t="shared" si="70"/>
        <v>0</v>
      </c>
      <c r="AH132" s="87">
        <f t="shared" si="71"/>
        <v>0</v>
      </c>
      <c r="AI132" s="87">
        <f t="shared" si="72"/>
        <v>0</v>
      </c>
      <c r="AJ132" s="87">
        <f t="shared" si="73"/>
        <v>0</v>
      </c>
      <c r="AK132" s="87">
        <f t="shared" si="74"/>
        <v>0</v>
      </c>
      <c r="AL132" s="87">
        <f t="shared" si="75"/>
        <v>0</v>
      </c>
      <c r="AM132" s="87">
        <f t="shared" si="76"/>
        <v>0</v>
      </c>
      <c r="AN132" s="87">
        <f t="shared" si="77"/>
        <v>0</v>
      </c>
      <c r="AO132" s="87">
        <f t="shared" si="78"/>
        <v>0</v>
      </c>
      <c r="AP132" s="87">
        <f t="shared" si="79"/>
        <v>0</v>
      </c>
      <c r="AQ132" s="87">
        <f t="shared" si="80"/>
        <v>15</v>
      </c>
      <c r="AR132" s="81"/>
      <c r="AS132" s="85">
        <f t="shared" si="81"/>
        <v>0</v>
      </c>
      <c r="AT132" s="85">
        <f t="shared" si="82"/>
        <v>0</v>
      </c>
      <c r="AU132" s="85">
        <f t="shared" si="83"/>
        <v>0</v>
      </c>
      <c r="AV132" s="85">
        <f t="shared" si="84"/>
        <v>0</v>
      </c>
      <c r="AW132" s="85">
        <f t="shared" si="85"/>
        <v>0</v>
      </c>
      <c r="AX132" s="85">
        <f t="shared" si="86"/>
        <v>0</v>
      </c>
      <c r="AY132" s="85">
        <f t="shared" si="87"/>
        <v>0</v>
      </c>
      <c r="AZ132" s="85">
        <f t="shared" si="88"/>
        <v>0</v>
      </c>
      <c r="BA132" s="85">
        <f t="shared" si="89"/>
        <v>0</v>
      </c>
      <c r="BB132" s="85">
        <f t="shared" si="90"/>
        <v>0</v>
      </c>
      <c r="BC132" s="85">
        <f t="shared" si="91"/>
        <v>0</v>
      </c>
      <c r="BD132" s="85">
        <f t="shared" si="92"/>
        <v>0</v>
      </c>
      <c r="BE132" s="85">
        <f t="shared" si="93"/>
        <v>0</v>
      </c>
      <c r="BF132" s="85">
        <f t="shared" si="94"/>
        <v>0</v>
      </c>
      <c r="BG132" s="85">
        <f t="shared" si="95"/>
        <v>0</v>
      </c>
      <c r="BH132" s="85">
        <f t="shared" si="96"/>
        <v>0</v>
      </c>
      <c r="BI132" s="85">
        <f t="shared" si="97"/>
        <v>0</v>
      </c>
      <c r="BJ132" s="85">
        <f t="shared" si="98"/>
        <v>0</v>
      </c>
      <c r="BK132" s="85">
        <f t="shared" si="99"/>
        <v>0</v>
      </c>
      <c r="BL132" s="85">
        <f t="shared" si="100"/>
        <v>0</v>
      </c>
      <c r="BM132" s="85">
        <f t="shared" si="101"/>
        <v>0</v>
      </c>
      <c r="BN132" s="85">
        <f t="shared" si="102"/>
        <v>0</v>
      </c>
      <c r="BO132" s="85">
        <f t="shared" si="103"/>
        <v>0</v>
      </c>
      <c r="BP132" s="85">
        <f t="shared" si="104"/>
        <v>0</v>
      </c>
      <c r="BQ132" s="85">
        <f t="shared" si="105"/>
        <v>0</v>
      </c>
      <c r="BR132" s="85">
        <f t="shared" si="106"/>
        <v>0</v>
      </c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3"/>
      <c r="CM132" s="63"/>
      <c r="CN132" s="63"/>
      <c r="CO132" s="63"/>
      <c r="CP132" s="63"/>
      <c r="CQ132" s="63"/>
      <c r="CR132" s="63"/>
      <c r="CS132" s="63"/>
      <c r="CX132" s="35" t="s">
        <v>12</v>
      </c>
      <c r="CZ132" s="35"/>
      <c r="DC132" s="57" t="str">
        <f t="shared" si="107"/>
        <v/>
      </c>
      <c r="DD132" s="64" t="str">
        <f t="shared" si="108"/>
        <v/>
      </c>
      <c r="DE132" s="65" t="str">
        <f t="shared" si="109"/>
        <v/>
      </c>
      <c r="DF132" s="66" t="str">
        <f t="shared" si="110"/>
        <v/>
      </c>
    </row>
    <row r="133" spans="2:110" hidden="1" outlineLevel="1">
      <c r="B133" s="54">
        <f t="shared" si="111"/>
        <v>43983</v>
      </c>
      <c r="C133" s="55" t="s">
        <v>1</v>
      </c>
      <c r="D133" s="56">
        <f t="shared" si="112"/>
        <v>43989</v>
      </c>
      <c r="E133" s="52">
        <f t="shared" si="113"/>
        <v>6</v>
      </c>
      <c r="F133" s="53">
        <f t="shared" si="114"/>
        <v>2020</v>
      </c>
      <c r="G133" s="62">
        <f t="shared" si="115"/>
        <v>15</v>
      </c>
      <c r="H133" s="63">
        <f t="shared" si="116"/>
        <v>96</v>
      </c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>
        <v>15</v>
      </c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80"/>
      <c r="AG133" s="87">
        <f t="shared" si="70"/>
        <v>0</v>
      </c>
      <c r="AH133" s="87">
        <f t="shared" si="71"/>
        <v>0</v>
      </c>
      <c r="AI133" s="87">
        <f t="shared" si="72"/>
        <v>0</v>
      </c>
      <c r="AJ133" s="87">
        <f t="shared" si="73"/>
        <v>0</v>
      </c>
      <c r="AK133" s="87">
        <f t="shared" si="74"/>
        <v>0</v>
      </c>
      <c r="AL133" s="87">
        <f t="shared" si="75"/>
        <v>0</v>
      </c>
      <c r="AM133" s="87">
        <f t="shared" si="76"/>
        <v>0</v>
      </c>
      <c r="AN133" s="87">
        <f t="shared" si="77"/>
        <v>0</v>
      </c>
      <c r="AO133" s="87">
        <f t="shared" si="78"/>
        <v>0</v>
      </c>
      <c r="AP133" s="87">
        <f t="shared" si="79"/>
        <v>0</v>
      </c>
      <c r="AQ133" s="87">
        <f t="shared" si="80"/>
        <v>15</v>
      </c>
      <c r="AR133" s="81"/>
      <c r="AS133" s="85">
        <f t="shared" si="81"/>
        <v>0</v>
      </c>
      <c r="AT133" s="85">
        <f t="shared" si="82"/>
        <v>0</v>
      </c>
      <c r="AU133" s="85">
        <f t="shared" si="83"/>
        <v>0</v>
      </c>
      <c r="AV133" s="85">
        <f t="shared" si="84"/>
        <v>0</v>
      </c>
      <c r="AW133" s="85">
        <f t="shared" si="85"/>
        <v>0</v>
      </c>
      <c r="AX133" s="85">
        <f t="shared" si="86"/>
        <v>0</v>
      </c>
      <c r="AY133" s="85">
        <f t="shared" si="87"/>
        <v>0</v>
      </c>
      <c r="AZ133" s="85">
        <f t="shared" si="88"/>
        <v>0</v>
      </c>
      <c r="BA133" s="85">
        <f t="shared" si="89"/>
        <v>0</v>
      </c>
      <c r="BB133" s="85">
        <f t="shared" si="90"/>
        <v>0</v>
      </c>
      <c r="BC133" s="85">
        <f t="shared" si="91"/>
        <v>0</v>
      </c>
      <c r="BD133" s="85">
        <f t="shared" si="92"/>
        <v>0</v>
      </c>
      <c r="BE133" s="85">
        <f t="shared" si="93"/>
        <v>0</v>
      </c>
      <c r="BF133" s="85">
        <f t="shared" si="94"/>
        <v>0</v>
      </c>
      <c r="BG133" s="85">
        <f t="shared" si="95"/>
        <v>0</v>
      </c>
      <c r="BH133" s="85">
        <f t="shared" si="96"/>
        <v>0</v>
      </c>
      <c r="BI133" s="85">
        <f t="shared" si="97"/>
        <v>0</v>
      </c>
      <c r="BJ133" s="85">
        <f t="shared" si="98"/>
        <v>0</v>
      </c>
      <c r="BK133" s="85">
        <f t="shared" si="99"/>
        <v>0</v>
      </c>
      <c r="BL133" s="85">
        <f t="shared" si="100"/>
        <v>0</v>
      </c>
      <c r="BM133" s="85">
        <f t="shared" si="101"/>
        <v>0</v>
      </c>
      <c r="BN133" s="85">
        <f t="shared" si="102"/>
        <v>0</v>
      </c>
      <c r="BO133" s="85">
        <f t="shared" si="103"/>
        <v>0</v>
      </c>
      <c r="BP133" s="85">
        <f t="shared" si="104"/>
        <v>0</v>
      </c>
      <c r="BQ133" s="85">
        <f t="shared" si="105"/>
        <v>0</v>
      </c>
      <c r="BR133" s="85">
        <f t="shared" si="106"/>
        <v>0</v>
      </c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3"/>
      <c r="CM133" s="63"/>
      <c r="CN133" s="63"/>
      <c r="CO133" s="63"/>
      <c r="CP133" s="63"/>
      <c r="CQ133" s="63"/>
      <c r="CR133" s="63"/>
      <c r="CS133" s="63"/>
      <c r="CX133" s="35" t="s">
        <v>12</v>
      </c>
      <c r="CZ133" s="35"/>
      <c r="DC133" s="57" t="str">
        <f t="shared" si="107"/>
        <v/>
      </c>
      <c r="DD133" s="64" t="str">
        <f t="shared" si="108"/>
        <v/>
      </c>
      <c r="DE133" s="65" t="str">
        <f t="shared" si="109"/>
        <v/>
      </c>
      <c r="DF133" s="66" t="str">
        <f t="shared" si="110"/>
        <v/>
      </c>
    </row>
    <row r="134" spans="2:110" hidden="1" outlineLevel="1">
      <c r="B134" s="54">
        <f t="shared" si="111"/>
        <v>43990</v>
      </c>
      <c r="C134" s="55" t="s">
        <v>1</v>
      </c>
      <c r="D134" s="56">
        <f t="shared" si="112"/>
        <v>43996</v>
      </c>
      <c r="E134" s="52">
        <f t="shared" si="113"/>
        <v>6</v>
      </c>
      <c r="F134" s="53">
        <f t="shared" si="114"/>
        <v>2020</v>
      </c>
      <c r="G134" s="62">
        <f t="shared" si="115"/>
        <v>15</v>
      </c>
      <c r="H134" s="63">
        <f t="shared" si="116"/>
        <v>96</v>
      </c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>
        <v>15</v>
      </c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80"/>
      <c r="AG134" s="87">
        <f t="shared" si="70"/>
        <v>0</v>
      </c>
      <c r="AH134" s="87">
        <f t="shared" si="71"/>
        <v>0</v>
      </c>
      <c r="AI134" s="87">
        <f t="shared" si="72"/>
        <v>0</v>
      </c>
      <c r="AJ134" s="87">
        <f t="shared" si="73"/>
        <v>0</v>
      </c>
      <c r="AK134" s="87">
        <f t="shared" si="74"/>
        <v>0</v>
      </c>
      <c r="AL134" s="87">
        <f t="shared" si="75"/>
        <v>0</v>
      </c>
      <c r="AM134" s="87">
        <f t="shared" si="76"/>
        <v>0</v>
      </c>
      <c r="AN134" s="87">
        <f t="shared" si="77"/>
        <v>0</v>
      </c>
      <c r="AO134" s="87">
        <f t="shared" si="78"/>
        <v>0</v>
      </c>
      <c r="AP134" s="87">
        <f t="shared" si="79"/>
        <v>0</v>
      </c>
      <c r="AQ134" s="87">
        <f t="shared" si="80"/>
        <v>15</v>
      </c>
      <c r="AR134" s="81"/>
      <c r="AS134" s="85">
        <f t="shared" si="81"/>
        <v>0</v>
      </c>
      <c r="AT134" s="85">
        <f t="shared" si="82"/>
        <v>0</v>
      </c>
      <c r="AU134" s="85">
        <f t="shared" si="83"/>
        <v>0</v>
      </c>
      <c r="AV134" s="85">
        <f t="shared" si="84"/>
        <v>0</v>
      </c>
      <c r="AW134" s="85">
        <f t="shared" si="85"/>
        <v>0</v>
      </c>
      <c r="AX134" s="85">
        <f t="shared" si="86"/>
        <v>0</v>
      </c>
      <c r="AY134" s="85">
        <f t="shared" si="87"/>
        <v>0</v>
      </c>
      <c r="AZ134" s="85">
        <f t="shared" si="88"/>
        <v>0</v>
      </c>
      <c r="BA134" s="85">
        <f t="shared" si="89"/>
        <v>0</v>
      </c>
      <c r="BB134" s="85">
        <f t="shared" si="90"/>
        <v>0</v>
      </c>
      <c r="BC134" s="85">
        <f t="shared" si="91"/>
        <v>0</v>
      </c>
      <c r="BD134" s="85">
        <f t="shared" si="92"/>
        <v>0</v>
      </c>
      <c r="BE134" s="85">
        <f t="shared" si="93"/>
        <v>0</v>
      </c>
      <c r="BF134" s="85">
        <f t="shared" si="94"/>
        <v>0</v>
      </c>
      <c r="BG134" s="85">
        <f t="shared" si="95"/>
        <v>0</v>
      </c>
      <c r="BH134" s="85">
        <f t="shared" si="96"/>
        <v>0</v>
      </c>
      <c r="BI134" s="85">
        <f t="shared" si="97"/>
        <v>0</v>
      </c>
      <c r="BJ134" s="85">
        <f t="shared" si="98"/>
        <v>0</v>
      </c>
      <c r="BK134" s="85">
        <f t="shared" si="99"/>
        <v>0</v>
      </c>
      <c r="BL134" s="85">
        <f t="shared" si="100"/>
        <v>0</v>
      </c>
      <c r="BM134" s="85">
        <f t="shared" si="101"/>
        <v>0</v>
      </c>
      <c r="BN134" s="85">
        <f t="shared" si="102"/>
        <v>0</v>
      </c>
      <c r="BO134" s="85">
        <f t="shared" si="103"/>
        <v>0</v>
      </c>
      <c r="BP134" s="85">
        <f t="shared" si="104"/>
        <v>0</v>
      </c>
      <c r="BQ134" s="85">
        <f t="shared" si="105"/>
        <v>0</v>
      </c>
      <c r="BR134" s="85">
        <f t="shared" si="106"/>
        <v>0</v>
      </c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3"/>
      <c r="CM134" s="63"/>
      <c r="CN134" s="63"/>
      <c r="CO134" s="63"/>
      <c r="CP134" s="63"/>
      <c r="CQ134" s="63"/>
      <c r="CR134" s="63"/>
      <c r="CS134" s="63"/>
      <c r="CW134">
        <v>9</v>
      </c>
      <c r="CX134" s="35">
        <v>43990</v>
      </c>
      <c r="CZ134" s="35">
        <f>B151</f>
        <v>44109</v>
      </c>
      <c r="DA134">
        <v>98</v>
      </c>
      <c r="DC134" s="57" t="str">
        <f t="shared" si="107"/>
        <v/>
      </c>
      <c r="DD134" s="64" t="str">
        <f t="shared" si="108"/>
        <v/>
      </c>
      <c r="DE134" s="65" t="str">
        <f t="shared" si="109"/>
        <v/>
      </c>
      <c r="DF134" s="66" t="str">
        <f t="shared" si="110"/>
        <v/>
      </c>
    </row>
    <row r="135" spans="2:110" hidden="1" outlineLevel="1">
      <c r="B135" s="54">
        <f t="shared" si="111"/>
        <v>43997</v>
      </c>
      <c r="C135" s="55" t="s">
        <v>1</v>
      </c>
      <c r="D135" s="56">
        <f t="shared" si="112"/>
        <v>44003</v>
      </c>
      <c r="E135" s="52">
        <f t="shared" si="113"/>
        <v>6</v>
      </c>
      <c r="F135" s="53">
        <f t="shared" si="114"/>
        <v>2020</v>
      </c>
      <c r="G135" s="62">
        <f t="shared" si="115"/>
        <v>15</v>
      </c>
      <c r="H135" s="63">
        <f t="shared" si="116"/>
        <v>96</v>
      </c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>
        <v>15</v>
      </c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80"/>
      <c r="AG135" s="87">
        <f t="shared" ref="AG135:AG198" si="117">IF(I135&gt;0,I135,IF(U135=1,$B135+2,IF(U134=1,1,IF(U134=2,0,IF(AG134=$G134,0,(IF(AG134&gt;=1,AG134+1,0)))))))</f>
        <v>0</v>
      </c>
      <c r="AH135" s="87">
        <f t="shared" ref="AH135:AH198" si="118">IF(J135&gt;0,J135,IF(V135=1,$B135+2,IF(V134=1,1,IF(V134=2,0,IF(AH134=$G134,0,(IF(AH134&gt;=1,AH134+1,0)))))))</f>
        <v>0</v>
      </c>
      <c r="AI135" s="87">
        <f t="shared" ref="AI135:AI198" si="119">IF(K135&gt;0,K135,IF(W135=1,$B135+2,IF(W134=1,1,IF(W134=2,0,IF(AI134=$G134,0,(IF(AI134&gt;=1,AI134+1,0)))))))</f>
        <v>0</v>
      </c>
      <c r="AJ135" s="87">
        <f t="shared" ref="AJ135:AJ198" si="120">IF(L135&gt;0,L135,IF(X135=1,$B135+2,IF(X134=1,1,IF(X134=2,0,IF(AJ134=$G134,0,(IF(AJ134&gt;=1,AJ134+1,0)))))))</f>
        <v>0</v>
      </c>
      <c r="AK135" s="87">
        <f t="shared" ref="AK135:AK198" si="121">IF(M135&gt;0,M135,IF(Y135=1,$B135+2,IF(Y134=1,1,IF(Y134=2,0,IF(AK134=$G134,0,(IF(AK134&gt;=1,AK134+1,0)))))))</f>
        <v>0</v>
      </c>
      <c r="AL135" s="87">
        <f t="shared" ref="AL135:AL198" si="122">IF(N135&gt;0,N135,IF(Z135=1,$B135+2,IF(Z134=1,1,IF(Z134=2,0,IF(AL134=$G134,0,(IF(AL134&gt;=1,AL134+1,0)))))))</f>
        <v>0</v>
      </c>
      <c r="AM135" s="87">
        <f t="shared" ref="AM135:AM198" si="123">IF(O135&gt;0,O135,IF(AA135=1,$B135+2,IF(AA134=1,1,IF(AA134=2,0,IF(AM134=$G134,0,(IF(AM134&gt;=1,AM134+1,0)))))))</f>
        <v>0</v>
      </c>
      <c r="AN135" s="87">
        <f t="shared" ref="AN135:AN198" si="124">IF(P135&gt;0,P135,IF(AB135=1,$B135+2,IF(AB134=1,1,IF(AB134=2,0,IF(AN134=$G134,0,(IF(AN134&gt;=1,AN134+1,0)))))))</f>
        <v>0</v>
      </c>
      <c r="AO135" s="87">
        <f t="shared" ref="AO135:AO198" si="125">IF(Q135&gt;0,Q135,IF(AC135=1,$B135+2,IF(AC134=1,1,IF(AC134=2,0,IF(AO134=$G134,0,(IF(AO134&gt;=1,AO134+1,0)))))))</f>
        <v>0</v>
      </c>
      <c r="AP135" s="87">
        <f t="shared" ref="AP135:AP198" si="126">IF(R135&gt;0,R135,IF(AD135=1,$B135+2,IF(AD134=1,1,IF(AD134=2,0,IF(AP134=$G134,0,(IF(AP134&gt;=1,AP134+1,0)))))))</f>
        <v>0</v>
      </c>
      <c r="AQ135" s="87">
        <f t="shared" ref="AQ135:AQ198" si="127">IF(S135&gt;0,S135,IF(AE135=1,$B135+2,IF(AE134=1,1,IF(AE134=2,0,IF(AQ134=$G134,0,(IF(AQ134&gt;=1,AQ134+1,0)))))))</f>
        <v>15</v>
      </c>
      <c r="AR135" s="81"/>
      <c r="AS135" s="85">
        <f t="shared" ref="AS135:AS198" si="128">IF(AND(BT135&gt;=$AG$5,BT135&lt;=$AQ$5),LOOKUP(BT135,$AG$5:$AQ$5,$AG135:$AQ135),IF(BT134="A",0,IF(AS134=$H135,0,IF(AS134=0,0,AS134+1))))</f>
        <v>0</v>
      </c>
      <c r="AT135" s="85">
        <f t="shared" ref="AT135:AT198" si="129">IF(AND(BU135&gt;=$AG$5,BU135&lt;=$AQ$5),LOOKUP(BU135,$AG$5:$AQ$5,$AG135:$AQ135),IF(BU134="A",0,IF(AT134=$H135,0,IF(AT134=0,0,AT134+1))))</f>
        <v>0</v>
      </c>
      <c r="AU135" s="85">
        <f t="shared" ref="AU135:AU198" si="130">IF(AND(BV135&gt;=$AG$5,BV135&lt;=$AQ$5),LOOKUP(BV135,$AG$5:$AQ$5,$AG135:$AQ135),IF(BV134="A",0,IF(AU134=$H135,0,IF(AU134=0,0,AU134+1))))</f>
        <v>0</v>
      </c>
      <c r="AV135" s="85">
        <f t="shared" ref="AV135:AV198" si="131">IF(AND(BW135&gt;=$AG$5,BW135&lt;=$AQ$5),LOOKUP(BW135,$AG$5:$AQ$5,$AG135:$AQ135),IF(BW134="A",0,IF(AV134=$H135,0,IF(AV134=0,0,AV134+1))))</f>
        <v>0</v>
      </c>
      <c r="AW135" s="85">
        <f t="shared" ref="AW135:AW198" si="132">IF(AND(BX135&gt;=$AG$5,BX135&lt;=$AQ$5),LOOKUP(BX135,$AG$5:$AQ$5,$AG135:$AQ135),IF(BX134="A",0,IF(AW134=$H135,0,IF(AW134=0,0,AW134+1))))</f>
        <v>0</v>
      </c>
      <c r="AX135" s="85">
        <f t="shared" ref="AX135:AX198" si="133">IF(AND(BY135&gt;=$AG$5,BY135&lt;=$AQ$5),LOOKUP(BY135,$AG$5:$AQ$5,$AG135:$AQ135),IF(BY134="A",0,IF(AX134=$H135,0,IF(AX134=0,0,AX134+1))))</f>
        <v>0</v>
      </c>
      <c r="AY135" s="85">
        <f t="shared" ref="AY135:AY198" si="134">IF(AND(BZ135&gt;=$AG$5,BZ135&lt;=$AQ$5),LOOKUP(BZ135,$AG$5:$AQ$5,$AG135:$AQ135),IF(BZ134="A",0,IF(AY134=$H135,0,IF(AY134=0,0,AY134+1))))</f>
        <v>0</v>
      </c>
      <c r="AZ135" s="85">
        <f t="shared" ref="AZ135:AZ198" si="135">IF(AND(CA135&gt;=$AG$5,CA135&lt;=$AQ$5),LOOKUP(CA135,$AG$5:$AQ$5,$AG135:$AQ135),IF(CA134="A",0,IF(AZ134=$H135,0,IF(AZ134=0,0,AZ134+1))))</f>
        <v>0</v>
      </c>
      <c r="BA135" s="85">
        <f t="shared" ref="BA135:BA198" si="136">IF(AND(CB135&gt;=$AG$5,CB135&lt;=$AQ$5),LOOKUP(CB135,$AG$5:$AQ$5,$AG135:$AQ135),IF(CB134="A",0,IF(BA134=$H135,0,IF(BA134=0,0,BA134+1))))</f>
        <v>0</v>
      </c>
      <c r="BB135" s="85">
        <f t="shared" ref="BB135:BB198" si="137">IF(AND(CC135&gt;=$AG$5,CC135&lt;=$AQ$5),LOOKUP(CC135,$AG$5:$AQ$5,$AG135:$AQ135),IF(CC134="A",0,IF(BB134=$H135,0,IF(BB134=0,0,BB134+1))))</f>
        <v>0</v>
      </c>
      <c r="BC135" s="85">
        <f t="shared" ref="BC135:BC198" si="138">IF(AND(CD135&gt;=$AG$5,CD135&lt;=$AQ$5),LOOKUP(CD135,$AG$5:$AQ$5,$AG135:$AQ135),IF(CD134="A",0,IF(BC134=$H135,0,IF(BC134=0,0,BC134+1))))</f>
        <v>0</v>
      </c>
      <c r="BD135" s="85">
        <f t="shared" ref="BD135:BD198" si="139">IF(AND(CE135&gt;=$AG$5,CE135&lt;=$AQ$5),LOOKUP(CE135,$AG$5:$AQ$5,$AG135:$AQ135),IF(CE134="A",0,IF(BD134=$H135,0,IF(BD134=0,0,BD134+1))))</f>
        <v>0</v>
      </c>
      <c r="BE135" s="85">
        <f t="shared" ref="BE135:BE198" si="140">IF(AND(CF135&gt;=$AG$5,CF135&lt;=$AQ$5),LOOKUP(CF135,$AG$5:$AQ$5,$AG135:$AQ135),IF(CF134="A",0,IF(BE134=$H135,0,IF(BE134=0,0,BE134+1))))</f>
        <v>0</v>
      </c>
      <c r="BF135" s="85">
        <f t="shared" ref="BF135:BF198" si="141">IF(AND(CG135&gt;=$AG$5,CG135&lt;=$AQ$5),LOOKUP(CG135,$AG$5:$AQ$5,$AG135:$AQ135),IF(CG134="A",0,IF(BF134=$H135,0,IF(BF134=0,0,BF134+1))))</f>
        <v>0</v>
      </c>
      <c r="BG135" s="85">
        <f t="shared" ref="BG135:BG198" si="142">IF(AND(CH135&gt;=$AG$5,CH135&lt;=$AQ$5),LOOKUP(CH135,$AG$5:$AQ$5,$AG135:$AQ135),IF(CH134="A",0,IF(BG134=$H135,0,IF(BG134=0,0,BG134+1))))</f>
        <v>0</v>
      </c>
      <c r="BH135" s="85">
        <f t="shared" ref="BH135:BH198" si="143">IF(AND(CI135&gt;=$AG$5,CI135&lt;=$AQ$5),LOOKUP(CI135,$AG$5:$AQ$5,$AG135:$AQ135),IF(CI134="A",0,IF(BH134=$H135,0,IF(BH134=0,0,BH134+1))))</f>
        <v>0</v>
      </c>
      <c r="BI135" s="85">
        <f t="shared" ref="BI135:BI198" si="144">IF(AND(CJ135&gt;=$AG$5,CJ135&lt;=$AQ$5),LOOKUP(CJ135,$AG$5:$AQ$5,$AG135:$AQ135),IF(CJ134="A",0,IF(BI134=$H135,0,IF(BI134=0,0,BI134+1))))</f>
        <v>0</v>
      </c>
      <c r="BJ135" s="85">
        <f t="shared" ref="BJ135:BJ198" si="145">IF(AND(CK135&gt;=$AG$5,CK135&lt;=$AQ$5),LOOKUP(CK135,$AG$5:$AQ$5,$AG135:$AQ135),IF(CK134="A",0,IF(BJ134=$H135,0,IF(BJ134=0,0,BJ134+1))))</f>
        <v>0</v>
      </c>
      <c r="BK135" s="85">
        <f t="shared" ref="BK135:BK198" si="146">IF(AND(CL135&gt;=$AG$5,CL135&lt;=$AQ$5),LOOKUP(CL135,$AG$5:$AQ$5,$AG135:$AQ135),IF(CL134="A",0,IF(BK134=$H135,0,IF(BK134=0,0,BK134+1))))</f>
        <v>0</v>
      </c>
      <c r="BL135" s="85">
        <f t="shared" ref="BL135:BL198" si="147">IF(AND(CM135&gt;=$AG$5,CM135&lt;=$AQ$5),LOOKUP(CM135,$AG$5:$AQ$5,$AG135:$AQ135),IF(CM134="A",0,IF(BL134=$H135,0,IF(BL134=0,0,BL134+1))))</f>
        <v>0</v>
      </c>
      <c r="BM135" s="85">
        <f t="shared" ref="BM135:BM198" si="148">IF(AND(CN135&gt;=$AG$5,CN135&lt;=$AQ$5),LOOKUP(CN135,$AG$5:$AQ$5,$AG135:$AQ135),IF(CN134="A",0,IF(BM134=$H135,0,IF(BM134=0,0,BM134+1))))</f>
        <v>0</v>
      </c>
      <c r="BN135" s="85">
        <f t="shared" ref="BN135:BN198" si="149">IF(AND(CO135&gt;=$AG$5,CO135&lt;=$AQ$5),LOOKUP(CO135,$AG$5:$AQ$5,$AG135:$AQ135),IF(CO134="A",0,IF(BN134=$H135,0,IF(BN134=0,0,BN134+1))))</f>
        <v>0</v>
      </c>
      <c r="BO135" s="85">
        <f t="shared" ref="BO135:BO198" si="150">IF(AND(CP135&gt;=$AG$5,CP135&lt;=$AQ$5),LOOKUP(CP135,$AG$5:$AQ$5,$AG135:$AQ135),IF(CP134="A",0,IF(BO134=$H135,0,IF(BO134=0,0,BO134+1))))</f>
        <v>0</v>
      </c>
      <c r="BP135" s="85">
        <f t="shared" ref="BP135:BP198" si="151">IF(AND(CQ135&gt;=$AG$5,CQ135&lt;=$AQ$5),LOOKUP(CQ135,$AG$5:$AQ$5,$AG135:$AQ135),IF(CQ134="A",0,IF(BP134=$H135,0,IF(BP134=0,0,BP134+1))))</f>
        <v>0</v>
      </c>
      <c r="BQ135" s="85">
        <f t="shared" ref="BQ135:BQ198" si="152">IF(AND(CR135&gt;=$AG$5,CR135&lt;=$AQ$5),LOOKUP(CR135,$AG$5:$AQ$5,$AG135:$AQ135),IF(CR134="A",0,IF(BQ134=$H135,0,IF(BQ134=0,0,BQ134+1))))</f>
        <v>0</v>
      </c>
      <c r="BR135" s="85">
        <f t="shared" ref="BR135:BR198" si="153">IF(AND(CS135&gt;=$AG$5,CS135&lt;=$AQ$5),LOOKUP(CS135,$AG$5:$AQ$5,$AG135:$AQ135),IF(CS134="A",0,IF(BR134=$H135,0,IF(BR134=0,0,BR134+1))))</f>
        <v>0</v>
      </c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3"/>
      <c r="CM135" s="63"/>
      <c r="CN135" s="63"/>
      <c r="CO135" s="63"/>
      <c r="CP135" s="63"/>
      <c r="CQ135" s="63"/>
      <c r="CR135" s="63"/>
      <c r="CS135" s="63"/>
      <c r="CX135" s="35" t="s">
        <v>12</v>
      </c>
      <c r="CZ135" s="35"/>
      <c r="DC135" s="57" t="str">
        <f t="shared" ref="DC135:DC198" si="154">IF(AND(AG135&gt;0,AG134=0),$AG$5,IF(AND(AK135&gt;0,AK134=0),$AK$5,IF(AND(AO135&gt;0,AO134=0),$AO$5,IF(AND(AI135&gt;0,AI134=0),$AI$5,IF(AND(AJ135&gt;0,AJ134=0),$AJ$5,IF(AND(AQ135&gt;0,AQ134=0),$AQ$5,IF(AND(AL135&gt;0,AL134=0),$AL$5,IF(AND(AM135&gt;0,AM134=0),$AM$5,IF(AND(AN135&gt;0,AN134=0),$AN$5,"")))))))))</f>
        <v/>
      </c>
      <c r="DD135" s="64" t="str">
        <f t="shared" ref="DD135:DD198" si="155">IF(OR(AND($AG136=1,$AG137=2),OR(AND($AK136=1,$AK137=2),OR(AND($AO136=1,$AO137=2),OR(AND($AI136=1,$AI137=2),OR(AND($AJ136=1,$AJ137),OR(AND($AQ136=1,$AQ137=2,OR(AND($AL136=1,$AL137=2,OR(AND($AM136=1,$AM137=2,OR(AND($AN136=1,$AN137=2))))))))))))),$B135+2,"")</f>
        <v/>
      </c>
      <c r="DE135" s="65" t="str">
        <f t="shared" ref="DE135:DE198" si="156">IF(DD135="","",DD135+(15*7))</f>
        <v/>
      </c>
      <c r="DF135" s="66" t="str">
        <f t="shared" ref="DF135:DF198" si="157">IF(AND(AS150&gt;0,AS149=0),$AS$1,IF(AND(AT150&gt;0,AT149=0),$AT$1,IF(AND(AU150&gt;0,AU149=0),$AU$1,IF(AND(AV150&gt;0,AV149=0),$AV$1,IF(AND(AW150&gt;0,AW149=0),$AW$1,IF(AND(AX150&gt;0,AX149=0),$AX$1,IF(AND(AY150&gt;0,AY149=0),$AY$1,IF(AND(AZ150&gt;0,AZ149=0),$AZ$1,IF(AND(BA150&gt;0,BA149=0),$BA$1,IF(AND(BB150&gt;0,BB149=0),$BB$1,IF(AND(BC150&gt;0,BC149=0),$BC$1,IF(AND(BD150&gt;0,BD149=0),$BD$1,IF(AND(BE150&gt;0,BE149=0),$BE$1,IF(AND(BF150&gt;0,BF149=0),$BF$1,IF(AND(BG150&gt;0,BG149=0),$BG$1,IF(AND(BH150&gt;0,BH149=0),$BH$1,IF(AND(BI150&gt;0,BI149=0),$BI$1,IF(AND(BJ150&gt;0,BJ149=0),$BJ$1,IF(AND(BK150&gt;0,BK149=0),$BK$1,IF(AND(BL150&gt;0,BL149=0),$BL$1,IF(AND(BM150&gt;0,BM149=0),$BM$1,IF(AND(BN150&gt;0,BN149=0),$BN$1,IF(AND(BO150&gt;0,BO149=0),$BO$1,IF(AND(BP150&gt;0,BP149=0),$BP$1,IF(AND(BQ150&gt;0,BQ149=0),$BQ$1,IF(AND(BR150&gt;0,BR149=0),$BQ$1,""))))))))))))))))&amp;(IF(COUNTA(BT150:CS150)&gt;1," ["&amp;COUNTA(BT150:CS150)&amp;"]",""))))))))))))</f>
        <v/>
      </c>
    </row>
    <row r="136" spans="2:110" hidden="1" outlineLevel="1">
      <c r="B136" s="54">
        <f t="shared" ref="B136:B199" si="158">D135+1</f>
        <v>44004</v>
      </c>
      <c r="C136" s="55" t="s">
        <v>1</v>
      </c>
      <c r="D136" s="56">
        <f t="shared" ref="D136:D199" si="159">B136+6</f>
        <v>44010</v>
      </c>
      <c r="E136" s="52">
        <f t="shared" ref="E136:E199" si="160">MONTH(B136)</f>
        <v>6</v>
      </c>
      <c r="F136" s="53">
        <f t="shared" ref="F136:F199" si="161">YEAR(D136)</f>
        <v>2020</v>
      </c>
      <c r="G136" s="62">
        <f t="shared" si="115"/>
        <v>15</v>
      </c>
      <c r="H136" s="63">
        <f t="shared" si="116"/>
        <v>96</v>
      </c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>
        <v>15</v>
      </c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80"/>
      <c r="AG136" s="87">
        <f t="shared" si="117"/>
        <v>0</v>
      </c>
      <c r="AH136" s="87">
        <f t="shared" si="118"/>
        <v>0</v>
      </c>
      <c r="AI136" s="87">
        <f t="shared" si="119"/>
        <v>0</v>
      </c>
      <c r="AJ136" s="87">
        <f t="shared" si="120"/>
        <v>0</v>
      </c>
      <c r="AK136" s="87">
        <f t="shared" si="121"/>
        <v>0</v>
      </c>
      <c r="AL136" s="87">
        <f t="shared" si="122"/>
        <v>0</v>
      </c>
      <c r="AM136" s="87">
        <f t="shared" si="123"/>
        <v>0</v>
      </c>
      <c r="AN136" s="87">
        <f t="shared" si="124"/>
        <v>0</v>
      </c>
      <c r="AO136" s="87">
        <f t="shared" si="125"/>
        <v>0</v>
      </c>
      <c r="AP136" s="87">
        <f t="shared" si="126"/>
        <v>0</v>
      </c>
      <c r="AQ136" s="87">
        <f t="shared" si="127"/>
        <v>15</v>
      </c>
      <c r="AR136" s="81"/>
      <c r="AS136" s="85">
        <f t="shared" si="128"/>
        <v>0</v>
      </c>
      <c r="AT136" s="85">
        <f t="shared" si="129"/>
        <v>0</v>
      </c>
      <c r="AU136" s="85">
        <f t="shared" si="130"/>
        <v>0</v>
      </c>
      <c r="AV136" s="85">
        <f t="shared" si="131"/>
        <v>0</v>
      </c>
      <c r="AW136" s="85">
        <f t="shared" si="132"/>
        <v>0</v>
      </c>
      <c r="AX136" s="85">
        <f t="shared" si="133"/>
        <v>0</v>
      </c>
      <c r="AY136" s="85">
        <f t="shared" si="134"/>
        <v>0</v>
      </c>
      <c r="AZ136" s="85">
        <f t="shared" si="135"/>
        <v>0</v>
      </c>
      <c r="BA136" s="85">
        <f t="shared" si="136"/>
        <v>0</v>
      </c>
      <c r="BB136" s="85">
        <f t="shared" si="137"/>
        <v>0</v>
      </c>
      <c r="BC136" s="85">
        <f t="shared" si="138"/>
        <v>0</v>
      </c>
      <c r="BD136" s="85">
        <f t="shared" si="139"/>
        <v>0</v>
      </c>
      <c r="BE136" s="85">
        <f t="shared" si="140"/>
        <v>0</v>
      </c>
      <c r="BF136" s="85">
        <f t="shared" si="141"/>
        <v>0</v>
      </c>
      <c r="BG136" s="85">
        <f t="shared" si="142"/>
        <v>0</v>
      </c>
      <c r="BH136" s="85">
        <f t="shared" si="143"/>
        <v>0</v>
      </c>
      <c r="BI136" s="85">
        <f t="shared" si="144"/>
        <v>0</v>
      </c>
      <c r="BJ136" s="85">
        <f t="shared" si="145"/>
        <v>0</v>
      </c>
      <c r="BK136" s="85">
        <f t="shared" si="146"/>
        <v>0</v>
      </c>
      <c r="BL136" s="85">
        <f t="shared" si="147"/>
        <v>0</v>
      </c>
      <c r="BM136" s="85">
        <f t="shared" si="148"/>
        <v>0</v>
      </c>
      <c r="BN136" s="85">
        <f t="shared" si="149"/>
        <v>0</v>
      </c>
      <c r="BO136" s="85">
        <f t="shared" si="150"/>
        <v>0</v>
      </c>
      <c r="BP136" s="85">
        <f t="shared" si="151"/>
        <v>0</v>
      </c>
      <c r="BQ136" s="85">
        <f t="shared" si="152"/>
        <v>0</v>
      </c>
      <c r="BR136" s="85">
        <f t="shared" si="153"/>
        <v>0</v>
      </c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X136" s="35" t="s">
        <v>12</v>
      </c>
      <c r="CZ136" s="35"/>
      <c r="DC136" s="57" t="str">
        <f t="shared" si="154"/>
        <v/>
      </c>
      <c r="DD136" s="64" t="str">
        <f t="shared" si="155"/>
        <v/>
      </c>
      <c r="DE136" s="65" t="str">
        <f t="shared" si="156"/>
        <v/>
      </c>
      <c r="DF136" s="66" t="str">
        <f t="shared" si="157"/>
        <v/>
      </c>
    </row>
    <row r="137" spans="2:110" hidden="1" outlineLevel="1">
      <c r="B137" s="54">
        <f t="shared" si="158"/>
        <v>44011</v>
      </c>
      <c r="C137" s="55" t="s">
        <v>1</v>
      </c>
      <c r="D137" s="56">
        <f t="shared" si="159"/>
        <v>44017</v>
      </c>
      <c r="E137" s="52">
        <f t="shared" si="160"/>
        <v>6</v>
      </c>
      <c r="F137" s="53">
        <f t="shared" si="161"/>
        <v>2020</v>
      </c>
      <c r="G137" s="62">
        <f t="shared" ref="G137:G200" si="162">G136</f>
        <v>15</v>
      </c>
      <c r="H137" s="63">
        <f t="shared" ref="H137:H200" si="163">H136</f>
        <v>96</v>
      </c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>
        <v>15</v>
      </c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80"/>
      <c r="AG137" s="87">
        <f t="shared" si="117"/>
        <v>0</v>
      </c>
      <c r="AH137" s="87">
        <f t="shared" si="118"/>
        <v>0</v>
      </c>
      <c r="AI137" s="87">
        <f t="shared" si="119"/>
        <v>0</v>
      </c>
      <c r="AJ137" s="87">
        <f t="shared" si="120"/>
        <v>0</v>
      </c>
      <c r="AK137" s="87">
        <f t="shared" si="121"/>
        <v>0</v>
      </c>
      <c r="AL137" s="87">
        <f t="shared" si="122"/>
        <v>0</v>
      </c>
      <c r="AM137" s="87">
        <f t="shared" si="123"/>
        <v>0</v>
      </c>
      <c r="AN137" s="87">
        <f t="shared" si="124"/>
        <v>0</v>
      </c>
      <c r="AO137" s="87">
        <f t="shared" si="125"/>
        <v>0</v>
      </c>
      <c r="AP137" s="87">
        <f t="shared" si="126"/>
        <v>0</v>
      </c>
      <c r="AQ137" s="87">
        <f t="shared" si="127"/>
        <v>15</v>
      </c>
      <c r="AR137" s="81"/>
      <c r="AS137" s="85">
        <f t="shared" si="128"/>
        <v>0</v>
      </c>
      <c r="AT137" s="85">
        <f t="shared" si="129"/>
        <v>0</v>
      </c>
      <c r="AU137" s="85">
        <f t="shared" si="130"/>
        <v>0</v>
      </c>
      <c r="AV137" s="85">
        <f t="shared" si="131"/>
        <v>0</v>
      </c>
      <c r="AW137" s="85">
        <f t="shared" si="132"/>
        <v>0</v>
      </c>
      <c r="AX137" s="85">
        <f t="shared" si="133"/>
        <v>0</v>
      </c>
      <c r="AY137" s="85">
        <f t="shared" si="134"/>
        <v>0</v>
      </c>
      <c r="AZ137" s="85">
        <f t="shared" si="135"/>
        <v>0</v>
      </c>
      <c r="BA137" s="85">
        <f t="shared" si="136"/>
        <v>0</v>
      </c>
      <c r="BB137" s="85">
        <f t="shared" si="137"/>
        <v>0</v>
      </c>
      <c r="BC137" s="85">
        <f t="shared" si="138"/>
        <v>0</v>
      </c>
      <c r="BD137" s="85">
        <f t="shared" si="139"/>
        <v>0</v>
      </c>
      <c r="BE137" s="85">
        <f t="shared" si="140"/>
        <v>0</v>
      </c>
      <c r="BF137" s="85">
        <f t="shared" si="141"/>
        <v>0</v>
      </c>
      <c r="BG137" s="85">
        <f t="shared" si="142"/>
        <v>0</v>
      </c>
      <c r="BH137" s="85">
        <f t="shared" si="143"/>
        <v>0</v>
      </c>
      <c r="BI137" s="85">
        <f t="shared" si="144"/>
        <v>0</v>
      </c>
      <c r="BJ137" s="85">
        <f t="shared" si="145"/>
        <v>0</v>
      </c>
      <c r="BK137" s="85">
        <f t="shared" si="146"/>
        <v>0</v>
      </c>
      <c r="BL137" s="85">
        <f t="shared" si="147"/>
        <v>0</v>
      </c>
      <c r="BM137" s="85">
        <f t="shared" si="148"/>
        <v>0</v>
      </c>
      <c r="BN137" s="85">
        <f t="shared" si="149"/>
        <v>0</v>
      </c>
      <c r="BO137" s="85">
        <f t="shared" si="150"/>
        <v>0</v>
      </c>
      <c r="BP137" s="85">
        <f t="shared" si="151"/>
        <v>0</v>
      </c>
      <c r="BQ137" s="85">
        <f t="shared" si="152"/>
        <v>0</v>
      </c>
      <c r="BR137" s="85">
        <f t="shared" si="153"/>
        <v>0</v>
      </c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X137" s="35" t="s">
        <v>12</v>
      </c>
      <c r="CZ137" s="35"/>
      <c r="DC137" s="57" t="str">
        <f t="shared" si="154"/>
        <v/>
      </c>
      <c r="DD137" s="64" t="str">
        <f t="shared" si="155"/>
        <v/>
      </c>
      <c r="DE137" s="65" t="str">
        <f t="shared" si="156"/>
        <v/>
      </c>
      <c r="DF137" s="66" t="str">
        <f t="shared" si="157"/>
        <v/>
      </c>
    </row>
    <row r="138" spans="2:110" hidden="1" outlineLevel="1">
      <c r="B138" s="54">
        <f t="shared" si="158"/>
        <v>44018</v>
      </c>
      <c r="C138" s="55" t="s">
        <v>1</v>
      </c>
      <c r="D138" s="56">
        <f t="shared" si="159"/>
        <v>44024</v>
      </c>
      <c r="E138" s="52">
        <f t="shared" si="160"/>
        <v>7</v>
      </c>
      <c r="F138" s="53">
        <f t="shared" si="161"/>
        <v>2020</v>
      </c>
      <c r="G138" s="62">
        <f t="shared" si="162"/>
        <v>15</v>
      </c>
      <c r="H138" s="63">
        <f t="shared" si="163"/>
        <v>96</v>
      </c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>
        <v>15</v>
      </c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80"/>
      <c r="AG138" s="87">
        <f t="shared" si="117"/>
        <v>0</v>
      </c>
      <c r="AH138" s="87">
        <f t="shared" si="118"/>
        <v>0</v>
      </c>
      <c r="AI138" s="87">
        <f t="shared" si="119"/>
        <v>0</v>
      </c>
      <c r="AJ138" s="87">
        <f t="shared" si="120"/>
        <v>0</v>
      </c>
      <c r="AK138" s="87">
        <f t="shared" si="121"/>
        <v>0</v>
      </c>
      <c r="AL138" s="87">
        <f t="shared" si="122"/>
        <v>0</v>
      </c>
      <c r="AM138" s="87">
        <f t="shared" si="123"/>
        <v>0</v>
      </c>
      <c r="AN138" s="87">
        <f t="shared" si="124"/>
        <v>0</v>
      </c>
      <c r="AO138" s="87">
        <f t="shared" si="125"/>
        <v>0</v>
      </c>
      <c r="AP138" s="87">
        <f t="shared" si="126"/>
        <v>0</v>
      </c>
      <c r="AQ138" s="87">
        <f t="shared" si="127"/>
        <v>15</v>
      </c>
      <c r="AR138" s="81"/>
      <c r="AS138" s="85">
        <f t="shared" si="128"/>
        <v>0</v>
      </c>
      <c r="AT138" s="85">
        <f t="shared" si="129"/>
        <v>0</v>
      </c>
      <c r="AU138" s="85">
        <f t="shared" si="130"/>
        <v>0</v>
      </c>
      <c r="AV138" s="85">
        <f t="shared" si="131"/>
        <v>0</v>
      </c>
      <c r="AW138" s="85">
        <f t="shared" si="132"/>
        <v>0</v>
      </c>
      <c r="AX138" s="85">
        <f t="shared" si="133"/>
        <v>0</v>
      </c>
      <c r="AY138" s="85">
        <f t="shared" si="134"/>
        <v>0</v>
      </c>
      <c r="AZ138" s="85">
        <f t="shared" si="135"/>
        <v>0</v>
      </c>
      <c r="BA138" s="85">
        <f t="shared" si="136"/>
        <v>0</v>
      </c>
      <c r="BB138" s="85">
        <f t="shared" si="137"/>
        <v>0</v>
      </c>
      <c r="BC138" s="85">
        <f t="shared" si="138"/>
        <v>0</v>
      </c>
      <c r="BD138" s="85">
        <f t="shared" si="139"/>
        <v>0</v>
      </c>
      <c r="BE138" s="85">
        <f t="shared" si="140"/>
        <v>0</v>
      </c>
      <c r="BF138" s="85">
        <f t="shared" si="141"/>
        <v>0</v>
      </c>
      <c r="BG138" s="85">
        <f t="shared" si="142"/>
        <v>0</v>
      </c>
      <c r="BH138" s="85">
        <f t="shared" si="143"/>
        <v>0</v>
      </c>
      <c r="BI138" s="85">
        <f t="shared" si="144"/>
        <v>0</v>
      </c>
      <c r="BJ138" s="85">
        <f t="shared" si="145"/>
        <v>0</v>
      </c>
      <c r="BK138" s="85">
        <f t="shared" si="146"/>
        <v>0</v>
      </c>
      <c r="BL138" s="85">
        <f t="shared" si="147"/>
        <v>0</v>
      </c>
      <c r="BM138" s="85">
        <f t="shared" si="148"/>
        <v>0</v>
      </c>
      <c r="BN138" s="85">
        <f t="shared" si="149"/>
        <v>0</v>
      </c>
      <c r="BO138" s="85">
        <f t="shared" si="150"/>
        <v>0</v>
      </c>
      <c r="BP138" s="85">
        <f t="shared" si="151"/>
        <v>0</v>
      </c>
      <c r="BQ138" s="85">
        <f t="shared" si="152"/>
        <v>0</v>
      </c>
      <c r="BR138" s="85">
        <f t="shared" si="153"/>
        <v>0</v>
      </c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X138" s="35" t="s">
        <v>12</v>
      </c>
      <c r="CZ138" s="35"/>
      <c r="DC138" s="57" t="str">
        <f t="shared" si="154"/>
        <v/>
      </c>
      <c r="DD138" s="64" t="str">
        <f t="shared" si="155"/>
        <v/>
      </c>
      <c r="DE138" s="65" t="str">
        <f t="shared" si="156"/>
        <v/>
      </c>
      <c r="DF138" s="66" t="str">
        <f t="shared" si="157"/>
        <v/>
      </c>
    </row>
    <row r="139" spans="2:110" hidden="1" outlineLevel="1">
      <c r="B139" s="54">
        <f t="shared" si="158"/>
        <v>44025</v>
      </c>
      <c r="C139" s="55" t="s">
        <v>1</v>
      </c>
      <c r="D139" s="56">
        <f t="shared" si="159"/>
        <v>44031</v>
      </c>
      <c r="E139" s="52">
        <f t="shared" si="160"/>
        <v>7</v>
      </c>
      <c r="F139" s="53">
        <f t="shared" si="161"/>
        <v>2020</v>
      </c>
      <c r="G139" s="62">
        <f t="shared" si="162"/>
        <v>15</v>
      </c>
      <c r="H139" s="63">
        <f t="shared" si="163"/>
        <v>96</v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>
        <v>15</v>
      </c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80"/>
      <c r="AG139" s="87">
        <f t="shared" si="117"/>
        <v>0</v>
      </c>
      <c r="AH139" s="87">
        <f t="shared" si="118"/>
        <v>0</v>
      </c>
      <c r="AI139" s="87">
        <f t="shared" si="119"/>
        <v>0</v>
      </c>
      <c r="AJ139" s="87">
        <f t="shared" si="120"/>
        <v>0</v>
      </c>
      <c r="AK139" s="87">
        <f t="shared" si="121"/>
        <v>0</v>
      </c>
      <c r="AL139" s="87">
        <f t="shared" si="122"/>
        <v>0</v>
      </c>
      <c r="AM139" s="87">
        <f t="shared" si="123"/>
        <v>0</v>
      </c>
      <c r="AN139" s="87">
        <f t="shared" si="124"/>
        <v>0</v>
      </c>
      <c r="AO139" s="87">
        <f t="shared" si="125"/>
        <v>0</v>
      </c>
      <c r="AP139" s="87">
        <f t="shared" si="126"/>
        <v>0</v>
      </c>
      <c r="AQ139" s="87">
        <f t="shared" si="127"/>
        <v>15</v>
      </c>
      <c r="AR139" s="81"/>
      <c r="AS139" s="85">
        <f t="shared" si="128"/>
        <v>0</v>
      </c>
      <c r="AT139" s="85">
        <f t="shared" si="129"/>
        <v>0</v>
      </c>
      <c r="AU139" s="85">
        <f t="shared" si="130"/>
        <v>0</v>
      </c>
      <c r="AV139" s="85">
        <f t="shared" si="131"/>
        <v>0</v>
      </c>
      <c r="AW139" s="85">
        <f t="shared" si="132"/>
        <v>0</v>
      </c>
      <c r="AX139" s="85">
        <f t="shared" si="133"/>
        <v>0</v>
      </c>
      <c r="AY139" s="85">
        <f t="shared" si="134"/>
        <v>0</v>
      </c>
      <c r="AZ139" s="85">
        <f t="shared" si="135"/>
        <v>0</v>
      </c>
      <c r="BA139" s="85">
        <f t="shared" si="136"/>
        <v>0</v>
      </c>
      <c r="BB139" s="85">
        <f t="shared" si="137"/>
        <v>0</v>
      </c>
      <c r="BC139" s="85">
        <f t="shared" si="138"/>
        <v>0</v>
      </c>
      <c r="BD139" s="85">
        <f t="shared" si="139"/>
        <v>0</v>
      </c>
      <c r="BE139" s="85">
        <f t="shared" si="140"/>
        <v>0</v>
      </c>
      <c r="BF139" s="85">
        <f t="shared" si="141"/>
        <v>0</v>
      </c>
      <c r="BG139" s="85">
        <f t="shared" si="142"/>
        <v>0</v>
      </c>
      <c r="BH139" s="85">
        <f t="shared" si="143"/>
        <v>0</v>
      </c>
      <c r="BI139" s="85">
        <f t="shared" si="144"/>
        <v>0</v>
      </c>
      <c r="BJ139" s="85">
        <f t="shared" si="145"/>
        <v>0</v>
      </c>
      <c r="BK139" s="85">
        <f t="shared" si="146"/>
        <v>0</v>
      </c>
      <c r="BL139" s="85">
        <f t="shared" si="147"/>
        <v>0</v>
      </c>
      <c r="BM139" s="85">
        <f t="shared" si="148"/>
        <v>0</v>
      </c>
      <c r="BN139" s="85">
        <f t="shared" si="149"/>
        <v>0</v>
      </c>
      <c r="BO139" s="85">
        <f t="shared" si="150"/>
        <v>0</v>
      </c>
      <c r="BP139" s="85">
        <f t="shared" si="151"/>
        <v>0</v>
      </c>
      <c r="BQ139" s="85">
        <f t="shared" si="152"/>
        <v>0</v>
      </c>
      <c r="BR139" s="85">
        <f t="shared" si="153"/>
        <v>0</v>
      </c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X139" s="35" t="s">
        <v>12</v>
      </c>
      <c r="CZ139" s="35"/>
      <c r="DC139" s="57" t="str">
        <f t="shared" si="154"/>
        <v/>
      </c>
      <c r="DD139" s="64" t="str">
        <f t="shared" si="155"/>
        <v/>
      </c>
      <c r="DE139" s="65" t="str">
        <f t="shared" si="156"/>
        <v/>
      </c>
      <c r="DF139" s="66" t="str">
        <f t="shared" si="157"/>
        <v/>
      </c>
    </row>
    <row r="140" spans="2:110" hidden="1" outlineLevel="1">
      <c r="B140" s="54">
        <f t="shared" si="158"/>
        <v>44032</v>
      </c>
      <c r="C140" s="55" t="s">
        <v>1</v>
      </c>
      <c r="D140" s="56">
        <f t="shared" si="159"/>
        <v>44038</v>
      </c>
      <c r="E140" s="52">
        <f t="shared" si="160"/>
        <v>7</v>
      </c>
      <c r="F140" s="53">
        <f t="shared" si="161"/>
        <v>2020</v>
      </c>
      <c r="G140" s="62">
        <f t="shared" si="162"/>
        <v>15</v>
      </c>
      <c r="H140" s="63">
        <f t="shared" si="163"/>
        <v>96</v>
      </c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>
        <v>15</v>
      </c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80"/>
      <c r="AG140" s="87">
        <f t="shared" si="117"/>
        <v>0</v>
      </c>
      <c r="AH140" s="87">
        <f t="shared" si="118"/>
        <v>0</v>
      </c>
      <c r="AI140" s="87">
        <f t="shared" si="119"/>
        <v>0</v>
      </c>
      <c r="AJ140" s="87">
        <f t="shared" si="120"/>
        <v>0</v>
      </c>
      <c r="AK140" s="87">
        <f t="shared" si="121"/>
        <v>0</v>
      </c>
      <c r="AL140" s="87">
        <f t="shared" si="122"/>
        <v>0</v>
      </c>
      <c r="AM140" s="87">
        <f t="shared" si="123"/>
        <v>0</v>
      </c>
      <c r="AN140" s="87">
        <f t="shared" si="124"/>
        <v>0</v>
      </c>
      <c r="AO140" s="87">
        <f t="shared" si="125"/>
        <v>0</v>
      </c>
      <c r="AP140" s="87">
        <f t="shared" si="126"/>
        <v>0</v>
      </c>
      <c r="AQ140" s="87">
        <f t="shared" si="127"/>
        <v>15</v>
      </c>
      <c r="AR140" s="81"/>
      <c r="AS140" s="85">
        <f t="shared" si="128"/>
        <v>0</v>
      </c>
      <c r="AT140" s="85">
        <f t="shared" si="129"/>
        <v>0</v>
      </c>
      <c r="AU140" s="85">
        <f t="shared" si="130"/>
        <v>0</v>
      </c>
      <c r="AV140" s="85">
        <f t="shared" si="131"/>
        <v>0</v>
      </c>
      <c r="AW140" s="85">
        <f t="shared" si="132"/>
        <v>0</v>
      </c>
      <c r="AX140" s="85">
        <f t="shared" si="133"/>
        <v>0</v>
      </c>
      <c r="AY140" s="85">
        <f t="shared" si="134"/>
        <v>0</v>
      </c>
      <c r="AZ140" s="85">
        <f t="shared" si="135"/>
        <v>0</v>
      </c>
      <c r="BA140" s="85">
        <f t="shared" si="136"/>
        <v>0</v>
      </c>
      <c r="BB140" s="85">
        <f t="shared" si="137"/>
        <v>0</v>
      </c>
      <c r="BC140" s="85">
        <f t="shared" si="138"/>
        <v>0</v>
      </c>
      <c r="BD140" s="85">
        <f t="shared" si="139"/>
        <v>0</v>
      </c>
      <c r="BE140" s="85">
        <f t="shared" si="140"/>
        <v>0</v>
      </c>
      <c r="BF140" s="85">
        <f t="shared" si="141"/>
        <v>0</v>
      </c>
      <c r="BG140" s="85">
        <f t="shared" si="142"/>
        <v>0</v>
      </c>
      <c r="BH140" s="85">
        <f t="shared" si="143"/>
        <v>0</v>
      </c>
      <c r="BI140" s="85">
        <f t="shared" si="144"/>
        <v>0</v>
      </c>
      <c r="BJ140" s="85">
        <f t="shared" si="145"/>
        <v>0</v>
      </c>
      <c r="BK140" s="85">
        <f t="shared" si="146"/>
        <v>0</v>
      </c>
      <c r="BL140" s="85">
        <f t="shared" si="147"/>
        <v>0</v>
      </c>
      <c r="BM140" s="85">
        <f t="shared" si="148"/>
        <v>0</v>
      </c>
      <c r="BN140" s="85">
        <f t="shared" si="149"/>
        <v>0</v>
      </c>
      <c r="BO140" s="85">
        <f t="shared" si="150"/>
        <v>0</v>
      </c>
      <c r="BP140" s="85">
        <f t="shared" si="151"/>
        <v>0</v>
      </c>
      <c r="BQ140" s="85">
        <f t="shared" si="152"/>
        <v>0</v>
      </c>
      <c r="BR140" s="85">
        <f t="shared" si="153"/>
        <v>0</v>
      </c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X140" s="35" t="s">
        <v>12</v>
      </c>
      <c r="CZ140" s="35"/>
      <c r="DC140" s="57" t="str">
        <f t="shared" si="154"/>
        <v/>
      </c>
      <c r="DD140" s="64" t="str">
        <f t="shared" si="155"/>
        <v/>
      </c>
      <c r="DE140" s="65" t="str">
        <f t="shared" si="156"/>
        <v/>
      </c>
      <c r="DF140" s="66" t="str">
        <f t="shared" si="157"/>
        <v/>
      </c>
    </row>
    <row r="141" spans="2:110" hidden="1" outlineLevel="1">
      <c r="B141" s="54">
        <f t="shared" si="158"/>
        <v>44039</v>
      </c>
      <c r="C141" s="55" t="s">
        <v>1</v>
      </c>
      <c r="D141" s="56">
        <f t="shared" si="159"/>
        <v>44045</v>
      </c>
      <c r="E141" s="52">
        <f t="shared" si="160"/>
        <v>7</v>
      </c>
      <c r="F141" s="53">
        <f t="shared" si="161"/>
        <v>2020</v>
      </c>
      <c r="G141" s="62">
        <f t="shared" si="162"/>
        <v>15</v>
      </c>
      <c r="H141" s="63">
        <f t="shared" si="163"/>
        <v>96</v>
      </c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>
        <v>15</v>
      </c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80"/>
      <c r="AG141" s="87">
        <f t="shared" si="117"/>
        <v>0</v>
      </c>
      <c r="AH141" s="87">
        <f t="shared" si="118"/>
        <v>0</v>
      </c>
      <c r="AI141" s="87">
        <f t="shared" si="119"/>
        <v>0</v>
      </c>
      <c r="AJ141" s="87">
        <f t="shared" si="120"/>
        <v>0</v>
      </c>
      <c r="AK141" s="87">
        <f t="shared" si="121"/>
        <v>0</v>
      </c>
      <c r="AL141" s="87">
        <f t="shared" si="122"/>
        <v>0</v>
      </c>
      <c r="AM141" s="87">
        <f t="shared" si="123"/>
        <v>0</v>
      </c>
      <c r="AN141" s="87">
        <f t="shared" si="124"/>
        <v>0</v>
      </c>
      <c r="AO141" s="87">
        <f t="shared" si="125"/>
        <v>0</v>
      </c>
      <c r="AP141" s="87">
        <f t="shared" si="126"/>
        <v>0</v>
      </c>
      <c r="AQ141" s="87">
        <f t="shared" si="127"/>
        <v>15</v>
      </c>
      <c r="AR141" s="81"/>
      <c r="AS141" s="85">
        <f t="shared" si="128"/>
        <v>0</v>
      </c>
      <c r="AT141" s="85">
        <f t="shared" si="129"/>
        <v>0</v>
      </c>
      <c r="AU141" s="85">
        <f t="shared" si="130"/>
        <v>0</v>
      </c>
      <c r="AV141" s="85">
        <f t="shared" si="131"/>
        <v>0</v>
      </c>
      <c r="AW141" s="85">
        <f t="shared" si="132"/>
        <v>0</v>
      </c>
      <c r="AX141" s="85">
        <f t="shared" si="133"/>
        <v>0</v>
      </c>
      <c r="AY141" s="85">
        <f t="shared" si="134"/>
        <v>0</v>
      </c>
      <c r="AZ141" s="85">
        <f t="shared" si="135"/>
        <v>0</v>
      </c>
      <c r="BA141" s="85">
        <f t="shared" si="136"/>
        <v>0</v>
      </c>
      <c r="BB141" s="85">
        <f t="shared" si="137"/>
        <v>0</v>
      </c>
      <c r="BC141" s="85">
        <f t="shared" si="138"/>
        <v>0</v>
      </c>
      <c r="BD141" s="85">
        <f t="shared" si="139"/>
        <v>0</v>
      </c>
      <c r="BE141" s="85">
        <f t="shared" si="140"/>
        <v>0</v>
      </c>
      <c r="BF141" s="85">
        <f t="shared" si="141"/>
        <v>0</v>
      </c>
      <c r="BG141" s="85">
        <f t="shared" si="142"/>
        <v>0</v>
      </c>
      <c r="BH141" s="85">
        <f t="shared" si="143"/>
        <v>0</v>
      </c>
      <c r="BI141" s="85">
        <f t="shared" si="144"/>
        <v>0</v>
      </c>
      <c r="BJ141" s="85">
        <f t="shared" si="145"/>
        <v>0</v>
      </c>
      <c r="BK141" s="85">
        <f t="shared" si="146"/>
        <v>0</v>
      </c>
      <c r="BL141" s="85">
        <f t="shared" si="147"/>
        <v>0</v>
      </c>
      <c r="BM141" s="85">
        <f t="shared" si="148"/>
        <v>0</v>
      </c>
      <c r="BN141" s="85">
        <f t="shared" si="149"/>
        <v>0</v>
      </c>
      <c r="BO141" s="85">
        <f t="shared" si="150"/>
        <v>0</v>
      </c>
      <c r="BP141" s="85">
        <f t="shared" si="151"/>
        <v>0</v>
      </c>
      <c r="BQ141" s="85">
        <f t="shared" si="152"/>
        <v>0</v>
      </c>
      <c r="BR141" s="85">
        <f t="shared" si="153"/>
        <v>0</v>
      </c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3"/>
      <c r="CO141" s="63"/>
      <c r="CP141" s="63"/>
      <c r="CQ141" s="63"/>
      <c r="CR141" s="63"/>
      <c r="CS141" s="63"/>
      <c r="CX141" s="35" t="s">
        <v>12</v>
      </c>
      <c r="CZ141" s="35"/>
      <c r="DC141" s="57" t="str">
        <f t="shared" si="154"/>
        <v/>
      </c>
      <c r="DD141" s="64" t="str">
        <f t="shared" si="155"/>
        <v/>
      </c>
      <c r="DE141" s="65" t="str">
        <f t="shared" si="156"/>
        <v/>
      </c>
      <c r="DF141" s="66" t="str">
        <f t="shared" si="157"/>
        <v/>
      </c>
    </row>
    <row r="142" spans="2:110" hidden="1" outlineLevel="1">
      <c r="B142" s="54">
        <f t="shared" si="158"/>
        <v>44046</v>
      </c>
      <c r="C142" s="55" t="s">
        <v>1</v>
      </c>
      <c r="D142" s="56">
        <f t="shared" si="159"/>
        <v>44052</v>
      </c>
      <c r="E142" s="52">
        <f t="shared" si="160"/>
        <v>8</v>
      </c>
      <c r="F142" s="53">
        <f t="shared" si="161"/>
        <v>2020</v>
      </c>
      <c r="G142" s="62">
        <f t="shared" si="162"/>
        <v>15</v>
      </c>
      <c r="H142" s="63">
        <f t="shared" si="163"/>
        <v>96</v>
      </c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>
        <v>15</v>
      </c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80"/>
      <c r="AG142" s="87">
        <f t="shared" si="117"/>
        <v>0</v>
      </c>
      <c r="AH142" s="87">
        <f t="shared" si="118"/>
        <v>0</v>
      </c>
      <c r="AI142" s="87">
        <f t="shared" si="119"/>
        <v>0</v>
      </c>
      <c r="AJ142" s="87">
        <f t="shared" si="120"/>
        <v>0</v>
      </c>
      <c r="AK142" s="87">
        <f t="shared" si="121"/>
        <v>0</v>
      </c>
      <c r="AL142" s="87">
        <f t="shared" si="122"/>
        <v>0</v>
      </c>
      <c r="AM142" s="87">
        <f t="shared" si="123"/>
        <v>0</v>
      </c>
      <c r="AN142" s="87">
        <f t="shared" si="124"/>
        <v>0</v>
      </c>
      <c r="AO142" s="87">
        <f t="shared" si="125"/>
        <v>0</v>
      </c>
      <c r="AP142" s="87">
        <f t="shared" si="126"/>
        <v>0</v>
      </c>
      <c r="AQ142" s="87">
        <f t="shared" si="127"/>
        <v>15</v>
      </c>
      <c r="AR142" s="81"/>
      <c r="AS142" s="85">
        <f t="shared" si="128"/>
        <v>0</v>
      </c>
      <c r="AT142" s="85">
        <f t="shared" si="129"/>
        <v>0</v>
      </c>
      <c r="AU142" s="85">
        <f t="shared" si="130"/>
        <v>0</v>
      </c>
      <c r="AV142" s="85">
        <f t="shared" si="131"/>
        <v>0</v>
      </c>
      <c r="AW142" s="85">
        <f t="shared" si="132"/>
        <v>0</v>
      </c>
      <c r="AX142" s="85">
        <f t="shared" si="133"/>
        <v>0</v>
      </c>
      <c r="AY142" s="85">
        <f t="shared" si="134"/>
        <v>0</v>
      </c>
      <c r="AZ142" s="85">
        <f t="shared" si="135"/>
        <v>0</v>
      </c>
      <c r="BA142" s="85">
        <f t="shared" si="136"/>
        <v>0</v>
      </c>
      <c r="BB142" s="85">
        <f t="shared" si="137"/>
        <v>0</v>
      </c>
      <c r="BC142" s="85">
        <f t="shared" si="138"/>
        <v>0</v>
      </c>
      <c r="BD142" s="85">
        <f t="shared" si="139"/>
        <v>0</v>
      </c>
      <c r="BE142" s="85">
        <f t="shared" si="140"/>
        <v>0</v>
      </c>
      <c r="BF142" s="85">
        <f t="shared" si="141"/>
        <v>0</v>
      </c>
      <c r="BG142" s="85">
        <f t="shared" si="142"/>
        <v>0</v>
      </c>
      <c r="BH142" s="85">
        <f t="shared" si="143"/>
        <v>0</v>
      </c>
      <c r="BI142" s="85">
        <f t="shared" si="144"/>
        <v>0</v>
      </c>
      <c r="BJ142" s="85">
        <f t="shared" si="145"/>
        <v>0</v>
      </c>
      <c r="BK142" s="85">
        <f t="shared" si="146"/>
        <v>0</v>
      </c>
      <c r="BL142" s="85">
        <f t="shared" si="147"/>
        <v>0</v>
      </c>
      <c r="BM142" s="85">
        <f t="shared" si="148"/>
        <v>0</v>
      </c>
      <c r="BN142" s="85">
        <f t="shared" si="149"/>
        <v>0</v>
      </c>
      <c r="BO142" s="85">
        <f t="shared" si="150"/>
        <v>0</v>
      </c>
      <c r="BP142" s="85">
        <f t="shared" si="151"/>
        <v>0</v>
      </c>
      <c r="BQ142" s="85">
        <f t="shared" si="152"/>
        <v>0</v>
      </c>
      <c r="BR142" s="85">
        <f t="shared" si="153"/>
        <v>0</v>
      </c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3"/>
      <c r="CM142" s="63"/>
      <c r="CN142" s="63"/>
      <c r="CO142" s="63"/>
      <c r="CP142" s="63"/>
      <c r="CQ142" s="63"/>
      <c r="CR142" s="63"/>
      <c r="CS142" s="63"/>
      <c r="CW142">
        <v>10</v>
      </c>
      <c r="CX142" s="35">
        <v>44046</v>
      </c>
      <c r="CZ142" s="35">
        <f>B157</f>
        <v>44151</v>
      </c>
      <c r="DA142">
        <v>95</v>
      </c>
      <c r="DC142" s="57" t="str">
        <f t="shared" si="154"/>
        <v/>
      </c>
      <c r="DD142" s="64" t="str">
        <f t="shared" si="155"/>
        <v/>
      </c>
      <c r="DE142" s="65" t="str">
        <f t="shared" si="156"/>
        <v/>
      </c>
      <c r="DF142" s="66" t="str">
        <f t="shared" si="157"/>
        <v/>
      </c>
    </row>
    <row r="143" spans="2:110" hidden="1" outlineLevel="1">
      <c r="B143" s="54">
        <f t="shared" si="158"/>
        <v>44053</v>
      </c>
      <c r="C143" s="55" t="s">
        <v>1</v>
      </c>
      <c r="D143" s="56">
        <f t="shared" si="159"/>
        <v>44059</v>
      </c>
      <c r="E143" s="52">
        <f t="shared" si="160"/>
        <v>8</v>
      </c>
      <c r="F143" s="53">
        <f t="shared" si="161"/>
        <v>2020</v>
      </c>
      <c r="G143" s="62">
        <f t="shared" si="162"/>
        <v>15</v>
      </c>
      <c r="H143" s="63">
        <f t="shared" si="163"/>
        <v>96</v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>
        <v>15</v>
      </c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80"/>
      <c r="AG143" s="87">
        <f t="shared" si="117"/>
        <v>0</v>
      </c>
      <c r="AH143" s="87">
        <f t="shared" si="118"/>
        <v>0</v>
      </c>
      <c r="AI143" s="87">
        <f t="shared" si="119"/>
        <v>0</v>
      </c>
      <c r="AJ143" s="87">
        <f t="shared" si="120"/>
        <v>0</v>
      </c>
      <c r="AK143" s="87">
        <f t="shared" si="121"/>
        <v>0</v>
      </c>
      <c r="AL143" s="87">
        <f t="shared" si="122"/>
        <v>0</v>
      </c>
      <c r="AM143" s="87">
        <f t="shared" si="123"/>
        <v>0</v>
      </c>
      <c r="AN143" s="87">
        <f t="shared" si="124"/>
        <v>0</v>
      </c>
      <c r="AO143" s="87">
        <f t="shared" si="125"/>
        <v>0</v>
      </c>
      <c r="AP143" s="87">
        <f t="shared" si="126"/>
        <v>0</v>
      </c>
      <c r="AQ143" s="87">
        <f t="shared" si="127"/>
        <v>15</v>
      </c>
      <c r="AR143" s="81"/>
      <c r="AS143" s="85">
        <f t="shared" si="128"/>
        <v>0</v>
      </c>
      <c r="AT143" s="85">
        <f t="shared" si="129"/>
        <v>0</v>
      </c>
      <c r="AU143" s="85">
        <f t="shared" si="130"/>
        <v>0</v>
      </c>
      <c r="AV143" s="85">
        <f t="shared" si="131"/>
        <v>0</v>
      </c>
      <c r="AW143" s="85">
        <f t="shared" si="132"/>
        <v>0</v>
      </c>
      <c r="AX143" s="85">
        <f t="shared" si="133"/>
        <v>0</v>
      </c>
      <c r="AY143" s="85">
        <f t="shared" si="134"/>
        <v>0</v>
      </c>
      <c r="AZ143" s="85">
        <f t="shared" si="135"/>
        <v>0</v>
      </c>
      <c r="BA143" s="85">
        <f t="shared" si="136"/>
        <v>0</v>
      </c>
      <c r="BB143" s="85">
        <f t="shared" si="137"/>
        <v>0</v>
      </c>
      <c r="BC143" s="85">
        <f t="shared" si="138"/>
        <v>0</v>
      </c>
      <c r="BD143" s="85">
        <f t="shared" si="139"/>
        <v>0</v>
      </c>
      <c r="BE143" s="85">
        <f t="shared" si="140"/>
        <v>0</v>
      </c>
      <c r="BF143" s="85">
        <f t="shared" si="141"/>
        <v>0</v>
      </c>
      <c r="BG143" s="85">
        <f t="shared" si="142"/>
        <v>0</v>
      </c>
      <c r="BH143" s="85">
        <f t="shared" si="143"/>
        <v>0</v>
      </c>
      <c r="BI143" s="85">
        <f t="shared" si="144"/>
        <v>0</v>
      </c>
      <c r="BJ143" s="85">
        <f t="shared" si="145"/>
        <v>0</v>
      </c>
      <c r="BK143" s="85">
        <f t="shared" si="146"/>
        <v>0</v>
      </c>
      <c r="BL143" s="85">
        <f t="shared" si="147"/>
        <v>0</v>
      </c>
      <c r="BM143" s="85">
        <f t="shared" si="148"/>
        <v>0</v>
      </c>
      <c r="BN143" s="85">
        <f t="shared" si="149"/>
        <v>0</v>
      </c>
      <c r="BO143" s="85">
        <f t="shared" si="150"/>
        <v>0</v>
      </c>
      <c r="BP143" s="85">
        <f t="shared" si="151"/>
        <v>0</v>
      </c>
      <c r="BQ143" s="85">
        <f t="shared" si="152"/>
        <v>0</v>
      </c>
      <c r="BR143" s="85">
        <f t="shared" si="153"/>
        <v>0</v>
      </c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3"/>
      <c r="CM143" s="63"/>
      <c r="CN143" s="63"/>
      <c r="CO143" s="63"/>
      <c r="CP143" s="63"/>
      <c r="CQ143" s="63"/>
      <c r="CR143" s="63"/>
      <c r="CS143" s="63"/>
      <c r="CX143" s="35" t="s">
        <v>12</v>
      </c>
      <c r="CZ143" s="35"/>
      <c r="DC143" s="57" t="str">
        <f t="shared" si="154"/>
        <v/>
      </c>
      <c r="DD143" s="64" t="str">
        <f t="shared" si="155"/>
        <v/>
      </c>
      <c r="DE143" s="65" t="str">
        <f t="shared" si="156"/>
        <v/>
      </c>
      <c r="DF143" s="66" t="str">
        <f t="shared" si="157"/>
        <v/>
      </c>
    </row>
    <row r="144" spans="2:110" hidden="1" outlineLevel="1">
      <c r="B144" s="54">
        <f t="shared" si="158"/>
        <v>44060</v>
      </c>
      <c r="C144" s="55" t="s">
        <v>1</v>
      </c>
      <c r="D144" s="56">
        <f t="shared" si="159"/>
        <v>44066</v>
      </c>
      <c r="E144" s="52">
        <f t="shared" si="160"/>
        <v>8</v>
      </c>
      <c r="F144" s="53">
        <f t="shared" si="161"/>
        <v>2020</v>
      </c>
      <c r="G144" s="62">
        <f t="shared" si="162"/>
        <v>15</v>
      </c>
      <c r="H144" s="63">
        <f t="shared" si="163"/>
        <v>96</v>
      </c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>
        <v>15</v>
      </c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80"/>
      <c r="AG144" s="87">
        <f t="shared" si="117"/>
        <v>0</v>
      </c>
      <c r="AH144" s="87">
        <f t="shared" si="118"/>
        <v>0</v>
      </c>
      <c r="AI144" s="87">
        <f t="shared" si="119"/>
        <v>0</v>
      </c>
      <c r="AJ144" s="87">
        <f t="shared" si="120"/>
        <v>0</v>
      </c>
      <c r="AK144" s="87">
        <f t="shared" si="121"/>
        <v>0</v>
      </c>
      <c r="AL144" s="87">
        <f t="shared" si="122"/>
        <v>0</v>
      </c>
      <c r="AM144" s="87">
        <f t="shared" si="123"/>
        <v>0</v>
      </c>
      <c r="AN144" s="87">
        <f t="shared" si="124"/>
        <v>0</v>
      </c>
      <c r="AO144" s="87">
        <f t="shared" si="125"/>
        <v>0</v>
      </c>
      <c r="AP144" s="87">
        <f t="shared" si="126"/>
        <v>0</v>
      </c>
      <c r="AQ144" s="87">
        <f t="shared" si="127"/>
        <v>15</v>
      </c>
      <c r="AR144" s="81"/>
      <c r="AS144" s="85">
        <f t="shared" si="128"/>
        <v>0</v>
      </c>
      <c r="AT144" s="85">
        <f t="shared" si="129"/>
        <v>0</v>
      </c>
      <c r="AU144" s="85">
        <f t="shared" si="130"/>
        <v>0</v>
      </c>
      <c r="AV144" s="85">
        <f t="shared" si="131"/>
        <v>0</v>
      </c>
      <c r="AW144" s="85">
        <f t="shared" si="132"/>
        <v>0</v>
      </c>
      <c r="AX144" s="85">
        <f t="shared" si="133"/>
        <v>0</v>
      </c>
      <c r="AY144" s="85">
        <f t="shared" si="134"/>
        <v>0</v>
      </c>
      <c r="AZ144" s="85">
        <f t="shared" si="135"/>
        <v>0</v>
      </c>
      <c r="BA144" s="85">
        <f t="shared" si="136"/>
        <v>0</v>
      </c>
      <c r="BB144" s="85">
        <f t="shared" si="137"/>
        <v>0</v>
      </c>
      <c r="BC144" s="85">
        <f t="shared" si="138"/>
        <v>0</v>
      </c>
      <c r="BD144" s="85">
        <f t="shared" si="139"/>
        <v>0</v>
      </c>
      <c r="BE144" s="85">
        <f t="shared" si="140"/>
        <v>0</v>
      </c>
      <c r="BF144" s="85">
        <f t="shared" si="141"/>
        <v>0</v>
      </c>
      <c r="BG144" s="85">
        <f t="shared" si="142"/>
        <v>0</v>
      </c>
      <c r="BH144" s="85">
        <f t="shared" si="143"/>
        <v>0</v>
      </c>
      <c r="BI144" s="85">
        <f t="shared" si="144"/>
        <v>0</v>
      </c>
      <c r="BJ144" s="85">
        <f t="shared" si="145"/>
        <v>0</v>
      </c>
      <c r="BK144" s="85">
        <f t="shared" si="146"/>
        <v>0</v>
      </c>
      <c r="BL144" s="85">
        <f t="shared" si="147"/>
        <v>0</v>
      </c>
      <c r="BM144" s="85">
        <f t="shared" si="148"/>
        <v>0</v>
      </c>
      <c r="BN144" s="85">
        <f t="shared" si="149"/>
        <v>0</v>
      </c>
      <c r="BO144" s="85">
        <f t="shared" si="150"/>
        <v>0</v>
      </c>
      <c r="BP144" s="85">
        <f t="shared" si="151"/>
        <v>0</v>
      </c>
      <c r="BQ144" s="85">
        <f t="shared" si="152"/>
        <v>0</v>
      </c>
      <c r="BR144" s="85">
        <f t="shared" si="153"/>
        <v>0</v>
      </c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3"/>
      <c r="CO144" s="63"/>
      <c r="CP144" s="63"/>
      <c r="CQ144" s="63"/>
      <c r="CR144" s="63"/>
      <c r="CS144" s="63"/>
      <c r="CX144" s="35" t="s">
        <v>12</v>
      </c>
      <c r="CZ144" s="35"/>
      <c r="DC144" s="57" t="str">
        <f t="shared" si="154"/>
        <v/>
      </c>
      <c r="DD144" s="64" t="str">
        <f t="shared" si="155"/>
        <v/>
      </c>
      <c r="DE144" s="65" t="str">
        <f t="shared" si="156"/>
        <v/>
      </c>
      <c r="DF144" s="66" t="str">
        <f t="shared" si="157"/>
        <v/>
      </c>
    </row>
    <row r="145" spans="2:110" hidden="1" outlineLevel="1">
      <c r="B145" s="54">
        <f t="shared" si="158"/>
        <v>44067</v>
      </c>
      <c r="C145" s="55" t="s">
        <v>1</v>
      </c>
      <c r="D145" s="56">
        <f t="shared" si="159"/>
        <v>44073</v>
      </c>
      <c r="E145" s="52">
        <f t="shared" si="160"/>
        <v>8</v>
      </c>
      <c r="F145" s="53">
        <f t="shared" si="161"/>
        <v>2020</v>
      </c>
      <c r="G145" s="62">
        <f t="shared" si="162"/>
        <v>15</v>
      </c>
      <c r="H145" s="63">
        <f t="shared" si="163"/>
        <v>96</v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>
        <v>15</v>
      </c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80"/>
      <c r="AG145" s="87">
        <f t="shared" si="117"/>
        <v>0</v>
      </c>
      <c r="AH145" s="87">
        <f t="shared" si="118"/>
        <v>0</v>
      </c>
      <c r="AI145" s="87">
        <f t="shared" si="119"/>
        <v>0</v>
      </c>
      <c r="AJ145" s="87">
        <f t="shared" si="120"/>
        <v>0</v>
      </c>
      <c r="AK145" s="87">
        <f t="shared" si="121"/>
        <v>0</v>
      </c>
      <c r="AL145" s="87">
        <f t="shared" si="122"/>
        <v>0</v>
      </c>
      <c r="AM145" s="87">
        <f t="shared" si="123"/>
        <v>0</v>
      </c>
      <c r="AN145" s="87">
        <f t="shared" si="124"/>
        <v>0</v>
      </c>
      <c r="AO145" s="87">
        <f t="shared" si="125"/>
        <v>0</v>
      </c>
      <c r="AP145" s="87">
        <f t="shared" si="126"/>
        <v>0</v>
      </c>
      <c r="AQ145" s="87">
        <f t="shared" si="127"/>
        <v>15</v>
      </c>
      <c r="AR145" s="81"/>
      <c r="AS145" s="85">
        <f t="shared" si="128"/>
        <v>0</v>
      </c>
      <c r="AT145" s="85">
        <f t="shared" si="129"/>
        <v>0</v>
      </c>
      <c r="AU145" s="85">
        <f t="shared" si="130"/>
        <v>0</v>
      </c>
      <c r="AV145" s="85">
        <f t="shared" si="131"/>
        <v>0</v>
      </c>
      <c r="AW145" s="85">
        <f t="shared" si="132"/>
        <v>0</v>
      </c>
      <c r="AX145" s="85">
        <f t="shared" si="133"/>
        <v>0</v>
      </c>
      <c r="AY145" s="85">
        <f t="shared" si="134"/>
        <v>0</v>
      </c>
      <c r="AZ145" s="85">
        <f t="shared" si="135"/>
        <v>0</v>
      </c>
      <c r="BA145" s="85">
        <f t="shared" si="136"/>
        <v>0</v>
      </c>
      <c r="BB145" s="85">
        <f t="shared" si="137"/>
        <v>0</v>
      </c>
      <c r="BC145" s="85">
        <f t="shared" si="138"/>
        <v>0</v>
      </c>
      <c r="BD145" s="85">
        <f t="shared" si="139"/>
        <v>0</v>
      </c>
      <c r="BE145" s="85">
        <f t="shared" si="140"/>
        <v>0</v>
      </c>
      <c r="BF145" s="85">
        <f t="shared" si="141"/>
        <v>0</v>
      </c>
      <c r="BG145" s="85">
        <f t="shared" si="142"/>
        <v>0</v>
      </c>
      <c r="BH145" s="85">
        <f t="shared" si="143"/>
        <v>0</v>
      </c>
      <c r="BI145" s="85">
        <f t="shared" si="144"/>
        <v>0</v>
      </c>
      <c r="BJ145" s="85">
        <f t="shared" si="145"/>
        <v>0</v>
      </c>
      <c r="BK145" s="85">
        <f t="shared" si="146"/>
        <v>0</v>
      </c>
      <c r="BL145" s="85">
        <f t="shared" si="147"/>
        <v>0</v>
      </c>
      <c r="BM145" s="85">
        <f t="shared" si="148"/>
        <v>0</v>
      </c>
      <c r="BN145" s="85">
        <f t="shared" si="149"/>
        <v>0</v>
      </c>
      <c r="BO145" s="85">
        <f t="shared" si="150"/>
        <v>0</v>
      </c>
      <c r="BP145" s="85">
        <f t="shared" si="151"/>
        <v>0</v>
      </c>
      <c r="BQ145" s="85">
        <f t="shared" si="152"/>
        <v>0</v>
      </c>
      <c r="BR145" s="85">
        <f t="shared" si="153"/>
        <v>0</v>
      </c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X145" s="35" t="s">
        <v>12</v>
      </c>
      <c r="CZ145" s="35"/>
      <c r="DC145" s="57" t="str">
        <f t="shared" si="154"/>
        <v/>
      </c>
      <c r="DD145" s="64" t="str">
        <f t="shared" si="155"/>
        <v/>
      </c>
      <c r="DE145" s="65" t="str">
        <f t="shared" si="156"/>
        <v/>
      </c>
      <c r="DF145" s="66" t="str">
        <f t="shared" si="157"/>
        <v/>
      </c>
    </row>
    <row r="146" spans="2:110" hidden="1" outlineLevel="1">
      <c r="B146" s="54">
        <f t="shared" si="158"/>
        <v>44074</v>
      </c>
      <c r="C146" s="55" t="s">
        <v>1</v>
      </c>
      <c r="D146" s="56">
        <f t="shared" si="159"/>
        <v>44080</v>
      </c>
      <c r="E146" s="52">
        <f t="shared" si="160"/>
        <v>8</v>
      </c>
      <c r="F146" s="53">
        <f t="shared" si="161"/>
        <v>2020</v>
      </c>
      <c r="G146" s="62">
        <f t="shared" si="162"/>
        <v>15</v>
      </c>
      <c r="H146" s="63">
        <f t="shared" si="163"/>
        <v>96</v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>
        <v>15</v>
      </c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80"/>
      <c r="AG146" s="87">
        <f t="shared" si="117"/>
        <v>0</v>
      </c>
      <c r="AH146" s="87">
        <f t="shared" si="118"/>
        <v>0</v>
      </c>
      <c r="AI146" s="87">
        <f t="shared" si="119"/>
        <v>0</v>
      </c>
      <c r="AJ146" s="87">
        <f t="shared" si="120"/>
        <v>0</v>
      </c>
      <c r="AK146" s="87">
        <f t="shared" si="121"/>
        <v>0</v>
      </c>
      <c r="AL146" s="87">
        <f t="shared" si="122"/>
        <v>0</v>
      </c>
      <c r="AM146" s="87">
        <f t="shared" si="123"/>
        <v>0</v>
      </c>
      <c r="AN146" s="87">
        <f t="shared" si="124"/>
        <v>0</v>
      </c>
      <c r="AO146" s="87">
        <f t="shared" si="125"/>
        <v>0</v>
      </c>
      <c r="AP146" s="87">
        <f t="shared" si="126"/>
        <v>0</v>
      </c>
      <c r="AQ146" s="87">
        <f t="shared" si="127"/>
        <v>15</v>
      </c>
      <c r="AR146" s="81"/>
      <c r="AS146" s="85">
        <f t="shared" si="128"/>
        <v>0</v>
      </c>
      <c r="AT146" s="85">
        <f t="shared" si="129"/>
        <v>0</v>
      </c>
      <c r="AU146" s="85">
        <f t="shared" si="130"/>
        <v>0</v>
      </c>
      <c r="AV146" s="85">
        <f t="shared" si="131"/>
        <v>0</v>
      </c>
      <c r="AW146" s="85">
        <f t="shared" si="132"/>
        <v>0</v>
      </c>
      <c r="AX146" s="85">
        <f t="shared" si="133"/>
        <v>0</v>
      </c>
      <c r="AY146" s="85">
        <f t="shared" si="134"/>
        <v>0</v>
      </c>
      <c r="AZ146" s="85">
        <f t="shared" si="135"/>
        <v>0</v>
      </c>
      <c r="BA146" s="85">
        <f t="shared" si="136"/>
        <v>0</v>
      </c>
      <c r="BB146" s="85">
        <f t="shared" si="137"/>
        <v>0</v>
      </c>
      <c r="BC146" s="85">
        <f t="shared" si="138"/>
        <v>0</v>
      </c>
      <c r="BD146" s="85">
        <f t="shared" si="139"/>
        <v>0</v>
      </c>
      <c r="BE146" s="85">
        <f t="shared" si="140"/>
        <v>0</v>
      </c>
      <c r="BF146" s="85">
        <f t="shared" si="141"/>
        <v>0</v>
      </c>
      <c r="BG146" s="85">
        <f t="shared" si="142"/>
        <v>0</v>
      </c>
      <c r="BH146" s="85">
        <f t="shared" si="143"/>
        <v>0</v>
      </c>
      <c r="BI146" s="85">
        <f t="shared" si="144"/>
        <v>0</v>
      </c>
      <c r="BJ146" s="85">
        <f t="shared" si="145"/>
        <v>0</v>
      </c>
      <c r="BK146" s="85">
        <f t="shared" si="146"/>
        <v>0</v>
      </c>
      <c r="BL146" s="85">
        <f t="shared" si="147"/>
        <v>0</v>
      </c>
      <c r="BM146" s="85">
        <f t="shared" si="148"/>
        <v>0</v>
      </c>
      <c r="BN146" s="85">
        <f t="shared" si="149"/>
        <v>0</v>
      </c>
      <c r="BO146" s="85">
        <f t="shared" si="150"/>
        <v>0</v>
      </c>
      <c r="BP146" s="85">
        <f t="shared" si="151"/>
        <v>0</v>
      </c>
      <c r="BQ146" s="85">
        <f t="shared" si="152"/>
        <v>0</v>
      </c>
      <c r="BR146" s="85">
        <f t="shared" si="153"/>
        <v>0</v>
      </c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3"/>
      <c r="CO146" s="63"/>
      <c r="CP146" s="63"/>
      <c r="CQ146" s="63"/>
      <c r="CR146" s="63"/>
      <c r="CS146" s="63"/>
      <c r="CX146" s="35" t="s">
        <v>12</v>
      </c>
      <c r="CZ146" s="35"/>
      <c r="DC146" s="57" t="str">
        <f t="shared" si="154"/>
        <v/>
      </c>
      <c r="DD146" s="64" t="str">
        <f t="shared" si="155"/>
        <v/>
      </c>
      <c r="DE146" s="65" t="str">
        <f t="shared" si="156"/>
        <v/>
      </c>
      <c r="DF146" s="66" t="str">
        <f t="shared" si="157"/>
        <v/>
      </c>
    </row>
    <row r="147" spans="2:110" hidden="1" outlineLevel="1">
      <c r="B147" s="54">
        <f t="shared" si="158"/>
        <v>44081</v>
      </c>
      <c r="C147" s="55" t="s">
        <v>1</v>
      </c>
      <c r="D147" s="56">
        <f t="shared" si="159"/>
        <v>44087</v>
      </c>
      <c r="E147" s="52">
        <f t="shared" si="160"/>
        <v>9</v>
      </c>
      <c r="F147" s="53">
        <f t="shared" si="161"/>
        <v>2020</v>
      </c>
      <c r="G147" s="62">
        <f t="shared" si="162"/>
        <v>15</v>
      </c>
      <c r="H147" s="63">
        <f t="shared" si="163"/>
        <v>96</v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>
        <v>15</v>
      </c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80"/>
      <c r="AG147" s="87">
        <f t="shared" si="117"/>
        <v>0</v>
      </c>
      <c r="AH147" s="87">
        <f t="shared" si="118"/>
        <v>0</v>
      </c>
      <c r="AI147" s="87">
        <f t="shared" si="119"/>
        <v>0</v>
      </c>
      <c r="AJ147" s="87">
        <f t="shared" si="120"/>
        <v>0</v>
      </c>
      <c r="AK147" s="87">
        <f t="shared" si="121"/>
        <v>0</v>
      </c>
      <c r="AL147" s="87">
        <f t="shared" si="122"/>
        <v>0</v>
      </c>
      <c r="AM147" s="87">
        <f t="shared" si="123"/>
        <v>0</v>
      </c>
      <c r="AN147" s="87">
        <f t="shared" si="124"/>
        <v>0</v>
      </c>
      <c r="AO147" s="87">
        <f t="shared" si="125"/>
        <v>0</v>
      </c>
      <c r="AP147" s="87">
        <f t="shared" si="126"/>
        <v>0</v>
      </c>
      <c r="AQ147" s="87">
        <f t="shared" si="127"/>
        <v>15</v>
      </c>
      <c r="AR147" s="81"/>
      <c r="AS147" s="85">
        <f t="shared" si="128"/>
        <v>0</v>
      </c>
      <c r="AT147" s="85">
        <f t="shared" si="129"/>
        <v>0</v>
      </c>
      <c r="AU147" s="85">
        <f t="shared" si="130"/>
        <v>0</v>
      </c>
      <c r="AV147" s="85">
        <f t="shared" si="131"/>
        <v>0</v>
      </c>
      <c r="AW147" s="85">
        <f t="shared" si="132"/>
        <v>0</v>
      </c>
      <c r="AX147" s="85">
        <f t="shared" si="133"/>
        <v>0</v>
      </c>
      <c r="AY147" s="85">
        <f t="shared" si="134"/>
        <v>0</v>
      </c>
      <c r="AZ147" s="85">
        <f t="shared" si="135"/>
        <v>0</v>
      </c>
      <c r="BA147" s="85">
        <f t="shared" si="136"/>
        <v>0</v>
      </c>
      <c r="BB147" s="85">
        <f t="shared" si="137"/>
        <v>0</v>
      </c>
      <c r="BC147" s="85">
        <f t="shared" si="138"/>
        <v>0</v>
      </c>
      <c r="BD147" s="85">
        <f t="shared" si="139"/>
        <v>0</v>
      </c>
      <c r="BE147" s="85">
        <f t="shared" si="140"/>
        <v>0</v>
      </c>
      <c r="BF147" s="85">
        <f t="shared" si="141"/>
        <v>0</v>
      </c>
      <c r="BG147" s="85">
        <f t="shared" si="142"/>
        <v>0</v>
      </c>
      <c r="BH147" s="85">
        <f t="shared" si="143"/>
        <v>0</v>
      </c>
      <c r="BI147" s="85">
        <f t="shared" si="144"/>
        <v>0</v>
      </c>
      <c r="BJ147" s="85">
        <f t="shared" si="145"/>
        <v>0</v>
      </c>
      <c r="BK147" s="85">
        <f t="shared" si="146"/>
        <v>0</v>
      </c>
      <c r="BL147" s="85">
        <f t="shared" si="147"/>
        <v>0</v>
      </c>
      <c r="BM147" s="85">
        <f t="shared" si="148"/>
        <v>0</v>
      </c>
      <c r="BN147" s="85">
        <f t="shared" si="149"/>
        <v>0</v>
      </c>
      <c r="BO147" s="85">
        <f t="shared" si="150"/>
        <v>0</v>
      </c>
      <c r="BP147" s="85">
        <f t="shared" si="151"/>
        <v>0</v>
      </c>
      <c r="BQ147" s="85">
        <f t="shared" si="152"/>
        <v>0</v>
      </c>
      <c r="BR147" s="85">
        <f t="shared" si="153"/>
        <v>0</v>
      </c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3"/>
      <c r="CO147" s="63"/>
      <c r="CP147" s="63"/>
      <c r="CQ147" s="63"/>
      <c r="CR147" s="63"/>
      <c r="CS147" s="63"/>
      <c r="CW147">
        <v>11</v>
      </c>
      <c r="CX147" s="35">
        <v>44081</v>
      </c>
      <c r="CZ147" s="35">
        <f>B164</f>
        <v>44200</v>
      </c>
      <c r="DA147">
        <v>95</v>
      </c>
      <c r="DC147" s="57" t="str">
        <f t="shared" si="154"/>
        <v/>
      </c>
      <c r="DD147" s="64" t="str">
        <f t="shared" si="155"/>
        <v/>
      </c>
      <c r="DE147" s="65" t="str">
        <f t="shared" si="156"/>
        <v/>
      </c>
      <c r="DF147" s="66" t="str">
        <f t="shared" si="157"/>
        <v/>
      </c>
    </row>
    <row r="148" spans="2:110" hidden="1" outlineLevel="1">
      <c r="B148" s="54">
        <f t="shared" si="158"/>
        <v>44088</v>
      </c>
      <c r="C148" s="55" t="s">
        <v>1</v>
      </c>
      <c r="D148" s="56">
        <f t="shared" si="159"/>
        <v>44094</v>
      </c>
      <c r="E148" s="52">
        <f t="shared" si="160"/>
        <v>9</v>
      </c>
      <c r="F148" s="53">
        <f t="shared" si="161"/>
        <v>2020</v>
      </c>
      <c r="G148" s="62">
        <f t="shared" si="162"/>
        <v>15</v>
      </c>
      <c r="H148" s="63">
        <f t="shared" si="163"/>
        <v>96</v>
      </c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>
        <v>15</v>
      </c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80"/>
      <c r="AG148" s="87">
        <f t="shared" si="117"/>
        <v>0</v>
      </c>
      <c r="AH148" s="87">
        <f t="shared" si="118"/>
        <v>0</v>
      </c>
      <c r="AI148" s="87">
        <f t="shared" si="119"/>
        <v>0</v>
      </c>
      <c r="AJ148" s="87">
        <f t="shared" si="120"/>
        <v>0</v>
      </c>
      <c r="AK148" s="87">
        <f t="shared" si="121"/>
        <v>0</v>
      </c>
      <c r="AL148" s="87">
        <f t="shared" si="122"/>
        <v>0</v>
      </c>
      <c r="AM148" s="87">
        <f t="shared" si="123"/>
        <v>0</v>
      </c>
      <c r="AN148" s="87">
        <f t="shared" si="124"/>
        <v>0</v>
      </c>
      <c r="AO148" s="87">
        <f t="shared" si="125"/>
        <v>0</v>
      </c>
      <c r="AP148" s="87">
        <f t="shared" si="126"/>
        <v>0</v>
      </c>
      <c r="AQ148" s="87">
        <f t="shared" si="127"/>
        <v>15</v>
      </c>
      <c r="AR148" s="81"/>
      <c r="AS148" s="85">
        <f t="shared" si="128"/>
        <v>0</v>
      </c>
      <c r="AT148" s="85">
        <f t="shared" si="129"/>
        <v>0</v>
      </c>
      <c r="AU148" s="85">
        <f t="shared" si="130"/>
        <v>0</v>
      </c>
      <c r="AV148" s="85">
        <f t="shared" si="131"/>
        <v>0</v>
      </c>
      <c r="AW148" s="85">
        <f t="shared" si="132"/>
        <v>0</v>
      </c>
      <c r="AX148" s="85">
        <f t="shared" si="133"/>
        <v>0</v>
      </c>
      <c r="AY148" s="85">
        <f t="shared" si="134"/>
        <v>0</v>
      </c>
      <c r="AZ148" s="85">
        <f t="shared" si="135"/>
        <v>0</v>
      </c>
      <c r="BA148" s="85">
        <f t="shared" si="136"/>
        <v>0</v>
      </c>
      <c r="BB148" s="85">
        <f t="shared" si="137"/>
        <v>0</v>
      </c>
      <c r="BC148" s="85">
        <f t="shared" si="138"/>
        <v>0</v>
      </c>
      <c r="BD148" s="85">
        <f t="shared" si="139"/>
        <v>0</v>
      </c>
      <c r="BE148" s="85">
        <f t="shared" si="140"/>
        <v>0</v>
      </c>
      <c r="BF148" s="85">
        <f t="shared" si="141"/>
        <v>0</v>
      </c>
      <c r="BG148" s="85">
        <f t="shared" si="142"/>
        <v>0</v>
      </c>
      <c r="BH148" s="85">
        <f t="shared" si="143"/>
        <v>0</v>
      </c>
      <c r="BI148" s="85">
        <f t="shared" si="144"/>
        <v>0</v>
      </c>
      <c r="BJ148" s="85">
        <f t="shared" si="145"/>
        <v>0</v>
      </c>
      <c r="BK148" s="85">
        <f t="shared" si="146"/>
        <v>0</v>
      </c>
      <c r="BL148" s="85">
        <f t="shared" si="147"/>
        <v>0</v>
      </c>
      <c r="BM148" s="85">
        <f t="shared" si="148"/>
        <v>0</v>
      </c>
      <c r="BN148" s="85">
        <f t="shared" si="149"/>
        <v>0</v>
      </c>
      <c r="BO148" s="85">
        <f t="shared" si="150"/>
        <v>0</v>
      </c>
      <c r="BP148" s="85">
        <f t="shared" si="151"/>
        <v>0</v>
      </c>
      <c r="BQ148" s="85">
        <f t="shared" si="152"/>
        <v>0</v>
      </c>
      <c r="BR148" s="85">
        <f t="shared" si="153"/>
        <v>0</v>
      </c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X148" s="35" t="s">
        <v>12</v>
      </c>
      <c r="CZ148" s="35"/>
      <c r="DC148" s="57" t="str">
        <f t="shared" si="154"/>
        <v/>
      </c>
      <c r="DD148" s="64" t="str">
        <f t="shared" si="155"/>
        <v/>
      </c>
      <c r="DE148" s="65" t="str">
        <f t="shared" si="156"/>
        <v/>
      </c>
      <c r="DF148" s="66" t="str">
        <f t="shared" si="157"/>
        <v/>
      </c>
    </row>
    <row r="149" spans="2:110" hidden="1" outlineLevel="1">
      <c r="B149" s="54">
        <f t="shared" si="158"/>
        <v>44095</v>
      </c>
      <c r="C149" s="55" t="s">
        <v>1</v>
      </c>
      <c r="D149" s="56">
        <f t="shared" si="159"/>
        <v>44101</v>
      </c>
      <c r="E149" s="52">
        <f t="shared" si="160"/>
        <v>9</v>
      </c>
      <c r="F149" s="53">
        <f t="shared" si="161"/>
        <v>2020</v>
      </c>
      <c r="G149" s="62">
        <f t="shared" si="162"/>
        <v>15</v>
      </c>
      <c r="H149" s="63">
        <f t="shared" si="163"/>
        <v>96</v>
      </c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>
        <v>15</v>
      </c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80"/>
      <c r="AG149" s="87">
        <f t="shared" si="117"/>
        <v>0</v>
      </c>
      <c r="AH149" s="87">
        <f t="shared" si="118"/>
        <v>0</v>
      </c>
      <c r="AI149" s="87">
        <f t="shared" si="119"/>
        <v>0</v>
      </c>
      <c r="AJ149" s="87">
        <f t="shared" si="120"/>
        <v>0</v>
      </c>
      <c r="AK149" s="87">
        <f t="shared" si="121"/>
        <v>0</v>
      </c>
      <c r="AL149" s="87">
        <f t="shared" si="122"/>
        <v>0</v>
      </c>
      <c r="AM149" s="87">
        <f t="shared" si="123"/>
        <v>0</v>
      </c>
      <c r="AN149" s="87">
        <f t="shared" si="124"/>
        <v>0</v>
      </c>
      <c r="AO149" s="87">
        <f t="shared" si="125"/>
        <v>0</v>
      </c>
      <c r="AP149" s="87">
        <f t="shared" si="126"/>
        <v>0</v>
      </c>
      <c r="AQ149" s="87">
        <f t="shared" si="127"/>
        <v>15</v>
      </c>
      <c r="AR149" s="81"/>
      <c r="AS149" s="85">
        <f t="shared" si="128"/>
        <v>0</v>
      </c>
      <c r="AT149" s="85">
        <f t="shared" si="129"/>
        <v>0</v>
      </c>
      <c r="AU149" s="85">
        <f t="shared" si="130"/>
        <v>0</v>
      </c>
      <c r="AV149" s="85">
        <f t="shared" si="131"/>
        <v>0</v>
      </c>
      <c r="AW149" s="85">
        <f t="shared" si="132"/>
        <v>0</v>
      </c>
      <c r="AX149" s="85">
        <f t="shared" si="133"/>
        <v>0</v>
      </c>
      <c r="AY149" s="85">
        <f t="shared" si="134"/>
        <v>0</v>
      </c>
      <c r="AZ149" s="85">
        <f t="shared" si="135"/>
        <v>0</v>
      </c>
      <c r="BA149" s="85">
        <f t="shared" si="136"/>
        <v>0</v>
      </c>
      <c r="BB149" s="85">
        <f t="shared" si="137"/>
        <v>0</v>
      </c>
      <c r="BC149" s="85">
        <f t="shared" si="138"/>
        <v>0</v>
      </c>
      <c r="BD149" s="85">
        <f t="shared" si="139"/>
        <v>0</v>
      </c>
      <c r="BE149" s="85">
        <f t="shared" si="140"/>
        <v>0</v>
      </c>
      <c r="BF149" s="85">
        <f t="shared" si="141"/>
        <v>0</v>
      </c>
      <c r="BG149" s="85">
        <f t="shared" si="142"/>
        <v>0</v>
      </c>
      <c r="BH149" s="85">
        <f t="shared" si="143"/>
        <v>0</v>
      </c>
      <c r="BI149" s="85">
        <f t="shared" si="144"/>
        <v>0</v>
      </c>
      <c r="BJ149" s="85">
        <f t="shared" si="145"/>
        <v>0</v>
      </c>
      <c r="BK149" s="85">
        <f t="shared" si="146"/>
        <v>0</v>
      </c>
      <c r="BL149" s="85">
        <f t="shared" si="147"/>
        <v>0</v>
      </c>
      <c r="BM149" s="85">
        <f t="shared" si="148"/>
        <v>0</v>
      </c>
      <c r="BN149" s="85">
        <f t="shared" si="149"/>
        <v>0</v>
      </c>
      <c r="BO149" s="85">
        <f t="shared" si="150"/>
        <v>0</v>
      </c>
      <c r="BP149" s="85">
        <f t="shared" si="151"/>
        <v>0</v>
      </c>
      <c r="BQ149" s="85">
        <f t="shared" si="152"/>
        <v>0</v>
      </c>
      <c r="BR149" s="85">
        <f t="shared" si="153"/>
        <v>0</v>
      </c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X149" s="35" t="s">
        <v>12</v>
      </c>
      <c r="CZ149" s="35"/>
      <c r="DC149" s="57" t="str">
        <f t="shared" si="154"/>
        <v/>
      </c>
      <c r="DD149" s="64" t="str">
        <f t="shared" si="155"/>
        <v/>
      </c>
      <c r="DE149" s="65" t="str">
        <f t="shared" si="156"/>
        <v/>
      </c>
      <c r="DF149" s="66" t="str">
        <f t="shared" si="157"/>
        <v/>
      </c>
    </row>
    <row r="150" spans="2:110" hidden="1" outlineLevel="1">
      <c r="B150" s="54">
        <f t="shared" si="158"/>
        <v>44102</v>
      </c>
      <c r="C150" s="55" t="s">
        <v>1</v>
      </c>
      <c r="D150" s="56">
        <f t="shared" si="159"/>
        <v>44108</v>
      </c>
      <c r="E150" s="52">
        <f t="shared" si="160"/>
        <v>9</v>
      </c>
      <c r="F150" s="53">
        <f t="shared" si="161"/>
        <v>2020</v>
      </c>
      <c r="G150" s="62">
        <f t="shared" si="162"/>
        <v>15</v>
      </c>
      <c r="H150" s="63">
        <f t="shared" si="163"/>
        <v>96</v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>
        <v>15</v>
      </c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80"/>
      <c r="AG150" s="87">
        <f t="shared" si="117"/>
        <v>0</v>
      </c>
      <c r="AH150" s="87">
        <f t="shared" si="118"/>
        <v>0</v>
      </c>
      <c r="AI150" s="87">
        <f t="shared" si="119"/>
        <v>0</v>
      </c>
      <c r="AJ150" s="87">
        <f t="shared" si="120"/>
        <v>0</v>
      </c>
      <c r="AK150" s="87">
        <f t="shared" si="121"/>
        <v>0</v>
      </c>
      <c r="AL150" s="87">
        <f t="shared" si="122"/>
        <v>0</v>
      </c>
      <c r="AM150" s="87">
        <f t="shared" si="123"/>
        <v>0</v>
      </c>
      <c r="AN150" s="87">
        <f t="shared" si="124"/>
        <v>0</v>
      </c>
      <c r="AO150" s="87">
        <f t="shared" si="125"/>
        <v>0</v>
      </c>
      <c r="AP150" s="87">
        <f t="shared" si="126"/>
        <v>0</v>
      </c>
      <c r="AQ150" s="87">
        <f t="shared" si="127"/>
        <v>15</v>
      </c>
      <c r="AR150" s="81"/>
      <c r="AS150" s="85">
        <f t="shared" si="128"/>
        <v>0</v>
      </c>
      <c r="AT150" s="85">
        <f t="shared" si="129"/>
        <v>0</v>
      </c>
      <c r="AU150" s="85">
        <f t="shared" si="130"/>
        <v>0</v>
      </c>
      <c r="AV150" s="85">
        <f t="shared" si="131"/>
        <v>0</v>
      </c>
      <c r="AW150" s="85">
        <f t="shared" si="132"/>
        <v>0</v>
      </c>
      <c r="AX150" s="85">
        <f t="shared" si="133"/>
        <v>0</v>
      </c>
      <c r="AY150" s="85">
        <f t="shared" si="134"/>
        <v>0</v>
      </c>
      <c r="AZ150" s="85">
        <f t="shared" si="135"/>
        <v>0</v>
      </c>
      <c r="BA150" s="85">
        <f t="shared" si="136"/>
        <v>0</v>
      </c>
      <c r="BB150" s="85">
        <f t="shared" si="137"/>
        <v>0</v>
      </c>
      <c r="BC150" s="85">
        <f t="shared" si="138"/>
        <v>0</v>
      </c>
      <c r="BD150" s="85">
        <f t="shared" si="139"/>
        <v>0</v>
      </c>
      <c r="BE150" s="85">
        <f t="shared" si="140"/>
        <v>0</v>
      </c>
      <c r="BF150" s="85">
        <f t="shared" si="141"/>
        <v>0</v>
      </c>
      <c r="BG150" s="85">
        <f t="shared" si="142"/>
        <v>0</v>
      </c>
      <c r="BH150" s="85">
        <f t="shared" si="143"/>
        <v>0</v>
      </c>
      <c r="BI150" s="85">
        <f t="shared" si="144"/>
        <v>0</v>
      </c>
      <c r="BJ150" s="85">
        <f t="shared" si="145"/>
        <v>0</v>
      </c>
      <c r="BK150" s="85">
        <f t="shared" si="146"/>
        <v>0</v>
      </c>
      <c r="BL150" s="85">
        <f t="shared" si="147"/>
        <v>0</v>
      </c>
      <c r="BM150" s="85">
        <f t="shared" si="148"/>
        <v>0</v>
      </c>
      <c r="BN150" s="85">
        <f t="shared" si="149"/>
        <v>0</v>
      </c>
      <c r="BO150" s="85">
        <f t="shared" si="150"/>
        <v>0</v>
      </c>
      <c r="BP150" s="85">
        <f t="shared" si="151"/>
        <v>0</v>
      </c>
      <c r="BQ150" s="85">
        <f t="shared" si="152"/>
        <v>0</v>
      </c>
      <c r="BR150" s="85">
        <f t="shared" si="153"/>
        <v>0</v>
      </c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X150" s="35" t="s">
        <v>12</v>
      </c>
      <c r="CZ150" s="35"/>
      <c r="DC150" s="57" t="str">
        <f t="shared" si="154"/>
        <v/>
      </c>
      <c r="DD150" s="64" t="str">
        <f t="shared" si="155"/>
        <v/>
      </c>
      <c r="DE150" s="65" t="str">
        <f t="shared" si="156"/>
        <v/>
      </c>
      <c r="DF150" s="66" t="str">
        <f t="shared" si="157"/>
        <v/>
      </c>
    </row>
    <row r="151" spans="2:110" hidden="1" outlineLevel="1">
      <c r="B151" s="54">
        <f t="shared" si="158"/>
        <v>44109</v>
      </c>
      <c r="C151" s="55" t="s">
        <v>1</v>
      </c>
      <c r="D151" s="56">
        <f t="shared" si="159"/>
        <v>44115</v>
      </c>
      <c r="E151" s="52">
        <f t="shared" si="160"/>
        <v>10</v>
      </c>
      <c r="F151" s="53">
        <f t="shared" si="161"/>
        <v>2020</v>
      </c>
      <c r="G151" s="62">
        <f t="shared" si="162"/>
        <v>15</v>
      </c>
      <c r="H151" s="63">
        <f t="shared" si="163"/>
        <v>96</v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>
        <v>15</v>
      </c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80"/>
      <c r="AG151" s="87">
        <f t="shared" si="117"/>
        <v>0</v>
      </c>
      <c r="AH151" s="87">
        <f t="shared" si="118"/>
        <v>0</v>
      </c>
      <c r="AI151" s="87">
        <f t="shared" si="119"/>
        <v>0</v>
      </c>
      <c r="AJ151" s="87">
        <f t="shared" si="120"/>
        <v>0</v>
      </c>
      <c r="AK151" s="87">
        <f t="shared" si="121"/>
        <v>0</v>
      </c>
      <c r="AL151" s="87">
        <f t="shared" si="122"/>
        <v>0</v>
      </c>
      <c r="AM151" s="87">
        <f t="shared" si="123"/>
        <v>0</v>
      </c>
      <c r="AN151" s="87">
        <f t="shared" si="124"/>
        <v>0</v>
      </c>
      <c r="AO151" s="87">
        <f t="shared" si="125"/>
        <v>0</v>
      </c>
      <c r="AP151" s="87">
        <f t="shared" si="126"/>
        <v>0</v>
      </c>
      <c r="AQ151" s="87">
        <f t="shared" si="127"/>
        <v>15</v>
      </c>
      <c r="AR151" s="81"/>
      <c r="AS151" s="85">
        <f t="shared" si="128"/>
        <v>0</v>
      </c>
      <c r="AT151" s="85">
        <f t="shared" si="129"/>
        <v>0</v>
      </c>
      <c r="AU151" s="85">
        <f t="shared" si="130"/>
        <v>0</v>
      </c>
      <c r="AV151" s="85">
        <f t="shared" si="131"/>
        <v>0</v>
      </c>
      <c r="AW151" s="85">
        <f t="shared" si="132"/>
        <v>0</v>
      </c>
      <c r="AX151" s="85">
        <f t="shared" si="133"/>
        <v>0</v>
      </c>
      <c r="AY151" s="85">
        <f t="shared" si="134"/>
        <v>0</v>
      </c>
      <c r="AZ151" s="85">
        <f t="shared" si="135"/>
        <v>0</v>
      </c>
      <c r="BA151" s="85">
        <f t="shared" si="136"/>
        <v>0</v>
      </c>
      <c r="BB151" s="85">
        <f t="shared" si="137"/>
        <v>0</v>
      </c>
      <c r="BC151" s="85">
        <f t="shared" si="138"/>
        <v>0</v>
      </c>
      <c r="BD151" s="85">
        <f t="shared" si="139"/>
        <v>0</v>
      </c>
      <c r="BE151" s="85">
        <f t="shared" si="140"/>
        <v>0</v>
      </c>
      <c r="BF151" s="85">
        <f t="shared" si="141"/>
        <v>0</v>
      </c>
      <c r="BG151" s="85">
        <f t="shared" si="142"/>
        <v>0</v>
      </c>
      <c r="BH151" s="85">
        <f t="shared" si="143"/>
        <v>0</v>
      </c>
      <c r="BI151" s="85">
        <f t="shared" si="144"/>
        <v>0</v>
      </c>
      <c r="BJ151" s="85">
        <f t="shared" si="145"/>
        <v>0</v>
      </c>
      <c r="BK151" s="85">
        <f t="shared" si="146"/>
        <v>0</v>
      </c>
      <c r="BL151" s="85">
        <f t="shared" si="147"/>
        <v>0</v>
      </c>
      <c r="BM151" s="85">
        <f t="shared" si="148"/>
        <v>0</v>
      </c>
      <c r="BN151" s="85">
        <f t="shared" si="149"/>
        <v>0</v>
      </c>
      <c r="BO151" s="85">
        <f t="shared" si="150"/>
        <v>0</v>
      </c>
      <c r="BP151" s="85">
        <f t="shared" si="151"/>
        <v>0</v>
      </c>
      <c r="BQ151" s="85">
        <f t="shared" si="152"/>
        <v>0</v>
      </c>
      <c r="BR151" s="85">
        <f t="shared" si="153"/>
        <v>0</v>
      </c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W151">
        <v>12</v>
      </c>
      <c r="CX151" s="35">
        <v>44109</v>
      </c>
      <c r="CZ151" s="35">
        <f>B168</f>
        <v>44228</v>
      </c>
      <c r="DA151">
        <v>98</v>
      </c>
      <c r="DC151" s="57" t="str">
        <f t="shared" si="154"/>
        <v/>
      </c>
      <c r="DD151" s="64" t="str">
        <f t="shared" si="155"/>
        <v/>
      </c>
      <c r="DE151" s="65" t="str">
        <f t="shared" si="156"/>
        <v/>
      </c>
      <c r="DF151" s="66" t="str">
        <f t="shared" si="157"/>
        <v/>
      </c>
    </row>
    <row r="152" spans="2:110" hidden="1" outlineLevel="1">
      <c r="B152" s="54">
        <f t="shared" si="158"/>
        <v>44116</v>
      </c>
      <c r="C152" s="55" t="s">
        <v>1</v>
      </c>
      <c r="D152" s="56">
        <f t="shared" si="159"/>
        <v>44122</v>
      </c>
      <c r="E152" s="52">
        <f t="shared" si="160"/>
        <v>10</v>
      </c>
      <c r="F152" s="53">
        <f t="shared" si="161"/>
        <v>2020</v>
      </c>
      <c r="G152" s="62">
        <f t="shared" si="162"/>
        <v>15</v>
      </c>
      <c r="H152" s="63">
        <f t="shared" si="163"/>
        <v>96</v>
      </c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>
        <v>15</v>
      </c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80"/>
      <c r="AG152" s="87">
        <f t="shared" si="117"/>
        <v>0</v>
      </c>
      <c r="AH152" s="87">
        <f t="shared" si="118"/>
        <v>0</v>
      </c>
      <c r="AI152" s="87">
        <f t="shared" si="119"/>
        <v>0</v>
      </c>
      <c r="AJ152" s="87">
        <f t="shared" si="120"/>
        <v>0</v>
      </c>
      <c r="AK152" s="87">
        <f t="shared" si="121"/>
        <v>0</v>
      </c>
      <c r="AL152" s="87">
        <f t="shared" si="122"/>
        <v>0</v>
      </c>
      <c r="AM152" s="87">
        <f t="shared" si="123"/>
        <v>0</v>
      </c>
      <c r="AN152" s="87">
        <f t="shared" si="124"/>
        <v>0</v>
      </c>
      <c r="AO152" s="87">
        <f t="shared" si="125"/>
        <v>0</v>
      </c>
      <c r="AP152" s="87">
        <f t="shared" si="126"/>
        <v>0</v>
      </c>
      <c r="AQ152" s="87">
        <f t="shared" si="127"/>
        <v>15</v>
      </c>
      <c r="AR152" s="81"/>
      <c r="AS152" s="85">
        <f t="shared" si="128"/>
        <v>0</v>
      </c>
      <c r="AT152" s="85">
        <f t="shared" si="129"/>
        <v>0</v>
      </c>
      <c r="AU152" s="85">
        <f t="shared" si="130"/>
        <v>0</v>
      </c>
      <c r="AV152" s="85">
        <f t="shared" si="131"/>
        <v>0</v>
      </c>
      <c r="AW152" s="85">
        <f t="shared" si="132"/>
        <v>0</v>
      </c>
      <c r="AX152" s="85">
        <f t="shared" si="133"/>
        <v>0</v>
      </c>
      <c r="AY152" s="85">
        <f t="shared" si="134"/>
        <v>0</v>
      </c>
      <c r="AZ152" s="85">
        <f t="shared" si="135"/>
        <v>0</v>
      </c>
      <c r="BA152" s="85">
        <f t="shared" si="136"/>
        <v>0</v>
      </c>
      <c r="BB152" s="85">
        <f t="shared" si="137"/>
        <v>0</v>
      </c>
      <c r="BC152" s="85">
        <f t="shared" si="138"/>
        <v>0</v>
      </c>
      <c r="BD152" s="85">
        <f t="shared" si="139"/>
        <v>0</v>
      </c>
      <c r="BE152" s="85">
        <f t="shared" si="140"/>
        <v>0</v>
      </c>
      <c r="BF152" s="85">
        <f t="shared" si="141"/>
        <v>0</v>
      </c>
      <c r="BG152" s="85">
        <f t="shared" si="142"/>
        <v>0</v>
      </c>
      <c r="BH152" s="85">
        <f t="shared" si="143"/>
        <v>0</v>
      </c>
      <c r="BI152" s="85">
        <f t="shared" si="144"/>
        <v>0</v>
      </c>
      <c r="BJ152" s="85">
        <f t="shared" si="145"/>
        <v>0</v>
      </c>
      <c r="BK152" s="85">
        <f t="shared" si="146"/>
        <v>0</v>
      </c>
      <c r="BL152" s="85">
        <f t="shared" si="147"/>
        <v>0</v>
      </c>
      <c r="BM152" s="85">
        <f t="shared" si="148"/>
        <v>0</v>
      </c>
      <c r="BN152" s="85">
        <f t="shared" si="149"/>
        <v>0</v>
      </c>
      <c r="BO152" s="85">
        <f t="shared" si="150"/>
        <v>0</v>
      </c>
      <c r="BP152" s="85">
        <f t="shared" si="151"/>
        <v>0</v>
      </c>
      <c r="BQ152" s="85">
        <f t="shared" si="152"/>
        <v>0</v>
      </c>
      <c r="BR152" s="85">
        <f t="shared" si="153"/>
        <v>0</v>
      </c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X152" s="35" t="s">
        <v>12</v>
      </c>
      <c r="CZ152" s="35"/>
      <c r="DC152" s="57" t="str">
        <f t="shared" si="154"/>
        <v/>
      </c>
      <c r="DD152" s="64" t="str">
        <f t="shared" si="155"/>
        <v/>
      </c>
      <c r="DE152" s="65" t="str">
        <f t="shared" si="156"/>
        <v/>
      </c>
      <c r="DF152" s="66" t="str">
        <f t="shared" si="157"/>
        <v/>
      </c>
    </row>
    <row r="153" spans="2:110" hidden="1" outlineLevel="1">
      <c r="B153" s="54">
        <f t="shared" si="158"/>
        <v>44123</v>
      </c>
      <c r="C153" s="55" t="s">
        <v>1</v>
      </c>
      <c r="D153" s="56">
        <f t="shared" si="159"/>
        <v>44129</v>
      </c>
      <c r="E153" s="52">
        <f t="shared" si="160"/>
        <v>10</v>
      </c>
      <c r="F153" s="53">
        <f t="shared" si="161"/>
        <v>2020</v>
      </c>
      <c r="G153" s="62">
        <f t="shared" si="162"/>
        <v>15</v>
      </c>
      <c r="H153" s="63">
        <f t="shared" si="163"/>
        <v>96</v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>
        <v>15</v>
      </c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80"/>
      <c r="AG153" s="87">
        <f t="shared" si="117"/>
        <v>0</v>
      </c>
      <c r="AH153" s="87">
        <f t="shared" si="118"/>
        <v>0</v>
      </c>
      <c r="AI153" s="87">
        <f t="shared" si="119"/>
        <v>0</v>
      </c>
      <c r="AJ153" s="87">
        <f t="shared" si="120"/>
        <v>0</v>
      </c>
      <c r="AK153" s="87">
        <f t="shared" si="121"/>
        <v>0</v>
      </c>
      <c r="AL153" s="87">
        <f t="shared" si="122"/>
        <v>0</v>
      </c>
      <c r="AM153" s="87">
        <f t="shared" si="123"/>
        <v>0</v>
      </c>
      <c r="AN153" s="87">
        <f t="shared" si="124"/>
        <v>0</v>
      </c>
      <c r="AO153" s="87">
        <f t="shared" si="125"/>
        <v>0</v>
      </c>
      <c r="AP153" s="87">
        <f t="shared" si="126"/>
        <v>0</v>
      </c>
      <c r="AQ153" s="87">
        <f t="shared" si="127"/>
        <v>15</v>
      </c>
      <c r="AR153" s="81"/>
      <c r="AS153" s="85">
        <f t="shared" si="128"/>
        <v>0</v>
      </c>
      <c r="AT153" s="85">
        <f t="shared" si="129"/>
        <v>0</v>
      </c>
      <c r="AU153" s="85">
        <f t="shared" si="130"/>
        <v>0</v>
      </c>
      <c r="AV153" s="85">
        <f t="shared" si="131"/>
        <v>0</v>
      </c>
      <c r="AW153" s="85">
        <f t="shared" si="132"/>
        <v>0</v>
      </c>
      <c r="AX153" s="85">
        <f t="shared" si="133"/>
        <v>0</v>
      </c>
      <c r="AY153" s="85">
        <f t="shared" si="134"/>
        <v>0</v>
      </c>
      <c r="AZ153" s="85">
        <f t="shared" si="135"/>
        <v>0</v>
      </c>
      <c r="BA153" s="85">
        <f t="shared" si="136"/>
        <v>0</v>
      </c>
      <c r="BB153" s="85">
        <f t="shared" si="137"/>
        <v>0</v>
      </c>
      <c r="BC153" s="85">
        <f t="shared" si="138"/>
        <v>0</v>
      </c>
      <c r="BD153" s="85">
        <f t="shared" si="139"/>
        <v>0</v>
      </c>
      <c r="BE153" s="85">
        <f t="shared" si="140"/>
        <v>0</v>
      </c>
      <c r="BF153" s="85">
        <f t="shared" si="141"/>
        <v>0</v>
      </c>
      <c r="BG153" s="85">
        <f t="shared" si="142"/>
        <v>0</v>
      </c>
      <c r="BH153" s="85">
        <f t="shared" si="143"/>
        <v>0</v>
      </c>
      <c r="BI153" s="85">
        <f t="shared" si="144"/>
        <v>0</v>
      </c>
      <c r="BJ153" s="85">
        <f t="shared" si="145"/>
        <v>0</v>
      </c>
      <c r="BK153" s="85">
        <f t="shared" si="146"/>
        <v>0</v>
      </c>
      <c r="BL153" s="85">
        <f t="shared" si="147"/>
        <v>0</v>
      </c>
      <c r="BM153" s="85">
        <f t="shared" si="148"/>
        <v>0</v>
      </c>
      <c r="BN153" s="85">
        <f t="shared" si="149"/>
        <v>0</v>
      </c>
      <c r="BO153" s="85">
        <f t="shared" si="150"/>
        <v>0</v>
      </c>
      <c r="BP153" s="85">
        <f t="shared" si="151"/>
        <v>0</v>
      </c>
      <c r="BQ153" s="85">
        <f t="shared" si="152"/>
        <v>0</v>
      </c>
      <c r="BR153" s="85">
        <f t="shared" si="153"/>
        <v>0</v>
      </c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X153" s="35" t="s">
        <v>12</v>
      </c>
      <c r="CZ153" s="35"/>
      <c r="DC153" s="57" t="str">
        <f t="shared" si="154"/>
        <v/>
      </c>
      <c r="DD153" s="64" t="str">
        <f t="shared" si="155"/>
        <v/>
      </c>
      <c r="DE153" s="65" t="str">
        <f t="shared" si="156"/>
        <v/>
      </c>
      <c r="DF153" s="66" t="str">
        <f t="shared" si="157"/>
        <v/>
      </c>
    </row>
    <row r="154" spans="2:110" hidden="1" outlineLevel="1">
      <c r="B154" s="54">
        <f t="shared" si="158"/>
        <v>44130</v>
      </c>
      <c r="C154" s="55" t="s">
        <v>1</v>
      </c>
      <c r="D154" s="56">
        <f t="shared" si="159"/>
        <v>44136</v>
      </c>
      <c r="E154" s="52">
        <f t="shared" si="160"/>
        <v>10</v>
      </c>
      <c r="F154" s="53">
        <f t="shared" si="161"/>
        <v>2020</v>
      </c>
      <c r="G154" s="62">
        <f t="shared" si="162"/>
        <v>15</v>
      </c>
      <c r="H154" s="63">
        <f t="shared" si="163"/>
        <v>96</v>
      </c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>
        <v>15</v>
      </c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80"/>
      <c r="AG154" s="87">
        <f t="shared" si="117"/>
        <v>0</v>
      </c>
      <c r="AH154" s="87">
        <f t="shared" si="118"/>
        <v>0</v>
      </c>
      <c r="AI154" s="87">
        <f t="shared" si="119"/>
        <v>0</v>
      </c>
      <c r="AJ154" s="87">
        <f t="shared" si="120"/>
        <v>0</v>
      </c>
      <c r="AK154" s="87">
        <f t="shared" si="121"/>
        <v>0</v>
      </c>
      <c r="AL154" s="87">
        <f t="shared" si="122"/>
        <v>0</v>
      </c>
      <c r="AM154" s="87">
        <f t="shared" si="123"/>
        <v>0</v>
      </c>
      <c r="AN154" s="87">
        <f t="shared" si="124"/>
        <v>0</v>
      </c>
      <c r="AO154" s="87">
        <f t="shared" si="125"/>
        <v>0</v>
      </c>
      <c r="AP154" s="87">
        <f t="shared" si="126"/>
        <v>0</v>
      </c>
      <c r="AQ154" s="87">
        <f t="shared" si="127"/>
        <v>15</v>
      </c>
      <c r="AR154" s="81"/>
      <c r="AS154" s="85">
        <f t="shared" si="128"/>
        <v>0</v>
      </c>
      <c r="AT154" s="85">
        <f t="shared" si="129"/>
        <v>0</v>
      </c>
      <c r="AU154" s="85">
        <f t="shared" si="130"/>
        <v>0</v>
      </c>
      <c r="AV154" s="85">
        <f t="shared" si="131"/>
        <v>0</v>
      </c>
      <c r="AW154" s="85">
        <f t="shared" si="132"/>
        <v>0</v>
      </c>
      <c r="AX154" s="85">
        <f t="shared" si="133"/>
        <v>0</v>
      </c>
      <c r="AY154" s="85">
        <f t="shared" si="134"/>
        <v>0</v>
      </c>
      <c r="AZ154" s="85">
        <f t="shared" si="135"/>
        <v>0</v>
      </c>
      <c r="BA154" s="85">
        <f t="shared" si="136"/>
        <v>0</v>
      </c>
      <c r="BB154" s="85">
        <f t="shared" si="137"/>
        <v>0</v>
      </c>
      <c r="BC154" s="85">
        <f t="shared" si="138"/>
        <v>0</v>
      </c>
      <c r="BD154" s="85">
        <f t="shared" si="139"/>
        <v>0</v>
      </c>
      <c r="BE154" s="85">
        <f t="shared" si="140"/>
        <v>0</v>
      </c>
      <c r="BF154" s="85">
        <f t="shared" si="141"/>
        <v>0</v>
      </c>
      <c r="BG154" s="85">
        <f t="shared" si="142"/>
        <v>0</v>
      </c>
      <c r="BH154" s="85">
        <f t="shared" si="143"/>
        <v>0</v>
      </c>
      <c r="BI154" s="85">
        <f t="shared" si="144"/>
        <v>0</v>
      </c>
      <c r="BJ154" s="85">
        <f t="shared" si="145"/>
        <v>0</v>
      </c>
      <c r="BK154" s="85">
        <f t="shared" si="146"/>
        <v>0</v>
      </c>
      <c r="BL154" s="85">
        <f t="shared" si="147"/>
        <v>0</v>
      </c>
      <c r="BM154" s="85">
        <f t="shared" si="148"/>
        <v>0</v>
      </c>
      <c r="BN154" s="85">
        <f t="shared" si="149"/>
        <v>0</v>
      </c>
      <c r="BO154" s="85">
        <f t="shared" si="150"/>
        <v>0</v>
      </c>
      <c r="BP154" s="85">
        <f t="shared" si="151"/>
        <v>0</v>
      </c>
      <c r="BQ154" s="85">
        <f t="shared" si="152"/>
        <v>0</v>
      </c>
      <c r="BR154" s="85">
        <f t="shared" si="153"/>
        <v>0</v>
      </c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X154" s="35" t="s">
        <v>12</v>
      </c>
      <c r="CZ154" s="35"/>
      <c r="DC154" s="57" t="str">
        <f t="shared" si="154"/>
        <v/>
      </c>
      <c r="DD154" s="64" t="str">
        <f t="shared" si="155"/>
        <v/>
      </c>
      <c r="DE154" s="65" t="str">
        <f t="shared" si="156"/>
        <v/>
      </c>
      <c r="DF154" s="66" t="str">
        <f t="shared" si="157"/>
        <v/>
      </c>
    </row>
    <row r="155" spans="2:110" hidden="1" outlineLevel="1">
      <c r="B155" s="54">
        <f t="shared" si="158"/>
        <v>44137</v>
      </c>
      <c r="C155" s="55" t="s">
        <v>1</v>
      </c>
      <c r="D155" s="56">
        <f t="shared" si="159"/>
        <v>44143</v>
      </c>
      <c r="E155" s="52">
        <f t="shared" si="160"/>
        <v>11</v>
      </c>
      <c r="F155" s="53">
        <f t="shared" si="161"/>
        <v>2020</v>
      </c>
      <c r="G155" s="62">
        <f t="shared" si="162"/>
        <v>15</v>
      </c>
      <c r="H155" s="63">
        <f t="shared" si="163"/>
        <v>96</v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>
        <v>15</v>
      </c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80"/>
      <c r="AG155" s="87">
        <f t="shared" si="117"/>
        <v>0</v>
      </c>
      <c r="AH155" s="87">
        <f t="shared" si="118"/>
        <v>0</v>
      </c>
      <c r="AI155" s="87">
        <f t="shared" si="119"/>
        <v>0</v>
      </c>
      <c r="AJ155" s="87">
        <f t="shared" si="120"/>
        <v>0</v>
      </c>
      <c r="AK155" s="87">
        <f t="shared" si="121"/>
        <v>0</v>
      </c>
      <c r="AL155" s="87">
        <f t="shared" si="122"/>
        <v>0</v>
      </c>
      <c r="AM155" s="87">
        <f t="shared" si="123"/>
        <v>0</v>
      </c>
      <c r="AN155" s="87">
        <f t="shared" si="124"/>
        <v>0</v>
      </c>
      <c r="AO155" s="87">
        <f t="shared" si="125"/>
        <v>0</v>
      </c>
      <c r="AP155" s="87">
        <f t="shared" si="126"/>
        <v>0</v>
      </c>
      <c r="AQ155" s="87">
        <f t="shared" si="127"/>
        <v>15</v>
      </c>
      <c r="AR155" s="81"/>
      <c r="AS155" s="85">
        <f t="shared" si="128"/>
        <v>0</v>
      </c>
      <c r="AT155" s="85">
        <f t="shared" si="129"/>
        <v>0</v>
      </c>
      <c r="AU155" s="85">
        <f t="shared" si="130"/>
        <v>0</v>
      </c>
      <c r="AV155" s="85">
        <f t="shared" si="131"/>
        <v>0</v>
      </c>
      <c r="AW155" s="85">
        <f t="shared" si="132"/>
        <v>0</v>
      </c>
      <c r="AX155" s="85">
        <f t="shared" si="133"/>
        <v>0</v>
      </c>
      <c r="AY155" s="85">
        <f t="shared" si="134"/>
        <v>0</v>
      </c>
      <c r="AZ155" s="85">
        <f t="shared" si="135"/>
        <v>0</v>
      </c>
      <c r="BA155" s="85">
        <f t="shared" si="136"/>
        <v>0</v>
      </c>
      <c r="BB155" s="85">
        <f t="shared" si="137"/>
        <v>0</v>
      </c>
      <c r="BC155" s="85">
        <f t="shared" si="138"/>
        <v>0</v>
      </c>
      <c r="BD155" s="85">
        <f t="shared" si="139"/>
        <v>0</v>
      </c>
      <c r="BE155" s="85">
        <f t="shared" si="140"/>
        <v>0</v>
      </c>
      <c r="BF155" s="85">
        <f t="shared" si="141"/>
        <v>0</v>
      </c>
      <c r="BG155" s="85">
        <f t="shared" si="142"/>
        <v>0</v>
      </c>
      <c r="BH155" s="85">
        <f t="shared" si="143"/>
        <v>0</v>
      </c>
      <c r="BI155" s="85">
        <f t="shared" si="144"/>
        <v>0</v>
      </c>
      <c r="BJ155" s="85">
        <f t="shared" si="145"/>
        <v>0</v>
      </c>
      <c r="BK155" s="85">
        <f t="shared" si="146"/>
        <v>0</v>
      </c>
      <c r="BL155" s="85">
        <f t="shared" si="147"/>
        <v>0</v>
      </c>
      <c r="BM155" s="85">
        <f t="shared" si="148"/>
        <v>0</v>
      </c>
      <c r="BN155" s="85">
        <f t="shared" si="149"/>
        <v>0</v>
      </c>
      <c r="BO155" s="85">
        <f t="shared" si="150"/>
        <v>0</v>
      </c>
      <c r="BP155" s="85">
        <f t="shared" si="151"/>
        <v>0</v>
      </c>
      <c r="BQ155" s="85">
        <f t="shared" si="152"/>
        <v>0</v>
      </c>
      <c r="BR155" s="85">
        <f t="shared" si="153"/>
        <v>0</v>
      </c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X155" s="35" t="s">
        <v>12</v>
      </c>
      <c r="CZ155" s="35"/>
      <c r="DC155" s="57" t="str">
        <f t="shared" si="154"/>
        <v/>
      </c>
      <c r="DD155" s="64" t="str">
        <f t="shared" si="155"/>
        <v/>
      </c>
      <c r="DE155" s="65" t="str">
        <f t="shared" si="156"/>
        <v/>
      </c>
      <c r="DF155" s="66" t="str">
        <f t="shared" si="157"/>
        <v/>
      </c>
    </row>
    <row r="156" spans="2:110" hidden="1" outlineLevel="1">
      <c r="B156" s="54">
        <f t="shared" si="158"/>
        <v>44144</v>
      </c>
      <c r="C156" s="55" t="s">
        <v>1</v>
      </c>
      <c r="D156" s="56">
        <f t="shared" si="159"/>
        <v>44150</v>
      </c>
      <c r="E156" s="52">
        <f t="shared" si="160"/>
        <v>11</v>
      </c>
      <c r="F156" s="53">
        <f t="shared" si="161"/>
        <v>2020</v>
      </c>
      <c r="G156" s="62">
        <f t="shared" si="162"/>
        <v>15</v>
      </c>
      <c r="H156" s="63">
        <f t="shared" si="163"/>
        <v>96</v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>
        <v>15</v>
      </c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80"/>
      <c r="AG156" s="87">
        <f t="shared" si="117"/>
        <v>0</v>
      </c>
      <c r="AH156" s="87">
        <f t="shared" si="118"/>
        <v>0</v>
      </c>
      <c r="AI156" s="87">
        <f t="shared" si="119"/>
        <v>0</v>
      </c>
      <c r="AJ156" s="87">
        <f t="shared" si="120"/>
        <v>0</v>
      </c>
      <c r="AK156" s="87">
        <f t="shared" si="121"/>
        <v>0</v>
      </c>
      <c r="AL156" s="87">
        <f t="shared" si="122"/>
        <v>0</v>
      </c>
      <c r="AM156" s="87">
        <f t="shared" si="123"/>
        <v>0</v>
      </c>
      <c r="AN156" s="87">
        <f t="shared" si="124"/>
        <v>0</v>
      </c>
      <c r="AO156" s="87">
        <f t="shared" si="125"/>
        <v>0</v>
      </c>
      <c r="AP156" s="87">
        <f t="shared" si="126"/>
        <v>0</v>
      </c>
      <c r="AQ156" s="87">
        <f t="shared" si="127"/>
        <v>15</v>
      </c>
      <c r="AR156" s="81"/>
      <c r="AS156" s="85">
        <f t="shared" si="128"/>
        <v>0</v>
      </c>
      <c r="AT156" s="85">
        <f t="shared" si="129"/>
        <v>0</v>
      </c>
      <c r="AU156" s="85">
        <f t="shared" si="130"/>
        <v>0</v>
      </c>
      <c r="AV156" s="85">
        <f t="shared" si="131"/>
        <v>0</v>
      </c>
      <c r="AW156" s="85">
        <f t="shared" si="132"/>
        <v>0</v>
      </c>
      <c r="AX156" s="85">
        <f t="shared" si="133"/>
        <v>0</v>
      </c>
      <c r="AY156" s="85">
        <f t="shared" si="134"/>
        <v>0</v>
      </c>
      <c r="AZ156" s="85">
        <f t="shared" si="135"/>
        <v>0</v>
      </c>
      <c r="BA156" s="85">
        <f t="shared" si="136"/>
        <v>0</v>
      </c>
      <c r="BB156" s="85">
        <f t="shared" si="137"/>
        <v>0</v>
      </c>
      <c r="BC156" s="85">
        <f t="shared" si="138"/>
        <v>0</v>
      </c>
      <c r="BD156" s="85">
        <f t="shared" si="139"/>
        <v>0</v>
      </c>
      <c r="BE156" s="85">
        <f t="shared" si="140"/>
        <v>0</v>
      </c>
      <c r="BF156" s="85">
        <f t="shared" si="141"/>
        <v>0</v>
      </c>
      <c r="BG156" s="85">
        <f t="shared" si="142"/>
        <v>0</v>
      </c>
      <c r="BH156" s="85">
        <f t="shared" si="143"/>
        <v>0</v>
      </c>
      <c r="BI156" s="85">
        <f t="shared" si="144"/>
        <v>0</v>
      </c>
      <c r="BJ156" s="85">
        <f t="shared" si="145"/>
        <v>0</v>
      </c>
      <c r="BK156" s="85">
        <f t="shared" si="146"/>
        <v>0</v>
      </c>
      <c r="BL156" s="85">
        <f t="shared" si="147"/>
        <v>0</v>
      </c>
      <c r="BM156" s="85">
        <f t="shared" si="148"/>
        <v>0</v>
      </c>
      <c r="BN156" s="85">
        <f t="shared" si="149"/>
        <v>0</v>
      </c>
      <c r="BO156" s="85">
        <f t="shared" si="150"/>
        <v>0</v>
      </c>
      <c r="BP156" s="85">
        <f t="shared" si="151"/>
        <v>0</v>
      </c>
      <c r="BQ156" s="85">
        <f t="shared" si="152"/>
        <v>0</v>
      </c>
      <c r="BR156" s="85">
        <f t="shared" si="153"/>
        <v>0</v>
      </c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W156">
        <v>1</v>
      </c>
      <c r="CX156" s="35">
        <v>44144</v>
      </c>
      <c r="CZ156" s="35">
        <f>B173</f>
        <v>44263</v>
      </c>
      <c r="DA156">
        <v>98</v>
      </c>
      <c r="DC156" s="57" t="str">
        <f t="shared" si="154"/>
        <v/>
      </c>
      <c r="DD156" s="64" t="str">
        <f t="shared" si="155"/>
        <v/>
      </c>
      <c r="DE156" s="65" t="str">
        <f t="shared" si="156"/>
        <v/>
      </c>
      <c r="DF156" s="66" t="str">
        <f t="shared" si="157"/>
        <v/>
      </c>
    </row>
    <row r="157" spans="2:110" hidden="1" outlineLevel="1">
      <c r="B157" s="54">
        <f t="shared" si="158"/>
        <v>44151</v>
      </c>
      <c r="C157" s="55" t="s">
        <v>1</v>
      </c>
      <c r="D157" s="56">
        <f t="shared" si="159"/>
        <v>44157</v>
      </c>
      <c r="E157" s="52">
        <f t="shared" si="160"/>
        <v>11</v>
      </c>
      <c r="F157" s="53">
        <f t="shared" si="161"/>
        <v>2020</v>
      </c>
      <c r="G157" s="62">
        <f t="shared" si="162"/>
        <v>15</v>
      </c>
      <c r="H157" s="63">
        <f t="shared" si="163"/>
        <v>96</v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>
        <v>15</v>
      </c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80"/>
      <c r="AG157" s="87">
        <f t="shared" si="117"/>
        <v>0</v>
      </c>
      <c r="AH157" s="87">
        <f t="shared" si="118"/>
        <v>0</v>
      </c>
      <c r="AI157" s="87">
        <f t="shared" si="119"/>
        <v>0</v>
      </c>
      <c r="AJ157" s="87">
        <f t="shared" si="120"/>
        <v>0</v>
      </c>
      <c r="AK157" s="87">
        <f t="shared" si="121"/>
        <v>0</v>
      </c>
      <c r="AL157" s="87">
        <f t="shared" si="122"/>
        <v>0</v>
      </c>
      <c r="AM157" s="87">
        <f t="shared" si="123"/>
        <v>0</v>
      </c>
      <c r="AN157" s="87">
        <f t="shared" si="124"/>
        <v>0</v>
      </c>
      <c r="AO157" s="87">
        <f t="shared" si="125"/>
        <v>0</v>
      </c>
      <c r="AP157" s="87">
        <f t="shared" si="126"/>
        <v>0</v>
      </c>
      <c r="AQ157" s="87">
        <f t="shared" si="127"/>
        <v>15</v>
      </c>
      <c r="AR157" s="81"/>
      <c r="AS157" s="85">
        <f t="shared" si="128"/>
        <v>0</v>
      </c>
      <c r="AT157" s="85">
        <f t="shared" si="129"/>
        <v>0</v>
      </c>
      <c r="AU157" s="85">
        <f t="shared" si="130"/>
        <v>0</v>
      </c>
      <c r="AV157" s="85">
        <f t="shared" si="131"/>
        <v>0</v>
      </c>
      <c r="AW157" s="85">
        <f t="shared" si="132"/>
        <v>0</v>
      </c>
      <c r="AX157" s="85">
        <f t="shared" si="133"/>
        <v>0</v>
      </c>
      <c r="AY157" s="85">
        <f t="shared" si="134"/>
        <v>0</v>
      </c>
      <c r="AZ157" s="85">
        <f t="shared" si="135"/>
        <v>0</v>
      </c>
      <c r="BA157" s="85">
        <f t="shared" si="136"/>
        <v>0</v>
      </c>
      <c r="BB157" s="85">
        <f t="shared" si="137"/>
        <v>0</v>
      </c>
      <c r="BC157" s="85">
        <f t="shared" si="138"/>
        <v>0</v>
      </c>
      <c r="BD157" s="85">
        <f t="shared" si="139"/>
        <v>0</v>
      </c>
      <c r="BE157" s="85">
        <f t="shared" si="140"/>
        <v>0</v>
      </c>
      <c r="BF157" s="85">
        <f t="shared" si="141"/>
        <v>0</v>
      </c>
      <c r="BG157" s="85">
        <f t="shared" si="142"/>
        <v>0</v>
      </c>
      <c r="BH157" s="85">
        <f t="shared" si="143"/>
        <v>0</v>
      </c>
      <c r="BI157" s="85">
        <f t="shared" si="144"/>
        <v>0</v>
      </c>
      <c r="BJ157" s="85">
        <f t="shared" si="145"/>
        <v>0</v>
      </c>
      <c r="BK157" s="85">
        <f t="shared" si="146"/>
        <v>0</v>
      </c>
      <c r="BL157" s="85">
        <f t="shared" si="147"/>
        <v>0</v>
      </c>
      <c r="BM157" s="85">
        <f t="shared" si="148"/>
        <v>0</v>
      </c>
      <c r="BN157" s="85">
        <f t="shared" si="149"/>
        <v>0</v>
      </c>
      <c r="BO157" s="85">
        <f t="shared" si="150"/>
        <v>0</v>
      </c>
      <c r="BP157" s="85">
        <f t="shared" si="151"/>
        <v>0</v>
      </c>
      <c r="BQ157" s="85">
        <f t="shared" si="152"/>
        <v>0</v>
      </c>
      <c r="BR157" s="85">
        <f t="shared" si="153"/>
        <v>0</v>
      </c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3"/>
      <c r="CM157" s="63"/>
      <c r="CN157" s="63"/>
      <c r="CO157" s="63"/>
      <c r="CP157" s="63"/>
      <c r="CQ157" s="63"/>
      <c r="CR157" s="63"/>
      <c r="CS157" s="63"/>
      <c r="CX157" s="35" t="s">
        <v>12</v>
      </c>
      <c r="CZ157" s="35"/>
      <c r="DC157" s="57" t="str">
        <f t="shared" si="154"/>
        <v/>
      </c>
      <c r="DD157" s="64" t="str">
        <f t="shared" si="155"/>
        <v/>
      </c>
      <c r="DE157" s="65" t="str">
        <f t="shared" si="156"/>
        <v/>
      </c>
      <c r="DF157" s="66" t="str">
        <f t="shared" si="157"/>
        <v/>
      </c>
    </row>
    <row r="158" spans="2:110" hidden="1" outlineLevel="1">
      <c r="B158" s="54">
        <f t="shared" si="158"/>
        <v>44158</v>
      </c>
      <c r="C158" s="55" t="s">
        <v>1</v>
      </c>
      <c r="D158" s="56">
        <f t="shared" si="159"/>
        <v>44164</v>
      </c>
      <c r="E158" s="52">
        <f t="shared" si="160"/>
        <v>11</v>
      </c>
      <c r="F158" s="53">
        <f t="shared" si="161"/>
        <v>2020</v>
      </c>
      <c r="G158" s="62">
        <f t="shared" si="162"/>
        <v>15</v>
      </c>
      <c r="H158" s="63">
        <f t="shared" si="163"/>
        <v>96</v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>
        <v>15</v>
      </c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80"/>
      <c r="AG158" s="87">
        <f t="shared" si="117"/>
        <v>0</v>
      </c>
      <c r="AH158" s="87">
        <f t="shared" si="118"/>
        <v>0</v>
      </c>
      <c r="AI158" s="87">
        <f t="shared" si="119"/>
        <v>0</v>
      </c>
      <c r="AJ158" s="87">
        <f t="shared" si="120"/>
        <v>0</v>
      </c>
      <c r="AK158" s="87">
        <f t="shared" si="121"/>
        <v>0</v>
      </c>
      <c r="AL158" s="87">
        <f t="shared" si="122"/>
        <v>0</v>
      </c>
      <c r="AM158" s="87">
        <f t="shared" si="123"/>
        <v>0</v>
      </c>
      <c r="AN158" s="87">
        <f t="shared" si="124"/>
        <v>0</v>
      </c>
      <c r="AO158" s="87">
        <f t="shared" si="125"/>
        <v>0</v>
      </c>
      <c r="AP158" s="87">
        <f t="shared" si="126"/>
        <v>0</v>
      </c>
      <c r="AQ158" s="87">
        <f t="shared" si="127"/>
        <v>15</v>
      </c>
      <c r="AR158" s="81"/>
      <c r="AS158" s="85">
        <f t="shared" si="128"/>
        <v>0</v>
      </c>
      <c r="AT158" s="85">
        <f t="shared" si="129"/>
        <v>0</v>
      </c>
      <c r="AU158" s="85">
        <f t="shared" si="130"/>
        <v>0</v>
      </c>
      <c r="AV158" s="85">
        <f t="shared" si="131"/>
        <v>0</v>
      </c>
      <c r="AW158" s="85">
        <f t="shared" si="132"/>
        <v>0</v>
      </c>
      <c r="AX158" s="85">
        <f t="shared" si="133"/>
        <v>0</v>
      </c>
      <c r="AY158" s="85">
        <f t="shared" si="134"/>
        <v>0</v>
      </c>
      <c r="AZ158" s="85">
        <f t="shared" si="135"/>
        <v>0</v>
      </c>
      <c r="BA158" s="85">
        <f t="shared" si="136"/>
        <v>0</v>
      </c>
      <c r="BB158" s="85">
        <f t="shared" si="137"/>
        <v>0</v>
      </c>
      <c r="BC158" s="85">
        <f t="shared" si="138"/>
        <v>0</v>
      </c>
      <c r="BD158" s="85">
        <f t="shared" si="139"/>
        <v>0</v>
      </c>
      <c r="BE158" s="85">
        <f t="shared" si="140"/>
        <v>0</v>
      </c>
      <c r="BF158" s="85">
        <f t="shared" si="141"/>
        <v>0</v>
      </c>
      <c r="BG158" s="85">
        <f t="shared" si="142"/>
        <v>0</v>
      </c>
      <c r="BH158" s="85">
        <f t="shared" si="143"/>
        <v>0</v>
      </c>
      <c r="BI158" s="85">
        <f t="shared" si="144"/>
        <v>0</v>
      </c>
      <c r="BJ158" s="85">
        <f t="shared" si="145"/>
        <v>0</v>
      </c>
      <c r="BK158" s="85">
        <f t="shared" si="146"/>
        <v>0</v>
      </c>
      <c r="BL158" s="85">
        <f t="shared" si="147"/>
        <v>0</v>
      </c>
      <c r="BM158" s="85">
        <f t="shared" si="148"/>
        <v>0</v>
      </c>
      <c r="BN158" s="85">
        <f t="shared" si="149"/>
        <v>0</v>
      </c>
      <c r="BO158" s="85">
        <f t="shared" si="150"/>
        <v>0</v>
      </c>
      <c r="BP158" s="85">
        <f t="shared" si="151"/>
        <v>0</v>
      </c>
      <c r="BQ158" s="85">
        <f t="shared" si="152"/>
        <v>0</v>
      </c>
      <c r="BR158" s="85">
        <f t="shared" si="153"/>
        <v>0</v>
      </c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3"/>
      <c r="CM158" s="63"/>
      <c r="CN158" s="63"/>
      <c r="CO158" s="63"/>
      <c r="CP158" s="63"/>
      <c r="CQ158" s="63"/>
      <c r="CR158" s="63"/>
      <c r="CS158" s="63"/>
      <c r="CX158" s="35" t="s">
        <v>12</v>
      </c>
      <c r="CZ158" s="35"/>
      <c r="DC158" s="57" t="str">
        <f t="shared" si="154"/>
        <v/>
      </c>
      <c r="DD158" s="64" t="str">
        <f t="shared" si="155"/>
        <v/>
      </c>
      <c r="DE158" s="65" t="str">
        <f t="shared" si="156"/>
        <v/>
      </c>
      <c r="DF158" s="66" t="str">
        <f t="shared" si="157"/>
        <v/>
      </c>
    </row>
    <row r="159" spans="2:110" hidden="1" outlineLevel="1">
      <c r="B159" s="54">
        <f t="shared" si="158"/>
        <v>44165</v>
      </c>
      <c r="C159" s="55" t="s">
        <v>1</v>
      </c>
      <c r="D159" s="56">
        <f t="shared" si="159"/>
        <v>44171</v>
      </c>
      <c r="E159" s="52">
        <f t="shared" si="160"/>
        <v>11</v>
      </c>
      <c r="F159" s="53">
        <f t="shared" si="161"/>
        <v>2020</v>
      </c>
      <c r="G159" s="62">
        <f t="shared" si="162"/>
        <v>15</v>
      </c>
      <c r="H159" s="63">
        <f t="shared" si="163"/>
        <v>96</v>
      </c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>
        <v>15</v>
      </c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80"/>
      <c r="AG159" s="87">
        <f t="shared" si="117"/>
        <v>0</v>
      </c>
      <c r="AH159" s="87">
        <f t="shared" si="118"/>
        <v>0</v>
      </c>
      <c r="AI159" s="87">
        <f t="shared" si="119"/>
        <v>0</v>
      </c>
      <c r="AJ159" s="87">
        <f t="shared" si="120"/>
        <v>0</v>
      </c>
      <c r="AK159" s="87">
        <f t="shared" si="121"/>
        <v>0</v>
      </c>
      <c r="AL159" s="87">
        <f t="shared" si="122"/>
        <v>0</v>
      </c>
      <c r="AM159" s="87">
        <f t="shared" si="123"/>
        <v>0</v>
      </c>
      <c r="AN159" s="87">
        <f t="shared" si="124"/>
        <v>0</v>
      </c>
      <c r="AO159" s="87">
        <f t="shared" si="125"/>
        <v>0</v>
      </c>
      <c r="AP159" s="87">
        <f t="shared" si="126"/>
        <v>0</v>
      </c>
      <c r="AQ159" s="87">
        <f t="shared" si="127"/>
        <v>15</v>
      </c>
      <c r="AR159" s="81"/>
      <c r="AS159" s="85">
        <f t="shared" si="128"/>
        <v>0</v>
      </c>
      <c r="AT159" s="85">
        <f t="shared" si="129"/>
        <v>0</v>
      </c>
      <c r="AU159" s="85">
        <f t="shared" si="130"/>
        <v>0</v>
      </c>
      <c r="AV159" s="85">
        <f t="shared" si="131"/>
        <v>0</v>
      </c>
      <c r="AW159" s="85">
        <f t="shared" si="132"/>
        <v>0</v>
      </c>
      <c r="AX159" s="85">
        <f t="shared" si="133"/>
        <v>0</v>
      </c>
      <c r="AY159" s="85">
        <f t="shared" si="134"/>
        <v>0</v>
      </c>
      <c r="AZ159" s="85">
        <f t="shared" si="135"/>
        <v>0</v>
      </c>
      <c r="BA159" s="85">
        <f t="shared" si="136"/>
        <v>0</v>
      </c>
      <c r="BB159" s="85">
        <f t="shared" si="137"/>
        <v>0</v>
      </c>
      <c r="BC159" s="85">
        <f t="shared" si="138"/>
        <v>0</v>
      </c>
      <c r="BD159" s="85">
        <f t="shared" si="139"/>
        <v>0</v>
      </c>
      <c r="BE159" s="85">
        <f t="shared" si="140"/>
        <v>0</v>
      </c>
      <c r="BF159" s="85">
        <f t="shared" si="141"/>
        <v>0</v>
      </c>
      <c r="BG159" s="85">
        <f t="shared" si="142"/>
        <v>0</v>
      </c>
      <c r="BH159" s="85">
        <f t="shared" si="143"/>
        <v>0</v>
      </c>
      <c r="BI159" s="85">
        <f t="shared" si="144"/>
        <v>0</v>
      </c>
      <c r="BJ159" s="85">
        <f t="shared" si="145"/>
        <v>0</v>
      </c>
      <c r="BK159" s="85">
        <f t="shared" si="146"/>
        <v>0</v>
      </c>
      <c r="BL159" s="85">
        <f t="shared" si="147"/>
        <v>0</v>
      </c>
      <c r="BM159" s="85">
        <f t="shared" si="148"/>
        <v>0</v>
      </c>
      <c r="BN159" s="85">
        <f t="shared" si="149"/>
        <v>0</v>
      </c>
      <c r="BO159" s="85">
        <f t="shared" si="150"/>
        <v>0</v>
      </c>
      <c r="BP159" s="85">
        <f t="shared" si="151"/>
        <v>0</v>
      </c>
      <c r="BQ159" s="85">
        <f t="shared" si="152"/>
        <v>0</v>
      </c>
      <c r="BR159" s="85">
        <f t="shared" si="153"/>
        <v>0</v>
      </c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3"/>
      <c r="CM159" s="63"/>
      <c r="CN159" s="63"/>
      <c r="CO159" s="63"/>
      <c r="CP159" s="63"/>
      <c r="CQ159" s="63"/>
      <c r="CR159" s="63"/>
      <c r="CS159" s="63"/>
      <c r="CX159" s="35" t="s">
        <v>12</v>
      </c>
      <c r="CZ159" s="35"/>
      <c r="DC159" s="57" t="str">
        <f t="shared" si="154"/>
        <v/>
      </c>
      <c r="DD159" s="64" t="str">
        <f t="shared" si="155"/>
        <v/>
      </c>
      <c r="DE159" s="65" t="str">
        <f t="shared" si="156"/>
        <v/>
      </c>
      <c r="DF159" s="66" t="str">
        <f t="shared" si="157"/>
        <v/>
      </c>
    </row>
    <row r="160" spans="2:110" hidden="1" outlineLevel="1">
      <c r="B160" s="54">
        <f t="shared" si="158"/>
        <v>44172</v>
      </c>
      <c r="C160" s="55" t="s">
        <v>1</v>
      </c>
      <c r="D160" s="56">
        <f t="shared" si="159"/>
        <v>44178</v>
      </c>
      <c r="E160" s="52">
        <f t="shared" si="160"/>
        <v>12</v>
      </c>
      <c r="F160" s="53">
        <f t="shared" si="161"/>
        <v>2020</v>
      </c>
      <c r="G160" s="62">
        <f t="shared" si="162"/>
        <v>15</v>
      </c>
      <c r="H160" s="63">
        <f t="shared" si="163"/>
        <v>96</v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>
        <v>15</v>
      </c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80"/>
      <c r="AG160" s="87">
        <f t="shared" si="117"/>
        <v>0</v>
      </c>
      <c r="AH160" s="87">
        <f t="shared" si="118"/>
        <v>0</v>
      </c>
      <c r="AI160" s="87">
        <f t="shared" si="119"/>
        <v>0</v>
      </c>
      <c r="AJ160" s="87">
        <f t="shared" si="120"/>
        <v>0</v>
      </c>
      <c r="AK160" s="87">
        <f t="shared" si="121"/>
        <v>0</v>
      </c>
      <c r="AL160" s="87">
        <f t="shared" si="122"/>
        <v>0</v>
      </c>
      <c r="AM160" s="87">
        <f t="shared" si="123"/>
        <v>0</v>
      </c>
      <c r="AN160" s="87">
        <f t="shared" si="124"/>
        <v>0</v>
      </c>
      <c r="AO160" s="87">
        <f t="shared" si="125"/>
        <v>0</v>
      </c>
      <c r="AP160" s="87">
        <f t="shared" si="126"/>
        <v>0</v>
      </c>
      <c r="AQ160" s="87">
        <f t="shared" si="127"/>
        <v>15</v>
      </c>
      <c r="AR160" s="81"/>
      <c r="AS160" s="85">
        <f t="shared" si="128"/>
        <v>0</v>
      </c>
      <c r="AT160" s="85">
        <f t="shared" si="129"/>
        <v>0</v>
      </c>
      <c r="AU160" s="85">
        <f t="shared" si="130"/>
        <v>0</v>
      </c>
      <c r="AV160" s="85">
        <f t="shared" si="131"/>
        <v>0</v>
      </c>
      <c r="AW160" s="85">
        <f t="shared" si="132"/>
        <v>0</v>
      </c>
      <c r="AX160" s="85">
        <f t="shared" si="133"/>
        <v>0</v>
      </c>
      <c r="AY160" s="85">
        <f t="shared" si="134"/>
        <v>0</v>
      </c>
      <c r="AZ160" s="85">
        <f t="shared" si="135"/>
        <v>0</v>
      </c>
      <c r="BA160" s="85">
        <f t="shared" si="136"/>
        <v>0</v>
      </c>
      <c r="BB160" s="85">
        <f t="shared" si="137"/>
        <v>0</v>
      </c>
      <c r="BC160" s="85">
        <f t="shared" si="138"/>
        <v>0</v>
      </c>
      <c r="BD160" s="85">
        <f t="shared" si="139"/>
        <v>0</v>
      </c>
      <c r="BE160" s="85">
        <f t="shared" si="140"/>
        <v>0</v>
      </c>
      <c r="BF160" s="85">
        <f t="shared" si="141"/>
        <v>0</v>
      </c>
      <c r="BG160" s="85">
        <f t="shared" si="142"/>
        <v>0</v>
      </c>
      <c r="BH160" s="85">
        <f t="shared" si="143"/>
        <v>0</v>
      </c>
      <c r="BI160" s="85">
        <f t="shared" si="144"/>
        <v>0</v>
      </c>
      <c r="BJ160" s="85">
        <f t="shared" si="145"/>
        <v>0</v>
      </c>
      <c r="BK160" s="85">
        <f t="shared" si="146"/>
        <v>0</v>
      </c>
      <c r="BL160" s="85">
        <f t="shared" si="147"/>
        <v>0</v>
      </c>
      <c r="BM160" s="85">
        <f t="shared" si="148"/>
        <v>0</v>
      </c>
      <c r="BN160" s="85">
        <f t="shared" si="149"/>
        <v>0</v>
      </c>
      <c r="BO160" s="85">
        <f t="shared" si="150"/>
        <v>0</v>
      </c>
      <c r="BP160" s="85">
        <f t="shared" si="151"/>
        <v>0</v>
      </c>
      <c r="BQ160" s="85">
        <f t="shared" si="152"/>
        <v>0</v>
      </c>
      <c r="BR160" s="85">
        <f t="shared" si="153"/>
        <v>0</v>
      </c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X160" s="35" t="s">
        <v>12</v>
      </c>
      <c r="CZ160" s="35"/>
      <c r="DC160" s="57" t="str">
        <f t="shared" si="154"/>
        <v/>
      </c>
      <c r="DD160" s="64" t="str">
        <f t="shared" si="155"/>
        <v/>
      </c>
      <c r="DE160" s="65" t="str">
        <f t="shared" si="156"/>
        <v/>
      </c>
      <c r="DF160" s="66" t="str">
        <f t="shared" si="157"/>
        <v/>
      </c>
    </row>
    <row r="161" spans="2:110" hidden="1" outlineLevel="1">
      <c r="B161" s="54">
        <f t="shared" si="158"/>
        <v>44179</v>
      </c>
      <c r="C161" s="55" t="s">
        <v>1</v>
      </c>
      <c r="D161" s="56">
        <f t="shared" si="159"/>
        <v>44185</v>
      </c>
      <c r="E161" s="52">
        <f t="shared" si="160"/>
        <v>12</v>
      </c>
      <c r="F161" s="53">
        <f t="shared" si="161"/>
        <v>2020</v>
      </c>
      <c r="G161" s="62">
        <f t="shared" si="162"/>
        <v>15</v>
      </c>
      <c r="H161" s="63">
        <f t="shared" si="163"/>
        <v>96</v>
      </c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>
        <v>15</v>
      </c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80"/>
      <c r="AG161" s="87">
        <f t="shared" si="117"/>
        <v>0</v>
      </c>
      <c r="AH161" s="87">
        <f t="shared" si="118"/>
        <v>0</v>
      </c>
      <c r="AI161" s="87">
        <f t="shared" si="119"/>
        <v>0</v>
      </c>
      <c r="AJ161" s="87">
        <f t="shared" si="120"/>
        <v>0</v>
      </c>
      <c r="AK161" s="87">
        <f t="shared" si="121"/>
        <v>0</v>
      </c>
      <c r="AL161" s="87">
        <f t="shared" si="122"/>
        <v>0</v>
      </c>
      <c r="AM161" s="87">
        <f t="shared" si="123"/>
        <v>0</v>
      </c>
      <c r="AN161" s="87">
        <f t="shared" si="124"/>
        <v>0</v>
      </c>
      <c r="AO161" s="87">
        <f t="shared" si="125"/>
        <v>0</v>
      </c>
      <c r="AP161" s="87">
        <f t="shared" si="126"/>
        <v>0</v>
      </c>
      <c r="AQ161" s="87">
        <f t="shared" si="127"/>
        <v>15</v>
      </c>
      <c r="AR161" s="81"/>
      <c r="AS161" s="85">
        <f t="shared" si="128"/>
        <v>0</v>
      </c>
      <c r="AT161" s="85">
        <f t="shared" si="129"/>
        <v>0</v>
      </c>
      <c r="AU161" s="85">
        <f t="shared" si="130"/>
        <v>0</v>
      </c>
      <c r="AV161" s="85">
        <f t="shared" si="131"/>
        <v>0</v>
      </c>
      <c r="AW161" s="85">
        <f t="shared" si="132"/>
        <v>0</v>
      </c>
      <c r="AX161" s="85">
        <f t="shared" si="133"/>
        <v>0</v>
      </c>
      <c r="AY161" s="85">
        <f t="shared" si="134"/>
        <v>0</v>
      </c>
      <c r="AZ161" s="85">
        <f t="shared" si="135"/>
        <v>0</v>
      </c>
      <c r="BA161" s="85">
        <f t="shared" si="136"/>
        <v>0</v>
      </c>
      <c r="BB161" s="85">
        <f t="shared" si="137"/>
        <v>0</v>
      </c>
      <c r="BC161" s="85">
        <f t="shared" si="138"/>
        <v>0</v>
      </c>
      <c r="BD161" s="85">
        <f t="shared" si="139"/>
        <v>0</v>
      </c>
      <c r="BE161" s="85">
        <f t="shared" si="140"/>
        <v>0</v>
      </c>
      <c r="BF161" s="85">
        <f t="shared" si="141"/>
        <v>0</v>
      </c>
      <c r="BG161" s="85">
        <f t="shared" si="142"/>
        <v>0</v>
      </c>
      <c r="BH161" s="85">
        <f t="shared" si="143"/>
        <v>0</v>
      </c>
      <c r="BI161" s="85">
        <f t="shared" si="144"/>
        <v>0</v>
      </c>
      <c r="BJ161" s="85">
        <f t="shared" si="145"/>
        <v>0</v>
      </c>
      <c r="BK161" s="85">
        <f t="shared" si="146"/>
        <v>0</v>
      </c>
      <c r="BL161" s="85">
        <f t="shared" si="147"/>
        <v>0</v>
      </c>
      <c r="BM161" s="85">
        <f t="shared" si="148"/>
        <v>0</v>
      </c>
      <c r="BN161" s="85">
        <f t="shared" si="149"/>
        <v>0</v>
      </c>
      <c r="BO161" s="85">
        <f t="shared" si="150"/>
        <v>0</v>
      </c>
      <c r="BP161" s="85">
        <f t="shared" si="151"/>
        <v>0</v>
      </c>
      <c r="BQ161" s="85">
        <f t="shared" si="152"/>
        <v>0</v>
      </c>
      <c r="BR161" s="85">
        <f t="shared" si="153"/>
        <v>0</v>
      </c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3"/>
      <c r="CM161" s="63"/>
      <c r="CN161" s="63"/>
      <c r="CO161" s="63"/>
      <c r="CP161" s="63"/>
      <c r="CQ161" s="63"/>
      <c r="CR161" s="63"/>
      <c r="CS161" s="63"/>
      <c r="CW161">
        <v>6</v>
      </c>
      <c r="CX161" s="35">
        <v>44179</v>
      </c>
      <c r="CZ161" s="35">
        <f>B178</f>
        <v>44298</v>
      </c>
      <c r="DA161">
        <v>98</v>
      </c>
      <c r="DC161" s="57" t="str">
        <f t="shared" si="154"/>
        <v/>
      </c>
      <c r="DD161" s="64" t="str">
        <f t="shared" si="155"/>
        <v/>
      </c>
      <c r="DE161" s="65" t="str">
        <f t="shared" si="156"/>
        <v/>
      </c>
      <c r="DF161" s="66" t="str">
        <f t="shared" si="157"/>
        <v/>
      </c>
    </row>
    <row r="162" spans="2:110" hidden="1" outlineLevel="1">
      <c r="B162" s="54">
        <f t="shared" si="158"/>
        <v>44186</v>
      </c>
      <c r="C162" s="55" t="s">
        <v>1</v>
      </c>
      <c r="D162" s="56">
        <f t="shared" si="159"/>
        <v>44192</v>
      </c>
      <c r="E162" s="52">
        <f t="shared" si="160"/>
        <v>12</v>
      </c>
      <c r="F162" s="53">
        <f t="shared" si="161"/>
        <v>2020</v>
      </c>
      <c r="G162" s="62">
        <f t="shared" si="162"/>
        <v>15</v>
      </c>
      <c r="H162" s="63">
        <f t="shared" si="163"/>
        <v>96</v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>
        <v>15</v>
      </c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80"/>
      <c r="AG162" s="87">
        <f t="shared" si="117"/>
        <v>0</v>
      </c>
      <c r="AH162" s="87">
        <f t="shared" si="118"/>
        <v>0</v>
      </c>
      <c r="AI162" s="87">
        <f t="shared" si="119"/>
        <v>0</v>
      </c>
      <c r="AJ162" s="87">
        <f t="shared" si="120"/>
        <v>0</v>
      </c>
      <c r="AK162" s="87">
        <f t="shared" si="121"/>
        <v>0</v>
      </c>
      <c r="AL162" s="87">
        <f t="shared" si="122"/>
        <v>0</v>
      </c>
      <c r="AM162" s="87">
        <f t="shared" si="123"/>
        <v>0</v>
      </c>
      <c r="AN162" s="87">
        <f t="shared" si="124"/>
        <v>0</v>
      </c>
      <c r="AO162" s="87">
        <f t="shared" si="125"/>
        <v>0</v>
      </c>
      <c r="AP162" s="87">
        <f t="shared" si="126"/>
        <v>0</v>
      </c>
      <c r="AQ162" s="87">
        <f t="shared" si="127"/>
        <v>15</v>
      </c>
      <c r="AR162" s="81"/>
      <c r="AS162" s="85">
        <f t="shared" si="128"/>
        <v>0</v>
      </c>
      <c r="AT162" s="85">
        <f t="shared" si="129"/>
        <v>0</v>
      </c>
      <c r="AU162" s="85">
        <f t="shared" si="130"/>
        <v>0</v>
      </c>
      <c r="AV162" s="85">
        <f t="shared" si="131"/>
        <v>0</v>
      </c>
      <c r="AW162" s="85">
        <f t="shared" si="132"/>
        <v>0</v>
      </c>
      <c r="AX162" s="85">
        <f t="shared" si="133"/>
        <v>0</v>
      </c>
      <c r="AY162" s="85">
        <f t="shared" si="134"/>
        <v>0</v>
      </c>
      <c r="AZ162" s="85">
        <f t="shared" si="135"/>
        <v>0</v>
      </c>
      <c r="BA162" s="85">
        <f t="shared" si="136"/>
        <v>0</v>
      </c>
      <c r="BB162" s="85">
        <f t="shared" si="137"/>
        <v>0</v>
      </c>
      <c r="BC162" s="85">
        <f t="shared" si="138"/>
        <v>0</v>
      </c>
      <c r="BD162" s="85">
        <f t="shared" si="139"/>
        <v>0</v>
      </c>
      <c r="BE162" s="85">
        <f t="shared" si="140"/>
        <v>0</v>
      </c>
      <c r="BF162" s="85">
        <f t="shared" si="141"/>
        <v>0</v>
      </c>
      <c r="BG162" s="85">
        <f t="shared" si="142"/>
        <v>0</v>
      </c>
      <c r="BH162" s="85">
        <f t="shared" si="143"/>
        <v>0</v>
      </c>
      <c r="BI162" s="85">
        <f t="shared" si="144"/>
        <v>0</v>
      </c>
      <c r="BJ162" s="85">
        <f t="shared" si="145"/>
        <v>0</v>
      </c>
      <c r="BK162" s="85">
        <f t="shared" si="146"/>
        <v>0</v>
      </c>
      <c r="BL162" s="85">
        <f t="shared" si="147"/>
        <v>0</v>
      </c>
      <c r="BM162" s="85">
        <f t="shared" si="148"/>
        <v>0</v>
      </c>
      <c r="BN162" s="85">
        <f t="shared" si="149"/>
        <v>0</v>
      </c>
      <c r="BO162" s="85">
        <f t="shared" si="150"/>
        <v>0</v>
      </c>
      <c r="BP162" s="85">
        <f t="shared" si="151"/>
        <v>0</v>
      </c>
      <c r="BQ162" s="85">
        <f t="shared" si="152"/>
        <v>0</v>
      </c>
      <c r="BR162" s="85">
        <f t="shared" si="153"/>
        <v>0</v>
      </c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X162" s="35" t="s">
        <v>12</v>
      </c>
      <c r="CZ162" s="35"/>
      <c r="DC162" s="57" t="str">
        <f t="shared" si="154"/>
        <v/>
      </c>
      <c r="DD162" s="64" t="str">
        <f t="shared" si="155"/>
        <v/>
      </c>
      <c r="DE162" s="65" t="str">
        <f t="shared" si="156"/>
        <v/>
      </c>
      <c r="DF162" s="66" t="str">
        <f t="shared" si="157"/>
        <v/>
      </c>
    </row>
    <row r="163" spans="2:110" collapsed="1">
      <c r="B163" s="54">
        <f t="shared" si="158"/>
        <v>44193</v>
      </c>
      <c r="C163" s="55" t="s">
        <v>1</v>
      </c>
      <c r="D163" s="56">
        <f t="shared" si="159"/>
        <v>44199</v>
      </c>
      <c r="E163" s="52">
        <f t="shared" si="160"/>
        <v>12</v>
      </c>
      <c r="F163" s="53">
        <f t="shared" si="161"/>
        <v>2021</v>
      </c>
      <c r="G163" s="62">
        <f t="shared" si="162"/>
        <v>15</v>
      </c>
      <c r="H163" s="63">
        <f t="shared" si="163"/>
        <v>96</v>
      </c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>
        <v>15</v>
      </c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80"/>
      <c r="AG163" s="87">
        <f t="shared" si="117"/>
        <v>0</v>
      </c>
      <c r="AH163" s="87">
        <f t="shared" si="118"/>
        <v>0</v>
      </c>
      <c r="AI163" s="87">
        <f t="shared" si="119"/>
        <v>0</v>
      </c>
      <c r="AJ163" s="87">
        <f t="shared" si="120"/>
        <v>0</v>
      </c>
      <c r="AK163" s="87">
        <f t="shared" si="121"/>
        <v>0</v>
      </c>
      <c r="AL163" s="87">
        <f t="shared" si="122"/>
        <v>0</v>
      </c>
      <c r="AM163" s="87">
        <f t="shared" si="123"/>
        <v>0</v>
      </c>
      <c r="AN163" s="87">
        <f t="shared" si="124"/>
        <v>0</v>
      </c>
      <c r="AO163" s="87">
        <f t="shared" si="125"/>
        <v>0</v>
      </c>
      <c r="AP163" s="87">
        <f t="shared" si="126"/>
        <v>0</v>
      </c>
      <c r="AQ163" s="87">
        <f t="shared" si="127"/>
        <v>15</v>
      </c>
      <c r="AR163" s="81"/>
      <c r="AS163" s="85">
        <f t="shared" si="128"/>
        <v>0</v>
      </c>
      <c r="AT163" s="85">
        <f t="shared" si="129"/>
        <v>0</v>
      </c>
      <c r="AU163" s="85">
        <f t="shared" si="130"/>
        <v>0</v>
      </c>
      <c r="AV163" s="85">
        <f t="shared" si="131"/>
        <v>0</v>
      </c>
      <c r="AW163" s="85">
        <f t="shared" si="132"/>
        <v>0</v>
      </c>
      <c r="AX163" s="85">
        <f t="shared" si="133"/>
        <v>0</v>
      </c>
      <c r="AY163" s="85">
        <f t="shared" si="134"/>
        <v>0</v>
      </c>
      <c r="AZ163" s="85">
        <f t="shared" si="135"/>
        <v>0</v>
      </c>
      <c r="BA163" s="85">
        <f t="shared" si="136"/>
        <v>0</v>
      </c>
      <c r="BB163" s="85">
        <f t="shared" si="137"/>
        <v>0</v>
      </c>
      <c r="BC163" s="85">
        <f t="shared" si="138"/>
        <v>0</v>
      </c>
      <c r="BD163" s="85">
        <f t="shared" si="139"/>
        <v>0</v>
      </c>
      <c r="BE163" s="85">
        <f t="shared" si="140"/>
        <v>0</v>
      </c>
      <c r="BF163" s="85">
        <f t="shared" si="141"/>
        <v>0</v>
      </c>
      <c r="BG163" s="85">
        <f t="shared" si="142"/>
        <v>0</v>
      </c>
      <c r="BH163" s="85">
        <f t="shared" si="143"/>
        <v>0</v>
      </c>
      <c r="BI163" s="85">
        <f t="shared" si="144"/>
        <v>0</v>
      </c>
      <c r="BJ163" s="85">
        <f t="shared" si="145"/>
        <v>0</v>
      </c>
      <c r="BK163" s="85">
        <f t="shared" si="146"/>
        <v>0</v>
      </c>
      <c r="BL163" s="85">
        <f t="shared" si="147"/>
        <v>0</v>
      </c>
      <c r="BM163" s="85">
        <f t="shared" si="148"/>
        <v>0</v>
      </c>
      <c r="BN163" s="85">
        <f t="shared" si="149"/>
        <v>0</v>
      </c>
      <c r="BO163" s="85">
        <f t="shared" si="150"/>
        <v>0</v>
      </c>
      <c r="BP163" s="85">
        <f t="shared" si="151"/>
        <v>0</v>
      </c>
      <c r="BQ163" s="85">
        <f t="shared" si="152"/>
        <v>0</v>
      </c>
      <c r="BR163" s="85">
        <f t="shared" si="153"/>
        <v>0</v>
      </c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X163" s="35" t="s">
        <v>12</v>
      </c>
      <c r="CZ163" s="35"/>
      <c r="DC163" s="57" t="str">
        <f t="shared" si="154"/>
        <v/>
      </c>
      <c r="DD163" s="64" t="str">
        <f t="shared" si="155"/>
        <v/>
      </c>
      <c r="DE163" s="65" t="str">
        <f t="shared" si="156"/>
        <v/>
      </c>
      <c r="DF163" s="66" t="str">
        <f t="shared" si="157"/>
        <v/>
      </c>
    </row>
    <row r="164" spans="2:110" hidden="1" outlineLevel="1">
      <c r="B164" s="54">
        <f t="shared" si="158"/>
        <v>44200</v>
      </c>
      <c r="C164" s="55" t="s">
        <v>1</v>
      </c>
      <c r="D164" s="56">
        <f t="shared" si="159"/>
        <v>44206</v>
      </c>
      <c r="E164" s="52">
        <f t="shared" si="160"/>
        <v>1</v>
      </c>
      <c r="F164" s="53">
        <f t="shared" si="161"/>
        <v>2021</v>
      </c>
      <c r="G164" s="62">
        <f t="shared" si="162"/>
        <v>15</v>
      </c>
      <c r="H164" s="63">
        <f t="shared" si="163"/>
        <v>96</v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>
        <v>15</v>
      </c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80"/>
      <c r="AG164" s="87">
        <f t="shared" si="117"/>
        <v>0</v>
      </c>
      <c r="AH164" s="87">
        <f t="shared" si="118"/>
        <v>0</v>
      </c>
      <c r="AI164" s="87">
        <f t="shared" si="119"/>
        <v>0</v>
      </c>
      <c r="AJ164" s="87">
        <f t="shared" si="120"/>
        <v>0</v>
      </c>
      <c r="AK164" s="87">
        <f t="shared" si="121"/>
        <v>0</v>
      </c>
      <c r="AL164" s="87">
        <f t="shared" si="122"/>
        <v>0</v>
      </c>
      <c r="AM164" s="87">
        <f t="shared" si="123"/>
        <v>0</v>
      </c>
      <c r="AN164" s="87">
        <f t="shared" si="124"/>
        <v>0</v>
      </c>
      <c r="AO164" s="87">
        <f t="shared" si="125"/>
        <v>0</v>
      </c>
      <c r="AP164" s="87">
        <f t="shared" si="126"/>
        <v>0</v>
      </c>
      <c r="AQ164" s="87">
        <f t="shared" si="127"/>
        <v>15</v>
      </c>
      <c r="AR164" s="81"/>
      <c r="AS164" s="85">
        <f t="shared" si="128"/>
        <v>0</v>
      </c>
      <c r="AT164" s="85">
        <f t="shared" si="129"/>
        <v>0</v>
      </c>
      <c r="AU164" s="85">
        <f t="shared" si="130"/>
        <v>0</v>
      </c>
      <c r="AV164" s="85">
        <f t="shared" si="131"/>
        <v>0</v>
      </c>
      <c r="AW164" s="85">
        <f t="shared" si="132"/>
        <v>0</v>
      </c>
      <c r="AX164" s="85">
        <f t="shared" si="133"/>
        <v>0</v>
      </c>
      <c r="AY164" s="85">
        <f t="shared" si="134"/>
        <v>0</v>
      </c>
      <c r="AZ164" s="85">
        <f t="shared" si="135"/>
        <v>0</v>
      </c>
      <c r="BA164" s="85">
        <f t="shared" si="136"/>
        <v>0</v>
      </c>
      <c r="BB164" s="85">
        <f t="shared" si="137"/>
        <v>0</v>
      </c>
      <c r="BC164" s="85">
        <f t="shared" si="138"/>
        <v>0</v>
      </c>
      <c r="BD164" s="85">
        <f t="shared" si="139"/>
        <v>0</v>
      </c>
      <c r="BE164" s="85">
        <f t="shared" si="140"/>
        <v>0</v>
      </c>
      <c r="BF164" s="85">
        <f t="shared" si="141"/>
        <v>0</v>
      </c>
      <c r="BG164" s="85">
        <f t="shared" si="142"/>
        <v>0</v>
      </c>
      <c r="BH164" s="85">
        <f t="shared" si="143"/>
        <v>0</v>
      </c>
      <c r="BI164" s="85">
        <f t="shared" si="144"/>
        <v>0</v>
      </c>
      <c r="BJ164" s="85">
        <f t="shared" si="145"/>
        <v>0</v>
      </c>
      <c r="BK164" s="85">
        <f t="shared" si="146"/>
        <v>0</v>
      </c>
      <c r="BL164" s="85">
        <f t="shared" si="147"/>
        <v>0</v>
      </c>
      <c r="BM164" s="85">
        <f t="shared" si="148"/>
        <v>0</v>
      </c>
      <c r="BN164" s="85">
        <f t="shared" si="149"/>
        <v>0</v>
      </c>
      <c r="BO164" s="85">
        <f t="shared" si="150"/>
        <v>0</v>
      </c>
      <c r="BP164" s="85">
        <f t="shared" si="151"/>
        <v>0</v>
      </c>
      <c r="BQ164" s="85">
        <f t="shared" si="152"/>
        <v>0</v>
      </c>
      <c r="BR164" s="85">
        <f t="shared" si="153"/>
        <v>0</v>
      </c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X164" s="35" t="s">
        <v>12</v>
      </c>
      <c r="CZ164" s="35"/>
      <c r="DC164" s="57" t="str">
        <f t="shared" si="154"/>
        <v/>
      </c>
      <c r="DD164" s="64" t="str">
        <f t="shared" si="155"/>
        <v/>
      </c>
      <c r="DE164" s="65" t="str">
        <f t="shared" si="156"/>
        <v/>
      </c>
      <c r="DF164" s="66" t="str">
        <f t="shared" si="157"/>
        <v/>
      </c>
    </row>
    <row r="165" spans="2:110" hidden="1" outlineLevel="1">
      <c r="B165" s="54">
        <f t="shared" si="158"/>
        <v>44207</v>
      </c>
      <c r="C165" s="55" t="s">
        <v>1</v>
      </c>
      <c r="D165" s="56">
        <f t="shared" si="159"/>
        <v>44213</v>
      </c>
      <c r="E165" s="52">
        <f t="shared" si="160"/>
        <v>1</v>
      </c>
      <c r="F165" s="53">
        <f t="shared" si="161"/>
        <v>2021</v>
      </c>
      <c r="G165" s="62">
        <f t="shared" si="162"/>
        <v>15</v>
      </c>
      <c r="H165" s="63">
        <f t="shared" si="163"/>
        <v>96</v>
      </c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>
        <v>15</v>
      </c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80"/>
      <c r="AG165" s="87">
        <f t="shared" si="117"/>
        <v>0</v>
      </c>
      <c r="AH165" s="87">
        <f t="shared" si="118"/>
        <v>0</v>
      </c>
      <c r="AI165" s="87">
        <f t="shared" si="119"/>
        <v>0</v>
      </c>
      <c r="AJ165" s="87">
        <f t="shared" si="120"/>
        <v>0</v>
      </c>
      <c r="AK165" s="87">
        <f t="shared" si="121"/>
        <v>0</v>
      </c>
      <c r="AL165" s="87">
        <f t="shared" si="122"/>
        <v>0</v>
      </c>
      <c r="AM165" s="87">
        <f t="shared" si="123"/>
        <v>0</v>
      </c>
      <c r="AN165" s="87">
        <f t="shared" si="124"/>
        <v>0</v>
      </c>
      <c r="AO165" s="87">
        <f t="shared" si="125"/>
        <v>0</v>
      </c>
      <c r="AP165" s="87">
        <f t="shared" si="126"/>
        <v>0</v>
      </c>
      <c r="AQ165" s="87">
        <f t="shared" si="127"/>
        <v>15</v>
      </c>
      <c r="AR165" s="81"/>
      <c r="AS165" s="85">
        <f t="shared" si="128"/>
        <v>0</v>
      </c>
      <c r="AT165" s="85">
        <f t="shared" si="129"/>
        <v>0</v>
      </c>
      <c r="AU165" s="85">
        <f t="shared" si="130"/>
        <v>0</v>
      </c>
      <c r="AV165" s="85">
        <f t="shared" si="131"/>
        <v>0</v>
      </c>
      <c r="AW165" s="85">
        <f t="shared" si="132"/>
        <v>0</v>
      </c>
      <c r="AX165" s="85">
        <f t="shared" si="133"/>
        <v>0</v>
      </c>
      <c r="AY165" s="85">
        <f t="shared" si="134"/>
        <v>0</v>
      </c>
      <c r="AZ165" s="85">
        <f t="shared" si="135"/>
        <v>0</v>
      </c>
      <c r="BA165" s="85">
        <f t="shared" si="136"/>
        <v>0</v>
      </c>
      <c r="BB165" s="85">
        <f t="shared" si="137"/>
        <v>0</v>
      </c>
      <c r="BC165" s="85">
        <f t="shared" si="138"/>
        <v>0</v>
      </c>
      <c r="BD165" s="85">
        <f t="shared" si="139"/>
        <v>0</v>
      </c>
      <c r="BE165" s="85">
        <f t="shared" si="140"/>
        <v>0</v>
      </c>
      <c r="BF165" s="85">
        <f t="shared" si="141"/>
        <v>0</v>
      </c>
      <c r="BG165" s="85">
        <f t="shared" si="142"/>
        <v>0</v>
      </c>
      <c r="BH165" s="85">
        <f t="shared" si="143"/>
        <v>0</v>
      </c>
      <c r="BI165" s="85">
        <f t="shared" si="144"/>
        <v>0</v>
      </c>
      <c r="BJ165" s="85">
        <f t="shared" si="145"/>
        <v>0</v>
      </c>
      <c r="BK165" s="85">
        <f t="shared" si="146"/>
        <v>0</v>
      </c>
      <c r="BL165" s="85">
        <f t="shared" si="147"/>
        <v>0</v>
      </c>
      <c r="BM165" s="85">
        <f t="shared" si="148"/>
        <v>0</v>
      </c>
      <c r="BN165" s="85">
        <f t="shared" si="149"/>
        <v>0</v>
      </c>
      <c r="BO165" s="85">
        <f t="shared" si="150"/>
        <v>0</v>
      </c>
      <c r="BP165" s="85">
        <f t="shared" si="151"/>
        <v>0</v>
      </c>
      <c r="BQ165" s="85">
        <f t="shared" si="152"/>
        <v>0</v>
      </c>
      <c r="BR165" s="85">
        <f t="shared" si="153"/>
        <v>0</v>
      </c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X165" s="35" t="s">
        <v>12</v>
      </c>
      <c r="CZ165" s="35"/>
      <c r="DC165" s="57" t="str">
        <f t="shared" si="154"/>
        <v/>
      </c>
      <c r="DD165" s="64" t="str">
        <f t="shared" si="155"/>
        <v/>
      </c>
      <c r="DE165" s="65" t="str">
        <f t="shared" si="156"/>
        <v/>
      </c>
      <c r="DF165" s="66" t="str">
        <f t="shared" si="157"/>
        <v/>
      </c>
    </row>
    <row r="166" spans="2:110" hidden="1" outlineLevel="1">
      <c r="B166" s="54">
        <f t="shared" si="158"/>
        <v>44214</v>
      </c>
      <c r="C166" s="55" t="s">
        <v>1</v>
      </c>
      <c r="D166" s="56">
        <f t="shared" si="159"/>
        <v>44220</v>
      </c>
      <c r="E166" s="52">
        <f t="shared" si="160"/>
        <v>1</v>
      </c>
      <c r="F166" s="53">
        <f t="shared" si="161"/>
        <v>2021</v>
      </c>
      <c r="G166" s="62">
        <f t="shared" si="162"/>
        <v>15</v>
      </c>
      <c r="H166" s="63">
        <f t="shared" si="163"/>
        <v>96</v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>
        <v>15</v>
      </c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80"/>
      <c r="AG166" s="87">
        <f t="shared" si="117"/>
        <v>0</v>
      </c>
      <c r="AH166" s="87">
        <f t="shared" si="118"/>
        <v>0</v>
      </c>
      <c r="AI166" s="87">
        <f t="shared" si="119"/>
        <v>0</v>
      </c>
      <c r="AJ166" s="87">
        <f t="shared" si="120"/>
        <v>0</v>
      </c>
      <c r="AK166" s="87">
        <f t="shared" si="121"/>
        <v>0</v>
      </c>
      <c r="AL166" s="87">
        <f t="shared" si="122"/>
        <v>0</v>
      </c>
      <c r="AM166" s="87">
        <f t="shared" si="123"/>
        <v>0</v>
      </c>
      <c r="AN166" s="87">
        <f t="shared" si="124"/>
        <v>0</v>
      </c>
      <c r="AO166" s="87">
        <f t="shared" si="125"/>
        <v>0</v>
      </c>
      <c r="AP166" s="87">
        <f t="shared" si="126"/>
        <v>0</v>
      </c>
      <c r="AQ166" s="87">
        <f t="shared" si="127"/>
        <v>15</v>
      </c>
      <c r="AR166" s="81"/>
      <c r="AS166" s="85">
        <f t="shared" si="128"/>
        <v>0</v>
      </c>
      <c r="AT166" s="85">
        <f t="shared" si="129"/>
        <v>0</v>
      </c>
      <c r="AU166" s="85">
        <f t="shared" si="130"/>
        <v>0</v>
      </c>
      <c r="AV166" s="85">
        <f t="shared" si="131"/>
        <v>0</v>
      </c>
      <c r="AW166" s="85">
        <f t="shared" si="132"/>
        <v>0</v>
      </c>
      <c r="AX166" s="85">
        <f t="shared" si="133"/>
        <v>0</v>
      </c>
      <c r="AY166" s="85">
        <f t="shared" si="134"/>
        <v>0</v>
      </c>
      <c r="AZ166" s="85">
        <f t="shared" si="135"/>
        <v>0</v>
      </c>
      <c r="BA166" s="85">
        <f t="shared" si="136"/>
        <v>0</v>
      </c>
      <c r="BB166" s="85">
        <f t="shared" si="137"/>
        <v>0</v>
      </c>
      <c r="BC166" s="85">
        <f t="shared" si="138"/>
        <v>0</v>
      </c>
      <c r="BD166" s="85">
        <f t="shared" si="139"/>
        <v>0</v>
      </c>
      <c r="BE166" s="85">
        <f t="shared" si="140"/>
        <v>0</v>
      </c>
      <c r="BF166" s="85">
        <f t="shared" si="141"/>
        <v>0</v>
      </c>
      <c r="BG166" s="85">
        <f t="shared" si="142"/>
        <v>0</v>
      </c>
      <c r="BH166" s="85">
        <f t="shared" si="143"/>
        <v>0</v>
      </c>
      <c r="BI166" s="85">
        <f t="shared" si="144"/>
        <v>0</v>
      </c>
      <c r="BJ166" s="85">
        <f t="shared" si="145"/>
        <v>0</v>
      </c>
      <c r="BK166" s="85">
        <f t="shared" si="146"/>
        <v>0</v>
      </c>
      <c r="BL166" s="85">
        <f t="shared" si="147"/>
        <v>0</v>
      </c>
      <c r="BM166" s="85">
        <f t="shared" si="148"/>
        <v>0</v>
      </c>
      <c r="BN166" s="85">
        <f t="shared" si="149"/>
        <v>0</v>
      </c>
      <c r="BO166" s="85">
        <f t="shared" si="150"/>
        <v>0</v>
      </c>
      <c r="BP166" s="85">
        <f t="shared" si="151"/>
        <v>0</v>
      </c>
      <c r="BQ166" s="85">
        <f t="shared" si="152"/>
        <v>0</v>
      </c>
      <c r="BR166" s="85">
        <f t="shared" si="153"/>
        <v>0</v>
      </c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X166" s="35" t="s">
        <v>12</v>
      </c>
      <c r="CZ166" s="35"/>
      <c r="DC166" s="57" t="str">
        <f t="shared" si="154"/>
        <v/>
      </c>
      <c r="DD166" s="64" t="str">
        <f t="shared" si="155"/>
        <v/>
      </c>
      <c r="DE166" s="65" t="str">
        <f t="shared" si="156"/>
        <v/>
      </c>
      <c r="DF166" s="66" t="str">
        <f t="shared" si="157"/>
        <v/>
      </c>
    </row>
    <row r="167" spans="2:110" hidden="1" outlineLevel="1">
      <c r="B167" s="54">
        <f t="shared" si="158"/>
        <v>44221</v>
      </c>
      <c r="C167" s="55" t="s">
        <v>1</v>
      </c>
      <c r="D167" s="56">
        <f t="shared" si="159"/>
        <v>44227</v>
      </c>
      <c r="E167" s="52">
        <f t="shared" si="160"/>
        <v>1</v>
      </c>
      <c r="F167" s="53">
        <f t="shared" si="161"/>
        <v>2021</v>
      </c>
      <c r="G167" s="62">
        <f t="shared" si="162"/>
        <v>15</v>
      </c>
      <c r="H167" s="63">
        <f t="shared" si="163"/>
        <v>96</v>
      </c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>
        <v>15</v>
      </c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80"/>
      <c r="AG167" s="87">
        <f t="shared" si="117"/>
        <v>0</v>
      </c>
      <c r="AH167" s="87">
        <f t="shared" si="118"/>
        <v>0</v>
      </c>
      <c r="AI167" s="87">
        <f t="shared" si="119"/>
        <v>0</v>
      </c>
      <c r="AJ167" s="87">
        <f t="shared" si="120"/>
        <v>0</v>
      </c>
      <c r="AK167" s="87">
        <f t="shared" si="121"/>
        <v>0</v>
      </c>
      <c r="AL167" s="87">
        <f t="shared" si="122"/>
        <v>0</v>
      </c>
      <c r="AM167" s="87">
        <f t="shared" si="123"/>
        <v>0</v>
      </c>
      <c r="AN167" s="87">
        <f t="shared" si="124"/>
        <v>0</v>
      </c>
      <c r="AO167" s="87">
        <f t="shared" si="125"/>
        <v>0</v>
      </c>
      <c r="AP167" s="87">
        <f t="shared" si="126"/>
        <v>0</v>
      </c>
      <c r="AQ167" s="87">
        <f t="shared" si="127"/>
        <v>15</v>
      </c>
      <c r="AR167" s="81"/>
      <c r="AS167" s="85">
        <f t="shared" si="128"/>
        <v>0</v>
      </c>
      <c r="AT167" s="85">
        <f t="shared" si="129"/>
        <v>0</v>
      </c>
      <c r="AU167" s="85">
        <f t="shared" si="130"/>
        <v>0</v>
      </c>
      <c r="AV167" s="85">
        <f t="shared" si="131"/>
        <v>0</v>
      </c>
      <c r="AW167" s="85">
        <f t="shared" si="132"/>
        <v>0</v>
      </c>
      <c r="AX167" s="85">
        <f t="shared" si="133"/>
        <v>0</v>
      </c>
      <c r="AY167" s="85">
        <f t="shared" si="134"/>
        <v>0</v>
      </c>
      <c r="AZ167" s="85">
        <f t="shared" si="135"/>
        <v>0</v>
      </c>
      <c r="BA167" s="85">
        <f t="shared" si="136"/>
        <v>0</v>
      </c>
      <c r="BB167" s="85">
        <f t="shared" si="137"/>
        <v>0</v>
      </c>
      <c r="BC167" s="85">
        <f t="shared" si="138"/>
        <v>0</v>
      </c>
      <c r="BD167" s="85">
        <f t="shared" si="139"/>
        <v>0</v>
      </c>
      <c r="BE167" s="85">
        <f t="shared" si="140"/>
        <v>0</v>
      </c>
      <c r="BF167" s="85">
        <f t="shared" si="141"/>
        <v>0</v>
      </c>
      <c r="BG167" s="85">
        <f t="shared" si="142"/>
        <v>0</v>
      </c>
      <c r="BH167" s="85">
        <f t="shared" si="143"/>
        <v>0</v>
      </c>
      <c r="BI167" s="85">
        <f t="shared" si="144"/>
        <v>0</v>
      </c>
      <c r="BJ167" s="85">
        <f t="shared" si="145"/>
        <v>0</v>
      </c>
      <c r="BK167" s="85">
        <f t="shared" si="146"/>
        <v>0</v>
      </c>
      <c r="BL167" s="85">
        <f t="shared" si="147"/>
        <v>0</v>
      </c>
      <c r="BM167" s="85">
        <f t="shared" si="148"/>
        <v>0</v>
      </c>
      <c r="BN167" s="85">
        <f t="shared" si="149"/>
        <v>0</v>
      </c>
      <c r="BO167" s="85">
        <f t="shared" si="150"/>
        <v>0</v>
      </c>
      <c r="BP167" s="85">
        <f t="shared" si="151"/>
        <v>0</v>
      </c>
      <c r="BQ167" s="85">
        <f t="shared" si="152"/>
        <v>0</v>
      </c>
      <c r="BR167" s="85">
        <f t="shared" si="153"/>
        <v>0</v>
      </c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X167" s="35" t="s">
        <v>12</v>
      </c>
      <c r="CZ167" s="35"/>
      <c r="DC167" s="57" t="str">
        <f t="shared" si="154"/>
        <v/>
      </c>
      <c r="DD167" s="64" t="str">
        <f t="shared" si="155"/>
        <v/>
      </c>
      <c r="DE167" s="65" t="str">
        <f t="shared" si="156"/>
        <v/>
      </c>
      <c r="DF167" s="66" t="str">
        <f t="shared" si="157"/>
        <v/>
      </c>
    </row>
    <row r="168" spans="2:110" hidden="1" outlineLevel="1">
      <c r="B168" s="54">
        <f t="shared" si="158"/>
        <v>44228</v>
      </c>
      <c r="C168" s="55" t="s">
        <v>1</v>
      </c>
      <c r="D168" s="56">
        <f t="shared" si="159"/>
        <v>44234</v>
      </c>
      <c r="E168" s="52">
        <f t="shared" si="160"/>
        <v>2</v>
      </c>
      <c r="F168" s="53">
        <f t="shared" si="161"/>
        <v>2021</v>
      </c>
      <c r="G168" s="62">
        <f t="shared" si="162"/>
        <v>15</v>
      </c>
      <c r="H168" s="63">
        <f t="shared" si="163"/>
        <v>96</v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>
        <v>15</v>
      </c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80"/>
      <c r="AG168" s="87">
        <f t="shared" si="117"/>
        <v>0</v>
      </c>
      <c r="AH168" s="87">
        <f t="shared" si="118"/>
        <v>0</v>
      </c>
      <c r="AI168" s="87">
        <f t="shared" si="119"/>
        <v>0</v>
      </c>
      <c r="AJ168" s="87">
        <f t="shared" si="120"/>
        <v>0</v>
      </c>
      <c r="AK168" s="87">
        <f t="shared" si="121"/>
        <v>0</v>
      </c>
      <c r="AL168" s="87">
        <f t="shared" si="122"/>
        <v>0</v>
      </c>
      <c r="AM168" s="87">
        <f t="shared" si="123"/>
        <v>0</v>
      </c>
      <c r="AN168" s="87">
        <f t="shared" si="124"/>
        <v>0</v>
      </c>
      <c r="AO168" s="87">
        <f t="shared" si="125"/>
        <v>0</v>
      </c>
      <c r="AP168" s="87">
        <f t="shared" si="126"/>
        <v>0</v>
      </c>
      <c r="AQ168" s="87">
        <f t="shared" si="127"/>
        <v>15</v>
      </c>
      <c r="AR168" s="81"/>
      <c r="AS168" s="85">
        <f t="shared" si="128"/>
        <v>0</v>
      </c>
      <c r="AT168" s="85">
        <f t="shared" si="129"/>
        <v>0</v>
      </c>
      <c r="AU168" s="85">
        <f t="shared" si="130"/>
        <v>0</v>
      </c>
      <c r="AV168" s="85">
        <f t="shared" si="131"/>
        <v>0</v>
      </c>
      <c r="AW168" s="85">
        <f t="shared" si="132"/>
        <v>0</v>
      </c>
      <c r="AX168" s="85">
        <f t="shared" si="133"/>
        <v>0</v>
      </c>
      <c r="AY168" s="85">
        <f t="shared" si="134"/>
        <v>0</v>
      </c>
      <c r="AZ168" s="85">
        <f t="shared" si="135"/>
        <v>0</v>
      </c>
      <c r="BA168" s="85">
        <f t="shared" si="136"/>
        <v>0</v>
      </c>
      <c r="BB168" s="85">
        <f t="shared" si="137"/>
        <v>0</v>
      </c>
      <c r="BC168" s="85">
        <f t="shared" si="138"/>
        <v>0</v>
      </c>
      <c r="BD168" s="85">
        <f t="shared" si="139"/>
        <v>0</v>
      </c>
      <c r="BE168" s="85">
        <f t="shared" si="140"/>
        <v>0</v>
      </c>
      <c r="BF168" s="85">
        <f t="shared" si="141"/>
        <v>0</v>
      </c>
      <c r="BG168" s="85">
        <f t="shared" si="142"/>
        <v>0</v>
      </c>
      <c r="BH168" s="85">
        <f t="shared" si="143"/>
        <v>0</v>
      </c>
      <c r="BI168" s="85">
        <f t="shared" si="144"/>
        <v>0</v>
      </c>
      <c r="BJ168" s="85">
        <f t="shared" si="145"/>
        <v>0</v>
      </c>
      <c r="BK168" s="85">
        <f t="shared" si="146"/>
        <v>0</v>
      </c>
      <c r="BL168" s="85">
        <f t="shared" si="147"/>
        <v>0</v>
      </c>
      <c r="BM168" s="85">
        <f t="shared" si="148"/>
        <v>0</v>
      </c>
      <c r="BN168" s="85">
        <f t="shared" si="149"/>
        <v>0</v>
      </c>
      <c r="BO168" s="85">
        <f t="shared" si="150"/>
        <v>0</v>
      </c>
      <c r="BP168" s="85">
        <f t="shared" si="151"/>
        <v>0</v>
      </c>
      <c r="BQ168" s="85">
        <f t="shared" si="152"/>
        <v>0</v>
      </c>
      <c r="BR168" s="85">
        <f t="shared" si="153"/>
        <v>0</v>
      </c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3"/>
      <c r="CO168" s="63"/>
      <c r="CP168" s="63"/>
      <c r="CQ168" s="63"/>
      <c r="CR168" s="63"/>
      <c r="CS168" s="63"/>
      <c r="CW168">
        <v>2</v>
      </c>
      <c r="CX168" s="35">
        <v>44228</v>
      </c>
      <c r="CZ168" s="35">
        <f>B185</f>
        <v>44347</v>
      </c>
      <c r="DA168">
        <v>95</v>
      </c>
      <c r="DC168" s="57" t="str">
        <f t="shared" si="154"/>
        <v/>
      </c>
      <c r="DD168" s="64" t="str">
        <f t="shared" si="155"/>
        <v/>
      </c>
      <c r="DE168" s="65" t="str">
        <f t="shared" si="156"/>
        <v/>
      </c>
      <c r="DF168" s="66" t="str">
        <f t="shared" si="157"/>
        <v/>
      </c>
    </row>
    <row r="169" spans="2:110" hidden="1" outlineLevel="1">
      <c r="B169" s="54">
        <f t="shared" si="158"/>
        <v>44235</v>
      </c>
      <c r="C169" s="55" t="s">
        <v>1</v>
      </c>
      <c r="D169" s="56">
        <f t="shared" si="159"/>
        <v>44241</v>
      </c>
      <c r="E169" s="52">
        <f t="shared" si="160"/>
        <v>2</v>
      </c>
      <c r="F169" s="53">
        <f t="shared" si="161"/>
        <v>2021</v>
      </c>
      <c r="G169" s="62">
        <f t="shared" si="162"/>
        <v>15</v>
      </c>
      <c r="H169" s="63">
        <f t="shared" si="163"/>
        <v>96</v>
      </c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>
        <v>15</v>
      </c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80"/>
      <c r="AG169" s="87">
        <f t="shared" si="117"/>
        <v>0</v>
      </c>
      <c r="AH169" s="87">
        <f t="shared" si="118"/>
        <v>0</v>
      </c>
      <c r="AI169" s="87">
        <f t="shared" si="119"/>
        <v>0</v>
      </c>
      <c r="AJ169" s="87">
        <f t="shared" si="120"/>
        <v>0</v>
      </c>
      <c r="AK169" s="87">
        <f t="shared" si="121"/>
        <v>0</v>
      </c>
      <c r="AL169" s="87">
        <f t="shared" si="122"/>
        <v>0</v>
      </c>
      <c r="AM169" s="87">
        <f t="shared" si="123"/>
        <v>0</v>
      </c>
      <c r="AN169" s="87">
        <f t="shared" si="124"/>
        <v>0</v>
      </c>
      <c r="AO169" s="87">
        <f t="shared" si="125"/>
        <v>0</v>
      </c>
      <c r="AP169" s="87">
        <f t="shared" si="126"/>
        <v>0</v>
      </c>
      <c r="AQ169" s="87">
        <f t="shared" si="127"/>
        <v>15</v>
      </c>
      <c r="AR169" s="81"/>
      <c r="AS169" s="85">
        <f t="shared" si="128"/>
        <v>0</v>
      </c>
      <c r="AT169" s="85">
        <f t="shared" si="129"/>
        <v>0</v>
      </c>
      <c r="AU169" s="85">
        <f t="shared" si="130"/>
        <v>0</v>
      </c>
      <c r="AV169" s="85">
        <f t="shared" si="131"/>
        <v>0</v>
      </c>
      <c r="AW169" s="85">
        <f t="shared" si="132"/>
        <v>0</v>
      </c>
      <c r="AX169" s="85">
        <f t="shared" si="133"/>
        <v>0</v>
      </c>
      <c r="AY169" s="85">
        <f t="shared" si="134"/>
        <v>0</v>
      </c>
      <c r="AZ169" s="85">
        <f t="shared" si="135"/>
        <v>0</v>
      </c>
      <c r="BA169" s="85">
        <f t="shared" si="136"/>
        <v>0</v>
      </c>
      <c r="BB169" s="85">
        <f t="shared" si="137"/>
        <v>0</v>
      </c>
      <c r="BC169" s="85">
        <f t="shared" si="138"/>
        <v>0</v>
      </c>
      <c r="BD169" s="85">
        <f t="shared" si="139"/>
        <v>0</v>
      </c>
      <c r="BE169" s="85">
        <f t="shared" si="140"/>
        <v>0</v>
      </c>
      <c r="BF169" s="85">
        <f t="shared" si="141"/>
        <v>0</v>
      </c>
      <c r="BG169" s="85">
        <f t="shared" si="142"/>
        <v>0</v>
      </c>
      <c r="BH169" s="85">
        <f t="shared" si="143"/>
        <v>0</v>
      </c>
      <c r="BI169" s="85">
        <f t="shared" si="144"/>
        <v>0</v>
      </c>
      <c r="BJ169" s="85">
        <f t="shared" si="145"/>
        <v>0</v>
      </c>
      <c r="BK169" s="85">
        <f t="shared" si="146"/>
        <v>0</v>
      </c>
      <c r="BL169" s="85">
        <f t="shared" si="147"/>
        <v>0</v>
      </c>
      <c r="BM169" s="85">
        <f t="shared" si="148"/>
        <v>0</v>
      </c>
      <c r="BN169" s="85">
        <f t="shared" si="149"/>
        <v>0</v>
      </c>
      <c r="BO169" s="85">
        <f t="shared" si="150"/>
        <v>0</v>
      </c>
      <c r="BP169" s="85">
        <f t="shared" si="151"/>
        <v>0</v>
      </c>
      <c r="BQ169" s="85">
        <f t="shared" si="152"/>
        <v>0</v>
      </c>
      <c r="BR169" s="85">
        <f t="shared" si="153"/>
        <v>0</v>
      </c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3"/>
      <c r="CO169" s="63"/>
      <c r="CP169" s="63"/>
      <c r="CQ169" s="63"/>
      <c r="CR169" s="63"/>
      <c r="CS169" s="63"/>
      <c r="CX169" s="35" t="s">
        <v>12</v>
      </c>
      <c r="CZ169" s="35"/>
      <c r="DC169" s="57" t="str">
        <f t="shared" si="154"/>
        <v/>
      </c>
      <c r="DD169" s="64" t="str">
        <f t="shared" si="155"/>
        <v/>
      </c>
      <c r="DE169" s="65" t="str">
        <f t="shared" si="156"/>
        <v/>
      </c>
      <c r="DF169" s="66" t="str">
        <f t="shared" si="157"/>
        <v/>
      </c>
    </row>
    <row r="170" spans="2:110" hidden="1" outlineLevel="1">
      <c r="B170" s="54">
        <f t="shared" si="158"/>
        <v>44242</v>
      </c>
      <c r="C170" s="55" t="s">
        <v>1</v>
      </c>
      <c r="D170" s="56">
        <f t="shared" si="159"/>
        <v>44248</v>
      </c>
      <c r="E170" s="52">
        <f t="shared" si="160"/>
        <v>2</v>
      </c>
      <c r="F170" s="53">
        <f t="shared" si="161"/>
        <v>2021</v>
      </c>
      <c r="G170" s="62">
        <f t="shared" si="162"/>
        <v>15</v>
      </c>
      <c r="H170" s="63">
        <f t="shared" si="163"/>
        <v>96</v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>
        <v>15</v>
      </c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80"/>
      <c r="AG170" s="87">
        <f t="shared" si="117"/>
        <v>0</v>
      </c>
      <c r="AH170" s="87">
        <f t="shared" si="118"/>
        <v>0</v>
      </c>
      <c r="AI170" s="87">
        <f t="shared" si="119"/>
        <v>0</v>
      </c>
      <c r="AJ170" s="87">
        <f t="shared" si="120"/>
        <v>0</v>
      </c>
      <c r="AK170" s="87">
        <f t="shared" si="121"/>
        <v>0</v>
      </c>
      <c r="AL170" s="87">
        <f t="shared" si="122"/>
        <v>0</v>
      </c>
      <c r="AM170" s="87">
        <f t="shared" si="123"/>
        <v>0</v>
      </c>
      <c r="AN170" s="87">
        <f t="shared" si="124"/>
        <v>0</v>
      </c>
      <c r="AO170" s="87">
        <f t="shared" si="125"/>
        <v>0</v>
      </c>
      <c r="AP170" s="87">
        <f t="shared" si="126"/>
        <v>0</v>
      </c>
      <c r="AQ170" s="87">
        <f t="shared" si="127"/>
        <v>15</v>
      </c>
      <c r="AR170" s="81"/>
      <c r="AS170" s="85">
        <f t="shared" si="128"/>
        <v>0</v>
      </c>
      <c r="AT170" s="85">
        <f t="shared" si="129"/>
        <v>0</v>
      </c>
      <c r="AU170" s="85">
        <f t="shared" si="130"/>
        <v>0</v>
      </c>
      <c r="AV170" s="85">
        <f t="shared" si="131"/>
        <v>0</v>
      </c>
      <c r="AW170" s="85">
        <f t="shared" si="132"/>
        <v>0</v>
      </c>
      <c r="AX170" s="85">
        <f t="shared" si="133"/>
        <v>0</v>
      </c>
      <c r="AY170" s="85">
        <f t="shared" si="134"/>
        <v>0</v>
      </c>
      <c r="AZ170" s="85">
        <f t="shared" si="135"/>
        <v>0</v>
      </c>
      <c r="BA170" s="85">
        <f t="shared" si="136"/>
        <v>0</v>
      </c>
      <c r="BB170" s="85">
        <f t="shared" si="137"/>
        <v>0</v>
      </c>
      <c r="BC170" s="85">
        <f t="shared" si="138"/>
        <v>0</v>
      </c>
      <c r="BD170" s="85">
        <f t="shared" si="139"/>
        <v>0</v>
      </c>
      <c r="BE170" s="85">
        <f t="shared" si="140"/>
        <v>0</v>
      </c>
      <c r="BF170" s="85">
        <f t="shared" si="141"/>
        <v>0</v>
      </c>
      <c r="BG170" s="85">
        <f t="shared" si="142"/>
        <v>0</v>
      </c>
      <c r="BH170" s="85">
        <f t="shared" si="143"/>
        <v>0</v>
      </c>
      <c r="BI170" s="85">
        <f t="shared" si="144"/>
        <v>0</v>
      </c>
      <c r="BJ170" s="85">
        <f t="shared" si="145"/>
        <v>0</v>
      </c>
      <c r="BK170" s="85">
        <f t="shared" si="146"/>
        <v>0</v>
      </c>
      <c r="BL170" s="85">
        <f t="shared" si="147"/>
        <v>0</v>
      </c>
      <c r="BM170" s="85">
        <f t="shared" si="148"/>
        <v>0</v>
      </c>
      <c r="BN170" s="85">
        <f t="shared" si="149"/>
        <v>0</v>
      </c>
      <c r="BO170" s="85">
        <f t="shared" si="150"/>
        <v>0</v>
      </c>
      <c r="BP170" s="85">
        <f t="shared" si="151"/>
        <v>0</v>
      </c>
      <c r="BQ170" s="85">
        <f t="shared" si="152"/>
        <v>0</v>
      </c>
      <c r="BR170" s="85">
        <f t="shared" si="153"/>
        <v>0</v>
      </c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3"/>
      <c r="CO170" s="63"/>
      <c r="CP170" s="63"/>
      <c r="CQ170" s="63"/>
      <c r="CR170" s="63"/>
      <c r="CS170" s="63"/>
      <c r="CX170" s="35" t="s">
        <v>12</v>
      </c>
      <c r="CZ170" s="35"/>
      <c r="DC170" s="57" t="str">
        <f t="shared" si="154"/>
        <v/>
      </c>
      <c r="DD170" s="64" t="str">
        <f t="shared" si="155"/>
        <v/>
      </c>
      <c r="DE170" s="65" t="str">
        <f t="shared" si="156"/>
        <v/>
      </c>
      <c r="DF170" s="66" t="str">
        <f t="shared" si="157"/>
        <v/>
      </c>
    </row>
    <row r="171" spans="2:110" hidden="1" outlineLevel="1">
      <c r="B171" s="54">
        <f t="shared" si="158"/>
        <v>44249</v>
      </c>
      <c r="C171" s="55" t="s">
        <v>1</v>
      </c>
      <c r="D171" s="56">
        <f t="shared" si="159"/>
        <v>44255</v>
      </c>
      <c r="E171" s="52">
        <f t="shared" si="160"/>
        <v>2</v>
      </c>
      <c r="F171" s="53">
        <f t="shared" si="161"/>
        <v>2021</v>
      </c>
      <c r="G171" s="62">
        <f t="shared" si="162"/>
        <v>15</v>
      </c>
      <c r="H171" s="63">
        <f t="shared" si="163"/>
        <v>96</v>
      </c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>
        <v>15</v>
      </c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80"/>
      <c r="AG171" s="87">
        <f t="shared" si="117"/>
        <v>0</v>
      </c>
      <c r="AH171" s="87">
        <f t="shared" si="118"/>
        <v>0</v>
      </c>
      <c r="AI171" s="87">
        <f t="shared" si="119"/>
        <v>0</v>
      </c>
      <c r="AJ171" s="87">
        <f t="shared" si="120"/>
        <v>0</v>
      </c>
      <c r="AK171" s="87">
        <f t="shared" si="121"/>
        <v>0</v>
      </c>
      <c r="AL171" s="87">
        <f t="shared" si="122"/>
        <v>0</v>
      </c>
      <c r="AM171" s="87">
        <f t="shared" si="123"/>
        <v>0</v>
      </c>
      <c r="AN171" s="87">
        <f t="shared" si="124"/>
        <v>0</v>
      </c>
      <c r="AO171" s="87">
        <f t="shared" si="125"/>
        <v>0</v>
      </c>
      <c r="AP171" s="87">
        <f t="shared" si="126"/>
        <v>0</v>
      </c>
      <c r="AQ171" s="87">
        <f t="shared" si="127"/>
        <v>15</v>
      </c>
      <c r="AR171" s="81"/>
      <c r="AS171" s="85">
        <f t="shared" si="128"/>
        <v>0</v>
      </c>
      <c r="AT171" s="85">
        <f t="shared" si="129"/>
        <v>0</v>
      </c>
      <c r="AU171" s="85">
        <f t="shared" si="130"/>
        <v>0</v>
      </c>
      <c r="AV171" s="85">
        <f t="shared" si="131"/>
        <v>0</v>
      </c>
      <c r="AW171" s="85">
        <f t="shared" si="132"/>
        <v>0</v>
      </c>
      <c r="AX171" s="85">
        <f t="shared" si="133"/>
        <v>0</v>
      </c>
      <c r="AY171" s="85">
        <f t="shared" si="134"/>
        <v>0</v>
      </c>
      <c r="AZ171" s="85">
        <f t="shared" si="135"/>
        <v>0</v>
      </c>
      <c r="BA171" s="85">
        <f t="shared" si="136"/>
        <v>0</v>
      </c>
      <c r="BB171" s="85">
        <f t="shared" si="137"/>
        <v>0</v>
      </c>
      <c r="BC171" s="85">
        <f t="shared" si="138"/>
        <v>0</v>
      </c>
      <c r="BD171" s="85">
        <f t="shared" si="139"/>
        <v>0</v>
      </c>
      <c r="BE171" s="85">
        <f t="shared" si="140"/>
        <v>0</v>
      </c>
      <c r="BF171" s="85">
        <f t="shared" si="141"/>
        <v>0</v>
      </c>
      <c r="BG171" s="85">
        <f t="shared" si="142"/>
        <v>0</v>
      </c>
      <c r="BH171" s="85">
        <f t="shared" si="143"/>
        <v>0</v>
      </c>
      <c r="BI171" s="85">
        <f t="shared" si="144"/>
        <v>0</v>
      </c>
      <c r="BJ171" s="85">
        <f t="shared" si="145"/>
        <v>0</v>
      </c>
      <c r="BK171" s="85">
        <f t="shared" si="146"/>
        <v>0</v>
      </c>
      <c r="BL171" s="85">
        <f t="shared" si="147"/>
        <v>0</v>
      </c>
      <c r="BM171" s="85">
        <f t="shared" si="148"/>
        <v>0</v>
      </c>
      <c r="BN171" s="85">
        <f t="shared" si="149"/>
        <v>0</v>
      </c>
      <c r="BO171" s="85">
        <f t="shared" si="150"/>
        <v>0</v>
      </c>
      <c r="BP171" s="85">
        <f t="shared" si="151"/>
        <v>0</v>
      </c>
      <c r="BQ171" s="85">
        <f t="shared" si="152"/>
        <v>0</v>
      </c>
      <c r="BR171" s="85">
        <f t="shared" si="153"/>
        <v>0</v>
      </c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3"/>
      <c r="CM171" s="63"/>
      <c r="CN171" s="63"/>
      <c r="CO171" s="63"/>
      <c r="CP171" s="63"/>
      <c r="CQ171" s="63"/>
      <c r="CR171" s="63"/>
      <c r="CS171" s="63"/>
      <c r="CX171" s="35" t="s">
        <v>12</v>
      </c>
      <c r="CZ171" s="35"/>
      <c r="DC171" s="57" t="str">
        <f t="shared" si="154"/>
        <v/>
      </c>
      <c r="DD171" s="64" t="str">
        <f t="shared" si="155"/>
        <v/>
      </c>
      <c r="DE171" s="65" t="str">
        <f t="shared" si="156"/>
        <v/>
      </c>
      <c r="DF171" s="66" t="str">
        <f t="shared" si="157"/>
        <v/>
      </c>
    </row>
    <row r="172" spans="2:110" hidden="1" outlineLevel="1">
      <c r="B172" s="54">
        <f t="shared" si="158"/>
        <v>44256</v>
      </c>
      <c r="C172" s="55" t="s">
        <v>1</v>
      </c>
      <c r="D172" s="56">
        <f t="shared" si="159"/>
        <v>44262</v>
      </c>
      <c r="E172" s="52">
        <f t="shared" si="160"/>
        <v>3</v>
      </c>
      <c r="F172" s="53">
        <f t="shared" si="161"/>
        <v>2021</v>
      </c>
      <c r="G172" s="62">
        <f t="shared" si="162"/>
        <v>15</v>
      </c>
      <c r="H172" s="63">
        <f t="shared" si="163"/>
        <v>96</v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>
        <v>15</v>
      </c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80"/>
      <c r="AG172" s="87">
        <f t="shared" si="117"/>
        <v>0</v>
      </c>
      <c r="AH172" s="87">
        <f t="shared" si="118"/>
        <v>0</v>
      </c>
      <c r="AI172" s="87">
        <f t="shared" si="119"/>
        <v>0</v>
      </c>
      <c r="AJ172" s="87">
        <f t="shared" si="120"/>
        <v>0</v>
      </c>
      <c r="AK172" s="87">
        <f t="shared" si="121"/>
        <v>0</v>
      </c>
      <c r="AL172" s="87">
        <f t="shared" si="122"/>
        <v>0</v>
      </c>
      <c r="AM172" s="87">
        <f t="shared" si="123"/>
        <v>0</v>
      </c>
      <c r="AN172" s="87">
        <f t="shared" si="124"/>
        <v>0</v>
      </c>
      <c r="AO172" s="87">
        <f t="shared" si="125"/>
        <v>0</v>
      </c>
      <c r="AP172" s="87">
        <f t="shared" si="126"/>
        <v>0</v>
      </c>
      <c r="AQ172" s="87">
        <f t="shared" si="127"/>
        <v>15</v>
      </c>
      <c r="AR172" s="81"/>
      <c r="AS172" s="85">
        <f t="shared" si="128"/>
        <v>0</v>
      </c>
      <c r="AT172" s="85">
        <f t="shared" si="129"/>
        <v>0</v>
      </c>
      <c r="AU172" s="85">
        <f t="shared" si="130"/>
        <v>0</v>
      </c>
      <c r="AV172" s="85">
        <f t="shared" si="131"/>
        <v>0</v>
      </c>
      <c r="AW172" s="85">
        <f t="shared" si="132"/>
        <v>0</v>
      </c>
      <c r="AX172" s="85">
        <f t="shared" si="133"/>
        <v>0</v>
      </c>
      <c r="AY172" s="85">
        <f t="shared" si="134"/>
        <v>0</v>
      </c>
      <c r="AZ172" s="85">
        <f t="shared" si="135"/>
        <v>0</v>
      </c>
      <c r="BA172" s="85">
        <f t="shared" si="136"/>
        <v>0</v>
      </c>
      <c r="BB172" s="85">
        <f t="shared" si="137"/>
        <v>0</v>
      </c>
      <c r="BC172" s="85">
        <f t="shared" si="138"/>
        <v>0</v>
      </c>
      <c r="BD172" s="85">
        <f t="shared" si="139"/>
        <v>0</v>
      </c>
      <c r="BE172" s="85">
        <f t="shared" si="140"/>
        <v>0</v>
      </c>
      <c r="BF172" s="85">
        <f t="shared" si="141"/>
        <v>0</v>
      </c>
      <c r="BG172" s="85">
        <f t="shared" si="142"/>
        <v>0</v>
      </c>
      <c r="BH172" s="85">
        <f t="shared" si="143"/>
        <v>0</v>
      </c>
      <c r="BI172" s="85">
        <f t="shared" si="144"/>
        <v>0</v>
      </c>
      <c r="BJ172" s="85">
        <f t="shared" si="145"/>
        <v>0</v>
      </c>
      <c r="BK172" s="85">
        <f t="shared" si="146"/>
        <v>0</v>
      </c>
      <c r="BL172" s="85">
        <f t="shared" si="147"/>
        <v>0</v>
      </c>
      <c r="BM172" s="85">
        <f t="shared" si="148"/>
        <v>0</v>
      </c>
      <c r="BN172" s="85">
        <f t="shared" si="149"/>
        <v>0</v>
      </c>
      <c r="BO172" s="85">
        <f t="shared" si="150"/>
        <v>0</v>
      </c>
      <c r="BP172" s="85">
        <f t="shared" si="151"/>
        <v>0</v>
      </c>
      <c r="BQ172" s="85">
        <f t="shared" si="152"/>
        <v>0</v>
      </c>
      <c r="BR172" s="85">
        <f t="shared" si="153"/>
        <v>0</v>
      </c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3"/>
      <c r="CO172" s="63"/>
      <c r="CP172" s="63"/>
      <c r="CQ172" s="63"/>
      <c r="CR172" s="63"/>
      <c r="CS172" s="63"/>
      <c r="CW172">
        <v>13</v>
      </c>
      <c r="CX172" s="35">
        <v>44256</v>
      </c>
      <c r="CZ172" s="35">
        <f>B189</f>
        <v>44375</v>
      </c>
      <c r="DA172">
        <v>98</v>
      </c>
      <c r="DC172" s="57" t="str">
        <f t="shared" si="154"/>
        <v/>
      </c>
      <c r="DD172" s="64" t="str">
        <f t="shared" si="155"/>
        <v/>
      </c>
      <c r="DE172" s="65" t="str">
        <f t="shared" si="156"/>
        <v/>
      </c>
      <c r="DF172" s="66" t="str">
        <f t="shared" si="157"/>
        <v/>
      </c>
    </row>
    <row r="173" spans="2:110" hidden="1" outlineLevel="1">
      <c r="B173" s="54">
        <f t="shared" si="158"/>
        <v>44263</v>
      </c>
      <c r="C173" s="55" t="s">
        <v>1</v>
      </c>
      <c r="D173" s="56">
        <f t="shared" si="159"/>
        <v>44269</v>
      </c>
      <c r="E173" s="52">
        <f t="shared" si="160"/>
        <v>3</v>
      </c>
      <c r="F173" s="53">
        <f t="shared" si="161"/>
        <v>2021</v>
      </c>
      <c r="G173" s="62">
        <f t="shared" si="162"/>
        <v>15</v>
      </c>
      <c r="H173" s="63">
        <f t="shared" si="163"/>
        <v>96</v>
      </c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>
        <v>15</v>
      </c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80"/>
      <c r="AG173" s="87">
        <f t="shared" si="117"/>
        <v>0</v>
      </c>
      <c r="AH173" s="87">
        <f t="shared" si="118"/>
        <v>0</v>
      </c>
      <c r="AI173" s="87">
        <f t="shared" si="119"/>
        <v>0</v>
      </c>
      <c r="AJ173" s="87">
        <f t="shared" si="120"/>
        <v>0</v>
      </c>
      <c r="AK173" s="87">
        <f t="shared" si="121"/>
        <v>0</v>
      </c>
      <c r="AL173" s="87">
        <f t="shared" si="122"/>
        <v>0</v>
      </c>
      <c r="AM173" s="87">
        <f t="shared" si="123"/>
        <v>0</v>
      </c>
      <c r="AN173" s="87">
        <f t="shared" si="124"/>
        <v>0</v>
      </c>
      <c r="AO173" s="87">
        <f t="shared" si="125"/>
        <v>0</v>
      </c>
      <c r="AP173" s="87">
        <f t="shared" si="126"/>
        <v>0</v>
      </c>
      <c r="AQ173" s="87">
        <f t="shared" si="127"/>
        <v>15</v>
      </c>
      <c r="AR173" s="81"/>
      <c r="AS173" s="85">
        <f t="shared" si="128"/>
        <v>0</v>
      </c>
      <c r="AT173" s="85">
        <f t="shared" si="129"/>
        <v>0</v>
      </c>
      <c r="AU173" s="85">
        <f t="shared" si="130"/>
        <v>0</v>
      </c>
      <c r="AV173" s="85">
        <f t="shared" si="131"/>
        <v>0</v>
      </c>
      <c r="AW173" s="85">
        <f t="shared" si="132"/>
        <v>0</v>
      </c>
      <c r="AX173" s="85">
        <f t="shared" si="133"/>
        <v>0</v>
      </c>
      <c r="AY173" s="85">
        <f t="shared" si="134"/>
        <v>0</v>
      </c>
      <c r="AZ173" s="85">
        <f t="shared" si="135"/>
        <v>0</v>
      </c>
      <c r="BA173" s="85">
        <f t="shared" si="136"/>
        <v>0</v>
      </c>
      <c r="BB173" s="85">
        <f t="shared" si="137"/>
        <v>0</v>
      </c>
      <c r="BC173" s="85">
        <f t="shared" si="138"/>
        <v>0</v>
      </c>
      <c r="BD173" s="85">
        <f t="shared" si="139"/>
        <v>0</v>
      </c>
      <c r="BE173" s="85">
        <f t="shared" si="140"/>
        <v>0</v>
      </c>
      <c r="BF173" s="85">
        <f t="shared" si="141"/>
        <v>0</v>
      </c>
      <c r="BG173" s="85">
        <f t="shared" si="142"/>
        <v>0</v>
      </c>
      <c r="BH173" s="85">
        <f t="shared" si="143"/>
        <v>0</v>
      </c>
      <c r="BI173" s="85">
        <f t="shared" si="144"/>
        <v>0</v>
      </c>
      <c r="BJ173" s="85">
        <f t="shared" si="145"/>
        <v>0</v>
      </c>
      <c r="BK173" s="85">
        <f t="shared" si="146"/>
        <v>0</v>
      </c>
      <c r="BL173" s="85">
        <f t="shared" si="147"/>
        <v>0</v>
      </c>
      <c r="BM173" s="85">
        <f t="shared" si="148"/>
        <v>0</v>
      </c>
      <c r="BN173" s="85">
        <f t="shared" si="149"/>
        <v>0</v>
      </c>
      <c r="BO173" s="85">
        <f t="shared" si="150"/>
        <v>0</v>
      </c>
      <c r="BP173" s="85">
        <f t="shared" si="151"/>
        <v>0</v>
      </c>
      <c r="BQ173" s="85">
        <f t="shared" si="152"/>
        <v>0</v>
      </c>
      <c r="BR173" s="85">
        <f t="shared" si="153"/>
        <v>0</v>
      </c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3"/>
      <c r="CO173" s="63"/>
      <c r="CP173" s="63"/>
      <c r="CQ173" s="63"/>
      <c r="CR173" s="63"/>
      <c r="CS173" s="63"/>
      <c r="CX173" s="35" t="s">
        <v>12</v>
      </c>
      <c r="CZ173" s="35"/>
      <c r="DC173" s="57" t="str">
        <f t="shared" si="154"/>
        <v/>
      </c>
      <c r="DD173" s="64" t="str">
        <f t="shared" si="155"/>
        <v/>
      </c>
      <c r="DE173" s="65" t="str">
        <f t="shared" si="156"/>
        <v/>
      </c>
      <c r="DF173" s="66" t="str">
        <f t="shared" si="157"/>
        <v/>
      </c>
    </row>
    <row r="174" spans="2:110" hidden="1" outlineLevel="1">
      <c r="B174" s="54">
        <f t="shared" si="158"/>
        <v>44270</v>
      </c>
      <c r="C174" s="55" t="s">
        <v>1</v>
      </c>
      <c r="D174" s="56">
        <f t="shared" si="159"/>
        <v>44276</v>
      </c>
      <c r="E174" s="52">
        <f t="shared" si="160"/>
        <v>3</v>
      </c>
      <c r="F174" s="53">
        <f t="shared" si="161"/>
        <v>2021</v>
      </c>
      <c r="G174" s="62">
        <f t="shared" si="162"/>
        <v>15</v>
      </c>
      <c r="H174" s="63">
        <f t="shared" si="163"/>
        <v>96</v>
      </c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>
        <v>15</v>
      </c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80"/>
      <c r="AG174" s="87">
        <f t="shared" si="117"/>
        <v>0</v>
      </c>
      <c r="AH174" s="87">
        <f t="shared" si="118"/>
        <v>0</v>
      </c>
      <c r="AI174" s="87">
        <f t="shared" si="119"/>
        <v>0</v>
      </c>
      <c r="AJ174" s="87">
        <f t="shared" si="120"/>
        <v>0</v>
      </c>
      <c r="AK174" s="87">
        <f t="shared" si="121"/>
        <v>0</v>
      </c>
      <c r="AL174" s="87">
        <f t="shared" si="122"/>
        <v>0</v>
      </c>
      <c r="AM174" s="87">
        <f t="shared" si="123"/>
        <v>0</v>
      </c>
      <c r="AN174" s="87">
        <f t="shared" si="124"/>
        <v>0</v>
      </c>
      <c r="AO174" s="87">
        <f t="shared" si="125"/>
        <v>0</v>
      </c>
      <c r="AP174" s="87">
        <f t="shared" si="126"/>
        <v>0</v>
      </c>
      <c r="AQ174" s="87">
        <f t="shared" si="127"/>
        <v>15</v>
      </c>
      <c r="AR174" s="81"/>
      <c r="AS174" s="85">
        <f t="shared" si="128"/>
        <v>0</v>
      </c>
      <c r="AT174" s="85">
        <f t="shared" si="129"/>
        <v>0</v>
      </c>
      <c r="AU174" s="85">
        <f t="shared" si="130"/>
        <v>0</v>
      </c>
      <c r="AV174" s="85">
        <f t="shared" si="131"/>
        <v>0</v>
      </c>
      <c r="AW174" s="85">
        <f t="shared" si="132"/>
        <v>0</v>
      </c>
      <c r="AX174" s="85">
        <f t="shared" si="133"/>
        <v>0</v>
      </c>
      <c r="AY174" s="85">
        <f t="shared" si="134"/>
        <v>0</v>
      </c>
      <c r="AZ174" s="85">
        <f t="shared" si="135"/>
        <v>0</v>
      </c>
      <c r="BA174" s="85">
        <f t="shared" si="136"/>
        <v>0</v>
      </c>
      <c r="BB174" s="85">
        <f t="shared" si="137"/>
        <v>0</v>
      </c>
      <c r="BC174" s="85">
        <f t="shared" si="138"/>
        <v>0</v>
      </c>
      <c r="BD174" s="85">
        <f t="shared" si="139"/>
        <v>0</v>
      </c>
      <c r="BE174" s="85">
        <f t="shared" si="140"/>
        <v>0</v>
      </c>
      <c r="BF174" s="85">
        <f t="shared" si="141"/>
        <v>0</v>
      </c>
      <c r="BG174" s="85">
        <f t="shared" si="142"/>
        <v>0</v>
      </c>
      <c r="BH174" s="85">
        <f t="shared" si="143"/>
        <v>0</v>
      </c>
      <c r="BI174" s="85">
        <f t="shared" si="144"/>
        <v>0</v>
      </c>
      <c r="BJ174" s="85">
        <f t="shared" si="145"/>
        <v>0</v>
      </c>
      <c r="BK174" s="85">
        <f t="shared" si="146"/>
        <v>0</v>
      </c>
      <c r="BL174" s="85">
        <f t="shared" si="147"/>
        <v>0</v>
      </c>
      <c r="BM174" s="85">
        <f t="shared" si="148"/>
        <v>0</v>
      </c>
      <c r="BN174" s="85">
        <f t="shared" si="149"/>
        <v>0</v>
      </c>
      <c r="BO174" s="85">
        <f t="shared" si="150"/>
        <v>0</v>
      </c>
      <c r="BP174" s="85">
        <f t="shared" si="151"/>
        <v>0</v>
      </c>
      <c r="BQ174" s="85">
        <f t="shared" si="152"/>
        <v>0</v>
      </c>
      <c r="BR174" s="85">
        <f t="shared" si="153"/>
        <v>0</v>
      </c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3"/>
      <c r="CM174" s="63"/>
      <c r="CN174" s="63"/>
      <c r="CO174" s="63"/>
      <c r="CP174" s="63"/>
      <c r="CQ174" s="63"/>
      <c r="CR174" s="63"/>
      <c r="CS174" s="63"/>
      <c r="CX174" s="35" t="s">
        <v>12</v>
      </c>
      <c r="CZ174" s="35"/>
      <c r="DC174" s="57" t="str">
        <f t="shared" si="154"/>
        <v/>
      </c>
      <c r="DD174" s="64" t="str">
        <f t="shared" si="155"/>
        <v/>
      </c>
      <c r="DE174" s="65" t="str">
        <f t="shared" si="156"/>
        <v/>
      </c>
      <c r="DF174" s="66" t="str">
        <f t="shared" si="157"/>
        <v/>
      </c>
    </row>
    <row r="175" spans="2:110" hidden="1" outlineLevel="1">
      <c r="B175" s="54">
        <f t="shared" si="158"/>
        <v>44277</v>
      </c>
      <c r="C175" s="55" t="s">
        <v>1</v>
      </c>
      <c r="D175" s="56">
        <f t="shared" si="159"/>
        <v>44283</v>
      </c>
      <c r="E175" s="52">
        <f t="shared" si="160"/>
        <v>3</v>
      </c>
      <c r="F175" s="53">
        <f t="shared" si="161"/>
        <v>2021</v>
      </c>
      <c r="G175" s="62">
        <f t="shared" si="162"/>
        <v>15</v>
      </c>
      <c r="H175" s="63">
        <f t="shared" si="163"/>
        <v>96</v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>
        <v>15</v>
      </c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80"/>
      <c r="AG175" s="87">
        <f t="shared" si="117"/>
        <v>0</v>
      </c>
      <c r="AH175" s="87">
        <f t="shared" si="118"/>
        <v>0</v>
      </c>
      <c r="AI175" s="87">
        <f t="shared" si="119"/>
        <v>0</v>
      </c>
      <c r="AJ175" s="87">
        <f t="shared" si="120"/>
        <v>0</v>
      </c>
      <c r="AK175" s="87">
        <f t="shared" si="121"/>
        <v>0</v>
      </c>
      <c r="AL175" s="87">
        <f t="shared" si="122"/>
        <v>0</v>
      </c>
      <c r="AM175" s="87">
        <f t="shared" si="123"/>
        <v>0</v>
      </c>
      <c r="AN175" s="87">
        <f t="shared" si="124"/>
        <v>0</v>
      </c>
      <c r="AO175" s="87">
        <f t="shared" si="125"/>
        <v>0</v>
      </c>
      <c r="AP175" s="87">
        <f t="shared" si="126"/>
        <v>0</v>
      </c>
      <c r="AQ175" s="87">
        <f t="shared" si="127"/>
        <v>15</v>
      </c>
      <c r="AR175" s="81"/>
      <c r="AS175" s="85">
        <f t="shared" si="128"/>
        <v>0</v>
      </c>
      <c r="AT175" s="85">
        <f t="shared" si="129"/>
        <v>0</v>
      </c>
      <c r="AU175" s="85">
        <f t="shared" si="130"/>
        <v>0</v>
      </c>
      <c r="AV175" s="85">
        <f t="shared" si="131"/>
        <v>0</v>
      </c>
      <c r="AW175" s="85">
        <f t="shared" si="132"/>
        <v>0</v>
      </c>
      <c r="AX175" s="85">
        <f t="shared" si="133"/>
        <v>0</v>
      </c>
      <c r="AY175" s="85">
        <f t="shared" si="134"/>
        <v>0</v>
      </c>
      <c r="AZ175" s="85">
        <f t="shared" si="135"/>
        <v>0</v>
      </c>
      <c r="BA175" s="85">
        <f t="shared" si="136"/>
        <v>0</v>
      </c>
      <c r="BB175" s="85">
        <f t="shared" si="137"/>
        <v>0</v>
      </c>
      <c r="BC175" s="85">
        <f t="shared" si="138"/>
        <v>0</v>
      </c>
      <c r="BD175" s="85">
        <f t="shared" si="139"/>
        <v>0</v>
      </c>
      <c r="BE175" s="85">
        <f t="shared" si="140"/>
        <v>0</v>
      </c>
      <c r="BF175" s="85">
        <f t="shared" si="141"/>
        <v>0</v>
      </c>
      <c r="BG175" s="85">
        <f t="shared" si="142"/>
        <v>0</v>
      </c>
      <c r="BH175" s="85">
        <f t="shared" si="143"/>
        <v>0</v>
      </c>
      <c r="BI175" s="85">
        <f t="shared" si="144"/>
        <v>0</v>
      </c>
      <c r="BJ175" s="85">
        <f t="shared" si="145"/>
        <v>0</v>
      </c>
      <c r="BK175" s="85">
        <f t="shared" si="146"/>
        <v>0</v>
      </c>
      <c r="BL175" s="85">
        <f t="shared" si="147"/>
        <v>0</v>
      </c>
      <c r="BM175" s="85">
        <f t="shared" si="148"/>
        <v>0</v>
      </c>
      <c r="BN175" s="85">
        <f t="shared" si="149"/>
        <v>0</v>
      </c>
      <c r="BO175" s="85">
        <f t="shared" si="150"/>
        <v>0</v>
      </c>
      <c r="BP175" s="85">
        <f t="shared" si="151"/>
        <v>0</v>
      </c>
      <c r="BQ175" s="85">
        <f t="shared" si="152"/>
        <v>0</v>
      </c>
      <c r="BR175" s="85">
        <f t="shared" si="153"/>
        <v>0</v>
      </c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X175" s="35" t="s">
        <v>12</v>
      </c>
      <c r="CZ175" s="35"/>
      <c r="DC175" s="57" t="str">
        <f t="shared" si="154"/>
        <v/>
      </c>
      <c r="DD175" s="64" t="str">
        <f t="shared" si="155"/>
        <v/>
      </c>
      <c r="DE175" s="65" t="str">
        <f t="shared" si="156"/>
        <v/>
      </c>
      <c r="DF175" s="66" t="str">
        <f t="shared" si="157"/>
        <v/>
      </c>
    </row>
    <row r="176" spans="2:110" hidden="1" outlineLevel="1">
      <c r="B176" s="54">
        <f t="shared" si="158"/>
        <v>44284</v>
      </c>
      <c r="C176" s="55" t="s">
        <v>1</v>
      </c>
      <c r="D176" s="56">
        <f t="shared" si="159"/>
        <v>44290</v>
      </c>
      <c r="E176" s="52">
        <f t="shared" si="160"/>
        <v>3</v>
      </c>
      <c r="F176" s="53">
        <f t="shared" si="161"/>
        <v>2021</v>
      </c>
      <c r="G176" s="62">
        <f t="shared" si="162"/>
        <v>15</v>
      </c>
      <c r="H176" s="63">
        <f t="shared" si="163"/>
        <v>96</v>
      </c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>
        <v>15</v>
      </c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80"/>
      <c r="AG176" s="87">
        <f t="shared" si="117"/>
        <v>0</v>
      </c>
      <c r="AH176" s="87">
        <f t="shared" si="118"/>
        <v>0</v>
      </c>
      <c r="AI176" s="87">
        <f t="shared" si="119"/>
        <v>0</v>
      </c>
      <c r="AJ176" s="87">
        <f t="shared" si="120"/>
        <v>0</v>
      </c>
      <c r="AK176" s="87">
        <f t="shared" si="121"/>
        <v>0</v>
      </c>
      <c r="AL176" s="87">
        <f t="shared" si="122"/>
        <v>0</v>
      </c>
      <c r="AM176" s="87">
        <f t="shared" si="123"/>
        <v>0</v>
      </c>
      <c r="AN176" s="87">
        <f t="shared" si="124"/>
        <v>0</v>
      </c>
      <c r="AO176" s="87">
        <f t="shared" si="125"/>
        <v>0</v>
      </c>
      <c r="AP176" s="87">
        <f t="shared" si="126"/>
        <v>0</v>
      </c>
      <c r="AQ176" s="87">
        <f t="shared" si="127"/>
        <v>15</v>
      </c>
      <c r="AR176" s="81"/>
      <c r="AS176" s="85">
        <f t="shared" si="128"/>
        <v>0</v>
      </c>
      <c r="AT176" s="85">
        <f t="shared" si="129"/>
        <v>0</v>
      </c>
      <c r="AU176" s="85">
        <f t="shared" si="130"/>
        <v>0</v>
      </c>
      <c r="AV176" s="85">
        <f t="shared" si="131"/>
        <v>0</v>
      </c>
      <c r="AW176" s="85">
        <f t="shared" si="132"/>
        <v>0</v>
      </c>
      <c r="AX176" s="85">
        <f t="shared" si="133"/>
        <v>0</v>
      </c>
      <c r="AY176" s="85">
        <f t="shared" si="134"/>
        <v>0</v>
      </c>
      <c r="AZ176" s="85">
        <f t="shared" si="135"/>
        <v>0</v>
      </c>
      <c r="BA176" s="85">
        <f t="shared" si="136"/>
        <v>0</v>
      </c>
      <c r="BB176" s="85">
        <f t="shared" si="137"/>
        <v>0</v>
      </c>
      <c r="BC176" s="85">
        <f t="shared" si="138"/>
        <v>0</v>
      </c>
      <c r="BD176" s="85">
        <f t="shared" si="139"/>
        <v>0</v>
      </c>
      <c r="BE176" s="85">
        <f t="shared" si="140"/>
        <v>0</v>
      </c>
      <c r="BF176" s="85">
        <f t="shared" si="141"/>
        <v>0</v>
      </c>
      <c r="BG176" s="85">
        <f t="shared" si="142"/>
        <v>0</v>
      </c>
      <c r="BH176" s="85">
        <f t="shared" si="143"/>
        <v>0</v>
      </c>
      <c r="BI176" s="85">
        <f t="shared" si="144"/>
        <v>0</v>
      </c>
      <c r="BJ176" s="85">
        <f t="shared" si="145"/>
        <v>0</v>
      </c>
      <c r="BK176" s="85">
        <f t="shared" si="146"/>
        <v>0</v>
      </c>
      <c r="BL176" s="85">
        <f t="shared" si="147"/>
        <v>0</v>
      </c>
      <c r="BM176" s="85">
        <f t="shared" si="148"/>
        <v>0</v>
      </c>
      <c r="BN176" s="85">
        <f t="shared" si="149"/>
        <v>0</v>
      </c>
      <c r="BO176" s="85">
        <f t="shared" si="150"/>
        <v>0</v>
      </c>
      <c r="BP176" s="85">
        <f t="shared" si="151"/>
        <v>0</v>
      </c>
      <c r="BQ176" s="85">
        <f t="shared" si="152"/>
        <v>0</v>
      </c>
      <c r="BR176" s="85">
        <f t="shared" si="153"/>
        <v>0</v>
      </c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X176" s="35" t="s">
        <v>12</v>
      </c>
      <c r="CZ176" s="35"/>
      <c r="DC176" s="57" t="str">
        <f t="shared" si="154"/>
        <v/>
      </c>
      <c r="DD176" s="64" t="str">
        <f t="shared" si="155"/>
        <v/>
      </c>
      <c r="DE176" s="65" t="str">
        <f t="shared" si="156"/>
        <v/>
      </c>
      <c r="DF176" s="66" t="str">
        <f t="shared" si="157"/>
        <v/>
      </c>
    </row>
    <row r="177" spans="2:110" hidden="1" outlineLevel="1">
      <c r="B177" s="54">
        <f t="shared" si="158"/>
        <v>44291</v>
      </c>
      <c r="C177" s="55" t="s">
        <v>1</v>
      </c>
      <c r="D177" s="56">
        <f t="shared" si="159"/>
        <v>44297</v>
      </c>
      <c r="E177" s="52">
        <f t="shared" si="160"/>
        <v>4</v>
      </c>
      <c r="F177" s="53">
        <f t="shared" si="161"/>
        <v>2021</v>
      </c>
      <c r="G177" s="62">
        <f t="shared" si="162"/>
        <v>15</v>
      </c>
      <c r="H177" s="63">
        <f t="shared" si="163"/>
        <v>96</v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>
        <v>15</v>
      </c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80"/>
      <c r="AG177" s="87">
        <f t="shared" si="117"/>
        <v>0</v>
      </c>
      <c r="AH177" s="87">
        <f t="shared" si="118"/>
        <v>0</v>
      </c>
      <c r="AI177" s="87">
        <f t="shared" si="119"/>
        <v>0</v>
      </c>
      <c r="AJ177" s="87">
        <f t="shared" si="120"/>
        <v>0</v>
      </c>
      <c r="AK177" s="87">
        <f t="shared" si="121"/>
        <v>0</v>
      </c>
      <c r="AL177" s="87">
        <f t="shared" si="122"/>
        <v>0</v>
      </c>
      <c r="AM177" s="87">
        <f t="shared" si="123"/>
        <v>0</v>
      </c>
      <c r="AN177" s="87">
        <f t="shared" si="124"/>
        <v>0</v>
      </c>
      <c r="AO177" s="87">
        <f t="shared" si="125"/>
        <v>0</v>
      </c>
      <c r="AP177" s="87">
        <f t="shared" si="126"/>
        <v>0</v>
      </c>
      <c r="AQ177" s="87">
        <f t="shared" si="127"/>
        <v>15</v>
      </c>
      <c r="AR177" s="81"/>
      <c r="AS177" s="85">
        <f t="shared" si="128"/>
        <v>0</v>
      </c>
      <c r="AT177" s="85">
        <f t="shared" si="129"/>
        <v>0</v>
      </c>
      <c r="AU177" s="85">
        <f t="shared" si="130"/>
        <v>0</v>
      </c>
      <c r="AV177" s="85">
        <f t="shared" si="131"/>
        <v>0</v>
      </c>
      <c r="AW177" s="85">
        <f t="shared" si="132"/>
        <v>0</v>
      </c>
      <c r="AX177" s="85">
        <f t="shared" si="133"/>
        <v>0</v>
      </c>
      <c r="AY177" s="85">
        <f t="shared" si="134"/>
        <v>0</v>
      </c>
      <c r="AZ177" s="85">
        <f t="shared" si="135"/>
        <v>0</v>
      </c>
      <c r="BA177" s="85">
        <f t="shared" si="136"/>
        <v>0</v>
      </c>
      <c r="BB177" s="85">
        <f t="shared" si="137"/>
        <v>0</v>
      </c>
      <c r="BC177" s="85">
        <f t="shared" si="138"/>
        <v>0</v>
      </c>
      <c r="BD177" s="85">
        <f t="shared" si="139"/>
        <v>0</v>
      </c>
      <c r="BE177" s="85">
        <f t="shared" si="140"/>
        <v>0</v>
      </c>
      <c r="BF177" s="85">
        <f t="shared" si="141"/>
        <v>0</v>
      </c>
      <c r="BG177" s="85">
        <f t="shared" si="142"/>
        <v>0</v>
      </c>
      <c r="BH177" s="85">
        <f t="shared" si="143"/>
        <v>0</v>
      </c>
      <c r="BI177" s="85">
        <f t="shared" si="144"/>
        <v>0</v>
      </c>
      <c r="BJ177" s="85">
        <f t="shared" si="145"/>
        <v>0</v>
      </c>
      <c r="BK177" s="85">
        <f t="shared" si="146"/>
        <v>0</v>
      </c>
      <c r="BL177" s="85">
        <f t="shared" si="147"/>
        <v>0</v>
      </c>
      <c r="BM177" s="85">
        <f t="shared" si="148"/>
        <v>0</v>
      </c>
      <c r="BN177" s="85">
        <f t="shared" si="149"/>
        <v>0</v>
      </c>
      <c r="BO177" s="85">
        <f t="shared" si="150"/>
        <v>0</v>
      </c>
      <c r="BP177" s="85">
        <f t="shared" si="151"/>
        <v>0</v>
      </c>
      <c r="BQ177" s="85">
        <f t="shared" si="152"/>
        <v>0</v>
      </c>
      <c r="BR177" s="85">
        <f t="shared" si="153"/>
        <v>0</v>
      </c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3"/>
      <c r="CM177" s="63"/>
      <c r="CN177" s="63"/>
      <c r="CO177" s="63"/>
      <c r="CP177" s="63"/>
      <c r="CQ177" s="63"/>
      <c r="CR177" s="63"/>
      <c r="CS177" s="63"/>
      <c r="CW177">
        <v>14</v>
      </c>
      <c r="CX177" s="35">
        <v>44291</v>
      </c>
      <c r="CZ177" s="35">
        <f>B194</f>
        <v>44410</v>
      </c>
      <c r="DA177">
        <v>98</v>
      </c>
      <c r="DC177" s="57" t="str">
        <f t="shared" si="154"/>
        <v/>
      </c>
      <c r="DD177" s="64" t="str">
        <f t="shared" si="155"/>
        <v/>
      </c>
      <c r="DE177" s="65" t="str">
        <f t="shared" si="156"/>
        <v/>
      </c>
      <c r="DF177" s="66" t="str">
        <f t="shared" si="157"/>
        <v/>
      </c>
    </row>
    <row r="178" spans="2:110" hidden="1" outlineLevel="1">
      <c r="B178" s="54">
        <f t="shared" si="158"/>
        <v>44298</v>
      </c>
      <c r="C178" s="55" t="s">
        <v>1</v>
      </c>
      <c r="D178" s="56">
        <f t="shared" si="159"/>
        <v>44304</v>
      </c>
      <c r="E178" s="52">
        <f t="shared" si="160"/>
        <v>4</v>
      </c>
      <c r="F178" s="53">
        <f t="shared" si="161"/>
        <v>2021</v>
      </c>
      <c r="G178" s="62">
        <f t="shared" si="162"/>
        <v>15</v>
      </c>
      <c r="H178" s="63">
        <f t="shared" si="163"/>
        <v>96</v>
      </c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>
        <v>15</v>
      </c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80"/>
      <c r="AG178" s="87">
        <f t="shared" si="117"/>
        <v>0</v>
      </c>
      <c r="AH178" s="87">
        <f t="shared" si="118"/>
        <v>0</v>
      </c>
      <c r="AI178" s="87">
        <f t="shared" si="119"/>
        <v>0</v>
      </c>
      <c r="AJ178" s="87">
        <f t="shared" si="120"/>
        <v>0</v>
      </c>
      <c r="AK178" s="87">
        <f t="shared" si="121"/>
        <v>0</v>
      </c>
      <c r="AL178" s="87">
        <f t="shared" si="122"/>
        <v>0</v>
      </c>
      <c r="AM178" s="87">
        <f t="shared" si="123"/>
        <v>0</v>
      </c>
      <c r="AN178" s="87">
        <f t="shared" si="124"/>
        <v>0</v>
      </c>
      <c r="AO178" s="87">
        <f t="shared" si="125"/>
        <v>0</v>
      </c>
      <c r="AP178" s="87">
        <f t="shared" si="126"/>
        <v>0</v>
      </c>
      <c r="AQ178" s="87">
        <f t="shared" si="127"/>
        <v>15</v>
      </c>
      <c r="AR178" s="81"/>
      <c r="AS178" s="85">
        <f t="shared" si="128"/>
        <v>0</v>
      </c>
      <c r="AT178" s="85">
        <f t="shared" si="129"/>
        <v>0</v>
      </c>
      <c r="AU178" s="85">
        <f t="shared" si="130"/>
        <v>0</v>
      </c>
      <c r="AV178" s="85">
        <f t="shared" si="131"/>
        <v>0</v>
      </c>
      <c r="AW178" s="85">
        <f t="shared" si="132"/>
        <v>0</v>
      </c>
      <c r="AX178" s="85">
        <f t="shared" si="133"/>
        <v>0</v>
      </c>
      <c r="AY178" s="85">
        <f t="shared" si="134"/>
        <v>0</v>
      </c>
      <c r="AZ178" s="85">
        <f t="shared" si="135"/>
        <v>0</v>
      </c>
      <c r="BA178" s="85">
        <f t="shared" si="136"/>
        <v>0</v>
      </c>
      <c r="BB178" s="85">
        <f t="shared" si="137"/>
        <v>0</v>
      </c>
      <c r="BC178" s="85">
        <f t="shared" si="138"/>
        <v>0</v>
      </c>
      <c r="BD178" s="85">
        <f t="shared" si="139"/>
        <v>0</v>
      </c>
      <c r="BE178" s="85">
        <f t="shared" si="140"/>
        <v>0</v>
      </c>
      <c r="BF178" s="85">
        <f t="shared" si="141"/>
        <v>0</v>
      </c>
      <c r="BG178" s="85">
        <f t="shared" si="142"/>
        <v>0</v>
      </c>
      <c r="BH178" s="85">
        <f t="shared" si="143"/>
        <v>0</v>
      </c>
      <c r="BI178" s="85">
        <f t="shared" si="144"/>
        <v>0</v>
      </c>
      <c r="BJ178" s="85">
        <f t="shared" si="145"/>
        <v>0</v>
      </c>
      <c r="BK178" s="85">
        <f t="shared" si="146"/>
        <v>0</v>
      </c>
      <c r="BL178" s="85">
        <f t="shared" si="147"/>
        <v>0</v>
      </c>
      <c r="BM178" s="85">
        <f t="shared" si="148"/>
        <v>0</v>
      </c>
      <c r="BN178" s="85">
        <f t="shared" si="149"/>
        <v>0</v>
      </c>
      <c r="BO178" s="85">
        <f t="shared" si="150"/>
        <v>0</v>
      </c>
      <c r="BP178" s="85">
        <f t="shared" si="151"/>
        <v>0</v>
      </c>
      <c r="BQ178" s="85">
        <f t="shared" si="152"/>
        <v>0</v>
      </c>
      <c r="BR178" s="85">
        <f t="shared" si="153"/>
        <v>0</v>
      </c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X178" s="35" t="s">
        <v>12</v>
      </c>
      <c r="CZ178" s="35"/>
      <c r="DC178" s="57" t="str">
        <f t="shared" si="154"/>
        <v/>
      </c>
      <c r="DD178" s="64" t="str">
        <f t="shared" si="155"/>
        <v/>
      </c>
      <c r="DE178" s="65" t="str">
        <f t="shared" si="156"/>
        <v/>
      </c>
      <c r="DF178" s="66" t="str">
        <f t="shared" si="157"/>
        <v/>
      </c>
    </row>
    <row r="179" spans="2:110" hidden="1" outlineLevel="1">
      <c r="B179" s="54">
        <f t="shared" si="158"/>
        <v>44305</v>
      </c>
      <c r="C179" s="55" t="s">
        <v>1</v>
      </c>
      <c r="D179" s="56">
        <f t="shared" si="159"/>
        <v>44311</v>
      </c>
      <c r="E179" s="52">
        <f t="shared" si="160"/>
        <v>4</v>
      </c>
      <c r="F179" s="53">
        <f t="shared" si="161"/>
        <v>2021</v>
      </c>
      <c r="G179" s="62">
        <f t="shared" si="162"/>
        <v>15</v>
      </c>
      <c r="H179" s="63">
        <f t="shared" si="163"/>
        <v>96</v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>
        <v>15</v>
      </c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80"/>
      <c r="AG179" s="87">
        <f t="shared" si="117"/>
        <v>0</v>
      </c>
      <c r="AH179" s="87">
        <f t="shared" si="118"/>
        <v>0</v>
      </c>
      <c r="AI179" s="87">
        <f t="shared" si="119"/>
        <v>0</v>
      </c>
      <c r="AJ179" s="87">
        <f t="shared" si="120"/>
        <v>0</v>
      </c>
      <c r="AK179" s="87">
        <f t="shared" si="121"/>
        <v>0</v>
      </c>
      <c r="AL179" s="87">
        <f t="shared" si="122"/>
        <v>0</v>
      </c>
      <c r="AM179" s="87">
        <f t="shared" si="123"/>
        <v>0</v>
      </c>
      <c r="AN179" s="87">
        <f t="shared" si="124"/>
        <v>0</v>
      </c>
      <c r="AO179" s="87">
        <f t="shared" si="125"/>
        <v>0</v>
      </c>
      <c r="AP179" s="87">
        <f t="shared" si="126"/>
        <v>0</v>
      </c>
      <c r="AQ179" s="87">
        <f t="shared" si="127"/>
        <v>15</v>
      </c>
      <c r="AR179" s="81"/>
      <c r="AS179" s="85">
        <f t="shared" si="128"/>
        <v>0</v>
      </c>
      <c r="AT179" s="85">
        <f t="shared" si="129"/>
        <v>0</v>
      </c>
      <c r="AU179" s="85">
        <f t="shared" si="130"/>
        <v>0</v>
      </c>
      <c r="AV179" s="85">
        <f t="shared" si="131"/>
        <v>0</v>
      </c>
      <c r="AW179" s="85">
        <f t="shared" si="132"/>
        <v>0</v>
      </c>
      <c r="AX179" s="85">
        <f t="shared" si="133"/>
        <v>0</v>
      </c>
      <c r="AY179" s="85">
        <f t="shared" si="134"/>
        <v>0</v>
      </c>
      <c r="AZ179" s="85">
        <f t="shared" si="135"/>
        <v>0</v>
      </c>
      <c r="BA179" s="85">
        <f t="shared" si="136"/>
        <v>0</v>
      </c>
      <c r="BB179" s="85">
        <f t="shared" si="137"/>
        <v>0</v>
      </c>
      <c r="BC179" s="85">
        <f t="shared" si="138"/>
        <v>0</v>
      </c>
      <c r="BD179" s="85">
        <f t="shared" si="139"/>
        <v>0</v>
      </c>
      <c r="BE179" s="85">
        <f t="shared" si="140"/>
        <v>0</v>
      </c>
      <c r="BF179" s="85">
        <f t="shared" si="141"/>
        <v>0</v>
      </c>
      <c r="BG179" s="85">
        <f t="shared" si="142"/>
        <v>0</v>
      </c>
      <c r="BH179" s="85">
        <f t="shared" si="143"/>
        <v>0</v>
      </c>
      <c r="BI179" s="85">
        <f t="shared" si="144"/>
        <v>0</v>
      </c>
      <c r="BJ179" s="85">
        <f t="shared" si="145"/>
        <v>0</v>
      </c>
      <c r="BK179" s="85">
        <f t="shared" si="146"/>
        <v>0</v>
      </c>
      <c r="BL179" s="85">
        <f t="shared" si="147"/>
        <v>0</v>
      </c>
      <c r="BM179" s="85">
        <f t="shared" si="148"/>
        <v>0</v>
      </c>
      <c r="BN179" s="85">
        <f t="shared" si="149"/>
        <v>0</v>
      </c>
      <c r="BO179" s="85">
        <f t="shared" si="150"/>
        <v>0</v>
      </c>
      <c r="BP179" s="85">
        <f t="shared" si="151"/>
        <v>0</v>
      </c>
      <c r="BQ179" s="85">
        <f t="shared" si="152"/>
        <v>0</v>
      </c>
      <c r="BR179" s="85">
        <f t="shared" si="153"/>
        <v>0</v>
      </c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3"/>
      <c r="CO179" s="63"/>
      <c r="CP179" s="63"/>
      <c r="CQ179" s="63"/>
      <c r="CR179" s="63"/>
      <c r="CS179" s="63"/>
      <c r="CX179" s="35" t="s">
        <v>12</v>
      </c>
      <c r="CZ179" s="35"/>
      <c r="DC179" s="57" t="str">
        <f t="shared" si="154"/>
        <v/>
      </c>
      <c r="DD179" s="64" t="str">
        <f t="shared" si="155"/>
        <v/>
      </c>
      <c r="DE179" s="65" t="str">
        <f t="shared" si="156"/>
        <v/>
      </c>
      <c r="DF179" s="66" t="str">
        <f t="shared" si="157"/>
        <v/>
      </c>
    </row>
    <row r="180" spans="2:110" hidden="1" outlineLevel="1">
      <c r="B180" s="54">
        <f t="shared" si="158"/>
        <v>44312</v>
      </c>
      <c r="C180" s="55" t="s">
        <v>1</v>
      </c>
      <c r="D180" s="56">
        <f t="shared" si="159"/>
        <v>44318</v>
      </c>
      <c r="E180" s="52">
        <f t="shared" si="160"/>
        <v>4</v>
      </c>
      <c r="F180" s="53">
        <f t="shared" si="161"/>
        <v>2021</v>
      </c>
      <c r="G180" s="62">
        <f t="shared" si="162"/>
        <v>15</v>
      </c>
      <c r="H180" s="63">
        <f t="shared" si="163"/>
        <v>96</v>
      </c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>
        <v>15</v>
      </c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80"/>
      <c r="AG180" s="87">
        <f t="shared" si="117"/>
        <v>0</v>
      </c>
      <c r="AH180" s="87">
        <f t="shared" si="118"/>
        <v>0</v>
      </c>
      <c r="AI180" s="87">
        <f t="shared" si="119"/>
        <v>0</v>
      </c>
      <c r="AJ180" s="87">
        <f t="shared" si="120"/>
        <v>0</v>
      </c>
      <c r="AK180" s="87">
        <f t="shared" si="121"/>
        <v>0</v>
      </c>
      <c r="AL180" s="87">
        <f t="shared" si="122"/>
        <v>0</v>
      </c>
      <c r="AM180" s="87">
        <f t="shared" si="123"/>
        <v>0</v>
      </c>
      <c r="AN180" s="87">
        <f t="shared" si="124"/>
        <v>0</v>
      </c>
      <c r="AO180" s="87">
        <f t="shared" si="125"/>
        <v>0</v>
      </c>
      <c r="AP180" s="87">
        <f t="shared" si="126"/>
        <v>0</v>
      </c>
      <c r="AQ180" s="87">
        <f t="shared" si="127"/>
        <v>15</v>
      </c>
      <c r="AR180" s="81"/>
      <c r="AS180" s="85">
        <f t="shared" si="128"/>
        <v>0</v>
      </c>
      <c r="AT180" s="85">
        <f t="shared" si="129"/>
        <v>0</v>
      </c>
      <c r="AU180" s="85">
        <f t="shared" si="130"/>
        <v>0</v>
      </c>
      <c r="AV180" s="85">
        <f t="shared" si="131"/>
        <v>0</v>
      </c>
      <c r="AW180" s="85">
        <f t="shared" si="132"/>
        <v>0</v>
      </c>
      <c r="AX180" s="85">
        <f t="shared" si="133"/>
        <v>0</v>
      </c>
      <c r="AY180" s="85">
        <f t="shared" si="134"/>
        <v>0</v>
      </c>
      <c r="AZ180" s="85">
        <f t="shared" si="135"/>
        <v>0</v>
      </c>
      <c r="BA180" s="85">
        <f t="shared" si="136"/>
        <v>0</v>
      </c>
      <c r="BB180" s="85">
        <f t="shared" si="137"/>
        <v>0</v>
      </c>
      <c r="BC180" s="85">
        <f t="shared" si="138"/>
        <v>0</v>
      </c>
      <c r="BD180" s="85">
        <f t="shared" si="139"/>
        <v>0</v>
      </c>
      <c r="BE180" s="85">
        <f t="shared" si="140"/>
        <v>0</v>
      </c>
      <c r="BF180" s="85">
        <f t="shared" si="141"/>
        <v>0</v>
      </c>
      <c r="BG180" s="85">
        <f t="shared" si="142"/>
        <v>0</v>
      </c>
      <c r="BH180" s="85">
        <f t="shared" si="143"/>
        <v>0</v>
      </c>
      <c r="BI180" s="85">
        <f t="shared" si="144"/>
        <v>0</v>
      </c>
      <c r="BJ180" s="85">
        <f t="shared" si="145"/>
        <v>0</v>
      </c>
      <c r="BK180" s="85">
        <f t="shared" si="146"/>
        <v>0</v>
      </c>
      <c r="BL180" s="85">
        <f t="shared" si="147"/>
        <v>0</v>
      </c>
      <c r="BM180" s="85">
        <f t="shared" si="148"/>
        <v>0</v>
      </c>
      <c r="BN180" s="85">
        <f t="shared" si="149"/>
        <v>0</v>
      </c>
      <c r="BO180" s="85">
        <f t="shared" si="150"/>
        <v>0</v>
      </c>
      <c r="BP180" s="85">
        <f t="shared" si="151"/>
        <v>0</v>
      </c>
      <c r="BQ180" s="85">
        <f t="shared" si="152"/>
        <v>0</v>
      </c>
      <c r="BR180" s="85">
        <f t="shared" si="153"/>
        <v>0</v>
      </c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3"/>
      <c r="CM180" s="63"/>
      <c r="CN180" s="63"/>
      <c r="CO180" s="63"/>
      <c r="CP180" s="63"/>
      <c r="CQ180" s="63"/>
      <c r="CR180" s="63"/>
      <c r="CS180" s="63"/>
      <c r="CX180" s="35" t="s">
        <v>12</v>
      </c>
      <c r="CZ180" s="35"/>
      <c r="DC180" s="57" t="str">
        <f t="shared" si="154"/>
        <v/>
      </c>
      <c r="DD180" s="64" t="str">
        <f t="shared" si="155"/>
        <v/>
      </c>
      <c r="DE180" s="65" t="str">
        <f t="shared" si="156"/>
        <v/>
      </c>
      <c r="DF180" s="66" t="str">
        <f t="shared" si="157"/>
        <v/>
      </c>
    </row>
    <row r="181" spans="2:110" hidden="1" outlineLevel="1">
      <c r="B181" s="54">
        <f t="shared" si="158"/>
        <v>44319</v>
      </c>
      <c r="C181" s="55" t="s">
        <v>1</v>
      </c>
      <c r="D181" s="56">
        <f t="shared" si="159"/>
        <v>44325</v>
      </c>
      <c r="E181" s="52">
        <f t="shared" si="160"/>
        <v>5</v>
      </c>
      <c r="F181" s="53">
        <f t="shared" si="161"/>
        <v>2021</v>
      </c>
      <c r="G181" s="62">
        <f t="shared" si="162"/>
        <v>15</v>
      </c>
      <c r="H181" s="63">
        <f t="shared" si="163"/>
        <v>96</v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>
        <v>15</v>
      </c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80"/>
      <c r="AG181" s="87">
        <f t="shared" si="117"/>
        <v>0</v>
      </c>
      <c r="AH181" s="87">
        <f t="shared" si="118"/>
        <v>0</v>
      </c>
      <c r="AI181" s="87">
        <f t="shared" si="119"/>
        <v>0</v>
      </c>
      <c r="AJ181" s="87">
        <f t="shared" si="120"/>
        <v>0</v>
      </c>
      <c r="AK181" s="87">
        <f t="shared" si="121"/>
        <v>0</v>
      </c>
      <c r="AL181" s="87">
        <f t="shared" si="122"/>
        <v>0</v>
      </c>
      <c r="AM181" s="87">
        <f t="shared" si="123"/>
        <v>0</v>
      </c>
      <c r="AN181" s="87">
        <f t="shared" si="124"/>
        <v>0</v>
      </c>
      <c r="AO181" s="87">
        <f t="shared" si="125"/>
        <v>0</v>
      </c>
      <c r="AP181" s="87">
        <f t="shared" si="126"/>
        <v>0</v>
      </c>
      <c r="AQ181" s="87">
        <f t="shared" si="127"/>
        <v>15</v>
      </c>
      <c r="AR181" s="81"/>
      <c r="AS181" s="85">
        <f t="shared" si="128"/>
        <v>0</v>
      </c>
      <c r="AT181" s="85">
        <f t="shared" si="129"/>
        <v>0</v>
      </c>
      <c r="AU181" s="85">
        <f t="shared" si="130"/>
        <v>0</v>
      </c>
      <c r="AV181" s="85">
        <f t="shared" si="131"/>
        <v>0</v>
      </c>
      <c r="AW181" s="85">
        <f t="shared" si="132"/>
        <v>0</v>
      </c>
      <c r="AX181" s="85">
        <f t="shared" si="133"/>
        <v>0</v>
      </c>
      <c r="AY181" s="85">
        <f t="shared" si="134"/>
        <v>0</v>
      </c>
      <c r="AZ181" s="85">
        <f t="shared" si="135"/>
        <v>0</v>
      </c>
      <c r="BA181" s="85">
        <f t="shared" si="136"/>
        <v>0</v>
      </c>
      <c r="BB181" s="85">
        <f t="shared" si="137"/>
        <v>0</v>
      </c>
      <c r="BC181" s="85">
        <f t="shared" si="138"/>
        <v>0</v>
      </c>
      <c r="BD181" s="85">
        <f t="shared" si="139"/>
        <v>0</v>
      </c>
      <c r="BE181" s="85">
        <f t="shared" si="140"/>
        <v>0</v>
      </c>
      <c r="BF181" s="85">
        <f t="shared" si="141"/>
        <v>0</v>
      </c>
      <c r="BG181" s="85">
        <f t="shared" si="142"/>
        <v>0</v>
      </c>
      <c r="BH181" s="85">
        <f t="shared" si="143"/>
        <v>0</v>
      </c>
      <c r="BI181" s="85">
        <f t="shared" si="144"/>
        <v>0</v>
      </c>
      <c r="BJ181" s="85">
        <f t="shared" si="145"/>
        <v>0</v>
      </c>
      <c r="BK181" s="85">
        <f t="shared" si="146"/>
        <v>0</v>
      </c>
      <c r="BL181" s="85">
        <f t="shared" si="147"/>
        <v>0</v>
      </c>
      <c r="BM181" s="85">
        <f t="shared" si="148"/>
        <v>0</v>
      </c>
      <c r="BN181" s="85">
        <f t="shared" si="149"/>
        <v>0</v>
      </c>
      <c r="BO181" s="85">
        <f t="shared" si="150"/>
        <v>0</v>
      </c>
      <c r="BP181" s="85">
        <f t="shared" si="151"/>
        <v>0</v>
      </c>
      <c r="BQ181" s="85">
        <f t="shared" si="152"/>
        <v>0</v>
      </c>
      <c r="BR181" s="85">
        <f t="shared" si="153"/>
        <v>0</v>
      </c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3"/>
      <c r="CM181" s="63"/>
      <c r="CN181" s="63"/>
      <c r="CO181" s="63"/>
      <c r="CP181" s="63"/>
      <c r="CQ181" s="63"/>
      <c r="CR181" s="63"/>
      <c r="CS181" s="63"/>
      <c r="CX181" s="35" t="s">
        <v>12</v>
      </c>
      <c r="CZ181" s="35"/>
      <c r="DC181" s="57" t="str">
        <f t="shared" si="154"/>
        <v/>
      </c>
      <c r="DD181" s="64" t="str">
        <f t="shared" si="155"/>
        <v/>
      </c>
      <c r="DE181" s="65" t="str">
        <f t="shared" si="156"/>
        <v/>
      </c>
      <c r="DF181" s="66" t="str">
        <f t="shared" si="157"/>
        <v/>
      </c>
    </row>
    <row r="182" spans="2:110" hidden="1" outlineLevel="1">
      <c r="B182" s="54">
        <f t="shared" si="158"/>
        <v>44326</v>
      </c>
      <c r="C182" s="55" t="s">
        <v>1</v>
      </c>
      <c r="D182" s="56">
        <f t="shared" si="159"/>
        <v>44332</v>
      </c>
      <c r="E182" s="52">
        <f t="shared" si="160"/>
        <v>5</v>
      </c>
      <c r="F182" s="53">
        <f t="shared" si="161"/>
        <v>2021</v>
      </c>
      <c r="G182" s="62">
        <f t="shared" si="162"/>
        <v>15</v>
      </c>
      <c r="H182" s="63">
        <f t="shared" si="163"/>
        <v>96</v>
      </c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>
        <v>15</v>
      </c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80"/>
      <c r="AG182" s="87">
        <f t="shared" si="117"/>
        <v>0</v>
      </c>
      <c r="AH182" s="87">
        <f t="shared" si="118"/>
        <v>0</v>
      </c>
      <c r="AI182" s="87">
        <f t="shared" si="119"/>
        <v>0</v>
      </c>
      <c r="AJ182" s="87">
        <f t="shared" si="120"/>
        <v>0</v>
      </c>
      <c r="AK182" s="87">
        <f t="shared" si="121"/>
        <v>0</v>
      </c>
      <c r="AL182" s="87">
        <f t="shared" si="122"/>
        <v>0</v>
      </c>
      <c r="AM182" s="87">
        <f t="shared" si="123"/>
        <v>0</v>
      </c>
      <c r="AN182" s="87">
        <f t="shared" si="124"/>
        <v>0</v>
      </c>
      <c r="AO182" s="87">
        <f t="shared" si="125"/>
        <v>0</v>
      </c>
      <c r="AP182" s="87">
        <f t="shared" si="126"/>
        <v>0</v>
      </c>
      <c r="AQ182" s="87">
        <f t="shared" si="127"/>
        <v>15</v>
      </c>
      <c r="AR182" s="81"/>
      <c r="AS182" s="85">
        <f t="shared" si="128"/>
        <v>0</v>
      </c>
      <c r="AT182" s="85">
        <f t="shared" si="129"/>
        <v>0</v>
      </c>
      <c r="AU182" s="85">
        <f t="shared" si="130"/>
        <v>0</v>
      </c>
      <c r="AV182" s="85">
        <f t="shared" si="131"/>
        <v>0</v>
      </c>
      <c r="AW182" s="85">
        <f t="shared" si="132"/>
        <v>0</v>
      </c>
      <c r="AX182" s="85">
        <f t="shared" si="133"/>
        <v>0</v>
      </c>
      <c r="AY182" s="85">
        <f t="shared" si="134"/>
        <v>0</v>
      </c>
      <c r="AZ182" s="85">
        <f t="shared" si="135"/>
        <v>0</v>
      </c>
      <c r="BA182" s="85">
        <f t="shared" si="136"/>
        <v>0</v>
      </c>
      <c r="BB182" s="85">
        <f t="shared" si="137"/>
        <v>0</v>
      </c>
      <c r="BC182" s="85">
        <f t="shared" si="138"/>
        <v>0</v>
      </c>
      <c r="BD182" s="85">
        <f t="shared" si="139"/>
        <v>0</v>
      </c>
      <c r="BE182" s="85">
        <f t="shared" si="140"/>
        <v>0</v>
      </c>
      <c r="BF182" s="85">
        <f t="shared" si="141"/>
        <v>0</v>
      </c>
      <c r="BG182" s="85">
        <f t="shared" si="142"/>
        <v>0</v>
      </c>
      <c r="BH182" s="85">
        <f t="shared" si="143"/>
        <v>0</v>
      </c>
      <c r="BI182" s="85">
        <f t="shared" si="144"/>
        <v>0</v>
      </c>
      <c r="BJ182" s="85">
        <f t="shared" si="145"/>
        <v>0</v>
      </c>
      <c r="BK182" s="85">
        <f t="shared" si="146"/>
        <v>0</v>
      </c>
      <c r="BL182" s="85">
        <f t="shared" si="147"/>
        <v>0</v>
      </c>
      <c r="BM182" s="85">
        <f t="shared" si="148"/>
        <v>0</v>
      </c>
      <c r="BN182" s="85">
        <f t="shared" si="149"/>
        <v>0</v>
      </c>
      <c r="BO182" s="85">
        <f t="shared" si="150"/>
        <v>0</v>
      </c>
      <c r="BP182" s="85">
        <f t="shared" si="151"/>
        <v>0</v>
      </c>
      <c r="BQ182" s="85">
        <f t="shared" si="152"/>
        <v>0</v>
      </c>
      <c r="BR182" s="85">
        <f t="shared" si="153"/>
        <v>0</v>
      </c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W182">
        <v>3</v>
      </c>
      <c r="CX182" s="35">
        <v>44326</v>
      </c>
      <c r="CZ182" s="35">
        <f>B199</f>
        <v>44445</v>
      </c>
      <c r="DA182">
        <v>98</v>
      </c>
      <c r="DC182" s="57" t="str">
        <f t="shared" si="154"/>
        <v/>
      </c>
      <c r="DD182" s="64" t="str">
        <f t="shared" si="155"/>
        <v/>
      </c>
      <c r="DE182" s="65" t="str">
        <f t="shared" si="156"/>
        <v/>
      </c>
      <c r="DF182" s="66" t="str">
        <f t="shared" si="157"/>
        <v/>
      </c>
    </row>
    <row r="183" spans="2:110" hidden="1" outlineLevel="1">
      <c r="B183" s="54">
        <f t="shared" si="158"/>
        <v>44333</v>
      </c>
      <c r="C183" s="55" t="s">
        <v>1</v>
      </c>
      <c r="D183" s="56">
        <f t="shared" si="159"/>
        <v>44339</v>
      </c>
      <c r="E183" s="52">
        <f t="shared" si="160"/>
        <v>5</v>
      </c>
      <c r="F183" s="53">
        <f t="shared" si="161"/>
        <v>2021</v>
      </c>
      <c r="G183" s="62">
        <f t="shared" si="162"/>
        <v>15</v>
      </c>
      <c r="H183" s="63">
        <f t="shared" si="163"/>
        <v>96</v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>
        <v>15</v>
      </c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80"/>
      <c r="AG183" s="87">
        <f t="shared" si="117"/>
        <v>0</v>
      </c>
      <c r="AH183" s="87">
        <f t="shared" si="118"/>
        <v>0</v>
      </c>
      <c r="AI183" s="87">
        <f t="shared" si="119"/>
        <v>0</v>
      </c>
      <c r="AJ183" s="87">
        <f t="shared" si="120"/>
        <v>0</v>
      </c>
      <c r="AK183" s="87">
        <f t="shared" si="121"/>
        <v>0</v>
      </c>
      <c r="AL183" s="87">
        <f t="shared" si="122"/>
        <v>0</v>
      </c>
      <c r="AM183" s="87">
        <f t="shared" si="123"/>
        <v>0</v>
      </c>
      <c r="AN183" s="87">
        <f t="shared" si="124"/>
        <v>0</v>
      </c>
      <c r="AO183" s="87">
        <f t="shared" si="125"/>
        <v>0</v>
      </c>
      <c r="AP183" s="87">
        <f t="shared" si="126"/>
        <v>0</v>
      </c>
      <c r="AQ183" s="87">
        <f t="shared" si="127"/>
        <v>15</v>
      </c>
      <c r="AR183" s="81"/>
      <c r="AS183" s="85">
        <f t="shared" si="128"/>
        <v>0</v>
      </c>
      <c r="AT183" s="85">
        <f t="shared" si="129"/>
        <v>0</v>
      </c>
      <c r="AU183" s="85">
        <f t="shared" si="130"/>
        <v>0</v>
      </c>
      <c r="AV183" s="85">
        <f t="shared" si="131"/>
        <v>0</v>
      </c>
      <c r="AW183" s="85">
        <f t="shared" si="132"/>
        <v>0</v>
      </c>
      <c r="AX183" s="85">
        <f t="shared" si="133"/>
        <v>0</v>
      </c>
      <c r="AY183" s="85">
        <f t="shared" si="134"/>
        <v>0</v>
      </c>
      <c r="AZ183" s="85">
        <f t="shared" si="135"/>
        <v>0</v>
      </c>
      <c r="BA183" s="85">
        <f t="shared" si="136"/>
        <v>0</v>
      </c>
      <c r="BB183" s="85">
        <f t="shared" si="137"/>
        <v>0</v>
      </c>
      <c r="BC183" s="85">
        <f t="shared" si="138"/>
        <v>0</v>
      </c>
      <c r="BD183" s="85">
        <f t="shared" si="139"/>
        <v>0</v>
      </c>
      <c r="BE183" s="85">
        <f t="shared" si="140"/>
        <v>0</v>
      </c>
      <c r="BF183" s="85">
        <f t="shared" si="141"/>
        <v>0</v>
      </c>
      <c r="BG183" s="85">
        <f t="shared" si="142"/>
        <v>0</v>
      </c>
      <c r="BH183" s="85">
        <f t="shared" si="143"/>
        <v>0</v>
      </c>
      <c r="BI183" s="85">
        <f t="shared" si="144"/>
        <v>0</v>
      </c>
      <c r="BJ183" s="85">
        <f t="shared" si="145"/>
        <v>0</v>
      </c>
      <c r="BK183" s="85">
        <f t="shared" si="146"/>
        <v>0</v>
      </c>
      <c r="BL183" s="85">
        <f t="shared" si="147"/>
        <v>0</v>
      </c>
      <c r="BM183" s="85">
        <f t="shared" si="148"/>
        <v>0</v>
      </c>
      <c r="BN183" s="85">
        <f t="shared" si="149"/>
        <v>0</v>
      </c>
      <c r="BO183" s="85">
        <f t="shared" si="150"/>
        <v>0</v>
      </c>
      <c r="BP183" s="85">
        <f t="shared" si="151"/>
        <v>0</v>
      </c>
      <c r="BQ183" s="85">
        <f t="shared" si="152"/>
        <v>0</v>
      </c>
      <c r="BR183" s="85">
        <f t="shared" si="153"/>
        <v>0</v>
      </c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3"/>
      <c r="CO183" s="63"/>
      <c r="CP183" s="63"/>
      <c r="CQ183" s="63"/>
      <c r="CR183" s="63"/>
      <c r="CS183" s="63"/>
      <c r="CX183" s="35" t="s">
        <v>12</v>
      </c>
      <c r="CZ183" s="35"/>
      <c r="DC183" s="57" t="str">
        <f t="shared" si="154"/>
        <v/>
      </c>
      <c r="DD183" s="64" t="str">
        <f t="shared" si="155"/>
        <v/>
      </c>
      <c r="DE183" s="65" t="str">
        <f t="shared" si="156"/>
        <v/>
      </c>
      <c r="DF183" s="66" t="str">
        <f t="shared" si="157"/>
        <v/>
      </c>
    </row>
    <row r="184" spans="2:110" hidden="1" outlineLevel="1">
      <c r="B184" s="54">
        <f t="shared" si="158"/>
        <v>44340</v>
      </c>
      <c r="C184" s="55" t="s">
        <v>1</v>
      </c>
      <c r="D184" s="56">
        <f t="shared" si="159"/>
        <v>44346</v>
      </c>
      <c r="E184" s="52">
        <f t="shared" si="160"/>
        <v>5</v>
      </c>
      <c r="F184" s="53">
        <f t="shared" si="161"/>
        <v>2021</v>
      </c>
      <c r="G184" s="62">
        <f t="shared" si="162"/>
        <v>15</v>
      </c>
      <c r="H184" s="63">
        <f t="shared" si="163"/>
        <v>96</v>
      </c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>
        <v>15</v>
      </c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80"/>
      <c r="AG184" s="87">
        <f t="shared" si="117"/>
        <v>0</v>
      </c>
      <c r="AH184" s="87">
        <f t="shared" si="118"/>
        <v>0</v>
      </c>
      <c r="AI184" s="87">
        <f t="shared" si="119"/>
        <v>0</v>
      </c>
      <c r="AJ184" s="87">
        <f t="shared" si="120"/>
        <v>0</v>
      </c>
      <c r="AK184" s="87">
        <f t="shared" si="121"/>
        <v>0</v>
      </c>
      <c r="AL184" s="87">
        <f t="shared" si="122"/>
        <v>0</v>
      </c>
      <c r="AM184" s="87">
        <f t="shared" si="123"/>
        <v>0</v>
      </c>
      <c r="AN184" s="87">
        <f t="shared" si="124"/>
        <v>0</v>
      </c>
      <c r="AO184" s="87">
        <f t="shared" si="125"/>
        <v>0</v>
      </c>
      <c r="AP184" s="87">
        <f t="shared" si="126"/>
        <v>0</v>
      </c>
      <c r="AQ184" s="87">
        <f t="shared" si="127"/>
        <v>15</v>
      </c>
      <c r="AR184" s="81"/>
      <c r="AS184" s="85">
        <f t="shared" si="128"/>
        <v>0</v>
      </c>
      <c r="AT184" s="85">
        <f t="shared" si="129"/>
        <v>0</v>
      </c>
      <c r="AU184" s="85">
        <f t="shared" si="130"/>
        <v>0</v>
      </c>
      <c r="AV184" s="85">
        <f t="shared" si="131"/>
        <v>0</v>
      </c>
      <c r="AW184" s="85">
        <f t="shared" si="132"/>
        <v>0</v>
      </c>
      <c r="AX184" s="85">
        <f t="shared" si="133"/>
        <v>0</v>
      </c>
      <c r="AY184" s="85">
        <f t="shared" si="134"/>
        <v>0</v>
      </c>
      <c r="AZ184" s="85">
        <f t="shared" si="135"/>
        <v>0</v>
      </c>
      <c r="BA184" s="85">
        <f t="shared" si="136"/>
        <v>0</v>
      </c>
      <c r="BB184" s="85">
        <f t="shared" si="137"/>
        <v>0</v>
      </c>
      <c r="BC184" s="85">
        <f t="shared" si="138"/>
        <v>0</v>
      </c>
      <c r="BD184" s="85">
        <f t="shared" si="139"/>
        <v>0</v>
      </c>
      <c r="BE184" s="85">
        <f t="shared" si="140"/>
        <v>0</v>
      </c>
      <c r="BF184" s="85">
        <f t="shared" si="141"/>
        <v>0</v>
      </c>
      <c r="BG184" s="85">
        <f t="shared" si="142"/>
        <v>0</v>
      </c>
      <c r="BH184" s="85">
        <f t="shared" si="143"/>
        <v>0</v>
      </c>
      <c r="BI184" s="85">
        <f t="shared" si="144"/>
        <v>0</v>
      </c>
      <c r="BJ184" s="85">
        <f t="shared" si="145"/>
        <v>0</v>
      </c>
      <c r="BK184" s="85">
        <f t="shared" si="146"/>
        <v>0</v>
      </c>
      <c r="BL184" s="85">
        <f t="shared" si="147"/>
        <v>0</v>
      </c>
      <c r="BM184" s="85">
        <f t="shared" si="148"/>
        <v>0</v>
      </c>
      <c r="BN184" s="85">
        <f t="shared" si="149"/>
        <v>0</v>
      </c>
      <c r="BO184" s="85">
        <f t="shared" si="150"/>
        <v>0</v>
      </c>
      <c r="BP184" s="85">
        <f t="shared" si="151"/>
        <v>0</v>
      </c>
      <c r="BQ184" s="85">
        <f t="shared" si="152"/>
        <v>0</v>
      </c>
      <c r="BR184" s="85">
        <f t="shared" si="153"/>
        <v>0</v>
      </c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3"/>
      <c r="CM184" s="63"/>
      <c r="CN184" s="63"/>
      <c r="CO184" s="63"/>
      <c r="CP184" s="63"/>
      <c r="CQ184" s="63"/>
      <c r="CR184" s="63"/>
      <c r="CS184" s="63"/>
      <c r="CX184" s="35" t="s">
        <v>12</v>
      </c>
      <c r="CZ184" s="35"/>
      <c r="DC184" s="57" t="str">
        <f t="shared" si="154"/>
        <v/>
      </c>
      <c r="DD184" s="64" t="str">
        <f t="shared" si="155"/>
        <v/>
      </c>
      <c r="DE184" s="65" t="str">
        <f t="shared" si="156"/>
        <v/>
      </c>
      <c r="DF184" s="66" t="str">
        <f t="shared" si="157"/>
        <v/>
      </c>
    </row>
    <row r="185" spans="2:110" hidden="1" outlineLevel="1">
      <c r="B185" s="54">
        <f t="shared" si="158"/>
        <v>44347</v>
      </c>
      <c r="C185" s="55" t="s">
        <v>1</v>
      </c>
      <c r="D185" s="56">
        <f t="shared" si="159"/>
        <v>44353</v>
      </c>
      <c r="E185" s="52">
        <f t="shared" si="160"/>
        <v>5</v>
      </c>
      <c r="F185" s="53">
        <f t="shared" si="161"/>
        <v>2021</v>
      </c>
      <c r="G185" s="62">
        <f t="shared" si="162"/>
        <v>15</v>
      </c>
      <c r="H185" s="63">
        <f t="shared" si="163"/>
        <v>96</v>
      </c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>
        <v>15</v>
      </c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80"/>
      <c r="AG185" s="87">
        <f t="shared" si="117"/>
        <v>0</v>
      </c>
      <c r="AH185" s="87">
        <f t="shared" si="118"/>
        <v>0</v>
      </c>
      <c r="AI185" s="87">
        <f t="shared" si="119"/>
        <v>0</v>
      </c>
      <c r="AJ185" s="87">
        <f t="shared" si="120"/>
        <v>0</v>
      </c>
      <c r="AK185" s="87">
        <f t="shared" si="121"/>
        <v>0</v>
      </c>
      <c r="AL185" s="87">
        <f t="shared" si="122"/>
        <v>0</v>
      </c>
      <c r="AM185" s="87">
        <f t="shared" si="123"/>
        <v>0</v>
      </c>
      <c r="AN185" s="87">
        <f t="shared" si="124"/>
        <v>0</v>
      </c>
      <c r="AO185" s="87">
        <f t="shared" si="125"/>
        <v>0</v>
      </c>
      <c r="AP185" s="87">
        <f t="shared" si="126"/>
        <v>0</v>
      </c>
      <c r="AQ185" s="87">
        <f t="shared" si="127"/>
        <v>15</v>
      </c>
      <c r="AR185" s="81"/>
      <c r="AS185" s="85">
        <f t="shared" si="128"/>
        <v>0</v>
      </c>
      <c r="AT185" s="85">
        <f t="shared" si="129"/>
        <v>0</v>
      </c>
      <c r="AU185" s="85">
        <f t="shared" si="130"/>
        <v>0</v>
      </c>
      <c r="AV185" s="85">
        <f t="shared" si="131"/>
        <v>0</v>
      </c>
      <c r="AW185" s="85">
        <f t="shared" si="132"/>
        <v>0</v>
      </c>
      <c r="AX185" s="85">
        <f t="shared" si="133"/>
        <v>0</v>
      </c>
      <c r="AY185" s="85">
        <f t="shared" si="134"/>
        <v>0</v>
      </c>
      <c r="AZ185" s="85">
        <f t="shared" si="135"/>
        <v>0</v>
      </c>
      <c r="BA185" s="85">
        <f t="shared" si="136"/>
        <v>0</v>
      </c>
      <c r="BB185" s="85">
        <f t="shared" si="137"/>
        <v>0</v>
      </c>
      <c r="BC185" s="85">
        <f t="shared" si="138"/>
        <v>0</v>
      </c>
      <c r="BD185" s="85">
        <f t="shared" si="139"/>
        <v>0</v>
      </c>
      <c r="BE185" s="85">
        <f t="shared" si="140"/>
        <v>0</v>
      </c>
      <c r="BF185" s="85">
        <f t="shared" si="141"/>
        <v>0</v>
      </c>
      <c r="BG185" s="85">
        <f t="shared" si="142"/>
        <v>0</v>
      </c>
      <c r="BH185" s="85">
        <f t="shared" si="143"/>
        <v>0</v>
      </c>
      <c r="BI185" s="85">
        <f t="shared" si="144"/>
        <v>0</v>
      </c>
      <c r="BJ185" s="85">
        <f t="shared" si="145"/>
        <v>0</v>
      </c>
      <c r="BK185" s="85">
        <f t="shared" si="146"/>
        <v>0</v>
      </c>
      <c r="BL185" s="85">
        <f t="shared" si="147"/>
        <v>0</v>
      </c>
      <c r="BM185" s="85">
        <f t="shared" si="148"/>
        <v>0</v>
      </c>
      <c r="BN185" s="85">
        <f t="shared" si="149"/>
        <v>0</v>
      </c>
      <c r="BO185" s="85">
        <f t="shared" si="150"/>
        <v>0</v>
      </c>
      <c r="BP185" s="85">
        <f t="shared" si="151"/>
        <v>0</v>
      </c>
      <c r="BQ185" s="85">
        <f t="shared" si="152"/>
        <v>0</v>
      </c>
      <c r="BR185" s="85">
        <f t="shared" si="153"/>
        <v>0</v>
      </c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3"/>
      <c r="CM185" s="63"/>
      <c r="CN185" s="63"/>
      <c r="CO185" s="63"/>
      <c r="CP185" s="63"/>
      <c r="CQ185" s="63"/>
      <c r="CR185" s="63"/>
      <c r="CS185" s="63"/>
      <c r="CX185" s="35" t="s">
        <v>12</v>
      </c>
      <c r="CZ185" s="35"/>
      <c r="DC185" s="57" t="str">
        <f t="shared" si="154"/>
        <v/>
      </c>
      <c r="DD185" s="64" t="str">
        <f t="shared" si="155"/>
        <v/>
      </c>
      <c r="DE185" s="65" t="str">
        <f t="shared" si="156"/>
        <v/>
      </c>
      <c r="DF185" s="66" t="str">
        <f t="shared" si="157"/>
        <v/>
      </c>
    </row>
    <row r="186" spans="2:110" hidden="1" outlineLevel="1">
      <c r="B186" s="54">
        <f t="shared" si="158"/>
        <v>44354</v>
      </c>
      <c r="C186" s="55" t="s">
        <v>1</v>
      </c>
      <c r="D186" s="56">
        <f t="shared" si="159"/>
        <v>44360</v>
      </c>
      <c r="E186" s="52">
        <f t="shared" si="160"/>
        <v>6</v>
      </c>
      <c r="F186" s="53">
        <f t="shared" si="161"/>
        <v>2021</v>
      </c>
      <c r="G186" s="62">
        <f t="shared" si="162"/>
        <v>15</v>
      </c>
      <c r="H186" s="63">
        <f t="shared" si="163"/>
        <v>96</v>
      </c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>
        <v>15</v>
      </c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80"/>
      <c r="AG186" s="87">
        <f t="shared" si="117"/>
        <v>0</v>
      </c>
      <c r="AH186" s="87">
        <f t="shared" si="118"/>
        <v>0</v>
      </c>
      <c r="AI186" s="87">
        <f t="shared" si="119"/>
        <v>0</v>
      </c>
      <c r="AJ186" s="87">
        <f t="shared" si="120"/>
        <v>0</v>
      </c>
      <c r="AK186" s="87">
        <f t="shared" si="121"/>
        <v>0</v>
      </c>
      <c r="AL186" s="87">
        <f t="shared" si="122"/>
        <v>0</v>
      </c>
      <c r="AM186" s="87">
        <f t="shared" si="123"/>
        <v>0</v>
      </c>
      <c r="AN186" s="87">
        <f t="shared" si="124"/>
        <v>0</v>
      </c>
      <c r="AO186" s="87">
        <f t="shared" si="125"/>
        <v>0</v>
      </c>
      <c r="AP186" s="87">
        <f t="shared" si="126"/>
        <v>0</v>
      </c>
      <c r="AQ186" s="87">
        <f t="shared" si="127"/>
        <v>15</v>
      </c>
      <c r="AR186" s="81"/>
      <c r="AS186" s="85">
        <f t="shared" si="128"/>
        <v>0</v>
      </c>
      <c r="AT186" s="85">
        <f t="shared" si="129"/>
        <v>0</v>
      </c>
      <c r="AU186" s="85">
        <f t="shared" si="130"/>
        <v>0</v>
      </c>
      <c r="AV186" s="85">
        <f t="shared" si="131"/>
        <v>0</v>
      </c>
      <c r="AW186" s="85">
        <f t="shared" si="132"/>
        <v>0</v>
      </c>
      <c r="AX186" s="85">
        <f t="shared" si="133"/>
        <v>0</v>
      </c>
      <c r="AY186" s="85">
        <f t="shared" si="134"/>
        <v>0</v>
      </c>
      <c r="AZ186" s="85">
        <f t="shared" si="135"/>
        <v>0</v>
      </c>
      <c r="BA186" s="85">
        <f t="shared" si="136"/>
        <v>0</v>
      </c>
      <c r="BB186" s="85">
        <f t="shared" si="137"/>
        <v>0</v>
      </c>
      <c r="BC186" s="85">
        <f t="shared" si="138"/>
        <v>0</v>
      </c>
      <c r="BD186" s="85">
        <f t="shared" si="139"/>
        <v>0</v>
      </c>
      <c r="BE186" s="85">
        <f t="shared" si="140"/>
        <v>0</v>
      </c>
      <c r="BF186" s="85">
        <f t="shared" si="141"/>
        <v>0</v>
      </c>
      <c r="BG186" s="85">
        <f t="shared" si="142"/>
        <v>0</v>
      </c>
      <c r="BH186" s="85">
        <f t="shared" si="143"/>
        <v>0</v>
      </c>
      <c r="BI186" s="85">
        <f t="shared" si="144"/>
        <v>0</v>
      </c>
      <c r="BJ186" s="85">
        <f t="shared" si="145"/>
        <v>0</v>
      </c>
      <c r="BK186" s="85">
        <f t="shared" si="146"/>
        <v>0</v>
      </c>
      <c r="BL186" s="85">
        <f t="shared" si="147"/>
        <v>0</v>
      </c>
      <c r="BM186" s="85">
        <f t="shared" si="148"/>
        <v>0</v>
      </c>
      <c r="BN186" s="85">
        <f t="shared" si="149"/>
        <v>0</v>
      </c>
      <c r="BO186" s="85">
        <f t="shared" si="150"/>
        <v>0</v>
      </c>
      <c r="BP186" s="85">
        <f t="shared" si="151"/>
        <v>0</v>
      </c>
      <c r="BQ186" s="85">
        <f t="shared" si="152"/>
        <v>0</v>
      </c>
      <c r="BR186" s="85">
        <f t="shared" si="153"/>
        <v>0</v>
      </c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3"/>
      <c r="CO186" s="63"/>
      <c r="CP186" s="63"/>
      <c r="CQ186" s="63"/>
      <c r="CR186" s="63"/>
      <c r="CS186" s="63"/>
      <c r="CX186" s="35" t="s">
        <v>12</v>
      </c>
      <c r="CZ186" s="35"/>
      <c r="DC186" s="57" t="str">
        <f t="shared" si="154"/>
        <v/>
      </c>
      <c r="DD186" s="64" t="str">
        <f t="shared" si="155"/>
        <v/>
      </c>
      <c r="DE186" s="65" t="str">
        <f t="shared" si="156"/>
        <v/>
      </c>
      <c r="DF186" s="66" t="str">
        <f t="shared" si="157"/>
        <v/>
      </c>
    </row>
    <row r="187" spans="2:110" hidden="1" outlineLevel="1">
      <c r="B187" s="54">
        <f t="shared" si="158"/>
        <v>44361</v>
      </c>
      <c r="C187" s="55" t="s">
        <v>1</v>
      </c>
      <c r="D187" s="56">
        <f t="shared" si="159"/>
        <v>44367</v>
      </c>
      <c r="E187" s="52">
        <f t="shared" si="160"/>
        <v>6</v>
      </c>
      <c r="F187" s="53">
        <f t="shared" si="161"/>
        <v>2021</v>
      </c>
      <c r="G187" s="62">
        <f t="shared" si="162"/>
        <v>15</v>
      </c>
      <c r="H187" s="63">
        <f t="shared" si="163"/>
        <v>96</v>
      </c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>
        <v>15</v>
      </c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80"/>
      <c r="AG187" s="87">
        <f t="shared" si="117"/>
        <v>0</v>
      </c>
      <c r="AH187" s="87">
        <f t="shared" si="118"/>
        <v>0</v>
      </c>
      <c r="AI187" s="87">
        <f t="shared" si="119"/>
        <v>0</v>
      </c>
      <c r="AJ187" s="87">
        <f t="shared" si="120"/>
        <v>0</v>
      </c>
      <c r="AK187" s="87">
        <f t="shared" si="121"/>
        <v>0</v>
      </c>
      <c r="AL187" s="87">
        <f t="shared" si="122"/>
        <v>0</v>
      </c>
      <c r="AM187" s="87">
        <f t="shared" si="123"/>
        <v>0</v>
      </c>
      <c r="AN187" s="87">
        <f t="shared" si="124"/>
        <v>0</v>
      </c>
      <c r="AO187" s="87">
        <f t="shared" si="125"/>
        <v>0</v>
      </c>
      <c r="AP187" s="87">
        <f t="shared" si="126"/>
        <v>0</v>
      </c>
      <c r="AQ187" s="87">
        <f t="shared" si="127"/>
        <v>15</v>
      </c>
      <c r="AR187" s="81"/>
      <c r="AS187" s="85">
        <f t="shared" si="128"/>
        <v>0</v>
      </c>
      <c r="AT187" s="85">
        <f t="shared" si="129"/>
        <v>0</v>
      </c>
      <c r="AU187" s="85">
        <f t="shared" si="130"/>
        <v>0</v>
      </c>
      <c r="AV187" s="85">
        <f t="shared" si="131"/>
        <v>0</v>
      </c>
      <c r="AW187" s="85">
        <f t="shared" si="132"/>
        <v>0</v>
      </c>
      <c r="AX187" s="85">
        <f t="shared" si="133"/>
        <v>0</v>
      </c>
      <c r="AY187" s="85">
        <f t="shared" si="134"/>
        <v>0</v>
      </c>
      <c r="AZ187" s="85">
        <f t="shared" si="135"/>
        <v>0</v>
      </c>
      <c r="BA187" s="85">
        <f t="shared" si="136"/>
        <v>0</v>
      </c>
      <c r="BB187" s="85">
        <f t="shared" si="137"/>
        <v>0</v>
      </c>
      <c r="BC187" s="85">
        <f t="shared" si="138"/>
        <v>0</v>
      </c>
      <c r="BD187" s="85">
        <f t="shared" si="139"/>
        <v>0</v>
      </c>
      <c r="BE187" s="85">
        <f t="shared" si="140"/>
        <v>0</v>
      </c>
      <c r="BF187" s="85">
        <f t="shared" si="141"/>
        <v>0</v>
      </c>
      <c r="BG187" s="85">
        <f t="shared" si="142"/>
        <v>0</v>
      </c>
      <c r="BH187" s="85">
        <f t="shared" si="143"/>
        <v>0</v>
      </c>
      <c r="BI187" s="85">
        <f t="shared" si="144"/>
        <v>0</v>
      </c>
      <c r="BJ187" s="85">
        <f t="shared" si="145"/>
        <v>0</v>
      </c>
      <c r="BK187" s="85">
        <f t="shared" si="146"/>
        <v>0</v>
      </c>
      <c r="BL187" s="85">
        <f t="shared" si="147"/>
        <v>0</v>
      </c>
      <c r="BM187" s="85">
        <f t="shared" si="148"/>
        <v>0</v>
      </c>
      <c r="BN187" s="85">
        <f t="shared" si="149"/>
        <v>0</v>
      </c>
      <c r="BO187" s="85">
        <f t="shared" si="150"/>
        <v>0</v>
      </c>
      <c r="BP187" s="85">
        <f t="shared" si="151"/>
        <v>0</v>
      </c>
      <c r="BQ187" s="85">
        <f t="shared" si="152"/>
        <v>0</v>
      </c>
      <c r="BR187" s="85">
        <f t="shared" si="153"/>
        <v>0</v>
      </c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  <c r="CO187" s="63"/>
      <c r="CP187" s="63"/>
      <c r="CQ187" s="63"/>
      <c r="CR187" s="63"/>
      <c r="CS187" s="63"/>
      <c r="CX187" s="35" t="s">
        <v>12</v>
      </c>
      <c r="CZ187" s="35"/>
      <c r="DC187" s="57" t="str">
        <f t="shared" si="154"/>
        <v/>
      </c>
      <c r="DD187" s="64" t="str">
        <f t="shared" si="155"/>
        <v/>
      </c>
      <c r="DE187" s="65" t="str">
        <f t="shared" si="156"/>
        <v/>
      </c>
      <c r="DF187" s="66" t="str">
        <f t="shared" si="157"/>
        <v/>
      </c>
    </row>
    <row r="188" spans="2:110" hidden="1" outlineLevel="1">
      <c r="B188" s="54">
        <f t="shared" si="158"/>
        <v>44368</v>
      </c>
      <c r="C188" s="55" t="s">
        <v>1</v>
      </c>
      <c r="D188" s="56">
        <f t="shared" si="159"/>
        <v>44374</v>
      </c>
      <c r="E188" s="52">
        <f t="shared" si="160"/>
        <v>6</v>
      </c>
      <c r="F188" s="53">
        <f t="shared" si="161"/>
        <v>2021</v>
      </c>
      <c r="G188" s="62">
        <f t="shared" si="162"/>
        <v>15</v>
      </c>
      <c r="H188" s="63">
        <f t="shared" si="163"/>
        <v>96</v>
      </c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>
        <v>15</v>
      </c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80"/>
      <c r="AG188" s="87">
        <f t="shared" si="117"/>
        <v>0</v>
      </c>
      <c r="AH188" s="87">
        <f t="shared" si="118"/>
        <v>0</v>
      </c>
      <c r="AI188" s="87">
        <f t="shared" si="119"/>
        <v>0</v>
      </c>
      <c r="AJ188" s="87">
        <f t="shared" si="120"/>
        <v>0</v>
      </c>
      <c r="AK188" s="87">
        <f t="shared" si="121"/>
        <v>0</v>
      </c>
      <c r="AL188" s="87">
        <f t="shared" si="122"/>
        <v>0</v>
      </c>
      <c r="AM188" s="87">
        <f t="shared" si="123"/>
        <v>0</v>
      </c>
      <c r="AN188" s="87">
        <f t="shared" si="124"/>
        <v>0</v>
      </c>
      <c r="AO188" s="87">
        <f t="shared" si="125"/>
        <v>0</v>
      </c>
      <c r="AP188" s="87">
        <f t="shared" si="126"/>
        <v>0</v>
      </c>
      <c r="AQ188" s="87">
        <f t="shared" si="127"/>
        <v>15</v>
      </c>
      <c r="AR188" s="81"/>
      <c r="AS188" s="85">
        <f t="shared" si="128"/>
        <v>0</v>
      </c>
      <c r="AT188" s="85">
        <f t="shared" si="129"/>
        <v>0</v>
      </c>
      <c r="AU188" s="85">
        <f t="shared" si="130"/>
        <v>0</v>
      </c>
      <c r="AV188" s="85">
        <f t="shared" si="131"/>
        <v>0</v>
      </c>
      <c r="AW188" s="85">
        <f t="shared" si="132"/>
        <v>0</v>
      </c>
      <c r="AX188" s="85">
        <f t="shared" si="133"/>
        <v>0</v>
      </c>
      <c r="AY188" s="85">
        <f t="shared" si="134"/>
        <v>0</v>
      </c>
      <c r="AZ188" s="85">
        <f t="shared" si="135"/>
        <v>0</v>
      </c>
      <c r="BA188" s="85">
        <f t="shared" si="136"/>
        <v>0</v>
      </c>
      <c r="BB188" s="85">
        <f t="shared" si="137"/>
        <v>0</v>
      </c>
      <c r="BC188" s="85">
        <f t="shared" si="138"/>
        <v>0</v>
      </c>
      <c r="BD188" s="85">
        <f t="shared" si="139"/>
        <v>0</v>
      </c>
      <c r="BE188" s="85">
        <f t="shared" si="140"/>
        <v>0</v>
      </c>
      <c r="BF188" s="85">
        <f t="shared" si="141"/>
        <v>0</v>
      </c>
      <c r="BG188" s="85">
        <f t="shared" si="142"/>
        <v>0</v>
      </c>
      <c r="BH188" s="85">
        <f t="shared" si="143"/>
        <v>0</v>
      </c>
      <c r="BI188" s="85">
        <f t="shared" si="144"/>
        <v>0</v>
      </c>
      <c r="BJ188" s="85">
        <f t="shared" si="145"/>
        <v>0</v>
      </c>
      <c r="BK188" s="85">
        <f t="shared" si="146"/>
        <v>0</v>
      </c>
      <c r="BL188" s="85">
        <f t="shared" si="147"/>
        <v>0</v>
      </c>
      <c r="BM188" s="85">
        <f t="shared" si="148"/>
        <v>0</v>
      </c>
      <c r="BN188" s="85">
        <f t="shared" si="149"/>
        <v>0</v>
      </c>
      <c r="BO188" s="85">
        <f t="shared" si="150"/>
        <v>0</v>
      </c>
      <c r="BP188" s="85">
        <f t="shared" si="151"/>
        <v>0</v>
      </c>
      <c r="BQ188" s="85">
        <f t="shared" si="152"/>
        <v>0</v>
      </c>
      <c r="BR188" s="85">
        <f t="shared" si="153"/>
        <v>0</v>
      </c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  <c r="CO188" s="63"/>
      <c r="CP188" s="63"/>
      <c r="CQ188" s="63"/>
      <c r="CR188" s="63"/>
      <c r="CS188" s="63"/>
      <c r="CX188" s="35" t="s">
        <v>12</v>
      </c>
      <c r="CZ188" s="35"/>
      <c r="DC188" s="57" t="str">
        <f t="shared" si="154"/>
        <v/>
      </c>
      <c r="DD188" s="64" t="str">
        <f t="shared" si="155"/>
        <v/>
      </c>
      <c r="DE188" s="65" t="str">
        <f t="shared" si="156"/>
        <v/>
      </c>
      <c r="DF188" s="66" t="str">
        <f t="shared" si="157"/>
        <v/>
      </c>
    </row>
    <row r="189" spans="2:110" hidden="1" outlineLevel="1">
      <c r="B189" s="54">
        <f t="shared" si="158"/>
        <v>44375</v>
      </c>
      <c r="C189" s="55" t="s">
        <v>1</v>
      </c>
      <c r="D189" s="56">
        <f t="shared" si="159"/>
        <v>44381</v>
      </c>
      <c r="E189" s="52">
        <f t="shared" si="160"/>
        <v>6</v>
      </c>
      <c r="F189" s="53">
        <f t="shared" si="161"/>
        <v>2021</v>
      </c>
      <c r="G189" s="62">
        <f t="shared" si="162"/>
        <v>15</v>
      </c>
      <c r="H189" s="63">
        <f t="shared" si="163"/>
        <v>96</v>
      </c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>
        <v>15</v>
      </c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80"/>
      <c r="AG189" s="87">
        <f t="shared" si="117"/>
        <v>0</v>
      </c>
      <c r="AH189" s="87">
        <f t="shared" si="118"/>
        <v>0</v>
      </c>
      <c r="AI189" s="87">
        <f t="shared" si="119"/>
        <v>0</v>
      </c>
      <c r="AJ189" s="87">
        <f t="shared" si="120"/>
        <v>0</v>
      </c>
      <c r="AK189" s="87">
        <f t="shared" si="121"/>
        <v>0</v>
      </c>
      <c r="AL189" s="87">
        <f t="shared" si="122"/>
        <v>0</v>
      </c>
      <c r="AM189" s="87">
        <f t="shared" si="123"/>
        <v>0</v>
      </c>
      <c r="AN189" s="87">
        <f t="shared" si="124"/>
        <v>0</v>
      </c>
      <c r="AO189" s="87">
        <f t="shared" si="125"/>
        <v>0</v>
      </c>
      <c r="AP189" s="87">
        <f t="shared" si="126"/>
        <v>0</v>
      </c>
      <c r="AQ189" s="87">
        <f t="shared" si="127"/>
        <v>15</v>
      </c>
      <c r="AR189" s="81"/>
      <c r="AS189" s="85">
        <f t="shared" si="128"/>
        <v>0</v>
      </c>
      <c r="AT189" s="85">
        <f t="shared" si="129"/>
        <v>0</v>
      </c>
      <c r="AU189" s="85">
        <f t="shared" si="130"/>
        <v>0</v>
      </c>
      <c r="AV189" s="85">
        <f t="shared" si="131"/>
        <v>0</v>
      </c>
      <c r="AW189" s="85">
        <f t="shared" si="132"/>
        <v>0</v>
      </c>
      <c r="AX189" s="85">
        <f t="shared" si="133"/>
        <v>0</v>
      </c>
      <c r="AY189" s="85">
        <f t="shared" si="134"/>
        <v>0</v>
      </c>
      <c r="AZ189" s="85">
        <f t="shared" si="135"/>
        <v>0</v>
      </c>
      <c r="BA189" s="85">
        <f t="shared" si="136"/>
        <v>0</v>
      </c>
      <c r="BB189" s="85">
        <f t="shared" si="137"/>
        <v>0</v>
      </c>
      <c r="BC189" s="85">
        <f t="shared" si="138"/>
        <v>0</v>
      </c>
      <c r="BD189" s="85">
        <f t="shared" si="139"/>
        <v>0</v>
      </c>
      <c r="BE189" s="85">
        <f t="shared" si="140"/>
        <v>0</v>
      </c>
      <c r="BF189" s="85">
        <f t="shared" si="141"/>
        <v>0</v>
      </c>
      <c r="BG189" s="85">
        <f t="shared" si="142"/>
        <v>0</v>
      </c>
      <c r="BH189" s="85">
        <f t="shared" si="143"/>
        <v>0</v>
      </c>
      <c r="BI189" s="85">
        <f t="shared" si="144"/>
        <v>0</v>
      </c>
      <c r="BJ189" s="85">
        <f t="shared" si="145"/>
        <v>0</v>
      </c>
      <c r="BK189" s="85">
        <f t="shared" si="146"/>
        <v>0</v>
      </c>
      <c r="BL189" s="85">
        <f t="shared" si="147"/>
        <v>0</v>
      </c>
      <c r="BM189" s="85">
        <f t="shared" si="148"/>
        <v>0</v>
      </c>
      <c r="BN189" s="85">
        <f t="shared" si="149"/>
        <v>0</v>
      </c>
      <c r="BO189" s="85">
        <f t="shared" si="150"/>
        <v>0</v>
      </c>
      <c r="BP189" s="85">
        <f t="shared" si="151"/>
        <v>0</v>
      </c>
      <c r="BQ189" s="85">
        <f t="shared" si="152"/>
        <v>0</v>
      </c>
      <c r="BR189" s="85">
        <f t="shared" si="153"/>
        <v>0</v>
      </c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  <c r="CO189" s="63"/>
      <c r="CP189" s="63"/>
      <c r="CQ189" s="63"/>
      <c r="CR189" s="63"/>
      <c r="CS189" s="63"/>
      <c r="CW189">
        <v>4</v>
      </c>
      <c r="CX189" s="35">
        <v>44375</v>
      </c>
      <c r="CZ189" s="35">
        <f>B204</f>
        <v>44480</v>
      </c>
      <c r="DA189">
        <v>98</v>
      </c>
      <c r="DC189" s="57" t="str">
        <f t="shared" si="154"/>
        <v/>
      </c>
      <c r="DD189" s="64" t="str">
        <f t="shared" si="155"/>
        <v/>
      </c>
      <c r="DE189" s="65" t="str">
        <f t="shared" si="156"/>
        <v/>
      </c>
      <c r="DF189" s="66" t="str">
        <f t="shared" si="157"/>
        <v/>
      </c>
    </row>
    <row r="190" spans="2:110" hidden="1" outlineLevel="1">
      <c r="B190" s="54">
        <f t="shared" si="158"/>
        <v>44382</v>
      </c>
      <c r="C190" s="55" t="s">
        <v>1</v>
      </c>
      <c r="D190" s="56">
        <f t="shared" si="159"/>
        <v>44388</v>
      </c>
      <c r="E190" s="52">
        <f t="shared" si="160"/>
        <v>7</v>
      </c>
      <c r="F190" s="53">
        <f t="shared" si="161"/>
        <v>2021</v>
      </c>
      <c r="G190" s="62">
        <f t="shared" si="162"/>
        <v>15</v>
      </c>
      <c r="H190" s="63">
        <f t="shared" si="163"/>
        <v>96</v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>
        <v>15</v>
      </c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80"/>
      <c r="AG190" s="87">
        <f t="shared" si="117"/>
        <v>0</v>
      </c>
      <c r="AH190" s="87">
        <f t="shared" si="118"/>
        <v>0</v>
      </c>
      <c r="AI190" s="87">
        <f t="shared" si="119"/>
        <v>0</v>
      </c>
      <c r="AJ190" s="87">
        <f t="shared" si="120"/>
        <v>0</v>
      </c>
      <c r="AK190" s="87">
        <f t="shared" si="121"/>
        <v>0</v>
      </c>
      <c r="AL190" s="87">
        <f t="shared" si="122"/>
        <v>0</v>
      </c>
      <c r="AM190" s="87">
        <f t="shared" si="123"/>
        <v>0</v>
      </c>
      <c r="AN190" s="87">
        <f t="shared" si="124"/>
        <v>0</v>
      </c>
      <c r="AO190" s="87">
        <f t="shared" si="125"/>
        <v>0</v>
      </c>
      <c r="AP190" s="87">
        <f t="shared" si="126"/>
        <v>0</v>
      </c>
      <c r="AQ190" s="87">
        <f t="shared" si="127"/>
        <v>15</v>
      </c>
      <c r="AR190" s="81"/>
      <c r="AS190" s="85">
        <f t="shared" si="128"/>
        <v>0</v>
      </c>
      <c r="AT190" s="85">
        <f t="shared" si="129"/>
        <v>0</v>
      </c>
      <c r="AU190" s="85">
        <f t="shared" si="130"/>
        <v>0</v>
      </c>
      <c r="AV190" s="85">
        <f t="shared" si="131"/>
        <v>0</v>
      </c>
      <c r="AW190" s="85">
        <f t="shared" si="132"/>
        <v>0</v>
      </c>
      <c r="AX190" s="85">
        <f t="shared" si="133"/>
        <v>0</v>
      </c>
      <c r="AY190" s="85">
        <f t="shared" si="134"/>
        <v>0</v>
      </c>
      <c r="AZ190" s="85">
        <f t="shared" si="135"/>
        <v>0</v>
      </c>
      <c r="BA190" s="85">
        <f t="shared" si="136"/>
        <v>0</v>
      </c>
      <c r="BB190" s="85">
        <f t="shared" si="137"/>
        <v>0</v>
      </c>
      <c r="BC190" s="85">
        <f t="shared" si="138"/>
        <v>0</v>
      </c>
      <c r="BD190" s="85">
        <f t="shared" si="139"/>
        <v>0</v>
      </c>
      <c r="BE190" s="85">
        <f t="shared" si="140"/>
        <v>0</v>
      </c>
      <c r="BF190" s="85">
        <f t="shared" si="141"/>
        <v>0</v>
      </c>
      <c r="BG190" s="85">
        <f t="shared" si="142"/>
        <v>0</v>
      </c>
      <c r="BH190" s="85">
        <f t="shared" si="143"/>
        <v>0</v>
      </c>
      <c r="BI190" s="85">
        <f t="shared" si="144"/>
        <v>0</v>
      </c>
      <c r="BJ190" s="85">
        <f t="shared" si="145"/>
        <v>0</v>
      </c>
      <c r="BK190" s="85">
        <f t="shared" si="146"/>
        <v>0</v>
      </c>
      <c r="BL190" s="85">
        <f t="shared" si="147"/>
        <v>0</v>
      </c>
      <c r="BM190" s="85">
        <f t="shared" si="148"/>
        <v>0</v>
      </c>
      <c r="BN190" s="85">
        <f t="shared" si="149"/>
        <v>0</v>
      </c>
      <c r="BO190" s="85">
        <f t="shared" si="150"/>
        <v>0</v>
      </c>
      <c r="BP190" s="85">
        <f t="shared" si="151"/>
        <v>0</v>
      </c>
      <c r="BQ190" s="85">
        <f t="shared" si="152"/>
        <v>0</v>
      </c>
      <c r="BR190" s="85">
        <f t="shared" si="153"/>
        <v>0</v>
      </c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X190" s="35" t="s">
        <v>12</v>
      </c>
      <c r="CZ190" s="35"/>
      <c r="DC190" s="57" t="str">
        <f t="shared" si="154"/>
        <v/>
      </c>
      <c r="DD190" s="64" t="str">
        <f t="shared" si="155"/>
        <v/>
      </c>
      <c r="DE190" s="65" t="str">
        <f t="shared" si="156"/>
        <v/>
      </c>
      <c r="DF190" s="66" t="str">
        <f t="shared" si="157"/>
        <v/>
      </c>
    </row>
    <row r="191" spans="2:110" hidden="1" outlineLevel="1">
      <c r="B191" s="54">
        <f t="shared" si="158"/>
        <v>44389</v>
      </c>
      <c r="C191" s="55" t="s">
        <v>1</v>
      </c>
      <c r="D191" s="56">
        <f t="shared" si="159"/>
        <v>44395</v>
      </c>
      <c r="E191" s="52">
        <f t="shared" si="160"/>
        <v>7</v>
      </c>
      <c r="F191" s="53">
        <f t="shared" si="161"/>
        <v>2021</v>
      </c>
      <c r="G191" s="62">
        <f t="shared" si="162"/>
        <v>15</v>
      </c>
      <c r="H191" s="63">
        <f t="shared" si="163"/>
        <v>96</v>
      </c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>
        <v>15</v>
      </c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80"/>
      <c r="AG191" s="87">
        <f t="shared" si="117"/>
        <v>0</v>
      </c>
      <c r="AH191" s="87">
        <f t="shared" si="118"/>
        <v>0</v>
      </c>
      <c r="AI191" s="87">
        <f t="shared" si="119"/>
        <v>0</v>
      </c>
      <c r="AJ191" s="87">
        <f t="shared" si="120"/>
        <v>0</v>
      </c>
      <c r="AK191" s="87">
        <f t="shared" si="121"/>
        <v>0</v>
      </c>
      <c r="AL191" s="87">
        <f t="shared" si="122"/>
        <v>0</v>
      </c>
      <c r="AM191" s="87">
        <f t="shared" si="123"/>
        <v>0</v>
      </c>
      <c r="AN191" s="87">
        <f t="shared" si="124"/>
        <v>0</v>
      </c>
      <c r="AO191" s="87">
        <f t="shared" si="125"/>
        <v>0</v>
      </c>
      <c r="AP191" s="87">
        <f t="shared" si="126"/>
        <v>0</v>
      </c>
      <c r="AQ191" s="87">
        <f t="shared" si="127"/>
        <v>15</v>
      </c>
      <c r="AR191" s="81"/>
      <c r="AS191" s="85">
        <f t="shared" si="128"/>
        <v>0</v>
      </c>
      <c r="AT191" s="85">
        <f t="shared" si="129"/>
        <v>0</v>
      </c>
      <c r="AU191" s="85">
        <f t="shared" si="130"/>
        <v>0</v>
      </c>
      <c r="AV191" s="85">
        <f t="shared" si="131"/>
        <v>0</v>
      </c>
      <c r="AW191" s="85">
        <f t="shared" si="132"/>
        <v>0</v>
      </c>
      <c r="AX191" s="85">
        <f t="shared" si="133"/>
        <v>0</v>
      </c>
      <c r="AY191" s="85">
        <f t="shared" si="134"/>
        <v>0</v>
      </c>
      <c r="AZ191" s="85">
        <f t="shared" si="135"/>
        <v>0</v>
      </c>
      <c r="BA191" s="85">
        <f t="shared" si="136"/>
        <v>0</v>
      </c>
      <c r="BB191" s="85">
        <f t="shared" si="137"/>
        <v>0</v>
      </c>
      <c r="BC191" s="85">
        <f t="shared" si="138"/>
        <v>0</v>
      </c>
      <c r="BD191" s="85">
        <f t="shared" si="139"/>
        <v>0</v>
      </c>
      <c r="BE191" s="85">
        <f t="shared" si="140"/>
        <v>0</v>
      </c>
      <c r="BF191" s="85">
        <f t="shared" si="141"/>
        <v>0</v>
      </c>
      <c r="BG191" s="85">
        <f t="shared" si="142"/>
        <v>0</v>
      </c>
      <c r="BH191" s="85">
        <f t="shared" si="143"/>
        <v>0</v>
      </c>
      <c r="BI191" s="85">
        <f t="shared" si="144"/>
        <v>0</v>
      </c>
      <c r="BJ191" s="85">
        <f t="shared" si="145"/>
        <v>0</v>
      </c>
      <c r="BK191" s="85">
        <f t="shared" si="146"/>
        <v>0</v>
      </c>
      <c r="BL191" s="85">
        <f t="shared" si="147"/>
        <v>0</v>
      </c>
      <c r="BM191" s="85">
        <f t="shared" si="148"/>
        <v>0</v>
      </c>
      <c r="BN191" s="85">
        <f t="shared" si="149"/>
        <v>0</v>
      </c>
      <c r="BO191" s="85">
        <f t="shared" si="150"/>
        <v>0</v>
      </c>
      <c r="BP191" s="85">
        <f t="shared" si="151"/>
        <v>0</v>
      </c>
      <c r="BQ191" s="85">
        <f t="shared" si="152"/>
        <v>0</v>
      </c>
      <c r="BR191" s="85">
        <f t="shared" si="153"/>
        <v>0</v>
      </c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X191" s="35" t="s">
        <v>12</v>
      </c>
      <c r="CZ191" s="35"/>
      <c r="DC191" s="57" t="str">
        <f t="shared" si="154"/>
        <v/>
      </c>
      <c r="DD191" s="64" t="str">
        <f t="shared" si="155"/>
        <v/>
      </c>
      <c r="DE191" s="65" t="str">
        <f t="shared" si="156"/>
        <v/>
      </c>
      <c r="DF191" s="66" t="str">
        <f t="shared" si="157"/>
        <v/>
      </c>
    </row>
    <row r="192" spans="2:110" hidden="1" outlineLevel="1">
      <c r="B192" s="54">
        <f t="shared" si="158"/>
        <v>44396</v>
      </c>
      <c r="C192" s="55" t="s">
        <v>1</v>
      </c>
      <c r="D192" s="56">
        <f t="shared" si="159"/>
        <v>44402</v>
      </c>
      <c r="E192" s="52">
        <f t="shared" si="160"/>
        <v>7</v>
      </c>
      <c r="F192" s="53">
        <f t="shared" si="161"/>
        <v>2021</v>
      </c>
      <c r="G192" s="62">
        <f t="shared" si="162"/>
        <v>15</v>
      </c>
      <c r="H192" s="63">
        <f t="shared" si="163"/>
        <v>96</v>
      </c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>
        <v>15</v>
      </c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80"/>
      <c r="AG192" s="87">
        <f t="shared" si="117"/>
        <v>0</v>
      </c>
      <c r="AH192" s="87">
        <f t="shared" si="118"/>
        <v>0</v>
      </c>
      <c r="AI192" s="87">
        <f t="shared" si="119"/>
        <v>0</v>
      </c>
      <c r="AJ192" s="87">
        <f t="shared" si="120"/>
        <v>0</v>
      </c>
      <c r="AK192" s="87">
        <f t="shared" si="121"/>
        <v>0</v>
      </c>
      <c r="AL192" s="87">
        <f t="shared" si="122"/>
        <v>0</v>
      </c>
      <c r="AM192" s="87">
        <f t="shared" si="123"/>
        <v>0</v>
      </c>
      <c r="AN192" s="87">
        <f t="shared" si="124"/>
        <v>0</v>
      </c>
      <c r="AO192" s="87">
        <f t="shared" si="125"/>
        <v>0</v>
      </c>
      <c r="AP192" s="87">
        <f t="shared" si="126"/>
        <v>0</v>
      </c>
      <c r="AQ192" s="87">
        <f t="shared" si="127"/>
        <v>15</v>
      </c>
      <c r="AR192" s="81"/>
      <c r="AS192" s="85">
        <f t="shared" si="128"/>
        <v>0</v>
      </c>
      <c r="AT192" s="85">
        <f t="shared" si="129"/>
        <v>0</v>
      </c>
      <c r="AU192" s="85">
        <f t="shared" si="130"/>
        <v>0</v>
      </c>
      <c r="AV192" s="85">
        <f t="shared" si="131"/>
        <v>0</v>
      </c>
      <c r="AW192" s="85">
        <f t="shared" si="132"/>
        <v>0</v>
      </c>
      <c r="AX192" s="85">
        <f t="shared" si="133"/>
        <v>0</v>
      </c>
      <c r="AY192" s="85">
        <f t="shared" si="134"/>
        <v>0</v>
      </c>
      <c r="AZ192" s="85">
        <f t="shared" si="135"/>
        <v>0</v>
      </c>
      <c r="BA192" s="85">
        <f t="shared" si="136"/>
        <v>0</v>
      </c>
      <c r="BB192" s="85">
        <f t="shared" si="137"/>
        <v>0</v>
      </c>
      <c r="BC192" s="85">
        <f t="shared" si="138"/>
        <v>0</v>
      </c>
      <c r="BD192" s="85">
        <f t="shared" si="139"/>
        <v>0</v>
      </c>
      <c r="BE192" s="85">
        <f t="shared" si="140"/>
        <v>0</v>
      </c>
      <c r="BF192" s="85">
        <f t="shared" si="141"/>
        <v>0</v>
      </c>
      <c r="BG192" s="85">
        <f t="shared" si="142"/>
        <v>0</v>
      </c>
      <c r="BH192" s="85">
        <f t="shared" si="143"/>
        <v>0</v>
      </c>
      <c r="BI192" s="85">
        <f t="shared" si="144"/>
        <v>0</v>
      </c>
      <c r="BJ192" s="85">
        <f t="shared" si="145"/>
        <v>0</v>
      </c>
      <c r="BK192" s="85">
        <f t="shared" si="146"/>
        <v>0</v>
      </c>
      <c r="BL192" s="85">
        <f t="shared" si="147"/>
        <v>0</v>
      </c>
      <c r="BM192" s="85">
        <f t="shared" si="148"/>
        <v>0</v>
      </c>
      <c r="BN192" s="85">
        <f t="shared" si="149"/>
        <v>0</v>
      </c>
      <c r="BO192" s="85">
        <f t="shared" si="150"/>
        <v>0</v>
      </c>
      <c r="BP192" s="85">
        <f t="shared" si="151"/>
        <v>0</v>
      </c>
      <c r="BQ192" s="85">
        <f t="shared" si="152"/>
        <v>0</v>
      </c>
      <c r="BR192" s="85">
        <f t="shared" si="153"/>
        <v>0</v>
      </c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3"/>
      <c r="CO192" s="63"/>
      <c r="CP192" s="63"/>
      <c r="CQ192" s="63"/>
      <c r="CR192" s="63"/>
      <c r="CS192" s="63"/>
      <c r="CX192" s="35" t="s">
        <v>12</v>
      </c>
      <c r="CZ192" s="35"/>
      <c r="DC192" s="57" t="str">
        <f t="shared" si="154"/>
        <v/>
      </c>
      <c r="DD192" s="64" t="str">
        <f t="shared" si="155"/>
        <v/>
      </c>
      <c r="DE192" s="65" t="str">
        <f t="shared" si="156"/>
        <v/>
      </c>
      <c r="DF192" s="66" t="str">
        <f t="shared" si="157"/>
        <v/>
      </c>
    </row>
    <row r="193" spans="2:110" hidden="1" outlineLevel="1">
      <c r="B193" s="54">
        <f t="shared" si="158"/>
        <v>44403</v>
      </c>
      <c r="C193" s="55" t="s">
        <v>1</v>
      </c>
      <c r="D193" s="56">
        <f t="shared" si="159"/>
        <v>44409</v>
      </c>
      <c r="E193" s="52">
        <f t="shared" si="160"/>
        <v>7</v>
      </c>
      <c r="F193" s="53">
        <f t="shared" si="161"/>
        <v>2021</v>
      </c>
      <c r="G193" s="62">
        <f t="shared" si="162"/>
        <v>15</v>
      </c>
      <c r="H193" s="63">
        <f t="shared" si="163"/>
        <v>96</v>
      </c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>
        <v>15</v>
      </c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80"/>
      <c r="AG193" s="87">
        <f t="shared" si="117"/>
        <v>0</v>
      </c>
      <c r="AH193" s="87">
        <f t="shared" si="118"/>
        <v>0</v>
      </c>
      <c r="AI193" s="87">
        <f t="shared" si="119"/>
        <v>0</v>
      </c>
      <c r="AJ193" s="87">
        <f t="shared" si="120"/>
        <v>0</v>
      </c>
      <c r="AK193" s="87">
        <f t="shared" si="121"/>
        <v>0</v>
      </c>
      <c r="AL193" s="87">
        <f t="shared" si="122"/>
        <v>0</v>
      </c>
      <c r="AM193" s="87">
        <f t="shared" si="123"/>
        <v>0</v>
      </c>
      <c r="AN193" s="87">
        <f t="shared" si="124"/>
        <v>0</v>
      </c>
      <c r="AO193" s="87">
        <f t="shared" si="125"/>
        <v>0</v>
      </c>
      <c r="AP193" s="87">
        <f t="shared" si="126"/>
        <v>0</v>
      </c>
      <c r="AQ193" s="87">
        <f t="shared" si="127"/>
        <v>15</v>
      </c>
      <c r="AR193" s="81"/>
      <c r="AS193" s="85">
        <f t="shared" si="128"/>
        <v>0</v>
      </c>
      <c r="AT193" s="85">
        <f t="shared" si="129"/>
        <v>0</v>
      </c>
      <c r="AU193" s="85">
        <f t="shared" si="130"/>
        <v>0</v>
      </c>
      <c r="AV193" s="85">
        <f t="shared" si="131"/>
        <v>0</v>
      </c>
      <c r="AW193" s="85">
        <f t="shared" si="132"/>
        <v>0</v>
      </c>
      <c r="AX193" s="85">
        <f t="shared" si="133"/>
        <v>0</v>
      </c>
      <c r="AY193" s="85">
        <f t="shared" si="134"/>
        <v>0</v>
      </c>
      <c r="AZ193" s="85">
        <f t="shared" si="135"/>
        <v>0</v>
      </c>
      <c r="BA193" s="85">
        <f t="shared" si="136"/>
        <v>0</v>
      </c>
      <c r="BB193" s="85">
        <f t="shared" si="137"/>
        <v>0</v>
      </c>
      <c r="BC193" s="85">
        <f t="shared" si="138"/>
        <v>0</v>
      </c>
      <c r="BD193" s="85">
        <f t="shared" si="139"/>
        <v>0</v>
      </c>
      <c r="BE193" s="85">
        <f t="shared" si="140"/>
        <v>0</v>
      </c>
      <c r="BF193" s="85">
        <f t="shared" si="141"/>
        <v>0</v>
      </c>
      <c r="BG193" s="85">
        <f t="shared" si="142"/>
        <v>0</v>
      </c>
      <c r="BH193" s="85">
        <f t="shared" si="143"/>
        <v>0</v>
      </c>
      <c r="BI193" s="85">
        <f t="shared" si="144"/>
        <v>0</v>
      </c>
      <c r="BJ193" s="85">
        <f t="shared" si="145"/>
        <v>0</v>
      </c>
      <c r="BK193" s="85">
        <f t="shared" si="146"/>
        <v>0</v>
      </c>
      <c r="BL193" s="85">
        <f t="shared" si="147"/>
        <v>0</v>
      </c>
      <c r="BM193" s="85">
        <f t="shared" si="148"/>
        <v>0</v>
      </c>
      <c r="BN193" s="85">
        <f t="shared" si="149"/>
        <v>0</v>
      </c>
      <c r="BO193" s="85">
        <f t="shared" si="150"/>
        <v>0</v>
      </c>
      <c r="BP193" s="85">
        <f t="shared" si="151"/>
        <v>0</v>
      </c>
      <c r="BQ193" s="85">
        <f t="shared" si="152"/>
        <v>0</v>
      </c>
      <c r="BR193" s="85">
        <f t="shared" si="153"/>
        <v>0</v>
      </c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3"/>
      <c r="CO193" s="63"/>
      <c r="CP193" s="63"/>
      <c r="CQ193" s="63"/>
      <c r="CR193" s="63"/>
      <c r="CS193" s="63"/>
      <c r="CX193" s="35" t="s">
        <v>12</v>
      </c>
      <c r="CZ193" s="35"/>
      <c r="DC193" s="57" t="str">
        <f t="shared" si="154"/>
        <v/>
      </c>
      <c r="DD193" s="64" t="str">
        <f t="shared" si="155"/>
        <v/>
      </c>
      <c r="DE193" s="65" t="str">
        <f t="shared" si="156"/>
        <v/>
      </c>
      <c r="DF193" s="66" t="str">
        <f t="shared" si="157"/>
        <v/>
      </c>
    </row>
    <row r="194" spans="2:110" hidden="1" outlineLevel="1">
      <c r="B194" s="54">
        <f t="shared" si="158"/>
        <v>44410</v>
      </c>
      <c r="C194" s="55" t="s">
        <v>1</v>
      </c>
      <c r="D194" s="56">
        <f t="shared" si="159"/>
        <v>44416</v>
      </c>
      <c r="E194" s="52">
        <f t="shared" si="160"/>
        <v>8</v>
      </c>
      <c r="F194" s="53">
        <f t="shared" si="161"/>
        <v>2021</v>
      </c>
      <c r="G194" s="62">
        <f t="shared" si="162"/>
        <v>15</v>
      </c>
      <c r="H194" s="63">
        <f t="shared" si="163"/>
        <v>96</v>
      </c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>
        <v>15</v>
      </c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80"/>
      <c r="AG194" s="87">
        <f t="shared" si="117"/>
        <v>0</v>
      </c>
      <c r="AH194" s="87">
        <f t="shared" si="118"/>
        <v>0</v>
      </c>
      <c r="AI194" s="87">
        <f t="shared" si="119"/>
        <v>0</v>
      </c>
      <c r="AJ194" s="87">
        <f t="shared" si="120"/>
        <v>0</v>
      </c>
      <c r="AK194" s="87">
        <f t="shared" si="121"/>
        <v>0</v>
      </c>
      <c r="AL194" s="87">
        <f t="shared" si="122"/>
        <v>0</v>
      </c>
      <c r="AM194" s="87">
        <f t="shared" si="123"/>
        <v>0</v>
      </c>
      <c r="AN194" s="87">
        <f t="shared" si="124"/>
        <v>0</v>
      </c>
      <c r="AO194" s="87">
        <f t="shared" si="125"/>
        <v>0</v>
      </c>
      <c r="AP194" s="87">
        <f t="shared" si="126"/>
        <v>0</v>
      </c>
      <c r="AQ194" s="87">
        <f t="shared" si="127"/>
        <v>15</v>
      </c>
      <c r="AR194" s="81"/>
      <c r="AS194" s="85">
        <f t="shared" si="128"/>
        <v>0</v>
      </c>
      <c r="AT194" s="85">
        <f t="shared" si="129"/>
        <v>0</v>
      </c>
      <c r="AU194" s="85">
        <f t="shared" si="130"/>
        <v>0</v>
      </c>
      <c r="AV194" s="85">
        <f t="shared" si="131"/>
        <v>0</v>
      </c>
      <c r="AW194" s="85">
        <f t="shared" si="132"/>
        <v>0</v>
      </c>
      <c r="AX194" s="85">
        <f t="shared" si="133"/>
        <v>0</v>
      </c>
      <c r="AY194" s="85">
        <f t="shared" si="134"/>
        <v>0</v>
      </c>
      <c r="AZ194" s="85">
        <f t="shared" si="135"/>
        <v>0</v>
      </c>
      <c r="BA194" s="85">
        <f t="shared" si="136"/>
        <v>0</v>
      </c>
      <c r="BB194" s="85">
        <f t="shared" si="137"/>
        <v>0</v>
      </c>
      <c r="BC194" s="85">
        <f t="shared" si="138"/>
        <v>0</v>
      </c>
      <c r="BD194" s="85">
        <f t="shared" si="139"/>
        <v>0</v>
      </c>
      <c r="BE194" s="85">
        <f t="shared" si="140"/>
        <v>0</v>
      </c>
      <c r="BF194" s="85">
        <f t="shared" si="141"/>
        <v>0</v>
      </c>
      <c r="BG194" s="85">
        <f t="shared" si="142"/>
        <v>0</v>
      </c>
      <c r="BH194" s="85">
        <f t="shared" si="143"/>
        <v>0</v>
      </c>
      <c r="BI194" s="85">
        <f t="shared" si="144"/>
        <v>0</v>
      </c>
      <c r="BJ194" s="85">
        <f t="shared" si="145"/>
        <v>0</v>
      </c>
      <c r="BK194" s="85">
        <f t="shared" si="146"/>
        <v>0</v>
      </c>
      <c r="BL194" s="85">
        <f t="shared" si="147"/>
        <v>0</v>
      </c>
      <c r="BM194" s="85">
        <f t="shared" si="148"/>
        <v>0</v>
      </c>
      <c r="BN194" s="85">
        <f t="shared" si="149"/>
        <v>0</v>
      </c>
      <c r="BO194" s="85">
        <f t="shared" si="150"/>
        <v>0</v>
      </c>
      <c r="BP194" s="85">
        <f t="shared" si="151"/>
        <v>0</v>
      </c>
      <c r="BQ194" s="85">
        <f t="shared" si="152"/>
        <v>0</v>
      </c>
      <c r="BR194" s="85">
        <f t="shared" si="153"/>
        <v>0</v>
      </c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3"/>
      <c r="CM194" s="63"/>
      <c r="CN194" s="63"/>
      <c r="CO194" s="63"/>
      <c r="CP194" s="63"/>
      <c r="CQ194" s="63"/>
      <c r="CR194" s="63"/>
      <c r="CS194" s="63"/>
      <c r="CW194">
        <v>5</v>
      </c>
      <c r="CX194" s="35">
        <v>44410</v>
      </c>
      <c r="CZ194" s="35">
        <f>B211</f>
        <v>44529</v>
      </c>
      <c r="DA194">
        <v>98</v>
      </c>
      <c r="DC194" s="57" t="str">
        <f t="shared" si="154"/>
        <v/>
      </c>
      <c r="DD194" s="64" t="str">
        <f t="shared" si="155"/>
        <v/>
      </c>
      <c r="DE194" s="65" t="str">
        <f t="shared" si="156"/>
        <v/>
      </c>
      <c r="DF194" s="66" t="str">
        <f t="shared" si="157"/>
        <v/>
      </c>
    </row>
    <row r="195" spans="2:110" hidden="1" outlineLevel="1">
      <c r="B195" s="54">
        <f t="shared" si="158"/>
        <v>44417</v>
      </c>
      <c r="C195" s="55" t="s">
        <v>1</v>
      </c>
      <c r="D195" s="56">
        <f t="shared" si="159"/>
        <v>44423</v>
      </c>
      <c r="E195" s="52">
        <f t="shared" si="160"/>
        <v>8</v>
      </c>
      <c r="F195" s="53">
        <f t="shared" si="161"/>
        <v>2021</v>
      </c>
      <c r="G195" s="62">
        <f t="shared" si="162"/>
        <v>15</v>
      </c>
      <c r="H195" s="63">
        <f t="shared" si="163"/>
        <v>96</v>
      </c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>
        <v>15</v>
      </c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80"/>
      <c r="AG195" s="87">
        <f t="shared" si="117"/>
        <v>0</v>
      </c>
      <c r="AH195" s="87">
        <f t="shared" si="118"/>
        <v>0</v>
      </c>
      <c r="AI195" s="87">
        <f t="shared" si="119"/>
        <v>0</v>
      </c>
      <c r="AJ195" s="87">
        <f t="shared" si="120"/>
        <v>0</v>
      </c>
      <c r="AK195" s="87">
        <f t="shared" si="121"/>
        <v>0</v>
      </c>
      <c r="AL195" s="87">
        <f t="shared" si="122"/>
        <v>0</v>
      </c>
      <c r="AM195" s="87">
        <f t="shared" si="123"/>
        <v>0</v>
      </c>
      <c r="AN195" s="87">
        <f t="shared" si="124"/>
        <v>0</v>
      </c>
      <c r="AO195" s="87">
        <f t="shared" si="125"/>
        <v>0</v>
      </c>
      <c r="AP195" s="87">
        <f t="shared" si="126"/>
        <v>0</v>
      </c>
      <c r="AQ195" s="87">
        <f t="shared" si="127"/>
        <v>15</v>
      </c>
      <c r="AR195" s="81"/>
      <c r="AS195" s="85">
        <f t="shared" si="128"/>
        <v>0</v>
      </c>
      <c r="AT195" s="85">
        <f t="shared" si="129"/>
        <v>0</v>
      </c>
      <c r="AU195" s="85">
        <f t="shared" si="130"/>
        <v>0</v>
      </c>
      <c r="AV195" s="85">
        <f t="shared" si="131"/>
        <v>0</v>
      </c>
      <c r="AW195" s="85">
        <f t="shared" si="132"/>
        <v>0</v>
      </c>
      <c r="AX195" s="85">
        <f t="shared" si="133"/>
        <v>0</v>
      </c>
      <c r="AY195" s="85">
        <f t="shared" si="134"/>
        <v>0</v>
      </c>
      <c r="AZ195" s="85">
        <f t="shared" si="135"/>
        <v>0</v>
      </c>
      <c r="BA195" s="85">
        <f t="shared" si="136"/>
        <v>0</v>
      </c>
      <c r="BB195" s="85">
        <f t="shared" si="137"/>
        <v>0</v>
      </c>
      <c r="BC195" s="85">
        <f t="shared" si="138"/>
        <v>0</v>
      </c>
      <c r="BD195" s="85">
        <f t="shared" si="139"/>
        <v>0</v>
      </c>
      <c r="BE195" s="85">
        <f t="shared" si="140"/>
        <v>0</v>
      </c>
      <c r="BF195" s="85">
        <f t="shared" si="141"/>
        <v>0</v>
      </c>
      <c r="BG195" s="85">
        <f t="shared" si="142"/>
        <v>0</v>
      </c>
      <c r="BH195" s="85">
        <f t="shared" si="143"/>
        <v>0</v>
      </c>
      <c r="BI195" s="85">
        <f t="shared" si="144"/>
        <v>0</v>
      </c>
      <c r="BJ195" s="85">
        <f t="shared" si="145"/>
        <v>0</v>
      </c>
      <c r="BK195" s="85">
        <f t="shared" si="146"/>
        <v>0</v>
      </c>
      <c r="BL195" s="85">
        <f t="shared" si="147"/>
        <v>0</v>
      </c>
      <c r="BM195" s="85">
        <f t="shared" si="148"/>
        <v>0</v>
      </c>
      <c r="BN195" s="85">
        <f t="shared" si="149"/>
        <v>0</v>
      </c>
      <c r="BO195" s="85">
        <f t="shared" si="150"/>
        <v>0</v>
      </c>
      <c r="BP195" s="85">
        <f t="shared" si="151"/>
        <v>0</v>
      </c>
      <c r="BQ195" s="85">
        <f t="shared" si="152"/>
        <v>0</v>
      </c>
      <c r="BR195" s="85">
        <f t="shared" si="153"/>
        <v>0</v>
      </c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3"/>
      <c r="CM195" s="63"/>
      <c r="CN195" s="63"/>
      <c r="CO195" s="63"/>
      <c r="CP195" s="63"/>
      <c r="CQ195" s="63"/>
      <c r="CR195" s="63"/>
      <c r="CS195" s="63"/>
      <c r="CX195" s="35" t="s">
        <v>12</v>
      </c>
      <c r="CZ195" s="35"/>
      <c r="DC195" s="57" t="str">
        <f t="shared" si="154"/>
        <v/>
      </c>
      <c r="DD195" s="64" t="str">
        <f t="shared" si="155"/>
        <v/>
      </c>
      <c r="DE195" s="65" t="str">
        <f t="shared" si="156"/>
        <v/>
      </c>
      <c r="DF195" s="66" t="str">
        <f t="shared" si="157"/>
        <v/>
      </c>
    </row>
    <row r="196" spans="2:110" hidden="1" outlineLevel="1">
      <c r="B196" s="54">
        <f t="shared" si="158"/>
        <v>44424</v>
      </c>
      <c r="C196" s="55" t="s">
        <v>1</v>
      </c>
      <c r="D196" s="56">
        <f t="shared" si="159"/>
        <v>44430</v>
      </c>
      <c r="E196" s="52">
        <f t="shared" si="160"/>
        <v>8</v>
      </c>
      <c r="F196" s="53">
        <f t="shared" si="161"/>
        <v>2021</v>
      </c>
      <c r="G196" s="62">
        <f t="shared" si="162"/>
        <v>15</v>
      </c>
      <c r="H196" s="63">
        <f t="shared" si="163"/>
        <v>96</v>
      </c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>
        <v>15</v>
      </c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80"/>
      <c r="AG196" s="87">
        <f t="shared" si="117"/>
        <v>0</v>
      </c>
      <c r="AH196" s="87">
        <f t="shared" si="118"/>
        <v>0</v>
      </c>
      <c r="AI196" s="87">
        <f t="shared" si="119"/>
        <v>0</v>
      </c>
      <c r="AJ196" s="87">
        <f t="shared" si="120"/>
        <v>0</v>
      </c>
      <c r="AK196" s="87">
        <f t="shared" si="121"/>
        <v>0</v>
      </c>
      <c r="AL196" s="87">
        <f t="shared" si="122"/>
        <v>0</v>
      </c>
      <c r="AM196" s="87">
        <f t="shared" si="123"/>
        <v>0</v>
      </c>
      <c r="AN196" s="87">
        <f t="shared" si="124"/>
        <v>0</v>
      </c>
      <c r="AO196" s="87">
        <f t="shared" si="125"/>
        <v>0</v>
      </c>
      <c r="AP196" s="87">
        <f t="shared" si="126"/>
        <v>0</v>
      </c>
      <c r="AQ196" s="87">
        <f t="shared" si="127"/>
        <v>15</v>
      </c>
      <c r="AR196" s="81"/>
      <c r="AS196" s="85">
        <f t="shared" si="128"/>
        <v>0</v>
      </c>
      <c r="AT196" s="85">
        <f t="shared" si="129"/>
        <v>0</v>
      </c>
      <c r="AU196" s="85">
        <f t="shared" si="130"/>
        <v>0</v>
      </c>
      <c r="AV196" s="85">
        <f t="shared" si="131"/>
        <v>0</v>
      </c>
      <c r="AW196" s="85">
        <f t="shared" si="132"/>
        <v>0</v>
      </c>
      <c r="AX196" s="85">
        <f t="shared" si="133"/>
        <v>0</v>
      </c>
      <c r="AY196" s="85">
        <f t="shared" si="134"/>
        <v>0</v>
      </c>
      <c r="AZ196" s="85">
        <f t="shared" si="135"/>
        <v>0</v>
      </c>
      <c r="BA196" s="85">
        <f t="shared" si="136"/>
        <v>0</v>
      </c>
      <c r="BB196" s="85">
        <f t="shared" si="137"/>
        <v>0</v>
      </c>
      <c r="BC196" s="85">
        <f t="shared" si="138"/>
        <v>0</v>
      </c>
      <c r="BD196" s="85">
        <f t="shared" si="139"/>
        <v>0</v>
      </c>
      <c r="BE196" s="85">
        <f t="shared" si="140"/>
        <v>0</v>
      </c>
      <c r="BF196" s="85">
        <f t="shared" si="141"/>
        <v>0</v>
      </c>
      <c r="BG196" s="85">
        <f t="shared" si="142"/>
        <v>0</v>
      </c>
      <c r="BH196" s="85">
        <f t="shared" si="143"/>
        <v>0</v>
      </c>
      <c r="BI196" s="85">
        <f t="shared" si="144"/>
        <v>0</v>
      </c>
      <c r="BJ196" s="85">
        <f t="shared" si="145"/>
        <v>0</v>
      </c>
      <c r="BK196" s="85">
        <f t="shared" si="146"/>
        <v>0</v>
      </c>
      <c r="BL196" s="85">
        <f t="shared" si="147"/>
        <v>0</v>
      </c>
      <c r="BM196" s="85">
        <f t="shared" si="148"/>
        <v>0</v>
      </c>
      <c r="BN196" s="85">
        <f t="shared" si="149"/>
        <v>0</v>
      </c>
      <c r="BO196" s="85">
        <f t="shared" si="150"/>
        <v>0</v>
      </c>
      <c r="BP196" s="85">
        <f t="shared" si="151"/>
        <v>0</v>
      </c>
      <c r="BQ196" s="85">
        <f t="shared" si="152"/>
        <v>0</v>
      </c>
      <c r="BR196" s="85">
        <f t="shared" si="153"/>
        <v>0</v>
      </c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3"/>
      <c r="CM196" s="63"/>
      <c r="CN196" s="63"/>
      <c r="CO196" s="63"/>
      <c r="CP196" s="63"/>
      <c r="CQ196" s="63"/>
      <c r="CR196" s="63"/>
      <c r="CS196" s="63"/>
      <c r="CX196" s="35" t="s">
        <v>12</v>
      </c>
      <c r="CZ196" s="35"/>
      <c r="DC196" s="57" t="str">
        <f t="shared" si="154"/>
        <v/>
      </c>
      <c r="DD196" s="64" t="str">
        <f t="shared" si="155"/>
        <v/>
      </c>
      <c r="DE196" s="65" t="str">
        <f t="shared" si="156"/>
        <v/>
      </c>
      <c r="DF196" s="66" t="str">
        <f t="shared" si="157"/>
        <v/>
      </c>
    </row>
    <row r="197" spans="2:110" hidden="1" outlineLevel="1">
      <c r="B197" s="54">
        <f t="shared" si="158"/>
        <v>44431</v>
      </c>
      <c r="C197" s="55" t="s">
        <v>1</v>
      </c>
      <c r="D197" s="56">
        <f t="shared" si="159"/>
        <v>44437</v>
      </c>
      <c r="E197" s="52">
        <f t="shared" si="160"/>
        <v>8</v>
      </c>
      <c r="F197" s="53">
        <f t="shared" si="161"/>
        <v>2021</v>
      </c>
      <c r="G197" s="62">
        <f t="shared" si="162"/>
        <v>15</v>
      </c>
      <c r="H197" s="63">
        <f t="shared" si="163"/>
        <v>96</v>
      </c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>
        <v>15</v>
      </c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80"/>
      <c r="AG197" s="87">
        <f t="shared" si="117"/>
        <v>0</v>
      </c>
      <c r="AH197" s="87">
        <f t="shared" si="118"/>
        <v>0</v>
      </c>
      <c r="AI197" s="87">
        <f t="shared" si="119"/>
        <v>0</v>
      </c>
      <c r="AJ197" s="87">
        <f t="shared" si="120"/>
        <v>0</v>
      </c>
      <c r="AK197" s="87">
        <f t="shared" si="121"/>
        <v>0</v>
      </c>
      <c r="AL197" s="87">
        <f t="shared" si="122"/>
        <v>0</v>
      </c>
      <c r="AM197" s="87">
        <f t="shared" si="123"/>
        <v>0</v>
      </c>
      <c r="AN197" s="87">
        <f t="shared" si="124"/>
        <v>0</v>
      </c>
      <c r="AO197" s="87">
        <f t="shared" si="125"/>
        <v>0</v>
      </c>
      <c r="AP197" s="87">
        <f t="shared" si="126"/>
        <v>0</v>
      </c>
      <c r="AQ197" s="87">
        <f t="shared" si="127"/>
        <v>15</v>
      </c>
      <c r="AR197" s="81"/>
      <c r="AS197" s="85">
        <f t="shared" si="128"/>
        <v>0</v>
      </c>
      <c r="AT197" s="85">
        <f t="shared" si="129"/>
        <v>0</v>
      </c>
      <c r="AU197" s="85">
        <f t="shared" si="130"/>
        <v>0</v>
      </c>
      <c r="AV197" s="85">
        <f t="shared" si="131"/>
        <v>0</v>
      </c>
      <c r="AW197" s="85">
        <f t="shared" si="132"/>
        <v>0</v>
      </c>
      <c r="AX197" s="85">
        <f t="shared" si="133"/>
        <v>0</v>
      </c>
      <c r="AY197" s="85">
        <f t="shared" si="134"/>
        <v>0</v>
      </c>
      <c r="AZ197" s="85">
        <f t="shared" si="135"/>
        <v>0</v>
      </c>
      <c r="BA197" s="85">
        <f t="shared" si="136"/>
        <v>0</v>
      </c>
      <c r="BB197" s="85">
        <f t="shared" si="137"/>
        <v>0</v>
      </c>
      <c r="BC197" s="85">
        <f t="shared" si="138"/>
        <v>0</v>
      </c>
      <c r="BD197" s="85">
        <f t="shared" si="139"/>
        <v>0</v>
      </c>
      <c r="BE197" s="85">
        <f t="shared" si="140"/>
        <v>0</v>
      </c>
      <c r="BF197" s="85">
        <f t="shared" si="141"/>
        <v>0</v>
      </c>
      <c r="BG197" s="85">
        <f t="shared" si="142"/>
        <v>0</v>
      </c>
      <c r="BH197" s="85">
        <f t="shared" si="143"/>
        <v>0</v>
      </c>
      <c r="BI197" s="85">
        <f t="shared" si="144"/>
        <v>0</v>
      </c>
      <c r="BJ197" s="85">
        <f t="shared" si="145"/>
        <v>0</v>
      </c>
      <c r="BK197" s="85">
        <f t="shared" si="146"/>
        <v>0</v>
      </c>
      <c r="BL197" s="85">
        <f t="shared" si="147"/>
        <v>0</v>
      </c>
      <c r="BM197" s="85">
        <f t="shared" si="148"/>
        <v>0</v>
      </c>
      <c r="BN197" s="85">
        <f t="shared" si="149"/>
        <v>0</v>
      </c>
      <c r="BO197" s="85">
        <f t="shared" si="150"/>
        <v>0</v>
      </c>
      <c r="BP197" s="85">
        <f t="shared" si="151"/>
        <v>0</v>
      </c>
      <c r="BQ197" s="85">
        <f t="shared" si="152"/>
        <v>0</v>
      </c>
      <c r="BR197" s="85">
        <f t="shared" si="153"/>
        <v>0</v>
      </c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X197" s="35" t="s">
        <v>12</v>
      </c>
      <c r="CZ197" s="35"/>
      <c r="DC197" s="57" t="str">
        <f t="shared" si="154"/>
        <v/>
      </c>
      <c r="DD197" s="64" t="str">
        <f t="shared" si="155"/>
        <v/>
      </c>
      <c r="DE197" s="65" t="str">
        <f t="shared" si="156"/>
        <v/>
      </c>
      <c r="DF197" s="66" t="str">
        <f t="shared" si="157"/>
        <v/>
      </c>
    </row>
    <row r="198" spans="2:110" hidden="1" outlineLevel="1">
      <c r="B198" s="54">
        <f t="shared" si="158"/>
        <v>44438</v>
      </c>
      <c r="C198" s="55" t="s">
        <v>1</v>
      </c>
      <c r="D198" s="56">
        <f t="shared" si="159"/>
        <v>44444</v>
      </c>
      <c r="E198" s="52">
        <f t="shared" si="160"/>
        <v>8</v>
      </c>
      <c r="F198" s="53">
        <f t="shared" si="161"/>
        <v>2021</v>
      </c>
      <c r="G198" s="62">
        <f t="shared" si="162"/>
        <v>15</v>
      </c>
      <c r="H198" s="63">
        <f t="shared" si="163"/>
        <v>96</v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>
        <v>15</v>
      </c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80"/>
      <c r="AG198" s="87">
        <f t="shared" si="117"/>
        <v>0</v>
      </c>
      <c r="AH198" s="87">
        <f t="shared" si="118"/>
        <v>0</v>
      </c>
      <c r="AI198" s="87">
        <f t="shared" si="119"/>
        <v>0</v>
      </c>
      <c r="AJ198" s="87">
        <f t="shared" si="120"/>
        <v>0</v>
      </c>
      <c r="AK198" s="87">
        <f t="shared" si="121"/>
        <v>0</v>
      </c>
      <c r="AL198" s="87">
        <f t="shared" si="122"/>
        <v>0</v>
      </c>
      <c r="AM198" s="87">
        <f t="shared" si="123"/>
        <v>0</v>
      </c>
      <c r="AN198" s="87">
        <f t="shared" si="124"/>
        <v>0</v>
      </c>
      <c r="AO198" s="87">
        <f t="shared" si="125"/>
        <v>0</v>
      </c>
      <c r="AP198" s="87">
        <f t="shared" si="126"/>
        <v>0</v>
      </c>
      <c r="AQ198" s="87">
        <f t="shared" si="127"/>
        <v>15</v>
      </c>
      <c r="AR198" s="81"/>
      <c r="AS198" s="85">
        <f t="shared" si="128"/>
        <v>0</v>
      </c>
      <c r="AT198" s="85">
        <f t="shared" si="129"/>
        <v>0</v>
      </c>
      <c r="AU198" s="85">
        <f t="shared" si="130"/>
        <v>0</v>
      </c>
      <c r="AV198" s="85">
        <f t="shared" si="131"/>
        <v>0</v>
      </c>
      <c r="AW198" s="85">
        <f t="shared" si="132"/>
        <v>0</v>
      </c>
      <c r="AX198" s="85">
        <f t="shared" si="133"/>
        <v>0</v>
      </c>
      <c r="AY198" s="85">
        <f t="shared" si="134"/>
        <v>0</v>
      </c>
      <c r="AZ198" s="85">
        <f t="shared" si="135"/>
        <v>0</v>
      </c>
      <c r="BA198" s="85">
        <f t="shared" si="136"/>
        <v>0</v>
      </c>
      <c r="BB198" s="85">
        <f t="shared" si="137"/>
        <v>0</v>
      </c>
      <c r="BC198" s="85">
        <f t="shared" si="138"/>
        <v>0</v>
      </c>
      <c r="BD198" s="85">
        <f t="shared" si="139"/>
        <v>0</v>
      </c>
      <c r="BE198" s="85">
        <f t="shared" si="140"/>
        <v>0</v>
      </c>
      <c r="BF198" s="85">
        <f t="shared" si="141"/>
        <v>0</v>
      </c>
      <c r="BG198" s="85">
        <f t="shared" si="142"/>
        <v>0</v>
      </c>
      <c r="BH198" s="85">
        <f t="shared" si="143"/>
        <v>0</v>
      </c>
      <c r="BI198" s="85">
        <f t="shared" si="144"/>
        <v>0</v>
      </c>
      <c r="BJ198" s="85">
        <f t="shared" si="145"/>
        <v>0</v>
      </c>
      <c r="BK198" s="85">
        <f t="shared" si="146"/>
        <v>0</v>
      </c>
      <c r="BL198" s="85">
        <f t="shared" si="147"/>
        <v>0</v>
      </c>
      <c r="BM198" s="85">
        <f t="shared" si="148"/>
        <v>0</v>
      </c>
      <c r="BN198" s="85">
        <f t="shared" si="149"/>
        <v>0</v>
      </c>
      <c r="BO198" s="85">
        <f t="shared" si="150"/>
        <v>0</v>
      </c>
      <c r="BP198" s="85">
        <f t="shared" si="151"/>
        <v>0</v>
      </c>
      <c r="BQ198" s="85">
        <f t="shared" si="152"/>
        <v>0</v>
      </c>
      <c r="BR198" s="85">
        <f t="shared" si="153"/>
        <v>0</v>
      </c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X198" s="35" t="s">
        <v>12</v>
      </c>
      <c r="CZ198" s="35"/>
      <c r="DC198" s="57" t="str">
        <f t="shared" si="154"/>
        <v/>
      </c>
      <c r="DD198" s="64" t="str">
        <f t="shared" si="155"/>
        <v/>
      </c>
      <c r="DE198" s="65" t="str">
        <f t="shared" si="156"/>
        <v/>
      </c>
      <c r="DF198" s="66" t="str">
        <f t="shared" si="157"/>
        <v/>
      </c>
    </row>
    <row r="199" spans="2:110" hidden="1" outlineLevel="1">
      <c r="B199" s="54">
        <f t="shared" si="158"/>
        <v>44445</v>
      </c>
      <c r="C199" s="55" t="s">
        <v>1</v>
      </c>
      <c r="D199" s="56">
        <f t="shared" si="159"/>
        <v>44451</v>
      </c>
      <c r="E199" s="52">
        <f t="shared" si="160"/>
        <v>9</v>
      </c>
      <c r="F199" s="53">
        <f t="shared" si="161"/>
        <v>2021</v>
      </c>
      <c r="G199" s="62">
        <f t="shared" si="162"/>
        <v>15</v>
      </c>
      <c r="H199" s="63">
        <f t="shared" si="163"/>
        <v>96</v>
      </c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>
        <v>15</v>
      </c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80"/>
      <c r="AG199" s="87">
        <f t="shared" ref="AG199:AG262" si="164">IF(I199&gt;0,I199,IF(U199=1,$B199+2,IF(U198=1,1,IF(U198=2,0,IF(AG198=$G198,0,(IF(AG198&gt;=1,AG198+1,0)))))))</f>
        <v>0</v>
      </c>
      <c r="AH199" s="87">
        <f t="shared" ref="AH199:AH262" si="165">IF(J199&gt;0,J199,IF(V199=1,$B199+2,IF(V198=1,1,IF(V198=2,0,IF(AH198=$G198,0,(IF(AH198&gt;=1,AH198+1,0)))))))</f>
        <v>0</v>
      </c>
      <c r="AI199" s="87">
        <f t="shared" ref="AI199:AI262" si="166">IF(K199&gt;0,K199,IF(W199=1,$B199+2,IF(W198=1,1,IF(W198=2,0,IF(AI198=$G198,0,(IF(AI198&gt;=1,AI198+1,0)))))))</f>
        <v>0</v>
      </c>
      <c r="AJ199" s="87">
        <f t="shared" ref="AJ199:AJ262" si="167">IF(L199&gt;0,L199,IF(X199=1,$B199+2,IF(X198=1,1,IF(X198=2,0,IF(AJ198=$G198,0,(IF(AJ198&gt;=1,AJ198+1,0)))))))</f>
        <v>0</v>
      </c>
      <c r="AK199" s="87">
        <f t="shared" ref="AK199:AK262" si="168">IF(M199&gt;0,M199,IF(Y199=1,$B199+2,IF(Y198=1,1,IF(Y198=2,0,IF(AK198=$G198,0,(IF(AK198&gt;=1,AK198+1,0)))))))</f>
        <v>0</v>
      </c>
      <c r="AL199" s="87">
        <f t="shared" ref="AL199:AL262" si="169">IF(N199&gt;0,N199,IF(Z199=1,$B199+2,IF(Z198=1,1,IF(Z198=2,0,IF(AL198=$G198,0,(IF(AL198&gt;=1,AL198+1,0)))))))</f>
        <v>0</v>
      </c>
      <c r="AM199" s="87">
        <f t="shared" ref="AM199:AM262" si="170">IF(O199&gt;0,O199,IF(AA199=1,$B199+2,IF(AA198=1,1,IF(AA198=2,0,IF(AM198=$G198,0,(IF(AM198&gt;=1,AM198+1,0)))))))</f>
        <v>0</v>
      </c>
      <c r="AN199" s="87">
        <f t="shared" ref="AN199:AN262" si="171">IF(P199&gt;0,P199,IF(AB199=1,$B199+2,IF(AB198=1,1,IF(AB198=2,0,IF(AN198=$G198,0,(IF(AN198&gt;=1,AN198+1,0)))))))</f>
        <v>0</v>
      </c>
      <c r="AO199" s="87">
        <f t="shared" ref="AO199:AO262" si="172">IF(Q199&gt;0,Q199,IF(AC199=1,$B199+2,IF(AC198=1,1,IF(AC198=2,0,IF(AO198=$G198,0,(IF(AO198&gt;=1,AO198+1,0)))))))</f>
        <v>0</v>
      </c>
      <c r="AP199" s="87">
        <f t="shared" ref="AP199:AP262" si="173">IF(R199&gt;0,R199,IF(AD199=1,$B199+2,IF(AD198=1,1,IF(AD198=2,0,IF(AP198=$G198,0,(IF(AP198&gt;=1,AP198+1,0)))))))</f>
        <v>0</v>
      </c>
      <c r="AQ199" s="87">
        <f t="shared" ref="AQ199:AQ262" si="174">IF(S199&gt;0,S199,IF(AE199=1,$B199+2,IF(AE198=1,1,IF(AE198=2,0,IF(AQ198=$G198,0,(IF(AQ198&gt;=1,AQ198+1,0)))))))</f>
        <v>15</v>
      </c>
      <c r="AR199" s="81"/>
      <c r="AS199" s="85">
        <f t="shared" ref="AS199:AS262" si="175">IF(AND(BT199&gt;=$AG$5,BT199&lt;=$AQ$5),LOOKUP(BT199,$AG$5:$AQ$5,$AG199:$AQ199),IF(BT198="A",0,IF(AS198=$H199,0,IF(AS198=0,0,AS198+1))))</f>
        <v>0</v>
      </c>
      <c r="AT199" s="85">
        <f t="shared" ref="AT199:AT262" si="176">IF(AND(BU199&gt;=$AG$5,BU199&lt;=$AQ$5),LOOKUP(BU199,$AG$5:$AQ$5,$AG199:$AQ199),IF(BU198="A",0,IF(AT198=$H199,0,IF(AT198=0,0,AT198+1))))</f>
        <v>0</v>
      </c>
      <c r="AU199" s="85">
        <f t="shared" ref="AU199:AU262" si="177">IF(AND(BV199&gt;=$AG$5,BV199&lt;=$AQ$5),LOOKUP(BV199,$AG$5:$AQ$5,$AG199:$AQ199),IF(BV198="A",0,IF(AU198=$H199,0,IF(AU198=0,0,AU198+1))))</f>
        <v>0</v>
      </c>
      <c r="AV199" s="85">
        <f t="shared" ref="AV199:AV262" si="178">IF(AND(BW199&gt;=$AG$5,BW199&lt;=$AQ$5),LOOKUP(BW199,$AG$5:$AQ$5,$AG199:$AQ199),IF(BW198="A",0,IF(AV198=$H199,0,IF(AV198=0,0,AV198+1))))</f>
        <v>0</v>
      </c>
      <c r="AW199" s="85">
        <f t="shared" ref="AW199:AW262" si="179">IF(AND(BX199&gt;=$AG$5,BX199&lt;=$AQ$5),LOOKUP(BX199,$AG$5:$AQ$5,$AG199:$AQ199),IF(BX198="A",0,IF(AW198=$H199,0,IF(AW198=0,0,AW198+1))))</f>
        <v>0</v>
      </c>
      <c r="AX199" s="85">
        <f t="shared" ref="AX199:AX262" si="180">IF(AND(BY199&gt;=$AG$5,BY199&lt;=$AQ$5),LOOKUP(BY199,$AG$5:$AQ$5,$AG199:$AQ199),IF(BY198="A",0,IF(AX198=$H199,0,IF(AX198=0,0,AX198+1))))</f>
        <v>0</v>
      </c>
      <c r="AY199" s="85">
        <f t="shared" ref="AY199:AY262" si="181">IF(AND(BZ199&gt;=$AG$5,BZ199&lt;=$AQ$5),LOOKUP(BZ199,$AG$5:$AQ$5,$AG199:$AQ199),IF(BZ198="A",0,IF(AY198=$H199,0,IF(AY198=0,0,AY198+1))))</f>
        <v>0</v>
      </c>
      <c r="AZ199" s="85">
        <f t="shared" ref="AZ199:AZ262" si="182">IF(AND(CA199&gt;=$AG$5,CA199&lt;=$AQ$5),LOOKUP(CA199,$AG$5:$AQ$5,$AG199:$AQ199),IF(CA198="A",0,IF(AZ198=$H199,0,IF(AZ198=0,0,AZ198+1))))</f>
        <v>0</v>
      </c>
      <c r="BA199" s="85">
        <f t="shared" ref="BA199:BA262" si="183">IF(AND(CB199&gt;=$AG$5,CB199&lt;=$AQ$5),LOOKUP(CB199,$AG$5:$AQ$5,$AG199:$AQ199),IF(CB198="A",0,IF(BA198=$H199,0,IF(BA198=0,0,BA198+1))))</f>
        <v>0</v>
      </c>
      <c r="BB199" s="85">
        <f t="shared" ref="BB199:BB262" si="184">IF(AND(CC199&gt;=$AG$5,CC199&lt;=$AQ$5),LOOKUP(CC199,$AG$5:$AQ$5,$AG199:$AQ199),IF(CC198="A",0,IF(BB198=$H199,0,IF(BB198=0,0,BB198+1))))</f>
        <v>0</v>
      </c>
      <c r="BC199" s="85">
        <f t="shared" ref="BC199:BC262" si="185">IF(AND(CD199&gt;=$AG$5,CD199&lt;=$AQ$5),LOOKUP(CD199,$AG$5:$AQ$5,$AG199:$AQ199),IF(CD198="A",0,IF(BC198=$H199,0,IF(BC198=0,0,BC198+1))))</f>
        <v>0</v>
      </c>
      <c r="BD199" s="85">
        <f t="shared" ref="BD199:BD262" si="186">IF(AND(CE199&gt;=$AG$5,CE199&lt;=$AQ$5),LOOKUP(CE199,$AG$5:$AQ$5,$AG199:$AQ199),IF(CE198="A",0,IF(BD198=$H199,0,IF(BD198=0,0,BD198+1))))</f>
        <v>0</v>
      </c>
      <c r="BE199" s="85">
        <f t="shared" ref="BE199:BE262" si="187">IF(AND(CF199&gt;=$AG$5,CF199&lt;=$AQ$5),LOOKUP(CF199,$AG$5:$AQ$5,$AG199:$AQ199),IF(CF198="A",0,IF(BE198=$H199,0,IF(BE198=0,0,BE198+1))))</f>
        <v>0</v>
      </c>
      <c r="BF199" s="85">
        <f t="shared" ref="BF199:BF262" si="188">IF(AND(CG199&gt;=$AG$5,CG199&lt;=$AQ$5),LOOKUP(CG199,$AG$5:$AQ$5,$AG199:$AQ199),IF(CG198="A",0,IF(BF198=$H199,0,IF(BF198=0,0,BF198+1))))</f>
        <v>0</v>
      </c>
      <c r="BG199" s="85">
        <f t="shared" ref="BG199:BG262" si="189">IF(AND(CH199&gt;=$AG$5,CH199&lt;=$AQ$5),LOOKUP(CH199,$AG$5:$AQ$5,$AG199:$AQ199),IF(CH198="A",0,IF(BG198=$H199,0,IF(BG198=0,0,BG198+1))))</f>
        <v>0</v>
      </c>
      <c r="BH199" s="85">
        <f t="shared" ref="BH199:BH262" si="190">IF(AND(CI199&gt;=$AG$5,CI199&lt;=$AQ$5),LOOKUP(CI199,$AG$5:$AQ$5,$AG199:$AQ199),IF(CI198="A",0,IF(BH198=$H199,0,IF(BH198=0,0,BH198+1))))</f>
        <v>0</v>
      </c>
      <c r="BI199" s="85">
        <f t="shared" ref="BI199:BI262" si="191">IF(AND(CJ199&gt;=$AG$5,CJ199&lt;=$AQ$5),LOOKUP(CJ199,$AG$5:$AQ$5,$AG199:$AQ199),IF(CJ198="A",0,IF(BI198=$H199,0,IF(BI198=0,0,BI198+1))))</f>
        <v>0</v>
      </c>
      <c r="BJ199" s="85">
        <f t="shared" ref="BJ199:BJ262" si="192">IF(AND(CK199&gt;=$AG$5,CK199&lt;=$AQ$5),LOOKUP(CK199,$AG$5:$AQ$5,$AG199:$AQ199),IF(CK198="A",0,IF(BJ198=$H199,0,IF(BJ198=0,0,BJ198+1))))</f>
        <v>0</v>
      </c>
      <c r="BK199" s="85">
        <f t="shared" ref="BK199:BK262" si="193">IF(AND(CL199&gt;=$AG$5,CL199&lt;=$AQ$5),LOOKUP(CL199,$AG$5:$AQ$5,$AG199:$AQ199),IF(CL198="A",0,IF(BK198=$H199,0,IF(BK198=0,0,BK198+1))))</f>
        <v>0</v>
      </c>
      <c r="BL199" s="85">
        <f t="shared" ref="BL199:BL262" si="194">IF(AND(CM199&gt;=$AG$5,CM199&lt;=$AQ$5),LOOKUP(CM199,$AG$5:$AQ$5,$AG199:$AQ199),IF(CM198="A",0,IF(BL198=$H199,0,IF(BL198=0,0,BL198+1))))</f>
        <v>0</v>
      </c>
      <c r="BM199" s="85">
        <f t="shared" ref="BM199:BM262" si="195">IF(AND(CN199&gt;=$AG$5,CN199&lt;=$AQ$5),LOOKUP(CN199,$AG$5:$AQ$5,$AG199:$AQ199),IF(CN198="A",0,IF(BM198=$H199,0,IF(BM198=0,0,BM198+1))))</f>
        <v>0</v>
      </c>
      <c r="BN199" s="85">
        <f t="shared" ref="BN199:BN262" si="196">IF(AND(CO199&gt;=$AG$5,CO199&lt;=$AQ$5),LOOKUP(CO199,$AG$5:$AQ$5,$AG199:$AQ199),IF(CO198="A",0,IF(BN198=$H199,0,IF(BN198=0,0,BN198+1))))</f>
        <v>0</v>
      </c>
      <c r="BO199" s="85">
        <f t="shared" ref="BO199:BO262" si="197">IF(AND(CP199&gt;=$AG$5,CP199&lt;=$AQ$5),LOOKUP(CP199,$AG$5:$AQ$5,$AG199:$AQ199),IF(CP198="A",0,IF(BO198=$H199,0,IF(BO198=0,0,BO198+1))))</f>
        <v>0</v>
      </c>
      <c r="BP199" s="85">
        <f t="shared" ref="BP199:BP262" si="198">IF(AND(CQ199&gt;=$AG$5,CQ199&lt;=$AQ$5),LOOKUP(CQ199,$AG$5:$AQ$5,$AG199:$AQ199),IF(CQ198="A",0,IF(BP198=$H199,0,IF(BP198=0,0,BP198+1))))</f>
        <v>0</v>
      </c>
      <c r="BQ199" s="85">
        <f t="shared" ref="BQ199:BQ262" si="199">IF(AND(CR199&gt;=$AG$5,CR199&lt;=$AQ$5),LOOKUP(CR199,$AG$5:$AQ$5,$AG199:$AQ199),IF(CR198="A",0,IF(BQ198=$H199,0,IF(BQ198=0,0,BQ198+1))))</f>
        <v>0</v>
      </c>
      <c r="BR199" s="85">
        <f t="shared" ref="BR199:BR262" si="200">IF(AND(CS199&gt;=$AG$5,CS199&lt;=$AQ$5),LOOKUP(CS199,$AG$5:$AQ$5,$AG199:$AQ199),IF(CS198="A",0,IF(BR198=$H199,0,IF(BR198=0,0,BR198+1))))</f>
        <v>0</v>
      </c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W199">
        <v>15</v>
      </c>
      <c r="CX199" s="35">
        <v>44445</v>
      </c>
      <c r="CZ199" s="35">
        <f>B216</f>
        <v>44564</v>
      </c>
      <c r="DA199">
        <v>98</v>
      </c>
      <c r="DC199" s="57" t="str">
        <f t="shared" ref="DC199:DC262" si="201">IF(AND(AG199&gt;0,AG198=0),$AG$5,IF(AND(AK199&gt;0,AK198=0),$AK$5,IF(AND(AO199&gt;0,AO198=0),$AO$5,IF(AND(AI199&gt;0,AI198=0),$AI$5,IF(AND(AJ199&gt;0,AJ198=0),$AJ$5,IF(AND(AQ199&gt;0,AQ198=0),$AQ$5,IF(AND(AL199&gt;0,AL198=0),$AL$5,IF(AND(AM199&gt;0,AM198=0),$AM$5,IF(AND(AN199&gt;0,AN198=0),$AN$5,"")))))))))</f>
        <v/>
      </c>
      <c r="DD199" s="64" t="str">
        <f t="shared" ref="DD199:DD262" si="202">IF(OR(AND($AG200=1,$AG201=2),OR(AND($AK200=1,$AK201=2),OR(AND($AO200=1,$AO201=2),OR(AND($AI200=1,$AI201=2),OR(AND($AJ200=1,$AJ201),OR(AND($AQ200=1,$AQ201=2,OR(AND($AL200=1,$AL201=2,OR(AND($AM200=1,$AM201=2,OR(AND($AN200=1,$AN201=2))))))))))))),$B199+2,"")</f>
        <v/>
      </c>
      <c r="DE199" s="65" t="str">
        <f t="shared" ref="DE199:DE262" si="203">IF(DD199="","",DD199+(15*7))</f>
        <v/>
      </c>
      <c r="DF199" s="66" t="str">
        <f t="shared" ref="DF199:DF262" si="204">IF(AND(AS214&gt;0,AS213=0),$AS$1,IF(AND(AT214&gt;0,AT213=0),$AT$1,IF(AND(AU214&gt;0,AU213=0),$AU$1,IF(AND(AV214&gt;0,AV213=0),$AV$1,IF(AND(AW214&gt;0,AW213=0),$AW$1,IF(AND(AX214&gt;0,AX213=0),$AX$1,IF(AND(AY214&gt;0,AY213=0),$AY$1,IF(AND(AZ214&gt;0,AZ213=0),$AZ$1,IF(AND(BA214&gt;0,BA213=0),$BA$1,IF(AND(BB214&gt;0,BB213=0),$BB$1,IF(AND(BC214&gt;0,BC213=0),$BC$1,IF(AND(BD214&gt;0,BD213=0),$BD$1,IF(AND(BE214&gt;0,BE213=0),$BE$1,IF(AND(BF214&gt;0,BF213=0),$BF$1,IF(AND(BG214&gt;0,BG213=0),$BG$1,IF(AND(BH214&gt;0,BH213=0),$BH$1,IF(AND(BI214&gt;0,BI213=0),$BI$1,IF(AND(BJ214&gt;0,BJ213=0),$BJ$1,IF(AND(BK214&gt;0,BK213=0),$BK$1,IF(AND(BL214&gt;0,BL213=0),$BL$1,IF(AND(BM214&gt;0,BM213=0),$BM$1,IF(AND(BN214&gt;0,BN213=0),$BN$1,IF(AND(BO214&gt;0,BO213=0),$BO$1,IF(AND(BP214&gt;0,BP213=0),$BP$1,IF(AND(BQ214&gt;0,BQ213=0),$BQ$1,IF(AND(BR214&gt;0,BR213=0),$BQ$1,""))))))))))))))))&amp;(IF(COUNTA(BT214:CS214)&gt;1," ["&amp;COUNTA(BT214:CS214)&amp;"]",""))))))))))))</f>
        <v/>
      </c>
    </row>
    <row r="200" spans="2:110" hidden="1" outlineLevel="1">
      <c r="B200" s="54">
        <f t="shared" ref="B200:B263" si="205">D199+1</f>
        <v>44452</v>
      </c>
      <c r="C200" s="55" t="s">
        <v>1</v>
      </c>
      <c r="D200" s="56">
        <f t="shared" ref="D200:D263" si="206">B200+6</f>
        <v>44458</v>
      </c>
      <c r="E200" s="52">
        <f t="shared" ref="E200:E263" si="207">MONTH(B200)</f>
        <v>9</v>
      </c>
      <c r="F200" s="53">
        <f t="shared" ref="F200:F263" si="208">YEAR(D200)</f>
        <v>2021</v>
      </c>
      <c r="G200" s="62">
        <f t="shared" si="162"/>
        <v>15</v>
      </c>
      <c r="H200" s="63">
        <f t="shared" si="163"/>
        <v>96</v>
      </c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>
        <v>15</v>
      </c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80"/>
      <c r="AG200" s="87">
        <f t="shared" si="164"/>
        <v>0</v>
      </c>
      <c r="AH200" s="87">
        <f t="shared" si="165"/>
        <v>0</v>
      </c>
      <c r="AI200" s="87">
        <f t="shared" si="166"/>
        <v>0</v>
      </c>
      <c r="AJ200" s="87">
        <f t="shared" si="167"/>
        <v>0</v>
      </c>
      <c r="AK200" s="87">
        <f t="shared" si="168"/>
        <v>0</v>
      </c>
      <c r="AL200" s="87">
        <f t="shared" si="169"/>
        <v>0</v>
      </c>
      <c r="AM200" s="87">
        <f t="shared" si="170"/>
        <v>0</v>
      </c>
      <c r="AN200" s="87">
        <f t="shared" si="171"/>
        <v>0</v>
      </c>
      <c r="AO200" s="87">
        <f t="shared" si="172"/>
        <v>0</v>
      </c>
      <c r="AP200" s="87">
        <f t="shared" si="173"/>
        <v>0</v>
      </c>
      <c r="AQ200" s="87">
        <f t="shared" si="174"/>
        <v>15</v>
      </c>
      <c r="AR200" s="81"/>
      <c r="AS200" s="85">
        <f t="shared" si="175"/>
        <v>0</v>
      </c>
      <c r="AT200" s="85">
        <f t="shared" si="176"/>
        <v>0</v>
      </c>
      <c r="AU200" s="85">
        <f t="shared" si="177"/>
        <v>0</v>
      </c>
      <c r="AV200" s="85">
        <f t="shared" si="178"/>
        <v>0</v>
      </c>
      <c r="AW200" s="85">
        <f t="shared" si="179"/>
        <v>0</v>
      </c>
      <c r="AX200" s="85">
        <f t="shared" si="180"/>
        <v>0</v>
      </c>
      <c r="AY200" s="85">
        <f t="shared" si="181"/>
        <v>0</v>
      </c>
      <c r="AZ200" s="85">
        <f t="shared" si="182"/>
        <v>0</v>
      </c>
      <c r="BA200" s="85">
        <f t="shared" si="183"/>
        <v>0</v>
      </c>
      <c r="BB200" s="85">
        <f t="shared" si="184"/>
        <v>0</v>
      </c>
      <c r="BC200" s="85">
        <f t="shared" si="185"/>
        <v>0</v>
      </c>
      <c r="BD200" s="85">
        <f t="shared" si="186"/>
        <v>0</v>
      </c>
      <c r="BE200" s="85">
        <f t="shared" si="187"/>
        <v>0</v>
      </c>
      <c r="BF200" s="85">
        <f t="shared" si="188"/>
        <v>0</v>
      </c>
      <c r="BG200" s="85">
        <f t="shared" si="189"/>
        <v>0</v>
      </c>
      <c r="BH200" s="85">
        <f t="shared" si="190"/>
        <v>0</v>
      </c>
      <c r="BI200" s="85">
        <f t="shared" si="191"/>
        <v>0</v>
      </c>
      <c r="BJ200" s="85">
        <f t="shared" si="192"/>
        <v>0</v>
      </c>
      <c r="BK200" s="85">
        <f t="shared" si="193"/>
        <v>0</v>
      </c>
      <c r="BL200" s="85">
        <f t="shared" si="194"/>
        <v>0</v>
      </c>
      <c r="BM200" s="85">
        <f t="shared" si="195"/>
        <v>0</v>
      </c>
      <c r="BN200" s="85">
        <f t="shared" si="196"/>
        <v>0</v>
      </c>
      <c r="BO200" s="85">
        <f t="shared" si="197"/>
        <v>0</v>
      </c>
      <c r="BP200" s="85">
        <f t="shared" si="198"/>
        <v>0</v>
      </c>
      <c r="BQ200" s="85">
        <f t="shared" si="199"/>
        <v>0</v>
      </c>
      <c r="BR200" s="85">
        <f t="shared" si="200"/>
        <v>0</v>
      </c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3"/>
      <c r="CO200" s="63"/>
      <c r="CP200" s="63"/>
      <c r="CQ200" s="63"/>
      <c r="CR200" s="63"/>
      <c r="CS200" s="63"/>
      <c r="CX200" s="35" t="s">
        <v>12</v>
      </c>
      <c r="CZ200" s="35"/>
      <c r="DC200" s="57" t="str">
        <f t="shared" si="201"/>
        <v/>
      </c>
      <c r="DD200" s="64" t="str">
        <f t="shared" si="202"/>
        <v/>
      </c>
      <c r="DE200" s="65" t="str">
        <f t="shared" si="203"/>
        <v/>
      </c>
      <c r="DF200" s="66" t="str">
        <f t="shared" si="204"/>
        <v/>
      </c>
    </row>
    <row r="201" spans="2:110" hidden="1" outlineLevel="1">
      <c r="B201" s="54">
        <f t="shared" si="205"/>
        <v>44459</v>
      </c>
      <c r="C201" s="55" t="s">
        <v>1</v>
      </c>
      <c r="D201" s="56">
        <f t="shared" si="206"/>
        <v>44465</v>
      </c>
      <c r="E201" s="52">
        <f t="shared" si="207"/>
        <v>9</v>
      </c>
      <c r="F201" s="53">
        <f t="shared" si="208"/>
        <v>2021</v>
      </c>
      <c r="G201" s="62">
        <f t="shared" ref="G201:G264" si="209">G200</f>
        <v>15</v>
      </c>
      <c r="H201" s="63">
        <f t="shared" ref="H201:H264" si="210">H200</f>
        <v>96</v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>
        <v>15</v>
      </c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80"/>
      <c r="AG201" s="87">
        <f t="shared" si="164"/>
        <v>0</v>
      </c>
      <c r="AH201" s="87">
        <f t="shared" si="165"/>
        <v>0</v>
      </c>
      <c r="AI201" s="87">
        <f t="shared" si="166"/>
        <v>0</v>
      </c>
      <c r="AJ201" s="87">
        <f t="shared" si="167"/>
        <v>0</v>
      </c>
      <c r="AK201" s="87">
        <f t="shared" si="168"/>
        <v>0</v>
      </c>
      <c r="AL201" s="87">
        <f t="shared" si="169"/>
        <v>0</v>
      </c>
      <c r="AM201" s="87">
        <f t="shared" si="170"/>
        <v>0</v>
      </c>
      <c r="AN201" s="87">
        <f t="shared" si="171"/>
        <v>0</v>
      </c>
      <c r="AO201" s="87">
        <f t="shared" si="172"/>
        <v>0</v>
      </c>
      <c r="AP201" s="87">
        <f t="shared" si="173"/>
        <v>0</v>
      </c>
      <c r="AQ201" s="87">
        <f t="shared" si="174"/>
        <v>15</v>
      </c>
      <c r="AR201" s="81"/>
      <c r="AS201" s="85">
        <f t="shared" si="175"/>
        <v>0</v>
      </c>
      <c r="AT201" s="85">
        <f t="shared" si="176"/>
        <v>0</v>
      </c>
      <c r="AU201" s="85">
        <f t="shared" si="177"/>
        <v>0</v>
      </c>
      <c r="AV201" s="85">
        <f t="shared" si="178"/>
        <v>0</v>
      </c>
      <c r="AW201" s="85">
        <f t="shared" si="179"/>
        <v>0</v>
      </c>
      <c r="AX201" s="85">
        <f t="shared" si="180"/>
        <v>0</v>
      </c>
      <c r="AY201" s="85">
        <f t="shared" si="181"/>
        <v>0</v>
      </c>
      <c r="AZ201" s="85">
        <f t="shared" si="182"/>
        <v>0</v>
      </c>
      <c r="BA201" s="85">
        <f t="shared" si="183"/>
        <v>0</v>
      </c>
      <c r="BB201" s="85">
        <f t="shared" si="184"/>
        <v>0</v>
      </c>
      <c r="BC201" s="85">
        <f t="shared" si="185"/>
        <v>0</v>
      </c>
      <c r="BD201" s="85">
        <f t="shared" si="186"/>
        <v>0</v>
      </c>
      <c r="BE201" s="85">
        <f t="shared" si="187"/>
        <v>0</v>
      </c>
      <c r="BF201" s="85">
        <f t="shared" si="188"/>
        <v>0</v>
      </c>
      <c r="BG201" s="85">
        <f t="shared" si="189"/>
        <v>0</v>
      </c>
      <c r="BH201" s="85">
        <f t="shared" si="190"/>
        <v>0</v>
      </c>
      <c r="BI201" s="85">
        <f t="shared" si="191"/>
        <v>0</v>
      </c>
      <c r="BJ201" s="85">
        <f t="shared" si="192"/>
        <v>0</v>
      </c>
      <c r="BK201" s="85">
        <f t="shared" si="193"/>
        <v>0</v>
      </c>
      <c r="BL201" s="85">
        <f t="shared" si="194"/>
        <v>0</v>
      </c>
      <c r="BM201" s="85">
        <f t="shared" si="195"/>
        <v>0</v>
      </c>
      <c r="BN201" s="85">
        <f t="shared" si="196"/>
        <v>0</v>
      </c>
      <c r="BO201" s="85">
        <f t="shared" si="197"/>
        <v>0</v>
      </c>
      <c r="BP201" s="85">
        <f t="shared" si="198"/>
        <v>0</v>
      </c>
      <c r="BQ201" s="85">
        <f t="shared" si="199"/>
        <v>0</v>
      </c>
      <c r="BR201" s="85">
        <f t="shared" si="200"/>
        <v>0</v>
      </c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3"/>
      <c r="CM201" s="63"/>
      <c r="CN201" s="63"/>
      <c r="CO201" s="63"/>
      <c r="CP201" s="63"/>
      <c r="CQ201" s="63"/>
      <c r="CR201" s="63"/>
      <c r="CS201" s="63"/>
      <c r="CX201" s="35" t="s">
        <v>12</v>
      </c>
      <c r="CZ201" s="35"/>
      <c r="DC201" s="57" t="str">
        <f t="shared" si="201"/>
        <v/>
      </c>
      <c r="DD201" s="64" t="str">
        <f t="shared" si="202"/>
        <v/>
      </c>
      <c r="DE201" s="65" t="str">
        <f t="shared" si="203"/>
        <v/>
      </c>
      <c r="DF201" s="66" t="str">
        <f t="shared" si="204"/>
        <v/>
      </c>
    </row>
    <row r="202" spans="2:110" hidden="1" outlineLevel="1">
      <c r="B202" s="54">
        <f t="shared" si="205"/>
        <v>44466</v>
      </c>
      <c r="C202" s="55" t="s">
        <v>1</v>
      </c>
      <c r="D202" s="56">
        <f t="shared" si="206"/>
        <v>44472</v>
      </c>
      <c r="E202" s="52">
        <f t="shared" si="207"/>
        <v>9</v>
      </c>
      <c r="F202" s="53">
        <f t="shared" si="208"/>
        <v>2021</v>
      </c>
      <c r="G202" s="62">
        <f t="shared" si="209"/>
        <v>15</v>
      </c>
      <c r="H202" s="63">
        <f t="shared" si="210"/>
        <v>96</v>
      </c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>
        <v>15</v>
      </c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80"/>
      <c r="AG202" s="87">
        <f t="shared" si="164"/>
        <v>0</v>
      </c>
      <c r="AH202" s="87">
        <f t="shared" si="165"/>
        <v>0</v>
      </c>
      <c r="AI202" s="87">
        <f t="shared" si="166"/>
        <v>0</v>
      </c>
      <c r="AJ202" s="87">
        <f t="shared" si="167"/>
        <v>0</v>
      </c>
      <c r="AK202" s="87">
        <f t="shared" si="168"/>
        <v>0</v>
      </c>
      <c r="AL202" s="87">
        <f t="shared" si="169"/>
        <v>0</v>
      </c>
      <c r="AM202" s="87">
        <f t="shared" si="170"/>
        <v>0</v>
      </c>
      <c r="AN202" s="87">
        <f t="shared" si="171"/>
        <v>0</v>
      </c>
      <c r="AO202" s="87">
        <f t="shared" si="172"/>
        <v>0</v>
      </c>
      <c r="AP202" s="87">
        <f t="shared" si="173"/>
        <v>0</v>
      </c>
      <c r="AQ202" s="87">
        <f t="shared" si="174"/>
        <v>15</v>
      </c>
      <c r="AR202" s="81"/>
      <c r="AS202" s="85">
        <f t="shared" si="175"/>
        <v>0</v>
      </c>
      <c r="AT202" s="85">
        <f t="shared" si="176"/>
        <v>0</v>
      </c>
      <c r="AU202" s="85">
        <f t="shared" si="177"/>
        <v>0</v>
      </c>
      <c r="AV202" s="85">
        <f t="shared" si="178"/>
        <v>0</v>
      </c>
      <c r="AW202" s="85">
        <f t="shared" si="179"/>
        <v>0</v>
      </c>
      <c r="AX202" s="85">
        <f t="shared" si="180"/>
        <v>0</v>
      </c>
      <c r="AY202" s="85">
        <f t="shared" si="181"/>
        <v>0</v>
      </c>
      <c r="AZ202" s="85">
        <f t="shared" si="182"/>
        <v>0</v>
      </c>
      <c r="BA202" s="85">
        <f t="shared" si="183"/>
        <v>0</v>
      </c>
      <c r="BB202" s="85">
        <f t="shared" si="184"/>
        <v>0</v>
      </c>
      <c r="BC202" s="85">
        <f t="shared" si="185"/>
        <v>0</v>
      </c>
      <c r="BD202" s="85">
        <f t="shared" si="186"/>
        <v>0</v>
      </c>
      <c r="BE202" s="85">
        <f t="shared" si="187"/>
        <v>0</v>
      </c>
      <c r="BF202" s="85">
        <f t="shared" si="188"/>
        <v>0</v>
      </c>
      <c r="BG202" s="85">
        <f t="shared" si="189"/>
        <v>0</v>
      </c>
      <c r="BH202" s="85">
        <f t="shared" si="190"/>
        <v>0</v>
      </c>
      <c r="BI202" s="85">
        <f t="shared" si="191"/>
        <v>0</v>
      </c>
      <c r="BJ202" s="85">
        <f t="shared" si="192"/>
        <v>0</v>
      </c>
      <c r="BK202" s="85">
        <f t="shared" si="193"/>
        <v>0</v>
      </c>
      <c r="BL202" s="85">
        <f t="shared" si="194"/>
        <v>0</v>
      </c>
      <c r="BM202" s="85">
        <f t="shared" si="195"/>
        <v>0</v>
      </c>
      <c r="BN202" s="85">
        <f t="shared" si="196"/>
        <v>0</v>
      </c>
      <c r="BO202" s="85">
        <f t="shared" si="197"/>
        <v>0</v>
      </c>
      <c r="BP202" s="85">
        <f t="shared" si="198"/>
        <v>0</v>
      </c>
      <c r="BQ202" s="85">
        <f t="shared" si="199"/>
        <v>0</v>
      </c>
      <c r="BR202" s="85">
        <f t="shared" si="200"/>
        <v>0</v>
      </c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X202" s="35" t="s">
        <v>12</v>
      </c>
      <c r="CZ202" s="35"/>
      <c r="DC202" s="57" t="str">
        <f t="shared" si="201"/>
        <v/>
      </c>
      <c r="DD202" s="64" t="str">
        <f t="shared" si="202"/>
        <v/>
      </c>
      <c r="DE202" s="65" t="str">
        <f t="shared" si="203"/>
        <v/>
      </c>
      <c r="DF202" s="66" t="str">
        <f t="shared" si="204"/>
        <v/>
      </c>
    </row>
    <row r="203" spans="2:110" hidden="1" outlineLevel="1">
      <c r="B203" s="54">
        <f t="shared" si="205"/>
        <v>44473</v>
      </c>
      <c r="C203" s="55" t="s">
        <v>1</v>
      </c>
      <c r="D203" s="56">
        <f t="shared" si="206"/>
        <v>44479</v>
      </c>
      <c r="E203" s="52">
        <f t="shared" si="207"/>
        <v>10</v>
      </c>
      <c r="F203" s="53">
        <f t="shared" si="208"/>
        <v>2021</v>
      </c>
      <c r="G203" s="62">
        <f t="shared" si="209"/>
        <v>15</v>
      </c>
      <c r="H203" s="63">
        <f t="shared" si="210"/>
        <v>96</v>
      </c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>
        <v>15</v>
      </c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80"/>
      <c r="AG203" s="87">
        <f t="shared" si="164"/>
        <v>0</v>
      </c>
      <c r="AH203" s="87">
        <f t="shared" si="165"/>
        <v>0</v>
      </c>
      <c r="AI203" s="87">
        <f t="shared" si="166"/>
        <v>0</v>
      </c>
      <c r="AJ203" s="87">
        <f t="shared" si="167"/>
        <v>0</v>
      </c>
      <c r="AK203" s="87">
        <f t="shared" si="168"/>
        <v>0</v>
      </c>
      <c r="AL203" s="87">
        <f t="shared" si="169"/>
        <v>0</v>
      </c>
      <c r="AM203" s="87">
        <f t="shared" si="170"/>
        <v>0</v>
      </c>
      <c r="AN203" s="87">
        <f t="shared" si="171"/>
        <v>0</v>
      </c>
      <c r="AO203" s="87">
        <f t="shared" si="172"/>
        <v>0</v>
      </c>
      <c r="AP203" s="87">
        <f t="shared" si="173"/>
        <v>0</v>
      </c>
      <c r="AQ203" s="87">
        <f t="shared" si="174"/>
        <v>15</v>
      </c>
      <c r="AR203" s="81"/>
      <c r="AS203" s="85">
        <f t="shared" si="175"/>
        <v>0</v>
      </c>
      <c r="AT203" s="85">
        <f t="shared" si="176"/>
        <v>0</v>
      </c>
      <c r="AU203" s="85">
        <f t="shared" si="177"/>
        <v>0</v>
      </c>
      <c r="AV203" s="85">
        <f t="shared" si="178"/>
        <v>0</v>
      </c>
      <c r="AW203" s="85">
        <f t="shared" si="179"/>
        <v>0</v>
      </c>
      <c r="AX203" s="85">
        <f t="shared" si="180"/>
        <v>0</v>
      </c>
      <c r="AY203" s="85">
        <f t="shared" si="181"/>
        <v>0</v>
      </c>
      <c r="AZ203" s="85">
        <f t="shared" si="182"/>
        <v>0</v>
      </c>
      <c r="BA203" s="85">
        <f t="shared" si="183"/>
        <v>0</v>
      </c>
      <c r="BB203" s="85">
        <f t="shared" si="184"/>
        <v>0</v>
      </c>
      <c r="BC203" s="85">
        <f t="shared" si="185"/>
        <v>0</v>
      </c>
      <c r="BD203" s="85">
        <f t="shared" si="186"/>
        <v>0</v>
      </c>
      <c r="BE203" s="85">
        <f t="shared" si="187"/>
        <v>0</v>
      </c>
      <c r="BF203" s="85">
        <f t="shared" si="188"/>
        <v>0</v>
      </c>
      <c r="BG203" s="85">
        <f t="shared" si="189"/>
        <v>0</v>
      </c>
      <c r="BH203" s="85">
        <f t="shared" si="190"/>
        <v>0</v>
      </c>
      <c r="BI203" s="85">
        <f t="shared" si="191"/>
        <v>0</v>
      </c>
      <c r="BJ203" s="85">
        <f t="shared" si="192"/>
        <v>0</v>
      </c>
      <c r="BK203" s="85">
        <f t="shared" si="193"/>
        <v>0</v>
      </c>
      <c r="BL203" s="85">
        <f t="shared" si="194"/>
        <v>0</v>
      </c>
      <c r="BM203" s="85">
        <f t="shared" si="195"/>
        <v>0</v>
      </c>
      <c r="BN203" s="85">
        <f t="shared" si="196"/>
        <v>0</v>
      </c>
      <c r="BO203" s="85">
        <f t="shared" si="197"/>
        <v>0</v>
      </c>
      <c r="BP203" s="85">
        <f t="shared" si="198"/>
        <v>0</v>
      </c>
      <c r="BQ203" s="85">
        <f t="shared" si="199"/>
        <v>0</v>
      </c>
      <c r="BR203" s="85">
        <f t="shared" si="200"/>
        <v>0</v>
      </c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3"/>
      <c r="CM203" s="63"/>
      <c r="CN203" s="63"/>
      <c r="CO203" s="63"/>
      <c r="CP203" s="63"/>
      <c r="CQ203" s="63"/>
      <c r="CR203" s="63"/>
      <c r="CS203" s="63"/>
      <c r="CX203" s="35" t="s">
        <v>12</v>
      </c>
      <c r="CZ203" s="35"/>
      <c r="DC203" s="57" t="str">
        <f t="shared" si="201"/>
        <v/>
      </c>
      <c r="DD203" s="64" t="str">
        <f t="shared" si="202"/>
        <v/>
      </c>
      <c r="DE203" s="65" t="str">
        <f t="shared" si="203"/>
        <v/>
      </c>
      <c r="DF203" s="66" t="str">
        <f t="shared" si="204"/>
        <v/>
      </c>
    </row>
    <row r="204" spans="2:110" hidden="1" outlineLevel="1">
      <c r="B204" s="54">
        <f t="shared" si="205"/>
        <v>44480</v>
      </c>
      <c r="C204" s="55" t="s">
        <v>1</v>
      </c>
      <c r="D204" s="56">
        <f t="shared" si="206"/>
        <v>44486</v>
      </c>
      <c r="E204" s="52">
        <f t="shared" si="207"/>
        <v>10</v>
      </c>
      <c r="F204" s="53">
        <f t="shared" si="208"/>
        <v>2021</v>
      </c>
      <c r="G204" s="62">
        <f t="shared" si="209"/>
        <v>15</v>
      </c>
      <c r="H204" s="63">
        <f t="shared" si="210"/>
        <v>96</v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>
        <v>15</v>
      </c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80"/>
      <c r="AG204" s="87">
        <f t="shared" si="164"/>
        <v>0</v>
      </c>
      <c r="AH204" s="87">
        <f t="shared" si="165"/>
        <v>0</v>
      </c>
      <c r="AI204" s="87">
        <f t="shared" si="166"/>
        <v>0</v>
      </c>
      <c r="AJ204" s="87">
        <f t="shared" si="167"/>
        <v>0</v>
      </c>
      <c r="AK204" s="87">
        <f t="shared" si="168"/>
        <v>0</v>
      </c>
      <c r="AL204" s="87">
        <f t="shared" si="169"/>
        <v>0</v>
      </c>
      <c r="AM204" s="87">
        <f t="shared" si="170"/>
        <v>0</v>
      </c>
      <c r="AN204" s="87">
        <f t="shared" si="171"/>
        <v>0</v>
      </c>
      <c r="AO204" s="87">
        <f t="shared" si="172"/>
        <v>0</v>
      </c>
      <c r="AP204" s="87">
        <f t="shared" si="173"/>
        <v>0</v>
      </c>
      <c r="AQ204" s="87">
        <f t="shared" si="174"/>
        <v>15</v>
      </c>
      <c r="AR204" s="81"/>
      <c r="AS204" s="85">
        <f t="shared" si="175"/>
        <v>0</v>
      </c>
      <c r="AT204" s="85">
        <f t="shared" si="176"/>
        <v>0</v>
      </c>
      <c r="AU204" s="85">
        <f t="shared" si="177"/>
        <v>0</v>
      </c>
      <c r="AV204" s="85">
        <f t="shared" si="178"/>
        <v>0</v>
      </c>
      <c r="AW204" s="85">
        <f t="shared" si="179"/>
        <v>0</v>
      </c>
      <c r="AX204" s="85">
        <f t="shared" si="180"/>
        <v>0</v>
      </c>
      <c r="AY204" s="85">
        <f t="shared" si="181"/>
        <v>0</v>
      </c>
      <c r="AZ204" s="85">
        <f t="shared" si="182"/>
        <v>0</v>
      </c>
      <c r="BA204" s="85">
        <f t="shared" si="183"/>
        <v>0</v>
      </c>
      <c r="BB204" s="85">
        <f t="shared" si="184"/>
        <v>0</v>
      </c>
      <c r="BC204" s="85">
        <f t="shared" si="185"/>
        <v>0</v>
      </c>
      <c r="BD204" s="85">
        <f t="shared" si="186"/>
        <v>0</v>
      </c>
      <c r="BE204" s="85">
        <f t="shared" si="187"/>
        <v>0</v>
      </c>
      <c r="BF204" s="85">
        <f t="shared" si="188"/>
        <v>0</v>
      </c>
      <c r="BG204" s="85">
        <f t="shared" si="189"/>
        <v>0</v>
      </c>
      <c r="BH204" s="85">
        <f t="shared" si="190"/>
        <v>0</v>
      </c>
      <c r="BI204" s="85">
        <f t="shared" si="191"/>
        <v>0</v>
      </c>
      <c r="BJ204" s="85">
        <f t="shared" si="192"/>
        <v>0</v>
      </c>
      <c r="BK204" s="85">
        <f t="shared" si="193"/>
        <v>0</v>
      </c>
      <c r="BL204" s="85">
        <f t="shared" si="194"/>
        <v>0</v>
      </c>
      <c r="BM204" s="85">
        <f t="shared" si="195"/>
        <v>0</v>
      </c>
      <c r="BN204" s="85">
        <f t="shared" si="196"/>
        <v>0</v>
      </c>
      <c r="BO204" s="85">
        <f t="shared" si="197"/>
        <v>0</v>
      </c>
      <c r="BP204" s="85">
        <f t="shared" si="198"/>
        <v>0</v>
      </c>
      <c r="BQ204" s="85">
        <f t="shared" si="199"/>
        <v>0</v>
      </c>
      <c r="BR204" s="85">
        <f t="shared" si="200"/>
        <v>0</v>
      </c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W204">
        <v>7</v>
      </c>
      <c r="CX204" s="35">
        <v>44480</v>
      </c>
      <c r="CZ204" s="35">
        <f>B221</f>
        <v>44599</v>
      </c>
      <c r="DA204">
        <v>98</v>
      </c>
      <c r="DC204" s="57" t="str">
        <f t="shared" si="201"/>
        <v/>
      </c>
      <c r="DD204" s="64" t="str">
        <f t="shared" si="202"/>
        <v/>
      </c>
      <c r="DE204" s="65" t="str">
        <f t="shared" si="203"/>
        <v/>
      </c>
      <c r="DF204" s="66" t="str">
        <f t="shared" si="204"/>
        <v/>
      </c>
    </row>
    <row r="205" spans="2:110" hidden="1" outlineLevel="1">
      <c r="B205" s="54">
        <f t="shared" si="205"/>
        <v>44487</v>
      </c>
      <c r="C205" s="55" t="s">
        <v>1</v>
      </c>
      <c r="D205" s="56">
        <f t="shared" si="206"/>
        <v>44493</v>
      </c>
      <c r="E205" s="52">
        <f t="shared" si="207"/>
        <v>10</v>
      </c>
      <c r="F205" s="53">
        <f t="shared" si="208"/>
        <v>2021</v>
      </c>
      <c r="G205" s="62">
        <f t="shared" si="209"/>
        <v>15</v>
      </c>
      <c r="H205" s="63">
        <f t="shared" si="210"/>
        <v>96</v>
      </c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>
        <v>15</v>
      </c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80"/>
      <c r="AG205" s="87">
        <f t="shared" si="164"/>
        <v>0</v>
      </c>
      <c r="AH205" s="87">
        <f t="shared" si="165"/>
        <v>0</v>
      </c>
      <c r="AI205" s="87">
        <f t="shared" si="166"/>
        <v>0</v>
      </c>
      <c r="AJ205" s="87">
        <f t="shared" si="167"/>
        <v>0</v>
      </c>
      <c r="AK205" s="87">
        <f t="shared" si="168"/>
        <v>0</v>
      </c>
      <c r="AL205" s="87">
        <f t="shared" si="169"/>
        <v>0</v>
      </c>
      <c r="AM205" s="87">
        <f t="shared" si="170"/>
        <v>0</v>
      </c>
      <c r="AN205" s="87">
        <f t="shared" si="171"/>
        <v>0</v>
      </c>
      <c r="AO205" s="87">
        <f t="shared" si="172"/>
        <v>0</v>
      </c>
      <c r="AP205" s="87">
        <f t="shared" si="173"/>
        <v>0</v>
      </c>
      <c r="AQ205" s="87">
        <f t="shared" si="174"/>
        <v>15</v>
      </c>
      <c r="AR205" s="81"/>
      <c r="AS205" s="85">
        <f t="shared" si="175"/>
        <v>0</v>
      </c>
      <c r="AT205" s="85">
        <f t="shared" si="176"/>
        <v>0</v>
      </c>
      <c r="AU205" s="85">
        <f t="shared" si="177"/>
        <v>0</v>
      </c>
      <c r="AV205" s="85">
        <f t="shared" si="178"/>
        <v>0</v>
      </c>
      <c r="AW205" s="85">
        <f t="shared" si="179"/>
        <v>0</v>
      </c>
      <c r="AX205" s="85">
        <f t="shared" si="180"/>
        <v>0</v>
      </c>
      <c r="AY205" s="85">
        <f t="shared" si="181"/>
        <v>0</v>
      </c>
      <c r="AZ205" s="85">
        <f t="shared" si="182"/>
        <v>0</v>
      </c>
      <c r="BA205" s="85">
        <f t="shared" si="183"/>
        <v>0</v>
      </c>
      <c r="BB205" s="85">
        <f t="shared" si="184"/>
        <v>0</v>
      </c>
      <c r="BC205" s="85">
        <f t="shared" si="185"/>
        <v>0</v>
      </c>
      <c r="BD205" s="85">
        <f t="shared" si="186"/>
        <v>0</v>
      </c>
      <c r="BE205" s="85">
        <f t="shared" si="187"/>
        <v>0</v>
      </c>
      <c r="BF205" s="85">
        <f t="shared" si="188"/>
        <v>0</v>
      </c>
      <c r="BG205" s="85">
        <f t="shared" si="189"/>
        <v>0</v>
      </c>
      <c r="BH205" s="85">
        <f t="shared" si="190"/>
        <v>0</v>
      </c>
      <c r="BI205" s="85">
        <f t="shared" si="191"/>
        <v>0</v>
      </c>
      <c r="BJ205" s="85">
        <f t="shared" si="192"/>
        <v>0</v>
      </c>
      <c r="BK205" s="85">
        <f t="shared" si="193"/>
        <v>0</v>
      </c>
      <c r="BL205" s="85">
        <f t="shared" si="194"/>
        <v>0</v>
      </c>
      <c r="BM205" s="85">
        <f t="shared" si="195"/>
        <v>0</v>
      </c>
      <c r="BN205" s="85">
        <f t="shared" si="196"/>
        <v>0</v>
      </c>
      <c r="BO205" s="85">
        <f t="shared" si="197"/>
        <v>0</v>
      </c>
      <c r="BP205" s="85">
        <f t="shared" si="198"/>
        <v>0</v>
      </c>
      <c r="BQ205" s="85">
        <f t="shared" si="199"/>
        <v>0</v>
      </c>
      <c r="BR205" s="85">
        <f t="shared" si="200"/>
        <v>0</v>
      </c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X205" s="35" t="s">
        <v>12</v>
      </c>
      <c r="CZ205" s="35"/>
      <c r="DC205" s="57" t="str">
        <f t="shared" si="201"/>
        <v/>
      </c>
      <c r="DD205" s="64" t="str">
        <f t="shared" si="202"/>
        <v/>
      </c>
      <c r="DE205" s="65" t="str">
        <f t="shared" si="203"/>
        <v/>
      </c>
      <c r="DF205" s="66" t="str">
        <f t="shared" si="204"/>
        <v/>
      </c>
    </row>
    <row r="206" spans="2:110" hidden="1" outlineLevel="1">
      <c r="B206" s="54">
        <f t="shared" si="205"/>
        <v>44494</v>
      </c>
      <c r="C206" s="55" t="s">
        <v>1</v>
      </c>
      <c r="D206" s="56">
        <f t="shared" si="206"/>
        <v>44500</v>
      </c>
      <c r="E206" s="52">
        <f t="shared" si="207"/>
        <v>10</v>
      </c>
      <c r="F206" s="53">
        <f t="shared" si="208"/>
        <v>2021</v>
      </c>
      <c r="G206" s="62">
        <f t="shared" si="209"/>
        <v>15</v>
      </c>
      <c r="H206" s="63">
        <f t="shared" si="210"/>
        <v>96</v>
      </c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>
        <v>15</v>
      </c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80"/>
      <c r="AG206" s="87">
        <f t="shared" si="164"/>
        <v>0</v>
      </c>
      <c r="AH206" s="87">
        <f t="shared" si="165"/>
        <v>0</v>
      </c>
      <c r="AI206" s="87">
        <f t="shared" si="166"/>
        <v>0</v>
      </c>
      <c r="AJ206" s="87">
        <f t="shared" si="167"/>
        <v>0</v>
      </c>
      <c r="AK206" s="87">
        <f t="shared" si="168"/>
        <v>0</v>
      </c>
      <c r="AL206" s="87">
        <f t="shared" si="169"/>
        <v>0</v>
      </c>
      <c r="AM206" s="87">
        <f t="shared" si="170"/>
        <v>0</v>
      </c>
      <c r="AN206" s="87">
        <f t="shared" si="171"/>
        <v>0</v>
      </c>
      <c r="AO206" s="87">
        <f t="shared" si="172"/>
        <v>0</v>
      </c>
      <c r="AP206" s="87">
        <f t="shared" si="173"/>
        <v>0</v>
      </c>
      <c r="AQ206" s="87">
        <f t="shared" si="174"/>
        <v>15</v>
      </c>
      <c r="AR206" s="81"/>
      <c r="AS206" s="85">
        <f t="shared" si="175"/>
        <v>0</v>
      </c>
      <c r="AT206" s="85">
        <f t="shared" si="176"/>
        <v>0</v>
      </c>
      <c r="AU206" s="85">
        <f t="shared" si="177"/>
        <v>0</v>
      </c>
      <c r="AV206" s="85">
        <f t="shared" si="178"/>
        <v>0</v>
      </c>
      <c r="AW206" s="85">
        <f t="shared" si="179"/>
        <v>0</v>
      </c>
      <c r="AX206" s="85">
        <f t="shared" si="180"/>
        <v>0</v>
      </c>
      <c r="AY206" s="85">
        <f t="shared" si="181"/>
        <v>0</v>
      </c>
      <c r="AZ206" s="85">
        <f t="shared" si="182"/>
        <v>0</v>
      </c>
      <c r="BA206" s="85">
        <f t="shared" si="183"/>
        <v>0</v>
      </c>
      <c r="BB206" s="85">
        <f t="shared" si="184"/>
        <v>0</v>
      </c>
      <c r="BC206" s="85">
        <f t="shared" si="185"/>
        <v>0</v>
      </c>
      <c r="BD206" s="85">
        <f t="shared" si="186"/>
        <v>0</v>
      </c>
      <c r="BE206" s="85">
        <f t="shared" si="187"/>
        <v>0</v>
      </c>
      <c r="BF206" s="85">
        <f t="shared" si="188"/>
        <v>0</v>
      </c>
      <c r="BG206" s="85">
        <f t="shared" si="189"/>
        <v>0</v>
      </c>
      <c r="BH206" s="85">
        <f t="shared" si="190"/>
        <v>0</v>
      </c>
      <c r="BI206" s="85">
        <f t="shared" si="191"/>
        <v>0</v>
      </c>
      <c r="BJ206" s="85">
        <f t="shared" si="192"/>
        <v>0</v>
      </c>
      <c r="BK206" s="85">
        <f t="shared" si="193"/>
        <v>0</v>
      </c>
      <c r="BL206" s="85">
        <f t="shared" si="194"/>
        <v>0</v>
      </c>
      <c r="BM206" s="85">
        <f t="shared" si="195"/>
        <v>0</v>
      </c>
      <c r="BN206" s="85">
        <f t="shared" si="196"/>
        <v>0</v>
      </c>
      <c r="BO206" s="85">
        <f t="shared" si="197"/>
        <v>0</v>
      </c>
      <c r="BP206" s="85">
        <f t="shared" si="198"/>
        <v>0</v>
      </c>
      <c r="BQ206" s="85">
        <f t="shared" si="199"/>
        <v>0</v>
      </c>
      <c r="BR206" s="85">
        <f t="shared" si="200"/>
        <v>0</v>
      </c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X206" s="35" t="s">
        <v>12</v>
      </c>
      <c r="CZ206" s="35"/>
      <c r="DC206" s="57" t="str">
        <f t="shared" si="201"/>
        <v/>
      </c>
      <c r="DD206" s="64" t="str">
        <f t="shared" si="202"/>
        <v/>
      </c>
      <c r="DE206" s="65" t="str">
        <f t="shared" si="203"/>
        <v/>
      </c>
      <c r="DF206" s="66" t="str">
        <f t="shared" si="204"/>
        <v/>
      </c>
    </row>
    <row r="207" spans="2:110" hidden="1" outlineLevel="1">
      <c r="B207" s="54">
        <f t="shared" si="205"/>
        <v>44501</v>
      </c>
      <c r="C207" s="55" t="s">
        <v>1</v>
      </c>
      <c r="D207" s="56">
        <f t="shared" si="206"/>
        <v>44507</v>
      </c>
      <c r="E207" s="52">
        <f t="shared" si="207"/>
        <v>11</v>
      </c>
      <c r="F207" s="53">
        <f t="shared" si="208"/>
        <v>2021</v>
      </c>
      <c r="G207" s="62">
        <f t="shared" si="209"/>
        <v>15</v>
      </c>
      <c r="H207" s="63">
        <f t="shared" si="210"/>
        <v>96</v>
      </c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>
        <v>15</v>
      </c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80"/>
      <c r="AG207" s="87">
        <f t="shared" si="164"/>
        <v>0</v>
      </c>
      <c r="AH207" s="87">
        <f t="shared" si="165"/>
        <v>0</v>
      </c>
      <c r="AI207" s="87">
        <f t="shared" si="166"/>
        <v>0</v>
      </c>
      <c r="AJ207" s="87">
        <f t="shared" si="167"/>
        <v>0</v>
      </c>
      <c r="AK207" s="87">
        <f t="shared" si="168"/>
        <v>0</v>
      </c>
      <c r="AL207" s="87">
        <f t="shared" si="169"/>
        <v>0</v>
      </c>
      <c r="AM207" s="87">
        <f t="shared" si="170"/>
        <v>0</v>
      </c>
      <c r="AN207" s="87">
        <f t="shared" si="171"/>
        <v>0</v>
      </c>
      <c r="AO207" s="87">
        <f t="shared" si="172"/>
        <v>0</v>
      </c>
      <c r="AP207" s="87">
        <f t="shared" si="173"/>
        <v>0</v>
      </c>
      <c r="AQ207" s="87">
        <f t="shared" si="174"/>
        <v>15</v>
      </c>
      <c r="AR207" s="81"/>
      <c r="AS207" s="85">
        <f t="shared" si="175"/>
        <v>0</v>
      </c>
      <c r="AT207" s="85">
        <f t="shared" si="176"/>
        <v>0</v>
      </c>
      <c r="AU207" s="85">
        <f t="shared" si="177"/>
        <v>0</v>
      </c>
      <c r="AV207" s="85">
        <f t="shared" si="178"/>
        <v>0</v>
      </c>
      <c r="AW207" s="85">
        <f t="shared" si="179"/>
        <v>0</v>
      </c>
      <c r="AX207" s="85">
        <f t="shared" si="180"/>
        <v>0</v>
      </c>
      <c r="AY207" s="85">
        <f t="shared" si="181"/>
        <v>0</v>
      </c>
      <c r="AZ207" s="85">
        <f t="shared" si="182"/>
        <v>0</v>
      </c>
      <c r="BA207" s="85">
        <f t="shared" si="183"/>
        <v>0</v>
      </c>
      <c r="BB207" s="85">
        <f t="shared" si="184"/>
        <v>0</v>
      </c>
      <c r="BC207" s="85">
        <f t="shared" si="185"/>
        <v>0</v>
      </c>
      <c r="BD207" s="85">
        <f t="shared" si="186"/>
        <v>0</v>
      </c>
      <c r="BE207" s="85">
        <f t="shared" si="187"/>
        <v>0</v>
      </c>
      <c r="BF207" s="85">
        <f t="shared" si="188"/>
        <v>0</v>
      </c>
      <c r="BG207" s="85">
        <f t="shared" si="189"/>
        <v>0</v>
      </c>
      <c r="BH207" s="85">
        <f t="shared" si="190"/>
        <v>0</v>
      </c>
      <c r="BI207" s="85">
        <f t="shared" si="191"/>
        <v>0</v>
      </c>
      <c r="BJ207" s="85">
        <f t="shared" si="192"/>
        <v>0</v>
      </c>
      <c r="BK207" s="85">
        <f t="shared" si="193"/>
        <v>0</v>
      </c>
      <c r="BL207" s="85">
        <f t="shared" si="194"/>
        <v>0</v>
      </c>
      <c r="BM207" s="85">
        <f t="shared" si="195"/>
        <v>0</v>
      </c>
      <c r="BN207" s="85">
        <f t="shared" si="196"/>
        <v>0</v>
      </c>
      <c r="BO207" s="85">
        <f t="shared" si="197"/>
        <v>0</v>
      </c>
      <c r="BP207" s="85">
        <f t="shared" si="198"/>
        <v>0</v>
      </c>
      <c r="BQ207" s="85">
        <f t="shared" si="199"/>
        <v>0</v>
      </c>
      <c r="BR207" s="85">
        <f t="shared" si="200"/>
        <v>0</v>
      </c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X207" s="35" t="s">
        <v>12</v>
      </c>
      <c r="CZ207" s="35"/>
      <c r="DC207" s="57" t="str">
        <f t="shared" si="201"/>
        <v/>
      </c>
      <c r="DD207" s="64" t="str">
        <f t="shared" si="202"/>
        <v/>
      </c>
      <c r="DE207" s="65" t="str">
        <f t="shared" si="203"/>
        <v/>
      </c>
      <c r="DF207" s="66" t="str">
        <f t="shared" si="204"/>
        <v/>
      </c>
    </row>
    <row r="208" spans="2:110" hidden="1" outlineLevel="1">
      <c r="B208" s="54">
        <f t="shared" si="205"/>
        <v>44508</v>
      </c>
      <c r="C208" s="55" t="s">
        <v>1</v>
      </c>
      <c r="D208" s="56">
        <f t="shared" si="206"/>
        <v>44514</v>
      </c>
      <c r="E208" s="52">
        <f t="shared" si="207"/>
        <v>11</v>
      </c>
      <c r="F208" s="53">
        <f t="shared" si="208"/>
        <v>2021</v>
      </c>
      <c r="G208" s="62">
        <f t="shared" si="209"/>
        <v>15</v>
      </c>
      <c r="H208" s="63">
        <f t="shared" si="210"/>
        <v>96</v>
      </c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>
        <v>15</v>
      </c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80"/>
      <c r="AG208" s="87">
        <f t="shared" si="164"/>
        <v>0</v>
      </c>
      <c r="AH208" s="87">
        <f t="shared" si="165"/>
        <v>0</v>
      </c>
      <c r="AI208" s="87">
        <f t="shared" si="166"/>
        <v>0</v>
      </c>
      <c r="AJ208" s="87">
        <f t="shared" si="167"/>
        <v>0</v>
      </c>
      <c r="AK208" s="87">
        <f t="shared" si="168"/>
        <v>0</v>
      </c>
      <c r="AL208" s="87">
        <f t="shared" si="169"/>
        <v>0</v>
      </c>
      <c r="AM208" s="87">
        <f t="shared" si="170"/>
        <v>0</v>
      </c>
      <c r="AN208" s="87">
        <f t="shared" si="171"/>
        <v>0</v>
      </c>
      <c r="AO208" s="87">
        <f t="shared" si="172"/>
        <v>0</v>
      </c>
      <c r="AP208" s="87">
        <f t="shared" si="173"/>
        <v>0</v>
      </c>
      <c r="AQ208" s="87">
        <f t="shared" si="174"/>
        <v>15</v>
      </c>
      <c r="AR208" s="81"/>
      <c r="AS208" s="85">
        <f t="shared" si="175"/>
        <v>0</v>
      </c>
      <c r="AT208" s="85">
        <f t="shared" si="176"/>
        <v>0</v>
      </c>
      <c r="AU208" s="85">
        <f t="shared" si="177"/>
        <v>0</v>
      </c>
      <c r="AV208" s="85">
        <f t="shared" si="178"/>
        <v>0</v>
      </c>
      <c r="AW208" s="85">
        <f t="shared" si="179"/>
        <v>0</v>
      </c>
      <c r="AX208" s="85">
        <f t="shared" si="180"/>
        <v>0</v>
      </c>
      <c r="AY208" s="85">
        <f t="shared" si="181"/>
        <v>0</v>
      </c>
      <c r="AZ208" s="85">
        <f t="shared" si="182"/>
        <v>0</v>
      </c>
      <c r="BA208" s="85">
        <f t="shared" si="183"/>
        <v>0</v>
      </c>
      <c r="BB208" s="85">
        <f t="shared" si="184"/>
        <v>0</v>
      </c>
      <c r="BC208" s="85">
        <f t="shared" si="185"/>
        <v>0</v>
      </c>
      <c r="BD208" s="85">
        <f t="shared" si="186"/>
        <v>0</v>
      </c>
      <c r="BE208" s="85">
        <f t="shared" si="187"/>
        <v>0</v>
      </c>
      <c r="BF208" s="85">
        <f t="shared" si="188"/>
        <v>0</v>
      </c>
      <c r="BG208" s="85">
        <f t="shared" si="189"/>
        <v>0</v>
      </c>
      <c r="BH208" s="85">
        <f t="shared" si="190"/>
        <v>0</v>
      </c>
      <c r="BI208" s="85">
        <f t="shared" si="191"/>
        <v>0</v>
      </c>
      <c r="BJ208" s="85">
        <f t="shared" si="192"/>
        <v>0</v>
      </c>
      <c r="BK208" s="85">
        <f t="shared" si="193"/>
        <v>0</v>
      </c>
      <c r="BL208" s="85">
        <f t="shared" si="194"/>
        <v>0</v>
      </c>
      <c r="BM208" s="85">
        <f t="shared" si="195"/>
        <v>0</v>
      </c>
      <c r="BN208" s="85">
        <f t="shared" si="196"/>
        <v>0</v>
      </c>
      <c r="BO208" s="85">
        <f t="shared" si="197"/>
        <v>0</v>
      </c>
      <c r="BP208" s="85">
        <f t="shared" si="198"/>
        <v>0</v>
      </c>
      <c r="BQ208" s="85">
        <f t="shared" si="199"/>
        <v>0</v>
      </c>
      <c r="BR208" s="85">
        <f t="shared" si="200"/>
        <v>0</v>
      </c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X208" s="35" t="s">
        <v>12</v>
      </c>
      <c r="CZ208" s="35"/>
      <c r="DC208" s="57" t="str">
        <f t="shared" si="201"/>
        <v/>
      </c>
      <c r="DD208" s="64" t="str">
        <f t="shared" si="202"/>
        <v/>
      </c>
      <c r="DE208" s="65" t="str">
        <f t="shared" si="203"/>
        <v/>
      </c>
      <c r="DF208" s="66" t="str">
        <f t="shared" si="204"/>
        <v/>
      </c>
    </row>
    <row r="209" spans="2:110" hidden="1" outlineLevel="1">
      <c r="B209" s="54">
        <f t="shared" si="205"/>
        <v>44515</v>
      </c>
      <c r="C209" s="55" t="s">
        <v>1</v>
      </c>
      <c r="D209" s="56">
        <f t="shared" si="206"/>
        <v>44521</v>
      </c>
      <c r="E209" s="52">
        <f t="shared" si="207"/>
        <v>11</v>
      </c>
      <c r="F209" s="53">
        <f t="shared" si="208"/>
        <v>2021</v>
      </c>
      <c r="G209" s="62">
        <f t="shared" si="209"/>
        <v>15</v>
      </c>
      <c r="H209" s="63">
        <f t="shared" si="210"/>
        <v>96</v>
      </c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>
        <v>15</v>
      </c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80"/>
      <c r="AG209" s="87">
        <f t="shared" si="164"/>
        <v>0</v>
      </c>
      <c r="AH209" s="87">
        <f t="shared" si="165"/>
        <v>0</v>
      </c>
      <c r="AI209" s="87">
        <f t="shared" si="166"/>
        <v>0</v>
      </c>
      <c r="AJ209" s="87">
        <f t="shared" si="167"/>
        <v>0</v>
      </c>
      <c r="AK209" s="87">
        <f t="shared" si="168"/>
        <v>0</v>
      </c>
      <c r="AL209" s="87">
        <f t="shared" si="169"/>
        <v>0</v>
      </c>
      <c r="AM209" s="87">
        <f t="shared" si="170"/>
        <v>0</v>
      </c>
      <c r="AN209" s="87">
        <f t="shared" si="171"/>
        <v>0</v>
      </c>
      <c r="AO209" s="87">
        <f t="shared" si="172"/>
        <v>0</v>
      </c>
      <c r="AP209" s="87">
        <f t="shared" si="173"/>
        <v>0</v>
      </c>
      <c r="AQ209" s="87">
        <f t="shared" si="174"/>
        <v>15</v>
      </c>
      <c r="AR209" s="81"/>
      <c r="AS209" s="85">
        <f t="shared" si="175"/>
        <v>0</v>
      </c>
      <c r="AT209" s="85">
        <f t="shared" si="176"/>
        <v>0</v>
      </c>
      <c r="AU209" s="85">
        <f t="shared" si="177"/>
        <v>0</v>
      </c>
      <c r="AV209" s="85">
        <f t="shared" si="178"/>
        <v>0</v>
      </c>
      <c r="AW209" s="85">
        <f t="shared" si="179"/>
        <v>0</v>
      </c>
      <c r="AX209" s="85">
        <f t="shared" si="180"/>
        <v>0</v>
      </c>
      <c r="AY209" s="85">
        <f t="shared" si="181"/>
        <v>0</v>
      </c>
      <c r="AZ209" s="85">
        <f t="shared" si="182"/>
        <v>0</v>
      </c>
      <c r="BA209" s="85">
        <f t="shared" si="183"/>
        <v>0</v>
      </c>
      <c r="BB209" s="85">
        <f t="shared" si="184"/>
        <v>0</v>
      </c>
      <c r="BC209" s="85">
        <f t="shared" si="185"/>
        <v>0</v>
      </c>
      <c r="BD209" s="85">
        <f t="shared" si="186"/>
        <v>0</v>
      </c>
      <c r="BE209" s="85">
        <f t="shared" si="187"/>
        <v>0</v>
      </c>
      <c r="BF209" s="85">
        <f t="shared" si="188"/>
        <v>0</v>
      </c>
      <c r="BG209" s="85">
        <f t="shared" si="189"/>
        <v>0</v>
      </c>
      <c r="BH209" s="85">
        <f t="shared" si="190"/>
        <v>0</v>
      </c>
      <c r="BI209" s="85">
        <f t="shared" si="191"/>
        <v>0</v>
      </c>
      <c r="BJ209" s="85">
        <f t="shared" si="192"/>
        <v>0</v>
      </c>
      <c r="BK209" s="85">
        <f t="shared" si="193"/>
        <v>0</v>
      </c>
      <c r="BL209" s="85">
        <f t="shared" si="194"/>
        <v>0</v>
      </c>
      <c r="BM209" s="85">
        <f t="shared" si="195"/>
        <v>0</v>
      </c>
      <c r="BN209" s="85">
        <f t="shared" si="196"/>
        <v>0</v>
      </c>
      <c r="BO209" s="85">
        <f t="shared" si="197"/>
        <v>0</v>
      </c>
      <c r="BP209" s="85">
        <f t="shared" si="198"/>
        <v>0</v>
      </c>
      <c r="BQ209" s="85">
        <f t="shared" si="199"/>
        <v>0</v>
      </c>
      <c r="BR209" s="85">
        <f t="shared" si="200"/>
        <v>0</v>
      </c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W209">
        <v>8</v>
      </c>
      <c r="CX209" s="35">
        <v>44515</v>
      </c>
      <c r="CZ209" s="35">
        <f>B226</f>
        <v>44634</v>
      </c>
      <c r="DA209">
        <v>98</v>
      </c>
      <c r="DC209" s="57" t="str">
        <f t="shared" si="201"/>
        <v/>
      </c>
      <c r="DD209" s="64" t="str">
        <f t="shared" si="202"/>
        <v/>
      </c>
      <c r="DE209" s="65" t="str">
        <f t="shared" si="203"/>
        <v/>
      </c>
      <c r="DF209" s="66" t="str">
        <f t="shared" si="204"/>
        <v/>
      </c>
    </row>
    <row r="210" spans="2:110" hidden="1" outlineLevel="1">
      <c r="B210" s="54">
        <f t="shared" si="205"/>
        <v>44522</v>
      </c>
      <c r="C210" s="55" t="s">
        <v>1</v>
      </c>
      <c r="D210" s="56">
        <f t="shared" si="206"/>
        <v>44528</v>
      </c>
      <c r="E210" s="52">
        <f t="shared" si="207"/>
        <v>11</v>
      </c>
      <c r="F210" s="53">
        <f t="shared" si="208"/>
        <v>2021</v>
      </c>
      <c r="G210" s="62">
        <f t="shared" si="209"/>
        <v>15</v>
      </c>
      <c r="H210" s="63">
        <f t="shared" si="210"/>
        <v>96</v>
      </c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>
        <v>15</v>
      </c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80"/>
      <c r="AG210" s="87">
        <f t="shared" si="164"/>
        <v>0</v>
      </c>
      <c r="AH210" s="87">
        <f t="shared" si="165"/>
        <v>0</v>
      </c>
      <c r="AI210" s="87">
        <f t="shared" si="166"/>
        <v>0</v>
      </c>
      <c r="AJ210" s="87">
        <f t="shared" si="167"/>
        <v>0</v>
      </c>
      <c r="AK210" s="87">
        <f t="shared" si="168"/>
        <v>0</v>
      </c>
      <c r="AL210" s="87">
        <f t="shared" si="169"/>
        <v>0</v>
      </c>
      <c r="AM210" s="87">
        <f t="shared" si="170"/>
        <v>0</v>
      </c>
      <c r="AN210" s="87">
        <f t="shared" si="171"/>
        <v>0</v>
      </c>
      <c r="AO210" s="87">
        <f t="shared" si="172"/>
        <v>0</v>
      </c>
      <c r="AP210" s="87">
        <f t="shared" si="173"/>
        <v>0</v>
      </c>
      <c r="AQ210" s="87">
        <f t="shared" si="174"/>
        <v>15</v>
      </c>
      <c r="AR210" s="81"/>
      <c r="AS210" s="85">
        <f t="shared" si="175"/>
        <v>0</v>
      </c>
      <c r="AT210" s="85">
        <f t="shared" si="176"/>
        <v>0</v>
      </c>
      <c r="AU210" s="85">
        <f t="shared" si="177"/>
        <v>0</v>
      </c>
      <c r="AV210" s="85">
        <f t="shared" si="178"/>
        <v>0</v>
      </c>
      <c r="AW210" s="85">
        <f t="shared" si="179"/>
        <v>0</v>
      </c>
      <c r="AX210" s="85">
        <f t="shared" si="180"/>
        <v>0</v>
      </c>
      <c r="AY210" s="85">
        <f t="shared" si="181"/>
        <v>0</v>
      </c>
      <c r="AZ210" s="85">
        <f t="shared" si="182"/>
        <v>0</v>
      </c>
      <c r="BA210" s="85">
        <f t="shared" si="183"/>
        <v>0</v>
      </c>
      <c r="BB210" s="85">
        <f t="shared" si="184"/>
        <v>0</v>
      </c>
      <c r="BC210" s="85">
        <f t="shared" si="185"/>
        <v>0</v>
      </c>
      <c r="BD210" s="85">
        <f t="shared" si="186"/>
        <v>0</v>
      </c>
      <c r="BE210" s="85">
        <f t="shared" si="187"/>
        <v>0</v>
      </c>
      <c r="BF210" s="85">
        <f t="shared" si="188"/>
        <v>0</v>
      </c>
      <c r="BG210" s="85">
        <f t="shared" si="189"/>
        <v>0</v>
      </c>
      <c r="BH210" s="85">
        <f t="shared" si="190"/>
        <v>0</v>
      </c>
      <c r="BI210" s="85">
        <f t="shared" si="191"/>
        <v>0</v>
      </c>
      <c r="BJ210" s="85">
        <f t="shared" si="192"/>
        <v>0</v>
      </c>
      <c r="BK210" s="85">
        <f t="shared" si="193"/>
        <v>0</v>
      </c>
      <c r="BL210" s="85">
        <f t="shared" si="194"/>
        <v>0</v>
      </c>
      <c r="BM210" s="85">
        <f t="shared" si="195"/>
        <v>0</v>
      </c>
      <c r="BN210" s="85">
        <f t="shared" si="196"/>
        <v>0</v>
      </c>
      <c r="BO210" s="85">
        <f t="shared" si="197"/>
        <v>0</v>
      </c>
      <c r="BP210" s="85">
        <f t="shared" si="198"/>
        <v>0</v>
      </c>
      <c r="BQ210" s="85">
        <f t="shared" si="199"/>
        <v>0</v>
      </c>
      <c r="BR210" s="85">
        <f t="shared" si="200"/>
        <v>0</v>
      </c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X210" s="35" t="s">
        <v>12</v>
      </c>
      <c r="CZ210" s="35"/>
      <c r="DC210" s="57" t="str">
        <f t="shared" si="201"/>
        <v/>
      </c>
      <c r="DD210" s="64" t="str">
        <f t="shared" si="202"/>
        <v/>
      </c>
      <c r="DE210" s="65" t="str">
        <f t="shared" si="203"/>
        <v/>
      </c>
      <c r="DF210" s="66" t="str">
        <f t="shared" si="204"/>
        <v/>
      </c>
    </row>
    <row r="211" spans="2:110" hidden="1" outlineLevel="1">
      <c r="B211" s="54">
        <f t="shared" si="205"/>
        <v>44529</v>
      </c>
      <c r="C211" s="55" t="s">
        <v>1</v>
      </c>
      <c r="D211" s="56">
        <f t="shared" si="206"/>
        <v>44535</v>
      </c>
      <c r="E211" s="52">
        <f t="shared" si="207"/>
        <v>11</v>
      </c>
      <c r="F211" s="53">
        <f t="shared" si="208"/>
        <v>2021</v>
      </c>
      <c r="G211" s="62">
        <f t="shared" si="209"/>
        <v>15</v>
      </c>
      <c r="H211" s="63">
        <f t="shared" si="210"/>
        <v>96</v>
      </c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>
        <v>15</v>
      </c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80"/>
      <c r="AG211" s="87">
        <f t="shared" si="164"/>
        <v>0</v>
      </c>
      <c r="AH211" s="87">
        <f t="shared" si="165"/>
        <v>0</v>
      </c>
      <c r="AI211" s="87">
        <f t="shared" si="166"/>
        <v>0</v>
      </c>
      <c r="AJ211" s="87">
        <f t="shared" si="167"/>
        <v>0</v>
      </c>
      <c r="AK211" s="87">
        <f t="shared" si="168"/>
        <v>0</v>
      </c>
      <c r="AL211" s="87">
        <f t="shared" si="169"/>
        <v>0</v>
      </c>
      <c r="AM211" s="87">
        <f t="shared" si="170"/>
        <v>0</v>
      </c>
      <c r="AN211" s="87">
        <f t="shared" si="171"/>
        <v>0</v>
      </c>
      <c r="AO211" s="87">
        <f t="shared" si="172"/>
        <v>0</v>
      </c>
      <c r="AP211" s="87">
        <f t="shared" si="173"/>
        <v>0</v>
      </c>
      <c r="AQ211" s="87">
        <f t="shared" si="174"/>
        <v>15</v>
      </c>
      <c r="AR211" s="81"/>
      <c r="AS211" s="85">
        <f t="shared" si="175"/>
        <v>0</v>
      </c>
      <c r="AT211" s="85">
        <f t="shared" si="176"/>
        <v>0</v>
      </c>
      <c r="AU211" s="85">
        <f t="shared" si="177"/>
        <v>0</v>
      </c>
      <c r="AV211" s="85">
        <f t="shared" si="178"/>
        <v>0</v>
      </c>
      <c r="AW211" s="85">
        <f t="shared" si="179"/>
        <v>0</v>
      </c>
      <c r="AX211" s="85">
        <f t="shared" si="180"/>
        <v>0</v>
      </c>
      <c r="AY211" s="85">
        <f t="shared" si="181"/>
        <v>0</v>
      </c>
      <c r="AZ211" s="85">
        <f t="shared" si="182"/>
        <v>0</v>
      </c>
      <c r="BA211" s="85">
        <f t="shared" si="183"/>
        <v>0</v>
      </c>
      <c r="BB211" s="85">
        <f t="shared" si="184"/>
        <v>0</v>
      </c>
      <c r="BC211" s="85">
        <f t="shared" si="185"/>
        <v>0</v>
      </c>
      <c r="BD211" s="85">
        <f t="shared" si="186"/>
        <v>0</v>
      </c>
      <c r="BE211" s="85">
        <f t="shared" si="187"/>
        <v>0</v>
      </c>
      <c r="BF211" s="85">
        <f t="shared" si="188"/>
        <v>0</v>
      </c>
      <c r="BG211" s="85">
        <f t="shared" si="189"/>
        <v>0</v>
      </c>
      <c r="BH211" s="85">
        <f t="shared" si="190"/>
        <v>0</v>
      </c>
      <c r="BI211" s="85">
        <f t="shared" si="191"/>
        <v>0</v>
      </c>
      <c r="BJ211" s="85">
        <f t="shared" si="192"/>
        <v>0</v>
      </c>
      <c r="BK211" s="85">
        <f t="shared" si="193"/>
        <v>0</v>
      </c>
      <c r="BL211" s="85">
        <f t="shared" si="194"/>
        <v>0</v>
      </c>
      <c r="BM211" s="85">
        <f t="shared" si="195"/>
        <v>0</v>
      </c>
      <c r="BN211" s="85">
        <f t="shared" si="196"/>
        <v>0</v>
      </c>
      <c r="BO211" s="85">
        <f t="shared" si="197"/>
        <v>0</v>
      </c>
      <c r="BP211" s="85">
        <f t="shared" si="198"/>
        <v>0</v>
      </c>
      <c r="BQ211" s="85">
        <f t="shared" si="199"/>
        <v>0</v>
      </c>
      <c r="BR211" s="85">
        <f t="shared" si="200"/>
        <v>0</v>
      </c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3"/>
      <c r="CM211" s="63"/>
      <c r="CN211" s="63"/>
      <c r="CO211" s="63"/>
      <c r="CP211" s="63"/>
      <c r="CQ211" s="63"/>
      <c r="CR211" s="63"/>
      <c r="CS211" s="63"/>
      <c r="CX211" s="35" t="s">
        <v>12</v>
      </c>
      <c r="CZ211" s="35"/>
      <c r="DC211" s="57" t="str">
        <f t="shared" si="201"/>
        <v/>
      </c>
      <c r="DD211" s="64" t="str">
        <f t="shared" si="202"/>
        <v/>
      </c>
      <c r="DE211" s="65" t="str">
        <f t="shared" si="203"/>
        <v/>
      </c>
      <c r="DF211" s="66" t="str">
        <f t="shared" si="204"/>
        <v/>
      </c>
    </row>
    <row r="212" spans="2:110" hidden="1" outlineLevel="1">
      <c r="B212" s="54">
        <f t="shared" si="205"/>
        <v>44536</v>
      </c>
      <c r="C212" s="55" t="s">
        <v>1</v>
      </c>
      <c r="D212" s="56">
        <f t="shared" si="206"/>
        <v>44542</v>
      </c>
      <c r="E212" s="52">
        <f t="shared" si="207"/>
        <v>12</v>
      </c>
      <c r="F212" s="53">
        <f t="shared" si="208"/>
        <v>2021</v>
      </c>
      <c r="G212" s="62">
        <f t="shared" si="209"/>
        <v>15</v>
      </c>
      <c r="H212" s="63">
        <f t="shared" si="210"/>
        <v>96</v>
      </c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>
        <v>15</v>
      </c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80"/>
      <c r="AG212" s="87">
        <f t="shared" si="164"/>
        <v>0</v>
      </c>
      <c r="AH212" s="87">
        <f t="shared" si="165"/>
        <v>0</v>
      </c>
      <c r="AI212" s="87">
        <f t="shared" si="166"/>
        <v>0</v>
      </c>
      <c r="AJ212" s="87">
        <f t="shared" si="167"/>
        <v>0</v>
      </c>
      <c r="AK212" s="87">
        <f t="shared" si="168"/>
        <v>0</v>
      </c>
      <c r="AL212" s="87">
        <f t="shared" si="169"/>
        <v>0</v>
      </c>
      <c r="AM212" s="87">
        <f t="shared" si="170"/>
        <v>0</v>
      </c>
      <c r="AN212" s="87">
        <f t="shared" si="171"/>
        <v>0</v>
      </c>
      <c r="AO212" s="87">
        <f t="shared" si="172"/>
        <v>0</v>
      </c>
      <c r="AP212" s="87">
        <f t="shared" si="173"/>
        <v>0</v>
      </c>
      <c r="AQ212" s="87">
        <f t="shared" si="174"/>
        <v>15</v>
      </c>
      <c r="AR212" s="81"/>
      <c r="AS212" s="85">
        <f t="shared" si="175"/>
        <v>0</v>
      </c>
      <c r="AT212" s="85">
        <f t="shared" si="176"/>
        <v>0</v>
      </c>
      <c r="AU212" s="85">
        <f t="shared" si="177"/>
        <v>0</v>
      </c>
      <c r="AV212" s="85">
        <f t="shared" si="178"/>
        <v>0</v>
      </c>
      <c r="AW212" s="85">
        <f t="shared" si="179"/>
        <v>0</v>
      </c>
      <c r="AX212" s="85">
        <f t="shared" si="180"/>
        <v>0</v>
      </c>
      <c r="AY212" s="85">
        <f t="shared" si="181"/>
        <v>0</v>
      </c>
      <c r="AZ212" s="85">
        <f t="shared" si="182"/>
        <v>0</v>
      </c>
      <c r="BA212" s="85">
        <f t="shared" si="183"/>
        <v>0</v>
      </c>
      <c r="BB212" s="85">
        <f t="shared" si="184"/>
        <v>0</v>
      </c>
      <c r="BC212" s="85">
        <f t="shared" si="185"/>
        <v>0</v>
      </c>
      <c r="BD212" s="85">
        <f t="shared" si="186"/>
        <v>0</v>
      </c>
      <c r="BE212" s="85">
        <f t="shared" si="187"/>
        <v>0</v>
      </c>
      <c r="BF212" s="85">
        <f t="shared" si="188"/>
        <v>0</v>
      </c>
      <c r="BG212" s="85">
        <f t="shared" si="189"/>
        <v>0</v>
      </c>
      <c r="BH212" s="85">
        <f t="shared" si="190"/>
        <v>0</v>
      </c>
      <c r="BI212" s="85">
        <f t="shared" si="191"/>
        <v>0</v>
      </c>
      <c r="BJ212" s="85">
        <f t="shared" si="192"/>
        <v>0</v>
      </c>
      <c r="BK212" s="85">
        <f t="shared" si="193"/>
        <v>0</v>
      </c>
      <c r="BL212" s="85">
        <f t="shared" si="194"/>
        <v>0</v>
      </c>
      <c r="BM212" s="85">
        <f t="shared" si="195"/>
        <v>0</v>
      </c>
      <c r="BN212" s="85">
        <f t="shared" si="196"/>
        <v>0</v>
      </c>
      <c r="BO212" s="85">
        <f t="shared" si="197"/>
        <v>0</v>
      </c>
      <c r="BP212" s="85">
        <f t="shared" si="198"/>
        <v>0</v>
      </c>
      <c r="BQ212" s="85">
        <f t="shared" si="199"/>
        <v>0</v>
      </c>
      <c r="BR212" s="85">
        <f t="shared" si="200"/>
        <v>0</v>
      </c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3"/>
      <c r="CM212" s="63"/>
      <c r="CN212" s="63"/>
      <c r="CO212" s="63"/>
      <c r="CP212" s="63"/>
      <c r="CQ212" s="63"/>
      <c r="CR212" s="63"/>
      <c r="CS212" s="63"/>
      <c r="CX212" s="35" t="s">
        <v>12</v>
      </c>
      <c r="CZ212" s="35"/>
      <c r="DC212" s="57" t="str">
        <f t="shared" si="201"/>
        <v/>
      </c>
      <c r="DD212" s="64" t="str">
        <f t="shared" si="202"/>
        <v/>
      </c>
      <c r="DE212" s="65" t="str">
        <f t="shared" si="203"/>
        <v/>
      </c>
      <c r="DF212" s="66" t="str">
        <f t="shared" si="204"/>
        <v/>
      </c>
    </row>
    <row r="213" spans="2:110" hidden="1" outlineLevel="1">
      <c r="B213" s="54">
        <f t="shared" si="205"/>
        <v>44543</v>
      </c>
      <c r="C213" s="55" t="s">
        <v>1</v>
      </c>
      <c r="D213" s="56">
        <f t="shared" si="206"/>
        <v>44549</v>
      </c>
      <c r="E213" s="52">
        <f t="shared" si="207"/>
        <v>12</v>
      </c>
      <c r="F213" s="53">
        <f t="shared" si="208"/>
        <v>2021</v>
      </c>
      <c r="G213" s="62">
        <f t="shared" si="209"/>
        <v>15</v>
      </c>
      <c r="H213" s="63">
        <f t="shared" si="210"/>
        <v>96</v>
      </c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>
        <v>15</v>
      </c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80"/>
      <c r="AG213" s="87">
        <f t="shared" si="164"/>
        <v>0</v>
      </c>
      <c r="AH213" s="87">
        <f t="shared" si="165"/>
        <v>0</v>
      </c>
      <c r="AI213" s="87">
        <f t="shared" si="166"/>
        <v>0</v>
      </c>
      <c r="AJ213" s="87">
        <f t="shared" si="167"/>
        <v>0</v>
      </c>
      <c r="AK213" s="87">
        <f t="shared" si="168"/>
        <v>0</v>
      </c>
      <c r="AL213" s="87">
        <f t="shared" si="169"/>
        <v>0</v>
      </c>
      <c r="AM213" s="87">
        <f t="shared" si="170"/>
        <v>0</v>
      </c>
      <c r="AN213" s="87">
        <f t="shared" si="171"/>
        <v>0</v>
      </c>
      <c r="AO213" s="87">
        <f t="shared" si="172"/>
        <v>0</v>
      </c>
      <c r="AP213" s="87">
        <f t="shared" si="173"/>
        <v>0</v>
      </c>
      <c r="AQ213" s="87">
        <f t="shared" si="174"/>
        <v>15</v>
      </c>
      <c r="AR213" s="81"/>
      <c r="AS213" s="85">
        <f t="shared" si="175"/>
        <v>0</v>
      </c>
      <c r="AT213" s="85">
        <f t="shared" si="176"/>
        <v>0</v>
      </c>
      <c r="AU213" s="85">
        <f t="shared" si="177"/>
        <v>0</v>
      </c>
      <c r="AV213" s="85">
        <f t="shared" si="178"/>
        <v>0</v>
      </c>
      <c r="AW213" s="85">
        <f t="shared" si="179"/>
        <v>0</v>
      </c>
      <c r="AX213" s="85">
        <f t="shared" si="180"/>
        <v>0</v>
      </c>
      <c r="AY213" s="85">
        <f t="shared" si="181"/>
        <v>0</v>
      </c>
      <c r="AZ213" s="85">
        <f t="shared" si="182"/>
        <v>0</v>
      </c>
      <c r="BA213" s="85">
        <f t="shared" si="183"/>
        <v>0</v>
      </c>
      <c r="BB213" s="85">
        <f t="shared" si="184"/>
        <v>0</v>
      </c>
      <c r="BC213" s="85">
        <f t="shared" si="185"/>
        <v>0</v>
      </c>
      <c r="BD213" s="85">
        <f t="shared" si="186"/>
        <v>0</v>
      </c>
      <c r="BE213" s="85">
        <f t="shared" si="187"/>
        <v>0</v>
      </c>
      <c r="BF213" s="85">
        <f t="shared" si="188"/>
        <v>0</v>
      </c>
      <c r="BG213" s="85">
        <f t="shared" si="189"/>
        <v>0</v>
      </c>
      <c r="BH213" s="85">
        <f t="shared" si="190"/>
        <v>0</v>
      </c>
      <c r="BI213" s="85">
        <f t="shared" si="191"/>
        <v>0</v>
      </c>
      <c r="BJ213" s="85">
        <f t="shared" si="192"/>
        <v>0</v>
      </c>
      <c r="BK213" s="85">
        <f t="shared" si="193"/>
        <v>0</v>
      </c>
      <c r="BL213" s="85">
        <f t="shared" si="194"/>
        <v>0</v>
      </c>
      <c r="BM213" s="85">
        <f t="shared" si="195"/>
        <v>0</v>
      </c>
      <c r="BN213" s="85">
        <f t="shared" si="196"/>
        <v>0</v>
      </c>
      <c r="BO213" s="85">
        <f t="shared" si="197"/>
        <v>0</v>
      </c>
      <c r="BP213" s="85">
        <f t="shared" si="198"/>
        <v>0</v>
      </c>
      <c r="BQ213" s="85">
        <f t="shared" si="199"/>
        <v>0</v>
      </c>
      <c r="BR213" s="85">
        <f t="shared" si="200"/>
        <v>0</v>
      </c>
      <c r="BT213" s="63"/>
      <c r="BU213" s="63"/>
      <c r="BV213" s="63"/>
      <c r="BW213" s="63"/>
      <c r="BX213" s="63"/>
      <c r="BY213" s="63"/>
      <c r="BZ213" s="63"/>
      <c r="CA213" s="63"/>
      <c r="CB213" s="63"/>
      <c r="CC213" s="63"/>
      <c r="CD213" s="63"/>
      <c r="CE213" s="63"/>
      <c r="CF213" s="63"/>
      <c r="CG213" s="63"/>
      <c r="CH213" s="63"/>
      <c r="CI213" s="63"/>
      <c r="CJ213" s="63"/>
      <c r="CK213" s="63"/>
      <c r="CL213" s="63"/>
      <c r="CM213" s="63"/>
      <c r="CN213" s="63"/>
      <c r="CO213" s="63"/>
      <c r="CP213" s="63"/>
      <c r="CQ213" s="63"/>
      <c r="CR213" s="63"/>
      <c r="CS213" s="63"/>
      <c r="CX213" s="35" t="s">
        <v>12</v>
      </c>
      <c r="CZ213" s="35"/>
      <c r="DC213" s="57" t="str">
        <f t="shared" si="201"/>
        <v/>
      </c>
      <c r="DD213" s="64" t="str">
        <f t="shared" si="202"/>
        <v/>
      </c>
      <c r="DE213" s="65" t="str">
        <f t="shared" si="203"/>
        <v/>
      </c>
      <c r="DF213" s="66" t="str">
        <f t="shared" si="204"/>
        <v/>
      </c>
    </row>
    <row r="214" spans="2:110" hidden="1" outlineLevel="1">
      <c r="B214" s="54">
        <f t="shared" si="205"/>
        <v>44550</v>
      </c>
      <c r="C214" s="55" t="s">
        <v>1</v>
      </c>
      <c r="D214" s="56">
        <f t="shared" si="206"/>
        <v>44556</v>
      </c>
      <c r="E214" s="52">
        <f t="shared" si="207"/>
        <v>12</v>
      </c>
      <c r="F214" s="53">
        <f t="shared" si="208"/>
        <v>2021</v>
      </c>
      <c r="G214" s="62">
        <f t="shared" si="209"/>
        <v>15</v>
      </c>
      <c r="H214" s="63">
        <f t="shared" si="210"/>
        <v>96</v>
      </c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>
        <v>15</v>
      </c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80"/>
      <c r="AG214" s="87">
        <f t="shared" si="164"/>
        <v>0</v>
      </c>
      <c r="AH214" s="87">
        <f t="shared" si="165"/>
        <v>0</v>
      </c>
      <c r="AI214" s="87">
        <f t="shared" si="166"/>
        <v>0</v>
      </c>
      <c r="AJ214" s="87">
        <f t="shared" si="167"/>
        <v>0</v>
      </c>
      <c r="AK214" s="87">
        <f t="shared" si="168"/>
        <v>0</v>
      </c>
      <c r="AL214" s="87">
        <f t="shared" si="169"/>
        <v>0</v>
      </c>
      <c r="AM214" s="87">
        <f t="shared" si="170"/>
        <v>0</v>
      </c>
      <c r="AN214" s="87">
        <f t="shared" si="171"/>
        <v>0</v>
      </c>
      <c r="AO214" s="87">
        <f t="shared" si="172"/>
        <v>0</v>
      </c>
      <c r="AP214" s="87">
        <f t="shared" si="173"/>
        <v>0</v>
      </c>
      <c r="AQ214" s="87">
        <f t="shared" si="174"/>
        <v>15</v>
      </c>
      <c r="AR214" s="81"/>
      <c r="AS214" s="85">
        <f t="shared" si="175"/>
        <v>0</v>
      </c>
      <c r="AT214" s="85">
        <f t="shared" si="176"/>
        <v>0</v>
      </c>
      <c r="AU214" s="85">
        <f t="shared" si="177"/>
        <v>0</v>
      </c>
      <c r="AV214" s="85">
        <f t="shared" si="178"/>
        <v>0</v>
      </c>
      <c r="AW214" s="85">
        <f t="shared" si="179"/>
        <v>0</v>
      </c>
      <c r="AX214" s="85">
        <f t="shared" si="180"/>
        <v>0</v>
      </c>
      <c r="AY214" s="85">
        <f t="shared" si="181"/>
        <v>0</v>
      </c>
      <c r="AZ214" s="85">
        <f t="shared" si="182"/>
        <v>0</v>
      </c>
      <c r="BA214" s="85">
        <f t="shared" si="183"/>
        <v>0</v>
      </c>
      <c r="BB214" s="85">
        <f t="shared" si="184"/>
        <v>0</v>
      </c>
      <c r="BC214" s="85">
        <f t="shared" si="185"/>
        <v>0</v>
      </c>
      <c r="BD214" s="85">
        <f t="shared" si="186"/>
        <v>0</v>
      </c>
      <c r="BE214" s="85">
        <f t="shared" si="187"/>
        <v>0</v>
      </c>
      <c r="BF214" s="85">
        <f t="shared" si="188"/>
        <v>0</v>
      </c>
      <c r="BG214" s="85">
        <f t="shared" si="189"/>
        <v>0</v>
      </c>
      <c r="BH214" s="85">
        <f t="shared" si="190"/>
        <v>0</v>
      </c>
      <c r="BI214" s="85">
        <f t="shared" si="191"/>
        <v>0</v>
      </c>
      <c r="BJ214" s="85">
        <f t="shared" si="192"/>
        <v>0</v>
      </c>
      <c r="BK214" s="85">
        <f t="shared" si="193"/>
        <v>0</v>
      </c>
      <c r="BL214" s="85">
        <f t="shared" si="194"/>
        <v>0</v>
      </c>
      <c r="BM214" s="85">
        <f t="shared" si="195"/>
        <v>0</v>
      </c>
      <c r="BN214" s="85">
        <f t="shared" si="196"/>
        <v>0</v>
      </c>
      <c r="BO214" s="85">
        <f t="shared" si="197"/>
        <v>0</v>
      </c>
      <c r="BP214" s="85">
        <f t="shared" si="198"/>
        <v>0</v>
      </c>
      <c r="BQ214" s="85">
        <f t="shared" si="199"/>
        <v>0</v>
      </c>
      <c r="BR214" s="85">
        <f t="shared" si="200"/>
        <v>0</v>
      </c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3"/>
      <c r="CM214" s="63"/>
      <c r="CN214" s="63"/>
      <c r="CO214" s="63"/>
      <c r="CP214" s="63"/>
      <c r="CQ214" s="63"/>
      <c r="CR214" s="63"/>
      <c r="CS214" s="63"/>
      <c r="CX214" s="35" t="s">
        <v>12</v>
      </c>
      <c r="CZ214" s="35"/>
      <c r="DC214" s="57" t="str">
        <f t="shared" si="201"/>
        <v/>
      </c>
      <c r="DD214" s="64" t="str">
        <f t="shared" si="202"/>
        <v/>
      </c>
      <c r="DE214" s="65" t="str">
        <f t="shared" si="203"/>
        <v/>
      </c>
      <c r="DF214" s="66" t="str">
        <f t="shared" si="204"/>
        <v/>
      </c>
    </row>
    <row r="215" spans="2:110" collapsed="1">
      <c r="B215" s="54">
        <f t="shared" si="205"/>
        <v>44557</v>
      </c>
      <c r="C215" s="55" t="s">
        <v>1</v>
      </c>
      <c r="D215" s="56">
        <f t="shared" si="206"/>
        <v>44563</v>
      </c>
      <c r="E215" s="52">
        <f t="shared" si="207"/>
        <v>12</v>
      </c>
      <c r="F215" s="53">
        <f t="shared" si="208"/>
        <v>2022</v>
      </c>
      <c r="G215" s="62">
        <f t="shared" si="209"/>
        <v>15</v>
      </c>
      <c r="H215" s="63">
        <f t="shared" si="210"/>
        <v>96</v>
      </c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>
        <v>15</v>
      </c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80"/>
      <c r="AG215" s="87">
        <f t="shared" si="164"/>
        <v>0</v>
      </c>
      <c r="AH215" s="87">
        <f t="shared" si="165"/>
        <v>0</v>
      </c>
      <c r="AI215" s="87">
        <f t="shared" si="166"/>
        <v>0</v>
      </c>
      <c r="AJ215" s="87">
        <f t="shared" si="167"/>
        <v>0</v>
      </c>
      <c r="AK215" s="87">
        <f t="shared" si="168"/>
        <v>0</v>
      </c>
      <c r="AL215" s="87">
        <f t="shared" si="169"/>
        <v>0</v>
      </c>
      <c r="AM215" s="87">
        <f t="shared" si="170"/>
        <v>0</v>
      </c>
      <c r="AN215" s="87">
        <f t="shared" si="171"/>
        <v>0</v>
      </c>
      <c r="AO215" s="87">
        <f t="shared" si="172"/>
        <v>0</v>
      </c>
      <c r="AP215" s="87">
        <f t="shared" si="173"/>
        <v>0</v>
      </c>
      <c r="AQ215" s="87">
        <f t="shared" si="174"/>
        <v>15</v>
      </c>
      <c r="AR215" s="81"/>
      <c r="AS215" s="85">
        <f t="shared" si="175"/>
        <v>0</v>
      </c>
      <c r="AT215" s="85">
        <f t="shared" si="176"/>
        <v>0</v>
      </c>
      <c r="AU215" s="85">
        <f t="shared" si="177"/>
        <v>0</v>
      </c>
      <c r="AV215" s="85">
        <f t="shared" si="178"/>
        <v>0</v>
      </c>
      <c r="AW215" s="85">
        <f t="shared" si="179"/>
        <v>0</v>
      </c>
      <c r="AX215" s="85">
        <f t="shared" si="180"/>
        <v>0</v>
      </c>
      <c r="AY215" s="85">
        <f t="shared" si="181"/>
        <v>0</v>
      </c>
      <c r="AZ215" s="85">
        <f t="shared" si="182"/>
        <v>0</v>
      </c>
      <c r="BA215" s="85">
        <f t="shared" si="183"/>
        <v>0</v>
      </c>
      <c r="BB215" s="85">
        <f t="shared" si="184"/>
        <v>0</v>
      </c>
      <c r="BC215" s="85">
        <f t="shared" si="185"/>
        <v>0</v>
      </c>
      <c r="BD215" s="85">
        <f t="shared" si="186"/>
        <v>0</v>
      </c>
      <c r="BE215" s="85">
        <f t="shared" si="187"/>
        <v>0</v>
      </c>
      <c r="BF215" s="85">
        <f t="shared" si="188"/>
        <v>0</v>
      </c>
      <c r="BG215" s="85">
        <f t="shared" si="189"/>
        <v>0</v>
      </c>
      <c r="BH215" s="85">
        <f t="shared" si="190"/>
        <v>0</v>
      </c>
      <c r="BI215" s="85">
        <f t="shared" si="191"/>
        <v>0</v>
      </c>
      <c r="BJ215" s="85">
        <f t="shared" si="192"/>
        <v>0</v>
      </c>
      <c r="BK215" s="85">
        <f t="shared" si="193"/>
        <v>0</v>
      </c>
      <c r="BL215" s="85">
        <f t="shared" si="194"/>
        <v>0</v>
      </c>
      <c r="BM215" s="85">
        <f t="shared" si="195"/>
        <v>0</v>
      </c>
      <c r="BN215" s="85">
        <f t="shared" si="196"/>
        <v>0</v>
      </c>
      <c r="BO215" s="85">
        <f t="shared" si="197"/>
        <v>0</v>
      </c>
      <c r="BP215" s="85">
        <f t="shared" si="198"/>
        <v>0</v>
      </c>
      <c r="BQ215" s="85">
        <f t="shared" si="199"/>
        <v>0</v>
      </c>
      <c r="BR215" s="85">
        <f t="shared" si="200"/>
        <v>0</v>
      </c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3"/>
      <c r="CM215" s="63"/>
      <c r="CN215" s="63"/>
      <c r="CO215" s="63"/>
      <c r="CP215" s="63"/>
      <c r="CQ215" s="63"/>
      <c r="CR215" s="63"/>
      <c r="CS215" s="63"/>
      <c r="CX215" s="35" t="s">
        <v>12</v>
      </c>
      <c r="CZ215" s="35"/>
      <c r="DC215" s="57" t="str">
        <f t="shared" si="201"/>
        <v/>
      </c>
      <c r="DD215" s="64" t="str">
        <f t="shared" si="202"/>
        <v/>
      </c>
      <c r="DE215" s="65" t="str">
        <f t="shared" si="203"/>
        <v/>
      </c>
      <c r="DF215" s="66" t="str">
        <f t="shared" si="204"/>
        <v/>
      </c>
    </row>
    <row r="216" spans="2:110" hidden="1" outlineLevel="1">
      <c r="B216" s="54">
        <f t="shared" si="205"/>
        <v>44564</v>
      </c>
      <c r="C216" s="55" t="s">
        <v>1</v>
      </c>
      <c r="D216" s="56">
        <f t="shared" si="206"/>
        <v>44570</v>
      </c>
      <c r="E216" s="52">
        <f t="shared" si="207"/>
        <v>1</v>
      </c>
      <c r="F216" s="53">
        <f t="shared" si="208"/>
        <v>2022</v>
      </c>
      <c r="G216" s="62">
        <f t="shared" si="209"/>
        <v>15</v>
      </c>
      <c r="H216" s="63">
        <f t="shared" si="210"/>
        <v>96</v>
      </c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>
        <v>15</v>
      </c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80"/>
      <c r="AG216" s="87">
        <f t="shared" si="164"/>
        <v>0</v>
      </c>
      <c r="AH216" s="87">
        <f t="shared" si="165"/>
        <v>0</v>
      </c>
      <c r="AI216" s="87">
        <f t="shared" si="166"/>
        <v>0</v>
      </c>
      <c r="AJ216" s="87">
        <f t="shared" si="167"/>
        <v>0</v>
      </c>
      <c r="AK216" s="87">
        <f t="shared" si="168"/>
        <v>0</v>
      </c>
      <c r="AL216" s="87">
        <f t="shared" si="169"/>
        <v>0</v>
      </c>
      <c r="AM216" s="87">
        <f t="shared" si="170"/>
        <v>0</v>
      </c>
      <c r="AN216" s="87">
        <f t="shared" si="171"/>
        <v>0</v>
      </c>
      <c r="AO216" s="87">
        <f t="shared" si="172"/>
        <v>0</v>
      </c>
      <c r="AP216" s="87">
        <f t="shared" si="173"/>
        <v>0</v>
      </c>
      <c r="AQ216" s="87">
        <f t="shared" si="174"/>
        <v>15</v>
      </c>
      <c r="AR216" s="81"/>
      <c r="AS216" s="85">
        <f t="shared" si="175"/>
        <v>0</v>
      </c>
      <c r="AT216" s="85">
        <f t="shared" si="176"/>
        <v>0</v>
      </c>
      <c r="AU216" s="85">
        <f t="shared" si="177"/>
        <v>0</v>
      </c>
      <c r="AV216" s="85">
        <f t="shared" si="178"/>
        <v>0</v>
      </c>
      <c r="AW216" s="85">
        <f t="shared" si="179"/>
        <v>0</v>
      </c>
      <c r="AX216" s="85">
        <f t="shared" si="180"/>
        <v>0</v>
      </c>
      <c r="AY216" s="85">
        <f t="shared" si="181"/>
        <v>0</v>
      </c>
      <c r="AZ216" s="85">
        <f t="shared" si="182"/>
        <v>0</v>
      </c>
      <c r="BA216" s="85">
        <f t="shared" si="183"/>
        <v>0</v>
      </c>
      <c r="BB216" s="85">
        <f t="shared" si="184"/>
        <v>0</v>
      </c>
      <c r="BC216" s="85">
        <f t="shared" si="185"/>
        <v>0</v>
      </c>
      <c r="BD216" s="85">
        <f t="shared" si="186"/>
        <v>0</v>
      </c>
      <c r="BE216" s="85">
        <f t="shared" si="187"/>
        <v>0</v>
      </c>
      <c r="BF216" s="85">
        <f t="shared" si="188"/>
        <v>0</v>
      </c>
      <c r="BG216" s="85">
        <f t="shared" si="189"/>
        <v>0</v>
      </c>
      <c r="BH216" s="85">
        <f t="shared" si="190"/>
        <v>0</v>
      </c>
      <c r="BI216" s="85">
        <f t="shared" si="191"/>
        <v>0</v>
      </c>
      <c r="BJ216" s="85">
        <f t="shared" si="192"/>
        <v>0</v>
      </c>
      <c r="BK216" s="85">
        <f t="shared" si="193"/>
        <v>0</v>
      </c>
      <c r="BL216" s="85">
        <f t="shared" si="194"/>
        <v>0</v>
      </c>
      <c r="BM216" s="85">
        <f t="shared" si="195"/>
        <v>0</v>
      </c>
      <c r="BN216" s="85">
        <f t="shared" si="196"/>
        <v>0</v>
      </c>
      <c r="BO216" s="85">
        <f t="shared" si="197"/>
        <v>0</v>
      </c>
      <c r="BP216" s="85">
        <f t="shared" si="198"/>
        <v>0</v>
      </c>
      <c r="BQ216" s="85">
        <f t="shared" si="199"/>
        <v>0</v>
      </c>
      <c r="BR216" s="85">
        <f t="shared" si="200"/>
        <v>0</v>
      </c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  <c r="CK216" s="63"/>
      <c r="CL216" s="63"/>
      <c r="CM216" s="63"/>
      <c r="CN216" s="63"/>
      <c r="CO216" s="63"/>
      <c r="CP216" s="63"/>
      <c r="CQ216" s="63"/>
      <c r="CR216" s="63"/>
      <c r="CS216" s="63"/>
      <c r="CW216">
        <v>16</v>
      </c>
      <c r="CX216" s="35">
        <v>44564</v>
      </c>
      <c r="CZ216" s="35">
        <f>B233</f>
        <v>44683</v>
      </c>
      <c r="DA216">
        <v>98</v>
      </c>
      <c r="DC216" s="57" t="str">
        <f t="shared" si="201"/>
        <v/>
      </c>
      <c r="DD216" s="64" t="str">
        <f t="shared" si="202"/>
        <v/>
      </c>
      <c r="DE216" s="65" t="str">
        <f t="shared" si="203"/>
        <v/>
      </c>
      <c r="DF216" s="66" t="str">
        <f t="shared" si="204"/>
        <v/>
      </c>
    </row>
    <row r="217" spans="2:110" hidden="1" outlineLevel="1">
      <c r="B217" s="54">
        <f t="shared" si="205"/>
        <v>44571</v>
      </c>
      <c r="C217" s="55" t="s">
        <v>1</v>
      </c>
      <c r="D217" s="56">
        <f t="shared" si="206"/>
        <v>44577</v>
      </c>
      <c r="E217" s="52">
        <f t="shared" si="207"/>
        <v>1</v>
      </c>
      <c r="F217" s="53">
        <f t="shared" si="208"/>
        <v>2022</v>
      </c>
      <c r="G217" s="62">
        <f t="shared" si="209"/>
        <v>15</v>
      </c>
      <c r="H217" s="63">
        <f t="shared" si="210"/>
        <v>96</v>
      </c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>
        <v>15</v>
      </c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80"/>
      <c r="AG217" s="87">
        <f t="shared" si="164"/>
        <v>0</v>
      </c>
      <c r="AH217" s="87">
        <f t="shared" si="165"/>
        <v>0</v>
      </c>
      <c r="AI217" s="87">
        <f t="shared" si="166"/>
        <v>0</v>
      </c>
      <c r="AJ217" s="87">
        <f t="shared" si="167"/>
        <v>0</v>
      </c>
      <c r="AK217" s="87">
        <f t="shared" si="168"/>
        <v>0</v>
      </c>
      <c r="AL217" s="87">
        <f t="shared" si="169"/>
        <v>0</v>
      </c>
      <c r="AM217" s="87">
        <f t="shared" si="170"/>
        <v>0</v>
      </c>
      <c r="AN217" s="87">
        <f t="shared" si="171"/>
        <v>0</v>
      </c>
      <c r="AO217" s="87">
        <f t="shared" si="172"/>
        <v>0</v>
      </c>
      <c r="AP217" s="87">
        <f t="shared" si="173"/>
        <v>0</v>
      </c>
      <c r="AQ217" s="87">
        <f t="shared" si="174"/>
        <v>15</v>
      </c>
      <c r="AR217" s="81"/>
      <c r="AS217" s="85">
        <f t="shared" si="175"/>
        <v>0</v>
      </c>
      <c r="AT217" s="85">
        <f t="shared" si="176"/>
        <v>0</v>
      </c>
      <c r="AU217" s="85">
        <f t="shared" si="177"/>
        <v>0</v>
      </c>
      <c r="AV217" s="85">
        <f t="shared" si="178"/>
        <v>0</v>
      </c>
      <c r="AW217" s="85">
        <f t="shared" si="179"/>
        <v>0</v>
      </c>
      <c r="AX217" s="85">
        <f t="shared" si="180"/>
        <v>0</v>
      </c>
      <c r="AY217" s="85">
        <f t="shared" si="181"/>
        <v>0</v>
      </c>
      <c r="AZ217" s="85">
        <f t="shared" si="182"/>
        <v>0</v>
      </c>
      <c r="BA217" s="85">
        <f t="shared" si="183"/>
        <v>0</v>
      </c>
      <c r="BB217" s="85">
        <f t="shared" si="184"/>
        <v>0</v>
      </c>
      <c r="BC217" s="85">
        <f t="shared" si="185"/>
        <v>0</v>
      </c>
      <c r="BD217" s="85">
        <f t="shared" si="186"/>
        <v>0</v>
      </c>
      <c r="BE217" s="85">
        <f t="shared" si="187"/>
        <v>0</v>
      </c>
      <c r="BF217" s="85">
        <f t="shared" si="188"/>
        <v>0</v>
      </c>
      <c r="BG217" s="85">
        <f t="shared" si="189"/>
        <v>0</v>
      </c>
      <c r="BH217" s="85">
        <f t="shared" si="190"/>
        <v>0</v>
      </c>
      <c r="BI217" s="85">
        <f t="shared" si="191"/>
        <v>0</v>
      </c>
      <c r="BJ217" s="85">
        <f t="shared" si="192"/>
        <v>0</v>
      </c>
      <c r="BK217" s="85">
        <f t="shared" si="193"/>
        <v>0</v>
      </c>
      <c r="BL217" s="85">
        <f t="shared" si="194"/>
        <v>0</v>
      </c>
      <c r="BM217" s="85">
        <f t="shared" si="195"/>
        <v>0</v>
      </c>
      <c r="BN217" s="85">
        <f t="shared" si="196"/>
        <v>0</v>
      </c>
      <c r="BO217" s="85">
        <f t="shared" si="197"/>
        <v>0</v>
      </c>
      <c r="BP217" s="85">
        <f t="shared" si="198"/>
        <v>0</v>
      </c>
      <c r="BQ217" s="85">
        <f t="shared" si="199"/>
        <v>0</v>
      </c>
      <c r="BR217" s="85">
        <f t="shared" si="200"/>
        <v>0</v>
      </c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3"/>
      <c r="CM217" s="63"/>
      <c r="CN217" s="63"/>
      <c r="CO217" s="63"/>
      <c r="CP217" s="63"/>
      <c r="CQ217" s="63"/>
      <c r="CR217" s="63"/>
      <c r="CS217" s="63"/>
      <c r="CX217" s="35" t="s">
        <v>12</v>
      </c>
      <c r="CZ217" s="35"/>
      <c r="DC217" s="57" t="str">
        <f t="shared" si="201"/>
        <v/>
      </c>
      <c r="DD217" s="64" t="str">
        <f t="shared" si="202"/>
        <v/>
      </c>
      <c r="DE217" s="65" t="str">
        <f t="shared" si="203"/>
        <v/>
      </c>
      <c r="DF217" s="66" t="str">
        <f t="shared" si="204"/>
        <v/>
      </c>
    </row>
    <row r="218" spans="2:110" hidden="1" outlineLevel="1">
      <c r="B218" s="54">
        <f t="shared" si="205"/>
        <v>44578</v>
      </c>
      <c r="C218" s="55" t="s">
        <v>1</v>
      </c>
      <c r="D218" s="56">
        <f t="shared" si="206"/>
        <v>44584</v>
      </c>
      <c r="E218" s="52">
        <f t="shared" si="207"/>
        <v>1</v>
      </c>
      <c r="F218" s="53">
        <f t="shared" si="208"/>
        <v>2022</v>
      </c>
      <c r="G218" s="62">
        <f t="shared" si="209"/>
        <v>15</v>
      </c>
      <c r="H218" s="63">
        <f t="shared" si="210"/>
        <v>96</v>
      </c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>
        <v>15</v>
      </c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80"/>
      <c r="AG218" s="87">
        <f t="shared" si="164"/>
        <v>0</v>
      </c>
      <c r="AH218" s="87">
        <f t="shared" si="165"/>
        <v>0</v>
      </c>
      <c r="AI218" s="87">
        <f t="shared" si="166"/>
        <v>0</v>
      </c>
      <c r="AJ218" s="87">
        <f t="shared" si="167"/>
        <v>0</v>
      </c>
      <c r="AK218" s="87">
        <f t="shared" si="168"/>
        <v>0</v>
      </c>
      <c r="AL218" s="87">
        <f t="shared" si="169"/>
        <v>0</v>
      </c>
      <c r="AM218" s="87">
        <f t="shared" si="170"/>
        <v>0</v>
      </c>
      <c r="AN218" s="87">
        <f t="shared" si="171"/>
        <v>0</v>
      </c>
      <c r="AO218" s="87">
        <f t="shared" si="172"/>
        <v>0</v>
      </c>
      <c r="AP218" s="87">
        <f t="shared" si="173"/>
        <v>0</v>
      </c>
      <c r="AQ218" s="87">
        <f t="shared" si="174"/>
        <v>15</v>
      </c>
      <c r="AR218" s="81"/>
      <c r="AS218" s="85">
        <f t="shared" si="175"/>
        <v>0</v>
      </c>
      <c r="AT218" s="85">
        <f t="shared" si="176"/>
        <v>0</v>
      </c>
      <c r="AU218" s="85">
        <f t="shared" si="177"/>
        <v>0</v>
      </c>
      <c r="AV218" s="85">
        <f t="shared" si="178"/>
        <v>0</v>
      </c>
      <c r="AW218" s="85">
        <f t="shared" si="179"/>
        <v>0</v>
      </c>
      <c r="AX218" s="85">
        <f t="shared" si="180"/>
        <v>0</v>
      </c>
      <c r="AY218" s="85">
        <f t="shared" si="181"/>
        <v>0</v>
      </c>
      <c r="AZ218" s="85">
        <f t="shared" si="182"/>
        <v>0</v>
      </c>
      <c r="BA218" s="85">
        <f t="shared" si="183"/>
        <v>0</v>
      </c>
      <c r="BB218" s="85">
        <f t="shared" si="184"/>
        <v>0</v>
      </c>
      <c r="BC218" s="85">
        <f t="shared" si="185"/>
        <v>0</v>
      </c>
      <c r="BD218" s="85">
        <f t="shared" si="186"/>
        <v>0</v>
      </c>
      <c r="BE218" s="85">
        <f t="shared" si="187"/>
        <v>0</v>
      </c>
      <c r="BF218" s="85">
        <f t="shared" si="188"/>
        <v>0</v>
      </c>
      <c r="BG218" s="85">
        <f t="shared" si="189"/>
        <v>0</v>
      </c>
      <c r="BH218" s="85">
        <f t="shared" si="190"/>
        <v>0</v>
      </c>
      <c r="BI218" s="85">
        <f t="shared" si="191"/>
        <v>0</v>
      </c>
      <c r="BJ218" s="85">
        <f t="shared" si="192"/>
        <v>0</v>
      </c>
      <c r="BK218" s="85">
        <f t="shared" si="193"/>
        <v>0</v>
      </c>
      <c r="BL218" s="85">
        <f t="shared" si="194"/>
        <v>0</v>
      </c>
      <c r="BM218" s="85">
        <f t="shared" si="195"/>
        <v>0</v>
      </c>
      <c r="BN218" s="85">
        <f t="shared" si="196"/>
        <v>0</v>
      </c>
      <c r="BO218" s="85">
        <f t="shared" si="197"/>
        <v>0</v>
      </c>
      <c r="BP218" s="85">
        <f t="shared" si="198"/>
        <v>0</v>
      </c>
      <c r="BQ218" s="85">
        <f t="shared" si="199"/>
        <v>0</v>
      </c>
      <c r="BR218" s="85">
        <f t="shared" si="200"/>
        <v>0</v>
      </c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3"/>
      <c r="CM218" s="63"/>
      <c r="CN218" s="63"/>
      <c r="CO218" s="63"/>
      <c r="CP218" s="63"/>
      <c r="CQ218" s="63"/>
      <c r="CR218" s="63"/>
      <c r="CS218" s="63"/>
      <c r="CX218" s="35" t="s">
        <v>12</v>
      </c>
      <c r="CZ218" s="35"/>
      <c r="DC218" s="57" t="str">
        <f t="shared" si="201"/>
        <v/>
      </c>
      <c r="DD218" s="64" t="str">
        <f t="shared" si="202"/>
        <v/>
      </c>
      <c r="DE218" s="65" t="str">
        <f t="shared" si="203"/>
        <v/>
      </c>
      <c r="DF218" s="66" t="str">
        <f t="shared" si="204"/>
        <v/>
      </c>
    </row>
    <row r="219" spans="2:110" hidden="1" outlineLevel="1">
      <c r="B219" s="54">
        <f t="shared" si="205"/>
        <v>44585</v>
      </c>
      <c r="C219" s="55" t="s">
        <v>1</v>
      </c>
      <c r="D219" s="56">
        <f t="shared" si="206"/>
        <v>44591</v>
      </c>
      <c r="E219" s="52">
        <f t="shared" si="207"/>
        <v>1</v>
      </c>
      <c r="F219" s="53">
        <f t="shared" si="208"/>
        <v>2022</v>
      </c>
      <c r="G219" s="62">
        <f t="shared" si="209"/>
        <v>15</v>
      </c>
      <c r="H219" s="63">
        <f t="shared" si="210"/>
        <v>96</v>
      </c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>
        <v>15</v>
      </c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80"/>
      <c r="AG219" s="87">
        <f t="shared" si="164"/>
        <v>0</v>
      </c>
      <c r="AH219" s="87">
        <f t="shared" si="165"/>
        <v>0</v>
      </c>
      <c r="AI219" s="87">
        <f t="shared" si="166"/>
        <v>0</v>
      </c>
      <c r="AJ219" s="87">
        <f t="shared" si="167"/>
        <v>0</v>
      </c>
      <c r="AK219" s="87">
        <f t="shared" si="168"/>
        <v>0</v>
      </c>
      <c r="AL219" s="87">
        <f t="shared" si="169"/>
        <v>0</v>
      </c>
      <c r="AM219" s="87">
        <f t="shared" si="170"/>
        <v>0</v>
      </c>
      <c r="AN219" s="87">
        <f t="shared" si="171"/>
        <v>0</v>
      </c>
      <c r="AO219" s="87">
        <f t="shared" si="172"/>
        <v>0</v>
      </c>
      <c r="AP219" s="87">
        <f t="shared" si="173"/>
        <v>0</v>
      </c>
      <c r="AQ219" s="87">
        <f t="shared" si="174"/>
        <v>15</v>
      </c>
      <c r="AR219" s="81"/>
      <c r="AS219" s="85">
        <f t="shared" si="175"/>
        <v>0</v>
      </c>
      <c r="AT219" s="85">
        <f t="shared" si="176"/>
        <v>0</v>
      </c>
      <c r="AU219" s="85">
        <f t="shared" si="177"/>
        <v>0</v>
      </c>
      <c r="AV219" s="85">
        <f t="shared" si="178"/>
        <v>0</v>
      </c>
      <c r="AW219" s="85">
        <f t="shared" si="179"/>
        <v>0</v>
      </c>
      <c r="AX219" s="85">
        <f t="shared" si="180"/>
        <v>0</v>
      </c>
      <c r="AY219" s="85">
        <f t="shared" si="181"/>
        <v>0</v>
      </c>
      <c r="AZ219" s="85">
        <f t="shared" si="182"/>
        <v>0</v>
      </c>
      <c r="BA219" s="85">
        <f t="shared" si="183"/>
        <v>0</v>
      </c>
      <c r="BB219" s="85">
        <f t="shared" si="184"/>
        <v>0</v>
      </c>
      <c r="BC219" s="85">
        <f t="shared" si="185"/>
        <v>0</v>
      </c>
      <c r="BD219" s="85">
        <f t="shared" si="186"/>
        <v>0</v>
      </c>
      <c r="BE219" s="85">
        <f t="shared" si="187"/>
        <v>0</v>
      </c>
      <c r="BF219" s="85">
        <f t="shared" si="188"/>
        <v>0</v>
      </c>
      <c r="BG219" s="85">
        <f t="shared" si="189"/>
        <v>0</v>
      </c>
      <c r="BH219" s="85">
        <f t="shared" si="190"/>
        <v>0</v>
      </c>
      <c r="BI219" s="85">
        <f t="shared" si="191"/>
        <v>0</v>
      </c>
      <c r="BJ219" s="85">
        <f t="shared" si="192"/>
        <v>0</v>
      </c>
      <c r="BK219" s="85">
        <f t="shared" si="193"/>
        <v>0</v>
      </c>
      <c r="BL219" s="85">
        <f t="shared" si="194"/>
        <v>0</v>
      </c>
      <c r="BM219" s="85">
        <f t="shared" si="195"/>
        <v>0</v>
      </c>
      <c r="BN219" s="85">
        <f t="shared" si="196"/>
        <v>0</v>
      </c>
      <c r="BO219" s="85">
        <f t="shared" si="197"/>
        <v>0</v>
      </c>
      <c r="BP219" s="85">
        <f t="shared" si="198"/>
        <v>0</v>
      </c>
      <c r="BQ219" s="85">
        <f t="shared" si="199"/>
        <v>0</v>
      </c>
      <c r="BR219" s="85">
        <f t="shared" si="200"/>
        <v>0</v>
      </c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X219" s="35" t="s">
        <v>12</v>
      </c>
      <c r="CZ219" s="35"/>
      <c r="DC219" s="57" t="str">
        <f t="shared" si="201"/>
        <v/>
      </c>
      <c r="DD219" s="64" t="str">
        <f t="shared" si="202"/>
        <v/>
      </c>
      <c r="DE219" s="65" t="str">
        <f t="shared" si="203"/>
        <v/>
      </c>
      <c r="DF219" s="66" t="str">
        <f t="shared" si="204"/>
        <v/>
      </c>
    </row>
    <row r="220" spans="2:110" hidden="1" outlineLevel="1">
      <c r="B220" s="54">
        <f t="shared" si="205"/>
        <v>44592</v>
      </c>
      <c r="C220" s="55" t="s">
        <v>1</v>
      </c>
      <c r="D220" s="56">
        <f t="shared" si="206"/>
        <v>44598</v>
      </c>
      <c r="E220" s="52">
        <f t="shared" si="207"/>
        <v>1</v>
      </c>
      <c r="F220" s="53">
        <f t="shared" si="208"/>
        <v>2022</v>
      </c>
      <c r="G220" s="62">
        <f t="shared" si="209"/>
        <v>15</v>
      </c>
      <c r="H220" s="63">
        <f t="shared" si="210"/>
        <v>96</v>
      </c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>
        <v>15</v>
      </c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80"/>
      <c r="AG220" s="87">
        <f t="shared" si="164"/>
        <v>0</v>
      </c>
      <c r="AH220" s="87">
        <f t="shared" si="165"/>
        <v>0</v>
      </c>
      <c r="AI220" s="87">
        <f t="shared" si="166"/>
        <v>0</v>
      </c>
      <c r="AJ220" s="87">
        <f t="shared" si="167"/>
        <v>0</v>
      </c>
      <c r="AK220" s="87">
        <f t="shared" si="168"/>
        <v>0</v>
      </c>
      <c r="AL220" s="87">
        <f t="shared" si="169"/>
        <v>0</v>
      </c>
      <c r="AM220" s="87">
        <f t="shared" si="170"/>
        <v>0</v>
      </c>
      <c r="AN220" s="87">
        <f t="shared" si="171"/>
        <v>0</v>
      </c>
      <c r="AO220" s="87">
        <f t="shared" si="172"/>
        <v>0</v>
      </c>
      <c r="AP220" s="87">
        <f t="shared" si="173"/>
        <v>0</v>
      </c>
      <c r="AQ220" s="87">
        <f t="shared" si="174"/>
        <v>15</v>
      </c>
      <c r="AR220" s="81"/>
      <c r="AS220" s="85">
        <f t="shared" si="175"/>
        <v>0</v>
      </c>
      <c r="AT220" s="85">
        <f t="shared" si="176"/>
        <v>0</v>
      </c>
      <c r="AU220" s="85">
        <f t="shared" si="177"/>
        <v>0</v>
      </c>
      <c r="AV220" s="85">
        <f t="shared" si="178"/>
        <v>0</v>
      </c>
      <c r="AW220" s="85">
        <f t="shared" si="179"/>
        <v>0</v>
      </c>
      <c r="AX220" s="85">
        <f t="shared" si="180"/>
        <v>0</v>
      </c>
      <c r="AY220" s="85">
        <f t="shared" si="181"/>
        <v>0</v>
      </c>
      <c r="AZ220" s="85">
        <f t="shared" si="182"/>
        <v>0</v>
      </c>
      <c r="BA220" s="85">
        <f t="shared" si="183"/>
        <v>0</v>
      </c>
      <c r="BB220" s="85">
        <f t="shared" si="184"/>
        <v>0</v>
      </c>
      <c r="BC220" s="85">
        <f t="shared" si="185"/>
        <v>0</v>
      </c>
      <c r="BD220" s="85">
        <f t="shared" si="186"/>
        <v>0</v>
      </c>
      <c r="BE220" s="85">
        <f t="shared" si="187"/>
        <v>0</v>
      </c>
      <c r="BF220" s="85">
        <f t="shared" si="188"/>
        <v>0</v>
      </c>
      <c r="BG220" s="85">
        <f t="shared" si="189"/>
        <v>0</v>
      </c>
      <c r="BH220" s="85">
        <f t="shared" si="190"/>
        <v>0</v>
      </c>
      <c r="BI220" s="85">
        <f t="shared" si="191"/>
        <v>0</v>
      </c>
      <c r="BJ220" s="85">
        <f t="shared" si="192"/>
        <v>0</v>
      </c>
      <c r="BK220" s="85">
        <f t="shared" si="193"/>
        <v>0</v>
      </c>
      <c r="BL220" s="85">
        <f t="shared" si="194"/>
        <v>0</v>
      </c>
      <c r="BM220" s="85">
        <f t="shared" si="195"/>
        <v>0</v>
      </c>
      <c r="BN220" s="85">
        <f t="shared" si="196"/>
        <v>0</v>
      </c>
      <c r="BO220" s="85">
        <f t="shared" si="197"/>
        <v>0</v>
      </c>
      <c r="BP220" s="85">
        <f t="shared" si="198"/>
        <v>0</v>
      </c>
      <c r="BQ220" s="85">
        <f t="shared" si="199"/>
        <v>0</v>
      </c>
      <c r="BR220" s="85">
        <f t="shared" si="200"/>
        <v>0</v>
      </c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X220" s="35" t="s">
        <v>12</v>
      </c>
      <c r="CZ220" s="35"/>
      <c r="DC220" s="57" t="str">
        <f t="shared" si="201"/>
        <v/>
      </c>
      <c r="DD220" s="64" t="str">
        <f t="shared" si="202"/>
        <v/>
      </c>
      <c r="DE220" s="65" t="str">
        <f t="shared" si="203"/>
        <v/>
      </c>
      <c r="DF220" s="66" t="str">
        <f t="shared" si="204"/>
        <v/>
      </c>
    </row>
    <row r="221" spans="2:110" hidden="1" outlineLevel="1">
      <c r="B221" s="54">
        <f t="shared" si="205"/>
        <v>44599</v>
      </c>
      <c r="C221" s="55" t="s">
        <v>1</v>
      </c>
      <c r="D221" s="56">
        <f t="shared" si="206"/>
        <v>44605</v>
      </c>
      <c r="E221" s="52">
        <f t="shared" si="207"/>
        <v>2</v>
      </c>
      <c r="F221" s="53">
        <f t="shared" si="208"/>
        <v>2022</v>
      </c>
      <c r="G221" s="62">
        <f t="shared" si="209"/>
        <v>15</v>
      </c>
      <c r="H221" s="63">
        <f t="shared" si="210"/>
        <v>96</v>
      </c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>
        <v>15</v>
      </c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80"/>
      <c r="AG221" s="87">
        <f t="shared" si="164"/>
        <v>0</v>
      </c>
      <c r="AH221" s="87">
        <f t="shared" si="165"/>
        <v>0</v>
      </c>
      <c r="AI221" s="87">
        <f t="shared" si="166"/>
        <v>0</v>
      </c>
      <c r="AJ221" s="87">
        <f t="shared" si="167"/>
        <v>0</v>
      </c>
      <c r="AK221" s="87">
        <f t="shared" si="168"/>
        <v>0</v>
      </c>
      <c r="AL221" s="87">
        <f t="shared" si="169"/>
        <v>0</v>
      </c>
      <c r="AM221" s="87">
        <f t="shared" si="170"/>
        <v>0</v>
      </c>
      <c r="AN221" s="87">
        <f t="shared" si="171"/>
        <v>0</v>
      </c>
      <c r="AO221" s="87">
        <f t="shared" si="172"/>
        <v>0</v>
      </c>
      <c r="AP221" s="87">
        <f t="shared" si="173"/>
        <v>0</v>
      </c>
      <c r="AQ221" s="87">
        <f t="shared" si="174"/>
        <v>15</v>
      </c>
      <c r="AR221" s="81"/>
      <c r="AS221" s="85">
        <f t="shared" si="175"/>
        <v>0</v>
      </c>
      <c r="AT221" s="85">
        <f t="shared" si="176"/>
        <v>0</v>
      </c>
      <c r="AU221" s="85">
        <f t="shared" si="177"/>
        <v>0</v>
      </c>
      <c r="AV221" s="85">
        <f t="shared" si="178"/>
        <v>0</v>
      </c>
      <c r="AW221" s="85">
        <f t="shared" si="179"/>
        <v>0</v>
      </c>
      <c r="AX221" s="85">
        <f t="shared" si="180"/>
        <v>0</v>
      </c>
      <c r="AY221" s="85">
        <f t="shared" si="181"/>
        <v>0</v>
      </c>
      <c r="AZ221" s="85">
        <f t="shared" si="182"/>
        <v>0</v>
      </c>
      <c r="BA221" s="85">
        <f t="shared" si="183"/>
        <v>0</v>
      </c>
      <c r="BB221" s="85">
        <f t="shared" si="184"/>
        <v>0</v>
      </c>
      <c r="BC221" s="85">
        <f t="shared" si="185"/>
        <v>0</v>
      </c>
      <c r="BD221" s="85">
        <f t="shared" si="186"/>
        <v>0</v>
      </c>
      <c r="BE221" s="85">
        <f t="shared" si="187"/>
        <v>0</v>
      </c>
      <c r="BF221" s="85">
        <f t="shared" si="188"/>
        <v>0</v>
      </c>
      <c r="BG221" s="85">
        <f t="shared" si="189"/>
        <v>0</v>
      </c>
      <c r="BH221" s="85">
        <f t="shared" si="190"/>
        <v>0</v>
      </c>
      <c r="BI221" s="85">
        <f t="shared" si="191"/>
        <v>0</v>
      </c>
      <c r="BJ221" s="85">
        <f t="shared" si="192"/>
        <v>0</v>
      </c>
      <c r="BK221" s="85">
        <f t="shared" si="193"/>
        <v>0</v>
      </c>
      <c r="BL221" s="85">
        <f t="shared" si="194"/>
        <v>0</v>
      </c>
      <c r="BM221" s="85">
        <f t="shared" si="195"/>
        <v>0</v>
      </c>
      <c r="BN221" s="85">
        <f t="shared" si="196"/>
        <v>0</v>
      </c>
      <c r="BO221" s="85">
        <f t="shared" si="197"/>
        <v>0</v>
      </c>
      <c r="BP221" s="85">
        <f t="shared" si="198"/>
        <v>0</v>
      </c>
      <c r="BQ221" s="85">
        <f t="shared" si="199"/>
        <v>0</v>
      </c>
      <c r="BR221" s="85">
        <f t="shared" si="200"/>
        <v>0</v>
      </c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W221">
        <v>9</v>
      </c>
      <c r="CX221" s="35">
        <v>44599</v>
      </c>
      <c r="CZ221" s="35">
        <f>B238</f>
        <v>44718</v>
      </c>
      <c r="DA221">
        <v>98</v>
      </c>
      <c r="DC221" s="57" t="str">
        <f t="shared" si="201"/>
        <v/>
      </c>
      <c r="DD221" s="64" t="str">
        <f t="shared" si="202"/>
        <v/>
      </c>
      <c r="DE221" s="65" t="str">
        <f t="shared" si="203"/>
        <v/>
      </c>
      <c r="DF221" s="66" t="str">
        <f t="shared" si="204"/>
        <v/>
      </c>
    </row>
    <row r="222" spans="2:110" hidden="1" outlineLevel="1">
      <c r="B222" s="54">
        <f t="shared" si="205"/>
        <v>44606</v>
      </c>
      <c r="C222" s="55" t="s">
        <v>1</v>
      </c>
      <c r="D222" s="56">
        <f t="shared" si="206"/>
        <v>44612</v>
      </c>
      <c r="E222" s="52">
        <f t="shared" si="207"/>
        <v>2</v>
      </c>
      <c r="F222" s="53">
        <f t="shared" si="208"/>
        <v>2022</v>
      </c>
      <c r="G222" s="62">
        <f t="shared" si="209"/>
        <v>15</v>
      </c>
      <c r="H222" s="63">
        <f t="shared" si="210"/>
        <v>96</v>
      </c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>
        <v>15</v>
      </c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80"/>
      <c r="AG222" s="87">
        <f t="shared" si="164"/>
        <v>0</v>
      </c>
      <c r="AH222" s="87">
        <f t="shared" si="165"/>
        <v>0</v>
      </c>
      <c r="AI222" s="87">
        <f t="shared" si="166"/>
        <v>0</v>
      </c>
      <c r="AJ222" s="87">
        <f t="shared" si="167"/>
        <v>0</v>
      </c>
      <c r="AK222" s="87">
        <f t="shared" si="168"/>
        <v>0</v>
      </c>
      <c r="AL222" s="87">
        <f t="shared" si="169"/>
        <v>0</v>
      </c>
      <c r="AM222" s="87">
        <f t="shared" si="170"/>
        <v>0</v>
      </c>
      <c r="AN222" s="87">
        <f t="shared" si="171"/>
        <v>0</v>
      </c>
      <c r="AO222" s="87">
        <f t="shared" si="172"/>
        <v>0</v>
      </c>
      <c r="AP222" s="87">
        <f t="shared" si="173"/>
        <v>0</v>
      </c>
      <c r="AQ222" s="87">
        <f t="shared" si="174"/>
        <v>15</v>
      </c>
      <c r="AR222" s="81"/>
      <c r="AS222" s="85">
        <f t="shared" si="175"/>
        <v>0</v>
      </c>
      <c r="AT222" s="85">
        <f t="shared" si="176"/>
        <v>0</v>
      </c>
      <c r="AU222" s="85">
        <f t="shared" si="177"/>
        <v>0</v>
      </c>
      <c r="AV222" s="85">
        <f t="shared" si="178"/>
        <v>0</v>
      </c>
      <c r="AW222" s="85">
        <f t="shared" si="179"/>
        <v>0</v>
      </c>
      <c r="AX222" s="85">
        <f t="shared" si="180"/>
        <v>0</v>
      </c>
      <c r="AY222" s="85">
        <f t="shared" si="181"/>
        <v>0</v>
      </c>
      <c r="AZ222" s="85">
        <f t="shared" si="182"/>
        <v>0</v>
      </c>
      <c r="BA222" s="85">
        <f t="shared" si="183"/>
        <v>0</v>
      </c>
      <c r="BB222" s="85">
        <f t="shared" si="184"/>
        <v>0</v>
      </c>
      <c r="BC222" s="85">
        <f t="shared" si="185"/>
        <v>0</v>
      </c>
      <c r="BD222" s="85">
        <f t="shared" si="186"/>
        <v>0</v>
      </c>
      <c r="BE222" s="85">
        <f t="shared" si="187"/>
        <v>0</v>
      </c>
      <c r="BF222" s="85">
        <f t="shared" si="188"/>
        <v>0</v>
      </c>
      <c r="BG222" s="85">
        <f t="shared" si="189"/>
        <v>0</v>
      </c>
      <c r="BH222" s="85">
        <f t="shared" si="190"/>
        <v>0</v>
      </c>
      <c r="BI222" s="85">
        <f t="shared" si="191"/>
        <v>0</v>
      </c>
      <c r="BJ222" s="85">
        <f t="shared" si="192"/>
        <v>0</v>
      </c>
      <c r="BK222" s="85">
        <f t="shared" si="193"/>
        <v>0</v>
      </c>
      <c r="BL222" s="85">
        <f t="shared" si="194"/>
        <v>0</v>
      </c>
      <c r="BM222" s="85">
        <f t="shared" si="195"/>
        <v>0</v>
      </c>
      <c r="BN222" s="85">
        <f t="shared" si="196"/>
        <v>0</v>
      </c>
      <c r="BO222" s="85">
        <f t="shared" si="197"/>
        <v>0</v>
      </c>
      <c r="BP222" s="85">
        <f t="shared" si="198"/>
        <v>0</v>
      </c>
      <c r="BQ222" s="85">
        <f t="shared" si="199"/>
        <v>0</v>
      </c>
      <c r="BR222" s="85">
        <f t="shared" si="200"/>
        <v>0</v>
      </c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X222" s="35" t="s">
        <v>12</v>
      </c>
      <c r="CZ222" s="35"/>
      <c r="DC222" s="57" t="str">
        <f t="shared" si="201"/>
        <v/>
      </c>
      <c r="DD222" s="64" t="str">
        <f t="shared" si="202"/>
        <v/>
      </c>
      <c r="DE222" s="65" t="str">
        <f t="shared" si="203"/>
        <v/>
      </c>
      <c r="DF222" s="66" t="str">
        <f t="shared" si="204"/>
        <v/>
      </c>
    </row>
    <row r="223" spans="2:110" hidden="1" outlineLevel="1">
      <c r="B223" s="54">
        <f t="shared" si="205"/>
        <v>44613</v>
      </c>
      <c r="C223" s="55" t="s">
        <v>1</v>
      </c>
      <c r="D223" s="56">
        <f t="shared" si="206"/>
        <v>44619</v>
      </c>
      <c r="E223" s="52">
        <f t="shared" si="207"/>
        <v>2</v>
      </c>
      <c r="F223" s="53">
        <f t="shared" si="208"/>
        <v>2022</v>
      </c>
      <c r="G223" s="62">
        <f t="shared" si="209"/>
        <v>15</v>
      </c>
      <c r="H223" s="63">
        <f t="shared" si="210"/>
        <v>96</v>
      </c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>
        <v>15</v>
      </c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80"/>
      <c r="AG223" s="87">
        <f t="shared" si="164"/>
        <v>0</v>
      </c>
      <c r="AH223" s="87">
        <f t="shared" si="165"/>
        <v>0</v>
      </c>
      <c r="AI223" s="87">
        <f t="shared" si="166"/>
        <v>0</v>
      </c>
      <c r="AJ223" s="87">
        <f t="shared" si="167"/>
        <v>0</v>
      </c>
      <c r="AK223" s="87">
        <f t="shared" si="168"/>
        <v>0</v>
      </c>
      <c r="AL223" s="87">
        <f t="shared" si="169"/>
        <v>0</v>
      </c>
      <c r="AM223" s="87">
        <f t="shared" si="170"/>
        <v>0</v>
      </c>
      <c r="AN223" s="87">
        <f t="shared" si="171"/>
        <v>0</v>
      </c>
      <c r="AO223" s="87">
        <f t="shared" si="172"/>
        <v>0</v>
      </c>
      <c r="AP223" s="87">
        <f t="shared" si="173"/>
        <v>0</v>
      </c>
      <c r="AQ223" s="87">
        <f t="shared" si="174"/>
        <v>15</v>
      </c>
      <c r="AR223" s="81"/>
      <c r="AS223" s="85">
        <f t="shared" si="175"/>
        <v>0</v>
      </c>
      <c r="AT223" s="85">
        <f t="shared" si="176"/>
        <v>0</v>
      </c>
      <c r="AU223" s="85">
        <f t="shared" si="177"/>
        <v>0</v>
      </c>
      <c r="AV223" s="85">
        <f t="shared" si="178"/>
        <v>0</v>
      </c>
      <c r="AW223" s="85">
        <f t="shared" si="179"/>
        <v>0</v>
      </c>
      <c r="AX223" s="85">
        <f t="shared" si="180"/>
        <v>0</v>
      </c>
      <c r="AY223" s="85">
        <f t="shared" si="181"/>
        <v>0</v>
      </c>
      <c r="AZ223" s="85">
        <f t="shared" si="182"/>
        <v>0</v>
      </c>
      <c r="BA223" s="85">
        <f t="shared" si="183"/>
        <v>0</v>
      </c>
      <c r="BB223" s="85">
        <f t="shared" si="184"/>
        <v>0</v>
      </c>
      <c r="BC223" s="85">
        <f t="shared" si="185"/>
        <v>0</v>
      </c>
      <c r="BD223" s="85">
        <f t="shared" si="186"/>
        <v>0</v>
      </c>
      <c r="BE223" s="85">
        <f t="shared" si="187"/>
        <v>0</v>
      </c>
      <c r="BF223" s="85">
        <f t="shared" si="188"/>
        <v>0</v>
      </c>
      <c r="BG223" s="85">
        <f t="shared" si="189"/>
        <v>0</v>
      </c>
      <c r="BH223" s="85">
        <f t="shared" si="190"/>
        <v>0</v>
      </c>
      <c r="BI223" s="85">
        <f t="shared" si="191"/>
        <v>0</v>
      </c>
      <c r="BJ223" s="85">
        <f t="shared" si="192"/>
        <v>0</v>
      </c>
      <c r="BK223" s="85">
        <f t="shared" si="193"/>
        <v>0</v>
      </c>
      <c r="BL223" s="85">
        <f t="shared" si="194"/>
        <v>0</v>
      </c>
      <c r="BM223" s="85">
        <f t="shared" si="195"/>
        <v>0</v>
      </c>
      <c r="BN223" s="85">
        <f t="shared" si="196"/>
        <v>0</v>
      </c>
      <c r="BO223" s="85">
        <f t="shared" si="197"/>
        <v>0</v>
      </c>
      <c r="BP223" s="85">
        <f t="shared" si="198"/>
        <v>0</v>
      </c>
      <c r="BQ223" s="85">
        <f t="shared" si="199"/>
        <v>0</v>
      </c>
      <c r="BR223" s="85">
        <f t="shared" si="200"/>
        <v>0</v>
      </c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3"/>
      <c r="CM223" s="63"/>
      <c r="CN223" s="63"/>
      <c r="CO223" s="63"/>
      <c r="CP223" s="63"/>
      <c r="CQ223" s="63"/>
      <c r="CR223" s="63"/>
      <c r="CS223" s="63"/>
      <c r="CX223" s="35" t="s">
        <v>12</v>
      </c>
      <c r="CZ223" s="35"/>
      <c r="DC223" s="57" t="str">
        <f t="shared" si="201"/>
        <v/>
      </c>
      <c r="DD223" s="64" t="str">
        <f t="shared" si="202"/>
        <v/>
      </c>
      <c r="DE223" s="65" t="str">
        <f t="shared" si="203"/>
        <v/>
      </c>
      <c r="DF223" s="66" t="str">
        <f t="shared" si="204"/>
        <v/>
      </c>
    </row>
    <row r="224" spans="2:110" hidden="1" outlineLevel="1">
      <c r="B224" s="54">
        <f t="shared" si="205"/>
        <v>44620</v>
      </c>
      <c r="C224" s="55" t="s">
        <v>1</v>
      </c>
      <c r="D224" s="56">
        <f t="shared" si="206"/>
        <v>44626</v>
      </c>
      <c r="E224" s="52">
        <f t="shared" si="207"/>
        <v>2</v>
      </c>
      <c r="F224" s="53">
        <f t="shared" si="208"/>
        <v>2022</v>
      </c>
      <c r="G224" s="62">
        <f t="shared" si="209"/>
        <v>15</v>
      </c>
      <c r="H224" s="63">
        <f t="shared" si="210"/>
        <v>96</v>
      </c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>
        <v>15</v>
      </c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80"/>
      <c r="AG224" s="87">
        <f t="shared" si="164"/>
        <v>0</v>
      </c>
      <c r="AH224" s="87">
        <f t="shared" si="165"/>
        <v>0</v>
      </c>
      <c r="AI224" s="87">
        <f t="shared" si="166"/>
        <v>0</v>
      </c>
      <c r="AJ224" s="87">
        <f t="shared" si="167"/>
        <v>0</v>
      </c>
      <c r="AK224" s="87">
        <f t="shared" si="168"/>
        <v>0</v>
      </c>
      <c r="AL224" s="87">
        <f t="shared" si="169"/>
        <v>0</v>
      </c>
      <c r="AM224" s="87">
        <f t="shared" si="170"/>
        <v>0</v>
      </c>
      <c r="AN224" s="87">
        <f t="shared" si="171"/>
        <v>0</v>
      </c>
      <c r="AO224" s="87">
        <f t="shared" si="172"/>
        <v>0</v>
      </c>
      <c r="AP224" s="87">
        <f t="shared" si="173"/>
        <v>0</v>
      </c>
      <c r="AQ224" s="87">
        <f t="shared" si="174"/>
        <v>15</v>
      </c>
      <c r="AR224" s="81"/>
      <c r="AS224" s="85">
        <f t="shared" si="175"/>
        <v>0</v>
      </c>
      <c r="AT224" s="85">
        <f t="shared" si="176"/>
        <v>0</v>
      </c>
      <c r="AU224" s="85">
        <f t="shared" si="177"/>
        <v>0</v>
      </c>
      <c r="AV224" s="85">
        <f t="shared" si="178"/>
        <v>0</v>
      </c>
      <c r="AW224" s="85">
        <f t="shared" si="179"/>
        <v>0</v>
      </c>
      <c r="AX224" s="85">
        <f t="shared" si="180"/>
        <v>0</v>
      </c>
      <c r="AY224" s="85">
        <f t="shared" si="181"/>
        <v>0</v>
      </c>
      <c r="AZ224" s="85">
        <f t="shared" si="182"/>
        <v>0</v>
      </c>
      <c r="BA224" s="85">
        <f t="shared" si="183"/>
        <v>0</v>
      </c>
      <c r="BB224" s="85">
        <f t="shared" si="184"/>
        <v>0</v>
      </c>
      <c r="BC224" s="85">
        <f t="shared" si="185"/>
        <v>0</v>
      </c>
      <c r="BD224" s="85">
        <f t="shared" si="186"/>
        <v>0</v>
      </c>
      <c r="BE224" s="85">
        <f t="shared" si="187"/>
        <v>0</v>
      </c>
      <c r="BF224" s="85">
        <f t="shared" si="188"/>
        <v>0</v>
      </c>
      <c r="BG224" s="85">
        <f t="shared" si="189"/>
        <v>0</v>
      </c>
      <c r="BH224" s="85">
        <f t="shared" si="190"/>
        <v>0</v>
      </c>
      <c r="BI224" s="85">
        <f t="shared" si="191"/>
        <v>0</v>
      </c>
      <c r="BJ224" s="85">
        <f t="shared" si="192"/>
        <v>0</v>
      </c>
      <c r="BK224" s="85">
        <f t="shared" si="193"/>
        <v>0</v>
      </c>
      <c r="BL224" s="85">
        <f t="shared" si="194"/>
        <v>0</v>
      </c>
      <c r="BM224" s="85">
        <f t="shared" si="195"/>
        <v>0</v>
      </c>
      <c r="BN224" s="85">
        <f t="shared" si="196"/>
        <v>0</v>
      </c>
      <c r="BO224" s="85">
        <f t="shared" si="197"/>
        <v>0</v>
      </c>
      <c r="BP224" s="85">
        <f t="shared" si="198"/>
        <v>0</v>
      </c>
      <c r="BQ224" s="85">
        <f t="shared" si="199"/>
        <v>0</v>
      </c>
      <c r="BR224" s="85">
        <f t="shared" si="200"/>
        <v>0</v>
      </c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3"/>
      <c r="CM224" s="63"/>
      <c r="CN224" s="63"/>
      <c r="CO224" s="63"/>
      <c r="CP224" s="63"/>
      <c r="CQ224" s="63"/>
      <c r="CR224" s="63"/>
      <c r="CS224" s="63"/>
      <c r="CX224" s="35" t="s">
        <v>12</v>
      </c>
      <c r="CZ224" s="35"/>
      <c r="DC224" s="57" t="str">
        <f t="shared" si="201"/>
        <v/>
      </c>
      <c r="DD224" s="64" t="str">
        <f t="shared" si="202"/>
        <v/>
      </c>
      <c r="DE224" s="65" t="str">
        <f t="shared" si="203"/>
        <v/>
      </c>
      <c r="DF224" s="66" t="str">
        <f t="shared" si="204"/>
        <v/>
      </c>
    </row>
    <row r="225" spans="2:110" hidden="1" outlineLevel="1">
      <c r="B225" s="54">
        <f t="shared" si="205"/>
        <v>44627</v>
      </c>
      <c r="C225" s="55" t="s">
        <v>1</v>
      </c>
      <c r="D225" s="56">
        <f t="shared" si="206"/>
        <v>44633</v>
      </c>
      <c r="E225" s="52">
        <f t="shared" si="207"/>
        <v>3</v>
      </c>
      <c r="F225" s="53">
        <f t="shared" si="208"/>
        <v>2022</v>
      </c>
      <c r="G225" s="62">
        <f t="shared" si="209"/>
        <v>15</v>
      </c>
      <c r="H225" s="63">
        <f t="shared" si="210"/>
        <v>96</v>
      </c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>
        <v>15</v>
      </c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80"/>
      <c r="AG225" s="87">
        <f t="shared" si="164"/>
        <v>0</v>
      </c>
      <c r="AH225" s="87">
        <f t="shared" si="165"/>
        <v>0</v>
      </c>
      <c r="AI225" s="87">
        <f t="shared" si="166"/>
        <v>0</v>
      </c>
      <c r="AJ225" s="87">
        <f t="shared" si="167"/>
        <v>0</v>
      </c>
      <c r="AK225" s="87">
        <f t="shared" si="168"/>
        <v>0</v>
      </c>
      <c r="AL225" s="87">
        <f t="shared" si="169"/>
        <v>0</v>
      </c>
      <c r="AM225" s="87">
        <f t="shared" si="170"/>
        <v>0</v>
      </c>
      <c r="AN225" s="87">
        <f t="shared" si="171"/>
        <v>0</v>
      </c>
      <c r="AO225" s="87">
        <f t="shared" si="172"/>
        <v>0</v>
      </c>
      <c r="AP225" s="87">
        <f t="shared" si="173"/>
        <v>0</v>
      </c>
      <c r="AQ225" s="87">
        <f t="shared" si="174"/>
        <v>15</v>
      </c>
      <c r="AR225" s="81"/>
      <c r="AS225" s="85">
        <f t="shared" si="175"/>
        <v>0</v>
      </c>
      <c r="AT225" s="85">
        <f t="shared" si="176"/>
        <v>0</v>
      </c>
      <c r="AU225" s="85">
        <f t="shared" si="177"/>
        <v>0</v>
      </c>
      <c r="AV225" s="85">
        <f t="shared" si="178"/>
        <v>0</v>
      </c>
      <c r="AW225" s="85">
        <f t="shared" si="179"/>
        <v>0</v>
      </c>
      <c r="AX225" s="85">
        <f t="shared" si="180"/>
        <v>0</v>
      </c>
      <c r="AY225" s="85">
        <f t="shared" si="181"/>
        <v>0</v>
      </c>
      <c r="AZ225" s="85">
        <f t="shared" si="182"/>
        <v>0</v>
      </c>
      <c r="BA225" s="85">
        <f t="shared" si="183"/>
        <v>0</v>
      </c>
      <c r="BB225" s="85">
        <f t="shared" si="184"/>
        <v>0</v>
      </c>
      <c r="BC225" s="85">
        <f t="shared" si="185"/>
        <v>0</v>
      </c>
      <c r="BD225" s="85">
        <f t="shared" si="186"/>
        <v>0</v>
      </c>
      <c r="BE225" s="85">
        <f t="shared" si="187"/>
        <v>0</v>
      </c>
      <c r="BF225" s="85">
        <f t="shared" si="188"/>
        <v>0</v>
      </c>
      <c r="BG225" s="85">
        <f t="shared" si="189"/>
        <v>0</v>
      </c>
      <c r="BH225" s="85">
        <f t="shared" si="190"/>
        <v>0</v>
      </c>
      <c r="BI225" s="85">
        <f t="shared" si="191"/>
        <v>0</v>
      </c>
      <c r="BJ225" s="85">
        <f t="shared" si="192"/>
        <v>0</v>
      </c>
      <c r="BK225" s="85">
        <f t="shared" si="193"/>
        <v>0</v>
      </c>
      <c r="BL225" s="85">
        <f t="shared" si="194"/>
        <v>0</v>
      </c>
      <c r="BM225" s="85">
        <f t="shared" si="195"/>
        <v>0</v>
      </c>
      <c r="BN225" s="85">
        <f t="shared" si="196"/>
        <v>0</v>
      </c>
      <c r="BO225" s="85">
        <f t="shared" si="197"/>
        <v>0</v>
      </c>
      <c r="BP225" s="85">
        <f t="shared" si="198"/>
        <v>0</v>
      </c>
      <c r="BQ225" s="85">
        <f t="shared" si="199"/>
        <v>0</v>
      </c>
      <c r="BR225" s="85">
        <f t="shared" si="200"/>
        <v>0</v>
      </c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X225" s="35" t="s">
        <v>12</v>
      </c>
      <c r="CZ225" s="35"/>
      <c r="DC225" s="57" t="str">
        <f t="shared" si="201"/>
        <v/>
      </c>
      <c r="DD225" s="64" t="str">
        <f t="shared" si="202"/>
        <v/>
      </c>
      <c r="DE225" s="65" t="str">
        <f t="shared" si="203"/>
        <v/>
      </c>
      <c r="DF225" s="66" t="str">
        <f t="shared" si="204"/>
        <v/>
      </c>
    </row>
    <row r="226" spans="2:110" hidden="1" outlineLevel="1">
      <c r="B226" s="54">
        <f t="shared" si="205"/>
        <v>44634</v>
      </c>
      <c r="C226" s="55" t="s">
        <v>1</v>
      </c>
      <c r="D226" s="56">
        <f t="shared" si="206"/>
        <v>44640</v>
      </c>
      <c r="E226" s="52">
        <f t="shared" si="207"/>
        <v>3</v>
      </c>
      <c r="F226" s="53">
        <f t="shared" si="208"/>
        <v>2022</v>
      </c>
      <c r="G226" s="62">
        <f t="shared" si="209"/>
        <v>15</v>
      </c>
      <c r="H226" s="63">
        <f t="shared" si="210"/>
        <v>96</v>
      </c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>
        <v>15</v>
      </c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80"/>
      <c r="AG226" s="87">
        <f t="shared" si="164"/>
        <v>0</v>
      </c>
      <c r="AH226" s="87">
        <f t="shared" si="165"/>
        <v>0</v>
      </c>
      <c r="AI226" s="87">
        <f t="shared" si="166"/>
        <v>0</v>
      </c>
      <c r="AJ226" s="87">
        <f t="shared" si="167"/>
        <v>0</v>
      </c>
      <c r="AK226" s="87">
        <f t="shared" si="168"/>
        <v>0</v>
      </c>
      <c r="AL226" s="87">
        <f t="shared" si="169"/>
        <v>0</v>
      </c>
      <c r="AM226" s="87">
        <f t="shared" si="170"/>
        <v>0</v>
      </c>
      <c r="AN226" s="87">
        <f t="shared" si="171"/>
        <v>0</v>
      </c>
      <c r="AO226" s="87">
        <f t="shared" si="172"/>
        <v>0</v>
      </c>
      <c r="AP226" s="87">
        <f t="shared" si="173"/>
        <v>0</v>
      </c>
      <c r="AQ226" s="87">
        <f t="shared" si="174"/>
        <v>15</v>
      </c>
      <c r="AR226" s="81"/>
      <c r="AS226" s="85">
        <f t="shared" si="175"/>
        <v>0</v>
      </c>
      <c r="AT226" s="85">
        <f t="shared" si="176"/>
        <v>0</v>
      </c>
      <c r="AU226" s="85">
        <f t="shared" si="177"/>
        <v>0</v>
      </c>
      <c r="AV226" s="85">
        <f t="shared" si="178"/>
        <v>0</v>
      </c>
      <c r="AW226" s="85">
        <f t="shared" si="179"/>
        <v>0</v>
      </c>
      <c r="AX226" s="85">
        <f t="shared" si="180"/>
        <v>0</v>
      </c>
      <c r="AY226" s="85">
        <f t="shared" si="181"/>
        <v>0</v>
      </c>
      <c r="AZ226" s="85">
        <f t="shared" si="182"/>
        <v>0</v>
      </c>
      <c r="BA226" s="85">
        <f t="shared" si="183"/>
        <v>0</v>
      </c>
      <c r="BB226" s="85">
        <f t="shared" si="184"/>
        <v>0</v>
      </c>
      <c r="BC226" s="85">
        <f t="shared" si="185"/>
        <v>0</v>
      </c>
      <c r="BD226" s="85">
        <f t="shared" si="186"/>
        <v>0</v>
      </c>
      <c r="BE226" s="85">
        <f t="shared" si="187"/>
        <v>0</v>
      </c>
      <c r="BF226" s="85">
        <f t="shared" si="188"/>
        <v>0</v>
      </c>
      <c r="BG226" s="85">
        <f t="shared" si="189"/>
        <v>0</v>
      </c>
      <c r="BH226" s="85">
        <f t="shared" si="190"/>
        <v>0</v>
      </c>
      <c r="BI226" s="85">
        <f t="shared" si="191"/>
        <v>0</v>
      </c>
      <c r="BJ226" s="85">
        <f t="shared" si="192"/>
        <v>0</v>
      </c>
      <c r="BK226" s="85">
        <f t="shared" si="193"/>
        <v>0</v>
      </c>
      <c r="BL226" s="85">
        <f t="shared" si="194"/>
        <v>0</v>
      </c>
      <c r="BM226" s="85">
        <f t="shared" si="195"/>
        <v>0</v>
      </c>
      <c r="BN226" s="85">
        <f t="shared" si="196"/>
        <v>0</v>
      </c>
      <c r="BO226" s="85">
        <f t="shared" si="197"/>
        <v>0</v>
      </c>
      <c r="BP226" s="85">
        <f t="shared" si="198"/>
        <v>0</v>
      </c>
      <c r="BQ226" s="85">
        <f t="shared" si="199"/>
        <v>0</v>
      </c>
      <c r="BR226" s="85">
        <f t="shared" si="200"/>
        <v>0</v>
      </c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W226">
        <v>10</v>
      </c>
      <c r="CX226" s="35">
        <v>44634</v>
      </c>
      <c r="CZ226" s="35">
        <f>B243</f>
        <v>44753</v>
      </c>
      <c r="DA226">
        <v>98</v>
      </c>
      <c r="DC226" s="57" t="str">
        <f t="shared" si="201"/>
        <v/>
      </c>
      <c r="DD226" s="64" t="str">
        <f t="shared" si="202"/>
        <v/>
      </c>
      <c r="DE226" s="65" t="str">
        <f t="shared" si="203"/>
        <v/>
      </c>
      <c r="DF226" s="66" t="str">
        <f t="shared" si="204"/>
        <v/>
      </c>
    </row>
    <row r="227" spans="2:110" hidden="1" outlineLevel="1">
      <c r="B227" s="54">
        <f t="shared" si="205"/>
        <v>44641</v>
      </c>
      <c r="C227" s="55" t="s">
        <v>1</v>
      </c>
      <c r="D227" s="56">
        <f t="shared" si="206"/>
        <v>44647</v>
      </c>
      <c r="E227" s="52">
        <f t="shared" si="207"/>
        <v>3</v>
      </c>
      <c r="F227" s="53">
        <f t="shared" si="208"/>
        <v>2022</v>
      </c>
      <c r="G227" s="62">
        <f t="shared" si="209"/>
        <v>15</v>
      </c>
      <c r="H227" s="63">
        <f t="shared" si="210"/>
        <v>96</v>
      </c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>
        <v>15</v>
      </c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80"/>
      <c r="AG227" s="87">
        <f t="shared" si="164"/>
        <v>0</v>
      </c>
      <c r="AH227" s="87">
        <f t="shared" si="165"/>
        <v>0</v>
      </c>
      <c r="AI227" s="87">
        <f t="shared" si="166"/>
        <v>0</v>
      </c>
      <c r="AJ227" s="87">
        <f t="shared" si="167"/>
        <v>0</v>
      </c>
      <c r="AK227" s="87">
        <f t="shared" si="168"/>
        <v>0</v>
      </c>
      <c r="AL227" s="87">
        <f t="shared" si="169"/>
        <v>0</v>
      </c>
      <c r="AM227" s="87">
        <f t="shared" si="170"/>
        <v>0</v>
      </c>
      <c r="AN227" s="87">
        <f t="shared" si="171"/>
        <v>0</v>
      </c>
      <c r="AO227" s="87">
        <f t="shared" si="172"/>
        <v>0</v>
      </c>
      <c r="AP227" s="87">
        <f t="shared" si="173"/>
        <v>0</v>
      </c>
      <c r="AQ227" s="87">
        <f t="shared" si="174"/>
        <v>15</v>
      </c>
      <c r="AR227" s="81"/>
      <c r="AS227" s="85">
        <f t="shared" si="175"/>
        <v>0</v>
      </c>
      <c r="AT227" s="85">
        <f t="shared" si="176"/>
        <v>0</v>
      </c>
      <c r="AU227" s="85">
        <f t="shared" si="177"/>
        <v>0</v>
      </c>
      <c r="AV227" s="85">
        <f t="shared" si="178"/>
        <v>0</v>
      </c>
      <c r="AW227" s="85">
        <f t="shared" si="179"/>
        <v>0</v>
      </c>
      <c r="AX227" s="85">
        <f t="shared" si="180"/>
        <v>0</v>
      </c>
      <c r="AY227" s="85">
        <f t="shared" si="181"/>
        <v>0</v>
      </c>
      <c r="AZ227" s="85">
        <f t="shared" si="182"/>
        <v>0</v>
      </c>
      <c r="BA227" s="85">
        <f t="shared" si="183"/>
        <v>0</v>
      </c>
      <c r="BB227" s="85">
        <f t="shared" si="184"/>
        <v>0</v>
      </c>
      <c r="BC227" s="85">
        <f t="shared" si="185"/>
        <v>0</v>
      </c>
      <c r="BD227" s="85">
        <f t="shared" si="186"/>
        <v>0</v>
      </c>
      <c r="BE227" s="85">
        <f t="shared" si="187"/>
        <v>0</v>
      </c>
      <c r="BF227" s="85">
        <f t="shared" si="188"/>
        <v>0</v>
      </c>
      <c r="BG227" s="85">
        <f t="shared" si="189"/>
        <v>0</v>
      </c>
      <c r="BH227" s="85">
        <f t="shared" si="190"/>
        <v>0</v>
      </c>
      <c r="BI227" s="85">
        <f t="shared" si="191"/>
        <v>0</v>
      </c>
      <c r="BJ227" s="85">
        <f t="shared" si="192"/>
        <v>0</v>
      </c>
      <c r="BK227" s="85">
        <f t="shared" si="193"/>
        <v>0</v>
      </c>
      <c r="BL227" s="85">
        <f t="shared" si="194"/>
        <v>0</v>
      </c>
      <c r="BM227" s="85">
        <f t="shared" si="195"/>
        <v>0</v>
      </c>
      <c r="BN227" s="85">
        <f t="shared" si="196"/>
        <v>0</v>
      </c>
      <c r="BO227" s="85">
        <f t="shared" si="197"/>
        <v>0</v>
      </c>
      <c r="BP227" s="85">
        <f t="shared" si="198"/>
        <v>0</v>
      </c>
      <c r="BQ227" s="85">
        <f t="shared" si="199"/>
        <v>0</v>
      </c>
      <c r="BR227" s="85">
        <f t="shared" si="200"/>
        <v>0</v>
      </c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3"/>
      <c r="CM227" s="63"/>
      <c r="CN227" s="63"/>
      <c r="CO227" s="63"/>
      <c r="CP227" s="63"/>
      <c r="CQ227" s="63"/>
      <c r="CR227" s="63"/>
      <c r="CS227" s="63"/>
      <c r="CX227" s="35" t="s">
        <v>12</v>
      </c>
      <c r="CZ227" s="35"/>
      <c r="DC227" s="57" t="str">
        <f t="shared" si="201"/>
        <v/>
      </c>
      <c r="DD227" s="64" t="str">
        <f t="shared" si="202"/>
        <v/>
      </c>
      <c r="DE227" s="65" t="str">
        <f t="shared" si="203"/>
        <v/>
      </c>
      <c r="DF227" s="66" t="str">
        <f t="shared" si="204"/>
        <v/>
      </c>
    </row>
    <row r="228" spans="2:110" hidden="1" outlineLevel="1">
      <c r="B228" s="54">
        <f t="shared" si="205"/>
        <v>44648</v>
      </c>
      <c r="C228" s="55" t="s">
        <v>1</v>
      </c>
      <c r="D228" s="56">
        <f t="shared" si="206"/>
        <v>44654</v>
      </c>
      <c r="E228" s="52">
        <f t="shared" si="207"/>
        <v>3</v>
      </c>
      <c r="F228" s="53">
        <f t="shared" si="208"/>
        <v>2022</v>
      </c>
      <c r="G228" s="62">
        <f t="shared" si="209"/>
        <v>15</v>
      </c>
      <c r="H228" s="63">
        <f t="shared" si="210"/>
        <v>96</v>
      </c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>
        <v>15</v>
      </c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80"/>
      <c r="AG228" s="87">
        <f t="shared" si="164"/>
        <v>0</v>
      </c>
      <c r="AH228" s="87">
        <f t="shared" si="165"/>
        <v>0</v>
      </c>
      <c r="AI228" s="87">
        <f t="shared" si="166"/>
        <v>0</v>
      </c>
      <c r="AJ228" s="87">
        <f t="shared" si="167"/>
        <v>0</v>
      </c>
      <c r="AK228" s="87">
        <f t="shared" si="168"/>
        <v>0</v>
      </c>
      <c r="AL228" s="87">
        <f t="shared" si="169"/>
        <v>0</v>
      </c>
      <c r="AM228" s="87">
        <f t="shared" si="170"/>
        <v>0</v>
      </c>
      <c r="AN228" s="87">
        <f t="shared" si="171"/>
        <v>0</v>
      </c>
      <c r="AO228" s="87">
        <f t="shared" si="172"/>
        <v>0</v>
      </c>
      <c r="AP228" s="87">
        <f t="shared" si="173"/>
        <v>0</v>
      </c>
      <c r="AQ228" s="87">
        <f t="shared" si="174"/>
        <v>15</v>
      </c>
      <c r="AR228" s="81"/>
      <c r="AS228" s="85">
        <f t="shared" si="175"/>
        <v>0</v>
      </c>
      <c r="AT228" s="85">
        <f t="shared" si="176"/>
        <v>0</v>
      </c>
      <c r="AU228" s="85">
        <f t="shared" si="177"/>
        <v>0</v>
      </c>
      <c r="AV228" s="85">
        <f t="shared" si="178"/>
        <v>0</v>
      </c>
      <c r="AW228" s="85">
        <f t="shared" si="179"/>
        <v>0</v>
      </c>
      <c r="AX228" s="85">
        <f t="shared" si="180"/>
        <v>0</v>
      </c>
      <c r="AY228" s="85">
        <f t="shared" si="181"/>
        <v>0</v>
      </c>
      <c r="AZ228" s="85">
        <f t="shared" si="182"/>
        <v>0</v>
      </c>
      <c r="BA228" s="85">
        <f t="shared" si="183"/>
        <v>0</v>
      </c>
      <c r="BB228" s="85">
        <f t="shared" si="184"/>
        <v>0</v>
      </c>
      <c r="BC228" s="85">
        <f t="shared" si="185"/>
        <v>0</v>
      </c>
      <c r="BD228" s="85">
        <f t="shared" si="186"/>
        <v>0</v>
      </c>
      <c r="BE228" s="85">
        <f t="shared" si="187"/>
        <v>0</v>
      </c>
      <c r="BF228" s="85">
        <f t="shared" si="188"/>
        <v>0</v>
      </c>
      <c r="BG228" s="85">
        <f t="shared" si="189"/>
        <v>0</v>
      </c>
      <c r="BH228" s="85">
        <f t="shared" si="190"/>
        <v>0</v>
      </c>
      <c r="BI228" s="85">
        <f t="shared" si="191"/>
        <v>0</v>
      </c>
      <c r="BJ228" s="85">
        <f t="shared" si="192"/>
        <v>0</v>
      </c>
      <c r="BK228" s="85">
        <f t="shared" si="193"/>
        <v>0</v>
      </c>
      <c r="BL228" s="85">
        <f t="shared" si="194"/>
        <v>0</v>
      </c>
      <c r="BM228" s="85">
        <f t="shared" si="195"/>
        <v>0</v>
      </c>
      <c r="BN228" s="85">
        <f t="shared" si="196"/>
        <v>0</v>
      </c>
      <c r="BO228" s="85">
        <f t="shared" si="197"/>
        <v>0</v>
      </c>
      <c r="BP228" s="85">
        <f t="shared" si="198"/>
        <v>0</v>
      </c>
      <c r="BQ228" s="85">
        <f t="shared" si="199"/>
        <v>0</v>
      </c>
      <c r="BR228" s="85">
        <f t="shared" si="200"/>
        <v>0</v>
      </c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X228" s="35" t="s">
        <v>12</v>
      </c>
      <c r="CZ228" s="35"/>
      <c r="DC228" s="57" t="str">
        <f t="shared" si="201"/>
        <v/>
      </c>
      <c r="DD228" s="64" t="str">
        <f t="shared" si="202"/>
        <v/>
      </c>
      <c r="DE228" s="65" t="str">
        <f t="shared" si="203"/>
        <v/>
      </c>
      <c r="DF228" s="66" t="str">
        <f t="shared" si="204"/>
        <v/>
      </c>
    </row>
    <row r="229" spans="2:110" hidden="1" outlineLevel="1">
      <c r="B229" s="54">
        <f t="shared" si="205"/>
        <v>44655</v>
      </c>
      <c r="C229" s="55" t="s">
        <v>1</v>
      </c>
      <c r="D229" s="56">
        <f t="shared" si="206"/>
        <v>44661</v>
      </c>
      <c r="E229" s="52">
        <f t="shared" si="207"/>
        <v>4</v>
      </c>
      <c r="F229" s="53">
        <f t="shared" si="208"/>
        <v>2022</v>
      </c>
      <c r="G229" s="62">
        <f t="shared" si="209"/>
        <v>15</v>
      </c>
      <c r="H229" s="63">
        <f t="shared" si="210"/>
        <v>96</v>
      </c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>
        <v>15</v>
      </c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80"/>
      <c r="AG229" s="87">
        <f t="shared" si="164"/>
        <v>0</v>
      </c>
      <c r="AH229" s="87">
        <f t="shared" si="165"/>
        <v>0</v>
      </c>
      <c r="AI229" s="87">
        <f t="shared" si="166"/>
        <v>0</v>
      </c>
      <c r="AJ229" s="87">
        <f t="shared" si="167"/>
        <v>0</v>
      </c>
      <c r="AK229" s="87">
        <f t="shared" si="168"/>
        <v>0</v>
      </c>
      <c r="AL229" s="87">
        <f t="shared" si="169"/>
        <v>0</v>
      </c>
      <c r="AM229" s="87">
        <f t="shared" si="170"/>
        <v>0</v>
      </c>
      <c r="AN229" s="87">
        <f t="shared" si="171"/>
        <v>0</v>
      </c>
      <c r="AO229" s="87">
        <f t="shared" si="172"/>
        <v>0</v>
      </c>
      <c r="AP229" s="87">
        <f t="shared" si="173"/>
        <v>0</v>
      </c>
      <c r="AQ229" s="87">
        <f t="shared" si="174"/>
        <v>15</v>
      </c>
      <c r="AR229" s="81"/>
      <c r="AS229" s="85">
        <f t="shared" si="175"/>
        <v>0</v>
      </c>
      <c r="AT229" s="85">
        <f t="shared" si="176"/>
        <v>0</v>
      </c>
      <c r="AU229" s="85">
        <f t="shared" si="177"/>
        <v>0</v>
      </c>
      <c r="AV229" s="85">
        <f t="shared" si="178"/>
        <v>0</v>
      </c>
      <c r="AW229" s="85">
        <f t="shared" si="179"/>
        <v>0</v>
      </c>
      <c r="AX229" s="85">
        <f t="shared" si="180"/>
        <v>0</v>
      </c>
      <c r="AY229" s="85">
        <f t="shared" si="181"/>
        <v>0</v>
      </c>
      <c r="AZ229" s="85">
        <f t="shared" si="182"/>
        <v>0</v>
      </c>
      <c r="BA229" s="85">
        <f t="shared" si="183"/>
        <v>0</v>
      </c>
      <c r="BB229" s="85">
        <f t="shared" si="184"/>
        <v>0</v>
      </c>
      <c r="BC229" s="85">
        <f t="shared" si="185"/>
        <v>0</v>
      </c>
      <c r="BD229" s="85">
        <f t="shared" si="186"/>
        <v>0</v>
      </c>
      <c r="BE229" s="85">
        <f t="shared" si="187"/>
        <v>0</v>
      </c>
      <c r="BF229" s="85">
        <f t="shared" si="188"/>
        <v>0</v>
      </c>
      <c r="BG229" s="85">
        <f t="shared" si="189"/>
        <v>0</v>
      </c>
      <c r="BH229" s="85">
        <f t="shared" si="190"/>
        <v>0</v>
      </c>
      <c r="BI229" s="85">
        <f t="shared" si="191"/>
        <v>0</v>
      </c>
      <c r="BJ229" s="85">
        <f t="shared" si="192"/>
        <v>0</v>
      </c>
      <c r="BK229" s="85">
        <f t="shared" si="193"/>
        <v>0</v>
      </c>
      <c r="BL229" s="85">
        <f t="shared" si="194"/>
        <v>0</v>
      </c>
      <c r="BM229" s="85">
        <f t="shared" si="195"/>
        <v>0</v>
      </c>
      <c r="BN229" s="85">
        <f t="shared" si="196"/>
        <v>0</v>
      </c>
      <c r="BO229" s="85">
        <f t="shared" si="197"/>
        <v>0</v>
      </c>
      <c r="BP229" s="85">
        <f t="shared" si="198"/>
        <v>0</v>
      </c>
      <c r="BQ229" s="85">
        <f t="shared" si="199"/>
        <v>0</v>
      </c>
      <c r="BR229" s="85">
        <f t="shared" si="200"/>
        <v>0</v>
      </c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X229" s="35" t="s">
        <v>12</v>
      </c>
      <c r="CZ229" s="35"/>
      <c r="DC229" s="57" t="str">
        <f t="shared" si="201"/>
        <v/>
      </c>
      <c r="DD229" s="64" t="str">
        <f t="shared" si="202"/>
        <v/>
      </c>
      <c r="DE229" s="65" t="str">
        <f t="shared" si="203"/>
        <v/>
      </c>
      <c r="DF229" s="66" t="str">
        <f t="shared" si="204"/>
        <v/>
      </c>
    </row>
    <row r="230" spans="2:110" hidden="1" outlineLevel="1">
      <c r="B230" s="54">
        <f t="shared" si="205"/>
        <v>44662</v>
      </c>
      <c r="C230" s="55" t="s">
        <v>1</v>
      </c>
      <c r="D230" s="56">
        <f t="shared" si="206"/>
        <v>44668</v>
      </c>
      <c r="E230" s="52">
        <f t="shared" si="207"/>
        <v>4</v>
      </c>
      <c r="F230" s="53">
        <f t="shared" si="208"/>
        <v>2022</v>
      </c>
      <c r="G230" s="62">
        <f t="shared" si="209"/>
        <v>15</v>
      </c>
      <c r="H230" s="63">
        <f t="shared" si="210"/>
        <v>96</v>
      </c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>
        <v>15</v>
      </c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80"/>
      <c r="AG230" s="87">
        <f t="shared" si="164"/>
        <v>0</v>
      </c>
      <c r="AH230" s="87">
        <f t="shared" si="165"/>
        <v>0</v>
      </c>
      <c r="AI230" s="87">
        <f t="shared" si="166"/>
        <v>0</v>
      </c>
      <c r="AJ230" s="87">
        <f t="shared" si="167"/>
        <v>0</v>
      </c>
      <c r="AK230" s="87">
        <f t="shared" si="168"/>
        <v>0</v>
      </c>
      <c r="AL230" s="87">
        <f t="shared" si="169"/>
        <v>0</v>
      </c>
      <c r="AM230" s="87">
        <f t="shared" si="170"/>
        <v>0</v>
      </c>
      <c r="AN230" s="87">
        <f t="shared" si="171"/>
        <v>0</v>
      </c>
      <c r="AO230" s="87">
        <f t="shared" si="172"/>
        <v>0</v>
      </c>
      <c r="AP230" s="87">
        <f t="shared" si="173"/>
        <v>0</v>
      </c>
      <c r="AQ230" s="87">
        <f t="shared" si="174"/>
        <v>15</v>
      </c>
      <c r="AR230" s="81"/>
      <c r="AS230" s="85">
        <f t="shared" si="175"/>
        <v>0</v>
      </c>
      <c r="AT230" s="85">
        <f t="shared" si="176"/>
        <v>0</v>
      </c>
      <c r="AU230" s="85">
        <f t="shared" si="177"/>
        <v>0</v>
      </c>
      <c r="AV230" s="85">
        <f t="shared" si="178"/>
        <v>0</v>
      </c>
      <c r="AW230" s="85">
        <f t="shared" si="179"/>
        <v>0</v>
      </c>
      <c r="AX230" s="85">
        <f t="shared" si="180"/>
        <v>0</v>
      </c>
      <c r="AY230" s="85">
        <f t="shared" si="181"/>
        <v>0</v>
      </c>
      <c r="AZ230" s="85">
        <f t="shared" si="182"/>
        <v>0</v>
      </c>
      <c r="BA230" s="85">
        <f t="shared" si="183"/>
        <v>0</v>
      </c>
      <c r="BB230" s="85">
        <f t="shared" si="184"/>
        <v>0</v>
      </c>
      <c r="BC230" s="85">
        <f t="shared" si="185"/>
        <v>0</v>
      </c>
      <c r="BD230" s="85">
        <f t="shared" si="186"/>
        <v>0</v>
      </c>
      <c r="BE230" s="85">
        <f t="shared" si="187"/>
        <v>0</v>
      </c>
      <c r="BF230" s="85">
        <f t="shared" si="188"/>
        <v>0</v>
      </c>
      <c r="BG230" s="85">
        <f t="shared" si="189"/>
        <v>0</v>
      </c>
      <c r="BH230" s="85">
        <f t="shared" si="190"/>
        <v>0</v>
      </c>
      <c r="BI230" s="85">
        <f t="shared" si="191"/>
        <v>0</v>
      </c>
      <c r="BJ230" s="85">
        <f t="shared" si="192"/>
        <v>0</v>
      </c>
      <c r="BK230" s="85">
        <f t="shared" si="193"/>
        <v>0</v>
      </c>
      <c r="BL230" s="85">
        <f t="shared" si="194"/>
        <v>0</v>
      </c>
      <c r="BM230" s="85">
        <f t="shared" si="195"/>
        <v>0</v>
      </c>
      <c r="BN230" s="85">
        <f t="shared" si="196"/>
        <v>0</v>
      </c>
      <c r="BO230" s="85">
        <f t="shared" si="197"/>
        <v>0</v>
      </c>
      <c r="BP230" s="85">
        <f t="shared" si="198"/>
        <v>0</v>
      </c>
      <c r="BQ230" s="85">
        <f t="shared" si="199"/>
        <v>0</v>
      </c>
      <c r="BR230" s="85">
        <f t="shared" si="200"/>
        <v>0</v>
      </c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3"/>
      <c r="CM230" s="63"/>
      <c r="CN230" s="63"/>
      <c r="CO230" s="63"/>
      <c r="CP230" s="63"/>
      <c r="CQ230" s="63"/>
      <c r="CR230" s="63"/>
      <c r="CS230" s="63"/>
      <c r="CX230" s="35" t="s">
        <v>12</v>
      </c>
      <c r="CZ230" s="35"/>
      <c r="DC230" s="57" t="str">
        <f t="shared" si="201"/>
        <v/>
      </c>
      <c r="DD230" s="64" t="str">
        <f t="shared" si="202"/>
        <v/>
      </c>
      <c r="DE230" s="65" t="str">
        <f t="shared" si="203"/>
        <v/>
      </c>
      <c r="DF230" s="66" t="str">
        <f t="shared" si="204"/>
        <v/>
      </c>
    </row>
    <row r="231" spans="2:110" hidden="1" outlineLevel="1">
      <c r="B231" s="54">
        <f t="shared" si="205"/>
        <v>44669</v>
      </c>
      <c r="C231" s="55" t="s">
        <v>1</v>
      </c>
      <c r="D231" s="56">
        <f t="shared" si="206"/>
        <v>44675</v>
      </c>
      <c r="E231" s="52">
        <f t="shared" si="207"/>
        <v>4</v>
      </c>
      <c r="F231" s="53">
        <f t="shared" si="208"/>
        <v>2022</v>
      </c>
      <c r="G231" s="62">
        <f t="shared" si="209"/>
        <v>15</v>
      </c>
      <c r="H231" s="63">
        <f t="shared" si="210"/>
        <v>96</v>
      </c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>
        <v>15</v>
      </c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80"/>
      <c r="AG231" s="87">
        <f t="shared" si="164"/>
        <v>0</v>
      </c>
      <c r="AH231" s="87">
        <f t="shared" si="165"/>
        <v>0</v>
      </c>
      <c r="AI231" s="87">
        <f t="shared" si="166"/>
        <v>0</v>
      </c>
      <c r="AJ231" s="87">
        <f t="shared" si="167"/>
        <v>0</v>
      </c>
      <c r="AK231" s="87">
        <f t="shared" si="168"/>
        <v>0</v>
      </c>
      <c r="AL231" s="87">
        <f t="shared" si="169"/>
        <v>0</v>
      </c>
      <c r="AM231" s="87">
        <f t="shared" si="170"/>
        <v>0</v>
      </c>
      <c r="AN231" s="87">
        <f t="shared" si="171"/>
        <v>0</v>
      </c>
      <c r="AO231" s="87">
        <f t="shared" si="172"/>
        <v>0</v>
      </c>
      <c r="AP231" s="87">
        <f t="shared" si="173"/>
        <v>0</v>
      </c>
      <c r="AQ231" s="87">
        <f t="shared" si="174"/>
        <v>15</v>
      </c>
      <c r="AR231" s="81"/>
      <c r="AS231" s="85">
        <f t="shared" si="175"/>
        <v>0</v>
      </c>
      <c r="AT231" s="85">
        <f t="shared" si="176"/>
        <v>0</v>
      </c>
      <c r="AU231" s="85">
        <f t="shared" si="177"/>
        <v>0</v>
      </c>
      <c r="AV231" s="85">
        <f t="shared" si="178"/>
        <v>0</v>
      </c>
      <c r="AW231" s="85">
        <f t="shared" si="179"/>
        <v>0</v>
      </c>
      <c r="AX231" s="85">
        <f t="shared" si="180"/>
        <v>0</v>
      </c>
      <c r="AY231" s="85">
        <f t="shared" si="181"/>
        <v>0</v>
      </c>
      <c r="AZ231" s="85">
        <f t="shared" si="182"/>
        <v>0</v>
      </c>
      <c r="BA231" s="85">
        <f t="shared" si="183"/>
        <v>0</v>
      </c>
      <c r="BB231" s="85">
        <f t="shared" si="184"/>
        <v>0</v>
      </c>
      <c r="BC231" s="85">
        <f t="shared" si="185"/>
        <v>0</v>
      </c>
      <c r="BD231" s="85">
        <f t="shared" si="186"/>
        <v>0</v>
      </c>
      <c r="BE231" s="85">
        <f t="shared" si="187"/>
        <v>0</v>
      </c>
      <c r="BF231" s="85">
        <f t="shared" si="188"/>
        <v>0</v>
      </c>
      <c r="BG231" s="85">
        <f t="shared" si="189"/>
        <v>0</v>
      </c>
      <c r="BH231" s="85">
        <f t="shared" si="190"/>
        <v>0</v>
      </c>
      <c r="BI231" s="85">
        <f t="shared" si="191"/>
        <v>0</v>
      </c>
      <c r="BJ231" s="85">
        <f t="shared" si="192"/>
        <v>0</v>
      </c>
      <c r="BK231" s="85">
        <f t="shared" si="193"/>
        <v>0</v>
      </c>
      <c r="BL231" s="85">
        <f t="shared" si="194"/>
        <v>0</v>
      </c>
      <c r="BM231" s="85">
        <f t="shared" si="195"/>
        <v>0</v>
      </c>
      <c r="BN231" s="85">
        <f t="shared" si="196"/>
        <v>0</v>
      </c>
      <c r="BO231" s="85">
        <f t="shared" si="197"/>
        <v>0</v>
      </c>
      <c r="BP231" s="85">
        <f t="shared" si="198"/>
        <v>0</v>
      </c>
      <c r="BQ231" s="85">
        <f t="shared" si="199"/>
        <v>0</v>
      </c>
      <c r="BR231" s="85">
        <f t="shared" si="200"/>
        <v>0</v>
      </c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3"/>
      <c r="CM231" s="63"/>
      <c r="CN231" s="63"/>
      <c r="CO231" s="63"/>
      <c r="CP231" s="63"/>
      <c r="CQ231" s="63"/>
      <c r="CR231" s="63"/>
      <c r="CS231" s="63"/>
      <c r="CW231">
        <v>11</v>
      </c>
      <c r="CX231" s="35">
        <v>44669</v>
      </c>
      <c r="CZ231" s="35">
        <f>B248</f>
        <v>44788</v>
      </c>
      <c r="DA231">
        <v>98</v>
      </c>
      <c r="DC231" s="57" t="str">
        <f t="shared" si="201"/>
        <v/>
      </c>
      <c r="DD231" s="64" t="str">
        <f t="shared" si="202"/>
        <v/>
      </c>
      <c r="DE231" s="65" t="str">
        <f t="shared" si="203"/>
        <v/>
      </c>
      <c r="DF231" s="66" t="str">
        <f t="shared" si="204"/>
        <v/>
      </c>
    </row>
    <row r="232" spans="2:110" hidden="1" outlineLevel="1">
      <c r="B232" s="54">
        <f t="shared" si="205"/>
        <v>44676</v>
      </c>
      <c r="C232" s="55" t="s">
        <v>1</v>
      </c>
      <c r="D232" s="56">
        <f t="shared" si="206"/>
        <v>44682</v>
      </c>
      <c r="E232" s="52">
        <f t="shared" si="207"/>
        <v>4</v>
      </c>
      <c r="F232" s="53">
        <f t="shared" si="208"/>
        <v>2022</v>
      </c>
      <c r="G232" s="62">
        <f t="shared" si="209"/>
        <v>15</v>
      </c>
      <c r="H232" s="63">
        <f t="shared" si="210"/>
        <v>96</v>
      </c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>
        <v>15</v>
      </c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80"/>
      <c r="AG232" s="87">
        <f t="shared" si="164"/>
        <v>0</v>
      </c>
      <c r="AH232" s="87">
        <f t="shared" si="165"/>
        <v>0</v>
      </c>
      <c r="AI232" s="87">
        <f t="shared" si="166"/>
        <v>0</v>
      </c>
      <c r="AJ232" s="87">
        <f t="shared" si="167"/>
        <v>0</v>
      </c>
      <c r="AK232" s="87">
        <f t="shared" si="168"/>
        <v>0</v>
      </c>
      <c r="AL232" s="87">
        <f t="shared" si="169"/>
        <v>0</v>
      </c>
      <c r="AM232" s="87">
        <f t="shared" si="170"/>
        <v>0</v>
      </c>
      <c r="AN232" s="87">
        <f t="shared" si="171"/>
        <v>0</v>
      </c>
      <c r="AO232" s="87">
        <f t="shared" si="172"/>
        <v>0</v>
      </c>
      <c r="AP232" s="87">
        <f t="shared" si="173"/>
        <v>0</v>
      </c>
      <c r="AQ232" s="87">
        <f t="shared" si="174"/>
        <v>15</v>
      </c>
      <c r="AR232" s="81"/>
      <c r="AS232" s="85">
        <f t="shared" si="175"/>
        <v>0</v>
      </c>
      <c r="AT232" s="85">
        <f t="shared" si="176"/>
        <v>0</v>
      </c>
      <c r="AU232" s="85">
        <f t="shared" si="177"/>
        <v>0</v>
      </c>
      <c r="AV232" s="85">
        <f t="shared" si="178"/>
        <v>0</v>
      </c>
      <c r="AW232" s="85">
        <f t="shared" si="179"/>
        <v>0</v>
      </c>
      <c r="AX232" s="85">
        <f t="shared" si="180"/>
        <v>0</v>
      </c>
      <c r="AY232" s="85">
        <f t="shared" si="181"/>
        <v>0</v>
      </c>
      <c r="AZ232" s="85">
        <f t="shared" si="182"/>
        <v>0</v>
      </c>
      <c r="BA232" s="85">
        <f t="shared" si="183"/>
        <v>0</v>
      </c>
      <c r="BB232" s="85">
        <f t="shared" si="184"/>
        <v>0</v>
      </c>
      <c r="BC232" s="85">
        <f t="shared" si="185"/>
        <v>0</v>
      </c>
      <c r="BD232" s="85">
        <f t="shared" si="186"/>
        <v>0</v>
      </c>
      <c r="BE232" s="85">
        <f t="shared" si="187"/>
        <v>0</v>
      </c>
      <c r="BF232" s="85">
        <f t="shared" si="188"/>
        <v>0</v>
      </c>
      <c r="BG232" s="85">
        <f t="shared" si="189"/>
        <v>0</v>
      </c>
      <c r="BH232" s="85">
        <f t="shared" si="190"/>
        <v>0</v>
      </c>
      <c r="BI232" s="85">
        <f t="shared" si="191"/>
        <v>0</v>
      </c>
      <c r="BJ232" s="85">
        <f t="shared" si="192"/>
        <v>0</v>
      </c>
      <c r="BK232" s="85">
        <f t="shared" si="193"/>
        <v>0</v>
      </c>
      <c r="BL232" s="85">
        <f t="shared" si="194"/>
        <v>0</v>
      </c>
      <c r="BM232" s="85">
        <f t="shared" si="195"/>
        <v>0</v>
      </c>
      <c r="BN232" s="85">
        <f t="shared" si="196"/>
        <v>0</v>
      </c>
      <c r="BO232" s="85">
        <f t="shared" si="197"/>
        <v>0</v>
      </c>
      <c r="BP232" s="85">
        <f t="shared" si="198"/>
        <v>0</v>
      </c>
      <c r="BQ232" s="85">
        <f t="shared" si="199"/>
        <v>0</v>
      </c>
      <c r="BR232" s="85">
        <f t="shared" si="200"/>
        <v>0</v>
      </c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3"/>
      <c r="CM232" s="63"/>
      <c r="CN232" s="63"/>
      <c r="CO232" s="63"/>
      <c r="CP232" s="63"/>
      <c r="CQ232" s="63"/>
      <c r="CR232" s="63"/>
      <c r="CS232" s="63"/>
      <c r="CX232" s="35" t="s">
        <v>12</v>
      </c>
      <c r="CZ232" s="35"/>
      <c r="DC232" s="57" t="str">
        <f t="shared" si="201"/>
        <v/>
      </c>
      <c r="DD232" s="64" t="str">
        <f t="shared" si="202"/>
        <v/>
      </c>
      <c r="DE232" s="65" t="str">
        <f t="shared" si="203"/>
        <v/>
      </c>
      <c r="DF232" s="66" t="str">
        <f t="shared" si="204"/>
        <v/>
      </c>
    </row>
    <row r="233" spans="2:110" hidden="1" outlineLevel="1">
      <c r="B233" s="54">
        <f t="shared" si="205"/>
        <v>44683</v>
      </c>
      <c r="C233" s="55" t="s">
        <v>1</v>
      </c>
      <c r="D233" s="56">
        <f t="shared" si="206"/>
        <v>44689</v>
      </c>
      <c r="E233" s="52">
        <f t="shared" si="207"/>
        <v>5</v>
      </c>
      <c r="F233" s="53">
        <f t="shared" si="208"/>
        <v>2022</v>
      </c>
      <c r="G233" s="62">
        <f t="shared" si="209"/>
        <v>15</v>
      </c>
      <c r="H233" s="63">
        <f t="shared" si="210"/>
        <v>96</v>
      </c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>
        <v>15</v>
      </c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80"/>
      <c r="AG233" s="87">
        <f t="shared" si="164"/>
        <v>0</v>
      </c>
      <c r="AH233" s="87">
        <f t="shared" si="165"/>
        <v>0</v>
      </c>
      <c r="AI233" s="87">
        <f t="shared" si="166"/>
        <v>0</v>
      </c>
      <c r="AJ233" s="87">
        <f t="shared" si="167"/>
        <v>0</v>
      </c>
      <c r="AK233" s="87">
        <f t="shared" si="168"/>
        <v>0</v>
      </c>
      <c r="AL233" s="87">
        <f t="shared" si="169"/>
        <v>0</v>
      </c>
      <c r="AM233" s="87">
        <f t="shared" si="170"/>
        <v>0</v>
      </c>
      <c r="AN233" s="87">
        <f t="shared" si="171"/>
        <v>0</v>
      </c>
      <c r="AO233" s="87">
        <f t="shared" si="172"/>
        <v>0</v>
      </c>
      <c r="AP233" s="87">
        <f t="shared" si="173"/>
        <v>0</v>
      </c>
      <c r="AQ233" s="87">
        <f t="shared" si="174"/>
        <v>15</v>
      </c>
      <c r="AR233" s="81"/>
      <c r="AS233" s="85">
        <f t="shared" si="175"/>
        <v>0</v>
      </c>
      <c r="AT233" s="85">
        <f t="shared" si="176"/>
        <v>0</v>
      </c>
      <c r="AU233" s="85">
        <f t="shared" si="177"/>
        <v>0</v>
      </c>
      <c r="AV233" s="85">
        <f t="shared" si="178"/>
        <v>0</v>
      </c>
      <c r="AW233" s="85">
        <f t="shared" si="179"/>
        <v>0</v>
      </c>
      <c r="AX233" s="85">
        <f t="shared" si="180"/>
        <v>0</v>
      </c>
      <c r="AY233" s="85">
        <f t="shared" si="181"/>
        <v>0</v>
      </c>
      <c r="AZ233" s="85">
        <f t="shared" si="182"/>
        <v>0</v>
      </c>
      <c r="BA233" s="85">
        <f t="shared" si="183"/>
        <v>0</v>
      </c>
      <c r="BB233" s="85">
        <f t="shared" si="184"/>
        <v>0</v>
      </c>
      <c r="BC233" s="85">
        <f t="shared" si="185"/>
        <v>0</v>
      </c>
      <c r="BD233" s="85">
        <f t="shared" si="186"/>
        <v>0</v>
      </c>
      <c r="BE233" s="85">
        <f t="shared" si="187"/>
        <v>0</v>
      </c>
      <c r="BF233" s="85">
        <f t="shared" si="188"/>
        <v>0</v>
      </c>
      <c r="BG233" s="85">
        <f t="shared" si="189"/>
        <v>0</v>
      </c>
      <c r="BH233" s="85">
        <f t="shared" si="190"/>
        <v>0</v>
      </c>
      <c r="BI233" s="85">
        <f t="shared" si="191"/>
        <v>0</v>
      </c>
      <c r="BJ233" s="85">
        <f t="shared" si="192"/>
        <v>0</v>
      </c>
      <c r="BK233" s="85">
        <f t="shared" si="193"/>
        <v>0</v>
      </c>
      <c r="BL233" s="85">
        <f t="shared" si="194"/>
        <v>0</v>
      </c>
      <c r="BM233" s="85">
        <f t="shared" si="195"/>
        <v>0</v>
      </c>
      <c r="BN233" s="85">
        <f t="shared" si="196"/>
        <v>0</v>
      </c>
      <c r="BO233" s="85">
        <f t="shared" si="197"/>
        <v>0</v>
      </c>
      <c r="BP233" s="85">
        <f t="shared" si="198"/>
        <v>0</v>
      </c>
      <c r="BQ233" s="85">
        <f t="shared" si="199"/>
        <v>0</v>
      </c>
      <c r="BR233" s="85">
        <f t="shared" si="200"/>
        <v>0</v>
      </c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3"/>
      <c r="CM233" s="63"/>
      <c r="CN233" s="63"/>
      <c r="CO233" s="63"/>
      <c r="CP233" s="63"/>
      <c r="CQ233" s="63"/>
      <c r="CR233" s="63"/>
      <c r="CS233" s="63"/>
      <c r="CX233" s="35" t="s">
        <v>12</v>
      </c>
      <c r="CZ233" s="35"/>
      <c r="DC233" s="57" t="str">
        <f t="shared" si="201"/>
        <v/>
      </c>
      <c r="DD233" s="64" t="str">
        <f t="shared" si="202"/>
        <v/>
      </c>
      <c r="DE233" s="65" t="str">
        <f t="shared" si="203"/>
        <v/>
      </c>
      <c r="DF233" s="66" t="str">
        <f t="shared" si="204"/>
        <v/>
      </c>
    </row>
    <row r="234" spans="2:110" hidden="1" outlineLevel="1">
      <c r="B234" s="54">
        <f t="shared" si="205"/>
        <v>44690</v>
      </c>
      <c r="C234" s="55" t="s">
        <v>1</v>
      </c>
      <c r="D234" s="56">
        <f t="shared" si="206"/>
        <v>44696</v>
      </c>
      <c r="E234" s="52">
        <f t="shared" si="207"/>
        <v>5</v>
      </c>
      <c r="F234" s="53">
        <f t="shared" si="208"/>
        <v>2022</v>
      </c>
      <c r="G234" s="62">
        <f t="shared" si="209"/>
        <v>15</v>
      </c>
      <c r="H234" s="63">
        <f t="shared" si="210"/>
        <v>96</v>
      </c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>
        <v>15</v>
      </c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80"/>
      <c r="AG234" s="87">
        <f t="shared" si="164"/>
        <v>0</v>
      </c>
      <c r="AH234" s="87">
        <f t="shared" si="165"/>
        <v>0</v>
      </c>
      <c r="AI234" s="87">
        <f t="shared" si="166"/>
        <v>0</v>
      </c>
      <c r="AJ234" s="87">
        <f t="shared" si="167"/>
        <v>0</v>
      </c>
      <c r="AK234" s="87">
        <f t="shared" si="168"/>
        <v>0</v>
      </c>
      <c r="AL234" s="87">
        <f t="shared" si="169"/>
        <v>0</v>
      </c>
      <c r="AM234" s="87">
        <f t="shared" si="170"/>
        <v>0</v>
      </c>
      <c r="AN234" s="87">
        <f t="shared" si="171"/>
        <v>0</v>
      </c>
      <c r="AO234" s="87">
        <f t="shared" si="172"/>
        <v>0</v>
      </c>
      <c r="AP234" s="87">
        <f t="shared" si="173"/>
        <v>0</v>
      </c>
      <c r="AQ234" s="87">
        <f t="shared" si="174"/>
        <v>15</v>
      </c>
      <c r="AR234" s="81"/>
      <c r="AS234" s="85">
        <f t="shared" si="175"/>
        <v>0</v>
      </c>
      <c r="AT234" s="85">
        <f t="shared" si="176"/>
        <v>0</v>
      </c>
      <c r="AU234" s="85">
        <f t="shared" si="177"/>
        <v>0</v>
      </c>
      <c r="AV234" s="85">
        <f t="shared" si="178"/>
        <v>0</v>
      </c>
      <c r="AW234" s="85">
        <f t="shared" si="179"/>
        <v>0</v>
      </c>
      <c r="AX234" s="85">
        <f t="shared" si="180"/>
        <v>0</v>
      </c>
      <c r="AY234" s="85">
        <f t="shared" si="181"/>
        <v>0</v>
      </c>
      <c r="AZ234" s="85">
        <f t="shared" si="182"/>
        <v>0</v>
      </c>
      <c r="BA234" s="85">
        <f t="shared" si="183"/>
        <v>0</v>
      </c>
      <c r="BB234" s="85">
        <f t="shared" si="184"/>
        <v>0</v>
      </c>
      <c r="BC234" s="85">
        <f t="shared" si="185"/>
        <v>0</v>
      </c>
      <c r="BD234" s="85">
        <f t="shared" si="186"/>
        <v>0</v>
      </c>
      <c r="BE234" s="85">
        <f t="shared" si="187"/>
        <v>0</v>
      </c>
      <c r="BF234" s="85">
        <f t="shared" si="188"/>
        <v>0</v>
      </c>
      <c r="BG234" s="85">
        <f t="shared" si="189"/>
        <v>0</v>
      </c>
      <c r="BH234" s="85">
        <f t="shared" si="190"/>
        <v>0</v>
      </c>
      <c r="BI234" s="85">
        <f t="shared" si="191"/>
        <v>0</v>
      </c>
      <c r="BJ234" s="85">
        <f t="shared" si="192"/>
        <v>0</v>
      </c>
      <c r="BK234" s="85">
        <f t="shared" si="193"/>
        <v>0</v>
      </c>
      <c r="BL234" s="85">
        <f t="shared" si="194"/>
        <v>0</v>
      </c>
      <c r="BM234" s="85">
        <f t="shared" si="195"/>
        <v>0</v>
      </c>
      <c r="BN234" s="85">
        <f t="shared" si="196"/>
        <v>0</v>
      </c>
      <c r="BO234" s="85">
        <f t="shared" si="197"/>
        <v>0</v>
      </c>
      <c r="BP234" s="85">
        <f t="shared" si="198"/>
        <v>0</v>
      </c>
      <c r="BQ234" s="85">
        <f t="shared" si="199"/>
        <v>0</v>
      </c>
      <c r="BR234" s="85">
        <f t="shared" si="200"/>
        <v>0</v>
      </c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3"/>
      <c r="CM234" s="63"/>
      <c r="CN234" s="63"/>
      <c r="CO234" s="63"/>
      <c r="CP234" s="63"/>
      <c r="CQ234" s="63"/>
      <c r="CR234" s="63"/>
      <c r="CS234" s="63"/>
      <c r="CX234" s="35" t="s">
        <v>12</v>
      </c>
      <c r="CZ234" s="35"/>
      <c r="DC234" s="57" t="str">
        <f t="shared" si="201"/>
        <v/>
      </c>
      <c r="DD234" s="64" t="str">
        <f t="shared" si="202"/>
        <v/>
      </c>
      <c r="DE234" s="65" t="str">
        <f t="shared" si="203"/>
        <v/>
      </c>
      <c r="DF234" s="66" t="str">
        <f t="shared" si="204"/>
        <v/>
      </c>
    </row>
    <row r="235" spans="2:110" hidden="1" outlineLevel="1">
      <c r="B235" s="54">
        <f t="shared" si="205"/>
        <v>44697</v>
      </c>
      <c r="C235" s="55" t="s">
        <v>1</v>
      </c>
      <c r="D235" s="56">
        <f t="shared" si="206"/>
        <v>44703</v>
      </c>
      <c r="E235" s="52">
        <f t="shared" si="207"/>
        <v>5</v>
      </c>
      <c r="F235" s="53">
        <f t="shared" si="208"/>
        <v>2022</v>
      </c>
      <c r="G235" s="62">
        <f t="shared" si="209"/>
        <v>15</v>
      </c>
      <c r="H235" s="63">
        <f t="shared" si="210"/>
        <v>96</v>
      </c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>
        <v>15</v>
      </c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80"/>
      <c r="AG235" s="87">
        <f t="shared" si="164"/>
        <v>0</v>
      </c>
      <c r="AH235" s="87">
        <f t="shared" si="165"/>
        <v>0</v>
      </c>
      <c r="AI235" s="87">
        <f t="shared" si="166"/>
        <v>0</v>
      </c>
      <c r="AJ235" s="87">
        <f t="shared" si="167"/>
        <v>0</v>
      </c>
      <c r="AK235" s="87">
        <f t="shared" si="168"/>
        <v>0</v>
      </c>
      <c r="AL235" s="87">
        <f t="shared" si="169"/>
        <v>0</v>
      </c>
      <c r="AM235" s="87">
        <f t="shared" si="170"/>
        <v>0</v>
      </c>
      <c r="AN235" s="87">
        <f t="shared" si="171"/>
        <v>0</v>
      </c>
      <c r="AO235" s="87">
        <f t="shared" si="172"/>
        <v>0</v>
      </c>
      <c r="AP235" s="87">
        <f t="shared" si="173"/>
        <v>0</v>
      </c>
      <c r="AQ235" s="87">
        <f t="shared" si="174"/>
        <v>15</v>
      </c>
      <c r="AR235" s="81"/>
      <c r="AS235" s="85">
        <f t="shared" si="175"/>
        <v>0</v>
      </c>
      <c r="AT235" s="85">
        <f t="shared" si="176"/>
        <v>0</v>
      </c>
      <c r="AU235" s="85">
        <f t="shared" si="177"/>
        <v>0</v>
      </c>
      <c r="AV235" s="85">
        <f t="shared" si="178"/>
        <v>0</v>
      </c>
      <c r="AW235" s="85">
        <f t="shared" si="179"/>
        <v>0</v>
      </c>
      <c r="AX235" s="85">
        <f t="shared" si="180"/>
        <v>0</v>
      </c>
      <c r="AY235" s="85">
        <f t="shared" si="181"/>
        <v>0</v>
      </c>
      <c r="AZ235" s="85">
        <f t="shared" si="182"/>
        <v>0</v>
      </c>
      <c r="BA235" s="85">
        <f t="shared" si="183"/>
        <v>0</v>
      </c>
      <c r="BB235" s="85">
        <f t="shared" si="184"/>
        <v>0</v>
      </c>
      <c r="BC235" s="85">
        <f t="shared" si="185"/>
        <v>0</v>
      </c>
      <c r="BD235" s="85">
        <f t="shared" si="186"/>
        <v>0</v>
      </c>
      <c r="BE235" s="85">
        <f t="shared" si="187"/>
        <v>0</v>
      </c>
      <c r="BF235" s="85">
        <f t="shared" si="188"/>
        <v>0</v>
      </c>
      <c r="BG235" s="85">
        <f t="shared" si="189"/>
        <v>0</v>
      </c>
      <c r="BH235" s="85">
        <f t="shared" si="190"/>
        <v>0</v>
      </c>
      <c r="BI235" s="85">
        <f t="shared" si="191"/>
        <v>0</v>
      </c>
      <c r="BJ235" s="85">
        <f t="shared" si="192"/>
        <v>0</v>
      </c>
      <c r="BK235" s="85">
        <f t="shared" si="193"/>
        <v>0</v>
      </c>
      <c r="BL235" s="85">
        <f t="shared" si="194"/>
        <v>0</v>
      </c>
      <c r="BM235" s="85">
        <f t="shared" si="195"/>
        <v>0</v>
      </c>
      <c r="BN235" s="85">
        <f t="shared" si="196"/>
        <v>0</v>
      </c>
      <c r="BO235" s="85">
        <f t="shared" si="197"/>
        <v>0</v>
      </c>
      <c r="BP235" s="85">
        <f t="shared" si="198"/>
        <v>0</v>
      </c>
      <c r="BQ235" s="85">
        <f t="shared" si="199"/>
        <v>0</v>
      </c>
      <c r="BR235" s="85">
        <f t="shared" si="200"/>
        <v>0</v>
      </c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3"/>
      <c r="CM235" s="63"/>
      <c r="CN235" s="63"/>
      <c r="CO235" s="63"/>
      <c r="CP235" s="63"/>
      <c r="CQ235" s="63"/>
      <c r="CR235" s="63"/>
      <c r="CS235" s="63"/>
      <c r="CX235" s="35" t="s">
        <v>12</v>
      </c>
      <c r="CZ235" s="35"/>
      <c r="DC235" s="57" t="str">
        <f t="shared" si="201"/>
        <v/>
      </c>
      <c r="DD235" s="64" t="str">
        <f t="shared" si="202"/>
        <v/>
      </c>
      <c r="DE235" s="65" t="str">
        <f t="shared" si="203"/>
        <v/>
      </c>
      <c r="DF235" s="66" t="str">
        <f t="shared" si="204"/>
        <v/>
      </c>
    </row>
    <row r="236" spans="2:110" hidden="1" outlineLevel="1">
      <c r="B236" s="54">
        <f t="shared" si="205"/>
        <v>44704</v>
      </c>
      <c r="C236" s="55" t="s">
        <v>1</v>
      </c>
      <c r="D236" s="56">
        <f t="shared" si="206"/>
        <v>44710</v>
      </c>
      <c r="E236" s="52">
        <f t="shared" si="207"/>
        <v>5</v>
      </c>
      <c r="F236" s="53">
        <f t="shared" si="208"/>
        <v>2022</v>
      </c>
      <c r="G236" s="62">
        <f t="shared" si="209"/>
        <v>15</v>
      </c>
      <c r="H236" s="63">
        <f t="shared" si="210"/>
        <v>96</v>
      </c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>
        <v>15</v>
      </c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80"/>
      <c r="AG236" s="87">
        <f t="shared" si="164"/>
        <v>0</v>
      </c>
      <c r="AH236" s="87">
        <f t="shared" si="165"/>
        <v>0</v>
      </c>
      <c r="AI236" s="87">
        <f t="shared" si="166"/>
        <v>0</v>
      </c>
      <c r="AJ236" s="87">
        <f t="shared" si="167"/>
        <v>0</v>
      </c>
      <c r="AK236" s="87">
        <f t="shared" si="168"/>
        <v>0</v>
      </c>
      <c r="AL236" s="87">
        <f t="shared" si="169"/>
        <v>0</v>
      </c>
      <c r="AM236" s="87">
        <f t="shared" si="170"/>
        <v>0</v>
      </c>
      <c r="AN236" s="87">
        <f t="shared" si="171"/>
        <v>0</v>
      </c>
      <c r="AO236" s="87">
        <f t="shared" si="172"/>
        <v>0</v>
      </c>
      <c r="AP236" s="87">
        <f t="shared" si="173"/>
        <v>0</v>
      </c>
      <c r="AQ236" s="87">
        <f t="shared" si="174"/>
        <v>15</v>
      </c>
      <c r="AR236" s="81"/>
      <c r="AS236" s="85">
        <f t="shared" si="175"/>
        <v>0</v>
      </c>
      <c r="AT236" s="85">
        <f t="shared" si="176"/>
        <v>0</v>
      </c>
      <c r="AU236" s="85">
        <f t="shared" si="177"/>
        <v>0</v>
      </c>
      <c r="AV236" s="85">
        <f t="shared" si="178"/>
        <v>0</v>
      </c>
      <c r="AW236" s="85">
        <f t="shared" si="179"/>
        <v>0</v>
      </c>
      <c r="AX236" s="85">
        <f t="shared" si="180"/>
        <v>0</v>
      </c>
      <c r="AY236" s="85">
        <f t="shared" si="181"/>
        <v>0</v>
      </c>
      <c r="AZ236" s="85">
        <f t="shared" si="182"/>
        <v>0</v>
      </c>
      <c r="BA236" s="85">
        <f t="shared" si="183"/>
        <v>0</v>
      </c>
      <c r="BB236" s="85">
        <f t="shared" si="184"/>
        <v>0</v>
      </c>
      <c r="BC236" s="85">
        <f t="shared" si="185"/>
        <v>0</v>
      </c>
      <c r="BD236" s="85">
        <f t="shared" si="186"/>
        <v>0</v>
      </c>
      <c r="BE236" s="85">
        <f t="shared" si="187"/>
        <v>0</v>
      </c>
      <c r="BF236" s="85">
        <f t="shared" si="188"/>
        <v>0</v>
      </c>
      <c r="BG236" s="85">
        <f t="shared" si="189"/>
        <v>0</v>
      </c>
      <c r="BH236" s="85">
        <f t="shared" si="190"/>
        <v>0</v>
      </c>
      <c r="BI236" s="85">
        <f t="shared" si="191"/>
        <v>0</v>
      </c>
      <c r="BJ236" s="85">
        <f t="shared" si="192"/>
        <v>0</v>
      </c>
      <c r="BK236" s="85">
        <f t="shared" si="193"/>
        <v>0</v>
      </c>
      <c r="BL236" s="85">
        <f t="shared" si="194"/>
        <v>0</v>
      </c>
      <c r="BM236" s="85">
        <f t="shared" si="195"/>
        <v>0</v>
      </c>
      <c r="BN236" s="85">
        <f t="shared" si="196"/>
        <v>0</v>
      </c>
      <c r="BO236" s="85">
        <f t="shared" si="197"/>
        <v>0</v>
      </c>
      <c r="BP236" s="85">
        <f t="shared" si="198"/>
        <v>0</v>
      </c>
      <c r="BQ236" s="85">
        <f t="shared" si="199"/>
        <v>0</v>
      </c>
      <c r="BR236" s="85">
        <f t="shared" si="200"/>
        <v>0</v>
      </c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3"/>
      <c r="CM236" s="63"/>
      <c r="CN236" s="63"/>
      <c r="CO236" s="63"/>
      <c r="CP236" s="63"/>
      <c r="CQ236" s="63"/>
      <c r="CR236" s="63"/>
      <c r="CS236" s="63"/>
      <c r="CX236" s="35" t="s">
        <v>12</v>
      </c>
      <c r="CZ236" s="35"/>
      <c r="DC236" s="57" t="str">
        <f t="shared" si="201"/>
        <v/>
      </c>
      <c r="DD236" s="64" t="str">
        <f t="shared" si="202"/>
        <v/>
      </c>
      <c r="DE236" s="65" t="str">
        <f t="shared" si="203"/>
        <v/>
      </c>
      <c r="DF236" s="66" t="str">
        <f t="shared" si="204"/>
        <v/>
      </c>
    </row>
    <row r="237" spans="2:110" hidden="1" outlineLevel="1">
      <c r="B237" s="54">
        <f t="shared" si="205"/>
        <v>44711</v>
      </c>
      <c r="C237" s="55" t="s">
        <v>1</v>
      </c>
      <c r="D237" s="56">
        <f t="shared" si="206"/>
        <v>44717</v>
      </c>
      <c r="E237" s="52">
        <f t="shared" si="207"/>
        <v>5</v>
      </c>
      <c r="F237" s="53">
        <f t="shared" si="208"/>
        <v>2022</v>
      </c>
      <c r="G237" s="62">
        <f t="shared" si="209"/>
        <v>15</v>
      </c>
      <c r="H237" s="63">
        <f t="shared" si="210"/>
        <v>96</v>
      </c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>
        <v>15</v>
      </c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80"/>
      <c r="AG237" s="87">
        <f t="shared" si="164"/>
        <v>0</v>
      </c>
      <c r="AH237" s="87">
        <f t="shared" si="165"/>
        <v>0</v>
      </c>
      <c r="AI237" s="87">
        <f t="shared" si="166"/>
        <v>0</v>
      </c>
      <c r="AJ237" s="87">
        <f t="shared" si="167"/>
        <v>0</v>
      </c>
      <c r="AK237" s="87">
        <f t="shared" si="168"/>
        <v>0</v>
      </c>
      <c r="AL237" s="87">
        <f t="shared" si="169"/>
        <v>0</v>
      </c>
      <c r="AM237" s="87">
        <f t="shared" si="170"/>
        <v>0</v>
      </c>
      <c r="AN237" s="87">
        <f t="shared" si="171"/>
        <v>0</v>
      </c>
      <c r="AO237" s="87">
        <f t="shared" si="172"/>
        <v>0</v>
      </c>
      <c r="AP237" s="87">
        <f t="shared" si="173"/>
        <v>0</v>
      </c>
      <c r="AQ237" s="87">
        <f t="shared" si="174"/>
        <v>15</v>
      </c>
      <c r="AR237" s="81"/>
      <c r="AS237" s="85">
        <f t="shared" si="175"/>
        <v>0</v>
      </c>
      <c r="AT237" s="85">
        <f t="shared" si="176"/>
        <v>0</v>
      </c>
      <c r="AU237" s="85">
        <f t="shared" si="177"/>
        <v>0</v>
      </c>
      <c r="AV237" s="85">
        <f t="shared" si="178"/>
        <v>0</v>
      </c>
      <c r="AW237" s="85">
        <f t="shared" si="179"/>
        <v>0</v>
      </c>
      <c r="AX237" s="85">
        <f t="shared" si="180"/>
        <v>0</v>
      </c>
      <c r="AY237" s="85">
        <f t="shared" si="181"/>
        <v>0</v>
      </c>
      <c r="AZ237" s="85">
        <f t="shared" si="182"/>
        <v>0</v>
      </c>
      <c r="BA237" s="85">
        <f t="shared" si="183"/>
        <v>0</v>
      </c>
      <c r="BB237" s="85">
        <f t="shared" si="184"/>
        <v>0</v>
      </c>
      <c r="BC237" s="85">
        <f t="shared" si="185"/>
        <v>0</v>
      </c>
      <c r="BD237" s="85">
        <f t="shared" si="186"/>
        <v>0</v>
      </c>
      <c r="BE237" s="85">
        <f t="shared" si="187"/>
        <v>0</v>
      </c>
      <c r="BF237" s="85">
        <f t="shared" si="188"/>
        <v>0</v>
      </c>
      <c r="BG237" s="85">
        <f t="shared" si="189"/>
        <v>0</v>
      </c>
      <c r="BH237" s="85">
        <f t="shared" si="190"/>
        <v>0</v>
      </c>
      <c r="BI237" s="85">
        <f t="shared" si="191"/>
        <v>0</v>
      </c>
      <c r="BJ237" s="85">
        <f t="shared" si="192"/>
        <v>0</v>
      </c>
      <c r="BK237" s="85">
        <f t="shared" si="193"/>
        <v>0</v>
      </c>
      <c r="BL237" s="85">
        <f t="shared" si="194"/>
        <v>0</v>
      </c>
      <c r="BM237" s="85">
        <f t="shared" si="195"/>
        <v>0</v>
      </c>
      <c r="BN237" s="85">
        <f t="shared" si="196"/>
        <v>0</v>
      </c>
      <c r="BO237" s="85">
        <f t="shared" si="197"/>
        <v>0</v>
      </c>
      <c r="BP237" s="85">
        <f t="shared" si="198"/>
        <v>0</v>
      </c>
      <c r="BQ237" s="85">
        <f t="shared" si="199"/>
        <v>0</v>
      </c>
      <c r="BR237" s="85">
        <f t="shared" si="200"/>
        <v>0</v>
      </c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3"/>
      <c r="CM237" s="63"/>
      <c r="CN237" s="63"/>
      <c r="CO237" s="63"/>
      <c r="CP237" s="63"/>
      <c r="CQ237" s="63"/>
      <c r="CR237" s="63"/>
      <c r="CS237" s="63"/>
      <c r="CX237" s="35" t="s">
        <v>12</v>
      </c>
      <c r="CZ237" s="35"/>
      <c r="DC237" s="57" t="str">
        <f t="shared" si="201"/>
        <v/>
      </c>
      <c r="DD237" s="64" t="str">
        <f t="shared" si="202"/>
        <v/>
      </c>
      <c r="DE237" s="65" t="str">
        <f t="shared" si="203"/>
        <v/>
      </c>
      <c r="DF237" s="66" t="str">
        <f t="shared" si="204"/>
        <v/>
      </c>
    </row>
    <row r="238" spans="2:110" hidden="1" outlineLevel="1">
      <c r="B238" s="54">
        <f t="shared" si="205"/>
        <v>44718</v>
      </c>
      <c r="C238" s="55" t="s">
        <v>1</v>
      </c>
      <c r="D238" s="56">
        <f t="shared" si="206"/>
        <v>44724</v>
      </c>
      <c r="E238" s="52">
        <f t="shared" si="207"/>
        <v>6</v>
      </c>
      <c r="F238" s="53">
        <f t="shared" si="208"/>
        <v>2022</v>
      </c>
      <c r="G238" s="62">
        <f t="shared" si="209"/>
        <v>15</v>
      </c>
      <c r="H238" s="63">
        <f t="shared" si="210"/>
        <v>96</v>
      </c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>
        <v>15</v>
      </c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80"/>
      <c r="AG238" s="87">
        <f t="shared" si="164"/>
        <v>0</v>
      </c>
      <c r="AH238" s="87">
        <f t="shared" si="165"/>
        <v>0</v>
      </c>
      <c r="AI238" s="87">
        <f t="shared" si="166"/>
        <v>0</v>
      </c>
      <c r="AJ238" s="87">
        <f t="shared" si="167"/>
        <v>0</v>
      </c>
      <c r="AK238" s="87">
        <f t="shared" si="168"/>
        <v>0</v>
      </c>
      <c r="AL238" s="87">
        <f t="shared" si="169"/>
        <v>0</v>
      </c>
      <c r="AM238" s="87">
        <f t="shared" si="170"/>
        <v>0</v>
      </c>
      <c r="AN238" s="87">
        <f t="shared" si="171"/>
        <v>0</v>
      </c>
      <c r="AO238" s="87">
        <f t="shared" si="172"/>
        <v>0</v>
      </c>
      <c r="AP238" s="87">
        <f t="shared" si="173"/>
        <v>0</v>
      </c>
      <c r="AQ238" s="87">
        <f t="shared" si="174"/>
        <v>15</v>
      </c>
      <c r="AR238" s="81"/>
      <c r="AS238" s="85">
        <f t="shared" si="175"/>
        <v>0</v>
      </c>
      <c r="AT238" s="85">
        <f t="shared" si="176"/>
        <v>0</v>
      </c>
      <c r="AU238" s="85">
        <f t="shared" si="177"/>
        <v>0</v>
      </c>
      <c r="AV238" s="85">
        <f t="shared" si="178"/>
        <v>0</v>
      </c>
      <c r="AW238" s="85">
        <f t="shared" si="179"/>
        <v>0</v>
      </c>
      <c r="AX238" s="85">
        <f t="shared" si="180"/>
        <v>0</v>
      </c>
      <c r="AY238" s="85">
        <f t="shared" si="181"/>
        <v>0</v>
      </c>
      <c r="AZ238" s="85">
        <f t="shared" si="182"/>
        <v>0</v>
      </c>
      <c r="BA238" s="85">
        <f t="shared" si="183"/>
        <v>0</v>
      </c>
      <c r="BB238" s="85">
        <f t="shared" si="184"/>
        <v>0</v>
      </c>
      <c r="BC238" s="85">
        <f t="shared" si="185"/>
        <v>0</v>
      </c>
      <c r="BD238" s="85">
        <f t="shared" si="186"/>
        <v>0</v>
      </c>
      <c r="BE238" s="85">
        <f t="shared" si="187"/>
        <v>0</v>
      </c>
      <c r="BF238" s="85">
        <f t="shared" si="188"/>
        <v>0</v>
      </c>
      <c r="BG238" s="85">
        <f t="shared" si="189"/>
        <v>0</v>
      </c>
      <c r="BH238" s="85">
        <f t="shared" si="190"/>
        <v>0</v>
      </c>
      <c r="BI238" s="85">
        <f t="shared" si="191"/>
        <v>0</v>
      </c>
      <c r="BJ238" s="85">
        <f t="shared" si="192"/>
        <v>0</v>
      </c>
      <c r="BK238" s="85">
        <f t="shared" si="193"/>
        <v>0</v>
      </c>
      <c r="BL238" s="85">
        <f t="shared" si="194"/>
        <v>0</v>
      </c>
      <c r="BM238" s="85">
        <f t="shared" si="195"/>
        <v>0</v>
      </c>
      <c r="BN238" s="85">
        <f t="shared" si="196"/>
        <v>0</v>
      </c>
      <c r="BO238" s="85">
        <f t="shared" si="197"/>
        <v>0</v>
      </c>
      <c r="BP238" s="85">
        <f t="shared" si="198"/>
        <v>0</v>
      </c>
      <c r="BQ238" s="85">
        <f t="shared" si="199"/>
        <v>0</v>
      </c>
      <c r="BR238" s="85">
        <f t="shared" si="200"/>
        <v>0</v>
      </c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3"/>
      <c r="CM238" s="63"/>
      <c r="CN238" s="63"/>
      <c r="CO238" s="63"/>
      <c r="CP238" s="63"/>
      <c r="CQ238" s="63"/>
      <c r="CR238" s="63"/>
      <c r="CS238" s="63"/>
      <c r="CW238">
        <v>12</v>
      </c>
      <c r="CX238" s="35">
        <v>44718</v>
      </c>
      <c r="CZ238" s="35">
        <f>B255</f>
        <v>44837</v>
      </c>
      <c r="DA238">
        <v>98</v>
      </c>
      <c r="DC238" s="57" t="str">
        <f t="shared" si="201"/>
        <v/>
      </c>
      <c r="DD238" s="64" t="str">
        <f t="shared" si="202"/>
        <v/>
      </c>
      <c r="DE238" s="65" t="str">
        <f t="shared" si="203"/>
        <v/>
      </c>
      <c r="DF238" s="66" t="str">
        <f t="shared" si="204"/>
        <v/>
      </c>
    </row>
    <row r="239" spans="2:110" hidden="1" outlineLevel="1">
      <c r="B239" s="54">
        <f t="shared" si="205"/>
        <v>44725</v>
      </c>
      <c r="C239" s="55" t="s">
        <v>1</v>
      </c>
      <c r="D239" s="56">
        <f t="shared" si="206"/>
        <v>44731</v>
      </c>
      <c r="E239" s="52">
        <f t="shared" si="207"/>
        <v>6</v>
      </c>
      <c r="F239" s="53">
        <f t="shared" si="208"/>
        <v>2022</v>
      </c>
      <c r="G239" s="62">
        <f t="shared" si="209"/>
        <v>15</v>
      </c>
      <c r="H239" s="63">
        <f t="shared" si="210"/>
        <v>96</v>
      </c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>
        <v>15</v>
      </c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80"/>
      <c r="AG239" s="87">
        <f t="shared" si="164"/>
        <v>0</v>
      </c>
      <c r="AH239" s="87">
        <f t="shared" si="165"/>
        <v>0</v>
      </c>
      <c r="AI239" s="87">
        <f t="shared" si="166"/>
        <v>0</v>
      </c>
      <c r="AJ239" s="87">
        <f t="shared" si="167"/>
        <v>0</v>
      </c>
      <c r="AK239" s="87">
        <f t="shared" si="168"/>
        <v>0</v>
      </c>
      <c r="AL239" s="87">
        <f t="shared" si="169"/>
        <v>0</v>
      </c>
      <c r="AM239" s="87">
        <f t="shared" si="170"/>
        <v>0</v>
      </c>
      <c r="AN239" s="87">
        <f t="shared" si="171"/>
        <v>0</v>
      </c>
      <c r="AO239" s="87">
        <f t="shared" si="172"/>
        <v>0</v>
      </c>
      <c r="AP239" s="87">
        <f t="shared" si="173"/>
        <v>0</v>
      </c>
      <c r="AQ239" s="87">
        <f t="shared" si="174"/>
        <v>15</v>
      </c>
      <c r="AR239" s="81"/>
      <c r="AS239" s="85">
        <f t="shared" si="175"/>
        <v>0</v>
      </c>
      <c r="AT239" s="85">
        <f t="shared" si="176"/>
        <v>0</v>
      </c>
      <c r="AU239" s="85">
        <f t="shared" si="177"/>
        <v>0</v>
      </c>
      <c r="AV239" s="85">
        <f t="shared" si="178"/>
        <v>0</v>
      </c>
      <c r="AW239" s="85">
        <f t="shared" si="179"/>
        <v>0</v>
      </c>
      <c r="AX239" s="85">
        <f t="shared" si="180"/>
        <v>0</v>
      </c>
      <c r="AY239" s="85">
        <f t="shared" si="181"/>
        <v>0</v>
      </c>
      <c r="AZ239" s="85">
        <f t="shared" si="182"/>
        <v>0</v>
      </c>
      <c r="BA239" s="85">
        <f t="shared" si="183"/>
        <v>0</v>
      </c>
      <c r="BB239" s="85">
        <f t="shared" si="184"/>
        <v>0</v>
      </c>
      <c r="BC239" s="85">
        <f t="shared" si="185"/>
        <v>0</v>
      </c>
      <c r="BD239" s="85">
        <f t="shared" si="186"/>
        <v>0</v>
      </c>
      <c r="BE239" s="85">
        <f t="shared" si="187"/>
        <v>0</v>
      </c>
      <c r="BF239" s="85">
        <f t="shared" si="188"/>
        <v>0</v>
      </c>
      <c r="BG239" s="85">
        <f t="shared" si="189"/>
        <v>0</v>
      </c>
      <c r="BH239" s="85">
        <f t="shared" si="190"/>
        <v>0</v>
      </c>
      <c r="BI239" s="85">
        <f t="shared" si="191"/>
        <v>0</v>
      </c>
      <c r="BJ239" s="85">
        <f t="shared" si="192"/>
        <v>0</v>
      </c>
      <c r="BK239" s="85">
        <f t="shared" si="193"/>
        <v>0</v>
      </c>
      <c r="BL239" s="85">
        <f t="shared" si="194"/>
        <v>0</v>
      </c>
      <c r="BM239" s="85">
        <f t="shared" si="195"/>
        <v>0</v>
      </c>
      <c r="BN239" s="85">
        <f t="shared" si="196"/>
        <v>0</v>
      </c>
      <c r="BO239" s="85">
        <f t="shared" si="197"/>
        <v>0</v>
      </c>
      <c r="BP239" s="85">
        <f t="shared" si="198"/>
        <v>0</v>
      </c>
      <c r="BQ239" s="85">
        <f t="shared" si="199"/>
        <v>0</v>
      </c>
      <c r="BR239" s="85">
        <f t="shared" si="200"/>
        <v>0</v>
      </c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X239" s="35" t="s">
        <v>12</v>
      </c>
      <c r="CZ239" s="35"/>
      <c r="DC239" s="57" t="str">
        <f t="shared" si="201"/>
        <v/>
      </c>
      <c r="DD239" s="64" t="str">
        <f t="shared" si="202"/>
        <v/>
      </c>
      <c r="DE239" s="65" t="str">
        <f t="shared" si="203"/>
        <v/>
      </c>
      <c r="DF239" s="66" t="str">
        <f t="shared" si="204"/>
        <v/>
      </c>
    </row>
    <row r="240" spans="2:110" hidden="1" outlineLevel="1">
      <c r="B240" s="54">
        <f t="shared" si="205"/>
        <v>44732</v>
      </c>
      <c r="C240" s="55" t="s">
        <v>1</v>
      </c>
      <c r="D240" s="56">
        <f t="shared" si="206"/>
        <v>44738</v>
      </c>
      <c r="E240" s="52">
        <f t="shared" si="207"/>
        <v>6</v>
      </c>
      <c r="F240" s="53">
        <f t="shared" si="208"/>
        <v>2022</v>
      </c>
      <c r="G240" s="62">
        <f t="shared" si="209"/>
        <v>15</v>
      </c>
      <c r="H240" s="63">
        <f t="shared" si="210"/>
        <v>96</v>
      </c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>
        <v>15</v>
      </c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80"/>
      <c r="AG240" s="87">
        <f t="shared" si="164"/>
        <v>0</v>
      </c>
      <c r="AH240" s="87">
        <f t="shared" si="165"/>
        <v>0</v>
      </c>
      <c r="AI240" s="87">
        <f t="shared" si="166"/>
        <v>0</v>
      </c>
      <c r="AJ240" s="87">
        <f t="shared" si="167"/>
        <v>0</v>
      </c>
      <c r="AK240" s="87">
        <f t="shared" si="168"/>
        <v>0</v>
      </c>
      <c r="AL240" s="87">
        <f t="shared" si="169"/>
        <v>0</v>
      </c>
      <c r="AM240" s="87">
        <f t="shared" si="170"/>
        <v>0</v>
      </c>
      <c r="AN240" s="87">
        <f t="shared" si="171"/>
        <v>0</v>
      </c>
      <c r="AO240" s="87">
        <f t="shared" si="172"/>
        <v>0</v>
      </c>
      <c r="AP240" s="87">
        <f t="shared" si="173"/>
        <v>0</v>
      </c>
      <c r="AQ240" s="87">
        <f t="shared" si="174"/>
        <v>15</v>
      </c>
      <c r="AR240" s="81"/>
      <c r="AS240" s="85">
        <f t="shared" si="175"/>
        <v>0</v>
      </c>
      <c r="AT240" s="85">
        <f t="shared" si="176"/>
        <v>0</v>
      </c>
      <c r="AU240" s="85">
        <f t="shared" si="177"/>
        <v>0</v>
      </c>
      <c r="AV240" s="85">
        <f t="shared" si="178"/>
        <v>0</v>
      </c>
      <c r="AW240" s="85">
        <f t="shared" si="179"/>
        <v>0</v>
      </c>
      <c r="AX240" s="85">
        <f t="shared" si="180"/>
        <v>0</v>
      </c>
      <c r="AY240" s="85">
        <f t="shared" si="181"/>
        <v>0</v>
      </c>
      <c r="AZ240" s="85">
        <f t="shared" si="182"/>
        <v>0</v>
      </c>
      <c r="BA240" s="85">
        <f t="shared" si="183"/>
        <v>0</v>
      </c>
      <c r="BB240" s="85">
        <f t="shared" si="184"/>
        <v>0</v>
      </c>
      <c r="BC240" s="85">
        <f t="shared" si="185"/>
        <v>0</v>
      </c>
      <c r="BD240" s="85">
        <f t="shared" si="186"/>
        <v>0</v>
      </c>
      <c r="BE240" s="85">
        <f t="shared" si="187"/>
        <v>0</v>
      </c>
      <c r="BF240" s="85">
        <f t="shared" si="188"/>
        <v>0</v>
      </c>
      <c r="BG240" s="85">
        <f t="shared" si="189"/>
        <v>0</v>
      </c>
      <c r="BH240" s="85">
        <f t="shared" si="190"/>
        <v>0</v>
      </c>
      <c r="BI240" s="85">
        <f t="shared" si="191"/>
        <v>0</v>
      </c>
      <c r="BJ240" s="85">
        <f t="shared" si="192"/>
        <v>0</v>
      </c>
      <c r="BK240" s="85">
        <f t="shared" si="193"/>
        <v>0</v>
      </c>
      <c r="BL240" s="85">
        <f t="shared" si="194"/>
        <v>0</v>
      </c>
      <c r="BM240" s="85">
        <f t="shared" si="195"/>
        <v>0</v>
      </c>
      <c r="BN240" s="85">
        <f t="shared" si="196"/>
        <v>0</v>
      </c>
      <c r="BO240" s="85">
        <f t="shared" si="197"/>
        <v>0</v>
      </c>
      <c r="BP240" s="85">
        <f t="shared" si="198"/>
        <v>0</v>
      </c>
      <c r="BQ240" s="85">
        <f t="shared" si="199"/>
        <v>0</v>
      </c>
      <c r="BR240" s="85">
        <f t="shared" si="200"/>
        <v>0</v>
      </c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3"/>
      <c r="CM240" s="63"/>
      <c r="CN240" s="63"/>
      <c r="CO240" s="63"/>
      <c r="CP240" s="63"/>
      <c r="CQ240" s="63"/>
      <c r="CR240" s="63"/>
      <c r="CS240" s="63"/>
      <c r="CX240" s="35" t="s">
        <v>12</v>
      </c>
      <c r="CZ240" s="35"/>
      <c r="DC240" s="57" t="str">
        <f t="shared" si="201"/>
        <v/>
      </c>
      <c r="DD240" s="64" t="str">
        <f t="shared" si="202"/>
        <v/>
      </c>
      <c r="DE240" s="65" t="str">
        <f t="shared" si="203"/>
        <v/>
      </c>
      <c r="DF240" s="66" t="str">
        <f t="shared" si="204"/>
        <v/>
      </c>
    </row>
    <row r="241" spans="2:110" hidden="1" outlineLevel="1">
      <c r="B241" s="54">
        <f t="shared" si="205"/>
        <v>44739</v>
      </c>
      <c r="C241" s="55" t="s">
        <v>1</v>
      </c>
      <c r="D241" s="56">
        <f t="shared" si="206"/>
        <v>44745</v>
      </c>
      <c r="E241" s="52">
        <f t="shared" si="207"/>
        <v>6</v>
      </c>
      <c r="F241" s="53">
        <f t="shared" si="208"/>
        <v>2022</v>
      </c>
      <c r="G241" s="62">
        <f t="shared" si="209"/>
        <v>15</v>
      </c>
      <c r="H241" s="63">
        <f t="shared" si="210"/>
        <v>96</v>
      </c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>
        <v>15</v>
      </c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80"/>
      <c r="AG241" s="87">
        <f t="shared" si="164"/>
        <v>0</v>
      </c>
      <c r="AH241" s="87">
        <f t="shared" si="165"/>
        <v>0</v>
      </c>
      <c r="AI241" s="87">
        <f t="shared" si="166"/>
        <v>0</v>
      </c>
      <c r="AJ241" s="87">
        <f t="shared" si="167"/>
        <v>0</v>
      </c>
      <c r="AK241" s="87">
        <f t="shared" si="168"/>
        <v>0</v>
      </c>
      <c r="AL241" s="87">
        <f t="shared" si="169"/>
        <v>0</v>
      </c>
      <c r="AM241" s="87">
        <f t="shared" si="170"/>
        <v>0</v>
      </c>
      <c r="AN241" s="87">
        <f t="shared" si="171"/>
        <v>0</v>
      </c>
      <c r="AO241" s="87">
        <f t="shared" si="172"/>
        <v>0</v>
      </c>
      <c r="AP241" s="87">
        <f t="shared" si="173"/>
        <v>0</v>
      </c>
      <c r="AQ241" s="87">
        <f t="shared" si="174"/>
        <v>15</v>
      </c>
      <c r="AR241" s="81"/>
      <c r="AS241" s="85">
        <f t="shared" si="175"/>
        <v>0</v>
      </c>
      <c r="AT241" s="85">
        <f t="shared" si="176"/>
        <v>0</v>
      </c>
      <c r="AU241" s="85">
        <f t="shared" si="177"/>
        <v>0</v>
      </c>
      <c r="AV241" s="85">
        <f t="shared" si="178"/>
        <v>0</v>
      </c>
      <c r="AW241" s="85">
        <f t="shared" si="179"/>
        <v>0</v>
      </c>
      <c r="AX241" s="85">
        <f t="shared" si="180"/>
        <v>0</v>
      </c>
      <c r="AY241" s="85">
        <f t="shared" si="181"/>
        <v>0</v>
      </c>
      <c r="AZ241" s="85">
        <f t="shared" si="182"/>
        <v>0</v>
      </c>
      <c r="BA241" s="85">
        <f t="shared" si="183"/>
        <v>0</v>
      </c>
      <c r="BB241" s="85">
        <f t="shared" si="184"/>
        <v>0</v>
      </c>
      <c r="BC241" s="85">
        <f t="shared" si="185"/>
        <v>0</v>
      </c>
      <c r="BD241" s="85">
        <f t="shared" si="186"/>
        <v>0</v>
      </c>
      <c r="BE241" s="85">
        <f t="shared" si="187"/>
        <v>0</v>
      </c>
      <c r="BF241" s="85">
        <f t="shared" si="188"/>
        <v>0</v>
      </c>
      <c r="BG241" s="85">
        <f t="shared" si="189"/>
        <v>0</v>
      </c>
      <c r="BH241" s="85">
        <f t="shared" si="190"/>
        <v>0</v>
      </c>
      <c r="BI241" s="85">
        <f t="shared" si="191"/>
        <v>0</v>
      </c>
      <c r="BJ241" s="85">
        <f t="shared" si="192"/>
        <v>0</v>
      </c>
      <c r="BK241" s="85">
        <f t="shared" si="193"/>
        <v>0</v>
      </c>
      <c r="BL241" s="85">
        <f t="shared" si="194"/>
        <v>0</v>
      </c>
      <c r="BM241" s="85">
        <f t="shared" si="195"/>
        <v>0</v>
      </c>
      <c r="BN241" s="85">
        <f t="shared" si="196"/>
        <v>0</v>
      </c>
      <c r="BO241" s="85">
        <f t="shared" si="197"/>
        <v>0</v>
      </c>
      <c r="BP241" s="85">
        <f t="shared" si="198"/>
        <v>0</v>
      </c>
      <c r="BQ241" s="85">
        <f t="shared" si="199"/>
        <v>0</v>
      </c>
      <c r="BR241" s="85">
        <f t="shared" si="200"/>
        <v>0</v>
      </c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X241" s="35" t="s">
        <v>12</v>
      </c>
      <c r="CZ241" s="35"/>
      <c r="DC241" s="57" t="str">
        <f t="shared" si="201"/>
        <v/>
      </c>
      <c r="DD241" s="64" t="str">
        <f t="shared" si="202"/>
        <v/>
      </c>
      <c r="DE241" s="65" t="str">
        <f t="shared" si="203"/>
        <v/>
      </c>
      <c r="DF241" s="66" t="str">
        <f t="shared" si="204"/>
        <v/>
      </c>
    </row>
    <row r="242" spans="2:110" hidden="1" outlineLevel="1">
      <c r="B242" s="54">
        <f t="shared" si="205"/>
        <v>44746</v>
      </c>
      <c r="C242" s="55" t="s">
        <v>1</v>
      </c>
      <c r="D242" s="56">
        <f t="shared" si="206"/>
        <v>44752</v>
      </c>
      <c r="E242" s="52">
        <f t="shared" si="207"/>
        <v>7</v>
      </c>
      <c r="F242" s="53">
        <f t="shared" si="208"/>
        <v>2022</v>
      </c>
      <c r="G242" s="62">
        <f t="shared" si="209"/>
        <v>15</v>
      </c>
      <c r="H242" s="63">
        <f t="shared" si="210"/>
        <v>96</v>
      </c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>
        <v>15</v>
      </c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80"/>
      <c r="AG242" s="87">
        <f t="shared" si="164"/>
        <v>0</v>
      </c>
      <c r="AH242" s="87">
        <f t="shared" si="165"/>
        <v>0</v>
      </c>
      <c r="AI242" s="87">
        <f t="shared" si="166"/>
        <v>0</v>
      </c>
      <c r="AJ242" s="87">
        <f t="shared" si="167"/>
        <v>0</v>
      </c>
      <c r="AK242" s="87">
        <f t="shared" si="168"/>
        <v>0</v>
      </c>
      <c r="AL242" s="87">
        <f t="shared" si="169"/>
        <v>0</v>
      </c>
      <c r="AM242" s="87">
        <f t="shared" si="170"/>
        <v>0</v>
      </c>
      <c r="AN242" s="87">
        <f t="shared" si="171"/>
        <v>0</v>
      </c>
      <c r="AO242" s="87">
        <f t="shared" si="172"/>
        <v>0</v>
      </c>
      <c r="AP242" s="87">
        <f t="shared" si="173"/>
        <v>0</v>
      </c>
      <c r="AQ242" s="87">
        <f t="shared" si="174"/>
        <v>15</v>
      </c>
      <c r="AR242" s="81"/>
      <c r="AS242" s="85">
        <f t="shared" si="175"/>
        <v>0</v>
      </c>
      <c r="AT242" s="85">
        <f t="shared" si="176"/>
        <v>0</v>
      </c>
      <c r="AU242" s="85">
        <f t="shared" si="177"/>
        <v>0</v>
      </c>
      <c r="AV242" s="85">
        <f t="shared" si="178"/>
        <v>0</v>
      </c>
      <c r="AW242" s="85">
        <f t="shared" si="179"/>
        <v>0</v>
      </c>
      <c r="AX242" s="85">
        <f t="shared" si="180"/>
        <v>0</v>
      </c>
      <c r="AY242" s="85">
        <f t="shared" si="181"/>
        <v>0</v>
      </c>
      <c r="AZ242" s="85">
        <f t="shared" si="182"/>
        <v>0</v>
      </c>
      <c r="BA242" s="85">
        <f t="shared" si="183"/>
        <v>0</v>
      </c>
      <c r="BB242" s="85">
        <f t="shared" si="184"/>
        <v>0</v>
      </c>
      <c r="BC242" s="85">
        <f t="shared" si="185"/>
        <v>0</v>
      </c>
      <c r="BD242" s="85">
        <f t="shared" si="186"/>
        <v>0</v>
      </c>
      <c r="BE242" s="85">
        <f t="shared" si="187"/>
        <v>0</v>
      </c>
      <c r="BF242" s="85">
        <f t="shared" si="188"/>
        <v>0</v>
      </c>
      <c r="BG242" s="85">
        <f t="shared" si="189"/>
        <v>0</v>
      </c>
      <c r="BH242" s="85">
        <f t="shared" si="190"/>
        <v>0</v>
      </c>
      <c r="BI242" s="85">
        <f t="shared" si="191"/>
        <v>0</v>
      </c>
      <c r="BJ242" s="85">
        <f t="shared" si="192"/>
        <v>0</v>
      </c>
      <c r="BK242" s="85">
        <f t="shared" si="193"/>
        <v>0</v>
      </c>
      <c r="BL242" s="85">
        <f t="shared" si="194"/>
        <v>0</v>
      </c>
      <c r="BM242" s="85">
        <f t="shared" si="195"/>
        <v>0</v>
      </c>
      <c r="BN242" s="85">
        <f t="shared" si="196"/>
        <v>0</v>
      </c>
      <c r="BO242" s="85">
        <f t="shared" si="197"/>
        <v>0</v>
      </c>
      <c r="BP242" s="85">
        <f t="shared" si="198"/>
        <v>0</v>
      </c>
      <c r="BQ242" s="85">
        <f t="shared" si="199"/>
        <v>0</v>
      </c>
      <c r="BR242" s="85">
        <f t="shared" si="200"/>
        <v>0</v>
      </c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X242" s="35" t="s">
        <v>12</v>
      </c>
      <c r="CZ242" s="35"/>
      <c r="DC242" s="57" t="str">
        <f t="shared" si="201"/>
        <v/>
      </c>
      <c r="DD242" s="64" t="str">
        <f t="shared" si="202"/>
        <v/>
      </c>
      <c r="DE242" s="65" t="str">
        <f t="shared" si="203"/>
        <v/>
      </c>
      <c r="DF242" s="66" t="str">
        <f t="shared" si="204"/>
        <v/>
      </c>
    </row>
    <row r="243" spans="2:110" hidden="1" outlineLevel="1">
      <c r="B243" s="54">
        <f t="shared" si="205"/>
        <v>44753</v>
      </c>
      <c r="C243" s="55" t="s">
        <v>1</v>
      </c>
      <c r="D243" s="56">
        <f t="shared" si="206"/>
        <v>44759</v>
      </c>
      <c r="E243" s="52">
        <f t="shared" si="207"/>
        <v>7</v>
      </c>
      <c r="F243" s="53">
        <f t="shared" si="208"/>
        <v>2022</v>
      </c>
      <c r="G243" s="62">
        <f t="shared" si="209"/>
        <v>15</v>
      </c>
      <c r="H243" s="63">
        <f t="shared" si="210"/>
        <v>96</v>
      </c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>
        <v>15</v>
      </c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80"/>
      <c r="AG243" s="87">
        <f t="shared" si="164"/>
        <v>0</v>
      </c>
      <c r="AH243" s="87">
        <f t="shared" si="165"/>
        <v>0</v>
      </c>
      <c r="AI243" s="87">
        <f t="shared" si="166"/>
        <v>0</v>
      </c>
      <c r="AJ243" s="87">
        <f t="shared" si="167"/>
        <v>0</v>
      </c>
      <c r="AK243" s="87">
        <f t="shared" si="168"/>
        <v>0</v>
      </c>
      <c r="AL243" s="87">
        <f t="shared" si="169"/>
        <v>0</v>
      </c>
      <c r="AM243" s="87">
        <f t="shared" si="170"/>
        <v>0</v>
      </c>
      <c r="AN243" s="87">
        <f t="shared" si="171"/>
        <v>0</v>
      </c>
      <c r="AO243" s="87">
        <f t="shared" si="172"/>
        <v>0</v>
      </c>
      <c r="AP243" s="87">
        <f t="shared" si="173"/>
        <v>0</v>
      </c>
      <c r="AQ243" s="87">
        <f t="shared" si="174"/>
        <v>15</v>
      </c>
      <c r="AR243" s="81"/>
      <c r="AS243" s="85">
        <f t="shared" si="175"/>
        <v>0</v>
      </c>
      <c r="AT243" s="85">
        <f t="shared" si="176"/>
        <v>0</v>
      </c>
      <c r="AU243" s="85">
        <f t="shared" si="177"/>
        <v>0</v>
      </c>
      <c r="AV243" s="85">
        <f t="shared" si="178"/>
        <v>0</v>
      </c>
      <c r="AW243" s="85">
        <f t="shared" si="179"/>
        <v>0</v>
      </c>
      <c r="AX243" s="85">
        <f t="shared" si="180"/>
        <v>0</v>
      </c>
      <c r="AY243" s="85">
        <f t="shared" si="181"/>
        <v>0</v>
      </c>
      <c r="AZ243" s="85">
        <f t="shared" si="182"/>
        <v>0</v>
      </c>
      <c r="BA243" s="85">
        <f t="shared" si="183"/>
        <v>0</v>
      </c>
      <c r="BB243" s="85">
        <f t="shared" si="184"/>
        <v>0</v>
      </c>
      <c r="BC243" s="85">
        <f t="shared" si="185"/>
        <v>0</v>
      </c>
      <c r="BD243" s="85">
        <f t="shared" si="186"/>
        <v>0</v>
      </c>
      <c r="BE243" s="85">
        <f t="shared" si="187"/>
        <v>0</v>
      </c>
      <c r="BF243" s="85">
        <f t="shared" si="188"/>
        <v>0</v>
      </c>
      <c r="BG243" s="85">
        <f t="shared" si="189"/>
        <v>0</v>
      </c>
      <c r="BH243" s="85">
        <f t="shared" si="190"/>
        <v>0</v>
      </c>
      <c r="BI243" s="85">
        <f t="shared" si="191"/>
        <v>0</v>
      </c>
      <c r="BJ243" s="85">
        <f t="shared" si="192"/>
        <v>0</v>
      </c>
      <c r="BK243" s="85">
        <f t="shared" si="193"/>
        <v>0</v>
      </c>
      <c r="BL243" s="85">
        <f t="shared" si="194"/>
        <v>0</v>
      </c>
      <c r="BM243" s="85">
        <f t="shared" si="195"/>
        <v>0</v>
      </c>
      <c r="BN243" s="85">
        <f t="shared" si="196"/>
        <v>0</v>
      </c>
      <c r="BO243" s="85">
        <f t="shared" si="197"/>
        <v>0</v>
      </c>
      <c r="BP243" s="85">
        <f t="shared" si="198"/>
        <v>0</v>
      </c>
      <c r="BQ243" s="85">
        <f t="shared" si="199"/>
        <v>0</v>
      </c>
      <c r="BR243" s="85">
        <f t="shared" si="200"/>
        <v>0</v>
      </c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3"/>
      <c r="CH243" s="63"/>
      <c r="CI243" s="63"/>
      <c r="CJ243" s="63"/>
      <c r="CK243" s="63"/>
      <c r="CL243" s="63"/>
      <c r="CM243" s="63"/>
      <c r="CN243" s="63"/>
      <c r="CO243" s="63"/>
      <c r="CP243" s="63"/>
      <c r="CQ243" s="63"/>
      <c r="CR243" s="63"/>
      <c r="CS243" s="63"/>
      <c r="CW243">
        <v>1</v>
      </c>
      <c r="CX243" s="35">
        <v>44753</v>
      </c>
      <c r="CZ243" s="35">
        <f>B260</f>
        <v>44872</v>
      </c>
      <c r="DA243">
        <v>98</v>
      </c>
      <c r="DC243" s="57" t="str">
        <f t="shared" si="201"/>
        <v/>
      </c>
      <c r="DD243" s="64" t="str">
        <f t="shared" si="202"/>
        <v/>
      </c>
      <c r="DE243" s="65" t="str">
        <f t="shared" si="203"/>
        <v/>
      </c>
      <c r="DF243" s="66" t="str">
        <f t="shared" si="204"/>
        <v/>
      </c>
    </row>
    <row r="244" spans="2:110" hidden="1" outlineLevel="1">
      <c r="B244" s="54">
        <f t="shared" si="205"/>
        <v>44760</v>
      </c>
      <c r="C244" s="55" t="s">
        <v>1</v>
      </c>
      <c r="D244" s="56">
        <f t="shared" si="206"/>
        <v>44766</v>
      </c>
      <c r="E244" s="52">
        <f t="shared" si="207"/>
        <v>7</v>
      </c>
      <c r="F244" s="53">
        <f t="shared" si="208"/>
        <v>2022</v>
      </c>
      <c r="G244" s="62">
        <f t="shared" si="209"/>
        <v>15</v>
      </c>
      <c r="H244" s="63">
        <f t="shared" si="210"/>
        <v>96</v>
      </c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>
        <v>15</v>
      </c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80"/>
      <c r="AG244" s="87">
        <f t="shared" si="164"/>
        <v>0</v>
      </c>
      <c r="AH244" s="87">
        <f t="shared" si="165"/>
        <v>0</v>
      </c>
      <c r="AI244" s="87">
        <f t="shared" si="166"/>
        <v>0</v>
      </c>
      <c r="AJ244" s="87">
        <f t="shared" si="167"/>
        <v>0</v>
      </c>
      <c r="AK244" s="87">
        <f t="shared" si="168"/>
        <v>0</v>
      </c>
      <c r="AL244" s="87">
        <f t="shared" si="169"/>
        <v>0</v>
      </c>
      <c r="AM244" s="87">
        <f t="shared" si="170"/>
        <v>0</v>
      </c>
      <c r="AN244" s="87">
        <f t="shared" si="171"/>
        <v>0</v>
      </c>
      <c r="AO244" s="87">
        <f t="shared" si="172"/>
        <v>0</v>
      </c>
      <c r="AP244" s="87">
        <f t="shared" si="173"/>
        <v>0</v>
      </c>
      <c r="AQ244" s="87">
        <f t="shared" si="174"/>
        <v>15</v>
      </c>
      <c r="AR244" s="81"/>
      <c r="AS244" s="85">
        <f t="shared" si="175"/>
        <v>0</v>
      </c>
      <c r="AT244" s="85">
        <f t="shared" si="176"/>
        <v>0</v>
      </c>
      <c r="AU244" s="85">
        <f t="shared" si="177"/>
        <v>0</v>
      </c>
      <c r="AV244" s="85">
        <f t="shared" si="178"/>
        <v>0</v>
      </c>
      <c r="AW244" s="85">
        <f t="shared" si="179"/>
        <v>0</v>
      </c>
      <c r="AX244" s="85">
        <f t="shared" si="180"/>
        <v>0</v>
      </c>
      <c r="AY244" s="85">
        <f t="shared" si="181"/>
        <v>0</v>
      </c>
      <c r="AZ244" s="85">
        <f t="shared" si="182"/>
        <v>0</v>
      </c>
      <c r="BA244" s="85">
        <f t="shared" si="183"/>
        <v>0</v>
      </c>
      <c r="BB244" s="85">
        <f t="shared" si="184"/>
        <v>0</v>
      </c>
      <c r="BC244" s="85">
        <f t="shared" si="185"/>
        <v>0</v>
      </c>
      <c r="BD244" s="85">
        <f t="shared" si="186"/>
        <v>0</v>
      </c>
      <c r="BE244" s="85">
        <f t="shared" si="187"/>
        <v>0</v>
      </c>
      <c r="BF244" s="85">
        <f t="shared" si="188"/>
        <v>0</v>
      </c>
      <c r="BG244" s="85">
        <f t="shared" si="189"/>
        <v>0</v>
      </c>
      <c r="BH244" s="85">
        <f t="shared" si="190"/>
        <v>0</v>
      </c>
      <c r="BI244" s="85">
        <f t="shared" si="191"/>
        <v>0</v>
      </c>
      <c r="BJ244" s="85">
        <f t="shared" si="192"/>
        <v>0</v>
      </c>
      <c r="BK244" s="85">
        <f t="shared" si="193"/>
        <v>0</v>
      </c>
      <c r="BL244" s="85">
        <f t="shared" si="194"/>
        <v>0</v>
      </c>
      <c r="BM244" s="85">
        <f t="shared" si="195"/>
        <v>0</v>
      </c>
      <c r="BN244" s="85">
        <f t="shared" si="196"/>
        <v>0</v>
      </c>
      <c r="BO244" s="85">
        <f t="shared" si="197"/>
        <v>0</v>
      </c>
      <c r="BP244" s="85">
        <f t="shared" si="198"/>
        <v>0</v>
      </c>
      <c r="BQ244" s="85">
        <f t="shared" si="199"/>
        <v>0</v>
      </c>
      <c r="BR244" s="85">
        <f t="shared" si="200"/>
        <v>0</v>
      </c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X244" s="35" t="s">
        <v>12</v>
      </c>
      <c r="CZ244" s="35"/>
      <c r="DC244" s="57" t="str">
        <f t="shared" si="201"/>
        <v/>
      </c>
      <c r="DD244" s="64" t="str">
        <f t="shared" si="202"/>
        <v/>
      </c>
      <c r="DE244" s="65" t="str">
        <f t="shared" si="203"/>
        <v/>
      </c>
      <c r="DF244" s="66" t="str">
        <f t="shared" si="204"/>
        <v/>
      </c>
    </row>
    <row r="245" spans="2:110" hidden="1" outlineLevel="1">
      <c r="B245" s="54">
        <f t="shared" si="205"/>
        <v>44767</v>
      </c>
      <c r="C245" s="55" t="s">
        <v>1</v>
      </c>
      <c r="D245" s="56">
        <f t="shared" si="206"/>
        <v>44773</v>
      </c>
      <c r="E245" s="52">
        <f t="shared" si="207"/>
        <v>7</v>
      </c>
      <c r="F245" s="53">
        <f t="shared" si="208"/>
        <v>2022</v>
      </c>
      <c r="G245" s="62">
        <f t="shared" si="209"/>
        <v>15</v>
      </c>
      <c r="H245" s="63">
        <f t="shared" si="210"/>
        <v>96</v>
      </c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>
        <v>15</v>
      </c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80"/>
      <c r="AG245" s="87">
        <f t="shared" si="164"/>
        <v>0</v>
      </c>
      <c r="AH245" s="87">
        <f t="shared" si="165"/>
        <v>0</v>
      </c>
      <c r="AI245" s="87">
        <f t="shared" si="166"/>
        <v>0</v>
      </c>
      <c r="AJ245" s="87">
        <f t="shared" si="167"/>
        <v>0</v>
      </c>
      <c r="AK245" s="87">
        <f t="shared" si="168"/>
        <v>0</v>
      </c>
      <c r="AL245" s="87">
        <f t="shared" si="169"/>
        <v>0</v>
      </c>
      <c r="AM245" s="87">
        <f t="shared" si="170"/>
        <v>0</v>
      </c>
      <c r="AN245" s="87">
        <f t="shared" si="171"/>
        <v>0</v>
      </c>
      <c r="AO245" s="87">
        <f t="shared" si="172"/>
        <v>0</v>
      </c>
      <c r="AP245" s="87">
        <f t="shared" si="173"/>
        <v>0</v>
      </c>
      <c r="AQ245" s="87">
        <f t="shared" si="174"/>
        <v>15</v>
      </c>
      <c r="AR245" s="81"/>
      <c r="AS245" s="85">
        <f t="shared" si="175"/>
        <v>0</v>
      </c>
      <c r="AT245" s="85">
        <f t="shared" si="176"/>
        <v>0</v>
      </c>
      <c r="AU245" s="85">
        <f t="shared" si="177"/>
        <v>0</v>
      </c>
      <c r="AV245" s="85">
        <f t="shared" si="178"/>
        <v>0</v>
      </c>
      <c r="AW245" s="85">
        <f t="shared" si="179"/>
        <v>0</v>
      </c>
      <c r="AX245" s="85">
        <f t="shared" si="180"/>
        <v>0</v>
      </c>
      <c r="AY245" s="85">
        <f t="shared" si="181"/>
        <v>0</v>
      </c>
      <c r="AZ245" s="85">
        <f t="shared" si="182"/>
        <v>0</v>
      </c>
      <c r="BA245" s="85">
        <f t="shared" si="183"/>
        <v>0</v>
      </c>
      <c r="BB245" s="85">
        <f t="shared" si="184"/>
        <v>0</v>
      </c>
      <c r="BC245" s="85">
        <f t="shared" si="185"/>
        <v>0</v>
      </c>
      <c r="BD245" s="85">
        <f t="shared" si="186"/>
        <v>0</v>
      </c>
      <c r="BE245" s="85">
        <f t="shared" si="187"/>
        <v>0</v>
      </c>
      <c r="BF245" s="85">
        <f t="shared" si="188"/>
        <v>0</v>
      </c>
      <c r="BG245" s="85">
        <f t="shared" si="189"/>
        <v>0</v>
      </c>
      <c r="BH245" s="85">
        <f t="shared" si="190"/>
        <v>0</v>
      </c>
      <c r="BI245" s="85">
        <f t="shared" si="191"/>
        <v>0</v>
      </c>
      <c r="BJ245" s="85">
        <f t="shared" si="192"/>
        <v>0</v>
      </c>
      <c r="BK245" s="85">
        <f t="shared" si="193"/>
        <v>0</v>
      </c>
      <c r="BL245" s="85">
        <f t="shared" si="194"/>
        <v>0</v>
      </c>
      <c r="BM245" s="85">
        <f t="shared" si="195"/>
        <v>0</v>
      </c>
      <c r="BN245" s="85">
        <f t="shared" si="196"/>
        <v>0</v>
      </c>
      <c r="BO245" s="85">
        <f t="shared" si="197"/>
        <v>0</v>
      </c>
      <c r="BP245" s="85">
        <f t="shared" si="198"/>
        <v>0</v>
      </c>
      <c r="BQ245" s="85">
        <f t="shared" si="199"/>
        <v>0</v>
      </c>
      <c r="BR245" s="85">
        <f t="shared" si="200"/>
        <v>0</v>
      </c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3"/>
      <c r="CM245" s="63"/>
      <c r="CN245" s="63"/>
      <c r="CO245" s="63"/>
      <c r="CP245" s="63"/>
      <c r="CQ245" s="63"/>
      <c r="CR245" s="63"/>
      <c r="CS245" s="63"/>
      <c r="CX245" s="35" t="s">
        <v>12</v>
      </c>
      <c r="CZ245" s="35"/>
      <c r="DC245" s="57" t="str">
        <f t="shared" si="201"/>
        <v/>
      </c>
      <c r="DD245" s="64" t="str">
        <f t="shared" si="202"/>
        <v/>
      </c>
      <c r="DE245" s="65" t="str">
        <f t="shared" si="203"/>
        <v/>
      </c>
      <c r="DF245" s="66" t="str">
        <f t="shared" si="204"/>
        <v/>
      </c>
    </row>
    <row r="246" spans="2:110" hidden="1" outlineLevel="1">
      <c r="B246" s="54">
        <f t="shared" si="205"/>
        <v>44774</v>
      </c>
      <c r="C246" s="55" t="s">
        <v>1</v>
      </c>
      <c r="D246" s="56">
        <f t="shared" si="206"/>
        <v>44780</v>
      </c>
      <c r="E246" s="52">
        <f t="shared" si="207"/>
        <v>8</v>
      </c>
      <c r="F246" s="53">
        <f t="shared" si="208"/>
        <v>2022</v>
      </c>
      <c r="G246" s="62">
        <f t="shared" si="209"/>
        <v>15</v>
      </c>
      <c r="H246" s="63">
        <f t="shared" si="210"/>
        <v>96</v>
      </c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>
        <v>15</v>
      </c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80"/>
      <c r="AG246" s="87">
        <f t="shared" si="164"/>
        <v>0</v>
      </c>
      <c r="AH246" s="87">
        <f t="shared" si="165"/>
        <v>0</v>
      </c>
      <c r="AI246" s="87">
        <f t="shared" si="166"/>
        <v>0</v>
      </c>
      <c r="AJ246" s="87">
        <f t="shared" si="167"/>
        <v>0</v>
      </c>
      <c r="AK246" s="87">
        <f t="shared" si="168"/>
        <v>0</v>
      </c>
      <c r="AL246" s="87">
        <f t="shared" si="169"/>
        <v>0</v>
      </c>
      <c r="AM246" s="87">
        <f t="shared" si="170"/>
        <v>0</v>
      </c>
      <c r="AN246" s="87">
        <f t="shared" si="171"/>
        <v>0</v>
      </c>
      <c r="AO246" s="87">
        <f t="shared" si="172"/>
        <v>0</v>
      </c>
      <c r="AP246" s="87">
        <f t="shared" si="173"/>
        <v>0</v>
      </c>
      <c r="AQ246" s="87">
        <f t="shared" si="174"/>
        <v>15</v>
      </c>
      <c r="AR246" s="81"/>
      <c r="AS246" s="85">
        <f t="shared" si="175"/>
        <v>0</v>
      </c>
      <c r="AT246" s="85">
        <f t="shared" si="176"/>
        <v>0</v>
      </c>
      <c r="AU246" s="85">
        <f t="shared" si="177"/>
        <v>0</v>
      </c>
      <c r="AV246" s="85">
        <f t="shared" si="178"/>
        <v>0</v>
      </c>
      <c r="AW246" s="85">
        <f t="shared" si="179"/>
        <v>0</v>
      </c>
      <c r="AX246" s="85">
        <f t="shared" si="180"/>
        <v>0</v>
      </c>
      <c r="AY246" s="85">
        <f t="shared" si="181"/>
        <v>0</v>
      </c>
      <c r="AZ246" s="85">
        <f t="shared" si="182"/>
        <v>0</v>
      </c>
      <c r="BA246" s="85">
        <f t="shared" si="183"/>
        <v>0</v>
      </c>
      <c r="BB246" s="85">
        <f t="shared" si="184"/>
        <v>0</v>
      </c>
      <c r="BC246" s="85">
        <f t="shared" si="185"/>
        <v>0</v>
      </c>
      <c r="BD246" s="85">
        <f t="shared" si="186"/>
        <v>0</v>
      </c>
      <c r="BE246" s="85">
        <f t="shared" si="187"/>
        <v>0</v>
      </c>
      <c r="BF246" s="85">
        <f t="shared" si="188"/>
        <v>0</v>
      </c>
      <c r="BG246" s="85">
        <f t="shared" si="189"/>
        <v>0</v>
      </c>
      <c r="BH246" s="85">
        <f t="shared" si="190"/>
        <v>0</v>
      </c>
      <c r="BI246" s="85">
        <f t="shared" si="191"/>
        <v>0</v>
      </c>
      <c r="BJ246" s="85">
        <f t="shared" si="192"/>
        <v>0</v>
      </c>
      <c r="BK246" s="85">
        <f t="shared" si="193"/>
        <v>0</v>
      </c>
      <c r="BL246" s="85">
        <f t="shared" si="194"/>
        <v>0</v>
      </c>
      <c r="BM246" s="85">
        <f t="shared" si="195"/>
        <v>0</v>
      </c>
      <c r="BN246" s="85">
        <f t="shared" si="196"/>
        <v>0</v>
      </c>
      <c r="BO246" s="85">
        <f t="shared" si="197"/>
        <v>0</v>
      </c>
      <c r="BP246" s="85">
        <f t="shared" si="198"/>
        <v>0</v>
      </c>
      <c r="BQ246" s="85">
        <f t="shared" si="199"/>
        <v>0</v>
      </c>
      <c r="BR246" s="85">
        <f t="shared" si="200"/>
        <v>0</v>
      </c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3"/>
      <c r="CM246" s="63"/>
      <c r="CN246" s="63"/>
      <c r="CO246" s="63"/>
      <c r="CP246" s="63"/>
      <c r="CQ246" s="63"/>
      <c r="CR246" s="63"/>
      <c r="CS246" s="63"/>
      <c r="CX246" s="35" t="s">
        <v>12</v>
      </c>
      <c r="CZ246" s="35"/>
      <c r="DC246" s="57" t="str">
        <f t="shared" si="201"/>
        <v/>
      </c>
      <c r="DD246" s="64" t="str">
        <f t="shared" si="202"/>
        <v/>
      </c>
      <c r="DE246" s="65" t="str">
        <f t="shared" si="203"/>
        <v/>
      </c>
      <c r="DF246" s="66" t="str">
        <f t="shared" si="204"/>
        <v/>
      </c>
    </row>
    <row r="247" spans="2:110" hidden="1" outlineLevel="1">
      <c r="B247" s="54">
        <f t="shared" si="205"/>
        <v>44781</v>
      </c>
      <c r="C247" s="55" t="s">
        <v>1</v>
      </c>
      <c r="D247" s="56">
        <f t="shared" si="206"/>
        <v>44787</v>
      </c>
      <c r="E247" s="52">
        <f t="shared" si="207"/>
        <v>8</v>
      </c>
      <c r="F247" s="53">
        <f t="shared" si="208"/>
        <v>2022</v>
      </c>
      <c r="G247" s="62">
        <f t="shared" si="209"/>
        <v>15</v>
      </c>
      <c r="H247" s="63">
        <f t="shared" si="210"/>
        <v>96</v>
      </c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>
        <v>15</v>
      </c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80"/>
      <c r="AG247" s="87">
        <f t="shared" si="164"/>
        <v>0</v>
      </c>
      <c r="AH247" s="87">
        <f t="shared" si="165"/>
        <v>0</v>
      </c>
      <c r="AI247" s="87">
        <f t="shared" si="166"/>
        <v>0</v>
      </c>
      <c r="AJ247" s="87">
        <f t="shared" si="167"/>
        <v>0</v>
      </c>
      <c r="AK247" s="87">
        <f t="shared" si="168"/>
        <v>0</v>
      </c>
      <c r="AL247" s="87">
        <f t="shared" si="169"/>
        <v>0</v>
      </c>
      <c r="AM247" s="87">
        <f t="shared" si="170"/>
        <v>0</v>
      </c>
      <c r="AN247" s="87">
        <f t="shared" si="171"/>
        <v>0</v>
      </c>
      <c r="AO247" s="87">
        <f t="shared" si="172"/>
        <v>0</v>
      </c>
      <c r="AP247" s="87">
        <f t="shared" si="173"/>
        <v>0</v>
      </c>
      <c r="AQ247" s="87">
        <f t="shared" si="174"/>
        <v>15</v>
      </c>
      <c r="AR247" s="81"/>
      <c r="AS247" s="85">
        <f t="shared" si="175"/>
        <v>0</v>
      </c>
      <c r="AT247" s="85">
        <f t="shared" si="176"/>
        <v>0</v>
      </c>
      <c r="AU247" s="85">
        <f t="shared" si="177"/>
        <v>0</v>
      </c>
      <c r="AV247" s="85">
        <f t="shared" si="178"/>
        <v>0</v>
      </c>
      <c r="AW247" s="85">
        <f t="shared" si="179"/>
        <v>0</v>
      </c>
      <c r="AX247" s="85">
        <f t="shared" si="180"/>
        <v>0</v>
      </c>
      <c r="AY247" s="85">
        <f t="shared" si="181"/>
        <v>0</v>
      </c>
      <c r="AZ247" s="85">
        <f t="shared" si="182"/>
        <v>0</v>
      </c>
      <c r="BA247" s="85">
        <f t="shared" si="183"/>
        <v>0</v>
      </c>
      <c r="BB247" s="85">
        <f t="shared" si="184"/>
        <v>0</v>
      </c>
      <c r="BC247" s="85">
        <f t="shared" si="185"/>
        <v>0</v>
      </c>
      <c r="BD247" s="85">
        <f t="shared" si="186"/>
        <v>0</v>
      </c>
      <c r="BE247" s="85">
        <f t="shared" si="187"/>
        <v>0</v>
      </c>
      <c r="BF247" s="85">
        <f t="shared" si="188"/>
        <v>0</v>
      </c>
      <c r="BG247" s="85">
        <f t="shared" si="189"/>
        <v>0</v>
      </c>
      <c r="BH247" s="85">
        <f t="shared" si="190"/>
        <v>0</v>
      </c>
      <c r="BI247" s="85">
        <f t="shared" si="191"/>
        <v>0</v>
      </c>
      <c r="BJ247" s="85">
        <f t="shared" si="192"/>
        <v>0</v>
      </c>
      <c r="BK247" s="85">
        <f t="shared" si="193"/>
        <v>0</v>
      </c>
      <c r="BL247" s="85">
        <f t="shared" si="194"/>
        <v>0</v>
      </c>
      <c r="BM247" s="85">
        <f t="shared" si="195"/>
        <v>0</v>
      </c>
      <c r="BN247" s="85">
        <f t="shared" si="196"/>
        <v>0</v>
      </c>
      <c r="BO247" s="85">
        <f t="shared" si="197"/>
        <v>0</v>
      </c>
      <c r="BP247" s="85">
        <f t="shared" si="198"/>
        <v>0</v>
      </c>
      <c r="BQ247" s="85">
        <f t="shared" si="199"/>
        <v>0</v>
      </c>
      <c r="BR247" s="85">
        <f t="shared" si="200"/>
        <v>0</v>
      </c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X247" s="35" t="s">
        <v>12</v>
      </c>
      <c r="CZ247" s="35"/>
      <c r="DC247" s="57" t="str">
        <f t="shared" si="201"/>
        <v/>
      </c>
      <c r="DD247" s="64" t="str">
        <f t="shared" si="202"/>
        <v/>
      </c>
      <c r="DE247" s="65" t="str">
        <f t="shared" si="203"/>
        <v/>
      </c>
      <c r="DF247" s="66" t="str">
        <f t="shared" si="204"/>
        <v/>
      </c>
    </row>
    <row r="248" spans="2:110" hidden="1" outlineLevel="1">
      <c r="B248" s="54">
        <f t="shared" si="205"/>
        <v>44788</v>
      </c>
      <c r="C248" s="55" t="s">
        <v>1</v>
      </c>
      <c r="D248" s="56">
        <f t="shared" si="206"/>
        <v>44794</v>
      </c>
      <c r="E248" s="52">
        <f t="shared" si="207"/>
        <v>8</v>
      </c>
      <c r="F248" s="53">
        <f t="shared" si="208"/>
        <v>2022</v>
      </c>
      <c r="G248" s="62">
        <f t="shared" si="209"/>
        <v>15</v>
      </c>
      <c r="H248" s="63">
        <f t="shared" si="210"/>
        <v>96</v>
      </c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>
        <v>15</v>
      </c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80"/>
      <c r="AG248" s="87">
        <f t="shared" si="164"/>
        <v>0</v>
      </c>
      <c r="AH248" s="87">
        <f t="shared" si="165"/>
        <v>0</v>
      </c>
      <c r="AI248" s="87">
        <f t="shared" si="166"/>
        <v>0</v>
      </c>
      <c r="AJ248" s="87">
        <f t="shared" si="167"/>
        <v>0</v>
      </c>
      <c r="AK248" s="87">
        <f t="shared" si="168"/>
        <v>0</v>
      </c>
      <c r="AL248" s="87">
        <f t="shared" si="169"/>
        <v>0</v>
      </c>
      <c r="AM248" s="87">
        <f t="shared" si="170"/>
        <v>0</v>
      </c>
      <c r="AN248" s="87">
        <f t="shared" si="171"/>
        <v>0</v>
      </c>
      <c r="AO248" s="87">
        <f t="shared" si="172"/>
        <v>0</v>
      </c>
      <c r="AP248" s="87">
        <f t="shared" si="173"/>
        <v>0</v>
      </c>
      <c r="AQ248" s="87">
        <f t="shared" si="174"/>
        <v>15</v>
      </c>
      <c r="AR248" s="81"/>
      <c r="AS248" s="85">
        <f t="shared" si="175"/>
        <v>0</v>
      </c>
      <c r="AT248" s="85">
        <f t="shared" si="176"/>
        <v>0</v>
      </c>
      <c r="AU248" s="85">
        <f t="shared" si="177"/>
        <v>0</v>
      </c>
      <c r="AV248" s="85">
        <f t="shared" si="178"/>
        <v>0</v>
      </c>
      <c r="AW248" s="85">
        <f t="shared" si="179"/>
        <v>0</v>
      </c>
      <c r="AX248" s="85">
        <f t="shared" si="180"/>
        <v>0</v>
      </c>
      <c r="AY248" s="85">
        <f t="shared" si="181"/>
        <v>0</v>
      </c>
      <c r="AZ248" s="85">
        <f t="shared" si="182"/>
        <v>0</v>
      </c>
      <c r="BA248" s="85">
        <f t="shared" si="183"/>
        <v>0</v>
      </c>
      <c r="BB248" s="85">
        <f t="shared" si="184"/>
        <v>0</v>
      </c>
      <c r="BC248" s="85">
        <f t="shared" si="185"/>
        <v>0</v>
      </c>
      <c r="BD248" s="85">
        <f t="shared" si="186"/>
        <v>0</v>
      </c>
      <c r="BE248" s="85">
        <f t="shared" si="187"/>
        <v>0</v>
      </c>
      <c r="BF248" s="85">
        <f t="shared" si="188"/>
        <v>0</v>
      </c>
      <c r="BG248" s="85">
        <f t="shared" si="189"/>
        <v>0</v>
      </c>
      <c r="BH248" s="85">
        <f t="shared" si="190"/>
        <v>0</v>
      </c>
      <c r="BI248" s="85">
        <f t="shared" si="191"/>
        <v>0</v>
      </c>
      <c r="BJ248" s="85">
        <f t="shared" si="192"/>
        <v>0</v>
      </c>
      <c r="BK248" s="85">
        <f t="shared" si="193"/>
        <v>0</v>
      </c>
      <c r="BL248" s="85">
        <f t="shared" si="194"/>
        <v>0</v>
      </c>
      <c r="BM248" s="85">
        <f t="shared" si="195"/>
        <v>0</v>
      </c>
      <c r="BN248" s="85">
        <f t="shared" si="196"/>
        <v>0</v>
      </c>
      <c r="BO248" s="85">
        <f t="shared" si="197"/>
        <v>0</v>
      </c>
      <c r="BP248" s="85">
        <f t="shared" si="198"/>
        <v>0</v>
      </c>
      <c r="BQ248" s="85">
        <f t="shared" si="199"/>
        <v>0</v>
      </c>
      <c r="BR248" s="85">
        <f t="shared" si="200"/>
        <v>0</v>
      </c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W248">
        <v>6</v>
      </c>
      <c r="CX248" s="35">
        <v>44788</v>
      </c>
      <c r="CZ248" s="35">
        <f>B265</f>
        <v>44907</v>
      </c>
      <c r="DA248">
        <v>98</v>
      </c>
      <c r="DC248" s="57" t="str">
        <f t="shared" si="201"/>
        <v/>
      </c>
      <c r="DD248" s="64" t="str">
        <f t="shared" si="202"/>
        <v/>
      </c>
      <c r="DE248" s="65" t="str">
        <f t="shared" si="203"/>
        <v/>
      </c>
      <c r="DF248" s="66" t="str">
        <f t="shared" si="204"/>
        <v/>
      </c>
    </row>
    <row r="249" spans="2:110" hidden="1" outlineLevel="1">
      <c r="B249" s="54">
        <f t="shared" si="205"/>
        <v>44795</v>
      </c>
      <c r="C249" s="55" t="s">
        <v>1</v>
      </c>
      <c r="D249" s="56">
        <f t="shared" si="206"/>
        <v>44801</v>
      </c>
      <c r="E249" s="52">
        <f t="shared" si="207"/>
        <v>8</v>
      </c>
      <c r="F249" s="53">
        <f t="shared" si="208"/>
        <v>2022</v>
      </c>
      <c r="G249" s="62">
        <f t="shared" si="209"/>
        <v>15</v>
      </c>
      <c r="H249" s="63">
        <f t="shared" si="210"/>
        <v>96</v>
      </c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>
        <v>15</v>
      </c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80"/>
      <c r="AG249" s="87">
        <f t="shared" si="164"/>
        <v>0</v>
      </c>
      <c r="AH249" s="87">
        <f t="shared" si="165"/>
        <v>0</v>
      </c>
      <c r="AI249" s="87">
        <f t="shared" si="166"/>
        <v>0</v>
      </c>
      <c r="AJ249" s="87">
        <f t="shared" si="167"/>
        <v>0</v>
      </c>
      <c r="AK249" s="87">
        <f t="shared" si="168"/>
        <v>0</v>
      </c>
      <c r="AL249" s="87">
        <f t="shared" si="169"/>
        <v>0</v>
      </c>
      <c r="AM249" s="87">
        <f t="shared" si="170"/>
        <v>0</v>
      </c>
      <c r="AN249" s="87">
        <f t="shared" si="171"/>
        <v>0</v>
      </c>
      <c r="AO249" s="87">
        <f t="shared" si="172"/>
        <v>0</v>
      </c>
      <c r="AP249" s="87">
        <f t="shared" si="173"/>
        <v>0</v>
      </c>
      <c r="AQ249" s="87">
        <f t="shared" si="174"/>
        <v>15</v>
      </c>
      <c r="AR249" s="81"/>
      <c r="AS249" s="85">
        <f t="shared" si="175"/>
        <v>0</v>
      </c>
      <c r="AT249" s="85">
        <f t="shared" si="176"/>
        <v>0</v>
      </c>
      <c r="AU249" s="85">
        <f t="shared" si="177"/>
        <v>0</v>
      </c>
      <c r="AV249" s="85">
        <f t="shared" si="178"/>
        <v>0</v>
      </c>
      <c r="AW249" s="85">
        <f t="shared" si="179"/>
        <v>0</v>
      </c>
      <c r="AX249" s="85">
        <f t="shared" si="180"/>
        <v>0</v>
      </c>
      <c r="AY249" s="85">
        <f t="shared" si="181"/>
        <v>0</v>
      </c>
      <c r="AZ249" s="85">
        <f t="shared" si="182"/>
        <v>0</v>
      </c>
      <c r="BA249" s="85">
        <f t="shared" si="183"/>
        <v>0</v>
      </c>
      <c r="BB249" s="85">
        <f t="shared" si="184"/>
        <v>0</v>
      </c>
      <c r="BC249" s="85">
        <f t="shared" si="185"/>
        <v>0</v>
      </c>
      <c r="BD249" s="85">
        <f t="shared" si="186"/>
        <v>0</v>
      </c>
      <c r="BE249" s="85">
        <f t="shared" si="187"/>
        <v>0</v>
      </c>
      <c r="BF249" s="85">
        <f t="shared" si="188"/>
        <v>0</v>
      </c>
      <c r="BG249" s="85">
        <f t="shared" si="189"/>
        <v>0</v>
      </c>
      <c r="BH249" s="85">
        <f t="shared" si="190"/>
        <v>0</v>
      </c>
      <c r="BI249" s="85">
        <f t="shared" si="191"/>
        <v>0</v>
      </c>
      <c r="BJ249" s="85">
        <f t="shared" si="192"/>
        <v>0</v>
      </c>
      <c r="BK249" s="85">
        <f t="shared" si="193"/>
        <v>0</v>
      </c>
      <c r="BL249" s="85">
        <f t="shared" si="194"/>
        <v>0</v>
      </c>
      <c r="BM249" s="85">
        <f t="shared" si="195"/>
        <v>0</v>
      </c>
      <c r="BN249" s="85">
        <f t="shared" si="196"/>
        <v>0</v>
      </c>
      <c r="BO249" s="85">
        <f t="shared" si="197"/>
        <v>0</v>
      </c>
      <c r="BP249" s="85">
        <f t="shared" si="198"/>
        <v>0</v>
      </c>
      <c r="BQ249" s="85">
        <f t="shared" si="199"/>
        <v>0</v>
      </c>
      <c r="BR249" s="85">
        <f t="shared" si="200"/>
        <v>0</v>
      </c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3"/>
      <c r="CM249" s="63"/>
      <c r="CN249" s="63"/>
      <c r="CO249" s="63"/>
      <c r="CP249" s="63"/>
      <c r="CQ249" s="63"/>
      <c r="CR249" s="63"/>
      <c r="CS249" s="63"/>
      <c r="CX249" s="35" t="s">
        <v>12</v>
      </c>
      <c r="CZ249" s="35"/>
      <c r="DC249" s="57" t="str">
        <f t="shared" si="201"/>
        <v/>
      </c>
      <c r="DD249" s="64" t="str">
        <f t="shared" si="202"/>
        <v/>
      </c>
      <c r="DE249" s="65" t="str">
        <f t="shared" si="203"/>
        <v/>
      </c>
      <c r="DF249" s="66" t="str">
        <f t="shared" si="204"/>
        <v/>
      </c>
    </row>
    <row r="250" spans="2:110" hidden="1" outlineLevel="1">
      <c r="B250" s="54">
        <f t="shared" si="205"/>
        <v>44802</v>
      </c>
      <c r="C250" s="55" t="s">
        <v>1</v>
      </c>
      <c r="D250" s="56">
        <f t="shared" si="206"/>
        <v>44808</v>
      </c>
      <c r="E250" s="52">
        <f t="shared" si="207"/>
        <v>8</v>
      </c>
      <c r="F250" s="53">
        <f t="shared" si="208"/>
        <v>2022</v>
      </c>
      <c r="G250" s="62">
        <f t="shared" si="209"/>
        <v>15</v>
      </c>
      <c r="H250" s="63">
        <f t="shared" si="210"/>
        <v>96</v>
      </c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>
        <v>15</v>
      </c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80"/>
      <c r="AG250" s="87">
        <f t="shared" si="164"/>
        <v>0</v>
      </c>
      <c r="AH250" s="87">
        <f t="shared" si="165"/>
        <v>0</v>
      </c>
      <c r="AI250" s="87">
        <f t="shared" si="166"/>
        <v>0</v>
      </c>
      <c r="AJ250" s="87">
        <f t="shared" si="167"/>
        <v>0</v>
      </c>
      <c r="AK250" s="87">
        <f t="shared" si="168"/>
        <v>0</v>
      </c>
      <c r="AL250" s="87">
        <f t="shared" si="169"/>
        <v>0</v>
      </c>
      <c r="AM250" s="87">
        <f t="shared" si="170"/>
        <v>0</v>
      </c>
      <c r="AN250" s="87">
        <f t="shared" si="171"/>
        <v>0</v>
      </c>
      <c r="AO250" s="87">
        <f t="shared" si="172"/>
        <v>0</v>
      </c>
      <c r="AP250" s="87">
        <f t="shared" si="173"/>
        <v>0</v>
      </c>
      <c r="AQ250" s="87">
        <f t="shared" si="174"/>
        <v>15</v>
      </c>
      <c r="AR250" s="81"/>
      <c r="AS250" s="85">
        <f t="shared" si="175"/>
        <v>0</v>
      </c>
      <c r="AT250" s="85">
        <f t="shared" si="176"/>
        <v>0</v>
      </c>
      <c r="AU250" s="85">
        <f t="shared" si="177"/>
        <v>0</v>
      </c>
      <c r="AV250" s="85">
        <f t="shared" si="178"/>
        <v>0</v>
      </c>
      <c r="AW250" s="85">
        <f t="shared" si="179"/>
        <v>0</v>
      </c>
      <c r="AX250" s="85">
        <f t="shared" si="180"/>
        <v>0</v>
      </c>
      <c r="AY250" s="85">
        <f t="shared" si="181"/>
        <v>0</v>
      </c>
      <c r="AZ250" s="85">
        <f t="shared" si="182"/>
        <v>0</v>
      </c>
      <c r="BA250" s="85">
        <f t="shared" si="183"/>
        <v>0</v>
      </c>
      <c r="BB250" s="85">
        <f t="shared" si="184"/>
        <v>0</v>
      </c>
      <c r="BC250" s="85">
        <f t="shared" si="185"/>
        <v>0</v>
      </c>
      <c r="BD250" s="85">
        <f t="shared" si="186"/>
        <v>0</v>
      </c>
      <c r="BE250" s="85">
        <f t="shared" si="187"/>
        <v>0</v>
      </c>
      <c r="BF250" s="85">
        <f t="shared" si="188"/>
        <v>0</v>
      </c>
      <c r="BG250" s="85">
        <f t="shared" si="189"/>
        <v>0</v>
      </c>
      <c r="BH250" s="85">
        <f t="shared" si="190"/>
        <v>0</v>
      </c>
      <c r="BI250" s="85">
        <f t="shared" si="191"/>
        <v>0</v>
      </c>
      <c r="BJ250" s="85">
        <f t="shared" si="192"/>
        <v>0</v>
      </c>
      <c r="BK250" s="85">
        <f t="shared" si="193"/>
        <v>0</v>
      </c>
      <c r="BL250" s="85">
        <f t="shared" si="194"/>
        <v>0</v>
      </c>
      <c r="BM250" s="85">
        <f t="shared" si="195"/>
        <v>0</v>
      </c>
      <c r="BN250" s="85">
        <f t="shared" si="196"/>
        <v>0</v>
      </c>
      <c r="BO250" s="85">
        <f t="shared" si="197"/>
        <v>0</v>
      </c>
      <c r="BP250" s="85">
        <f t="shared" si="198"/>
        <v>0</v>
      </c>
      <c r="BQ250" s="85">
        <f t="shared" si="199"/>
        <v>0</v>
      </c>
      <c r="BR250" s="85">
        <f t="shared" si="200"/>
        <v>0</v>
      </c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X250" s="35" t="s">
        <v>12</v>
      </c>
      <c r="CZ250" s="35"/>
      <c r="DC250" s="57" t="str">
        <f t="shared" si="201"/>
        <v/>
      </c>
      <c r="DD250" s="64" t="str">
        <f t="shared" si="202"/>
        <v/>
      </c>
      <c r="DE250" s="65" t="str">
        <f t="shared" si="203"/>
        <v/>
      </c>
      <c r="DF250" s="66" t="str">
        <f t="shared" si="204"/>
        <v/>
      </c>
    </row>
    <row r="251" spans="2:110" hidden="1" outlineLevel="1">
      <c r="B251" s="54">
        <f t="shared" si="205"/>
        <v>44809</v>
      </c>
      <c r="C251" s="55" t="s">
        <v>1</v>
      </c>
      <c r="D251" s="56">
        <f t="shared" si="206"/>
        <v>44815</v>
      </c>
      <c r="E251" s="52">
        <f t="shared" si="207"/>
        <v>9</v>
      </c>
      <c r="F251" s="53">
        <f t="shared" si="208"/>
        <v>2022</v>
      </c>
      <c r="G251" s="62">
        <f t="shared" si="209"/>
        <v>15</v>
      </c>
      <c r="H251" s="63">
        <f t="shared" si="210"/>
        <v>96</v>
      </c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>
        <v>15</v>
      </c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80"/>
      <c r="AG251" s="87">
        <f t="shared" si="164"/>
        <v>0</v>
      </c>
      <c r="AH251" s="87">
        <f t="shared" si="165"/>
        <v>0</v>
      </c>
      <c r="AI251" s="87">
        <f t="shared" si="166"/>
        <v>0</v>
      </c>
      <c r="AJ251" s="87">
        <f t="shared" si="167"/>
        <v>0</v>
      </c>
      <c r="AK251" s="87">
        <f t="shared" si="168"/>
        <v>0</v>
      </c>
      <c r="AL251" s="87">
        <f t="shared" si="169"/>
        <v>0</v>
      </c>
      <c r="AM251" s="87">
        <f t="shared" si="170"/>
        <v>0</v>
      </c>
      <c r="AN251" s="87">
        <f t="shared" si="171"/>
        <v>0</v>
      </c>
      <c r="AO251" s="87">
        <f t="shared" si="172"/>
        <v>0</v>
      </c>
      <c r="AP251" s="87">
        <f t="shared" si="173"/>
        <v>0</v>
      </c>
      <c r="AQ251" s="87">
        <f t="shared" si="174"/>
        <v>15</v>
      </c>
      <c r="AR251" s="81"/>
      <c r="AS251" s="85">
        <f t="shared" si="175"/>
        <v>0</v>
      </c>
      <c r="AT251" s="85">
        <f t="shared" si="176"/>
        <v>0</v>
      </c>
      <c r="AU251" s="85">
        <f t="shared" si="177"/>
        <v>0</v>
      </c>
      <c r="AV251" s="85">
        <f t="shared" si="178"/>
        <v>0</v>
      </c>
      <c r="AW251" s="85">
        <f t="shared" si="179"/>
        <v>0</v>
      </c>
      <c r="AX251" s="85">
        <f t="shared" si="180"/>
        <v>0</v>
      </c>
      <c r="AY251" s="85">
        <f t="shared" si="181"/>
        <v>0</v>
      </c>
      <c r="AZ251" s="85">
        <f t="shared" si="182"/>
        <v>0</v>
      </c>
      <c r="BA251" s="85">
        <f t="shared" si="183"/>
        <v>0</v>
      </c>
      <c r="BB251" s="85">
        <f t="shared" si="184"/>
        <v>0</v>
      </c>
      <c r="BC251" s="85">
        <f t="shared" si="185"/>
        <v>0</v>
      </c>
      <c r="BD251" s="85">
        <f t="shared" si="186"/>
        <v>0</v>
      </c>
      <c r="BE251" s="85">
        <f t="shared" si="187"/>
        <v>0</v>
      </c>
      <c r="BF251" s="85">
        <f t="shared" si="188"/>
        <v>0</v>
      </c>
      <c r="BG251" s="85">
        <f t="shared" si="189"/>
        <v>0</v>
      </c>
      <c r="BH251" s="85">
        <f t="shared" si="190"/>
        <v>0</v>
      </c>
      <c r="BI251" s="85">
        <f t="shared" si="191"/>
        <v>0</v>
      </c>
      <c r="BJ251" s="85">
        <f t="shared" si="192"/>
        <v>0</v>
      </c>
      <c r="BK251" s="85">
        <f t="shared" si="193"/>
        <v>0</v>
      </c>
      <c r="BL251" s="85">
        <f t="shared" si="194"/>
        <v>0</v>
      </c>
      <c r="BM251" s="85">
        <f t="shared" si="195"/>
        <v>0</v>
      </c>
      <c r="BN251" s="85">
        <f t="shared" si="196"/>
        <v>0</v>
      </c>
      <c r="BO251" s="85">
        <f t="shared" si="197"/>
        <v>0</v>
      </c>
      <c r="BP251" s="85">
        <f t="shared" si="198"/>
        <v>0</v>
      </c>
      <c r="BQ251" s="85">
        <f t="shared" si="199"/>
        <v>0</v>
      </c>
      <c r="BR251" s="85">
        <f t="shared" si="200"/>
        <v>0</v>
      </c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X251" s="35" t="s">
        <v>12</v>
      </c>
      <c r="CZ251" s="35"/>
      <c r="DC251" s="57" t="str">
        <f t="shared" si="201"/>
        <v/>
      </c>
      <c r="DD251" s="64" t="str">
        <f t="shared" si="202"/>
        <v/>
      </c>
      <c r="DE251" s="65" t="str">
        <f t="shared" si="203"/>
        <v/>
      </c>
      <c r="DF251" s="66" t="str">
        <f t="shared" si="204"/>
        <v/>
      </c>
    </row>
    <row r="252" spans="2:110" hidden="1" outlineLevel="1">
      <c r="B252" s="54">
        <f t="shared" si="205"/>
        <v>44816</v>
      </c>
      <c r="C252" s="55" t="s">
        <v>1</v>
      </c>
      <c r="D252" s="56">
        <f t="shared" si="206"/>
        <v>44822</v>
      </c>
      <c r="E252" s="52">
        <f t="shared" si="207"/>
        <v>9</v>
      </c>
      <c r="F252" s="53">
        <f t="shared" si="208"/>
        <v>2022</v>
      </c>
      <c r="G252" s="62">
        <f t="shared" si="209"/>
        <v>15</v>
      </c>
      <c r="H252" s="63">
        <f t="shared" si="210"/>
        <v>96</v>
      </c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>
        <v>15</v>
      </c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80"/>
      <c r="AG252" s="87">
        <f t="shared" si="164"/>
        <v>0</v>
      </c>
      <c r="AH252" s="87">
        <f t="shared" si="165"/>
        <v>0</v>
      </c>
      <c r="AI252" s="87">
        <f t="shared" si="166"/>
        <v>0</v>
      </c>
      <c r="AJ252" s="87">
        <f t="shared" si="167"/>
        <v>0</v>
      </c>
      <c r="AK252" s="87">
        <f t="shared" si="168"/>
        <v>0</v>
      </c>
      <c r="AL252" s="87">
        <f t="shared" si="169"/>
        <v>0</v>
      </c>
      <c r="AM252" s="87">
        <f t="shared" si="170"/>
        <v>0</v>
      </c>
      <c r="AN252" s="87">
        <f t="shared" si="171"/>
        <v>0</v>
      </c>
      <c r="AO252" s="87">
        <f t="shared" si="172"/>
        <v>0</v>
      </c>
      <c r="AP252" s="87">
        <f t="shared" si="173"/>
        <v>0</v>
      </c>
      <c r="AQ252" s="87">
        <f t="shared" si="174"/>
        <v>15</v>
      </c>
      <c r="AR252" s="81"/>
      <c r="AS252" s="85">
        <f t="shared" si="175"/>
        <v>0</v>
      </c>
      <c r="AT252" s="85">
        <f t="shared" si="176"/>
        <v>0</v>
      </c>
      <c r="AU252" s="85">
        <f t="shared" si="177"/>
        <v>0</v>
      </c>
      <c r="AV252" s="85">
        <f t="shared" si="178"/>
        <v>0</v>
      </c>
      <c r="AW252" s="85">
        <f t="shared" si="179"/>
        <v>0</v>
      </c>
      <c r="AX252" s="85">
        <f t="shared" si="180"/>
        <v>0</v>
      </c>
      <c r="AY252" s="85">
        <f t="shared" si="181"/>
        <v>0</v>
      </c>
      <c r="AZ252" s="85">
        <f t="shared" si="182"/>
        <v>0</v>
      </c>
      <c r="BA252" s="85">
        <f t="shared" si="183"/>
        <v>0</v>
      </c>
      <c r="BB252" s="85">
        <f t="shared" si="184"/>
        <v>0</v>
      </c>
      <c r="BC252" s="85">
        <f t="shared" si="185"/>
        <v>0</v>
      </c>
      <c r="BD252" s="85">
        <f t="shared" si="186"/>
        <v>0</v>
      </c>
      <c r="BE252" s="85">
        <f t="shared" si="187"/>
        <v>0</v>
      </c>
      <c r="BF252" s="85">
        <f t="shared" si="188"/>
        <v>0</v>
      </c>
      <c r="BG252" s="85">
        <f t="shared" si="189"/>
        <v>0</v>
      </c>
      <c r="BH252" s="85">
        <f t="shared" si="190"/>
        <v>0</v>
      </c>
      <c r="BI252" s="85">
        <f t="shared" si="191"/>
        <v>0</v>
      </c>
      <c r="BJ252" s="85">
        <f t="shared" si="192"/>
        <v>0</v>
      </c>
      <c r="BK252" s="85">
        <f t="shared" si="193"/>
        <v>0</v>
      </c>
      <c r="BL252" s="85">
        <f t="shared" si="194"/>
        <v>0</v>
      </c>
      <c r="BM252" s="85">
        <f t="shared" si="195"/>
        <v>0</v>
      </c>
      <c r="BN252" s="85">
        <f t="shared" si="196"/>
        <v>0</v>
      </c>
      <c r="BO252" s="85">
        <f t="shared" si="197"/>
        <v>0</v>
      </c>
      <c r="BP252" s="85">
        <f t="shared" si="198"/>
        <v>0</v>
      </c>
      <c r="BQ252" s="85">
        <f t="shared" si="199"/>
        <v>0</v>
      </c>
      <c r="BR252" s="85">
        <f t="shared" si="200"/>
        <v>0</v>
      </c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3"/>
      <c r="CH252" s="63"/>
      <c r="CI252" s="63"/>
      <c r="CJ252" s="63"/>
      <c r="CK252" s="63"/>
      <c r="CL252" s="63"/>
      <c r="CM252" s="63"/>
      <c r="CN252" s="63"/>
      <c r="CO252" s="63"/>
      <c r="CP252" s="63"/>
      <c r="CQ252" s="63"/>
      <c r="CR252" s="63"/>
      <c r="CS252" s="63"/>
      <c r="CX252" s="35" t="s">
        <v>12</v>
      </c>
      <c r="CZ252" s="35"/>
      <c r="DC252" s="57" t="str">
        <f t="shared" si="201"/>
        <v/>
      </c>
      <c r="DD252" s="64" t="str">
        <f t="shared" si="202"/>
        <v/>
      </c>
      <c r="DE252" s="65" t="str">
        <f t="shared" si="203"/>
        <v/>
      </c>
      <c r="DF252" s="66" t="str">
        <f t="shared" si="204"/>
        <v/>
      </c>
    </row>
    <row r="253" spans="2:110" hidden="1" outlineLevel="1">
      <c r="B253" s="54">
        <f t="shared" si="205"/>
        <v>44823</v>
      </c>
      <c r="C253" s="55" t="s">
        <v>1</v>
      </c>
      <c r="D253" s="56">
        <f t="shared" si="206"/>
        <v>44829</v>
      </c>
      <c r="E253" s="52">
        <f t="shared" si="207"/>
        <v>9</v>
      </c>
      <c r="F253" s="53">
        <f t="shared" si="208"/>
        <v>2022</v>
      </c>
      <c r="G253" s="62">
        <f t="shared" si="209"/>
        <v>15</v>
      </c>
      <c r="H253" s="63">
        <f t="shared" si="210"/>
        <v>96</v>
      </c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>
        <v>15</v>
      </c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80"/>
      <c r="AG253" s="87">
        <f t="shared" si="164"/>
        <v>0</v>
      </c>
      <c r="AH253" s="87">
        <f t="shared" si="165"/>
        <v>0</v>
      </c>
      <c r="AI253" s="87">
        <f t="shared" si="166"/>
        <v>0</v>
      </c>
      <c r="AJ253" s="87">
        <f t="shared" si="167"/>
        <v>0</v>
      </c>
      <c r="AK253" s="87">
        <f t="shared" si="168"/>
        <v>0</v>
      </c>
      <c r="AL253" s="87">
        <f t="shared" si="169"/>
        <v>0</v>
      </c>
      <c r="AM253" s="87">
        <f t="shared" si="170"/>
        <v>0</v>
      </c>
      <c r="AN253" s="87">
        <f t="shared" si="171"/>
        <v>0</v>
      </c>
      <c r="AO253" s="87">
        <f t="shared" si="172"/>
        <v>0</v>
      </c>
      <c r="AP253" s="87">
        <f t="shared" si="173"/>
        <v>0</v>
      </c>
      <c r="AQ253" s="87">
        <f t="shared" si="174"/>
        <v>15</v>
      </c>
      <c r="AR253" s="81"/>
      <c r="AS253" s="85">
        <f t="shared" si="175"/>
        <v>0</v>
      </c>
      <c r="AT253" s="85">
        <f t="shared" si="176"/>
        <v>0</v>
      </c>
      <c r="AU253" s="85">
        <f t="shared" si="177"/>
        <v>0</v>
      </c>
      <c r="AV253" s="85">
        <f t="shared" si="178"/>
        <v>0</v>
      </c>
      <c r="AW253" s="85">
        <f t="shared" si="179"/>
        <v>0</v>
      </c>
      <c r="AX253" s="85">
        <f t="shared" si="180"/>
        <v>0</v>
      </c>
      <c r="AY253" s="85">
        <f t="shared" si="181"/>
        <v>0</v>
      </c>
      <c r="AZ253" s="85">
        <f t="shared" si="182"/>
        <v>0</v>
      </c>
      <c r="BA253" s="85">
        <f t="shared" si="183"/>
        <v>0</v>
      </c>
      <c r="BB253" s="85">
        <f t="shared" si="184"/>
        <v>0</v>
      </c>
      <c r="BC253" s="85">
        <f t="shared" si="185"/>
        <v>0</v>
      </c>
      <c r="BD253" s="85">
        <f t="shared" si="186"/>
        <v>0</v>
      </c>
      <c r="BE253" s="85">
        <f t="shared" si="187"/>
        <v>0</v>
      </c>
      <c r="BF253" s="85">
        <f t="shared" si="188"/>
        <v>0</v>
      </c>
      <c r="BG253" s="85">
        <f t="shared" si="189"/>
        <v>0</v>
      </c>
      <c r="BH253" s="85">
        <f t="shared" si="190"/>
        <v>0</v>
      </c>
      <c r="BI253" s="85">
        <f t="shared" si="191"/>
        <v>0</v>
      </c>
      <c r="BJ253" s="85">
        <f t="shared" si="192"/>
        <v>0</v>
      </c>
      <c r="BK253" s="85">
        <f t="shared" si="193"/>
        <v>0</v>
      </c>
      <c r="BL253" s="85">
        <f t="shared" si="194"/>
        <v>0</v>
      </c>
      <c r="BM253" s="85">
        <f t="shared" si="195"/>
        <v>0</v>
      </c>
      <c r="BN253" s="85">
        <f t="shared" si="196"/>
        <v>0</v>
      </c>
      <c r="BO253" s="85">
        <f t="shared" si="197"/>
        <v>0</v>
      </c>
      <c r="BP253" s="85">
        <f t="shared" si="198"/>
        <v>0</v>
      </c>
      <c r="BQ253" s="85">
        <f t="shared" si="199"/>
        <v>0</v>
      </c>
      <c r="BR253" s="85">
        <f t="shared" si="200"/>
        <v>0</v>
      </c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3"/>
      <c r="CM253" s="63"/>
      <c r="CN253" s="63"/>
      <c r="CO253" s="63"/>
      <c r="CP253" s="63"/>
      <c r="CQ253" s="63"/>
      <c r="CR253" s="63"/>
      <c r="CS253" s="63"/>
      <c r="CW253">
        <v>2</v>
      </c>
      <c r="CX253" s="35">
        <v>44823</v>
      </c>
      <c r="CZ253" s="35">
        <f>B270</f>
        <v>44942</v>
      </c>
      <c r="DA253">
        <v>98</v>
      </c>
      <c r="DC253" s="57" t="str">
        <f t="shared" si="201"/>
        <v/>
      </c>
      <c r="DD253" s="64" t="str">
        <f t="shared" si="202"/>
        <v/>
      </c>
      <c r="DE253" s="65" t="str">
        <f t="shared" si="203"/>
        <v/>
      </c>
      <c r="DF253" s="66" t="str">
        <f t="shared" si="204"/>
        <v/>
      </c>
    </row>
    <row r="254" spans="2:110" hidden="1" outlineLevel="1">
      <c r="B254" s="54">
        <f t="shared" si="205"/>
        <v>44830</v>
      </c>
      <c r="C254" s="55" t="s">
        <v>1</v>
      </c>
      <c r="D254" s="56">
        <f t="shared" si="206"/>
        <v>44836</v>
      </c>
      <c r="E254" s="52">
        <f t="shared" si="207"/>
        <v>9</v>
      </c>
      <c r="F254" s="53">
        <f t="shared" si="208"/>
        <v>2022</v>
      </c>
      <c r="G254" s="62">
        <f t="shared" si="209"/>
        <v>15</v>
      </c>
      <c r="H254" s="63">
        <f t="shared" si="210"/>
        <v>96</v>
      </c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>
        <v>15</v>
      </c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80"/>
      <c r="AG254" s="87">
        <f t="shared" si="164"/>
        <v>0</v>
      </c>
      <c r="AH254" s="87">
        <f t="shared" si="165"/>
        <v>0</v>
      </c>
      <c r="AI254" s="87">
        <f t="shared" si="166"/>
        <v>0</v>
      </c>
      <c r="AJ254" s="87">
        <f t="shared" si="167"/>
        <v>0</v>
      </c>
      <c r="AK254" s="87">
        <f t="shared" si="168"/>
        <v>0</v>
      </c>
      <c r="AL254" s="87">
        <f t="shared" si="169"/>
        <v>0</v>
      </c>
      <c r="AM254" s="87">
        <f t="shared" si="170"/>
        <v>0</v>
      </c>
      <c r="AN254" s="87">
        <f t="shared" si="171"/>
        <v>0</v>
      </c>
      <c r="AO254" s="87">
        <f t="shared" si="172"/>
        <v>0</v>
      </c>
      <c r="AP254" s="87">
        <f t="shared" si="173"/>
        <v>0</v>
      </c>
      <c r="AQ254" s="87">
        <f t="shared" si="174"/>
        <v>15</v>
      </c>
      <c r="AR254" s="81"/>
      <c r="AS254" s="85">
        <f t="shared" si="175"/>
        <v>0</v>
      </c>
      <c r="AT254" s="85">
        <f t="shared" si="176"/>
        <v>0</v>
      </c>
      <c r="AU254" s="85">
        <f t="shared" si="177"/>
        <v>0</v>
      </c>
      <c r="AV254" s="85">
        <f t="shared" si="178"/>
        <v>0</v>
      </c>
      <c r="AW254" s="85">
        <f t="shared" si="179"/>
        <v>0</v>
      </c>
      <c r="AX254" s="85">
        <f t="shared" si="180"/>
        <v>0</v>
      </c>
      <c r="AY254" s="85">
        <f t="shared" si="181"/>
        <v>0</v>
      </c>
      <c r="AZ254" s="85">
        <f t="shared" si="182"/>
        <v>0</v>
      </c>
      <c r="BA254" s="85">
        <f t="shared" si="183"/>
        <v>0</v>
      </c>
      <c r="BB254" s="85">
        <f t="shared" si="184"/>
        <v>0</v>
      </c>
      <c r="BC254" s="85">
        <f t="shared" si="185"/>
        <v>0</v>
      </c>
      <c r="BD254" s="85">
        <f t="shared" si="186"/>
        <v>0</v>
      </c>
      <c r="BE254" s="85">
        <f t="shared" si="187"/>
        <v>0</v>
      </c>
      <c r="BF254" s="85">
        <f t="shared" si="188"/>
        <v>0</v>
      </c>
      <c r="BG254" s="85">
        <f t="shared" si="189"/>
        <v>0</v>
      </c>
      <c r="BH254" s="85">
        <f t="shared" si="190"/>
        <v>0</v>
      </c>
      <c r="BI254" s="85">
        <f t="shared" si="191"/>
        <v>0</v>
      </c>
      <c r="BJ254" s="85">
        <f t="shared" si="192"/>
        <v>0</v>
      </c>
      <c r="BK254" s="85">
        <f t="shared" si="193"/>
        <v>0</v>
      </c>
      <c r="BL254" s="85">
        <f t="shared" si="194"/>
        <v>0</v>
      </c>
      <c r="BM254" s="85">
        <f t="shared" si="195"/>
        <v>0</v>
      </c>
      <c r="BN254" s="85">
        <f t="shared" si="196"/>
        <v>0</v>
      </c>
      <c r="BO254" s="85">
        <f t="shared" si="197"/>
        <v>0</v>
      </c>
      <c r="BP254" s="85">
        <f t="shared" si="198"/>
        <v>0</v>
      </c>
      <c r="BQ254" s="85">
        <f t="shared" si="199"/>
        <v>0</v>
      </c>
      <c r="BR254" s="85">
        <f t="shared" si="200"/>
        <v>0</v>
      </c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3"/>
      <c r="CH254" s="63"/>
      <c r="CI254" s="63"/>
      <c r="CJ254" s="63"/>
      <c r="CK254" s="63"/>
      <c r="CL254" s="63"/>
      <c r="CM254" s="63"/>
      <c r="CN254" s="63"/>
      <c r="CO254" s="63"/>
      <c r="CP254" s="63"/>
      <c r="CQ254" s="63"/>
      <c r="CR254" s="63"/>
      <c r="CS254" s="63"/>
      <c r="CX254" s="35" t="s">
        <v>12</v>
      </c>
      <c r="CZ254" s="35"/>
      <c r="DC254" s="57" t="str">
        <f t="shared" si="201"/>
        <v/>
      </c>
      <c r="DD254" s="64" t="str">
        <f t="shared" si="202"/>
        <v/>
      </c>
      <c r="DE254" s="65" t="str">
        <f t="shared" si="203"/>
        <v/>
      </c>
      <c r="DF254" s="66" t="str">
        <f t="shared" si="204"/>
        <v/>
      </c>
    </row>
    <row r="255" spans="2:110" hidden="1" outlineLevel="1">
      <c r="B255" s="54">
        <f t="shared" si="205"/>
        <v>44837</v>
      </c>
      <c r="C255" s="55" t="s">
        <v>1</v>
      </c>
      <c r="D255" s="56">
        <f t="shared" si="206"/>
        <v>44843</v>
      </c>
      <c r="E255" s="52">
        <f t="shared" si="207"/>
        <v>10</v>
      </c>
      <c r="F255" s="53">
        <f t="shared" si="208"/>
        <v>2022</v>
      </c>
      <c r="G255" s="62">
        <f t="shared" si="209"/>
        <v>15</v>
      </c>
      <c r="H255" s="63">
        <f t="shared" si="210"/>
        <v>96</v>
      </c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>
        <v>15</v>
      </c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80"/>
      <c r="AG255" s="87">
        <f t="shared" si="164"/>
        <v>0</v>
      </c>
      <c r="AH255" s="87">
        <f t="shared" si="165"/>
        <v>0</v>
      </c>
      <c r="AI255" s="87">
        <f t="shared" si="166"/>
        <v>0</v>
      </c>
      <c r="AJ255" s="87">
        <f t="shared" si="167"/>
        <v>0</v>
      </c>
      <c r="AK255" s="87">
        <f t="shared" si="168"/>
        <v>0</v>
      </c>
      <c r="AL255" s="87">
        <f t="shared" si="169"/>
        <v>0</v>
      </c>
      <c r="AM255" s="87">
        <f t="shared" si="170"/>
        <v>0</v>
      </c>
      <c r="AN255" s="87">
        <f t="shared" si="171"/>
        <v>0</v>
      </c>
      <c r="AO255" s="87">
        <f t="shared" si="172"/>
        <v>0</v>
      </c>
      <c r="AP255" s="87">
        <f t="shared" si="173"/>
        <v>0</v>
      </c>
      <c r="AQ255" s="87">
        <f t="shared" si="174"/>
        <v>15</v>
      </c>
      <c r="AR255" s="81"/>
      <c r="AS255" s="85">
        <f t="shared" si="175"/>
        <v>0</v>
      </c>
      <c r="AT255" s="85">
        <f t="shared" si="176"/>
        <v>0</v>
      </c>
      <c r="AU255" s="85">
        <f t="shared" si="177"/>
        <v>0</v>
      </c>
      <c r="AV255" s="85">
        <f t="shared" si="178"/>
        <v>0</v>
      </c>
      <c r="AW255" s="85">
        <f t="shared" si="179"/>
        <v>0</v>
      </c>
      <c r="AX255" s="85">
        <f t="shared" si="180"/>
        <v>0</v>
      </c>
      <c r="AY255" s="85">
        <f t="shared" si="181"/>
        <v>0</v>
      </c>
      <c r="AZ255" s="85">
        <f t="shared" si="182"/>
        <v>0</v>
      </c>
      <c r="BA255" s="85">
        <f t="shared" si="183"/>
        <v>0</v>
      </c>
      <c r="BB255" s="85">
        <f t="shared" si="184"/>
        <v>0</v>
      </c>
      <c r="BC255" s="85">
        <f t="shared" si="185"/>
        <v>0</v>
      </c>
      <c r="BD255" s="85">
        <f t="shared" si="186"/>
        <v>0</v>
      </c>
      <c r="BE255" s="85">
        <f t="shared" si="187"/>
        <v>0</v>
      </c>
      <c r="BF255" s="85">
        <f t="shared" si="188"/>
        <v>0</v>
      </c>
      <c r="BG255" s="85">
        <f t="shared" si="189"/>
        <v>0</v>
      </c>
      <c r="BH255" s="85">
        <f t="shared" si="190"/>
        <v>0</v>
      </c>
      <c r="BI255" s="85">
        <f t="shared" si="191"/>
        <v>0</v>
      </c>
      <c r="BJ255" s="85">
        <f t="shared" si="192"/>
        <v>0</v>
      </c>
      <c r="BK255" s="85">
        <f t="shared" si="193"/>
        <v>0</v>
      </c>
      <c r="BL255" s="85">
        <f t="shared" si="194"/>
        <v>0</v>
      </c>
      <c r="BM255" s="85">
        <f t="shared" si="195"/>
        <v>0</v>
      </c>
      <c r="BN255" s="85">
        <f t="shared" si="196"/>
        <v>0</v>
      </c>
      <c r="BO255" s="85">
        <f t="shared" si="197"/>
        <v>0</v>
      </c>
      <c r="BP255" s="85">
        <f t="shared" si="198"/>
        <v>0</v>
      </c>
      <c r="BQ255" s="85">
        <f t="shared" si="199"/>
        <v>0</v>
      </c>
      <c r="BR255" s="85">
        <f t="shared" si="200"/>
        <v>0</v>
      </c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3"/>
      <c r="CM255" s="63"/>
      <c r="CN255" s="63"/>
      <c r="CO255" s="63"/>
      <c r="CP255" s="63"/>
      <c r="CQ255" s="63"/>
      <c r="CR255" s="63"/>
      <c r="CS255" s="63"/>
      <c r="CX255" s="35" t="s">
        <v>12</v>
      </c>
      <c r="CZ255" s="35"/>
      <c r="DC255" s="57" t="str">
        <f t="shared" si="201"/>
        <v/>
      </c>
      <c r="DD255" s="64" t="str">
        <f t="shared" si="202"/>
        <v/>
      </c>
      <c r="DE255" s="65" t="str">
        <f t="shared" si="203"/>
        <v/>
      </c>
      <c r="DF255" s="66" t="str">
        <f t="shared" si="204"/>
        <v/>
      </c>
    </row>
    <row r="256" spans="2:110" hidden="1" outlineLevel="1">
      <c r="B256" s="54">
        <f t="shared" si="205"/>
        <v>44844</v>
      </c>
      <c r="C256" s="55" t="s">
        <v>1</v>
      </c>
      <c r="D256" s="56">
        <f t="shared" si="206"/>
        <v>44850</v>
      </c>
      <c r="E256" s="52">
        <f t="shared" si="207"/>
        <v>10</v>
      </c>
      <c r="F256" s="53">
        <f t="shared" si="208"/>
        <v>2022</v>
      </c>
      <c r="G256" s="62">
        <f t="shared" si="209"/>
        <v>15</v>
      </c>
      <c r="H256" s="63">
        <f t="shared" si="210"/>
        <v>96</v>
      </c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>
        <v>15</v>
      </c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80"/>
      <c r="AG256" s="87">
        <f t="shared" si="164"/>
        <v>0</v>
      </c>
      <c r="AH256" s="87">
        <f t="shared" si="165"/>
        <v>0</v>
      </c>
      <c r="AI256" s="87">
        <f t="shared" si="166"/>
        <v>0</v>
      </c>
      <c r="AJ256" s="87">
        <f t="shared" si="167"/>
        <v>0</v>
      </c>
      <c r="AK256" s="87">
        <f t="shared" si="168"/>
        <v>0</v>
      </c>
      <c r="AL256" s="87">
        <f t="shared" si="169"/>
        <v>0</v>
      </c>
      <c r="AM256" s="87">
        <f t="shared" si="170"/>
        <v>0</v>
      </c>
      <c r="AN256" s="87">
        <f t="shared" si="171"/>
        <v>0</v>
      </c>
      <c r="AO256" s="87">
        <f t="shared" si="172"/>
        <v>0</v>
      </c>
      <c r="AP256" s="87">
        <f t="shared" si="173"/>
        <v>0</v>
      </c>
      <c r="AQ256" s="87">
        <f t="shared" si="174"/>
        <v>15</v>
      </c>
      <c r="AR256" s="81"/>
      <c r="AS256" s="85">
        <f t="shared" si="175"/>
        <v>0</v>
      </c>
      <c r="AT256" s="85">
        <f t="shared" si="176"/>
        <v>0</v>
      </c>
      <c r="AU256" s="85">
        <f t="shared" si="177"/>
        <v>0</v>
      </c>
      <c r="AV256" s="85">
        <f t="shared" si="178"/>
        <v>0</v>
      </c>
      <c r="AW256" s="85">
        <f t="shared" si="179"/>
        <v>0</v>
      </c>
      <c r="AX256" s="85">
        <f t="shared" si="180"/>
        <v>0</v>
      </c>
      <c r="AY256" s="85">
        <f t="shared" si="181"/>
        <v>0</v>
      </c>
      <c r="AZ256" s="85">
        <f t="shared" si="182"/>
        <v>0</v>
      </c>
      <c r="BA256" s="85">
        <f t="shared" si="183"/>
        <v>0</v>
      </c>
      <c r="BB256" s="85">
        <f t="shared" si="184"/>
        <v>0</v>
      </c>
      <c r="BC256" s="85">
        <f t="shared" si="185"/>
        <v>0</v>
      </c>
      <c r="BD256" s="85">
        <f t="shared" si="186"/>
        <v>0</v>
      </c>
      <c r="BE256" s="85">
        <f t="shared" si="187"/>
        <v>0</v>
      </c>
      <c r="BF256" s="85">
        <f t="shared" si="188"/>
        <v>0</v>
      </c>
      <c r="BG256" s="85">
        <f t="shared" si="189"/>
        <v>0</v>
      </c>
      <c r="BH256" s="85">
        <f t="shared" si="190"/>
        <v>0</v>
      </c>
      <c r="BI256" s="85">
        <f t="shared" si="191"/>
        <v>0</v>
      </c>
      <c r="BJ256" s="85">
        <f t="shared" si="192"/>
        <v>0</v>
      </c>
      <c r="BK256" s="85">
        <f t="shared" si="193"/>
        <v>0</v>
      </c>
      <c r="BL256" s="85">
        <f t="shared" si="194"/>
        <v>0</v>
      </c>
      <c r="BM256" s="85">
        <f t="shared" si="195"/>
        <v>0</v>
      </c>
      <c r="BN256" s="85">
        <f t="shared" si="196"/>
        <v>0</v>
      </c>
      <c r="BO256" s="85">
        <f t="shared" si="197"/>
        <v>0</v>
      </c>
      <c r="BP256" s="85">
        <f t="shared" si="198"/>
        <v>0</v>
      </c>
      <c r="BQ256" s="85">
        <f t="shared" si="199"/>
        <v>0</v>
      </c>
      <c r="BR256" s="85">
        <f t="shared" si="200"/>
        <v>0</v>
      </c>
      <c r="BT256" s="63"/>
      <c r="BU256" s="63"/>
      <c r="BV256" s="63"/>
      <c r="BW256" s="63"/>
      <c r="BX256" s="63"/>
      <c r="BY256" s="63"/>
      <c r="BZ256" s="63"/>
      <c r="CA256" s="63"/>
      <c r="CB256" s="63"/>
      <c r="CC256" s="63"/>
      <c r="CD256" s="63"/>
      <c r="CE256" s="63"/>
      <c r="CF256" s="63"/>
      <c r="CG256" s="63"/>
      <c r="CH256" s="63"/>
      <c r="CI256" s="63"/>
      <c r="CJ256" s="63"/>
      <c r="CK256" s="63"/>
      <c r="CL256" s="63"/>
      <c r="CM256" s="63"/>
      <c r="CN256" s="63"/>
      <c r="CO256" s="63"/>
      <c r="CP256" s="63"/>
      <c r="CQ256" s="63"/>
      <c r="CR256" s="63"/>
      <c r="CS256" s="63"/>
      <c r="CX256" s="35" t="s">
        <v>12</v>
      </c>
      <c r="CZ256" s="35"/>
      <c r="DC256" s="57" t="str">
        <f t="shared" si="201"/>
        <v/>
      </c>
      <c r="DD256" s="64" t="str">
        <f t="shared" si="202"/>
        <v/>
      </c>
      <c r="DE256" s="65" t="str">
        <f t="shared" si="203"/>
        <v/>
      </c>
      <c r="DF256" s="66" t="str">
        <f t="shared" si="204"/>
        <v/>
      </c>
    </row>
    <row r="257" spans="2:110" hidden="1" outlineLevel="1">
      <c r="B257" s="54">
        <f t="shared" si="205"/>
        <v>44851</v>
      </c>
      <c r="C257" s="55" t="s">
        <v>1</v>
      </c>
      <c r="D257" s="56">
        <f t="shared" si="206"/>
        <v>44857</v>
      </c>
      <c r="E257" s="52">
        <f t="shared" si="207"/>
        <v>10</v>
      </c>
      <c r="F257" s="53">
        <f t="shared" si="208"/>
        <v>2022</v>
      </c>
      <c r="G257" s="62">
        <f t="shared" si="209"/>
        <v>15</v>
      </c>
      <c r="H257" s="63">
        <f t="shared" si="210"/>
        <v>96</v>
      </c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>
        <v>15</v>
      </c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80"/>
      <c r="AG257" s="87">
        <f t="shared" si="164"/>
        <v>0</v>
      </c>
      <c r="AH257" s="87">
        <f t="shared" si="165"/>
        <v>0</v>
      </c>
      <c r="AI257" s="87">
        <f t="shared" si="166"/>
        <v>0</v>
      </c>
      <c r="AJ257" s="87">
        <f t="shared" si="167"/>
        <v>0</v>
      </c>
      <c r="AK257" s="87">
        <f t="shared" si="168"/>
        <v>0</v>
      </c>
      <c r="AL257" s="87">
        <f t="shared" si="169"/>
        <v>0</v>
      </c>
      <c r="AM257" s="87">
        <f t="shared" si="170"/>
        <v>0</v>
      </c>
      <c r="AN257" s="87">
        <f t="shared" si="171"/>
        <v>0</v>
      </c>
      <c r="AO257" s="87">
        <f t="shared" si="172"/>
        <v>0</v>
      </c>
      <c r="AP257" s="87">
        <f t="shared" si="173"/>
        <v>0</v>
      </c>
      <c r="AQ257" s="87">
        <f t="shared" si="174"/>
        <v>15</v>
      </c>
      <c r="AR257" s="81"/>
      <c r="AS257" s="85">
        <f t="shared" si="175"/>
        <v>0</v>
      </c>
      <c r="AT257" s="85">
        <f t="shared" si="176"/>
        <v>0</v>
      </c>
      <c r="AU257" s="85">
        <f t="shared" si="177"/>
        <v>0</v>
      </c>
      <c r="AV257" s="85">
        <f t="shared" si="178"/>
        <v>0</v>
      </c>
      <c r="AW257" s="85">
        <f t="shared" si="179"/>
        <v>0</v>
      </c>
      <c r="AX257" s="85">
        <f t="shared" si="180"/>
        <v>0</v>
      </c>
      <c r="AY257" s="85">
        <f t="shared" si="181"/>
        <v>0</v>
      </c>
      <c r="AZ257" s="85">
        <f t="shared" si="182"/>
        <v>0</v>
      </c>
      <c r="BA257" s="85">
        <f t="shared" si="183"/>
        <v>0</v>
      </c>
      <c r="BB257" s="85">
        <f t="shared" si="184"/>
        <v>0</v>
      </c>
      <c r="BC257" s="85">
        <f t="shared" si="185"/>
        <v>0</v>
      </c>
      <c r="BD257" s="85">
        <f t="shared" si="186"/>
        <v>0</v>
      </c>
      <c r="BE257" s="85">
        <f t="shared" si="187"/>
        <v>0</v>
      </c>
      <c r="BF257" s="85">
        <f t="shared" si="188"/>
        <v>0</v>
      </c>
      <c r="BG257" s="85">
        <f t="shared" si="189"/>
        <v>0</v>
      </c>
      <c r="BH257" s="85">
        <f t="shared" si="190"/>
        <v>0</v>
      </c>
      <c r="BI257" s="85">
        <f t="shared" si="191"/>
        <v>0</v>
      </c>
      <c r="BJ257" s="85">
        <f t="shared" si="192"/>
        <v>0</v>
      </c>
      <c r="BK257" s="85">
        <f t="shared" si="193"/>
        <v>0</v>
      </c>
      <c r="BL257" s="85">
        <f t="shared" si="194"/>
        <v>0</v>
      </c>
      <c r="BM257" s="85">
        <f t="shared" si="195"/>
        <v>0</v>
      </c>
      <c r="BN257" s="85">
        <f t="shared" si="196"/>
        <v>0</v>
      </c>
      <c r="BO257" s="85">
        <f t="shared" si="197"/>
        <v>0</v>
      </c>
      <c r="BP257" s="85">
        <f t="shared" si="198"/>
        <v>0</v>
      </c>
      <c r="BQ257" s="85">
        <f t="shared" si="199"/>
        <v>0</v>
      </c>
      <c r="BR257" s="85">
        <f t="shared" si="200"/>
        <v>0</v>
      </c>
      <c r="BT257" s="63"/>
      <c r="BU257" s="63"/>
      <c r="BV257" s="63"/>
      <c r="BW257" s="63"/>
      <c r="BX257" s="63"/>
      <c r="BY257" s="63"/>
      <c r="BZ257" s="63"/>
      <c r="CA257" s="63"/>
      <c r="CB257" s="63"/>
      <c r="CC257" s="63"/>
      <c r="CD257" s="63"/>
      <c r="CE257" s="63"/>
      <c r="CF257" s="63"/>
      <c r="CG257" s="63"/>
      <c r="CH257" s="63"/>
      <c r="CI257" s="63"/>
      <c r="CJ257" s="63"/>
      <c r="CK257" s="63"/>
      <c r="CL257" s="63"/>
      <c r="CM257" s="63"/>
      <c r="CN257" s="63"/>
      <c r="CO257" s="63"/>
      <c r="CP257" s="63"/>
      <c r="CQ257" s="63"/>
      <c r="CR257" s="63"/>
      <c r="CS257" s="63"/>
      <c r="CX257" s="35" t="s">
        <v>12</v>
      </c>
      <c r="CZ257" s="35"/>
      <c r="DC257" s="57" t="str">
        <f t="shared" si="201"/>
        <v/>
      </c>
      <c r="DD257" s="64" t="str">
        <f t="shared" si="202"/>
        <v/>
      </c>
      <c r="DE257" s="65" t="str">
        <f t="shared" si="203"/>
        <v/>
      </c>
      <c r="DF257" s="66" t="str">
        <f t="shared" si="204"/>
        <v/>
      </c>
    </row>
    <row r="258" spans="2:110" hidden="1" outlineLevel="1">
      <c r="B258" s="54">
        <f t="shared" si="205"/>
        <v>44858</v>
      </c>
      <c r="C258" s="55" t="s">
        <v>1</v>
      </c>
      <c r="D258" s="56">
        <f t="shared" si="206"/>
        <v>44864</v>
      </c>
      <c r="E258" s="52">
        <f t="shared" si="207"/>
        <v>10</v>
      </c>
      <c r="F258" s="53">
        <f t="shared" si="208"/>
        <v>2022</v>
      </c>
      <c r="G258" s="62">
        <f t="shared" si="209"/>
        <v>15</v>
      </c>
      <c r="H258" s="63">
        <f t="shared" si="210"/>
        <v>96</v>
      </c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>
        <v>15</v>
      </c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80"/>
      <c r="AG258" s="87">
        <f t="shared" si="164"/>
        <v>0</v>
      </c>
      <c r="AH258" s="87">
        <f t="shared" si="165"/>
        <v>0</v>
      </c>
      <c r="AI258" s="87">
        <f t="shared" si="166"/>
        <v>0</v>
      </c>
      <c r="AJ258" s="87">
        <f t="shared" si="167"/>
        <v>0</v>
      </c>
      <c r="AK258" s="87">
        <f t="shared" si="168"/>
        <v>0</v>
      </c>
      <c r="AL258" s="87">
        <f t="shared" si="169"/>
        <v>0</v>
      </c>
      <c r="AM258" s="87">
        <f t="shared" si="170"/>
        <v>0</v>
      </c>
      <c r="AN258" s="87">
        <f t="shared" si="171"/>
        <v>0</v>
      </c>
      <c r="AO258" s="87">
        <f t="shared" si="172"/>
        <v>0</v>
      </c>
      <c r="AP258" s="87">
        <f t="shared" si="173"/>
        <v>0</v>
      </c>
      <c r="AQ258" s="87">
        <f t="shared" si="174"/>
        <v>15</v>
      </c>
      <c r="AR258" s="81"/>
      <c r="AS258" s="85">
        <f t="shared" si="175"/>
        <v>0</v>
      </c>
      <c r="AT258" s="85">
        <f t="shared" si="176"/>
        <v>0</v>
      </c>
      <c r="AU258" s="85">
        <f t="shared" si="177"/>
        <v>0</v>
      </c>
      <c r="AV258" s="85">
        <f t="shared" si="178"/>
        <v>0</v>
      </c>
      <c r="AW258" s="85">
        <f t="shared" si="179"/>
        <v>0</v>
      </c>
      <c r="AX258" s="85">
        <f t="shared" si="180"/>
        <v>0</v>
      </c>
      <c r="AY258" s="85">
        <f t="shared" si="181"/>
        <v>0</v>
      </c>
      <c r="AZ258" s="85">
        <f t="shared" si="182"/>
        <v>0</v>
      </c>
      <c r="BA258" s="85">
        <f t="shared" si="183"/>
        <v>0</v>
      </c>
      <c r="BB258" s="85">
        <f t="shared" si="184"/>
        <v>0</v>
      </c>
      <c r="BC258" s="85">
        <f t="shared" si="185"/>
        <v>0</v>
      </c>
      <c r="BD258" s="85">
        <f t="shared" si="186"/>
        <v>0</v>
      </c>
      <c r="BE258" s="85">
        <f t="shared" si="187"/>
        <v>0</v>
      </c>
      <c r="BF258" s="85">
        <f t="shared" si="188"/>
        <v>0</v>
      </c>
      <c r="BG258" s="85">
        <f t="shared" si="189"/>
        <v>0</v>
      </c>
      <c r="BH258" s="85">
        <f t="shared" si="190"/>
        <v>0</v>
      </c>
      <c r="BI258" s="85">
        <f t="shared" si="191"/>
        <v>0</v>
      </c>
      <c r="BJ258" s="85">
        <f t="shared" si="192"/>
        <v>0</v>
      </c>
      <c r="BK258" s="85">
        <f t="shared" si="193"/>
        <v>0</v>
      </c>
      <c r="BL258" s="85">
        <f t="shared" si="194"/>
        <v>0</v>
      </c>
      <c r="BM258" s="85">
        <f t="shared" si="195"/>
        <v>0</v>
      </c>
      <c r="BN258" s="85">
        <f t="shared" si="196"/>
        <v>0</v>
      </c>
      <c r="BO258" s="85">
        <f t="shared" si="197"/>
        <v>0</v>
      </c>
      <c r="BP258" s="85">
        <f t="shared" si="198"/>
        <v>0</v>
      </c>
      <c r="BQ258" s="85">
        <f t="shared" si="199"/>
        <v>0</v>
      </c>
      <c r="BR258" s="85">
        <f t="shared" si="200"/>
        <v>0</v>
      </c>
      <c r="BT258" s="63"/>
      <c r="BU258" s="63"/>
      <c r="BV258" s="63"/>
      <c r="BW258" s="63"/>
      <c r="BX258" s="63"/>
      <c r="BY258" s="63"/>
      <c r="BZ258" s="63"/>
      <c r="CA258" s="63"/>
      <c r="CB258" s="63"/>
      <c r="CC258" s="63"/>
      <c r="CD258" s="63"/>
      <c r="CE258" s="63"/>
      <c r="CF258" s="63"/>
      <c r="CG258" s="63"/>
      <c r="CH258" s="63"/>
      <c r="CI258" s="63"/>
      <c r="CJ258" s="63"/>
      <c r="CK258" s="63"/>
      <c r="CL258" s="63"/>
      <c r="CM258" s="63"/>
      <c r="CN258" s="63"/>
      <c r="CO258" s="63"/>
      <c r="CP258" s="63"/>
      <c r="CQ258" s="63"/>
      <c r="CR258" s="63"/>
      <c r="CS258" s="63"/>
      <c r="CX258" s="35" t="s">
        <v>12</v>
      </c>
      <c r="CZ258" s="35"/>
      <c r="DC258" s="57" t="str">
        <f t="shared" si="201"/>
        <v/>
      </c>
      <c r="DD258" s="64" t="str">
        <f t="shared" si="202"/>
        <v/>
      </c>
      <c r="DE258" s="65" t="str">
        <f t="shared" si="203"/>
        <v/>
      </c>
      <c r="DF258" s="66" t="str">
        <f t="shared" si="204"/>
        <v/>
      </c>
    </row>
    <row r="259" spans="2:110" hidden="1" outlineLevel="1">
      <c r="B259" s="54">
        <f t="shared" si="205"/>
        <v>44865</v>
      </c>
      <c r="C259" s="55" t="s">
        <v>1</v>
      </c>
      <c r="D259" s="56">
        <f t="shared" si="206"/>
        <v>44871</v>
      </c>
      <c r="E259" s="52">
        <f t="shared" si="207"/>
        <v>10</v>
      </c>
      <c r="F259" s="53">
        <f t="shared" si="208"/>
        <v>2022</v>
      </c>
      <c r="G259" s="62">
        <f t="shared" si="209"/>
        <v>15</v>
      </c>
      <c r="H259" s="63">
        <f t="shared" si="210"/>
        <v>96</v>
      </c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>
        <v>15</v>
      </c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80"/>
      <c r="AG259" s="87">
        <f t="shared" si="164"/>
        <v>0</v>
      </c>
      <c r="AH259" s="87">
        <f t="shared" si="165"/>
        <v>0</v>
      </c>
      <c r="AI259" s="87">
        <f t="shared" si="166"/>
        <v>0</v>
      </c>
      <c r="AJ259" s="87">
        <f t="shared" si="167"/>
        <v>0</v>
      </c>
      <c r="AK259" s="87">
        <f t="shared" si="168"/>
        <v>0</v>
      </c>
      <c r="AL259" s="87">
        <f t="shared" si="169"/>
        <v>0</v>
      </c>
      <c r="AM259" s="87">
        <f t="shared" si="170"/>
        <v>0</v>
      </c>
      <c r="AN259" s="87">
        <f t="shared" si="171"/>
        <v>0</v>
      </c>
      <c r="AO259" s="87">
        <f t="shared" si="172"/>
        <v>0</v>
      </c>
      <c r="AP259" s="87">
        <f t="shared" si="173"/>
        <v>0</v>
      </c>
      <c r="AQ259" s="87">
        <f t="shared" si="174"/>
        <v>15</v>
      </c>
      <c r="AR259" s="81"/>
      <c r="AS259" s="85">
        <f t="shared" si="175"/>
        <v>0</v>
      </c>
      <c r="AT259" s="85">
        <f t="shared" si="176"/>
        <v>0</v>
      </c>
      <c r="AU259" s="85">
        <f t="shared" si="177"/>
        <v>0</v>
      </c>
      <c r="AV259" s="85">
        <f t="shared" si="178"/>
        <v>0</v>
      </c>
      <c r="AW259" s="85">
        <f t="shared" si="179"/>
        <v>0</v>
      </c>
      <c r="AX259" s="85">
        <f t="shared" si="180"/>
        <v>0</v>
      </c>
      <c r="AY259" s="85">
        <f t="shared" si="181"/>
        <v>0</v>
      </c>
      <c r="AZ259" s="85">
        <f t="shared" si="182"/>
        <v>0</v>
      </c>
      <c r="BA259" s="85">
        <f t="shared" si="183"/>
        <v>0</v>
      </c>
      <c r="BB259" s="85">
        <f t="shared" si="184"/>
        <v>0</v>
      </c>
      <c r="BC259" s="85">
        <f t="shared" si="185"/>
        <v>0</v>
      </c>
      <c r="BD259" s="85">
        <f t="shared" si="186"/>
        <v>0</v>
      </c>
      <c r="BE259" s="85">
        <f t="shared" si="187"/>
        <v>0</v>
      </c>
      <c r="BF259" s="85">
        <f t="shared" si="188"/>
        <v>0</v>
      </c>
      <c r="BG259" s="85">
        <f t="shared" si="189"/>
        <v>0</v>
      </c>
      <c r="BH259" s="85">
        <f t="shared" si="190"/>
        <v>0</v>
      </c>
      <c r="BI259" s="85">
        <f t="shared" si="191"/>
        <v>0</v>
      </c>
      <c r="BJ259" s="85">
        <f t="shared" si="192"/>
        <v>0</v>
      </c>
      <c r="BK259" s="85">
        <f t="shared" si="193"/>
        <v>0</v>
      </c>
      <c r="BL259" s="85">
        <f t="shared" si="194"/>
        <v>0</v>
      </c>
      <c r="BM259" s="85">
        <f t="shared" si="195"/>
        <v>0</v>
      </c>
      <c r="BN259" s="85">
        <f t="shared" si="196"/>
        <v>0</v>
      </c>
      <c r="BO259" s="85">
        <f t="shared" si="197"/>
        <v>0</v>
      </c>
      <c r="BP259" s="85">
        <f t="shared" si="198"/>
        <v>0</v>
      </c>
      <c r="BQ259" s="85">
        <f t="shared" si="199"/>
        <v>0</v>
      </c>
      <c r="BR259" s="85">
        <f t="shared" si="200"/>
        <v>0</v>
      </c>
      <c r="BT259" s="63"/>
      <c r="BU259" s="63"/>
      <c r="BV259" s="63"/>
      <c r="BW259" s="63"/>
      <c r="BX259" s="63"/>
      <c r="BY259" s="63"/>
      <c r="BZ259" s="63"/>
      <c r="CA259" s="63"/>
      <c r="CB259" s="63"/>
      <c r="CC259" s="63"/>
      <c r="CD259" s="63"/>
      <c r="CE259" s="63"/>
      <c r="CF259" s="63"/>
      <c r="CG259" s="63"/>
      <c r="CH259" s="63"/>
      <c r="CI259" s="63"/>
      <c r="CJ259" s="63"/>
      <c r="CK259" s="63"/>
      <c r="CL259" s="63"/>
      <c r="CM259" s="63"/>
      <c r="CN259" s="63"/>
      <c r="CO259" s="63"/>
      <c r="CP259" s="63"/>
      <c r="CQ259" s="63"/>
      <c r="CR259" s="63"/>
      <c r="CS259" s="63"/>
      <c r="CX259" s="35" t="s">
        <v>12</v>
      </c>
      <c r="CZ259" s="35"/>
      <c r="DC259" s="57" t="str">
        <f t="shared" si="201"/>
        <v/>
      </c>
      <c r="DD259" s="64" t="str">
        <f t="shared" si="202"/>
        <v/>
      </c>
      <c r="DE259" s="65" t="str">
        <f t="shared" si="203"/>
        <v/>
      </c>
      <c r="DF259" s="66" t="str">
        <f t="shared" si="204"/>
        <v/>
      </c>
    </row>
    <row r="260" spans="2:110" hidden="1" outlineLevel="1">
      <c r="B260" s="54">
        <f t="shared" si="205"/>
        <v>44872</v>
      </c>
      <c r="C260" s="55" t="s">
        <v>1</v>
      </c>
      <c r="D260" s="56">
        <f t="shared" si="206"/>
        <v>44878</v>
      </c>
      <c r="E260" s="52">
        <f t="shared" si="207"/>
        <v>11</v>
      </c>
      <c r="F260" s="53">
        <f t="shared" si="208"/>
        <v>2022</v>
      </c>
      <c r="G260" s="62">
        <f t="shared" si="209"/>
        <v>15</v>
      </c>
      <c r="H260" s="63">
        <f t="shared" si="210"/>
        <v>96</v>
      </c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>
        <v>15</v>
      </c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80"/>
      <c r="AG260" s="87">
        <f t="shared" si="164"/>
        <v>0</v>
      </c>
      <c r="AH260" s="87">
        <f t="shared" si="165"/>
        <v>0</v>
      </c>
      <c r="AI260" s="87">
        <f t="shared" si="166"/>
        <v>0</v>
      </c>
      <c r="AJ260" s="87">
        <f t="shared" si="167"/>
        <v>0</v>
      </c>
      <c r="AK260" s="87">
        <f t="shared" si="168"/>
        <v>0</v>
      </c>
      <c r="AL260" s="87">
        <f t="shared" si="169"/>
        <v>0</v>
      </c>
      <c r="AM260" s="87">
        <f t="shared" si="170"/>
        <v>0</v>
      </c>
      <c r="AN260" s="87">
        <f t="shared" si="171"/>
        <v>0</v>
      </c>
      <c r="AO260" s="87">
        <f t="shared" si="172"/>
        <v>0</v>
      </c>
      <c r="AP260" s="87">
        <f t="shared" si="173"/>
        <v>0</v>
      </c>
      <c r="AQ260" s="87">
        <f t="shared" si="174"/>
        <v>15</v>
      </c>
      <c r="AR260" s="81"/>
      <c r="AS260" s="85">
        <f t="shared" si="175"/>
        <v>0</v>
      </c>
      <c r="AT260" s="85">
        <f t="shared" si="176"/>
        <v>0</v>
      </c>
      <c r="AU260" s="85">
        <f t="shared" si="177"/>
        <v>0</v>
      </c>
      <c r="AV260" s="85">
        <f t="shared" si="178"/>
        <v>0</v>
      </c>
      <c r="AW260" s="85">
        <f t="shared" si="179"/>
        <v>0</v>
      </c>
      <c r="AX260" s="85">
        <f t="shared" si="180"/>
        <v>0</v>
      </c>
      <c r="AY260" s="85">
        <f t="shared" si="181"/>
        <v>0</v>
      </c>
      <c r="AZ260" s="85">
        <f t="shared" si="182"/>
        <v>0</v>
      </c>
      <c r="BA260" s="85">
        <f t="shared" si="183"/>
        <v>0</v>
      </c>
      <c r="BB260" s="85">
        <f t="shared" si="184"/>
        <v>0</v>
      </c>
      <c r="BC260" s="85">
        <f t="shared" si="185"/>
        <v>0</v>
      </c>
      <c r="BD260" s="85">
        <f t="shared" si="186"/>
        <v>0</v>
      </c>
      <c r="BE260" s="85">
        <f t="shared" si="187"/>
        <v>0</v>
      </c>
      <c r="BF260" s="85">
        <f t="shared" si="188"/>
        <v>0</v>
      </c>
      <c r="BG260" s="85">
        <f t="shared" si="189"/>
        <v>0</v>
      </c>
      <c r="BH260" s="85">
        <f t="shared" si="190"/>
        <v>0</v>
      </c>
      <c r="BI260" s="85">
        <f t="shared" si="191"/>
        <v>0</v>
      </c>
      <c r="BJ260" s="85">
        <f t="shared" si="192"/>
        <v>0</v>
      </c>
      <c r="BK260" s="85">
        <f t="shared" si="193"/>
        <v>0</v>
      </c>
      <c r="BL260" s="85">
        <f t="shared" si="194"/>
        <v>0</v>
      </c>
      <c r="BM260" s="85">
        <f t="shared" si="195"/>
        <v>0</v>
      </c>
      <c r="BN260" s="85">
        <f t="shared" si="196"/>
        <v>0</v>
      </c>
      <c r="BO260" s="85">
        <f t="shared" si="197"/>
        <v>0</v>
      </c>
      <c r="BP260" s="85">
        <f t="shared" si="198"/>
        <v>0</v>
      </c>
      <c r="BQ260" s="85">
        <f t="shared" si="199"/>
        <v>0</v>
      </c>
      <c r="BR260" s="85">
        <f t="shared" si="200"/>
        <v>0</v>
      </c>
      <c r="BT260" s="63"/>
      <c r="BU260" s="63"/>
      <c r="BV260" s="63"/>
      <c r="BW260" s="63"/>
      <c r="BX260" s="63"/>
      <c r="BY260" s="63"/>
      <c r="BZ260" s="63"/>
      <c r="CA260" s="63"/>
      <c r="CB260" s="63"/>
      <c r="CC260" s="63"/>
      <c r="CD260" s="63"/>
      <c r="CE260" s="63"/>
      <c r="CF260" s="63"/>
      <c r="CG260" s="63"/>
      <c r="CH260" s="63"/>
      <c r="CI260" s="63"/>
      <c r="CJ260" s="63"/>
      <c r="CK260" s="63"/>
      <c r="CL260" s="63"/>
      <c r="CM260" s="63"/>
      <c r="CN260" s="63"/>
      <c r="CO260" s="63"/>
      <c r="CP260" s="63"/>
      <c r="CQ260" s="63"/>
      <c r="CR260" s="63"/>
      <c r="CS260" s="63"/>
      <c r="CW260">
        <v>13</v>
      </c>
      <c r="CX260" s="35">
        <v>44872</v>
      </c>
      <c r="CZ260" s="35">
        <f>B277</f>
        <v>44991</v>
      </c>
      <c r="DA260">
        <v>98</v>
      </c>
      <c r="DC260" s="57" t="str">
        <f t="shared" si="201"/>
        <v/>
      </c>
      <c r="DD260" s="64" t="str">
        <f t="shared" si="202"/>
        <v/>
      </c>
      <c r="DE260" s="65" t="str">
        <f t="shared" si="203"/>
        <v/>
      </c>
      <c r="DF260" s="66" t="str">
        <f t="shared" si="204"/>
        <v/>
      </c>
    </row>
    <row r="261" spans="2:110" hidden="1" outlineLevel="1">
      <c r="B261" s="54">
        <f t="shared" si="205"/>
        <v>44879</v>
      </c>
      <c r="C261" s="55" t="s">
        <v>1</v>
      </c>
      <c r="D261" s="56">
        <f t="shared" si="206"/>
        <v>44885</v>
      </c>
      <c r="E261" s="52">
        <f t="shared" si="207"/>
        <v>11</v>
      </c>
      <c r="F261" s="53">
        <f t="shared" si="208"/>
        <v>2022</v>
      </c>
      <c r="G261" s="62">
        <f t="shared" si="209"/>
        <v>15</v>
      </c>
      <c r="H261" s="63">
        <f t="shared" si="210"/>
        <v>96</v>
      </c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>
        <v>15</v>
      </c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80"/>
      <c r="AG261" s="87">
        <f t="shared" si="164"/>
        <v>0</v>
      </c>
      <c r="AH261" s="87">
        <f t="shared" si="165"/>
        <v>0</v>
      </c>
      <c r="AI261" s="87">
        <f t="shared" si="166"/>
        <v>0</v>
      </c>
      <c r="AJ261" s="87">
        <f t="shared" si="167"/>
        <v>0</v>
      </c>
      <c r="AK261" s="87">
        <f t="shared" si="168"/>
        <v>0</v>
      </c>
      <c r="AL261" s="87">
        <f t="shared" si="169"/>
        <v>0</v>
      </c>
      <c r="AM261" s="87">
        <f t="shared" si="170"/>
        <v>0</v>
      </c>
      <c r="AN261" s="87">
        <f t="shared" si="171"/>
        <v>0</v>
      </c>
      <c r="AO261" s="87">
        <f t="shared" si="172"/>
        <v>0</v>
      </c>
      <c r="AP261" s="87">
        <f t="shared" si="173"/>
        <v>0</v>
      </c>
      <c r="AQ261" s="87">
        <f t="shared" si="174"/>
        <v>15</v>
      </c>
      <c r="AR261" s="81"/>
      <c r="AS261" s="85">
        <f t="shared" si="175"/>
        <v>0</v>
      </c>
      <c r="AT261" s="85">
        <f t="shared" si="176"/>
        <v>0</v>
      </c>
      <c r="AU261" s="85">
        <f t="shared" si="177"/>
        <v>0</v>
      </c>
      <c r="AV261" s="85">
        <f t="shared" si="178"/>
        <v>0</v>
      </c>
      <c r="AW261" s="85">
        <f t="shared" si="179"/>
        <v>0</v>
      </c>
      <c r="AX261" s="85">
        <f t="shared" si="180"/>
        <v>0</v>
      </c>
      <c r="AY261" s="85">
        <f t="shared" si="181"/>
        <v>0</v>
      </c>
      <c r="AZ261" s="85">
        <f t="shared" si="182"/>
        <v>0</v>
      </c>
      <c r="BA261" s="85">
        <f t="shared" si="183"/>
        <v>0</v>
      </c>
      <c r="BB261" s="85">
        <f t="shared" si="184"/>
        <v>0</v>
      </c>
      <c r="BC261" s="85">
        <f t="shared" si="185"/>
        <v>0</v>
      </c>
      <c r="BD261" s="85">
        <f t="shared" si="186"/>
        <v>0</v>
      </c>
      <c r="BE261" s="85">
        <f t="shared" si="187"/>
        <v>0</v>
      </c>
      <c r="BF261" s="85">
        <f t="shared" si="188"/>
        <v>0</v>
      </c>
      <c r="BG261" s="85">
        <f t="shared" si="189"/>
        <v>0</v>
      </c>
      <c r="BH261" s="85">
        <f t="shared" si="190"/>
        <v>0</v>
      </c>
      <c r="BI261" s="85">
        <f t="shared" si="191"/>
        <v>0</v>
      </c>
      <c r="BJ261" s="85">
        <f t="shared" si="192"/>
        <v>0</v>
      </c>
      <c r="BK261" s="85">
        <f t="shared" si="193"/>
        <v>0</v>
      </c>
      <c r="BL261" s="85">
        <f t="shared" si="194"/>
        <v>0</v>
      </c>
      <c r="BM261" s="85">
        <f t="shared" si="195"/>
        <v>0</v>
      </c>
      <c r="BN261" s="85">
        <f t="shared" si="196"/>
        <v>0</v>
      </c>
      <c r="BO261" s="85">
        <f t="shared" si="197"/>
        <v>0</v>
      </c>
      <c r="BP261" s="85">
        <f t="shared" si="198"/>
        <v>0</v>
      </c>
      <c r="BQ261" s="85">
        <f t="shared" si="199"/>
        <v>0</v>
      </c>
      <c r="BR261" s="85">
        <f t="shared" si="200"/>
        <v>0</v>
      </c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  <c r="CK261" s="63"/>
      <c r="CL261" s="63"/>
      <c r="CM261" s="63"/>
      <c r="CN261" s="63"/>
      <c r="CO261" s="63"/>
      <c r="CP261" s="63"/>
      <c r="CQ261" s="63"/>
      <c r="CR261" s="63"/>
      <c r="CS261" s="63"/>
      <c r="CX261" s="35" t="s">
        <v>12</v>
      </c>
      <c r="CZ261" s="35"/>
      <c r="DC261" s="57" t="str">
        <f t="shared" si="201"/>
        <v/>
      </c>
      <c r="DD261" s="64" t="str">
        <f t="shared" si="202"/>
        <v/>
      </c>
      <c r="DE261" s="65" t="str">
        <f t="shared" si="203"/>
        <v/>
      </c>
      <c r="DF261" s="66" t="str">
        <f t="shared" si="204"/>
        <v/>
      </c>
    </row>
    <row r="262" spans="2:110" hidden="1" outlineLevel="1">
      <c r="B262" s="54">
        <f t="shared" si="205"/>
        <v>44886</v>
      </c>
      <c r="C262" s="55" t="s">
        <v>1</v>
      </c>
      <c r="D262" s="56">
        <f t="shared" si="206"/>
        <v>44892</v>
      </c>
      <c r="E262" s="52">
        <f t="shared" si="207"/>
        <v>11</v>
      </c>
      <c r="F262" s="53">
        <f t="shared" si="208"/>
        <v>2022</v>
      </c>
      <c r="G262" s="62">
        <f t="shared" si="209"/>
        <v>15</v>
      </c>
      <c r="H262" s="63">
        <f t="shared" si="210"/>
        <v>96</v>
      </c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>
        <v>15</v>
      </c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80"/>
      <c r="AG262" s="87">
        <f t="shared" si="164"/>
        <v>0</v>
      </c>
      <c r="AH262" s="87">
        <f t="shared" si="165"/>
        <v>0</v>
      </c>
      <c r="AI262" s="87">
        <f t="shared" si="166"/>
        <v>0</v>
      </c>
      <c r="AJ262" s="87">
        <f t="shared" si="167"/>
        <v>0</v>
      </c>
      <c r="AK262" s="87">
        <f t="shared" si="168"/>
        <v>0</v>
      </c>
      <c r="AL262" s="87">
        <f t="shared" si="169"/>
        <v>0</v>
      </c>
      <c r="AM262" s="87">
        <f t="shared" si="170"/>
        <v>0</v>
      </c>
      <c r="AN262" s="87">
        <f t="shared" si="171"/>
        <v>0</v>
      </c>
      <c r="AO262" s="87">
        <f t="shared" si="172"/>
        <v>0</v>
      </c>
      <c r="AP262" s="87">
        <f t="shared" si="173"/>
        <v>0</v>
      </c>
      <c r="AQ262" s="87">
        <f t="shared" si="174"/>
        <v>15</v>
      </c>
      <c r="AR262" s="81"/>
      <c r="AS262" s="85">
        <f t="shared" si="175"/>
        <v>0</v>
      </c>
      <c r="AT262" s="85">
        <f t="shared" si="176"/>
        <v>0</v>
      </c>
      <c r="AU262" s="85">
        <f t="shared" si="177"/>
        <v>0</v>
      </c>
      <c r="AV262" s="85">
        <f t="shared" si="178"/>
        <v>0</v>
      </c>
      <c r="AW262" s="85">
        <f t="shared" si="179"/>
        <v>0</v>
      </c>
      <c r="AX262" s="85">
        <f t="shared" si="180"/>
        <v>0</v>
      </c>
      <c r="AY262" s="85">
        <f t="shared" si="181"/>
        <v>0</v>
      </c>
      <c r="AZ262" s="85">
        <f t="shared" si="182"/>
        <v>0</v>
      </c>
      <c r="BA262" s="85">
        <f t="shared" si="183"/>
        <v>0</v>
      </c>
      <c r="BB262" s="85">
        <f t="shared" si="184"/>
        <v>0</v>
      </c>
      <c r="BC262" s="85">
        <f t="shared" si="185"/>
        <v>0</v>
      </c>
      <c r="BD262" s="85">
        <f t="shared" si="186"/>
        <v>0</v>
      </c>
      <c r="BE262" s="85">
        <f t="shared" si="187"/>
        <v>0</v>
      </c>
      <c r="BF262" s="85">
        <f t="shared" si="188"/>
        <v>0</v>
      </c>
      <c r="BG262" s="85">
        <f t="shared" si="189"/>
        <v>0</v>
      </c>
      <c r="BH262" s="85">
        <f t="shared" si="190"/>
        <v>0</v>
      </c>
      <c r="BI262" s="85">
        <f t="shared" si="191"/>
        <v>0</v>
      </c>
      <c r="BJ262" s="85">
        <f t="shared" si="192"/>
        <v>0</v>
      </c>
      <c r="BK262" s="85">
        <f t="shared" si="193"/>
        <v>0</v>
      </c>
      <c r="BL262" s="85">
        <f t="shared" si="194"/>
        <v>0</v>
      </c>
      <c r="BM262" s="85">
        <f t="shared" si="195"/>
        <v>0</v>
      </c>
      <c r="BN262" s="85">
        <f t="shared" si="196"/>
        <v>0</v>
      </c>
      <c r="BO262" s="85">
        <f t="shared" si="197"/>
        <v>0</v>
      </c>
      <c r="BP262" s="85">
        <f t="shared" si="198"/>
        <v>0</v>
      </c>
      <c r="BQ262" s="85">
        <f t="shared" si="199"/>
        <v>0</v>
      </c>
      <c r="BR262" s="85">
        <f t="shared" si="200"/>
        <v>0</v>
      </c>
      <c r="BT262" s="63"/>
      <c r="BU262" s="63"/>
      <c r="BV262" s="63"/>
      <c r="BW262" s="63"/>
      <c r="BX262" s="63"/>
      <c r="BY262" s="63"/>
      <c r="BZ262" s="63"/>
      <c r="CA262" s="63"/>
      <c r="CB262" s="63"/>
      <c r="CC262" s="63"/>
      <c r="CD262" s="63"/>
      <c r="CE262" s="63"/>
      <c r="CF262" s="63"/>
      <c r="CG262" s="63"/>
      <c r="CH262" s="63"/>
      <c r="CI262" s="63"/>
      <c r="CJ262" s="63"/>
      <c r="CK262" s="63"/>
      <c r="CL262" s="63"/>
      <c r="CM262" s="63"/>
      <c r="CN262" s="63"/>
      <c r="CO262" s="63"/>
      <c r="CP262" s="63"/>
      <c r="CQ262" s="63"/>
      <c r="CR262" s="63"/>
      <c r="CS262" s="63"/>
      <c r="CX262" s="35" t="s">
        <v>12</v>
      </c>
      <c r="CZ262" s="35"/>
      <c r="DC262" s="57" t="str">
        <f t="shared" si="201"/>
        <v/>
      </c>
      <c r="DD262" s="64" t="str">
        <f t="shared" si="202"/>
        <v/>
      </c>
      <c r="DE262" s="65" t="str">
        <f t="shared" si="203"/>
        <v/>
      </c>
      <c r="DF262" s="66" t="str">
        <f t="shared" si="204"/>
        <v/>
      </c>
    </row>
    <row r="263" spans="2:110" hidden="1" outlineLevel="1">
      <c r="B263" s="54">
        <f t="shared" si="205"/>
        <v>44893</v>
      </c>
      <c r="C263" s="55" t="s">
        <v>1</v>
      </c>
      <c r="D263" s="56">
        <f t="shared" si="206"/>
        <v>44899</v>
      </c>
      <c r="E263" s="52">
        <f t="shared" si="207"/>
        <v>11</v>
      </c>
      <c r="F263" s="53">
        <f t="shared" si="208"/>
        <v>2022</v>
      </c>
      <c r="G263" s="62">
        <f t="shared" si="209"/>
        <v>15</v>
      </c>
      <c r="H263" s="63">
        <f t="shared" si="210"/>
        <v>96</v>
      </c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>
        <v>15</v>
      </c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80"/>
      <c r="AG263" s="87">
        <f t="shared" ref="AG263:AG326" si="211">IF(I263&gt;0,I263,IF(U263=1,$B263+2,IF(U262=1,1,IF(U262=2,0,IF(AG262=$G262,0,(IF(AG262&gt;=1,AG262+1,0)))))))</f>
        <v>0</v>
      </c>
      <c r="AH263" s="87">
        <f t="shared" ref="AH263:AH326" si="212">IF(J263&gt;0,J263,IF(V263=1,$B263+2,IF(V262=1,1,IF(V262=2,0,IF(AH262=$G262,0,(IF(AH262&gt;=1,AH262+1,0)))))))</f>
        <v>0</v>
      </c>
      <c r="AI263" s="87">
        <f t="shared" ref="AI263:AI326" si="213">IF(K263&gt;0,K263,IF(W263=1,$B263+2,IF(W262=1,1,IF(W262=2,0,IF(AI262=$G262,0,(IF(AI262&gt;=1,AI262+1,0)))))))</f>
        <v>0</v>
      </c>
      <c r="AJ263" s="87">
        <f t="shared" ref="AJ263:AJ326" si="214">IF(L263&gt;0,L263,IF(X263=1,$B263+2,IF(X262=1,1,IF(X262=2,0,IF(AJ262=$G262,0,(IF(AJ262&gt;=1,AJ262+1,0)))))))</f>
        <v>0</v>
      </c>
      <c r="AK263" s="87">
        <f t="shared" ref="AK263:AK326" si="215">IF(M263&gt;0,M263,IF(Y263=1,$B263+2,IF(Y262=1,1,IF(Y262=2,0,IF(AK262=$G262,0,(IF(AK262&gt;=1,AK262+1,0)))))))</f>
        <v>0</v>
      </c>
      <c r="AL263" s="87">
        <f t="shared" ref="AL263:AL326" si="216">IF(N263&gt;0,N263,IF(Z263=1,$B263+2,IF(Z262=1,1,IF(Z262=2,0,IF(AL262=$G262,0,(IF(AL262&gt;=1,AL262+1,0)))))))</f>
        <v>0</v>
      </c>
      <c r="AM263" s="87">
        <f t="shared" ref="AM263:AM326" si="217">IF(O263&gt;0,O263,IF(AA263=1,$B263+2,IF(AA262=1,1,IF(AA262=2,0,IF(AM262=$G262,0,(IF(AM262&gt;=1,AM262+1,0)))))))</f>
        <v>0</v>
      </c>
      <c r="AN263" s="87">
        <f t="shared" ref="AN263:AN326" si="218">IF(P263&gt;0,P263,IF(AB263=1,$B263+2,IF(AB262=1,1,IF(AB262=2,0,IF(AN262=$G262,0,(IF(AN262&gt;=1,AN262+1,0)))))))</f>
        <v>0</v>
      </c>
      <c r="AO263" s="87">
        <f t="shared" ref="AO263:AO326" si="219">IF(Q263&gt;0,Q263,IF(AC263=1,$B263+2,IF(AC262=1,1,IF(AC262=2,0,IF(AO262=$G262,0,(IF(AO262&gt;=1,AO262+1,0)))))))</f>
        <v>0</v>
      </c>
      <c r="AP263" s="87">
        <f t="shared" ref="AP263:AP326" si="220">IF(R263&gt;0,R263,IF(AD263=1,$B263+2,IF(AD262=1,1,IF(AD262=2,0,IF(AP262=$G262,0,(IF(AP262&gt;=1,AP262+1,0)))))))</f>
        <v>0</v>
      </c>
      <c r="AQ263" s="87">
        <f t="shared" ref="AQ263:AQ326" si="221">IF(S263&gt;0,S263,IF(AE263=1,$B263+2,IF(AE262=1,1,IF(AE262=2,0,IF(AQ262=$G262,0,(IF(AQ262&gt;=1,AQ262+1,0)))))))</f>
        <v>15</v>
      </c>
      <c r="AR263" s="81"/>
      <c r="AS263" s="85">
        <f t="shared" ref="AS263:AS326" si="222">IF(AND(BT263&gt;=$AG$5,BT263&lt;=$AQ$5),LOOKUP(BT263,$AG$5:$AQ$5,$AG263:$AQ263),IF(BT262="A",0,IF(AS262=$H263,0,IF(AS262=0,0,AS262+1))))</f>
        <v>0</v>
      </c>
      <c r="AT263" s="85">
        <f t="shared" ref="AT263:AT326" si="223">IF(AND(BU263&gt;=$AG$5,BU263&lt;=$AQ$5),LOOKUP(BU263,$AG$5:$AQ$5,$AG263:$AQ263),IF(BU262="A",0,IF(AT262=$H263,0,IF(AT262=0,0,AT262+1))))</f>
        <v>0</v>
      </c>
      <c r="AU263" s="85">
        <f t="shared" ref="AU263:AU326" si="224">IF(AND(BV263&gt;=$AG$5,BV263&lt;=$AQ$5),LOOKUP(BV263,$AG$5:$AQ$5,$AG263:$AQ263),IF(BV262="A",0,IF(AU262=$H263,0,IF(AU262=0,0,AU262+1))))</f>
        <v>0</v>
      </c>
      <c r="AV263" s="85">
        <f t="shared" ref="AV263:AV326" si="225">IF(AND(BW263&gt;=$AG$5,BW263&lt;=$AQ$5),LOOKUP(BW263,$AG$5:$AQ$5,$AG263:$AQ263),IF(BW262="A",0,IF(AV262=$H263,0,IF(AV262=0,0,AV262+1))))</f>
        <v>0</v>
      </c>
      <c r="AW263" s="85">
        <f t="shared" ref="AW263:AW326" si="226">IF(AND(BX263&gt;=$AG$5,BX263&lt;=$AQ$5),LOOKUP(BX263,$AG$5:$AQ$5,$AG263:$AQ263),IF(BX262="A",0,IF(AW262=$H263,0,IF(AW262=0,0,AW262+1))))</f>
        <v>0</v>
      </c>
      <c r="AX263" s="85">
        <f t="shared" ref="AX263:AX326" si="227">IF(AND(BY263&gt;=$AG$5,BY263&lt;=$AQ$5),LOOKUP(BY263,$AG$5:$AQ$5,$AG263:$AQ263),IF(BY262="A",0,IF(AX262=$H263,0,IF(AX262=0,0,AX262+1))))</f>
        <v>0</v>
      </c>
      <c r="AY263" s="85">
        <f t="shared" ref="AY263:AY326" si="228">IF(AND(BZ263&gt;=$AG$5,BZ263&lt;=$AQ$5),LOOKUP(BZ263,$AG$5:$AQ$5,$AG263:$AQ263),IF(BZ262="A",0,IF(AY262=$H263,0,IF(AY262=0,0,AY262+1))))</f>
        <v>0</v>
      </c>
      <c r="AZ263" s="85">
        <f t="shared" ref="AZ263:AZ326" si="229">IF(AND(CA263&gt;=$AG$5,CA263&lt;=$AQ$5),LOOKUP(CA263,$AG$5:$AQ$5,$AG263:$AQ263),IF(CA262="A",0,IF(AZ262=$H263,0,IF(AZ262=0,0,AZ262+1))))</f>
        <v>0</v>
      </c>
      <c r="BA263" s="85">
        <f t="shared" ref="BA263:BA326" si="230">IF(AND(CB263&gt;=$AG$5,CB263&lt;=$AQ$5),LOOKUP(CB263,$AG$5:$AQ$5,$AG263:$AQ263),IF(CB262="A",0,IF(BA262=$H263,0,IF(BA262=0,0,BA262+1))))</f>
        <v>0</v>
      </c>
      <c r="BB263" s="85">
        <f t="shared" ref="BB263:BB326" si="231">IF(AND(CC263&gt;=$AG$5,CC263&lt;=$AQ$5),LOOKUP(CC263,$AG$5:$AQ$5,$AG263:$AQ263),IF(CC262="A",0,IF(BB262=$H263,0,IF(BB262=0,0,BB262+1))))</f>
        <v>0</v>
      </c>
      <c r="BC263" s="85">
        <f t="shared" ref="BC263:BC326" si="232">IF(AND(CD263&gt;=$AG$5,CD263&lt;=$AQ$5),LOOKUP(CD263,$AG$5:$AQ$5,$AG263:$AQ263),IF(CD262="A",0,IF(BC262=$H263,0,IF(BC262=0,0,BC262+1))))</f>
        <v>0</v>
      </c>
      <c r="BD263" s="85">
        <f t="shared" ref="BD263:BD326" si="233">IF(AND(CE263&gt;=$AG$5,CE263&lt;=$AQ$5),LOOKUP(CE263,$AG$5:$AQ$5,$AG263:$AQ263),IF(CE262="A",0,IF(BD262=$H263,0,IF(BD262=0,0,BD262+1))))</f>
        <v>0</v>
      </c>
      <c r="BE263" s="85">
        <f t="shared" ref="BE263:BE326" si="234">IF(AND(CF263&gt;=$AG$5,CF263&lt;=$AQ$5),LOOKUP(CF263,$AG$5:$AQ$5,$AG263:$AQ263),IF(CF262="A",0,IF(BE262=$H263,0,IF(BE262=0,0,BE262+1))))</f>
        <v>0</v>
      </c>
      <c r="BF263" s="85">
        <f t="shared" ref="BF263:BF326" si="235">IF(AND(CG263&gt;=$AG$5,CG263&lt;=$AQ$5),LOOKUP(CG263,$AG$5:$AQ$5,$AG263:$AQ263),IF(CG262="A",0,IF(BF262=$H263,0,IF(BF262=0,0,BF262+1))))</f>
        <v>0</v>
      </c>
      <c r="BG263" s="85">
        <f t="shared" ref="BG263:BG326" si="236">IF(AND(CH263&gt;=$AG$5,CH263&lt;=$AQ$5),LOOKUP(CH263,$AG$5:$AQ$5,$AG263:$AQ263),IF(CH262="A",0,IF(BG262=$H263,0,IF(BG262=0,0,BG262+1))))</f>
        <v>0</v>
      </c>
      <c r="BH263" s="85">
        <f t="shared" ref="BH263:BH326" si="237">IF(AND(CI263&gt;=$AG$5,CI263&lt;=$AQ$5),LOOKUP(CI263,$AG$5:$AQ$5,$AG263:$AQ263),IF(CI262="A",0,IF(BH262=$H263,0,IF(BH262=0,0,BH262+1))))</f>
        <v>0</v>
      </c>
      <c r="BI263" s="85">
        <f t="shared" ref="BI263:BI326" si="238">IF(AND(CJ263&gt;=$AG$5,CJ263&lt;=$AQ$5),LOOKUP(CJ263,$AG$5:$AQ$5,$AG263:$AQ263),IF(CJ262="A",0,IF(BI262=$H263,0,IF(BI262=0,0,BI262+1))))</f>
        <v>0</v>
      </c>
      <c r="BJ263" s="85">
        <f t="shared" ref="BJ263:BJ326" si="239">IF(AND(CK263&gt;=$AG$5,CK263&lt;=$AQ$5),LOOKUP(CK263,$AG$5:$AQ$5,$AG263:$AQ263),IF(CK262="A",0,IF(BJ262=$H263,0,IF(BJ262=0,0,BJ262+1))))</f>
        <v>0</v>
      </c>
      <c r="BK263" s="85">
        <f t="shared" ref="BK263:BK326" si="240">IF(AND(CL263&gt;=$AG$5,CL263&lt;=$AQ$5),LOOKUP(CL263,$AG$5:$AQ$5,$AG263:$AQ263),IF(CL262="A",0,IF(BK262=$H263,0,IF(BK262=0,0,BK262+1))))</f>
        <v>0</v>
      </c>
      <c r="BL263" s="85">
        <f t="shared" ref="BL263:BL326" si="241">IF(AND(CM263&gt;=$AG$5,CM263&lt;=$AQ$5),LOOKUP(CM263,$AG$5:$AQ$5,$AG263:$AQ263),IF(CM262="A",0,IF(BL262=$H263,0,IF(BL262=0,0,BL262+1))))</f>
        <v>0</v>
      </c>
      <c r="BM263" s="85">
        <f t="shared" ref="BM263:BM326" si="242">IF(AND(CN263&gt;=$AG$5,CN263&lt;=$AQ$5),LOOKUP(CN263,$AG$5:$AQ$5,$AG263:$AQ263),IF(CN262="A",0,IF(BM262=$H263,0,IF(BM262=0,0,BM262+1))))</f>
        <v>0</v>
      </c>
      <c r="BN263" s="85">
        <f t="shared" ref="BN263:BN326" si="243">IF(AND(CO263&gt;=$AG$5,CO263&lt;=$AQ$5),LOOKUP(CO263,$AG$5:$AQ$5,$AG263:$AQ263),IF(CO262="A",0,IF(BN262=$H263,0,IF(BN262=0,0,BN262+1))))</f>
        <v>0</v>
      </c>
      <c r="BO263" s="85">
        <f t="shared" ref="BO263:BO326" si="244">IF(AND(CP263&gt;=$AG$5,CP263&lt;=$AQ$5),LOOKUP(CP263,$AG$5:$AQ$5,$AG263:$AQ263),IF(CP262="A",0,IF(BO262=$H263,0,IF(BO262=0,0,BO262+1))))</f>
        <v>0</v>
      </c>
      <c r="BP263" s="85">
        <f t="shared" ref="BP263:BP326" si="245">IF(AND(CQ263&gt;=$AG$5,CQ263&lt;=$AQ$5),LOOKUP(CQ263,$AG$5:$AQ$5,$AG263:$AQ263),IF(CQ262="A",0,IF(BP262=$H263,0,IF(BP262=0,0,BP262+1))))</f>
        <v>0</v>
      </c>
      <c r="BQ263" s="85">
        <f t="shared" ref="BQ263:BQ326" si="246">IF(AND(CR263&gt;=$AG$5,CR263&lt;=$AQ$5),LOOKUP(CR263,$AG$5:$AQ$5,$AG263:$AQ263),IF(CR262="A",0,IF(BQ262=$H263,0,IF(BQ262=0,0,BQ262+1))))</f>
        <v>0</v>
      </c>
      <c r="BR263" s="85">
        <f t="shared" ref="BR263:BR326" si="247">IF(AND(CS263&gt;=$AG$5,CS263&lt;=$AQ$5),LOOKUP(CS263,$AG$5:$AQ$5,$AG263:$AQ263),IF(CS262="A",0,IF(BR262=$H263,0,IF(BR262=0,0,BR262+1))))</f>
        <v>0</v>
      </c>
      <c r="BT263" s="63"/>
      <c r="BU263" s="63"/>
      <c r="BV263" s="63"/>
      <c r="BW263" s="63"/>
      <c r="BX263" s="63"/>
      <c r="BY263" s="63"/>
      <c r="BZ263" s="63"/>
      <c r="CA263" s="63"/>
      <c r="CB263" s="63"/>
      <c r="CC263" s="63"/>
      <c r="CD263" s="63"/>
      <c r="CE263" s="63"/>
      <c r="CF263" s="63"/>
      <c r="CG263" s="63"/>
      <c r="CH263" s="63"/>
      <c r="CI263" s="63"/>
      <c r="CJ263" s="63"/>
      <c r="CK263" s="63"/>
      <c r="CL263" s="63"/>
      <c r="CM263" s="63"/>
      <c r="CN263" s="63"/>
      <c r="CO263" s="63"/>
      <c r="CP263" s="63"/>
      <c r="CQ263" s="63"/>
      <c r="CR263" s="63"/>
      <c r="CS263" s="63"/>
      <c r="CX263" s="35" t="s">
        <v>12</v>
      </c>
      <c r="CZ263" s="35"/>
      <c r="DC263" s="57" t="str">
        <f t="shared" ref="DC263:DC326" si="248">IF(AND(AG263&gt;0,AG262=0),$AG$5,IF(AND(AK263&gt;0,AK262=0),$AK$5,IF(AND(AO263&gt;0,AO262=0),$AO$5,IF(AND(AI263&gt;0,AI262=0),$AI$5,IF(AND(AJ263&gt;0,AJ262=0),$AJ$5,IF(AND(AQ263&gt;0,AQ262=0),$AQ$5,IF(AND(AL263&gt;0,AL262=0),$AL$5,IF(AND(AM263&gt;0,AM262=0),$AM$5,IF(AND(AN263&gt;0,AN262=0),$AN$5,"")))))))))</f>
        <v/>
      </c>
      <c r="DD263" s="64" t="str">
        <f t="shared" ref="DD263:DD326" si="249">IF(OR(AND($AG264=1,$AG265=2),OR(AND($AK264=1,$AK265=2),OR(AND($AO264=1,$AO265=2),OR(AND($AI264=1,$AI265=2),OR(AND($AJ264=1,$AJ265),OR(AND($AQ264=1,$AQ265=2,OR(AND($AL264=1,$AL265=2,OR(AND($AM264=1,$AM265=2,OR(AND($AN264=1,$AN265=2))))))))))))),$B263+2,"")</f>
        <v/>
      </c>
      <c r="DE263" s="65" t="str">
        <f t="shared" ref="DE263:DE326" si="250">IF(DD263="","",DD263+(15*7))</f>
        <v/>
      </c>
      <c r="DF263" s="66" t="str">
        <f t="shared" ref="DF263:DF326" si="251">IF(AND(AS278&gt;0,AS277=0),$AS$1,IF(AND(AT278&gt;0,AT277=0),$AT$1,IF(AND(AU278&gt;0,AU277=0),$AU$1,IF(AND(AV278&gt;0,AV277=0),$AV$1,IF(AND(AW278&gt;0,AW277=0),$AW$1,IF(AND(AX278&gt;0,AX277=0),$AX$1,IF(AND(AY278&gt;0,AY277=0),$AY$1,IF(AND(AZ278&gt;0,AZ277=0),$AZ$1,IF(AND(BA278&gt;0,BA277=0),$BA$1,IF(AND(BB278&gt;0,BB277=0),$BB$1,IF(AND(BC278&gt;0,BC277=0),$BC$1,IF(AND(BD278&gt;0,BD277=0),$BD$1,IF(AND(BE278&gt;0,BE277=0),$BE$1,IF(AND(BF278&gt;0,BF277=0),$BF$1,IF(AND(BG278&gt;0,BG277=0),$BG$1,IF(AND(BH278&gt;0,BH277=0),$BH$1,IF(AND(BI278&gt;0,BI277=0),$BI$1,IF(AND(BJ278&gt;0,BJ277=0),$BJ$1,IF(AND(BK278&gt;0,BK277=0),$BK$1,IF(AND(BL278&gt;0,BL277=0),$BL$1,IF(AND(BM278&gt;0,BM277=0),$BM$1,IF(AND(BN278&gt;0,BN277=0),$BN$1,IF(AND(BO278&gt;0,BO277=0),$BO$1,IF(AND(BP278&gt;0,BP277=0),$BP$1,IF(AND(BQ278&gt;0,BQ277=0),$BQ$1,IF(AND(BR278&gt;0,BR277=0),$BQ$1,""))))))))))))))))&amp;(IF(COUNTA(BT278:CS278)&gt;1," ["&amp;COUNTA(BT278:CS278)&amp;"]",""))))))))))))</f>
        <v/>
      </c>
    </row>
    <row r="264" spans="2:110" hidden="1" outlineLevel="1">
      <c r="B264" s="54">
        <f t="shared" ref="B264:B327" si="252">D263+1</f>
        <v>44900</v>
      </c>
      <c r="C264" s="55" t="s">
        <v>1</v>
      </c>
      <c r="D264" s="56">
        <f t="shared" ref="D264:D327" si="253">B264+6</f>
        <v>44906</v>
      </c>
      <c r="E264" s="52">
        <f t="shared" ref="E264:E327" si="254">MONTH(B264)</f>
        <v>12</v>
      </c>
      <c r="F264" s="53">
        <f t="shared" ref="F264:F327" si="255">YEAR(D264)</f>
        <v>2022</v>
      </c>
      <c r="G264" s="62">
        <f t="shared" si="209"/>
        <v>15</v>
      </c>
      <c r="H264" s="63">
        <f t="shared" si="210"/>
        <v>96</v>
      </c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>
        <v>15</v>
      </c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80"/>
      <c r="AG264" s="87">
        <f t="shared" si="211"/>
        <v>0</v>
      </c>
      <c r="AH264" s="87">
        <f t="shared" si="212"/>
        <v>0</v>
      </c>
      <c r="AI264" s="87">
        <f t="shared" si="213"/>
        <v>0</v>
      </c>
      <c r="AJ264" s="87">
        <f t="shared" si="214"/>
        <v>0</v>
      </c>
      <c r="AK264" s="87">
        <f t="shared" si="215"/>
        <v>0</v>
      </c>
      <c r="AL264" s="87">
        <f t="shared" si="216"/>
        <v>0</v>
      </c>
      <c r="AM264" s="87">
        <f t="shared" si="217"/>
        <v>0</v>
      </c>
      <c r="AN264" s="87">
        <f t="shared" si="218"/>
        <v>0</v>
      </c>
      <c r="AO264" s="87">
        <f t="shared" si="219"/>
        <v>0</v>
      </c>
      <c r="AP264" s="87">
        <f t="shared" si="220"/>
        <v>0</v>
      </c>
      <c r="AQ264" s="87">
        <f t="shared" si="221"/>
        <v>15</v>
      </c>
      <c r="AR264" s="81"/>
      <c r="AS264" s="85">
        <f t="shared" si="222"/>
        <v>0</v>
      </c>
      <c r="AT264" s="85">
        <f t="shared" si="223"/>
        <v>0</v>
      </c>
      <c r="AU264" s="85">
        <f t="shared" si="224"/>
        <v>0</v>
      </c>
      <c r="AV264" s="85">
        <f t="shared" si="225"/>
        <v>0</v>
      </c>
      <c r="AW264" s="85">
        <f t="shared" si="226"/>
        <v>0</v>
      </c>
      <c r="AX264" s="85">
        <f t="shared" si="227"/>
        <v>0</v>
      </c>
      <c r="AY264" s="85">
        <f t="shared" si="228"/>
        <v>0</v>
      </c>
      <c r="AZ264" s="85">
        <f t="shared" si="229"/>
        <v>0</v>
      </c>
      <c r="BA264" s="85">
        <f t="shared" si="230"/>
        <v>0</v>
      </c>
      <c r="BB264" s="85">
        <f t="shared" si="231"/>
        <v>0</v>
      </c>
      <c r="BC264" s="85">
        <f t="shared" si="232"/>
        <v>0</v>
      </c>
      <c r="BD264" s="85">
        <f t="shared" si="233"/>
        <v>0</v>
      </c>
      <c r="BE264" s="85">
        <f t="shared" si="234"/>
        <v>0</v>
      </c>
      <c r="BF264" s="85">
        <f t="shared" si="235"/>
        <v>0</v>
      </c>
      <c r="BG264" s="85">
        <f t="shared" si="236"/>
        <v>0</v>
      </c>
      <c r="BH264" s="85">
        <f t="shared" si="237"/>
        <v>0</v>
      </c>
      <c r="BI264" s="85">
        <f t="shared" si="238"/>
        <v>0</v>
      </c>
      <c r="BJ264" s="85">
        <f t="shared" si="239"/>
        <v>0</v>
      </c>
      <c r="BK264" s="85">
        <f t="shared" si="240"/>
        <v>0</v>
      </c>
      <c r="BL264" s="85">
        <f t="shared" si="241"/>
        <v>0</v>
      </c>
      <c r="BM264" s="85">
        <f t="shared" si="242"/>
        <v>0</v>
      </c>
      <c r="BN264" s="85">
        <f t="shared" si="243"/>
        <v>0</v>
      </c>
      <c r="BO264" s="85">
        <f t="shared" si="244"/>
        <v>0</v>
      </c>
      <c r="BP264" s="85">
        <f t="shared" si="245"/>
        <v>0</v>
      </c>
      <c r="BQ264" s="85">
        <f t="shared" si="246"/>
        <v>0</v>
      </c>
      <c r="BR264" s="85">
        <f t="shared" si="247"/>
        <v>0</v>
      </c>
      <c r="BT264" s="63"/>
      <c r="BU264" s="63"/>
      <c r="BV264" s="63"/>
      <c r="BW264" s="63"/>
      <c r="BX264" s="63"/>
      <c r="BY264" s="63"/>
      <c r="BZ264" s="63"/>
      <c r="CA264" s="63"/>
      <c r="CB264" s="63"/>
      <c r="CC264" s="63"/>
      <c r="CD264" s="63"/>
      <c r="CE264" s="63"/>
      <c r="CF264" s="63"/>
      <c r="CG264" s="63"/>
      <c r="CH264" s="63"/>
      <c r="CI264" s="63"/>
      <c r="CJ264" s="63"/>
      <c r="CK264" s="63"/>
      <c r="CL264" s="63"/>
      <c r="CM264" s="63"/>
      <c r="CN264" s="63"/>
      <c r="CO264" s="63"/>
      <c r="CP264" s="63"/>
      <c r="CQ264" s="63"/>
      <c r="CR264" s="63"/>
      <c r="CS264" s="63"/>
      <c r="CX264" s="35" t="s">
        <v>12</v>
      </c>
      <c r="CZ264" s="35"/>
      <c r="DC264" s="57" t="str">
        <f t="shared" si="248"/>
        <v/>
      </c>
      <c r="DD264" s="64" t="str">
        <f t="shared" si="249"/>
        <v/>
      </c>
      <c r="DE264" s="65" t="str">
        <f t="shared" si="250"/>
        <v/>
      </c>
      <c r="DF264" s="66" t="str">
        <f t="shared" si="251"/>
        <v/>
      </c>
    </row>
    <row r="265" spans="2:110" hidden="1" outlineLevel="1">
      <c r="B265" s="54">
        <f t="shared" si="252"/>
        <v>44907</v>
      </c>
      <c r="C265" s="55" t="s">
        <v>1</v>
      </c>
      <c r="D265" s="56">
        <f t="shared" si="253"/>
        <v>44913</v>
      </c>
      <c r="E265" s="52">
        <f t="shared" si="254"/>
        <v>12</v>
      </c>
      <c r="F265" s="53">
        <f t="shared" si="255"/>
        <v>2022</v>
      </c>
      <c r="G265" s="62">
        <f t="shared" ref="G265:G328" si="256">G264</f>
        <v>15</v>
      </c>
      <c r="H265" s="63">
        <f t="shared" ref="H265:H328" si="257">H264</f>
        <v>96</v>
      </c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>
        <v>15</v>
      </c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80"/>
      <c r="AG265" s="87">
        <f t="shared" si="211"/>
        <v>0</v>
      </c>
      <c r="AH265" s="87">
        <f t="shared" si="212"/>
        <v>0</v>
      </c>
      <c r="AI265" s="87">
        <f t="shared" si="213"/>
        <v>0</v>
      </c>
      <c r="AJ265" s="87">
        <f t="shared" si="214"/>
        <v>0</v>
      </c>
      <c r="AK265" s="87">
        <f t="shared" si="215"/>
        <v>0</v>
      </c>
      <c r="AL265" s="87">
        <f t="shared" si="216"/>
        <v>0</v>
      </c>
      <c r="AM265" s="87">
        <f t="shared" si="217"/>
        <v>0</v>
      </c>
      <c r="AN265" s="87">
        <f t="shared" si="218"/>
        <v>0</v>
      </c>
      <c r="AO265" s="87">
        <f t="shared" si="219"/>
        <v>0</v>
      </c>
      <c r="AP265" s="87">
        <f t="shared" si="220"/>
        <v>0</v>
      </c>
      <c r="AQ265" s="87">
        <f t="shared" si="221"/>
        <v>15</v>
      </c>
      <c r="AR265" s="81"/>
      <c r="AS265" s="85">
        <f t="shared" si="222"/>
        <v>0</v>
      </c>
      <c r="AT265" s="85">
        <f t="shared" si="223"/>
        <v>0</v>
      </c>
      <c r="AU265" s="85">
        <f t="shared" si="224"/>
        <v>0</v>
      </c>
      <c r="AV265" s="85">
        <f t="shared" si="225"/>
        <v>0</v>
      </c>
      <c r="AW265" s="85">
        <f t="shared" si="226"/>
        <v>0</v>
      </c>
      <c r="AX265" s="85">
        <f t="shared" si="227"/>
        <v>0</v>
      </c>
      <c r="AY265" s="85">
        <f t="shared" si="228"/>
        <v>0</v>
      </c>
      <c r="AZ265" s="85">
        <f t="shared" si="229"/>
        <v>0</v>
      </c>
      <c r="BA265" s="85">
        <f t="shared" si="230"/>
        <v>0</v>
      </c>
      <c r="BB265" s="85">
        <f t="shared" si="231"/>
        <v>0</v>
      </c>
      <c r="BC265" s="85">
        <f t="shared" si="232"/>
        <v>0</v>
      </c>
      <c r="BD265" s="85">
        <f t="shared" si="233"/>
        <v>0</v>
      </c>
      <c r="BE265" s="85">
        <f t="shared" si="234"/>
        <v>0</v>
      </c>
      <c r="BF265" s="85">
        <f t="shared" si="235"/>
        <v>0</v>
      </c>
      <c r="BG265" s="85">
        <f t="shared" si="236"/>
        <v>0</v>
      </c>
      <c r="BH265" s="85">
        <f t="shared" si="237"/>
        <v>0</v>
      </c>
      <c r="BI265" s="85">
        <f t="shared" si="238"/>
        <v>0</v>
      </c>
      <c r="BJ265" s="85">
        <f t="shared" si="239"/>
        <v>0</v>
      </c>
      <c r="BK265" s="85">
        <f t="shared" si="240"/>
        <v>0</v>
      </c>
      <c r="BL265" s="85">
        <f t="shared" si="241"/>
        <v>0</v>
      </c>
      <c r="BM265" s="85">
        <f t="shared" si="242"/>
        <v>0</v>
      </c>
      <c r="BN265" s="85">
        <f t="shared" si="243"/>
        <v>0</v>
      </c>
      <c r="BO265" s="85">
        <f t="shared" si="244"/>
        <v>0</v>
      </c>
      <c r="BP265" s="85">
        <f t="shared" si="245"/>
        <v>0</v>
      </c>
      <c r="BQ265" s="85">
        <f t="shared" si="246"/>
        <v>0</v>
      </c>
      <c r="BR265" s="85">
        <f t="shared" si="247"/>
        <v>0</v>
      </c>
      <c r="BT265" s="63"/>
      <c r="BU265" s="63"/>
      <c r="BV265" s="63"/>
      <c r="BW265" s="63"/>
      <c r="BX265" s="63"/>
      <c r="BY265" s="63"/>
      <c r="BZ265" s="63"/>
      <c r="CA265" s="63"/>
      <c r="CB265" s="63"/>
      <c r="CC265" s="63"/>
      <c r="CD265" s="63"/>
      <c r="CE265" s="63"/>
      <c r="CF265" s="63"/>
      <c r="CG265" s="63"/>
      <c r="CH265" s="63"/>
      <c r="CI265" s="63"/>
      <c r="CJ265" s="63"/>
      <c r="CK265" s="63"/>
      <c r="CL265" s="63"/>
      <c r="CM265" s="63"/>
      <c r="CN265" s="63"/>
      <c r="CO265" s="63"/>
      <c r="CP265" s="63"/>
      <c r="CQ265" s="63"/>
      <c r="CR265" s="63"/>
      <c r="CS265" s="63"/>
      <c r="CW265">
        <v>14</v>
      </c>
      <c r="CX265" s="35">
        <v>44907</v>
      </c>
      <c r="CZ265" s="35">
        <f>B282</f>
        <v>45026</v>
      </c>
      <c r="DA265">
        <v>98</v>
      </c>
      <c r="DC265" s="57" t="str">
        <f t="shared" si="248"/>
        <v/>
      </c>
      <c r="DD265" s="64" t="str">
        <f t="shared" si="249"/>
        <v/>
      </c>
      <c r="DE265" s="65" t="str">
        <f t="shared" si="250"/>
        <v/>
      </c>
      <c r="DF265" s="66" t="str">
        <f t="shared" si="251"/>
        <v/>
      </c>
    </row>
    <row r="266" spans="2:110" hidden="1" outlineLevel="1">
      <c r="B266" s="54">
        <f t="shared" si="252"/>
        <v>44914</v>
      </c>
      <c r="C266" s="55" t="s">
        <v>1</v>
      </c>
      <c r="D266" s="56">
        <f t="shared" si="253"/>
        <v>44920</v>
      </c>
      <c r="E266" s="52">
        <f t="shared" si="254"/>
        <v>12</v>
      </c>
      <c r="F266" s="53">
        <f t="shared" si="255"/>
        <v>2022</v>
      </c>
      <c r="G266" s="62">
        <f t="shared" si="256"/>
        <v>15</v>
      </c>
      <c r="H266" s="63">
        <f t="shared" si="257"/>
        <v>96</v>
      </c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>
        <v>15</v>
      </c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80"/>
      <c r="AG266" s="87">
        <f t="shared" si="211"/>
        <v>0</v>
      </c>
      <c r="AH266" s="87">
        <f t="shared" si="212"/>
        <v>0</v>
      </c>
      <c r="AI266" s="87">
        <f t="shared" si="213"/>
        <v>0</v>
      </c>
      <c r="AJ266" s="87">
        <f t="shared" si="214"/>
        <v>0</v>
      </c>
      <c r="AK266" s="87">
        <f t="shared" si="215"/>
        <v>0</v>
      </c>
      <c r="AL266" s="87">
        <f t="shared" si="216"/>
        <v>0</v>
      </c>
      <c r="AM266" s="87">
        <f t="shared" si="217"/>
        <v>0</v>
      </c>
      <c r="AN266" s="87">
        <f t="shared" si="218"/>
        <v>0</v>
      </c>
      <c r="AO266" s="87">
        <f t="shared" si="219"/>
        <v>0</v>
      </c>
      <c r="AP266" s="87">
        <f t="shared" si="220"/>
        <v>0</v>
      </c>
      <c r="AQ266" s="87">
        <f t="shared" si="221"/>
        <v>15</v>
      </c>
      <c r="AR266" s="81"/>
      <c r="AS266" s="85">
        <f t="shared" si="222"/>
        <v>0</v>
      </c>
      <c r="AT266" s="85">
        <f t="shared" si="223"/>
        <v>0</v>
      </c>
      <c r="AU266" s="85">
        <f t="shared" si="224"/>
        <v>0</v>
      </c>
      <c r="AV266" s="85">
        <f t="shared" si="225"/>
        <v>0</v>
      </c>
      <c r="AW266" s="85">
        <f t="shared" si="226"/>
        <v>0</v>
      </c>
      <c r="AX266" s="85">
        <f t="shared" si="227"/>
        <v>0</v>
      </c>
      <c r="AY266" s="85">
        <f t="shared" si="228"/>
        <v>0</v>
      </c>
      <c r="AZ266" s="85">
        <f t="shared" si="229"/>
        <v>0</v>
      </c>
      <c r="BA266" s="85">
        <f t="shared" si="230"/>
        <v>0</v>
      </c>
      <c r="BB266" s="85">
        <f t="shared" si="231"/>
        <v>0</v>
      </c>
      <c r="BC266" s="85">
        <f t="shared" si="232"/>
        <v>0</v>
      </c>
      <c r="BD266" s="85">
        <f t="shared" si="233"/>
        <v>0</v>
      </c>
      <c r="BE266" s="85">
        <f t="shared" si="234"/>
        <v>0</v>
      </c>
      <c r="BF266" s="85">
        <f t="shared" si="235"/>
        <v>0</v>
      </c>
      <c r="BG266" s="85">
        <f t="shared" si="236"/>
        <v>0</v>
      </c>
      <c r="BH266" s="85">
        <f t="shared" si="237"/>
        <v>0</v>
      </c>
      <c r="BI266" s="85">
        <f t="shared" si="238"/>
        <v>0</v>
      </c>
      <c r="BJ266" s="85">
        <f t="shared" si="239"/>
        <v>0</v>
      </c>
      <c r="BK266" s="85">
        <f t="shared" si="240"/>
        <v>0</v>
      </c>
      <c r="BL266" s="85">
        <f t="shared" si="241"/>
        <v>0</v>
      </c>
      <c r="BM266" s="85">
        <f t="shared" si="242"/>
        <v>0</v>
      </c>
      <c r="BN266" s="85">
        <f t="shared" si="243"/>
        <v>0</v>
      </c>
      <c r="BO266" s="85">
        <f t="shared" si="244"/>
        <v>0</v>
      </c>
      <c r="BP266" s="85">
        <f t="shared" si="245"/>
        <v>0</v>
      </c>
      <c r="BQ266" s="85">
        <f t="shared" si="246"/>
        <v>0</v>
      </c>
      <c r="BR266" s="85">
        <f t="shared" si="247"/>
        <v>0</v>
      </c>
      <c r="BT266" s="63"/>
      <c r="BU266" s="63"/>
      <c r="BV266" s="63"/>
      <c r="BW266" s="63"/>
      <c r="BX266" s="63"/>
      <c r="BY266" s="63"/>
      <c r="BZ266" s="63"/>
      <c r="CA266" s="63"/>
      <c r="CB266" s="63"/>
      <c r="CC266" s="63"/>
      <c r="CD266" s="63"/>
      <c r="CE266" s="63"/>
      <c r="CF266" s="63"/>
      <c r="CG266" s="63"/>
      <c r="CH266" s="63"/>
      <c r="CI266" s="63"/>
      <c r="CJ266" s="63"/>
      <c r="CK266" s="63"/>
      <c r="CL266" s="63"/>
      <c r="CM266" s="63"/>
      <c r="CN266" s="63"/>
      <c r="CO266" s="63"/>
      <c r="CP266" s="63"/>
      <c r="CQ266" s="63"/>
      <c r="CR266" s="63"/>
      <c r="CS266" s="63"/>
      <c r="CX266" s="35" t="s">
        <v>12</v>
      </c>
      <c r="CZ266" s="35"/>
      <c r="DC266" s="57" t="str">
        <f t="shared" si="248"/>
        <v/>
      </c>
      <c r="DD266" s="64" t="str">
        <f t="shared" si="249"/>
        <v/>
      </c>
      <c r="DE266" s="65" t="str">
        <f t="shared" si="250"/>
        <v/>
      </c>
      <c r="DF266" s="66" t="str">
        <f t="shared" si="251"/>
        <v/>
      </c>
    </row>
    <row r="267" spans="2:110" collapsed="1">
      <c r="B267" s="54">
        <f t="shared" si="252"/>
        <v>44921</v>
      </c>
      <c r="C267" s="55" t="s">
        <v>1</v>
      </c>
      <c r="D267" s="56">
        <f t="shared" si="253"/>
        <v>44927</v>
      </c>
      <c r="E267" s="52">
        <f t="shared" si="254"/>
        <v>12</v>
      </c>
      <c r="F267" s="53">
        <f t="shared" si="255"/>
        <v>2023</v>
      </c>
      <c r="G267" s="62">
        <f t="shared" si="256"/>
        <v>15</v>
      </c>
      <c r="H267" s="63">
        <f t="shared" si="257"/>
        <v>96</v>
      </c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>
        <v>15</v>
      </c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80"/>
      <c r="AG267" s="87">
        <f t="shared" si="211"/>
        <v>0</v>
      </c>
      <c r="AH267" s="87">
        <f t="shared" si="212"/>
        <v>0</v>
      </c>
      <c r="AI267" s="87">
        <f t="shared" si="213"/>
        <v>0</v>
      </c>
      <c r="AJ267" s="87">
        <f t="shared" si="214"/>
        <v>0</v>
      </c>
      <c r="AK267" s="87">
        <f t="shared" si="215"/>
        <v>0</v>
      </c>
      <c r="AL267" s="87">
        <f t="shared" si="216"/>
        <v>0</v>
      </c>
      <c r="AM267" s="87">
        <f t="shared" si="217"/>
        <v>0</v>
      </c>
      <c r="AN267" s="87">
        <f t="shared" si="218"/>
        <v>0</v>
      </c>
      <c r="AO267" s="87">
        <f t="shared" si="219"/>
        <v>0</v>
      </c>
      <c r="AP267" s="87">
        <f t="shared" si="220"/>
        <v>0</v>
      </c>
      <c r="AQ267" s="87">
        <f t="shared" si="221"/>
        <v>15</v>
      </c>
      <c r="AR267" s="81"/>
      <c r="AS267" s="85">
        <f t="shared" si="222"/>
        <v>0</v>
      </c>
      <c r="AT267" s="85">
        <f t="shared" si="223"/>
        <v>0</v>
      </c>
      <c r="AU267" s="85">
        <f t="shared" si="224"/>
        <v>0</v>
      </c>
      <c r="AV267" s="85">
        <f t="shared" si="225"/>
        <v>0</v>
      </c>
      <c r="AW267" s="85">
        <f t="shared" si="226"/>
        <v>0</v>
      </c>
      <c r="AX267" s="85">
        <f t="shared" si="227"/>
        <v>0</v>
      </c>
      <c r="AY267" s="85">
        <f t="shared" si="228"/>
        <v>0</v>
      </c>
      <c r="AZ267" s="85">
        <f t="shared" si="229"/>
        <v>0</v>
      </c>
      <c r="BA267" s="85">
        <f t="shared" si="230"/>
        <v>0</v>
      </c>
      <c r="BB267" s="85">
        <f t="shared" si="231"/>
        <v>0</v>
      </c>
      <c r="BC267" s="85">
        <f t="shared" si="232"/>
        <v>0</v>
      </c>
      <c r="BD267" s="85">
        <f t="shared" si="233"/>
        <v>0</v>
      </c>
      <c r="BE267" s="85">
        <f t="shared" si="234"/>
        <v>0</v>
      </c>
      <c r="BF267" s="85">
        <f t="shared" si="235"/>
        <v>0</v>
      </c>
      <c r="BG267" s="85">
        <f t="shared" si="236"/>
        <v>0</v>
      </c>
      <c r="BH267" s="85">
        <f t="shared" si="237"/>
        <v>0</v>
      </c>
      <c r="BI267" s="85">
        <f t="shared" si="238"/>
        <v>0</v>
      </c>
      <c r="BJ267" s="85">
        <f t="shared" si="239"/>
        <v>0</v>
      </c>
      <c r="BK267" s="85">
        <f t="shared" si="240"/>
        <v>0</v>
      </c>
      <c r="BL267" s="85">
        <f t="shared" si="241"/>
        <v>0</v>
      </c>
      <c r="BM267" s="85">
        <f t="shared" si="242"/>
        <v>0</v>
      </c>
      <c r="BN267" s="85">
        <f t="shared" si="243"/>
        <v>0</v>
      </c>
      <c r="BO267" s="85">
        <f t="shared" si="244"/>
        <v>0</v>
      </c>
      <c r="BP267" s="85">
        <f t="shared" si="245"/>
        <v>0</v>
      </c>
      <c r="BQ267" s="85">
        <f t="shared" si="246"/>
        <v>0</v>
      </c>
      <c r="BR267" s="85">
        <f t="shared" si="247"/>
        <v>0</v>
      </c>
      <c r="BT267" s="63"/>
      <c r="BU267" s="63"/>
      <c r="BV267" s="63"/>
      <c r="BW267" s="63"/>
      <c r="BX267" s="63"/>
      <c r="BY267" s="63"/>
      <c r="BZ267" s="63"/>
      <c r="CA267" s="63"/>
      <c r="CB267" s="63"/>
      <c r="CC267" s="63"/>
      <c r="CD267" s="63"/>
      <c r="CE267" s="63"/>
      <c r="CF267" s="63"/>
      <c r="CG267" s="63"/>
      <c r="CH267" s="63"/>
      <c r="CI267" s="63"/>
      <c r="CJ267" s="63"/>
      <c r="CK267" s="63"/>
      <c r="CL267" s="63"/>
      <c r="CM267" s="63"/>
      <c r="CN267" s="63"/>
      <c r="CO267" s="63"/>
      <c r="CP267" s="63"/>
      <c r="CQ267" s="63"/>
      <c r="CR267" s="63"/>
      <c r="CS267" s="63"/>
      <c r="CX267" s="35" t="s">
        <v>12</v>
      </c>
      <c r="CZ267" s="35"/>
      <c r="DC267" s="57" t="str">
        <f t="shared" si="248"/>
        <v/>
      </c>
      <c r="DD267" s="64" t="str">
        <f t="shared" si="249"/>
        <v/>
      </c>
      <c r="DE267" s="65" t="str">
        <f t="shared" si="250"/>
        <v/>
      </c>
      <c r="DF267" s="66" t="str">
        <f t="shared" si="251"/>
        <v/>
      </c>
    </row>
    <row r="268" spans="2:110" hidden="1" outlineLevel="1">
      <c r="B268" s="54">
        <f t="shared" si="252"/>
        <v>44928</v>
      </c>
      <c r="C268" s="55" t="s">
        <v>1</v>
      </c>
      <c r="D268" s="56">
        <f t="shared" si="253"/>
        <v>44934</v>
      </c>
      <c r="E268" s="52">
        <f t="shared" si="254"/>
        <v>1</v>
      </c>
      <c r="F268" s="53">
        <f t="shared" si="255"/>
        <v>2023</v>
      </c>
      <c r="G268" s="62">
        <f t="shared" si="256"/>
        <v>15</v>
      </c>
      <c r="H268" s="63">
        <f t="shared" si="257"/>
        <v>96</v>
      </c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>
        <v>15</v>
      </c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80"/>
      <c r="AG268" s="87">
        <f t="shared" si="211"/>
        <v>0</v>
      </c>
      <c r="AH268" s="87">
        <f t="shared" si="212"/>
        <v>0</v>
      </c>
      <c r="AI268" s="87">
        <f t="shared" si="213"/>
        <v>0</v>
      </c>
      <c r="AJ268" s="87">
        <f t="shared" si="214"/>
        <v>0</v>
      </c>
      <c r="AK268" s="87">
        <f t="shared" si="215"/>
        <v>0</v>
      </c>
      <c r="AL268" s="87">
        <f t="shared" si="216"/>
        <v>0</v>
      </c>
      <c r="AM268" s="87">
        <f t="shared" si="217"/>
        <v>0</v>
      </c>
      <c r="AN268" s="87">
        <f t="shared" si="218"/>
        <v>0</v>
      </c>
      <c r="AO268" s="87">
        <f t="shared" si="219"/>
        <v>0</v>
      </c>
      <c r="AP268" s="87">
        <f t="shared" si="220"/>
        <v>0</v>
      </c>
      <c r="AQ268" s="87">
        <f t="shared" si="221"/>
        <v>15</v>
      </c>
      <c r="AR268" s="81"/>
      <c r="AS268" s="85">
        <f t="shared" si="222"/>
        <v>0</v>
      </c>
      <c r="AT268" s="85">
        <f t="shared" si="223"/>
        <v>0</v>
      </c>
      <c r="AU268" s="85">
        <f t="shared" si="224"/>
        <v>0</v>
      </c>
      <c r="AV268" s="85">
        <f t="shared" si="225"/>
        <v>0</v>
      </c>
      <c r="AW268" s="85">
        <f t="shared" si="226"/>
        <v>0</v>
      </c>
      <c r="AX268" s="85">
        <f t="shared" si="227"/>
        <v>0</v>
      </c>
      <c r="AY268" s="85">
        <f t="shared" si="228"/>
        <v>0</v>
      </c>
      <c r="AZ268" s="85">
        <f t="shared" si="229"/>
        <v>0</v>
      </c>
      <c r="BA268" s="85">
        <f t="shared" si="230"/>
        <v>0</v>
      </c>
      <c r="BB268" s="85">
        <f t="shared" si="231"/>
        <v>0</v>
      </c>
      <c r="BC268" s="85">
        <f t="shared" si="232"/>
        <v>0</v>
      </c>
      <c r="BD268" s="85">
        <f t="shared" si="233"/>
        <v>0</v>
      </c>
      <c r="BE268" s="85">
        <f t="shared" si="234"/>
        <v>0</v>
      </c>
      <c r="BF268" s="85">
        <f t="shared" si="235"/>
        <v>0</v>
      </c>
      <c r="BG268" s="85">
        <f t="shared" si="236"/>
        <v>0</v>
      </c>
      <c r="BH268" s="85">
        <f t="shared" si="237"/>
        <v>0</v>
      </c>
      <c r="BI268" s="85">
        <f t="shared" si="238"/>
        <v>0</v>
      </c>
      <c r="BJ268" s="85">
        <f t="shared" si="239"/>
        <v>0</v>
      </c>
      <c r="BK268" s="85">
        <f t="shared" si="240"/>
        <v>0</v>
      </c>
      <c r="BL268" s="85">
        <f t="shared" si="241"/>
        <v>0</v>
      </c>
      <c r="BM268" s="85">
        <f t="shared" si="242"/>
        <v>0</v>
      </c>
      <c r="BN268" s="85">
        <f t="shared" si="243"/>
        <v>0</v>
      </c>
      <c r="BO268" s="85">
        <f t="shared" si="244"/>
        <v>0</v>
      </c>
      <c r="BP268" s="85">
        <f t="shared" si="245"/>
        <v>0</v>
      </c>
      <c r="BQ268" s="85">
        <f t="shared" si="246"/>
        <v>0</v>
      </c>
      <c r="BR268" s="85">
        <f t="shared" si="247"/>
        <v>0</v>
      </c>
      <c r="BT268" s="63"/>
      <c r="BU268" s="63"/>
      <c r="BV268" s="63"/>
      <c r="BW268" s="63"/>
      <c r="BX268" s="63"/>
      <c r="BY268" s="63"/>
      <c r="BZ268" s="63"/>
      <c r="CA268" s="63"/>
      <c r="CB268" s="63"/>
      <c r="CC268" s="63"/>
      <c r="CD268" s="63"/>
      <c r="CE268" s="63"/>
      <c r="CF268" s="63"/>
      <c r="CG268" s="63"/>
      <c r="CH268" s="63"/>
      <c r="CI268" s="63"/>
      <c r="CJ268" s="63"/>
      <c r="CK268" s="63"/>
      <c r="CL268" s="63"/>
      <c r="CM268" s="63"/>
      <c r="CN268" s="63"/>
      <c r="CO268" s="63"/>
      <c r="CP268" s="63"/>
      <c r="CQ268" s="63"/>
      <c r="CR268" s="63"/>
      <c r="CS268" s="63"/>
      <c r="CX268" s="35" t="s">
        <v>12</v>
      </c>
      <c r="CZ268" s="35"/>
      <c r="DC268" s="57" t="str">
        <f t="shared" si="248"/>
        <v/>
      </c>
      <c r="DD268" s="64" t="str">
        <f t="shared" si="249"/>
        <v/>
      </c>
      <c r="DE268" s="65" t="str">
        <f t="shared" si="250"/>
        <v/>
      </c>
      <c r="DF268" s="66" t="str">
        <f t="shared" si="251"/>
        <v/>
      </c>
    </row>
    <row r="269" spans="2:110" hidden="1" outlineLevel="1">
      <c r="B269" s="54">
        <f t="shared" si="252"/>
        <v>44935</v>
      </c>
      <c r="C269" s="55" t="s">
        <v>1</v>
      </c>
      <c r="D269" s="56">
        <f t="shared" si="253"/>
        <v>44941</v>
      </c>
      <c r="E269" s="52">
        <f t="shared" si="254"/>
        <v>1</v>
      </c>
      <c r="F269" s="53">
        <f t="shared" si="255"/>
        <v>2023</v>
      </c>
      <c r="G269" s="62">
        <f t="shared" si="256"/>
        <v>15</v>
      </c>
      <c r="H269" s="63">
        <f t="shared" si="257"/>
        <v>96</v>
      </c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>
        <v>15</v>
      </c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80"/>
      <c r="AG269" s="87">
        <f t="shared" si="211"/>
        <v>0</v>
      </c>
      <c r="AH269" s="87">
        <f t="shared" si="212"/>
        <v>0</v>
      </c>
      <c r="AI269" s="87">
        <f t="shared" si="213"/>
        <v>0</v>
      </c>
      <c r="AJ269" s="87">
        <f t="shared" si="214"/>
        <v>0</v>
      </c>
      <c r="AK269" s="87">
        <f t="shared" si="215"/>
        <v>0</v>
      </c>
      <c r="AL269" s="87">
        <f t="shared" si="216"/>
        <v>0</v>
      </c>
      <c r="AM269" s="87">
        <f t="shared" si="217"/>
        <v>0</v>
      </c>
      <c r="AN269" s="87">
        <f t="shared" si="218"/>
        <v>0</v>
      </c>
      <c r="AO269" s="87">
        <f t="shared" si="219"/>
        <v>0</v>
      </c>
      <c r="AP269" s="87">
        <f t="shared" si="220"/>
        <v>0</v>
      </c>
      <c r="AQ269" s="87">
        <f t="shared" si="221"/>
        <v>15</v>
      </c>
      <c r="AR269" s="81"/>
      <c r="AS269" s="85">
        <f t="shared" si="222"/>
        <v>0</v>
      </c>
      <c r="AT269" s="85">
        <f t="shared" si="223"/>
        <v>0</v>
      </c>
      <c r="AU269" s="85">
        <f t="shared" si="224"/>
        <v>0</v>
      </c>
      <c r="AV269" s="85">
        <f t="shared" si="225"/>
        <v>0</v>
      </c>
      <c r="AW269" s="85">
        <f t="shared" si="226"/>
        <v>0</v>
      </c>
      <c r="AX269" s="85">
        <f t="shared" si="227"/>
        <v>0</v>
      </c>
      <c r="AY269" s="85">
        <f t="shared" si="228"/>
        <v>0</v>
      </c>
      <c r="AZ269" s="85">
        <f t="shared" si="229"/>
        <v>0</v>
      </c>
      <c r="BA269" s="85">
        <f t="shared" si="230"/>
        <v>0</v>
      </c>
      <c r="BB269" s="85">
        <f t="shared" si="231"/>
        <v>0</v>
      </c>
      <c r="BC269" s="85">
        <f t="shared" si="232"/>
        <v>0</v>
      </c>
      <c r="BD269" s="85">
        <f t="shared" si="233"/>
        <v>0</v>
      </c>
      <c r="BE269" s="85">
        <f t="shared" si="234"/>
        <v>0</v>
      </c>
      <c r="BF269" s="85">
        <f t="shared" si="235"/>
        <v>0</v>
      </c>
      <c r="BG269" s="85">
        <f t="shared" si="236"/>
        <v>0</v>
      </c>
      <c r="BH269" s="85">
        <f t="shared" si="237"/>
        <v>0</v>
      </c>
      <c r="BI269" s="85">
        <f t="shared" si="238"/>
        <v>0</v>
      </c>
      <c r="BJ269" s="85">
        <f t="shared" si="239"/>
        <v>0</v>
      </c>
      <c r="BK269" s="85">
        <f t="shared" si="240"/>
        <v>0</v>
      </c>
      <c r="BL269" s="85">
        <f t="shared" si="241"/>
        <v>0</v>
      </c>
      <c r="BM269" s="85">
        <f t="shared" si="242"/>
        <v>0</v>
      </c>
      <c r="BN269" s="85">
        <f t="shared" si="243"/>
        <v>0</v>
      </c>
      <c r="BO269" s="85">
        <f t="shared" si="244"/>
        <v>0</v>
      </c>
      <c r="BP269" s="85">
        <f t="shared" si="245"/>
        <v>0</v>
      </c>
      <c r="BQ269" s="85">
        <f t="shared" si="246"/>
        <v>0</v>
      </c>
      <c r="BR269" s="85">
        <f t="shared" si="247"/>
        <v>0</v>
      </c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3"/>
      <c r="CH269" s="63"/>
      <c r="CI269" s="63"/>
      <c r="CJ269" s="63"/>
      <c r="CK269" s="63"/>
      <c r="CL269" s="63"/>
      <c r="CM269" s="63"/>
      <c r="CN269" s="63"/>
      <c r="CO269" s="63"/>
      <c r="CP269" s="63"/>
      <c r="CQ269" s="63"/>
      <c r="CR269" s="63"/>
      <c r="CS269" s="63"/>
      <c r="CX269" s="35" t="s">
        <v>12</v>
      </c>
      <c r="CZ269" s="35"/>
      <c r="DC269" s="57" t="str">
        <f t="shared" si="248"/>
        <v/>
      </c>
      <c r="DD269" s="64" t="str">
        <f t="shared" si="249"/>
        <v/>
      </c>
      <c r="DE269" s="65" t="str">
        <f t="shared" si="250"/>
        <v/>
      </c>
      <c r="DF269" s="66" t="str">
        <f t="shared" si="251"/>
        <v/>
      </c>
    </row>
    <row r="270" spans="2:110" hidden="1" outlineLevel="1">
      <c r="B270" s="54">
        <f t="shared" si="252"/>
        <v>44942</v>
      </c>
      <c r="C270" s="55" t="s">
        <v>1</v>
      </c>
      <c r="D270" s="56">
        <f t="shared" si="253"/>
        <v>44948</v>
      </c>
      <c r="E270" s="52">
        <f t="shared" si="254"/>
        <v>1</v>
      </c>
      <c r="F270" s="53">
        <f t="shared" si="255"/>
        <v>2023</v>
      </c>
      <c r="G270" s="62">
        <f t="shared" si="256"/>
        <v>15</v>
      </c>
      <c r="H270" s="63">
        <f t="shared" si="257"/>
        <v>96</v>
      </c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>
        <v>15</v>
      </c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80"/>
      <c r="AG270" s="87">
        <f t="shared" si="211"/>
        <v>0</v>
      </c>
      <c r="AH270" s="87">
        <f t="shared" si="212"/>
        <v>0</v>
      </c>
      <c r="AI270" s="87">
        <f t="shared" si="213"/>
        <v>0</v>
      </c>
      <c r="AJ270" s="87">
        <f t="shared" si="214"/>
        <v>0</v>
      </c>
      <c r="AK270" s="87">
        <f t="shared" si="215"/>
        <v>0</v>
      </c>
      <c r="AL270" s="87">
        <f t="shared" si="216"/>
        <v>0</v>
      </c>
      <c r="AM270" s="87">
        <f t="shared" si="217"/>
        <v>0</v>
      </c>
      <c r="AN270" s="87">
        <f t="shared" si="218"/>
        <v>0</v>
      </c>
      <c r="AO270" s="87">
        <f t="shared" si="219"/>
        <v>0</v>
      </c>
      <c r="AP270" s="87">
        <f t="shared" si="220"/>
        <v>0</v>
      </c>
      <c r="AQ270" s="87">
        <f t="shared" si="221"/>
        <v>15</v>
      </c>
      <c r="AR270" s="81"/>
      <c r="AS270" s="85">
        <f t="shared" si="222"/>
        <v>0</v>
      </c>
      <c r="AT270" s="85">
        <f t="shared" si="223"/>
        <v>0</v>
      </c>
      <c r="AU270" s="85">
        <f t="shared" si="224"/>
        <v>0</v>
      </c>
      <c r="AV270" s="85">
        <f t="shared" si="225"/>
        <v>0</v>
      </c>
      <c r="AW270" s="85">
        <f t="shared" si="226"/>
        <v>0</v>
      </c>
      <c r="AX270" s="85">
        <f t="shared" si="227"/>
        <v>0</v>
      </c>
      <c r="AY270" s="85">
        <f t="shared" si="228"/>
        <v>0</v>
      </c>
      <c r="AZ270" s="85">
        <f t="shared" si="229"/>
        <v>0</v>
      </c>
      <c r="BA270" s="85">
        <f t="shared" si="230"/>
        <v>0</v>
      </c>
      <c r="BB270" s="85">
        <f t="shared" si="231"/>
        <v>0</v>
      </c>
      <c r="BC270" s="85">
        <f t="shared" si="232"/>
        <v>0</v>
      </c>
      <c r="BD270" s="85">
        <f t="shared" si="233"/>
        <v>0</v>
      </c>
      <c r="BE270" s="85">
        <f t="shared" si="234"/>
        <v>0</v>
      </c>
      <c r="BF270" s="85">
        <f t="shared" si="235"/>
        <v>0</v>
      </c>
      <c r="BG270" s="85">
        <f t="shared" si="236"/>
        <v>0</v>
      </c>
      <c r="BH270" s="85">
        <f t="shared" si="237"/>
        <v>0</v>
      </c>
      <c r="BI270" s="85">
        <f t="shared" si="238"/>
        <v>0</v>
      </c>
      <c r="BJ270" s="85">
        <f t="shared" si="239"/>
        <v>0</v>
      </c>
      <c r="BK270" s="85">
        <f t="shared" si="240"/>
        <v>0</v>
      </c>
      <c r="BL270" s="85">
        <f t="shared" si="241"/>
        <v>0</v>
      </c>
      <c r="BM270" s="85">
        <f t="shared" si="242"/>
        <v>0</v>
      </c>
      <c r="BN270" s="85">
        <f t="shared" si="243"/>
        <v>0</v>
      </c>
      <c r="BO270" s="85">
        <f t="shared" si="244"/>
        <v>0</v>
      </c>
      <c r="BP270" s="85">
        <f t="shared" si="245"/>
        <v>0</v>
      </c>
      <c r="BQ270" s="85">
        <f t="shared" si="246"/>
        <v>0</v>
      </c>
      <c r="BR270" s="85">
        <f t="shared" si="247"/>
        <v>0</v>
      </c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  <c r="CK270" s="63"/>
      <c r="CL270" s="63"/>
      <c r="CM270" s="63"/>
      <c r="CN270" s="63"/>
      <c r="CO270" s="63"/>
      <c r="CP270" s="63"/>
      <c r="CQ270" s="63"/>
      <c r="CR270" s="63"/>
      <c r="CS270" s="63"/>
      <c r="CW270">
        <v>3</v>
      </c>
      <c r="CX270" s="35">
        <v>44942</v>
      </c>
      <c r="CZ270" s="35">
        <f>B287</f>
        <v>45061</v>
      </c>
      <c r="DA270">
        <v>98</v>
      </c>
      <c r="DC270" s="57" t="str">
        <f t="shared" si="248"/>
        <v/>
      </c>
      <c r="DD270" s="64" t="str">
        <f t="shared" si="249"/>
        <v/>
      </c>
      <c r="DE270" s="65" t="str">
        <f t="shared" si="250"/>
        <v/>
      </c>
      <c r="DF270" s="66" t="str">
        <f t="shared" si="251"/>
        <v/>
      </c>
    </row>
    <row r="271" spans="2:110" hidden="1" outlineLevel="1">
      <c r="B271" s="54">
        <f t="shared" si="252"/>
        <v>44949</v>
      </c>
      <c r="C271" s="55" t="s">
        <v>1</v>
      </c>
      <c r="D271" s="56">
        <f t="shared" si="253"/>
        <v>44955</v>
      </c>
      <c r="E271" s="52">
        <f t="shared" si="254"/>
        <v>1</v>
      </c>
      <c r="F271" s="53">
        <f t="shared" si="255"/>
        <v>2023</v>
      </c>
      <c r="G271" s="62">
        <f t="shared" si="256"/>
        <v>15</v>
      </c>
      <c r="H271" s="63">
        <f t="shared" si="257"/>
        <v>96</v>
      </c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>
        <v>15</v>
      </c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80"/>
      <c r="AG271" s="87">
        <f t="shared" si="211"/>
        <v>0</v>
      </c>
      <c r="AH271" s="87">
        <f t="shared" si="212"/>
        <v>0</v>
      </c>
      <c r="AI271" s="87">
        <f t="shared" si="213"/>
        <v>0</v>
      </c>
      <c r="AJ271" s="87">
        <f t="shared" si="214"/>
        <v>0</v>
      </c>
      <c r="AK271" s="87">
        <f t="shared" si="215"/>
        <v>0</v>
      </c>
      <c r="AL271" s="87">
        <f t="shared" si="216"/>
        <v>0</v>
      </c>
      <c r="AM271" s="87">
        <f t="shared" si="217"/>
        <v>0</v>
      </c>
      <c r="AN271" s="87">
        <f t="shared" si="218"/>
        <v>0</v>
      </c>
      <c r="AO271" s="87">
        <f t="shared" si="219"/>
        <v>0</v>
      </c>
      <c r="AP271" s="87">
        <f t="shared" si="220"/>
        <v>0</v>
      </c>
      <c r="AQ271" s="87">
        <f t="shared" si="221"/>
        <v>15</v>
      </c>
      <c r="AR271" s="81"/>
      <c r="AS271" s="85">
        <f t="shared" si="222"/>
        <v>0</v>
      </c>
      <c r="AT271" s="85">
        <f t="shared" si="223"/>
        <v>0</v>
      </c>
      <c r="AU271" s="85">
        <f t="shared" si="224"/>
        <v>0</v>
      </c>
      <c r="AV271" s="85">
        <f t="shared" si="225"/>
        <v>0</v>
      </c>
      <c r="AW271" s="85">
        <f t="shared" si="226"/>
        <v>0</v>
      </c>
      <c r="AX271" s="85">
        <f t="shared" si="227"/>
        <v>0</v>
      </c>
      <c r="AY271" s="85">
        <f t="shared" si="228"/>
        <v>0</v>
      </c>
      <c r="AZ271" s="85">
        <f t="shared" si="229"/>
        <v>0</v>
      </c>
      <c r="BA271" s="85">
        <f t="shared" si="230"/>
        <v>0</v>
      </c>
      <c r="BB271" s="85">
        <f t="shared" si="231"/>
        <v>0</v>
      </c>
      <c r="BC271" s="85">
        <f t="shared" si="232"/>
        <v>0</v>
      </c>
      <c r="BD271" s="85">
        <f t="shared" si="233"/>
        <v>0</v>
      </c>
      <c r="BE271" s="85">
        <f t="shared" si="234"/>
        <v>0</v>
      </c>
      <c r="BF271" s="85">
        <f t="shared" si="235"/>
        <v>0</v>
      </c>
      <c r="BG271" s="85">
        <f t="shared" si="236"/>
        <v>0</v>
      </c>
      <c r="BH271" s="85">
        <f t="shared" si="237"/>
        <v>0</v>
      </c>
      <c r="BI271" s="85">
        <f t="shared" si="238"/>
        <v>0</v>
      </c>
      <c r="BJ271" s="85">
        <f t="shared" si="239"/>
        <v>0</v>
      </c>
      <c r="BK271" s="85">
        <f t="shared" si="240"/>
        <v>0</v>
      </c>
      <c r="BL271" s="85">
        <f t="shared" si="241"/>
        <v>0</v>
      </c>
      <c r="BM271" s="85">
        <f t="shared" si="242"/>
        <v>0</v>
      </c>
      <c r="BN271" s="85">
        <f t="shared" si="243"/>
        <v>0</v>
      </c>
      <c r="BO271" s="85">
        <f t="shared" si="244"/>
        <v>0</v>
      </c>
      <c r="BP271" s="85">
        <f t="shared" si="245"/>
        <v>0</v>
      </c>
      <c r="BQ271" s="85">
        <f t="shared" si="246"/>
        <v>0</v>
      </c>
      <c r="BR271" s="85">
        <f t="shared" si="247"/>
        <v>0</v>
      </c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3"/>
      <c r="CH271" s="63"/>
      <c r="CI271" s="63"/>
      <c r="CJ271" s="63"/>
      <c r="CK271" s="63"/>
      <c r="CL271" s="63"/>
      <c r="CM271" s="63"/>
      <c r="CN271" s="63"/>
      <c r="CO271" s="63"/>
      <c r="CP271" s="63"/>
      <c r="CQ271" s="63"/>
      <c r="CR271" s="63"/>
      <c r="CS271" s="63"/>
      <c r="CX271" s="35" t="s">
        <v>12</v>
      </c>
      <c r="CZ271" s="35"/>
      <c r="DC271" s="57" t="str">
        <f t="shared" si="248"/>
        <v/>
      </c>
      <c r="DD271" s="64" t="str">
        <f t="shared" si="249"/>
        <v/>
      </c>
      <c r="DE271" s="65" t="str">
        <f t="shared" si="250"/>
        <v/>
      </c>
      <c r="DF271" s="66" t="str">
        <f t="shared" si="251"/>
        <v/>
      </c>
    </row>
    <row r="272" spans="2:110" hidden="1" outlineLevel="1">
      <c r="B272" s="54">
        <f t="shared" si="252"/>
        <v>44956</v>
      </c>
      <c r="C272" s="55" t="s">
        <v>1</v>
      </c>
      <c r="D272" s="56">
        <f t="shared" si="253"/>
        <v>44962</v>
      </c>
      <c r="E272" s="52">
        <f t="shared" si="254"/>
        <v>1</v>
      </c>
      <c r="F272" s="53">
        <f t="shared" si="255"/>
        <v>2023</v>
      </c>
      <c r="G272" s="62">
        <f t="shared" si="256"/>
        <v>15</v>
      </c>
      <c r="H272" s="63">
        <f t="shared" si="257"/>
        <v>96</v>
      </c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>
        <v>15</v>
      </c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80"/>
      <c r="AG272" s="87">
        <f t="shared" si="211"/>
        <v>0</v>
      </c>
      <c r="AH272" s="87">
        <f t="shared" si="212"/>
        <v>0</v>
      </c>
      <c r="AI272" s="87">
        <f t="shared" si="213"/>
        <v>0</v>
      </c>
      <c r="AJ272" s="87">
        <f t="shared" si="214"/>
        <v>0</v>
      </c>
      <c r="AK272" s="87">
        <f t="shared" si="215"/>
        <v>0</v>
      </c>
      <c r="AL272" s="87">
        <f t="shared" si="216"/>
        <v>0</v>
      </c>
      <c r="AM272" s="87">
        <f t="shared" si="217"/>
        <v>0</v>
      </c>
      <c r="AN272" s="87">
        <f t="shared" si="218"/>
        <v>0</v>
      </c>
      <c r="AO272" s="87">
        <f t="shared" si="219"/>
        <v>0</v>
      </c>
      <c r="AP272" s="87">
        <f t="shared" si="220"/>
        <v>0</v>
      </c>
      <c r="AQ272" s="87">
        <f t="shared" si="221"/>
        <v>15</v>
      </c>
      <c r="AR272" s="81"/>
      <c r="AS272" s="85">
        <f t="shared" si="222"/>
        <v>0</v>
      </c>
      <c r="AT272" s="85">
        <f t="shared" si="223"/>
        <v>0</v>
      </c>
      <c r="AU272" s="85">
        <f t="shared" si="224"/>
        <v>0</v>
      </c>
      <c r="AV272" s="85">
        <f t="shared" si="225"/>
        <v>0</v>
      </c>
      <c r="AW272" s="85">
        <f t="shared" si="226"/>
        <v>0</v>
      </c>
      <c r="AX272" s="85">
        <f t="shared" si="227"/>
        <v>0</v>
      </c>
      <c r="AY272" s="85">
        <f t="shared" si="228"/>
        <v>0</v>
      </c>
      <c r="AZ272" s="85">
        <f t="shared" si="229"/>
        <v>0</v>
      </c>
      <c r="BA272" s="85">
        <f t="shared" si="230"/>
        <v>0</v>
      </c>
      <c r="BB272" s="85">
        <f t="shared" si="231"/>
        <v>0</v>
      </c>
      <c r="BC272" s="85">
        <f t="shared" si="232"/>
        <v>0</v>
      </c>
      <c r="BD272" s="85">
        <f t="shared" si="233"/>
        <v>0</v>
      </c>
      <c r="BE272" s="85">
        <f t="shared" si="234"/>
        <v>0</v>
      </c>
      <c r="BF272" s="85">
        <f t="shared" si="235"/>
        <v>0</v>
      </c>
      <c r="BG272" s="85">
        <f t="shared" si="236"/>
        <v>0</v>
      </c>
      <c r="BH272" s="85">
        <f t="shared" si="237"/>
        <v>0</v>
      </c>
      <c r="BI272" s="85">
        <f t="shared" si="238"/>
        <v>0</v>
      </c>
      <c r="BJ272" s="85">
        <f t="shared" si="239"/>
        <v>0</v>
      </c>
      <c r="BK272" s="85">
        <f t="shared" si="240"/>
        <v>0</v>
      </c>
      <c r="BL272" s="85">
        <f t="shared" si="241"/>
        <v>0</v>
      </c>
      <c r="BM272" s="85">
        <f t="shared" si="242"/>
        <v>0</v>
      </c>
      <c r="BN272" s="85">
        <f t="shared" si="243"/>
        <v>0</v>
      </c>
      <c r="BO272" s="85">
        <f t="shared" si="244"/>
        <v>0</v>
      </c>
      <c r="BP272" s="85">
        <f t="shared" si="245"/>
        <v>0</v>
      </c>
      <c r="BQ272" s="85">
        <f t="shared" si="246"/>
        <v>0</v>
      </c>
      <c r="BR272" s="85">
        <f t="shared" si="247"/>
        <v>0</v>
      </c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3"/>
      <c r="CH272" s="63"/>
      <c r="CI272" s="63"/>
      <c r="CJ272" s="63"/>
      <c r="CK272" s="63"/>
      <c r="CL272" s="63"/>
      <c r="CM272" s="63"/>
      <c r="CN272" s="63"/>
      <c r="CO272" s="63"/>
      <c r="CP272" s="63"/>
      <c r="CQ272" s="63"/>
      <c r="CR272" s="63"/>
      <c r="CS272" s="63"/>
      <c r="CX272" s="35" t="s">
        <v>12</v>
      </c>
      <c r="CZ272" s="35"/>
      <c r="DC272" s="57" t="str">
        <f t="shared" si="248"/>
        <v/>
      </c>
      <c r="DD272" s="64" t="str">
        <f t="shared" si="249"/>
        <v/>
      </c>
      <c r="DE272" s="65" t="str">
        <f t="shared" si="250"/>
        <v/>
      </c>
      <c r="DF272" s="66" t="str">
        <f t="shared" si="251"/>
        <v/>
      </c>
    </row>
    <row r="273" spans="2:110" hidden="1" outlineLevel="1">
      <c r="B273" s="54">
        <f t="shared" si="252"/>
        <v>44963</v>
      </c>
      <c r="C273" s="55" t="s">
        <v>1</v>
      </c>
      <c r="D273" s="56">
        <f t="shared" si="253"/>
        <v>44969</v>
      </c>
      <c r="E273" s="52">
        <f t="shared" si="254"/>
        <v>2</v>
      </c>
      <c r="F273" s="53">
        <f t="shared" si="255"/>
        <v>2023</v>
      </c>
      <c r="G273" s="62">
        <f t="shared" si="256"/>
        <v>15</v>
      </c>
      <c r="H273" s="63">
        <f t="shared" si="257"/>
        <v>96</v>
      </c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>
        <v>15</v>
      </c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80"/>
      <c r="AG273" s="87">
        <f t="shared" si="211"/>
        <v>0</v>
      </c>
      <c r="AH273" s="87">
        <f t="shared" si="212"/>
        <v>0</v>
      </c>
      <c r="AI273" s="87">
        <f t="shared" si="213"/>
        <v>0</v>
      </c>
      <c r="AJ273" s="87">
        <f t="shared" si="214"/>
        <v>0</v>
      </c>
      <c r="AK273" s="87">
        <f t="shared" si="215"/>
        <v>0</v>
      </c>
      <c r="AL273" s="87">
        <f t="shared" si="216"/>
        <v>0</v>
      </c>
      <c r="AM273" s="87">
        <f t="shared" si="217"/>
        <v>0</v>
      </c>
      <c r="AN273" s="87">
        <f t="shared" si="218"/>
        <v>0</v>
      </c>
      <c r="AO273" s="87">
        <f t="shared" si="219"/>
        <v>0</v>
      </c>
      <c r="AP273" s="87">
        <f t="shared" si="220"/>
        <v>0</v>
      </c>
      <c r="AQ273" s="87">
        <f t="shared" si="221"/>
        <v>15</v>
      </c>
      <c r="AR273" s="81"/>
      <c r="AS273" s="85">
        <f t="shared" si="222"/>
        <v>0</v>
      </c>
      <c r="AT273" s="85">
        <f t="shared" si="223"/>
        <v>0</v>
      </c>
      <c r="AU273" s="85">
        <f t="shared" si="224"/>
        <v>0</v>
      </c>
      <c r="AV273" s="85">
        <f t="shared" si="225"/>
        <v>0</v>
      </c>
      <c r="AW273" s="85">
        <f t="shared" si="226"/>
        <v>0</v>
      </c>
      <c r="AX273" s="85">
        <f t="shared" si="227"/>
        <v>0</v>
      </c>
      <c r="AY273" s="85">
        <f t="shared" si="228"/>
        <v>0</v>
      </c>
      <c r="AZ273" s="85">
        <f t="shared" si="229"/>
        <v>0</v>
      </c>
      <c r="BA273" s="85">
        <f t="shared" si="230"/>
        <v>0</v>
      </c>
      <c r="BB273" s="85">
        <f t="shared" si="231"/>
        <v>0</v>
      </c>
      <c r="BC273" s="85">
        <f t="shared" si="232"/>
        <v>0</v>
      </c>
      <c r="BD273" s="85">
        <f t="shared" si="233"/>
        <v>0</v>
      </c>
      <c r="BE273" s="85">
        <f t="shared" si="234"/>
        <v>0</v>
      </c>
      <c r="BF273" s="85">
        <f t="shared" si="235"/>
        <v>0</v>
      </c>
      <c r="BG273" s="85">
        <f t="shared" si="236"/>
        <v>0</v>
      </c>
      <c r="BH273" s="85">
        <f t="shared" si="237"/>
        <v>0</v>
      </c>
      <c r="BI273" s="85">
        <f t="shared" si="238"/>
        <v>0</v>
      </c>
      <c r="BJ273" s="85">
        <f t="shared" si="239"/>
        <v>0</v>
      </c>
      <c r="BK273" s="85">
        <f t="shared" si="240"/>
        <v>0</v>
      </c>
      <c r="BL273" s="85">
        <f t="shared" si="241"/>
        <v>0</v>
      </c>
      <c r="BM273" s="85">
        <f t="shared" si="242"/>
        <v>0</v>
      </c>
      <c r="BN273" s="85">
        <f t="shared" si="243"/>
        <v>0</v>
      </c>
      <c r="BO273" s="85">
        <f t="shared" si="244"/>
        <v>0</v>
      </c>
      <c r="BP273" s="85">
        <f t="shared" si="245"/>
        <v>0</v>
      </c>
      <c r="BQ273" s="85">
        <f t="shared" si="246"/>
        <v>0</v>
      </c>
      <c r="BR273" s="85">
        <f t="shared" si="247"/>
        <v>0</v>
      </c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3"/>
      <c r="CH273" s="63"/>
      <c r="CI273" s="63"/>
      <c r="CJ273" s="63"/>
      <c r="CK273" s="63"/>
      <c r="CL273" s="63"/>
      <c r="CM273" s="63"/>
      <c r="CN273" s="63"/>
      <c r="CO273" s="63"/>
      <c r="CP273" s="63"/>
      <c r="CQ273" s="63"/>
      <c r="CR273" s="63"/>
      <c r="CS273" s="63"/>
      <c r="CX273" s="35" t="s">
        <v>12</v>
      </c>
      <c r="CZ273" s="35"/>
      <c r="DC273" s="57" t="str">
        <f t="shared" si="248"/>
        <v/>
      </c>
      <c r="DD273" s="64" t="str">
        <f t="shared" si="249"/>
        <v/>
      </c>
      <c r="DE273" s="65" t="str">
        <f t="shared" si="250"/>
        <v/>
      </c>
      <c r="DF273" s="66" t="str">
        <f t="shared" si="251"/>
        <v/>
      </c>
    </row>
    <row r="274" spans="2:110" hidden="1" outlineLevel="1">
      <c r="B274" s="54">
        <f t="shared" si="252"/>
        <v>44970</v>
      </c>
      <c r="C274" s="55" t="s">
        <v>1</v>
      </c>
      <c r="D274" s="56">
        <f t="shared" si="253"/>
        <v>44976</v>
      </c>
      <c r="E274" s="52">
        <f t="shared" si="254"/>
        <v>2</v>
      </c>
      <c r="F274" s="53">
        <f t="shared" si="255"/>
        <v>2023</v>
      </c>
      <c r="G274" s="62">
        <f t="shared" si="256"/>
        <v>15</v>
      </c>
      <c r="H274" s="63">
        <f t="shared" si="257"/>
        <v>96</v>
      </c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>
        <v>15</v>
      </c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80"/>
      <c r="AG274" s="87">
        <f t="shared" si="211"/>
        <v>0</v>
      </c>
      <c r="AH274" s="87">
        <f t="shared" si="212"/>
        <v>0</v>
      </c>
      <c r="AI274" s="87">
        <f t="shared" si="213"/>
        <v>0</v>
      </c>
      <c r="AJ274" s="87">
        <f t="shared" si="214"/>
        <v>0</v>
      </c>
      <c r="AK274" s="87">
        <f t="shared" si="215"/>
        <v>0</v>
      </c>
      <c r="AL274" s="87">
        <f t="shared" si="216"/>
        <v>0</v>
      </c>
      <c r="AM274" s="87">
        <f t="shared" si="217"/>
        <v>0</v>
      </c>
      <c r="AN274" s="87">
        <f t="shared" si="218"/>
        <v>0</v>
      </c>
      <c r="AO274" s="87">
        <f t="shared" si="219"/>
        <v>0</v>
      </c>
      <c r="AP274" s="87">
        <f t="shared" si="220"/>
        <v>0</v>
      </c>
      <c r="AQ274" s="87">
        <f t="shared" si="221"/>
        <v>15</v>
      </c>
      <c r="AR274" s="81"/>
      <c r="AS274" s="85">
        <f t="shared" si="222"/>
        <v>0</v>
      </c>
      <c r="AT274" s="85">
        <f t="shared" si="223"/>
        <v>0</v>
      </c>
      <c r="AU274" s="85">
        <f t="shared" si="224"/>
        <v>0</v>
      </c>
      <c r="AV274" s="85">
        <f t="shared" si="225"/>
        <v>0</v>
      </c>
      <c r="AW274" s="85">
        <f t="shared" si="226"/>
        <v>0</v>
      </c>
      <c r="AX274" s="85">
        <f t="shared" si="227"/>
        <v>0</v>
      </c>
      <c r="AY274" s="85">
        <f t="shared" si="228"/>
        <v>0</v>
      </c>
      <c r="AZ274" s="85">
        <f t="shared" si="229"/>
        <v>0</v>
      </c>
      <c r="BA274" s="85">
        <f t="shared" si="230"/>
        <v>0</v>
      </c>
      <c r="BB274" s="85">
        <f t="shared" si="231"/>
        <v>0</v>
      </c>
      <c r="BC274" s="85">
        <f t="shared" si="232"/>
        <v>0</v>
      </c>
      <c r="BD274" s="85">
        <f t="shared" si="233"/>
        <v>0</v>
      </c>
      <c r="BE274" s="85">
        <f t="shared" si="234"/>
        <v>0</v>
      </c>
      <c r="BF274" s="85">
        <f t="shared" si="235"/>
        <v>0</v>
      </c>
      <c r="BG274" s="85">
        <f t="shared" si="236"/>
        <v>0</v>
      </c>
      <c r="BH274" s="85">
        <f t="shared" si="237"/>
        <v>0</v>
      </c>
      <c r="BI274" s="85">
        <f t="shared" si="238"/>
        <v>0</v>
      </c>
      <c r="BJ274" s="85">
        <f t="shared" si="239"/>
        <v>0</v>
      </c>
      <c r="BK274" s="85">
        <f t="shared" si="240"/>
        <v>0</v>
      </c>
      <c r="BL274" s="85">
        <f t="shared" si="241"/>
        <v>0</v>
      </c>
      <c r="BM274" s="85">
        <f t="shared" si="242"/>
        <v>0</v>
      </c>
      <c r="BN274" s="85">
        <f t="shared" si="243"/>
        <v>0</v>
      </c>
      <c r="BO274" s="85">
        <f t="shared" si="244"/>
        <v>0</v>
      </c>
      <c r="BP274" s="85">
        <f t="shared" si="245"/>
        <v>0</v>
      </c>
      <c r="BQ274" s="85">
        <f t="shared" si="246"/>
        <v>0</v>
      </c>
      <c r="BR274" s="85">
        <f t="shared" si="247"/>
        <v>0</v>
      </c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3"/>
      <c r="CG274" s="63"/>
      <c r="CH274" s="63"/>
      <c r="CI274" s="63"/>
      <c r="CJ274" s="63"/>
      <c r="CK274" s="63"/>
      <c r="CL274" s="63"/>
      <c r="CM274" s="63"/>
      <c r="CN274" s="63"/>
      <c r="CO274" s="63"/>
      <c r="CP274" s="63"/>
      <c r="CQ274" s="63"/>
      <c r="CR274" s="63"/>
      <c r="CS274" s="63"/>
      <c r="CX274" s="35" t="s">
        <v>12</v>
      </c>
      <c r="CZ274" s="35"/>
      <c r="DC274" s="57" t="str">
        <f t="shared" si="248"/>
        <v/>
      </c>
      <c r="DD274" s="64" t="str">
        <f t="shared" si="249"/>
        <v/>
      </c>
      <c r="DE274" s="65" t="str">
        <f t="shared" si="250"/>
        <v/>
      </c>
      <c r="DF274" s="66" t="str">
        <f t="shared" si="251"/>
        <v/>
      </c>
    </row>
    <row r="275" spans="2:110" hidden="1" outlineLevel="1">
      <c r="B275" s="54">
        <f t="shared" si="252"/>
        <v>44977</v>
      </c>
      <c r="C275" s="55" t="s">
        <v>1</v>
      </c>
      <c r="D275" s="56">
        <f t="shared" si="253"/>
        <v>44983</v>
      </c>
      <c r="E275" s="52">
        <f t="shared" si="254"/>
        <v>2</v>
      </c>
      <c r="F275" s="53">
        <f t="shared" si="255"/>
        <v>2023</v>
      </c>
      <c r="G275" s="62">
        <f t="shared" si="256"/>
        <v>15</v>
      </c>
      <c r="H275" s="63">
        <f t="shared" si="257"/>
        <v>96</v>
      </c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>
        <v>15</v>
      </c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80"/>
      <c r="AG275" s="87">
        <f t="shared" si="211"/>
        <v>0</v>
      </c>
      <c r="AH275" s="87">
        <f t="shared" si="212"/>
        <v>0</v>
      </c>
      <c r="AI275" s="87">
        <f t="shared" si="213"/>
        <v>0</v>
      </c>
      <c r="AJ275" s="87">
        <f t="shared" si="214"/>
        <v>0</v>
      </c>
      <c r="AK275" s="87">
        <f t="shared" si="215"/>
        <v>0</v>
      </c>
      <c r="AL275" s="87">
        <f t="shared" si="216"/>
        <v>0</v>
      </c>
      <c r="AM275" s="87">
        <f t="shared" si="217"/>
        <v>0</v>
      </c>
      <c r="AN275" s="87">
        <f t="shared" si="218"/>
        <v>0</v>
      </c>
      <c r="AO275" s="87">
        <f t="shared" si="219"/>
        <v>0</v>
      </c>
      <c r="AP275" s="87">
        <f t="shared" si="220"/>
        <v>0</v>
      </c>
      <c r="AQ275" s="87">
        <f t="shared" si="221"/>
        <v>15</v>
      </c>
      <c r="AR275" s="81"/>
      <c r="AS275" s="85">
        <f t="shared" si="222"/>
        <v>0</v>
      </c>
      <c r="AT275" s="85">
        <f t="shared" si="223"/>
        <v>0</v>
      </c>
      <c r="AU275" s="85">
        <f t="shared" si="224"/>
        <v>0</v>
      </c>
      <c r="AV275" s="85">
        <f t="shared" si="225"/>
        <v>0</v>
      </c>
      <c r="AW275" s="85">
        <f t="shared" si="226"/>
        <v>0</v>
      </c>
      <c r="AX275" s="85">
        <f t="shared" si="227"/>
        <v>0</v>
      </c>
      <c r="AY275" s="85">
        <f t="shared" si="228"/>
        <v>0</v>
      </c>
      <c r="AZ275" s="85">
        <f t="shared" si="229"/>
        <v>0</v>
      </c>
      <c r="BA275" s="85">
        <f t="shared" si="230"/>
        <v>0</v>
      </c>
      <c r="BB275" s="85">
        <f t="shared" si="231"/>
        <v>0</v>
      </c>
      <c r="BC275" s="85">
        <f t="shared" si="232"/>
        <v>0</v>
      </c>
      <c r="BD275" s="85">
        <f t="shared" si="233"/>
        <v>0</v>
      </c>
      <c r="BE275" s="85">
        <f t="shared" si="234"/>
        <v>0</v>
      </c>
      <c r="BF275" s="85">
        <f t="shared" si="235"/>
        <v>0</v>
      </c>
      <c r="BG275" s="85">
        <f t="shared" si="236"/>
        <v>0</v>
      </c>
      <c r="BH275" s="85">
        <f t="shared" si="237"/>
        <v>0</v>
      </c>
      <c r="BI275" s="85">
        <f t="shared" si="238"/>
        <v>0</v>
      </c>
      <c r="BJ275" s="85">
        <f t="shared" si="239"/>
        <v>0</v>
      </c>
      <c r="BK275" s="85">
        <f t="shared" si="240"/>
        <v>0</v>
      </c>
      <c r="BL275" s="85">
        <f t="shared" si="241"/>
        <v>0</v>
      </c>
      <c r="BM275" s="85">
        <f t="shared" si="242"/>
        <v>0</v>
      </c>
      <c r="BN275" s="85">
        <f t="shared" si="243"/>
        <v>0</v>
      </c>
      <c r="BO275" s="85">
        <f t="shared" si="244"/>
        <v>0</v>
      </c>
      <c r="BP275" s="85">
        <f t="shared" si="245"/>
        <v>0</v>
      </c>
      <c r="BQ275" s="85">
        <f t="shared" si="246"/>
        <v>0</v>
      </c>
      <c r="BR275" s="85">
        <f t="shared" si="247"/>
        <v>0</v>
      </c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3"/>
      <c r="CG275" s="63"/>
      <c r="CH275" s="63"/>
      <c r="CI275" s="63"/>
      <c r="CJ275" s="63"/>
      <c r="CK275" s="63"/>
      <c r="CL275" s="63"/>
      <c r="CM275" s="63"/>
      <c r="CN275" s="63"/>
      <c r="CO275" s="63"/>
      <c r="CP275" s="63"/>
      <c r="CQ275" s="63"/>
      <c r="CR275" s="63"/>
      <c r="CS275" s="63"/>
      <c r="CW275">
        <v>4</v>
      </c>
      <c r="CX275" s="35">
        <v>44977</v>
      </c>
      <c r="CZ275" s="35">
        <f>B292</f>
        <v>45096</v>
      </c>
      <c r="DC275" s="57" t="str">
        <f t="shared" si="248"/>
        <v/>
      </c>
      <c r="DD275" s="64" t="str">
        <f t="shared" si="249"/>
        <v/>
      </c>
      <c r="DE275" s="65" t="str">
        <f t="shared" si="250"/>
        <v/>
      </c>
      <c r="DF275" s="66" t="str">
        <f t="shared" si="251"/>
        <v/>
      </c>
    </row>
    <row r="276" spans="2:110" hidden="1" outlineLevel="1">
      <c r="B276" s="54">
        <f t="shared" si="252"/>
        <v>44984</v>
      </c>
      <c r="C276" s="55" t="s">
        <v>1</v>
      </c>
      <c r="D276" s="56">
        <f t="shared" si="253"/>
        <v>44990</v>
      </c>
      <c r="E276" s="52">
        <f t="shared" si="254"/>
        <v>2</v>
      </c>
      <c r="F276" s="53">
        <f t="shared" si="255"/>
        <v>2023</v>
      </c>
      <c r="G276" s="62">
        <f t="shared" si="256"/>
        <v>15</v>
      </c>
      <c r="H276" s="63">
        <f t="shared" si="257"/>
        <v>96</v>
      </c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>
        <v>15</v>
      </c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80"/>
      <c r="AG276" s="87">
        <f t="shared" si="211"/>
        <v>0</v>
      </c>
      <c r="AH276" s="87">
        <f t="shared" si="212"/>
        <v>0</v>
      </c>
      <c r="AI276" s="87">
        <f t="shared" si="213"/>
        <v>0</v>
      </c>
      <c r="AJ276" s="87">
        <f t="shared" si="214"/>
        <v>0</v>
      </c>
      <c r="AK276" s="87">
        <f t="shared" si="215"/>
        <v>0</v>
      </c>
      <c r="AL276" s="87">
        <f t="shared" si="216"/>
        <v>0</v>
      </c>
      <c r="AM276" s="87">
        <f t="shared" si="217"/>
        <v>0</v>
      </c>
      <c r="AN276" s="87">
        <f t="shared" si="218"/>
        <v>0</v>
      </c>
      <c r="AO276" s="87">
        <f t="shared" si="219"/>
        <v>0</v>
      </c>
      <c r="AP276" s="87">
        <f t="shared" si="220"/>
        <v>0</v>
      </c>
      <c r="AQ276" s="87">
        <f t="shared" si="221"/>
        <v>15</v>
      </c>
      <c r="AR276" s="81"/>
      <c r="AS276" s="85">
        <f t="shared" si="222"/>
        <v>0</v>
      </c>
      <c r="AT276" s="85">
        <f t="shared" si="223"/>
        <v>0</v>
      </c>
      <c r="AU276" s="85">
        <f t="shared" si="224"/>
        <v>0</v>
      </c>
      <c r="AV276" s="85">
        <f t="shared" si="225"/>
        <v>0</v>
      </c>
      <c r="AW276" s="85">
        <f t="shared" si="226"/>
        <v>0</v>
      </c>
      <c r="AX276" s="85">
        <f t="shared" si="227"/>
        <v>0</v>
      </c>
      <c r="AY276" s="85">
        <f t="shared" si="228"/>
        <v>0</v>
      </c>
      <c r="AZ276" s="85">
        <f t="shared" si="229"/>
        <v>0</v>
      </c>
      <c r="BA276" s="85">
        <f t="shared" si="230"/>
        <v>0</v>
      </c>
      <c r="BB276" s="85">
        <f t="shared" si="231"/>
        <v>0</v>
      </c>
      <c r="BC276" s="85">
        <f t="shared" si="232"/>
        <v>0</v>
      </c>
      <c r="BD276" s="85">
        <f t="shared" si="233"/>
        <v>0</v>
      </c>
      <c r="BE276" s="85">
        <f t="shared" si="234"/>
        <v>0</v>
      </c>
      <c r="BF276" s="85">
        <f t="shared" si="235"/>
        <v>0</v>
      </c>
      <c r="BG276" s="85">
        <f t="shared" si="236"/>
        <v>0</v>
      </c>
      <c r="BH276" s="85">
        <f t="shared" si="237"/>
        <v>0</v>
      </c>
      <c r="BI276" s="85">
        <f t="shared" si="238"/>
        <v>0</v>
      </c>
      <c r="BJ276" s="85">
        <f t="shared" si="239"/>
        <v>0</v>
      </c>
      <c r="BK276" s="85">
        <f t="shared" si="240"/>
        <v>0</v>
      </c>
      <c r="BL276" s="85">
        <f t="shared" si="241"/>
        <v>0</v>
      </c>
      <c r="BM276" s="85">
        <f t="shared" si="242"/>
        <v>0</v>
      </c>
      <c r="BN276" s="85">
        <f t="shared" si="243"/>
        <v>0</v>
      </c>
      <c r="BO276" s="85">
        <f t="shared" si="244"/>
        <v>0</v>
      </c>
      <c r="BP276" s="85">
        <f t="shared" si="245"/>
        <v>0</v>
      </c>
      <c r="BQ276" s="85">
        <f t="shared" si="246"/>
        <v>0</v>
      </c>
      <c r="BR276" s="85">
        <f t="shared" si="247"/>
        <v>0</v>
      </c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  <c r="CD276" s="63"/>
      <c r="CE276" s="63"/>
      <c r="CF276" s="63"/>
      <c r="CG276" s="63"/>
      <c r="CH276" s="63"/>
      <c r="CI276" s="63"/>
      <c r="CJ276" s="63"/>
      <c r="CK276" s="63"/>
      <c r="CL276" s="63"/>
      <c r="CM276" s="63"/>
      <c r="CN276" s="63"/>
      <c r="CO276" s="63"/>
      <c r="CP276" s="63"/>
      <c r="CQ276" s="63"/>
      <c r="CR276" s="63"/>
      <c r="CS276" s="63"/>
      <c r="CX276" s="35" t="s">
        <v>12</v>
      </c>
      <c r="CZ276" s="35"/>
      <c r="DC276" s="57" t="str">
        <f t="shared" si="248"/>
        <v/>
      </c>
      <c r="DD276" s="64" t="str">
        <f t="shared" si="249"/>
        <v/>
      </c>
      <c r="DE276" s="65" t="str">
        <f t="shared" si="250"/>
        <v/>
      </c>
      <c r="DF276" s="66" t="str">
        <f t="shared" si="251"/>
        <v/>
      </c>
    </row>
    <row r="277" spans="2:110" hidden="1" outlineLevel="1">
      <c r="B277" s="54">
        <f t="shared" si="252"/>
        <v>44991</v>
      </c>
      <c r="C277" s="55" t="s">
        <v>1</v>
      </c>
      <c r="D277" s="56">
        <f t="shared" si="253"/>
        <v>44997</v>
      </c>
      <c r="E277" s="52">
        <f t="shared" si="254"/>
        <v>3</v>
      </c>
      <c r="F277" s="53">
        <f t="shared" si="255"/>
        <v>2023</v>
      </c>
      <c r="G277" s="62">
        <f t="shared" si="256"/>
        <v>15</v>
      </c>
      <c r="H277" s="63">
        <f t="shared" si="257"/>
        <v>96</v>
      </c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>
        <v>15</v>
      </c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80"/>
      <c r="AG277" s="87">
        <f t="shared" si="211"/>
        <v>0</v>
      </c>
      <c r="AH277" s="87">
        <f t="shared" si="212"/>
        <v>0</v>
      </c>
      <c r="AI277" s="87">
        <f t="shared" si="213"/>
        <v>0</v>
      </c>
      <c r="AJ277" s="87">
        <f t="shared" si="214"/>
        <v>0</v>
      </c>
      <c r="AK277" s="87">
        <f t="shared" si="215"/>
        <v>0</v>
      </c>
      <c r="AL277" s="87">
        <f t="shared" si="216"/>
        <v>0</v>
      </c>
      <c r="AM277" s="87">
        <f t="shared" si="217"/>
        <v>0</v>
      </c>
      <c r="AN277" s="87">
        <f t="shared" si="218"/>
        <v>0</v>
      </c>
      <c r="AO277" s="87">
        <f t="shared" si="219"/>
        <v>0</v>
      </c>
      <c r="AP277" s="87">
        <f t="shared" si="220"/>
        <v>0</v>
      </c>
      <c r="AQ277" s="87">
        <f t="shared" si="221"/>
        <v>15</v>
      </c>
      <c r="AR277" s="81"/>
      <c r="AS277" s="85">
        <f t="shared" si="222"/>
        <v>0</v>
      </c>
      <c r="AT277" s="85">
        <f t="shared" si="223"/>
        <v>0</v>
      </c>
      <c r="AU277" s="85">
        <f t="shared" si="224"/>
        <v>0</v>
      </c>
      <c r="AV277" s="85">
        <f t="shared" si="225"/>
        <v>0</v>
      </c>
      <c r="AW277" s="85">
        <f t="shared" si="226"/>
        <v>0</v>
      </c>
      <c r="AX277" s="85">
        <f t="shared" si="227"/>
        <v>0</v>
      </c>
      <c r="AY277" s="85">
        <f t="shared" si="228"/>
        <v>0</v>
      </c>
      <c r="AZ277" s="85">
        <f t="shared" si="229"/>
        <v>0</v>
      </c>
      <c r="BA277" s="85">
        <f t="shared" si="230"/>
        <v>0</v>
      </c>
      <c r="BB277" s="85">
        <f t="shared" si="231"/>
        <v>0</v>
      </c>
      <c r="BC277" s="85">
        <f t="shared" si="232"/>
        <v>0</v>
      </c>
      <c r="BD277" s="85">
        <f t="shared" si="233"/>
        <v>0</v>
      </c>
      <c r="BE277" s="85">
        <f t="shared" si="234"/>
        <v>0</v>
      </c>
      <c r="BF277" s="85">
        <f t="shared" si="235"/>
        <v>0</v>
      </c>
      <c r="BG277" s="85">
        <f t="shared" si="236"/>
        <v>0</v>
      </c>
      <c r="BH277" s="85">
        <f t="shared" si="237"/>
        <v>0</v>
      </c>
      <c r="BI277" s="85">
        <f t="shared" si="238"/>
        <v>0</v>
      </c>
      <c r="BJ277" s="85">
        <f t="shared" si="239"/>
        <v>0</v>
      </c>
      <c r="BK277" s="85">
        <f t="shared" si="240"/>
        <v>0</v>
      </c>
      <c r="BL277" s="85">
        <f t="shared" si="241"/>
        <v>0</v>
      </c>
      <c r="BM277" s="85">
        <f t="shared" si="242"/>
        <v>0</v>
      </c>
      <c r="BN277" s="85">
        <f t="shared" si="243"/>
        <v>0</v>
      </c>
      <c r="BO277" s="85">
        <f t="shared" si="244"/>
        <v>0</v>
      </c>
      <c r="BP277" s="85">
        <f t="shared" si="245"/>
        <v>0</v>
      </c>
      <c r="BQ277" s="85">
        <f t="shared" si="246"/>
        <v>0</v>
      </c>
      <c r="BR277" s="85">
        <f t="shared" si="247"/>
        <v>0</v>
      </c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63"/>
      <c r="CF277" s="63"/>
      <c r="CG277" s="63"/>
      <c r="CH277" s="63"/>
      <c r="CI277" s="63"/>
      <c r="CJ277" s="63"/>
      <c r="CK277" s="63"/>
      <c r="CL277" s="63"/>
      <c r="CM277" s="63"/>
      <c r="CN277" s="63"/>
      <c r="CO277" s="63"/>
      <c r="CP277" s="63"/>
      <c r="CQ277" s="63"/>
      <c r="CR277" s="63"/>
      <c r="CS277" s="63"/>
      <c r="CX277" s="35" t="s">
        <v>12</v>
      </c>
      <c r="CZ277" s="35"/>
      <c r="DC277" s="57" t="str">
        <f t="shared" si="248"/>
        <v/>
      </c>
      <c r="DD277" s="64" t="str">
        <f t="shared" si="249"/>
        <v/>
      </c>
      <c r="DE277" s="65" t="str">
        <f t="shared" si="250"/>
        <v/>
      </c>
      <c r="DF277" s="66" t="str">
        <f t="shared" si="251"/>
        <v/>
      </c>
    </row>
    <row r="278" spans="2:110" hidden="1" outlineLevel="1">
      <c r="B278" s="54">
        <f t="shared" si="252"/>
        <v>44998</v>
      </c>
      <c r="C278" s="55" t="s">
        <v>1</v>
      </c>
      <c r="D278" s="56">
        <f t="shared" si="253"/>
        <v>45004</v>
      </c>
      <c r="E278" s="52">
        <f t="shared" si="254"/>
        <v>3</v>
      </c>
      <c r="F278" s="53">
        <f t="shared" si="255"/>
        <v>2023</v>
      </c>
      <c r="G278" s="62">
        <f t="shared" si="256"/>
        <v>15</v>
      </c>
      <c r="H278" s="63">
        <f t="shared" si="257"/>
        <v>96</v>
      </c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>
        <v>15</v>
      </c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80"/>
      <c r="AG278" s="87">
        <f t="shared" si="211"/>
        <v>0</v>
      </c>
      <c r="AH278" s="87">
        <f t="shared" si="212"/>
        <v>0</v>
      </c>
      <c r="AI278" s="87">
        <f t="shared" si="213"/>
        <v>0</v>
      </c>
      <c r="AJ278" s="87">
        <f t="shared" si="214"/>
        <v>0</v>
      </c>
      <c r="AK278" s="87">
        <f t="shared" si="215"/>
        <v>0</v>
      </c>
      <c r="AL278" s="87">
        <f t="shared" si="216"/>
        <v>0</v>
      </c>
      <c r="AM278" s="87">
        <f t="shared" si="217"/>
        <v>0</v>
      </c>
      <c r="AN278" s="87">
        <f t="shared" si="218"/>
        <v>0</v>
      </c>
      <c r="AO278" s="87">
        <f t="shared" si="219"/>
        <v>0</v>
      </c>
      <c r="AP278" s="87">
        <f t="shared" si="220"/>
        <v>0</v>
      </c>
      <c r="AQ278" s="87">
        <f t="shared" si="221"/>
        <v>15</v>
      </c>
      <c r="AR278" s="81"/>
      <c r="AS278" s="85">
        <f t="shared" si="222"/>
        <v>0</v>
      </c>
      <c r="AT278" s="85">
        <f t="shared" si="223"/>
        <v>0</v>
      </c>
      <c r="AU278" s="85">
        <f t="shared" si="224"/>
        <v>0</v>
      </c>
      <c r="AV278" s="85">
        <f t="shared" si="225"/>
        <v>0</v>
      </c>
      <c r="AW278" s="85">
        <f t="shared" si="226"/>
        <v>0</v>
      </c>
      <c r="AX278" s="85">
        <f t="shared" si="227"/>
        <v>0</v>
      </c>
      <c r="AY278" s="85">
        <f t="shared" si="228"/>
        <v>0</v>
      </c>
      <c r="AZ278" s="85">
        <f t="shared" si="229"/>
        <v>0</v>
      </c>
      <c r="BA278" s="85">
        <f t="shared" si="230"/>
        <v>0</v>
      </c>
      <c r="BB278" s="85">
        <f t="shared" si="231"/>
        <v>0</v>
      </c>
      <c r="BC278" s="85">
        <f t="shared" si="232"/>
        <v>0</v>
      </c>
      <c r="BD278" s="85">
        <f t="shared" si="233"/>
        <v>0</v>
      </c>
      <c r="BE278" s="85">
        <f t="shared" si="234"/>
        <v>0</v>
      </c>
      <c r="BF278" s="85">
        <f t="shared" si="235"/>
        <v>0</v>
      </c>
      <c r="BG278" s="85">
        <f t="shared" si="236"/>
        <v>0</v>
      </c>
      <c r="BH278" s="85">
        <f t="shared" si="237"/>
        <v>0</v>
      </c>
      <c r="BI278" s="85">
        <f t="shared" si="238"/>
        <v>0</v>
      </c>
      <c r="BJ278" s="85">
        <f t="shared" si="239"/>
        <v>0</v>
      </c>
      <c r="BK278" s="85">
        <f t="shared" si="240"/>
        <v>0</v>
      </c>
      <c r="BL278" s="85">
        <f t="shared" si="241"/>
        <v>0</v>
      </c>
      <c r="BM278" s="85">
        <f t="shared" si="242"/>
        <v>0</v>
      </c>
      <c r="BN278" s="85">
        <f t="shared" si="243"/>
        <v>0</v>
      </c>
      <c r="BO278" s="85">
        <f t="shared" si="244"/>
        <v>0</v>
      </c>
      <c r="BP278" s="85">
        <f t="shared" si="245"/>
        <v>0</v>
      </c>
      <c r="BQ278" s="85">
        <f t="shared" si="246"/>
        <v>0</v>
      </c>
      <c r="BR278" s="85">
        <f t="shared" si="247"/>
        <v>0</v>
      </c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  <c r="CD278" s="63"/>
      <c r="CE278" s="63"/>
      <c r="CF278" s="63"/>
      <c r="CG278" s="63"/>
      <c r="CH278" s="63"/>
      <c r="CI278" s="63"/>
      <c r="CJ278" s="63"/>
      <c r="CK278" s="63"/>
      <c r="CL278" s="63"/>
      <c r="CM278" s="63"/>
      <c r="CN278" s="63"/>
      <c r="CO278" s="63"/>
      <c r="CP278" s="63"/>
      <c r="CQ278" s="63"/>
      <c r="CR278" s="63"/>
      <c r="CS278" s="63"/>
      <c r="CX278" s="35" t="s">
        <v>12</v>
      </c>
      <c r="CZ278" s="35"/>
      <c r="DC278" s="57" t="str">
        <f t="shared" si="248"/>
        <v/>
      </c>
      <c r="DD278" s="64" t="str">
        <f t="shared" si="249"/>
        <v/>
      </c>
      <c r="DE278" s="65" t="str">
        <f t="shared" si="250"/>
        <v/>
      </c>
      <c r="DF278" s="66" t="str">
        <f t="shared" si="251"/>
        <v/>
      </c>
    </row>
    <row r="279" spans="2:110" hidden="1" outlineLevel="1">
      <c r="B279" s="54">
        <f t="shared" si="252"/>
        <v>45005</v>
      </c>
      <c r="C279" s="55" t="s">
        <v>1</v>
      </c>
      <c r="D279" s="56">
        <f t="shared" si="253"/>
        <v>45011</v>
      </c>
      <c r="E279" s="52">
        <f t="shared" si="254"/>
        <v>3</v>
      </c>
      <c r="F279" s="53">
        <f t="shared" si="255"/>
        <v>2023</v>
      </c>
      <c r="G279" s="62">
        <f t="shared" si="256"/>
        <v>15</v>
      </c>
      <c r="H279" s="63">
        <f t="shared" si="257"/>
        <v>96</v>
      </c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>
        <v>15</v>
      </c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80"/>
      <c r="AG279" s="87">
        <f t="shared" si="211"/>
        <v>0</v>
      </c>
      <c r="AH279" s="87">
        <f t="shared" si="212"/>
        <v>0</v>
      </c>
      <c r="AI279" s="87">
        <f t="shared" si="213"/>
        <v>0</v>
      </c>
      <c r="AJ279" s="87">
        <f t="shared" si="214"/>
        <v>0</v>
      </c>
      <c r="AK279" s="87">
        <f t="shared" si="215"/>
        <v>0</v>
      </c>
      <c r="AL279" s="87">
        <f t="shared" si="216"/>
        <v>0</v>
      </c>
      <c r="AM279" s="87">
        <f t="shared" si="217"/>
        <v>0</v>
      </c>
      <c r="AN279" s="87">
        <f t="shared" si="218"/>
        <v>0</v>
      </c>
      <c r="AO279" s="87">
        <f t="shared" si="219"/>
        <v>0</v>
      </c>
      <c r="AP279" s="87">
        <f t="shared" si="220"/>
        <v>0</v>
      </c>
      <c r="AQ279" s="87">
        <f t="shared" si="221"/>
        <v>15</v>
      </c>
      <c r="AR279" s="81"/>
      <c r="AS279" s="85">
        <f t="shared" si="222"/>
        <v>0</v>
      </c>
      <c r="AT279" s="85">
        <f t="shared" si="223"/>
        <v>0</v>
      </c>
      <c r="AU279" s="85">
        <f t="shared" si="224"/>
        <v>0</v>
      </c>
      <c r="AV279" s="85">
        <f t="shared" si="225"/>
        <v>0</v>
      </c>
      <c r="AW279" s="85">
        <f t="shared" si="226"/>
        <v>0</v>
      </c>
      <c r="AX279" s="85">
        <f t="shared" si="227"/>
        <v>0</v>
      </c>
      <c r="AY279" s="85">
        <f t="shared" si="228"/>
        <v>0</v>
      </c>
      <c r="AZ279" s="85">
        <f t="shared" si="229"/>
        <v>0</v>
      </c>
      <c r="BA279" s="85">
        <f t="shared" si="230"/>
        <v>0</v>
      </c>
      <c r="BB279" s="85">
        <f t="shared" si="231"/>
        <v>0</v>
      </c>
      <c r="BC279" s="85">
        <f t="shared" si="232"/>
        <v>0</v>
      </c>
      <c r="BD279" s="85">
        <f t="shared" si="233"/>
        <v>0</v>
      </c>
      <c r="BE279" s="85">
        <f t="shared" si="234"/>
        <v>0</v>
      </c>
      <c r="BF279" s="85">
        <f t="shared" si="235"/>
        <v>0</v>
      </c>
      <c r="BG279" s="85">
        <f t="shared" si="236"/>
        <v>0</v>
      </c>
      <c r="BH279" s="85">
        <f t="shared" si="237"/>
        <v>0</v>
      </c>
      <c r="BI279" s="85">
        <f t="shared" si="238"/>
        <v>0</v>
      </c>
      <c r="BJ279" s="85">
        <f t="shared" si="239"/>
        <v>0</v>
      </c>
      <c r="BK279" s="85">
        <f t="shared" si="240"/>
        <v>0</v>
      </c>
      <c r="BL279" s="85">
        <f t="shared" si="241"/>
        <v>0</v>
      </c>
      <c r="BM279" s="85">
        <f t="shared" si="242"/>
        <v>0</v>
      </c>
      <c r="BN279" s="85">
        <f t="shared" si="243"/>
        <v>0</v>
      </c>
      <c r="BO279" s="85">
        <f t="shared" si="244"/>
        <v>0</v>
      </c>
      <c r="BP279" s="85">
        <f t="shared" si="245"/>
        <v>0</v>
      </c>
      <c r="BQ279" s="85">
        <f t="shared" si="246"/>
        <v>0</v>
      </c>
      <c r="BR279" s="85">
        <f t="shared" si="247"/>
        <v>0</v>
      </c>
      <c r="BT279" s="63"/>
      <c r="BU279" s="63"/>
      <c r="BV279" s="63"/>
      <c r="BW279" s="63"/>
      <c r="BX279" s="63"/>
      <c r="BY279" s="63"/>
      <c r="BZ279" s="63"/>
      <c r="CA279" s="63"/>
      <c r="CB279" s="63"/>
      <c r="CC279" s="63"/>
      <c r="CD279" s="63"/>
      <c r="CE279" s="63"/>
      <c r="CF279" s="63"/>
      <c r="CG279" s="63"/>
      <c r="CH279" s="63"/>
      <c r="CI279" s="63"/>
      <c r="CJ279" s="63"/>
      <c r="CK279" s="63"/>
      <c r="CL279" s="63"/>
      <c r="CM279" s="63"/>
      <c r="CN279" s="63"/>
      <c r="CO279" s="63"/>
      <c r="CP279" s="63"/>
      <c r="CQ279" s="63"/>
      <c r="CR279" s="63"/>
      <c r="CS279" s="63"/>
      <c r="CX279" s="35" t="s">
        <v>12</v>
      </c>
      <c r="CZ279" s="35"/>
      <c r="DC279" s="57" t="str">
        <f t="shared" si="248"/>
        <v/>
      </c>
      <c r="DD279" s="64" t="str">
        <f t="shared" si="249"/>
        <v/>
      </c>
      <c r="DE279" s="65" t="str">
        <f t="shared" si="250"/>
        <v/>
      </c>
      <c r="DF279" s="66" t="str">
        <f t="shared" si="251"/>
        <v/>
      </c>
    </row>
    <row r="280" spans="2:110" hidden="1" outlineLevel="1">
      <c r="B280" s="54">
        <f t="shared" si="252"/>
        <v>45012</v>
      </c>
      <c r="C280" s="55" t="s">
        <v>1</v>
      </c>
      <c r="D280" s="56">
        <f t="shared" si="253"/>
        <v>45018</v>
      </c>
      <c r="E280" s="52">
        <f t="shared" si="254"/>
        <v>3</v>
      </c>
      <c r="F280" s="53">
        <f t="shared" si="255"/>
        <v>2023</v>
      </c>
      <c r="G280" s="62">
        <f t="shared" si="256"/>
        <v>15</v>
      </c>
      <c r="H280" s="63">
        <f t="shared" si="257"/>
        <v>96</v>
      </c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>
        <v>15</v>
      </c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80"/>
      <c r="AG280" s="87">
        <f t="shared" si="211"/>
        <v>0</v>
      </c>
      <c r="AH280" s="87">
        <f t="shared" si="212"/>
        <v>0</v>
      </c>
      <c r="AI280" s="87">
        <f t="shared" si="213"/>
        <v>0</v>
      </c>
      <c r="AJ280" s="87">
        <f t="shared" si="214"/>
        <v>0</v>
      </c>
      <c r="AK280" s="87">
        <f t="shared" si="215"/>
        <v>0</v>
      </c>
      <c r="AL280" s="87">
        <f t="shared" si="216"/>
        <v>0</v>
      </c>
      <c r="AM280" s="87">
        <f t="shared" si="217"/>
        <v>0</v>
      </c>
      <c r="AN280" s="87">
        <f t="shared" si="218"/>
        <v>0</v>
      </c>
      <c r="AO280" s="87">
        <f t="shared" si="219"/>
        <v>0</v>
      </c>
      <c r="AP280" s="87">
        <f t="shared" si="220"/>
        <v>0</v>
      </c>
      <c r="AQ280" s="87">
        <f t="shared" si="221"/>
        <v>15</v>
      </c>
      <c r="AR280" s="81"/>
      <c r="AS280" s="85">
        <f t="shared" si="222"/>
        <v>0</v>
      </c>
      <c r="AT280" s="85">
        <f t="shared" si="223"/>
        <v>0</v>
      </c>
      <c r="AU280" s="85">
        <f t="shared" si="224"/>
        <v>0</v>
      </c>
      <c r="AV280" s="85">
        <f t="shared" si="225"/>
        <v>0</v>
      </c>
      <c r="AW280" s="85">
        <f t="shared" si="226"/>
        <v>0</v>
      </c>
      <c r="AX280" s="85">
        <f t="shared" si="227"/>
        <v>0</v>
      </c>
      <c r="AY280" s="85">
        <f t="shared" si="228"/>
        <v>0</v>
      </c>
      <c r="AZ280" s="85">
        <f t="shared" si="229"/>
        <v>0</v>
      </c>
      <c r="BA280" s="85">
        <f t="shared" si="230"/>
        <v>0</v>
      </c>
      <c r="BB280" s="85">
        <f t="shared" si="231"/>
        <v>0</v>
      </c>
      <c r="BC280" s="85">
        <f t="shared" si="232"/>
        <v>0</v>
      </c>
      <c r="BD280" s="85">
        <f t="shared" si="233"/>
        <v>0</v>
      </c>
      <c r="BE280" s="85">
        <f t="shared" si="234"/>
        <v>0</v>
      </c>
      <c r="BF280" s="85">
        <f t="shared" si="235"/>
        <v>0</v>
      </c>
      <c r="BG280" s="85">
        <f t="shared" si="236"/>
        <v>0</v>
      </c>
      <c r="BH280" s="85">
        <f t="shared" si="237"/>
        <v>0</v>
      </c>
      <c r="BI280" s="85">
        <f t="shared" si="238"/>
        <v>0</v>
      </c>
      <c r="BJ280" s="85">
        <f t="shared" si="239"/>
        <v>0</v>
      </c>
      <c r="BK280" s="85">
        <f t="shared" si="240"/>
        <v>0</v>
      </c>
      <c r="BL280" s="85">
        <f t="shared" si="241"/>
        <v>0</v>
      </c>
      <c r="BM280" s="85">
        <f t="shared" si="242"/>
        <v>0</v>
      </c>
      <c r="BN280" s="85">
        <f t="shared" si="243"/>
        <v>0</v>
      </c>
      <c r="BO280" s="85">
        <f t="shared" si="244"/>
        <v>0</v>
      </c>
      <c r="BP280" s="85">
        <f t="shared" si="245"/>
        <v>0</v>
      </c>
      <c r="BQ280" s="85">
        <f t="shared" si="246"/>
        <v>0</v>
      </c>
      <c r="BR280" s="85">
        <f t="shared" si="247"/>
        <v>0</v>
      </c>
      <c r="BT280" s="63"/>
      <c r="BU280" s="63"/>
      <c r="BV280" s="63"/>
      <c r="BW280" s="63"/>
      <c r="BX280" s="63"/>
      <c r="BY280" s="63"/>
      <c r="BZ280" s="63"/>
      <c r="CA280" s="63"/>
      <c r="CB280" s="63"/>
      <c r="CC280" s="63"/>
      <c r="CD280" s="63"/>
      <c r="CE280" s="63"/>
      <c r="CF280" s="63"/>
      <c r="CG280" s="63"/>
      <c r="CH280" s="63"/>
      <c r="CI280" s="63"/>
      <c r="CJ280" s="63"/>
      <c r="CK280" s="63"/>
      <c r="CL280" s="63"/>
      <c r="CM280" s="63"/>
      <c r="CN280" s="63"/>
      <c r="CO280" s="63"/>
      <c r="CP280" s="63"/>
      <c r="CQ280" s="63"/>
      <c r="CR280" s="63"/>
      <c r="CS280" s="63"/>
      <c r="CX280" s="35" t="s">
        <v>12</v>
      </c>
      <c r="CZ280" s="35"/>
      <c r="DC280" s="57" t="str">
        <f t="shared" si="248"/>
        <v/>
      </c>
      <c r="DD280" s="64" t="str">
        <f t="shared" si="249"/>
        <v/>
      </c>
      <c r="DE280" s="65" t="str">
        <f t="shared" si="250"/>
        <v/>
      </c>
      <c r="DF280" s="66" t="str">
        <f t="shared" si="251"/>
        <v/>
      </c>
    </row>
    <row r="281" spans="2:110" hidden="1" outlineLevel="1">
      <c r="B281" s="54">
        <f t="shared" si="252"/>
        <v>45019</v>
      </c>
      <c r="C281" s="55" t="s">
        <v>1</v>
      </c>
      <c r="D281" s="56">
        <f t="shared" si="253"/>
        <v>45025</v>
      </c>
      <c r="E281" s="52">
        <f t="shared" si="254"/>
        <v>4</v>
      </c>
      <c r="F281" s="53">
        <f t="shared" si="255"/>
        <v>2023</v>
      </c>
      <c r="G281" s="62">
        <f t="shared" si="256"/>
        <v>15</v>
      </c>
      <c r="H281" s="63">
        <f t="shared" si="257"/>
        <v>96</v>
      </c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>
        <v>15</v>
      </c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80"/>
      <c r="AG281" s="87">
        <f t="shared" si="211"/>
        <v>0</v>
      </c>
      <c r="AH281" s="87">
        <f t="shared" si="212"/>
        <v>0</v>
      </c>
      <c r="AI281" s="87">
        <f t="shared" si="213"/>
        <v>0</v>
      </c>
      <c r="AJ281" s="87">
        <f t="shared" si="214"/>
        <v>0</v>
      </c>
      <c r="AK281" s="87">
        <f t="shared" si="215"/>
        <v>0</v>
      </c>
      <c r="AL281" s="87">
        <f t="shared" si="216"/>
        <v>0</v>
      </c>
      <c r="AM281" s="87">
        <f t="shared" si="217"/>
        <v>0</v>
      </c>
      <c r="AN281" s="87">
        <f t="shared" si="218"/>
        <v>0</v>
      </c>
      <c r="AO281" s="87">
        <f t="shared" si="219"/>
        <v>0</v>
      </c>
      <c r="AP281" s="87">
        <f t="shared" si="220"/>
        <v>0</v>
      </c>
      <c r="AQ281" s="87">
        <f t="shared" si="221"/>
        <v>15</v>
      </c>
      <c r="AR281" s="81"/>
      <c r="AS281" s="85">
        <f t="shared" si="222"/>
        <v>0</v>
      </c>
      <c r="AT281" s="85">
        <f t="shared" si="223"/>
        <v>0</v>
      </c>
      <c r="AU281" s="85">
        <f t="shared" si="224"/>
        <v>0</v>
      </c>
      <c r="AV281" s="85">
        <f t="shared" si="225"/>
        <v>0</v>
      </c>
      <c r="AW281" s="85">
        <f t="shared" si="226"/>
        <v>0</v>
      </c>
      <c r="AX281" s="85">
        <f t="shared" si="227"/>
        <v>0</v>
      </c>
      <c r="AY281" s="85">
        <f t="shared" si="228"/>
        <v>0</v>
      </c>
      <c r="AZ281" s="85">
        <f t="shared" si="229"/>
        <v>0</v>
      </c>
      <c r="BA281" s="85">
        <f t="shared" si="230"/>
        <v>0</v>
      </c>
      <c r="BB281" s="85">
        <f t="shared" si="231"/>
        <v>0</v>
      </c>
      <c r="BC281" s="85">
        <f t="shared" si="232"/>
        <v>0</v>
      </c>
      <c r="BD281" s="85">
        <f t="shared" si="233"/>
        <v>0</v>
      </c>
      <c r="BE281" s="85">
        <f t="shared" si="234"/>
        <v>0</v>
      </c>
      <c r="BF281" s="85">
        <f t="shared" si="235"/>
        <v>0</v>
      </c>
      <c r="BG281" s="85">
        <f t="shared" si="236"/>
        <v>0</v>
      </c>
      <c r="BH281" s="85">
        <f t="shared" si="237"/>
        <v>0</v>
      </c>
      <c r="BI281" s="85">
        <f t="shared" si="238"/>
        <v>0</v>
      </c>
      <c r="BJ281" s="85">
        <f t="shared" si="239"/>
        <v>0</v>
      </c>
      <c r="BK281" s="85">
        <f t="shared" si="240"/>
        <v>0</v>
      </c>
      <c r="BL281" s="85">
        <f t="shared" si="241"/>
        <v>0</v>
      </c>
      <c r="BM281" s="85">
        <f t="shared" si="242"/>
        <v>0</v>
      </c>
      <c r="BN281" s="85">
        <f t="shared" si="243"/>
        <v>0</v>
      </c>
      <c r="BO281" s="85">
        <f t="shared" si="244"/>
        <v>0</v>
      </c>
      <c r="BP281" s="85">
        <f t="shared" si="245"/>
        <v>0</v>
      </c>
      <c r="BQ281" s="85">
        <f t="shared" si="246"/>
        <v>0</v>
      </c>
      <c r="BR281" s="85">
        <f t="shared" si="247"/>
        <v>0</v>
      </c>
      <c r="BT281" s="63"/>
      <c r="BU281" s="63"/>
      <c r="BV281" s="63"/>
      <c r="BW281" s="63"/>
      <c r="BX281" s="63"/>
      <c r="BY281" s="63"/>
      <c r="BZ281" s="63"/>
      <c r="CA281" s="63"/>
      <c r="CB281" s="63"/>
      <c r="CC281" s="63"/>
      <c r="CD281" s="63"/>
      <c r="CE281" s="63"/>
      <c r="CF281" s="63"/>
      <c r="CG281" s="63"/>
      <c r="CH281" s="63"/>
      <c r="CI281" s="63"/>
      <c r="CJ281" s="63"/>
      <c r="CK281" s="63"/>
      <c r="CL281" s="63"/>
      <c r="CM281" s="63"/>
      <c r="CN281" s="63"/>
      <c r="CO281" s="63"/>
      <c r="CP281" s="63"/>
      <c r="CQ281" s="63"/>
      <c r="CR281" s="63"/>
      <c r="CS281" s="63"/>
      <c r="CX281" s="35" t="s">
        <v>12</v>
      </c>
      <c r="CZ281" s="35"/>
      <c r="DC281" s="57" t="str">
        <f t="shared" si="248"/>
        <v/>
      </c>
      <c r="DD281" s="64" t="str">
        <f t="shared" si="249"/>
        <v/>
      </c>
      <c r="DE281" s="65" t="str">
        <f t="shared" si="250"/>
        <v/>
      </c>
      <c r="DF281" s="66" t="str">
        <f t="shared" si="251"/>
        <v/>
      </c>
    </row>
    <row r="282" spans="2:110" hidden="1" outlineLevel="1">
      <c r="B282" s="54">
        <f t="shared" si="252"/>
        <v>45026</v>
      </c>
      <c r="C282" s="55" t="s">
        <v>1</v>
      </c>
      <c r="D282" s="56">
        <f t="shared" si="253"/>
        <v>45032</v>
      </c>
      <c r="E282" s="52">
        <f t="shared" si="254"/>
        <v>4</v>
      </c>
      <c r="F282" s="53">
        <f t="shared" si="255"/>
        <v>2023</v>
      </c>
      <c r="G282" s="62">
        <f t="shared" si="256"/>
        <v>15</v>
      </c>
      <c r="H282" s="63">
        <f t="shared" si="257"/>
        <v>96</v>
      </c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>
        <v>15</v>
      </c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80"/>
      <c r="AG282" s="87">
        <f t="shared" si="211"/>
        <v>0</v>
      </c>
      <c r="AH282" s="87">
        <f t="shared" si="212"/>
        <v>0</v>
      </c>
      <c r="AI282" s="87">
        <f t="shared" si="213"/>
        <v>0</v>
      </c>
      <c r="AJ282" s="87">
        <f t="shared" si="214"/>
        <v>0</v>
      </c>
      <c r="AK282" s="87">
        <f t="shared" si="215"/>
        <v>0</v>
      </c>
      <c r="AL282" s="87">
        <f t="shared" si="216"/>
        <v>0</v>
      </c>
      <c r="AM282" s="87">
        <f t="shared" si="217"/>
        <v>0</v>
      </c>
      <c r="AN282" s="87">
        <f t="shared" si="218"/>
        <v>0</v>
      </c>
      <c r="AO282" s="87">
        <f t="shared" si="219"/>
        <v>0</v>
      </c>
      <c r="AP282" s="87">
        <f t="shared" si="220"/>
        <v>0</v>
      </c>
      <c r="AQ282" s="87">
        <f t="shared" si="221"/>
        <v>15</v>
      </c>
      <c r="AR282" s="81"/>
      <c r="AS282" s="85">
        <f t="shared" si="222"/>
        <v>0</v>
      </c>
      <c r="AT282" s="85">
        <f t="shared" si="223"/>
        <v>0</v>
      </c>
      <c r="AU282" s="85">
        <f t="shared" si="224"/>
        <v>0</v>
      </c>
      <c r="AV282" s="85">
        <f t="shared" si="225"/>
        <v>0</v>
      </c>
      <c r="AW282" s="85">
        <f t="shared" si="226"/>
        <v>0</v>
      </c>
      <c r="AX282" s="85">
        <f t="shared" si="227"/>
        <v>0</v>
      </c>
      <c r="AY282" s="85">
        <f t="shared" si="228"/>
        <v>0</v>
      </c>
      <c r="AZ282" s="85">
        <f t="shared" si="229"/>
        <v>0</v>
      </c>
      <c r="BA282" s="85">
        <f t="shared" si="230"/>
        <v>0</v>
      </c>
      <c r="BB282" s="85">
        <f t="shared" si="231"/>
        <v>0</v>
      </c>
      <c r="BC282" s="85">
        <f t="shared" si="232"/>
        <v>0</v>
      </c>
      <c r="BD282" s="85">
        <f t="shared" si="233"/>
        <v>0</v>
      </c>
      <c r="BE282" s="85">
        <f t="shared" si="234"/>
        <v>0</v>
      </c>
      <c r="BF282" s="85">
        <f t="shared" si="235"/>
        <v>0</v>
      </c>
      <c r="BG282" s="85">
        <f t="shared" si="236"/>
        <v>0</v>
      </c>
      <c r="BH282" s="85">
        <f t="shared" si="237"/>
        <v>0</v>
      </c>
      <c r="BI282" s="85">
        <f t="shared" si="238"/>
        <v>0</v>
      </c>
      <c r="BJ282" s="85">
        <f t="shared" si="239"/>
        <v>0</v>
      </c>
      <c r="BK282" s="85">
        <f t="shared" si="240"/>
        <v>0</v>
      </c>
      <c r="BL282" s="85">
        <f t="shared" si="241"/>
        <v>0</v>
      </c>
      <c r="BM282" s="85">
        <f t="shared" si="242"/>
        <v>0</v>
      </c>
      <c r="BN282" s="85">
        <f t="shared" si="243"/>
        <v>0</v>
      </c>
      <c r="BO282" s="85">
        <f t="shared" si="244"/>
        <v>0</v>
      </c>
      <c r="BP282" s="85">
        <f t="shared" si="245"/>
        <v>0</v>
      </c>
      <c r="BQ282" s="85">
        <f t="shared" si="246"/>
        <v>0</v>
      </c>
      <c r="BR282" s="85">
        <f t="shared" si="247"/>
        <v>0</v>
      </c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  <c r="CG282" s="63"/>
      <c r="CH282" s="63"/>
      <c r="CI282" s="63"/>
      <c r="CJ282" s="63"/>
      <c r="CK282" s="63"/>
      <c r="CL282" s="63"/>
      <c r="CM282" s="63"/>
      <c r="CN282" s="63"/>
      <c r="CO282" s="63"/>
      <c r="CP282" s="63"/>
      <c r="CQ282" s="63"/>
      <c r="CR282" s="63"/>
      <c r="CS282" s="63"/>
      <c r="CW282">
        <v>5</v>
      </c>
      <c r="CX282" s="35">
        <v>45026</v>
      </c>
      <c r="CZ282" s="35">
        <f>B299</f>
        <v>45145</v>
      </c>
      <c r="DC282" s="57" t="str">
        <f t="shared" si="248"/>
        <v/>
      </c>
      <c r="DD282" s="64" t="str">
        <f t="shared" si="249"/>
        <v/>
      </c>
      <c r="DE282" s="65" t="str">
        <f t="shared" si="250"/>
        <v/>
      </c>
      <c r="DF282" s="66" t="str">
        <f t="shared" si="251"/>
        <v/>
      </c>
    </row>
    <row r="283" spans="2:110" hidden="1" outlineLevel="1">
      <c r="B283" s="54">
        <f t="shared" si="252"/>
        <v>45033</v>
      </c>
      <c r="C283" s="55" t="s">
        <v>1</v>
      </c>
      <c r="D283" s="56">
        <f t="shared" si="253"/>
        <v>45039</v>
      </c>
      <c r="E283" s="52">
        <f t="shared" si="254"/>
        <v>4</v>
      </c>
      <c r="F283" s="53">
        <f t="shared" si="255"/>
        <v>2023</v>
      </c>
      <c r="G283" s="62">
        <f t="shared" si="256"/>
        <v>15</v>
      </c>
      <c r="H283" s="63">
        <f t="shared" si="257"/>
        <v>96</v>
      </c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>
        <v>15</v>
      </c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80"/>
      <c r="AG283" s="87">
        <f t="shared" si="211"/>
        <v>0</v>
      </c>
      <c r="AH283" s="87">
        <f t="shared" si="212"/>
        <v>0</v>
      </c>
      <c r="AI283" s="87">
        <f t="shared" si="213"/>
        <v>0</v>
      </c>
      <c r="AJ283" s="87">
        <f t="shared" si="214"/>
        <v>0</v>
      </c>
      <c r="AK283" s="87">
        <f t="shared" si="215"/>
        <v>0</v>
      </c>
      <c r="AL283" s="87">
        <f t="shared" si="216"/>
        <v>0</v>
      </c>
      <c r="AM283" s="87">
        <f t="shared" si="217"/>
        <v>0</v>
      </c>
      <c r="AN283" s="87">
        <f t="shared" si="218"/>
        <v>0</v>
      </c>
      <c r="AO283" s="87">
        <f t="shared" si="219"/>
        <v>0</v>
      </c>
      <c r="AP283" s="87">
        <f t="shared" si="220"/>
        <v>0</v>
      </c>
      <c r="AQ283" s="87">
        <f t="shared" si="221"/>
        <v>15</v>
      </c>
      <c r="AR283" s="81"/>
      <c r="AS283" s="85">
        <f t="shared" si="222"/>
        <v>0</v>
      </c>
      <c r="AT283" s="85">
        <f t="shared" si="223"/>
        <v>0</v>
      </c>
      <c r="AU283" s="85">
        <f t="shared" si="224"/>
        <v>0</v>
      </c>
      <c r="AV283" s="85">
        <f t="shared" si="225"/>
        <v>0</v>
      </c>
      <c r="AW283" s="85">
        <f t="shared" si="226"/>
        <v>0</v>
      </c>
      <c r="AX283" s="85">
        <f t="shared" si="227"/>
        <v>0</v>
      </c>
      <c r="AY283" s="85">
        <f t="shared" si="228"/>
        <v>0</v>
      </c>
      <c r="AZ283" s="85">
        <f t="shared" si="229"/>
        <v>0</v>
      </c>
      <c r="BA283" s="85">
        <f t="shared" si="230"/>
        <v>0</v>
      </c>
      <c r="BB283" s="85">
        <f t="shared" si="231"/>
        <v>0</v>
      </c>
      <c r="BC283" s="85">
        <f t="shared" si="232"/>
        <v>0</v>
      </c>
      <c r="BD283" s="85">
        <f t="shared" si="233"/>
        <v>0</v>
      </c>
      <c r="BE283" s="85">
        <f t="shared" si="234"/>
        <v>0</v>
      </c>
      <c r="BF283" s="85">
        <f t="shared" si="235"/>
        <v>0</v>
      </c>
      <c r="BG283" s="85">
        <f t="shared" si="236"/>
        <v>0</v>
      </c>
      <c r="BH283" s="85">
        <f t="shared" si="237"/>
        <v>0</v>
      </c>
      <c r="BI283" s="85">
        <f t="shared" si="238"/>
        <v>0</v>
      </c>
      <c r="BJ283" s="85">
        <f t="shared" si="239"/>
        <v>0</v>
      </c>
      <c r="BK283" s="85">
        <f t="shared" si="240"/>
        <v>0</v>
      </c>
      <c r="BL283" s="85">
        <f t="shared" si="241"/>
        <v>0</v>
      </c>
      <c r="BM283" s="85">
        <f t="shared" si="242"/>
        <v>0</v>
      </c>
      <c r="BN283" s="85">
        <f t="shared" si="243"/>
        <v>0</v>
      </c>
      <c r="BO283" s="85">
        <f t="shared" si="244"/>
        <v>0</v>
      </c>
      <c r="BP283" s="85">
        <f t="shared" si="245"/>
        <v>0</v>
      </c>
      <c r="BQ283" s="85">
        <f t="shared" si="246"/>
        <v>0</v>
      </c>
      <c r="BR283" s="85">
        <f t="shared" si="247"/>
        <v>0</v>
      </c>
      <c r="BT283" s="63"/>
      <c r="BU283" s="63"/>
      <c r="BV283" s="63"/>
      <c r="BW283" s="63"/>
      <c r="BX283" s="63"/>
      <c r="BY283" s="63"/>
      <c r="BZ283" s="63"/>
      <c r="CA283" s="63"/>
      <c r="CB283" s="63"/>
      <c r="CC283" s="63"/>
      <c r="CD283" s="63"/>
      <c r="CE283" s="63"/>
      <c r="CF283" s="63"/>
      <c r="CG283" s="63"/>
      <c r="CH283" s="63"/>
      <c r="CI283" s="63"/>
      <c r="CJ283" s="63"/>
      <c r="CK283" s="63"/>
      <c r="CL283" s="63"/>
      <c r="CM283" s="63"/>
      <c r="CN283" s="63"/>
      <c r="CO283" s="63"/>
      <c r="CP283" s="63"/>
      <c r="CQ283" s="63"/>
      <c r="CR283" s="63"/>
      <c r="CS283" s="63"/>
      <c r="CX283" s="35" t="s">
        <v>12</v>
      </c>
      <c r="CZ283" s="35"/>
      <c r="DC283" s="57" t="str">
        <f t="shared" si="248"/>
        <v/>
      </c>
      <c r="DD283" s="64" t="str">
        <f t="shared" si="249"/>
        <v/>
      </c>
      <c r="DE283" s="65" t="str">
        <f t="shared" si="250"/>
        <v/>
      </c>
      <c r="DF283" s="66" t="str">
        <f t="shared" si="251"/>
        <v/>
      </c>
    </row>
    <row r="284" spans="2:110" hidden="1" outlineLevel="1">
      <c r="B284" s="54">
        <f t="shared" si="252"/>
        <v>45040</v>
      </c>
      <c r="C284" s="55" t="s">
        <v>1</v>
      </c>
      <c r="D284" s="56">
        <f t="shared" si="253"/>
        <v>45046</v>
      </c>
      <c r="E284" s="52">
        <f t="shared" si="254"/>
        <v>4</v>
      </c>
      <c r="F284" s="53">
        <f t="shared" si="255"/>
        <v>2023</v>
      </c>
      <c r="G284" s="62">
        <f t="shared" si="256"/>
        <v>15</v>
      </c>
      <c r="H284" s="63">
        <f t="shared" si="257"/>
        <v>96</v>
      </c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>
        <v>15</v>
      </c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80"/>
      <c r="AG284" s="87">
        <f t="shared" si="211"/>
        <v>0</v>
      </c>
      <c r="AH284" s="87">
        <f t="shared" si="212"/>
        <v>0</v>
      </c>
      <c r="AI284" s="87">
        <f t="shared" si="213"/>
        <v>0</v>
      </c>
      <c r="AJ284" s="87">
        <f t="shared" si="214"/>
        <v>0</v>
      </c>
      <c r="AK284" s="87">
        <f t="shared" si="215"/>
        <v>0</v>
      </c>
      <c r="AL284" s="87">
        <f t="shared" si="216"/>
        <v>0</v>
      </c>
      <c r="AM284" s="87">
        <f t="shared" si="217"/>
        <v>0</v>
      </c>
      <c r="AN284" s="87">
        <f t="shared" si="218"/>
        <v>0</v>
      </c>
      <c r="AO284" s="87">
        <f t="shared" si="219"/>
        <v>0</v>
      </c>
      <c r="AP284" s="87">
        <f t="shared" si="220"/>
        <v>0</v>
      </c>
      <c r="AQ284" s="87">
        <f t="shared" si="221"/>
        <v>15</v>
      </c>
      <c r="AR284" s="81"/>
      <c r="AS284" s="85">
        <f t="shared" si="222"/>
        <v>0</v>
      </c>
      <c r="AT284" s="85">
        <f t="shared" si="223"/>
        <v>0</v>
      </c>
      <c r="AU284" s="85">
        <f t="shared" si="224"/>
        <v>0</v>
      </c>
      <c r="AV284" s="85">
        <f t="shared" si="225"/>
        <v>0</v>
      </c>
      <c r="AW284" s="85">
        <f t="shared" si="226"/>
        <v>0</v>
      </c>
      <c r="AX284" s="85">
        <f t="shared" si="227"/>
        <v>0</v>
      </c>
      <c r="AY284" s="85">
        <f t="shared" si="228"/>
        <v>0</v>
      </c>
      <c r="AZ284" s="85">
        <f t="shared" si="229"/>
        <v>0</v>
      </c>
      <c r="BA284" s="85">
        <f t="shared" si="230"/>
        <v>0</v>
      </c>
      <c r="BB284" s="85">
        <f t="shared" si="231"/>
        <v>0</v>
      </c>
      <c r="BC284" s="85">
        <f t="shared" si="232"/>
        <v>0</v>
      </c>
      <c r="BD284" s="85">
        <f t="shared" si="233"/>
        <v>0</v>
      </c>
      <c r="BE284" s="85">
        <f t="shared" si="234"/>
        <v>0</v>
      </c>
      <c r="BF284" s="85">
        <f t="shared" si="235"/>
        <v>0</v>
      </c>
      <c r="BG284" s="85">
        <f t="shared" si="236"/>
        <v>0</v>
      </c>
      <c r="BH284" s="85">
        <f t="shared" si="237"/>
        <v>0</v>
      </c>
      <c r="BI284" s="85">
        <f t="shared" si="238"/>
        <v>0</v>
      </c>
      <c r="BJ284" s="85">
        <f t="shared" si="239"/>
        <v>0</v>
      </c>
      <c r="BK284" s="85">
        <f t="shared" si="240"/>
        <v>0</v>
      </c>
      <c r="BL284" s="85">
        <f t="shared" si="241"/>
        <v>0</v>
      </c>
      <c r="BM284" s="85">
        <f t="shared" si="242"/>
        <v>0</v>
      </c>
      <c r="BN284" s="85">
        <f t="shared" si="243"/>
        <v>0</v>
      </c>
      <c r="BO284" s="85">
        <f t="shared" si="244"/>
        <v>0</v>
      </c>
      <c r="BP284" s="85">
        <f t="shared" si="245"/>
        <v>0</v>
      </c>
      <c r="BQ284" s="85">
        <f t="shared" si="246"/>
        <v>0</v>
      </c>
      <c r="BR284" s="85">
        <f t="shared" si="247"/>
        <v>0</v>
      </c>
      <c r="BT284" s="63"/>
      <c r="BU284" s="63"/>
      <c r="BV284" s="63"/>
      <c r="BW284" s="63"/>
      <c r="BX284" s="63"/>
      <c r="BY284" s="63"/>
      <c r="BZ284" s="63"/>
      <c r="CA284" s="63"/>
      <c r="CB284" s="63"/>
      <c r="CC284" s="63"/>
      <c r="CD284" s="63"/>
      <c r="CE284" s="63"/>
      <c r="CF284" s="63"/>
      <c r="CG284" s="63"/>
      <c r="CH284" s="63"/>
      <c r="CI284" s="63"/>
      <c r="CJ284" s="63"/>
      <c r="CK284" s="63"/>
      <c r="CL284" s="63"/>
      <c r="CM284" s="63"/>
      <c r="CN284" s="63"/>
      <c r="CO284" s="63"/>
      <c r="CP284" s="63"/>
      <c r="CQ284" s="63"/>
      <c r="CR284" s="63"/>
      <c r="CS284" s="63"/>
      <c r="CX284" s="35" t="s">
        <v>12</v>
      </c>
      <c r="CZ284" s="35"/>
      <c r="DC284" s="57" t="str">
        <f t="shared" si="248"/>
        <v/>
      </c>
      <c r="DD284" s="64" t="str">
        <f t="shared" si="249"/>
        <v/>
      </c>
      <c r="DE284" s="65" t="str">
        <f t="shared" si="250"/>
        <v/>
      </c>
      <c r="DF284" s="66" t="str">
        <f t="shared" si="251"/>
        <v/>
      </c>
    </row>
    <row r="285" spans="2:110" hidden="1" outlineLevel="1">
      <c r="B285" s="54">
        <f t="shared" si="252"/>
        <v>45047</v>
      </c>
      <c r="C285" s="55" t="s">
        <v>1</v>
      </c>
      <c r="D285" s="56">
        <f t="shared" si="253"/>
        <v>45053</v>
      </c>
      <c r="E285" s="52">
        <f t="shared" si="254"/>
        <v>5</v>
      </c>
      <c r="F285" s="53">
        <f t="shared" si="255"/>
        <v>2023</v>
      </c>
      <c r="G285" s="62">
        <f t="shared" si="256"/>
        <v>15</v>
      </c>
      <c r="H285" s="63">
        <f t="shared" si="257"/>
        <v>96</v>
      </c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>
        <v>15</v>
      </c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80"/>
      <c r="AG285" s="87">
        <f t="shared" si="211"/>
        <v>0</v>
      </c>
      <c r="AH285" s="87">
        <f t="shared" si="212"/>
        <v>0</v>
      </c>
      <c r="AI285" s="87">
        <f t="shared" si="213"/>
        <v>0</v>
      </c>
      <c r="AJ285" s="87">
        <f t="shared" si="214"/>
        <v>0</v>
      </c>
      <c r="AK285" s="87">
        <f t="shared" si="215"/>
        <v>0</v>
      </c>
      <c r="AL285" s="87">
        <f t="shared" si="216"/>
        <v>0</v>
      </c>
      <c r="AM285" s="87">
        <f t="shared" si="217"/>
        <v>0</v>
      </c>
      <c r="AN285" s="87">
        <f t="shared" si="218"/>
        <v>0</v>
      </c>
      <c r="AO285" s="87">
        <f t="shared" si="219"/>
        <v>0</v>
      </c>
      <c r="AP285" s="87">
        <f t="shared" si="220"/>
        <v>0</v>
      </c>
      <c r="AQ285" s="87">
        <f t="shared" si="221"/>
        <v>15</v>
      </c>
      <c r="AR285" s="81"/>
      <c r="AS285" s="85">
        <f t="shared" si="222"/>
        <v>0</v>
      </c>
      <c r="AT285" s="85">
        <f t="shared" si="223"/>
        <v>0</v>
      </c>
      <c r="AU285" s="85">
        <f t="shared" si="224"/>
        <v>0</v>
      </c>
      <c r="AV285" s="85">
        <f t="shared" si="225"/>
        <v>0</v>
      </c>
      <c r="AW285" s="85">
        <f t="shared" si="226"/>
        <v>0</v>
      </c>
      <c r="AX285" s="85">
        <f t="shared" si="227"/>
        <v>0</v>
      </c>
      <c r="AY285" s="85">
        <f t="shared" si="228"/>
        <v>0</v>
      </c>
      <c r="AZ285" s="85">
        <f t="shared" si="229"/>
        <v>0</v>
      </c>
      <c r="BA285" s="85">
        <f t="shared" si="230"/>
        <v>0</v>
      </c>
      <c r="BB285" s="85">
        <f t="shared" si="231"/>
        <v>0</v>
      </c>
      <c r="BC285" s="85">
        <f t="shared" si="232"/>
        <v>0</v>
      </c>
      <c r="BD285" s="85">
        <f t="shared" si="233"/>
        <v>0</v>
      </c>
      <c r="BE285" s="85">
        <f t="shared" si="234"/>
        <v>0</v>
      </c>
      <c r="BF285" s="85">
        <f t="shared" si="235"/>
        <v>0</v>
      </c>
      <c r="BG285" s="85">
        <f t="shared" si="236"/>
        <v>0</v>
      </c>
      <c r="BH285" s="85">
        <f t="shared" si="237"/>
        <v>0</v>
      </c>
      <c r="BI285" s="85">
        <f t="shared" si="238"/>
        <v>0</v>
      </c>
      <c r="BJ285" s="85">
        <f t="shared" si="239"/>
        <v>0</v>
      </c>
      <c r="BK285" s="85">
        <f t="shared" si="240"/>
        <v>0</v>
      </c>
      <c r="BL285" s="85">
        <f t="shared" si="241"/>
        <v>0</v>
      </c>
      <c r="BM285" s="85">
        <f t="shared" si="242"/>
        <v>0</v>
      </c>
      <c r="BN285" s="85">
        <f t="shared" si="243"/>
        <v>0</v>
      </c>
      <c r="BO285" s="85">
        <f t="shared" si="244"/>
        <v>0</v>
      </c>
      <c r="BP285" s="85">
        <f t="shared" si="245"/>
        <v>0</v>
      </c>
      <c r="BQ285" s="85">
        <f t="shared" si="246"/>
        <v>0</v>
      </c>
      <c r="BR285" s="85">
        <f t="shared" si="247"/>
        <v>0</v>
      </c>
      <c r="BT285" s="63"/>
      <c r="BU285" s="63"/>
      <c r="BV285" s="63"/>
      <c r="BW285" s="63"/>
      <c r="BX285" s="63"/>
      <c r="BY285" s="63"/>
      <c r="BZ285" s="63"/>
      <c r="CA285" s="63"/>
      <c r="CB285" s="63"/>
      <c r="CC285" s="63"/>
      <c r="CD285" s="63"/>
      <c r="CE285" s="63"/>
      <c r="CF285" s="63"/>
      <c r="CG285" s="63"/>
      <c r="CH285" s="63"/>
      <c r="CI285" s="63"/>
      <c r="CJ285" s="63"/>
      <c r="CK285" s="63"/>
      <c r="CL285" s="63"/>
      <c r="CM285" s="63"/>
      <c r="CN285" s="63"/>
      <c r="CO285" s="63"/>
      <c r="CP285" s="63"/>
      <c r="CQ285" s="63"/>
      <c r="CR285" s="63"/>
      <c r="CS285" s="63"/>
      <c r="CX285" s="35" t="s">
        <v>12</v>
      </c>
      <c r="CZ285" s="35"/>
      <c r="DC285" s="57" t="str">
        <f t="shared" si="248"/>
        <v/>
      </c>
      <c r="DD285" s="64" t="str">
        <f t="shared" si="249"/>
        <v/>
      </c>
      <c r="DE285" s="65" t="str">
        <f t="shared" si="250"/>
        <v/>
      </c>
      <c r="DF285" s="66" t="str">
        <f t="shared" si="251"/>
        <v/>
      </c>
    </row>
    <row r="286" spans="2:110" hidden="1" outlineLevel="1">
      <c r="B286" s="54">
        <f t="shared" si="252"/>
        <v>45054</v>
      </c>
      <c r="C286" s="55" t="s">
        <v>1</v>
      </c>
      <c r="D286" s="56">
        <f t="shared" si="253"/>
        <v>45060</v>
      </c>
      <c r="E286" s="52">
        <f t="shared" si="254"/>
        <v>5</v>
      </c>
      <c r="F286" s="53">
        <f t="shared" si="255"/>
        <v>2023</v>
      </c>
      <c r="G286" s="62">
        <f t="shared" si="256"/>
        <v>15</v>
      </c>
      <c r="H286" s="63">
        <f t="shared" si="257"/>
        <v>96</v>
      </c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>
        <v>15</v>
      </c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80"/>
      <c r="AG286" s="87">
        <f t="shared" si="211"/>
        <v>0</v>
      </c>
      <c r="AH286" s="87">
        <f t="shared" si="212"/>
        <v>0</v>
      </c>
      <c r="AI286" s="87">
        <f t="shared" si="213"/>
        <v>0</v>
      </c>
      <c r="AJ286" s="87">
        <f t="shared" si="214"/>
        <v>0</v>
      </c>
      <c r="AK286" s="87">
        <f t="shared" si="215"/>
        <v>0</v>
      </c>
      <c r="AL286" s="87">
        <f t="shared" si="216"/>
        <v>0</v>
      </c>
      <c r="AM286" s="87">
        <f t="shared" si="217"/>
        <v>0</v>
      </c>
      <c r="AN286" s="87">
        <f t="shared" si="218"/>
        <v>0</v>
      </c>
      <c r="AO286" s="87">
        <f t="shared" si="219"/>
        <v>0</v>
      </c>
      <c r="AP286" s="87">
        <f t="shared" si="220"/>
        <v>0</v>
      </c>
      <c r="AQ286" s="87">
        <f t="shared" si="221"/>
        <v>15</v>
      </c>
      <c r="AR286" s="81"/>
      <c r="AS286" s="85">
        <f t="shared" si="222"/>
        <v>0</v>
      </c>
      <c r="AT286" s="85">
        <f t="shared" si="223"/>
        <v>0</v>
      </c>
      <c r="AU286" s="85">
        <f t="shared" si="224"/>
        <v>0</v>
      </c>
      <c r="AV286" s="85">
        <f t="shared" si="225"/>
        <v>0</v>
      </c>
      <c r="AW286" s="85">
        <f t="shared" si="226"/>
        <v>0</v>
      </c>
      <c r="AX286" s="85">
        <f t="shared" si="227"/>
        <v>0</v>
      </c>
      <c r="AY286" s="85">
        <f t="shared" si="228"/>
        <v>0</v>
      </c>
      <c r="AZ286" s="85">
        <f t="shared" si="229"/>
        <v>0</v>
      </c>
      <c r="BA286" s="85">
        <f t="shared" si="230"/>
        <v>0</v>
      </c>
      <c r="BB286" s="85">
        <f t="shared" si="231"/>
        <v>0</v>
      </c>
      <c r="BC286" s="85">
        <f t="shared" si="232"/>
        <v>0</v>
      </c>
      <c r="BD286" s="85">
        <f t="shared" si="233"/>
        <v>0</v>
      </c>
      <c r="BE286" s="85">
        <f t="shared" si="234"/>
        <v>0</v>
      </c>
      <c r="BF286" s="85">
        <f t="shared" si="235"/>
        <v>0</v>
      </c>
      <c r="BG286" s="85">
        <f t="shared" si="236"/>
        <v>0</v>
      </c>
      <c r="BH286" s="85">
        <f t="shared" si="237"/>
        <v>0</v>
      </c>
      <c r="BI286" s="85">
        <f t="shared" si="238"/>
        <v>0</v>
      </c>
      <c r="BJ286" s="85">
        <f t="shared" si="239"/>
        <v>0</v>
      </c>
      <c r="BK286" s="85">
        <f t="shared" si="240"/>
        <v>0</v>
      </c>
      <c r="BL286" s="85">
        <f t="shared" si="241"/>
        <v>0</v>
      </c>
      <c r="BM286" s="85">
        <f t="shared" si="242"/>
        <v>0</v>
      </c>
      <c r="BN286" s="85">
        <f t="shared" si="243"/>
        <v>0</v>
      </c>
      <c r="BO286" s="85">
        <f t="shared" si="244"/>
        <v>0</v>
      </c>
      <c r="BP286" s="85">
        <f t="shared" si="245"/>
        <v>0</v>
      </c>
      <c r="BQ286" s="85">
        <f t="shared" si="246"/>
        <v>0</v>
      </c>
      <c r="BR286" s="85">
        <f t="shared" si="247"/>
        <v>0</v>
      </c>
      <c r="BT286" s="63"/>
      <c r="BU286" s="63"/>
      <c r="BV286" s="63"/>
      <c r="BW286" s="63"/>
      <c r="BX286" s="63"/>
      <c r="BY286" s="63"/>
      <c r="BZ286" s="63"/>
      <c r="CA286" s="63"/>
      <c r="CB286" s="63"/>
      <c r="CC286" s="63"/>
      <c r="CD286" s="63"/>
      <c r="CE286" s="63"/>
      <c r="CF286" s="63"/>
      <c r="CG286" s="63"/>
      <c r="CH286" s="63"/>
      <c r="CI286" s="63"/>
      <c r="CJ286" s="63"/>
      <c r="CK286" s="63"/>
      <c r="CL286" s="63"/>
      <c r="CM286" s="63"/>
      <c r="CN286" s="63"/>
      <c r="CO286" s="63"/>
      <c r="CP286" s="63"/>
      <c r="CQ286" s="63"/>
      <c r="CR286" s="63"/>
      <c r="CS286" s="63"/>
      <c r="CX286" s="35" t="s">
        <v>12</v>
      </c>
      <c r="CZ286" s="35"/>
      <c r="DC286" s="57" t="str">
        <f t="shared" si="248"/>
        <v/>
      </c>
      <c r="DD286" s="64" t="str">
        <f t="shared" si="249"/>
        <v/>
      </c>
      <c r="DE286" s="65" t="str">
        <f t="shared" si="250"/>
        <v/>
      </c>
      <c r="DF286" s="66" t="str">
        <f t="shared" si="251"/>
        <v/>
      </c>
    </row>
    <row r="287" spans="2:110" hidden="1" outlineLevel="1">
      <c r="B287" s="54">
        <f t="shared" si="252"/>
        <v>45061</v>
      </c>
      <c r="C287" s="55" t="s">
        <v>1</v>
      </c>
      <c r="D287" s="56">
        <f t="shared" si="253"/>
        <v>45067</v>
      </c>
      <c r="E287" s="52">
        <f t="shared" si="254"/>
        <v>5</v>
      </c>
      <c r="F287" s="53">
        <f t="shared" si="255"/>
        <v>2023</v>
      </c>
      <c r="G287" s="62">
        <f t="shared" si="256"/>
        <v>15</v>
      </c>
      <c r="H287" s="63">
        <f t="shared" si="257"/>
        <v>96</v>
      </c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>
        <v>15</v>
      </c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80"/>
      <c r="AG287" s="87">
        <f t="shared" si="211"/>
        <v>0</v>
      </c>
      <c r="AH287" s="87">
        <f t="shared" si="212"/>
        <v>0</v>
      </c>
      <c r="AI287" s="87">
        <f t="shared" si="213"/>
        <v>0</v>
      </c>
      <c r="AJ287" s="87">
        <f t="shared" si="214"/>
        <v>0</v>
      </c>
      <c r="AK287" s="87">
        <f t="shared" si="215"/>
        <v>0</v>
      </c>
      <c r="AL287" s="87">
        <f t="shared" si="216"/>
        <v>0</v>
      </c>
      <c r="AM287" s="87">
        <f t="shared" si="217"/>
        <v>0</v>
      </c>
      <c r="AN287" s="87">
        <f t="shared" si="218"/>
        <v>0</v>
      </c>
      <c r="AO287" s="87">
        <f t="shared" si="219"/>
        <v>0</v>
      </c>
      <c r="AP287" s="87">
        <f t="shared" si="220"/>
        <v>0</v>
      </c>
      <c r="AQ287" s="87">
        <f t="shared" si="221"/>
        <v>15</v>
      </c>
      <c r="AR287" s="81"/>
      <c r="AS287" s="85">
        <f t="shared" si="222"/>
        <v>0</v>
      </c>
      <c r="AT287" s="85">
        <f t="shared" si="223"/>
        <v>0</v>
      </c>
      <c r="AU287" s="85">
        <f t="shared" si="224"/>
        <v>0</v>
      </c>
      <c r="AV287" s="85">
        <f t="shared" si="225"/>
        <v>0</v>
      </c>
      <c r="AW287" s="85">
        <f t="shared" si="226"/>
        <v>0</v>
      </c>
      <c r="AX287" s="85">
        <f t="shared" si="227"/>
        <v>0</v>
      </c>
      <c r="AY287" s="85">
        <f t="shared" si="228"/>
        <v>0</v>
      </c>
      <c r="AZ287" s="85">
        <f t="shared" si="229"/>
        <v>0</v>
      </c>
      <c r="BA287" s="85">
        <f t="shared" si="230"/>
        <v>0</v>
      </c>
      <c r="BB287" s="85">
        <f t="shared" si="231"/>
        <v>0</v>
      </c>
      <c r="BC287" s="85">
        <f t="shared" si="232"/>
        <v>0</v>
      </c>
      <c r="BD287" s="85">
        <f t="shared" si="233"/>
        <v>0</v>
      </c>
      <c r="BE287" s="85">
        <f t="shared" si="234"/>
        <v>0</v>
      </c>
      <c r="BF287" s="85">
        <f t="shared" si="235"/>
        <v>0</v>
      </c>
      <c r="BG287" s="85">
        <f t="shared" si="236"/>
        <v>0</v>
      </c>
      <c r="BH287" s="85">
        <f t="shared" si="237"/>
        <v>0</v>
      </c>
      <c r="BI287" s="85">
        <f t="shared" si="238"/>
        <v>0</v>
      </c>
      <c r="BJ287" s="85">
        <f t="shared" si="239"/>
        <v>0</v>
      </c>
      <c r="BK287" s="85">
        <f t="shared" si="240"/>
        <v>0</v>
      </c>
      <c r="BL287" s="85">
        <f t="shared" si="241"/>
        <v>0</v>
      </c>
      <c r="BM287" s="85">
        <f t="shared" si="242"/>
        <v>0</v>
      </c>
      <c r="BN287" s="85">
        <f t="shared" si="243"/>
        <v>0</v>
      </c>
      <c r="BO287" s="85">
        <f t="shared" si="244"/>
        <v>0</v>
      </c>
      <c r="BP287" s="85">
        <f t="shared" si="245"/>
        <v>0</v>
      </c>
      <c r="BQ287" s="85">
        <f t="shared" si="246"/>
        <v>0</v>
      </c>
      <c r="BR287" s="85">
        <f t="shared" si="247"/>
        <v>0</v>
      </c>
      <c r="BT287" s="63"/>
      <c r="BU287" s="63"/>
      <c r="BV287" s="63"/>
      <c r="BW287" s="63"/>
      <c r="BX287" s="63"/>
      <c r="BY287" s="63"/>
      <c r="BZ287" s="63"/>
      <c r="CA287" s="63"/>
      <c r="CB287" s="63"/>
      <c r="CC287" s="63"/>
      <c r="CD287" s="63"/>
      <c r="CE287" s="63"/>
      <c r="CF287" s="63"/>
      <c r="CG287" s="63"/>
      <c r="CH287" s="63"/>
      <c r="CI287" s="63"/>
      <c r="CJ287" s="63"/>
      <c r="CK287" s="63"/>
      <c r="CL287" s="63"/>
      <c r="CM287" s="63"/>
      <c r="CN287" s="63"/>
      <c r="CO287" s="63"/>
      <c r="CP287" s="63"/>
      <c r="CQ287" s="63"/>
      <c r="CR287" s="63"/>
      <c r="CS287" s="63"/>
      <c r="CW287">
        <v>15</v>
      </c>
      <c r="CX287" s="35">
        <v>45061</v>
      </c>
      <c r="CZ287" s="35">
        <f>B304</f>
        <v>45180</v>
      </c>
      <c r="DC287" s="57" t="str">
        <f t="shared" si="248"/>
        <v/>
      </c>
      <c r="DD287" s="64" t="str">
        <f t="shared" si="249"/>
        <v/>
      </c>
      <c r="DE287" s="65" t="str">
        <f t="shared" si="250"/>
        <v/>
      </c>
      <c r="DF287" s="66" t="str">
        <f t="shared" si="251"/>
        <v/>
      </c>
    </row>
    <row r="288" spans="2:110" hidden="1" outlineLevel="1">
      <c r="B288" s="54">
        <f t="shared" si="252"/>
        <v>45068</v>
      </c>
      <c r="C288" s="55" t="s">
        <v>1</v>
      </c>
      <c r="D288" s="56">
        <f t="shared" si="253"/>
        <v>45074</v>
      </c>
      <c r="E288" s="52">
        <f t="shared" si="254"/>
        <v>5</v>
      </c>
      <c r="F288" s="53">
        <f t="shared" si="255"/>
        <v>2023</v>
      </c>
      <c r="G288" s="62">
        <f t="shared" si="256"/>
        <v>15</v>
      </c>
      <c r="H288" s="63">
        <f t="shared" si="257"/>
        <v>96</v>
      </c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>
        <v>15</v>
      </c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80"/>
      <c r="AG288" s="87">
        <f t="shared" si="211"/>
        <v>0</v>
      </c>
      <c r="AH288" s="87">
        <f t="shared" si="212"/>
        <v>0</v>
      </c>
      <c r="AI288" s="87">
        <f t="shared" si="213"/>
        <v>0</v>
      </c>
      <c r="AJ288" s="87">
        <f t="shared" si="214"/>
        <v>0</v>
      </c>
      <c r="AK288" s="87">
        <f t="shared" si="215"/>
        <v>0</v>
      </c>
      <c r="AL288" s="87">
        <f t="shared" si="216"/>
        <v>0</v>
      </c>
      <c r="AM288" s="87">
        <f t="shared" si="217"/>
        <v>0</v>
      </c>
      <c r="AN288" s="87">
        <f t="shared" si="218"/>
        <v>0</v>
      </c>
      <c r="AO288" s="87">
        <f t="shared" si="219"/>
        <v>0</v>
      </c>
      <c r="AP288" s="87">
        <f t="shared" si="220"/>
        <v>0</v>
      </c>
      <c r="AQ288" s="87">
        <f t="shared" si="221"/>
        <v>15</v>
      </c>
      <c r="AR288" s="81"/>
      <c r="AS288" s="85">
        <f t="shared" si="222"/>
        <v>0</v>
      </c>
      <c r="AT288" s="85">
        <f t="shared" si="223"/>
        <v>0</v>
      </c>
      <c r="AU288" s="85">
        <f t="shared" si="224"/>
        <v>0</v>
      </c>
      <c r="AV288" s="85">
        <f t="shared" si="225"/>
        <v>0</v>
      </c>
      <c r="AW288" s="85">
        <f t="shared" si="226"/>
        <v>0</v>
      </c>
      <c r="AX288" s="85">
        <f t="shared" si="227"/>
        <v>0</v>
      </c>
      <c r="AY288" s="85">
        <f t="shared" si="228"/>
        <v>0</v>
      </c>
      <c r="AZ288" s="85">
        <f t="shared" si="229"/>
        <v>0</v>
      </c>
      <c r="BA288" s="85">
        <f t="shared" si="230"/>
        <v>0</v>
      </c>
      <c r="BB288" s="85">
        <f t="shared" si="231"/>
        <v>0</v>
      </c>
      <c r="BC288" s="85">
        <f t="shared" si="232"/>
        <v>0</v>
      </c>
      <c r="BD288" s="85">
        <f t="shared" si="233"/>
        <v>0</v>
      </c>
      <c r="BE288" s="85">
        <f t="shared" si="234"/>
        <v>0</v>
      </c>
      <c r="BF288" s="85">
        <f t="shared" si="235"/>
        <v>0</v>
      </c>
      <c r="BG288" s="85">
        <f t="shared" si="236"/>
        <v>0</v>
      </c>
      <c r="BH288" s="85">
        <f t="shared" si="237"/>
        <v>0</v>
      </c>
      <c r="BI288" s="85">
        <f t="shared" si="238"/>
        <v>0</v>
      </c>
      <c r="BJ288" s="85">
        <f t="shared" si="239"/>
        <v>0</v>
      </c>
      <c r="BK288" s="85">
        <f t="shared" si="240"/>
        <v>0</v>
      </c>
      <c r="BL288" s="85">
        <f t="shared" si="241"/>
        <v>0</v>
      </c>
      <c r="BM288" s="85">
        <f t="shared" si="242"/>
        <v>0</v>
      </c>
      <c r="BN288" s="85">
        <f t="shared" si="243"/>
        <v>0</v>
      </c>
      <c r="BO288" s="85">
        <f t="shared" si="244"/>
        <v>0</v>
      </c>
      <c r="BP288" s="85">
        <f t="shared" si="245"/>
        <v>0</v>
      </c>
      <c r="BQ288" s="85">
        <f t="shared" si="246"/>
        <v>0</v>
      </c>
      <c r="BR288" s="85">
        <f t="shared" si="247"/>
        <v>0</v>
      </c>
      <c r="BT288" s="63"/>
      <c r="BU288" s="63"/>
      <c r="BV288" s="63"/>
      <c r="BW288" s="63"/>
      <c r="BX288" s="63"/>
      <c r="BY288" s="63"/>
      <c r="BZ288" s="63"/>
      <c r="CA288" s="63"/>
      <c r="CB288" s="63"/>
      <c r="CC288" s="63"/>
      <c r="CD288" s="63"/>
      <c r="CE288" s="63"/>
      <c r="CF288" s="63"/>
      <c r="CG288" s="63"/>
      <c r="CH288" s="63"/>
      <c r="CI288" s="63"/>
      <c r="CJ288" s="63"/>
      <c r="CK288" s="63"/>
      <c r="CL288" s="63"/>
      <c r="CM288" s="63"/>
      <c r="CN288" s="63"/>
      <c r="CO288" s="63"/>
      <c r="CP288" s="63"/>
      <c r="CQ288" s="63"/>
      <c r="CR288" s="63"/>
      <c r="CS288" s="63"/>
      <c r="CX288" s="35" t="s">
        <v>12</v>
      </c>
      <c r="CZ288" s="35"/>
      <c r="DC288" s="57" t="str">
        <f t="shared" si="248"/>
        <v/>
      </c>
      <c r="DD288" s="64" t="str">
        <f t="shared" si="249"/>
        <v/>
      </c>
      <c r="DE288" s="65" t="str">
        <f t="shared" si="250"/>
        <v/>
      </c>
      <c r="DF288" s="66" t="str">
        <f t="shared" si="251"/>
        <v/>
      </c>
    </row>
    <row r="289" spans="2:110" hidden="1" outlineLevel="1">
      <c r="B289" s="54">
        <f t="shared" si="252"/>
        <v>45075</v>
      </c>
      <c r="C289" s="55" t="s">
        <v>1</v>
      </c>
      <c r="D289" s="56">
        <f t="shared" si="253"/>
        <v>45081</v>
      </c>
      <c r="E289" s="52">
        <f t="shared" si="254"/>
        <v>5</v>
      </c>
      <c r="F289" s="53">
        <f t="shared" si="255"/>
        <v>2023</v>
      </c>
      <c r="G289" s="62">
        <f t="shared" si="256"/>
        <v>15</v>
      </c>
      <c r="H289" s="63">
        <f t="shared" si="257"/>
        <v>96</v>
      </c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>
        <v>15</v>
      </c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80"/>
      <c r="AG289" s="87">
        <f t="shared" si="211"/>
        <v>0</v>
      </c>
      <c r="AH289" s="87">
        <f t="shared" si="212"/>
        <v>0</v>
      </c>
      <c r="AI289" s="87">
        <f t="shared" si="213"/>
        <v>0</v>
      </c>
      <c r="AJ289" s="87">
        <f t="shared" si="214"/>
        <v>0</v>
      </c>
      <c r="AK289" s="87">
        <f t="shared" si="215"/>
        <v>0</v>
      </c>
      <c r="AL289" s="87">
        <f t="shared" si="216"/>
        <v>0</v>
      </c>
      <c r="AM289" s="87">
        <f t="shared" si="217"/>
        <v>0</v>
      </c>
      <c r="AN289" s="87">
        <f t="shared" si="218"/>
        <v>0</v>
      </c>
      <c r="AO289" s="87">
        <f t="shared" si="219"/>
        <v>0</v>
      </c>
      <c r="AP289" s="87">
        <f t="shared" si="220"/>
        <v>0</v>
      </c>
      <c r="AQ289" s="87">
        <f t="shared" si="221"/>
        <v>15</v>
      </c>
      <c r="AR289" s="81"/>
      <c r="AS289" s="85">
        <f t="shared" si="222"/>
        <v>0</v>
      </c>
      <c r="AT289" s="85">
        <f t="shared" si="223"/>
        <v>0</v>
      </c>
      <c r="AU289" s="85">
        <f t="shared" si="224"/>
        <v>0</v>
      </c>
      <c r="AV289" s="85">
        <f t="shared" si="225"/>
        <v>0</v>
      </c>
      <c r="AW289" s="85">
        <f t="shared" si="226"/>
        <v>0</v>
      </c>
      <c r="AX289" s="85">
        <f t="shared" si="227"/>
        <v>0</v>
      </c>
      <c r="AY289" s="85">
        <f t="shared" si="228"/>
        <v>0</v>
      </c>
      <c r="AZ289" s="85">
        <f t="shared" si="229"/>
        <v>0</v>
      </c>
      <c r="BA289" s="85">
        <f t="shared" si="230"/>
        <v>0</v>
      </c>
      <c r="BB289" s="85">
        <f t="shared" si="231"/>
        <v>0</v>
      </c>
      <c r="BC289" s="85">
        <f t="shared" si="232"/>
        <v>0</v>
      </c>
      <c r="BD289" s="85">
        <f t="shared" si="233"/>
        <v>0</v>
      </c>
      <c r="BE289" s="85">
        <f t="shared" si="234"/>
        <v>0</v>
      </c>
      <c r="BF289" s="85">
        <f t="shared" si="235"/>
        <v>0</v>
      </c>
      <c r="BG289" s="85">
        <f t="shared" si="236"/>
        <v>0</v>
      </c>
      <c r="BH289" s="85">
        <f t="shared" si="237"/>
        <v>0</v>
      </c>
      <c r="BI289" s="85">
        <f t="shared" si="238"/>
        <v>0</v>
      </c>
      <c r="BJ289" s="85">
        <f t="shared" si="239"/>
        <v>0</v>
      </c>
      <c r="BK289" s="85">
        <f t="shared" si="240"/>
        <v>0</v>
      </c>
      <c r="BL289" s="85">
        <f t="shared" si="241"/>
        <v>0</v>
      </c>
      <c r="BM289" s="85">
        <f t="shared" si="242"/>
        <v>0</v>
      </c>
      <c r="BN289" s="85">
        <f t="shared" si="243"/>
        <v>0</v>
      </c>
      <c r="BO289" s="85">
        <f t="shared" si="244"/>
        <v>0</v>
      </c>
      <c r="BP289" s="85">
        <f t="shared" si="245"/>
        <v>0</v>
      </c>
      <c r="BQ289" s="85">
        <f t="shared" si="246"/>
        <v>0</v>
      </c>
      <c r="BR289" s="85">
        <f t="shared" si="247"/>
        <v>0</v>
      </c>
      <c r="BT289" s="63"/>
      <c r="BU289" s="63"/>
      <c r="BV289" s="63"/>
      <c r="BW289" s="63"/>
      <c r="BX289" s="63"/>
      <c r="BY289" s="63"/>
      <c r="BZ289" s="63"/>
      <c r="CA289" s="63"/>
      <c r="CB289" s="63"/>
      <c r="CC289" s="63"/>
      <c r="CD289" s="63"/>
      <c r="CE289" s="63"/>
      <c r="CF289" s="63"/>
      <c r="CG289" s="63"/>
      <c r="CH289" s="63"/>
      <c r="CI289" s="63"/>
      <c r="CJ289" s="63"/>
      <c r="CK289" s="63"/>
      <c r="CL289" s="63"/>
      <c r="CM289" s="63"/>
      <c r="CN289" s="63"/>
      <c r="CO289" s="63"/>
      <c r="CP289" s="63"/>
      <c r="CQ289" s="63"/>
      <c r="CR289" s="63"/>
      <c r="CS289" s="63"/>
      <c r="CX289" s="35" t="s">
        <v>12</v>
      </c>
      <c r="CZ289" s="35"/>
      <c r="DC289" s="57" t="str">
        <f t="shared" si="248"/>
        <v/>
      </c>
      <c r="DD289" s="64" t="str">
        <f t="shared" si="249"/>
        <v/>
      </c>
      <c r="DE289" s="65" t="str">
        <f t="shared" si="250"/>
        <v/>
      </c>
      <c r="DF289" s="66" t="str">
        <f t="shared" si="251"/>
        <v/>
      </c>
    </row>
    <row r="290" spans="2:110" hidden="1" outlineLevel="1">
      <c r="B290" s="54">
        <f t="shared" si="252"/>
        <v>45082</v>
      </c>
      <c r="C290" s="55" t="s">
        <v>1</v>
      </c>
      <c r="D290" s="56">
        <f t="shared" si="253"/>
        <v>45088</v>
      </c>
      <c r="E290" s="52">
        <f t="shared" si="254"/>
        <v>6</v>
      </c>
      <c r="F290" s="53">
        <f t="shared" si="255"/>
        <v>2023</v>
      </c>
      <c r="G290" s="62">
        <f t="shared" si="256"/>
        <v>15</v>
      </c>
      <c r="H290" s="63">
        <f t="shared" si="257"/>
        <v>96</v>
      </c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>
        <v>15</v>
      </c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80"/>
      <c r="AG290" s="87">
        <f t="shared" si="211"/>
        <v>0</v>
      </c>
      <c r="AH290" s="87">
        <f t="shared" si="212"/>
        <v>0</v>
      </c>
      <c r="AI290" s="87">
        <f t="shared" si="213"/>
        <v>0</v>
      </c>
      <c r="AJ290" s="87">
        <f t="shared" si="214"/>
        <v>0</v>
      </c>
      <c r="AK290" s="87">
        <f t="shared" si="215"/>
        <v>0</v>
      </c>
      <c r="AL290" s="87">
        <f t="shared" si="216"/>
        <v>0</v>
      </c>
      <c r="AM290" s="87">
        <f t="shared" si="217"/>
        <v>0</v>
      </c>
      <c r="AN290" s="87">
        <f t="shared" si="218"/>
        <v>0</v>
      </c>
      <c r="AO290" s="87">
        <f t="shared" si="219"/>
        <v>0</v>
      </c>
      <c r="AP290" s="87">
        <f t="shared" si="220"/>
        <v>0</v>
      </c>
      <c r="AQ290" s="87">
        <f t="shared" si="221"/>
        <v>15</v>
      </c>
      <c r="AR290" s="81"/>
      <c r="AS290" s="85">
        <f t="shared" si="222"/>
        <v>0</v>
      </c>
      <c r="AT290" s="85">
        <f t="shared" si="223"/>
        <v>0</v>
      </c>
      <c r="AU290" s="85">
        <f t="shared" si="224"/>
        <v>0</v>
      </c>
      <c r="AV290" s="85">
        <f t="shared" si="225"/>
        <v>0</v>
      </c>
      <c r="AW290" s="85">
        <f t="shared" si="226"/>
        <v>0</v>
      </c>
      <c r="AX290" s="85">
        <f t="shared" si="227"/>
        <v>0</v>
      </c>
      <c r="AY290" s="85">
        <f t="shared" si="228"/>
        <v>0</v>
      </c>
      <c r="AZ290" s="85">
        <f t="shared" si="229"/>
        <v>0</v>
      </c>
      <c r="BA290" s="85">
        <f t="shared" si="230"/>
        <v>0</v>
      </c>
      <c r="BB290" s="85">
        <f t="shared" si="231"/>
        <v>0</v>
      </c>
      <c r="BC290" s="85">
        <f t="shared" si="232"/>
        <v>0</v>
      </c>
      <c r="BD290" s="85">
        <f t="shared" si="233"/>
        <v>0</v>
      </c>
      <c r="BE290" s="85">
        <f t="shared" si="234"/>
        <v>0</v>
      </c>
      <c r="BF290" s="85">
        <f t="shared" si="235"/>
        <v>0</v>
      </c>
      <c r="BG290" s="85">
        <f t="shared" si="236"/>
        <v>0</v>
      </c>
      <c r="BH290" s="85">
        <f t="shared" si="237"/>
        <v>0</v>
      </c>
      <c r="BI290" s="85">
        <f t="shared" si="238"/>
        <v>0</v>
      </c>
      <c r="BJ290" s="85">
        <f t="shared" si="239"/>
        <v>0</v>
      </c>
      <c r="BK290" s="85">
        <f t="shared" si="240"/>
        <v>0</v>
      </c>
      <c r="BL290" s="85">
        <f t="shared" si="241"/>
        <v>0</v>
      </c>
      <c r="BM290" s="85">
        <f t="shared" si="242"/>
        <v>0</v>
      </c>
      <c r="BN290" s="85">
        <f t="shared" si="243"/>
        <v>0</v>
      </c>
      <c r="BO290" s="85">
        <f t="shared" si="244"/>
        <v>0</v>
      </c>
      <c r="BP290" s="85">
        <f t="shared" si="245"/>
        <v>0</v>
      </c>
      <c r="BQ290" s="85">
        <f t="shared" si="246"/>
        <v>0</v>
      </c>
      <c r="BR290" s="85">
        <f t="shared" si="247"/>
        <v>0</v>
      </c>
      <c r="BT290" s="63"/>
      <c r="BU290" s="63"/>
      <c r="BV290" s="63"/>
      <c r="BW290" s="63"/>
      <c r="BX290" s="63"/>
      <c r="BY290" s="63"/>
      <c r="BZ290" s="63"/>
      <c r="CA290" s="63"/>
      <c r="CB290" s="63"/>
      <c r="CC290" s="63"/>
      <c r="CD290" s="63"/>
      <c r="CE290" s="63"/>
      <c r="CF290" s="63"/>
      <c r="CG290" s="63"/>
      <c r="CH290" s="63"/>
      <c r="CI290" s="63"/>
      <c r="CJ290" s="63"/>
      <c r="CK290" s="63"/>
      <c r="CL290" s="63"/>
      <c r="CM290" s="63"/>
      <c r="CN290" s="63"/>
      <c r="CO290" s="63"/>
      <c r="CP290" s="63"/>
      <c r="CQ290" s="63"/>
      <c r="CR290" s="63"/>
      <c r="CS290" s="63"/>
      <c r="CX290" s="35" t="s">
        <v>12</v>
      </c>
      <c r="CZ290" s="35"/>
      <c r="DC290" s="57" t="str">
        <f t="shared" si="248"/>
        <v/>
      </c>
      <c r="DD290" s="64" t="str">
        <f t="shared" si="249"/>
        <v/>
      </c>
      <c r="DE290" s="65" t="str">
        <f t="shared" si="250"/>
        <v/>
      </c>
      <c r="DF290" s="66" t="str">
        <f t="shared" si="251"/>
        <v/>
      </c>
    </row>
    <row r="291" spans="2:110" hidden="1" outlineLevel="1">
      <c r="B291" s="54">
        <f t="shared" si="252"/>
        <v>45089</v>
      </c>
      <c r="C291" s="55" t="s">
        <v>1</v>
      </c>
      <c r="D291" s="56">
        <f t="shared" si="253"/>
        <v>45095</v>
      </c>
      <c r="E291" s="52">
        <f t="shared" si="254"/>
        <v>6</v>
      </c>
      <c r="F291" s="53">
        <f t="shared" si="255"/>
        <v>2023</v>
      </c>
      <c r="G291" s="62">
        <f t="shared" si="256"/>
        <v>15</v>
      </c>
      <c r="H291" s="63">
        <f t="shared" si="257"/>
        <v>96</v>
      </c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>
        <v>15</v>
      </c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80"/>
      <c r="AG291" s="87">
        <f t="shared" si="211"/>
        <v>0</v>
      </c>
      <c r="AH291" s="87">
        <f t="shared" si="212"/>
        <v>0</v>
      </c>
      <c r="AI291" s="87">
        <f t="shared" si="213"/>
        <v>0</v>
      </c>
      <c r="AJ291" s="87">
        <f t="shared" si="214"/>
        <v>0</v>
      </c>
      <c r="AK291" s="87">
        <f t="shared" si="215"/>
        <v>0</v>
      </c>
      <c r="AL291" s="87">
        <f t="shared" si="216"/>
        <v>0</v>
      </c>
      <c r="AM291" s="87">
        <f t="shared" si="217"/>
        <v>0</v>
      </c>
      <c r="AN291" s="87">
        <f t="shared" si="218"/>
        <v>0</v>
      </c>
      <c r="AO291" s="87">
        <f t="shared" si="219"/>
        <v>0</v>
      </c>
      <c r="AP291" s="87">
        <f t="shared" si="220"/>
        <v>0</v>
      </c>
      <c r="AQ291" s="87">
        <f t="shared" si="221"/>
        <v>15</v>
      </c>
      <c r="AR291" s="81"/>
      <c r="AS291" s="85">
        <f t="shared" si="222"/>
        <v>0</v>
      </c>
      <c r="AT291" s="85">
        <f t="shared" si="223"/>
        <v>0</v>
      </c>
      <c r="AU291" s="85">
        <f t="shared" si="224"/>
        <v>0</v>
      </c>
      <c r="AV291" s="85">
        <f t="shared" si="225"/>
        <v>0</v>
      </c>
      <c r="AW291" s="85">
        <f t="shared" si="226"/>
        <v>0</v>
      </c>
      <c r="AX291" s="85">
        <f t="shared" si="227"/>
        <v>0</v>
      </c>
      <c r="AY291" s="85">
        <f t="shared" si="228"/>
        <v>0</v>
      </c>
      <c r="AZ291" s="85">
        <f t="shared" si="229"/>
        <v>0</v>
      </c>
      <c r="BA291" s="85">
        <f t="shared" si="230"/>
        <v>0</v>
      </c>
      <c r="BB291" s="85">
        <f t="shared" si="231"/>
        <v>0</v>
      </c>
      <c r="BC291" s="85">
        <f t="shared" si="232"/>
        <v>0</v>
      </c>
      <c r="BD291" s="85">
        <f t="shared" si="233"/>
        <v>0</v>
      </c>
      <c r="BE291" s="85">
        <f t="shared" si="234"/>
        <v>0</v>
      </c>
      <c r="BF291" s="85">
        <f t="shared" si="235"/>
        <v>0</v>
      </c>
      <c r="BG291" s="85">
        <f t="shared" si="236"/>
        <v>0</v>
      </c>
      <c r="BH291" s="85">
        <f t="shared" si="237"/>
        <v>0</v>
      </c>
      <c r="BI291" s="85">
        <f t="shared" si="238"/>
        <v>0</v>
      </c>
      <c r="BJ291" s="85">
        <f t="shared" si="239"/>
        <v>0</v>
      </c>
      <c r="BK291" s="85">
        <f t="shared" si="240"/>
        <v>0</v>
      </c>
      <c r="BL291" s="85">
        <f t="shared" si="241"/>
        <v>0</v>
      </c>
      <c r="BM291" s="85">
        <f t="shared" si="242"/>
        <v>0</v>
      </c>
      <c r="BN291" s="85">
        <f t="shared" si="243"/>
        <v>0</v>
      </c>
      <c r="BO291" s="85">
        <f t="shared" si="244"/>
        <v>0</v>
      </c>
      <c r="BP291" s="85">
        <f t="shared" si="245"/>
        <v>0</v>
      </c>
      <c r="BQ291" s="85">
        <f t="shared" si="246"/>
        <v>0</v>
      </c>
      <c r="BR291" s="85">
        <f t="shared" si="247"/>
        <v>0</v>
      </c>
      <c r="BT291" s="63"/>
      <c r="BU291" s="63"/>
      <c r="BV291" s="63"/>
      <c r="BW291" s="63"/>
      <c r="BX291" s="63"/>
      <c r="BY291" s="63"/>
      <c r="BZ291" s="63"/>
      <c r="CA291" s="63"/>
      <c r="CB291" s="63"/>
      <c r="CC291" s="63"/>
      <c r="CD291" s="63"/>
      <c r="CE291" s="63"/>
      <c r="CF291" s="63"/>
      <c r="CG291" s="63"/>
      <c r="CH291" s="63"/>
      <c r="CI291" s="63"/>
      <c r="CJ291" s="63"/>
      <c r="CK291" s="63"/>
      <c r="CL291" s="63"/>
      <c r="CM291" s="63"/>
      <c r="CN291" s="63"/>
      <c r="CO291" s="63"/>
      <c r="CP291" s="63"/>
      <c r="CQ291" s="63"/>
      <c r="CR291" s="63"/>
      <c r="CS291" s="63"/>
      <c r="CX291" s="35" t="s">
        <v>12</v>
      </c>
      <c r="CZ291" s="35"/>
      <c r="DC291" s="57" t="str">
        <f t="shared" si="248"/>
        <v/>
      </c>
      <c r="DD291" s="64" t="str">
        <f t="shared" si="249"/>
        <v/>
      </c>
      <c r="DE291" s="65" t="str">
        <f t="shared" si="250"/>
        <v/>
      </c>
      <c r="DF291" s="66" t="str">
        <f t="shared" si="251"/>
        <v/>
      </c>
    </row>
    <row r="292" spans="2:110" hidden="1" outlineLevel="1">
      <c r="B292" s="54">
        <f t="shared" si="252"/>
        <v>45096</v>
      </c>
      <c r="C292" s="55" t="s">
        <v>1</v>
      </c>
      <c r="D292" s="56">
        <f t="shared" si="253"/>
        <v>45102</v>
      </c>
      <c r="E292" s="52">
        <f t="shared" si="254"/>
        <v>6</v>
      </c>
      <c r="F292" s="53">
        <f t="shared" si="255"/>
        <v>2023</v>
      </c>
      <c r="G292" s="62">
        <f t="shared" si="256"/>
        <v>15</v>
      </c>
      <c r="H292" s="63">
        <f t="shared" si="257"/>
        <v>96</v>
      </c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>
        <v>15</v>
      </c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80"/>
      <c r="AG292" s="87">
        <f t="shared" si="211"/>
        <v>0</v>
      </c>
      <c r="AH292" s="87">
        <f t="shared" si="212"/>
        <v>0</v>
      </c>
      <c r="AI292" s="87">
        <f t="shared" si="213"/>
        <v>0</v>
      </c>
      <c r="AJ292" s="87">
        <f t="shared" si="214"/>
        <v>0</v>
      </c>
      <c r="AK292" s="87">
        <f t="shared" si="215"/>
        <v>0</v>
      </c>
      <c r="AL292" s="87">
        <f t="shared" si="216"/>
        <v>0</v>
      </c>
      <c r="AM292" s="87">
        <f t="shared" si="217"/>
        <v>0</v>
      </c>
      <c r="AN292" s="87">
        <f t="shared" si="218"/>
        <v>0</v>
      </c>
      <c r="AO292" s="87">
        <f t="shared" si="219"/>
        <v>0</v>
      </c>
      <c r="AP292" s="87">
        <f t="shared" si="220"/>
        <v>0</v>
      </c>
      <c r="AQ292" s="87">
        <f t="shared" si="221"/>
        <v>15</v>
      </c>
      <c r="AR292" s="81"/>
      <c r="AS292" s="85">
        <f t="shared" si="222"/>
        <v>0</v>
      </c>
      <c r="AT292" s="85">
        <f t="shared" si="223"/>
        <v>0</v>
      </c>
      <c r="AU292" s="85">
        <f t="shared" si="224"/>
        <v>0</v>
      </c>
      <c r="AV292" s="85">
        <f t="shared" si="225"/>
        <v>0</v>
      </c>
      <c r="AW292" s="85">
        <f t="shared" si="226"/>
        <v>0</v>
      </c>
      <c r="AX292" s="85">
        <f t="shared" si="227"/>
        <v>0</v>
      </c>
      <c r="AY292" s="85">
        <f t="shared" si="228"/>
        <v>0</v>
      </c>
      <c r="AZ292" s="85">
        <f t="shared" si="229"/>
        <v>0</v>
      </c>
      <c r="BA292" s="85">
        <f t="shared" si="230"/>
        <v>0</v>
      </c>
      <c r="BB292" s="85">
        <f t="shared" si="231"/>
        <v>0</v>
      </c>
      <c r="BC292" s="85">
        <f t="shared" si="232"/>
        <v>0</v>
      </c>
      <c r="BD292" s="85">
        <f t="shared" si="233"/>
        <v>0</v>
      </c>
      <c r="BE292" s="85">
        <f t="shared" si="234"/>
        <v>0</v>
      </c>
      <c r="BF292" s="85">
        <f t="shared" si="235"/>
        <v>0</v>
      </c>
      <c r="BG292" s="85">
        <f t="shared" si="236"/>
        <v>0</v>
      </c>
      <c r="BH292" s="85">
        <f t="shared" si="237"/>
        <v>0</v>
      </c>
      <c r="BI292" s="85">
        <f t="shared" si="238"/>
        <v>0</v>
      </c>
      <c r="BJ292" s="85">
        <f t="shared" si="239"/>
        <v>0</v>
      </c>
      <c r="BK292" s="85">
        <f t="shared" si="240"/>
        <v>0</v>
      </c>
      <c r="BL292" s="85">
        <f t="shared" si="241"/>
        <v>0</v>
      </c>
      <c r="BM292" s="85">
        <f t="shared" si="242"/>
        <v>0</v>
      </c>
      <c r="BN292" s="85">
        <f t="shared" si="243"/>
        <v>0</v>
      </c>
      <c r="BO292" s="85">
        <f t="shared" si="244"/>
        <v>0</v>
      </c>
      <c r="BP292" s="85">
        <f t="shared" si="245"/>
        <v>0</v>
      </c>
      <c r="BQ292" s="85">
        <f t="shared" si="246"/>
        <v>0</v>
      </c>
      <c r="BR292" s="85">
        <f t="shared" si="247"/>
        <v>0</v>
      </c>
      <c r="BT292" s="63"/>
      <c r="BU292" s="63"/>
      <c r="BV292" s="63"/>
      <c r="BW292" s="63"/>
      <c r="BX292" s="63"/>
      <c r="BY292" s="63"/>
      <c r="BZ292" s="63"/>
      <c r="CA292" s="63"/>
      <c r="CB292" s="63"/>
      <c r="CC292" s="63"/>
      <c r="CD292" s="63"/>
      <c r="CE292" s="63"/>
      <c r="CF292" s="63"/>
      <c r="CG292" s="63"/>
      <c r="CH292" s="63"/>
      <c r="CI292" s="63"/>
      <c r="CJ292" s="63"/>
      <c r="CK292" s="63"/>
      <c r="CL292" s="63"/>
      <c r="CM292" s="63"/>
      <c r="CN292" s="63"/>
      <c r="CO292" s="63"/>
      <c r="CP292" s="63"/>
      <c r="CQ292" s="63"/>
      <c r="CR292" s="63"/>
      <c r="CS292" s="63"/>
      <c r="CW292">
        <v>7</v>
      </c>
      <c r="CX292" s="35">
        <v>45096</v>
      </c>
      <c r="CZ292" s="35">
        <f>B309</f>
        <v>45215</v>
      </c>
      <c r="DC292" s="57" t="str">
        <f t="shared" si="248"/>
        <v/>
      </c>
      <c r="DD292" s="64" t="str">
        <f t="shared" si="249"/>
        <v/>
      </c>
      <c r="DE292" s="65" t="str">
        <f t="shared" si="250"/>
        <v/>
      </c>
      <c r="DF292" s="66" t="str">
        <f t="shared" si="251"/>
        <v/>
      </c>
    </row>
    <row r="293" spans="2:110" hidden="1" outlineLevel="1">
      <c r="B293" s="54">
        <f t="shared" si="252"/>
        <v>45103</v>
      </c>
      <c r="C293" s="55" t="s">
        <v>1</v>
      </c>
      <c r="D293" s="56">
        <f t="shared" si="253"/>
        <v>45109</v>
      </c>
      <c r="E293" s="52">
        <f t="shared" si="254"/>
        <v>6</v>
      </c>
      <c r="F293" s="53">
        <f t="shared" si="255"/>
        <v>2023</v>
      </c>
      <c r="G293" s="62">
        <f t="shared" si="256"/>
        <v>15</v>
      </c>
      <c r="H293" s="63">
        <f t="shared" si="257"/>
        <v>96</v>
      </c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>
        <v>15</v>
      </c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80"/>
      <c r="AG293" s="87">
        <f t="shared" si="211"/>
        <v>0</v>
      </c>
      <c r="AH293" s="87">
        <f t="shared" si="212"/>
        <v>0</v>
      </c>
      <c r="AI293" s="87">
        <f t="shared" si="213"/>
        <v>0</v>
      </c>
      <c r="AJ293" s="87">
        <f t="shared" si="214"/>
        <v>0</v>
      </c>
      <c r="AK293" s="87">
        <f t="shared" si="215"/>
        <v>0</v>
      </c>
      <c r="AL293" s="87">
        <f t="shared" si="216"/>
        <v>0</v>
      </c>
      <c r="AM293" s="87">
        <f t="shared" si="217"/>
        <v>0</v>
      </c>
      <c r="AN293" s="87">
        <f t="shared" si="218"/>
        <v>0</v>
      </c>
      <c r="AO293" s="87">
        <f t="shared" si="219"/>
        <v>0</v>
      </c>
      <c r="AP293" s="87">
        <f t="shared" si="220"/>
        <v>0</v>
      </c>
      <c r="AQ293" s="87">
        <f t="shared" si="221"/>
        <v>15</v>
      </c>
      <c r="AR293" s="81"/>
      <c r="AS293" s="85">
        <f t="shared" si="222"/>
        <v>0</v>
      </c>
      <c r="AT293" s="85">
        <f t="shared" si="223"/>
        <v>0</v>
      </c>
      <c r="AU293" s="85">
        <f t="shared" si="224"/>
        <v>0</v>
      </c>
      <c r="AV293" s="85">
        <f t="shared" si="225"/>
        <v>0</v>
      </c>
      <c r="AW293" s="85">
        <f t="shared" si="226"/>
        <v>0</v>
      </c>
      <c r="AX293" s="85">
        <f t="shared" si="227"/>
        <v>0</v>
      </c>
      <c r="AY293" s="85">
        <f t="shared" si="228"/>
        <v>0</v>
      </c>
      <c r="AZ293" s="85">
        <f t="shared" si="229"/>
        <v>0</v>
      </c>
      <c r="BA293" s="85">
        <f t="shared" si="230"/>
        <v>0</v>
      </c>
      <c r="BB293" s="85">
        <f t="shared" si="231"/>
        <v>0</v>
      </c>
      <c r="BC293" s="85">
        <f t="shared" si="232"/>
        <v>0</v>
      </c>
      <c r="BD293" s="85">
        <f t="shared" si="233"/>
        <v>0</v>
      </c>
      <c r="BE293" s="85">
        <f t="shared" si="234"/>
        <v>0</v>
      </c>
      <c r="BF293" s="85">
        <f t="shared" si="235"/>
        <v>0</v>
      </c>
      <c r="BG293" s="85">
        <f t="shared" si="236"/>
        <v>0</v>
      </c>
      <c r="BH293" s="85">
        <f t="shared" si="237"/>
        <v>0</v>
      </c>
      <c r="BI293" s="85">
        <f t="shared" si="238"/>
        <v>0</v>
      </c>
      <c r="BJ293" s="85">
        <f t="shared" si="239"/>
        <v>0</v>
      </c>
      <c r="BK293" s="85">
        <f t="shared" si="240"/>
        <v>0</v>
      </c>
      <c r="BL293" s="85">
        <f t="shared" si="241"/>
        <v>0</v>
      </c>
      <c r="BM293" s="85">
        <f t="shared" si="242"/>
        <v>0</v>
      </c>
      <c r="BN293" s="85">
        <f t="shared" si="243"/>
        <v>0</v>
      </c>
      <c r="BO293" s="85">
        <f t="shared" si="244"/>
        <v>0</v>
      </c>
      <c r="BP293" s="85">
        <f t="shared" si="245"/>
        <v>0</v>
      </c>
      <c r="BQ293" s="85">
        <f t="shared" si="246"/>
        <v>0</v>
      </c>
      <c r="BR293" s="85">
        <f t="shared" si="247"/>
        <v>0</v>
      </c>
      <c r="BT293" s="63"/>
      <c r="BU293" s="63"/>
      <c r="BV293" s="63"/>
      <c r="BW293" s="63"/>
      <c r="BX293" s="63"/>
      <c r="BY293" s="63"/>
      <c r="BZ293" s="63"/>
      <c r="CA293" s="63"/>
      <c r="CB293" s="63"/>
      <c r="CC293" s="63"/>
      <c r="CD293" s="63"/>
      <c r="CE293" s="63"/>
      <c r="CF293" s="63"/>
      <c r="CG293" s="63"/>
      <c r="CH293" s="63"/>
      <c r="CI293" s="63"/>
      <c r="CJ293" s="63"/>
      <c r="CK293" s="63"/>
      <c r="CL293" s="63"/>
      <c r="CM293" s="63"/>
      <c r="CN293" s="63"/>
      <c r="CO293" s="63"/>
      <c r="CP293" s="63"/>
      <c r="CQ293" s="63"/>
      <c r="CR293" s="63"/>
      <c r="CS293" s="63"/>
      <c r="CX293" s="35" t="s">
        <v>12</v>
      </c>
      <c r="CZ293" s="35"/>
      <c r="DC293" s="57" t="str">
        <f t="shared" si="248"/>
        <v/>
      </c>
      <c r="DD293" s="64" t="str">
        <f t="shared" si="249"/>
        <v/>
      </c>
      <c r="DE293" s="65" t="str">
        <f t="shared" si="250"/>
        <v/>
      </c>
      <c r="DF293" s="66" t="str">
        <f t="shared" si="251"/>
        <v/>
      </c>
    </row>
    <row r="294" spans="2:110" hidden="1" outlineLevel="1">
      <c r="B294" s="54">
        <f t="shared" si="252"/>
        <v>45110</v>
      </c>
      <c r="C294" s="55" t="s">
        <v>1</v>
      </c>
      <c r="D294" s="56">
        <f t="shared" si="253"/>
        <v>45116</v>
      </c>
      <c r="E294" s="52">
        <f t="shared" si="254"/>
        <v>7</v>
      </c>
      <c r="F294" s="53">
        <f t="shared" si="255"/>
        <v>2023</v>
      </c>
      <c r="G294" s="62">
        <f t="shared" si="256"/>
        <v>15</v>
      </c>
      <c r="H294" s="63">
        <f t="shared" si="257"/>
        <v>96</v>
      </c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>
        <v>15</v>
      </c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80"/>
      <c r="AG294" s="87">
        <f t="shared" si="211"/>
        <v>0</v>
      </c>
      <c r="AH294" s="87">
        <f t="shared" si="212"/>
        <v>0</v>
      </c>
      <c r="AI294" s="87">
        <f t="shared" si="213"/>
        <v>0</v>
      </c>
      <c r="AJ294" s="87">
        <f t="shared" si="214"/>
        <v>0</v>
      </c>
      <c r="AK294" s="87">
        <f t="shared" si="215"/>
        <v>0</v>
      </c>
      <c r="AL294" s="87">
        <f t="shared" si="216"/>
        <v>0</v>
      </c>
      <c r="AM294" s="87">
        <f t="shared" si="217"/>
        <v>0</v>
      </c>
      <c r="AN294" s="87">
        <f t="shared" si="218"/>
        <v>0</v>
      </c>
      <c r="AO294" s="87">
        <f t="shared" si="219"/>
        <v>0</v>
      </c>
      <c r="AP294" s="87">
        <f t="shared" si="220"/>
        <v>0</v>
      </c>
      <c r="AQ294" s="87">
        <f t="shared" si="221"/>
        <v>15</v>
      </c>
      <c r="AR294" s="81"/>
      <c r="AS294" s="85">
        <f t="shared" si="222"/>
        <v>0</v>
      </c>
      <c r="AT294" s="85">
        <f t="shared" si="223"/>
        <v>0</v>
      </c>
      <c r="AU294" s="85">
        <f t="shared" si="224"/>
        <v>0</v>
      </c>
      <c r="AV294" s="85">
        <f t="shared" si="225"/>
        <v>0</v>
      </c>
      <c r="AW294" s="85">
        <f t="shared" si="226"/>
        <v>0</v>
      </c>
      <c r="AX294" s="85">
        <f t="shared" si="227"/>
        <v>0</v>
      </c>
      <c r="AY294" s="85">
        <f t="shared" si="228"/>
        <v>0</v>
      </c>
      <c r="AZ294" s="85">
        <f t="shared" si="229"/>
        <v>0</v>
      </c>
      <c r="BA294" s="85">
        <f t="shared" si="230"/>
        <v>0</v>
      </c>
      <c r="BB294" s="85">
        <f t="shared" si="231"/>
        <v>0</v>
      </c>
      <c r="BC294" s="85">
        <f t="shared" si="232"/>
        <v>0</v>
      </c>
      <c r="BD294" s="85">
        <f t="shared" si="233"/>
        <v>0</v>
      </c>
      <c r="BE294" s="85">
        <f t="shared" si="234"/>
        <v>0</v>
      </c>
      <c r="BF294" s="85">
        <f t="shared" si="235"/>
        <v>0</v>
      </c>
      <c r="BG294" s="85">
        <f t="shared" si="236"/>
        <v>0</v>
      </c>
      <c r="BH294" s="85">
        <f t="shared" si="237"/>
        <v>0</v>
      </c>
      <c r="BI294" s="85">
        <f t="shared" si="238"/>
        <v>0</v>
      </c>
      <c r="BJ294" s="85">
        <f t="shared" si="239"/>
        <v>0</v>
      </c>
      <c r="BK294" s="85">
        <f t="shared" si="240"/>
        <v>0</v>
      </c>
      <c r="BL294" s="85">
        <f t="shared" si="241"/>
        <v>0</v>
      </c>
      <c r="BM294" s="85">
        <f t="shared" si="242"/>
        <v>0</v>
      </c>
      <c r="BN294" s="85">
        <f t="shared" si="243"/>
        <v>0</v>
      </c>
      <c r="BO294" s="85">
        <f t="shared" si="244"/>
        <v>0</v>
      </c>
      <c r="BP294" s="85">
        <f t="shared" si="245"/>
        <v>0</v>
      </c>
      <c r="BQ294" s="85">
        <f t="shared" si="246"/>
        <v>0</v>
      </c>
      <c r="BR294" s="85">
        <f t="shared" si="247"/>
        <v>0</v>
      </c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63"/>
      <c r="CL294" s="63"/>
      <c r="CM294" s="63"/>
      <c r="CN294" s="63"/>
      <c r="CO294" s="63"/>
      <c r="CP294" s="63"/>
      <c r="CQ294" s="63"/>
      <c r="CR294" s="63"/>
      <c r="CS294" s="63"/>
      <c r="CX294" s="35" t="s">
        <v>12</v>
      </c>
      <c r="CZ294" s="35"/>
      <c r="DC294" s="57" t="str">
        <f t="shared" si="248"/>
        <v/>
      </c>
      <c r="DD294" s="64" t="str">
        <f t="shared" si="249"/>
        <v/>
      </c>
      <c r="DE294" s="65" t="str">
        <f t="shared" si="250"/>
        <v/>
      </c>
      <c r="DF294" s="66" t="str">
        <f t="shared" si="251"/>
        <v/>
      </c>
    </row>
    <row r="295" spans="2:110" hidden="1" outlineLevel="1">
      <c r="B295" s="54">
        <f t="shared" si="252"/>
        <v>45117</v>
      </c>
      <c r="C295" s="55" t="s">
        <v>1</v>
      </c>
      <c r="D295" s="56">
        <f t="shared" si="253"/>
        <v>45123</v>
      </c>
      <c r="E295" s="52">
        <f t="shared" si="254"/>
        <v>7</v>
      </c>
      <c r="F295" s="53">
        <f t="shared" si="255"/>
        <v>2023</v>
      </c>
      <c r="G295" s="62">
        <f t="shared" si="256"/>
        <v>15</v>
      </c>
      <c r="H295" s="63">
        <f t="shared" si="257"/>
        <v>96</v>
      </c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>
        <v>15</v>
      </c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80"/>
      <c r="AG295" s="87">
        <f t="shared" si="211"/>
        <v>0</v>
      </c>
      <c r="AH295" s="87">
        <f t="shared" si="212"/>
        <v>0</v>
      </c>
      <c r="AI295" s="87">
        <f t="shared" si="213"/>
        <v>0</v>
      </c>
      <c r="AJ295" s="87">
        <f t="shared" si="214"/>
        <v>0</v>
      </c>
      <c r="AK295" s="87">
        <f t="shared" si="215"/>
        <v>0</v>
      </c>
      <c r="AL295" s="87">
        <f t="shared" si="216"/>
        <v>0</v>
      </c>
      <c r="AM295" s="87">
        <f t="shared" si="217"/>
        <v>0</v>
      </c>
      <c r="AN295" s="87">
        <f t="shared" si="218"/>
        <v>0</v>
      </c>
      <c r="AO295" s="87">
        <f t="shared" si="219"/>
        <v>0</v>
      </c>
      <c r="AP295" s="87">
        <f t="shared" si="220"/>
        <v>0</v>
      </c>
      <c r="AQ295" s="87">
        <f t="shared" si="221"/>
        <v>15</v>
      </c>
      <c r="AR295" s="81"/>
      <c r="AS295" s="85">
        <f t="shared" si="222"/>
        <v>0</v>
      </c>
      <c r="AT295" s="85">
        <f t="shared" si="223"/>
        <v>0</v>
      </c>
      <c r="AU295" s="85">
        <f t="shared" si="224"/>
        <v>0</v>
      </c>
      <c r="AV295" s="85">
        <f t="shared" si="225"/>
        <v>0</v>
      </c>
      <c r="AW295" s="85">
        <f t="shared" si="226"/>
        <v>0</v>
      </c>
      <c r="AX295" s="85">
        <f t="shared" si="227"/>
        <v>0</v>
      </c>
      <c r="AY295" s="85">
        <f t="shared" si="228"/>
        <v>0</v>
      </c>
      <c r="AZ295" s="85">
        <f t="shared" si="229"/>
        <v>0</v>
      </c>
      <c r="BA295" s="85">
        <f t="shared" si="230"/>
        <v>0</v>
      </c>
      <c r="BB295" s="85">
        <f t="shared" si="231"/>
        <v>0</v>
      </c>
      <c r="BC295" s="85">
        <f t="shared" si="232"/>
        <v>0</v>
      </c>
      <c r="BD295" s="85">
        <f t="shared" si="233"/>
        <v>0</v>
      </c>
      <c r="BE295" s="85">
        <f t="shared" si="234"/>
        <v>0</v>
      </c>
      <c r="BF295" s="85">
        <f t="shared" si="235"/>
        <v>0</v>
      </c>
      <c r="BG295" s="85">
        <f t="shared" si="236"/>
        <v>0</v>
      </c>
      <c r="BH295" s="85">
        <f t="shared" si="237"/>
        <v>0</v>
      </c>
      <c r="BI295" s="85">
        <f t="shared" si="238"/>
        <v>0</v>
      </c>
      <c r="BJ295" s="85">
        <f t="shared" si="239"/>
        <v>0</v>
      </c>
      <c r="BK295" s="85">
        <f t="shared" si="240"/>
        <v>0</v>
      </c>
      <c r="BL295" s="85">
        <f t="shared" si="241"/>
        <v>0</v>
      </c>
      <c r="BM295" s="85">
        <f t="shared" si="242"/>
        <v>0</v>
      </c>
      <c r="BN295" s="85">
        <f t="shared" si="243"/>
        <v>0</v>
      </c>
      <c r="BO295" s="85">
        <f t="shared" si="244"/>
        <v>0</v>
      </c>
      <c r="BP295" s="85">
        <f t="shared" si="245"/>
        <v>0</v>
      </c>
      <c r="BQ295" s="85">
        <f t="shared" si="246"/>
        <v>0</v>
      </c>
      <c r="BR295" s="85">
        <f t="shared" si="247"/>
        <v>0</v>
      </c>
      <c r="BT295" s="63"/>
      <c r="BU295" s="63"/>
      <c r="BV295" s="63"/>
      <c r="BW295" s="63"/>
      <c r="BX295" s="63"/>
      <c r="BY295" s="63"/>
      <c r="BZ295" s="63"/>
      <c r="CA295" s="63"/>
      <c r="CB295" s="63"/>
      <c r="CC295" s="63"/>
      <c r="CD295" s="63"/>
      <c r="CE295" s="63"/>
      <c r="CF295" s="63"/>
      <c r="CG295" s="63"/>
      <c r="CH295" s="63"/>
      <c r="CI295" s="63"/>
      <c r="CJ295" s="63"/>
      <c r="CK295" s="63"/>
      <c r="CL295" s="63"/>
      <c r="CM295" s="63"/>
      <c r="CN295" s="63"/>
      <c r="CO295" s="63"/>
      <c r="CP295" s="63"/>
      <c r="CQ295" s="63"/>
      <c r="CR295" s="63"/>
      <c r="CS295" s="63"/>
      <c r="CX295" s="35" t="s">
        <v>12</v>
      </c>
      <c r="CZ295" s="35"/>
      <c r="DC295" s="57" t="str">
        <f t="shared" si="248"/>
        <v/>
      </c>
      <c r="DD295" s="64" t="str">
        <f t="shared" si="249"/>
        <v/>
      </c>
      <c r="DE295" s="65" t="str">
        <f t="shared" si="250"/>
        <v/>
      </c>
      <c r="DF295" s="66" t="str">
        <f t="shared" si="251"/>
        <v/>
      </c>
    </row>
    <row r="296" spans="2:110" hidden="1" outlineLevel="1">
      <c r="B296" s="54">
        <f t="shared" si="252"/>
        <v>45124</v>
      </c>
      <c r="C296" s="55" t="s">
        <v>1</v>
      </c>
      <c r="D296" s="56">
        <f t="shared" si="253"/>
        <v>45130</v>
      </c>
      <c r="E296" s="52">
        <f t="shared" si="254"/>
        <v>7</v>
      </c>
      <c r="F296" s="53">
        <f t="shared" si="255"/>
        <v>2023</v>
      </c>
      <c r="G296" s="62">
        <f t="shared" si="256"/>
        <v>15</v>
      </c>
      <c r="H296" s="63">
        <f t="shared" si="257"/>
        <v>96</v>
      </c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>
        <v>15</v>
      </c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80"/>
      <c r="AG296" s="87">
        <f t="shared" si="211"/>
        <v>0</v>
      </c>
      <c r="AH296" s="87">
        <f t="shared" si="212"/>
        <v>0</v>
      </c>
      <c r="AI296" s="87">
        <f t="shared" si="213"/>
        <v>0</v>
      </c>
      <c r="AJ296" s="87">
        <f t="shared" si="214"/>
        <v>0</v>
      </c>
      <c r="AK296" s="87">
        <f t="shared" si="215"/>
        <v>0</v>
      </c>
      <c r="AL296" s="87">
        <f t="shared" si="216"/>
        <v>0</v>
      </c>
      <c r="AM296" s="87">
        <f t="shared" si="217"/>
        <v>0</v>
      </c>
      <c r="AN296" s="87">
        <f t="shared" si="218"/>
        <v>0</v>
      </c>
      <c r="AO296" s="87">
        <f t="shared" si="219"/>
        <v>0</v>
      </c>
      <c r="AP296" s="87">
        <f t="shared" si="220"/>
        <v>0</v>
      </c>
      <c r="AQ296" s="87">
        <f t="shared" si="221"/>
        <v>15</v>
      </c>
      <c r="AR296" s="81"/>
      <c r="AS296" s="85">
        <f t="shared" si="222"/>
        <v>0</v>
      </c>
      <c r="AT296" s="85">
        <f t="shared" si="223"/>
        <v>0</v>
      </c>
      <c r="AU296" s="85">
        <f t="shared" si="224"/>
        <v>0</v>
      </c>
      <c r="AV296" s="85">
        <f t="shared" si="225"/>
        <v>0</v>
      </c>
      <c r="AW296" s="85">
        <f t="shared" si="226"/>
        <v>0</v>
      </c>
      <c r="AX296" s="85">
        <f t="shared" si="227"/>
        <v>0</v>
      </c>
      <c r="AY296" s="85">
        <f t="shared" si="228"/>
        <v>0</v>
      </c>
      <c r="AZ296" s="85">
        <f t="shared" si="229"/>
        <v>0</v>
      </c>
      <c r="BA296" s="85">
        <f t="shared" si="230"/>
        <v>0</v>
      </c>
      <c r="BB296" s="85">
        <f t="shared" si="231"/>
        <v>0</v>
      </c>
      <c r="BC296" s="85">
        <f t="shared" si="232"/>
        <v>0</v>
      </c>
      <c r="BD296" s="85">
        <f t="shared" si="233"/>
        <v>0</v>
      </c>
      <c r="BE296" s="85">
        <f t="shared" si="234"/>
        <v>0</v>
      </c>
      <c r="BF296" s="85">
        <f t="shared" si="235"/>
        <v>0</v>
      </c>
      <c r="BG296" s="85">
        <f t="shared" si="236"/>
        <v>0</v>
      </c>
      <c r="BH296" s="85">
        <f t="shared" si="237"/>
        <v>0</v>
      </c>
      <c r="BI296" s="85">
        <f t="shared" si="238"/>
        <v>0</v>
      </c>
      <c r="BJ296" s="85">
        <f t="shared" si="239"/>
        <v>0</v>
      </c>
      <c r="BK296" s="85">
        <f t="shared" si="240"/>
        <v>0</v>
      </c>
      <c r="BL296" s="85">
        <f t="shared" si="241"/>
        <v>0</v>
      </c>
      <c r="BM296" s="85">
        <f t="shared" si="242"/>
        <v>0</v>
      </c>
      <c r="BN296" s="85">
        <f t="shared" si="243"/>
        <v>0</v>
      </c>
      <c r="BO296" s="85">
        <f t="shared" si="244"/>
        <v>0</v>
      </c>
      <c r="BP296" s="85">
        <f t="shared" si="245"/>
        <v>0</v>
      </c>
      <c r="BQ296" s="85">
        <f t="shared" si="246"/>
        <v>0</v>
      </c>
      <c r="BR296" s="85">
        <f t="shared" si="247"/>
        <v>0</v>
      </c>
      <c r="BT296" s="63"/>
      <c r="BU296" s="63"/>
      <c r="BV296" s="63"/>
      <c r="BW296" s="63"/>
      <c r="BX296" s="63"/>
      <c r="BY296" s="63"/>
      <c r="BZ296" s="63"/>
      <c r="CA296" s="63"/>
      <c r="CB296" s="63"/>
      <c r="CC296" s="63"/>
      <c r="CD296" s="63"/>
      <c r="CE296" s="63"/>
      <c r="CF296" s="63"/>
      <c r="CG296" s="63"/>
      <c r="CH296" s="63"/>
      <c r="CI296" s="63"/>
      <c r="CJ296" s="63"/>
      <c r="CK296" s="63"/>
      <c r="CL296" s="63"/>
      <c r="CM296" s="63"/>
      <c r="CN296" s="63"/>
      <c r="CO296" s="63"/>
      <c r="CP296" s="63"/>
      <c r="CQ296" s="63"/>
      <c r="CR296" s="63"/>
      <c r="CS296" s="63"/>
      <c r="CX296" s="35" t="s">
        <v>12</v>
      </c>
      <c r="CZ296" s="35"/>
      <c r="DC296" s="57" t="str">
        <f t="shared" si="248"/>
        <v/>
      </c>
      <c r="DD296" s="64" t="str">
        <f t="shared" si="249"/>
        <v/>
      </c>
      <c r="DE296" s="65" t="str">
        <f t="shared" si="250"/>
        <v/>
      </c>
      <c r="DF296" s="66" t="str">
        <f t="shared" si="251"/>
        <v/>
      </c>
    </row>
    <row r="297" spans="2:110" hidden="1" outlineLevel="1">
      <c r="B297" s="54">
        <f t="shared" si="252"/>
        <v>45131</v>
      </c>
      <c r="C297" s="55" t="s">
        <v>1</v>
      </c>
      <c r="D297" s="56">
        <f t="shared" si="253"/>
        <v>45137</v>
      </c>
      <c r="E297" s="52">
        <f t="shared" si="254"/>
        <v>7</v>
      </c>
      <c r="F297" s="53">
        <f t="shared" si="255"/>
        <v>2023</v>
      </c>
      <c r="G297" s="62">
        <f t="shared" si="256"/>
        <v>15</v>
      </c>
      <c r="H297" s="63">
        <f t="shared" si="257"/>
        <v>96</v>
      </c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>
        <v>15</v>
      </c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80"/>
      <c r="AG297" s="87">
        <f t="shared" si="211"/>
        <v>0</v>
      </c>
      <c r="AH297" s="87">
        <f t="shared" si="212"/>
        <v>0</v>
      </c>
      <c r="AI297" s="87">
        <f t="shared" si="213"/>
        <v>0</v>
      </c>
      <c r="AJ297" s="87">
        <f t="shared" si="214"/>
        <v>0</v>
      </c>
      <c r="AK297" s="87">
        <f t="shared" si="215"/>
        <v>0</v>
      </c>
      <c r="AL297" s="87">
        <f t="shared" si="216"/>
        <v>0</v>
      </c>
      <c r="AM297" s="87">
        <f t="shared" si="217"/>
        <v>0</v>
      </c>
      <c r="AN297" s="87">
        <f t="shared" si="218"/>
        <v>0</v>
      </c>
      <c r="AO297" s="87">
        <f t="shared" si="219"/>
        <v>0</v>
      </c>
      <c r="AP297" s="87">
        <f t="shared" si="220"/>
        <v>0</v>
      </c>
      <c r="AQ297" s="87">
        <f t="shared" si="221"/>
        <v>15</v>
      </c>
      <c r="AR297" s="81"/>
      <c r="AS297" s="85">
        <f t="shared" si="222"/>
        <v>0</v>
      </c>
      <c r="AT297" s="85">
        <f t="shared" si="223"/>
        <v>0</v>
      </c>
      <c r="AU297" s="85">
        <f t="shared" si="224"/>
        <v>0</v>
      </c>
      <c r="AV297" s="85">
        <f t="shared" si="225"/>
        <v>0</v>
      </c>
      <c r="AW297" s="85">
        <f t="shared" si="226"/>
        <v>0</v>
      </c>
      <c r="AX297" s="85">
        <f t="shared" si="227"/>
        <v>0</v>
      </c>
      <c r="AY297" s="85">
        <f t="shared" si="228"/>
        <v>0</v>
      </c>
      <c r="AZ297" s="85">
        <f t="shared" si="229"/>
        <v>0</v>
      </c>
      <c r="BA297" s="85">
        <f t="shared" si="230"/>
        <v>0</v>
      </c>
      <c r="BB297" s="85">
        <f t="shared" si="231"/>
        <v>0</v>
      </c>
      <c r="BC297" s="85">
        <f t="shared" si="232"/>
        <v>0</v>
      </c>
      <c r="BD297" s="85">
        <f t="shared" si="233"/>
        <v>0</v>
      </c>
      <c r="BE297" s="85">
        <f t="shared" si="234"/>
        <v>0</v>
      </c>
      <c r="BF297" s="85">
        <f t="shared" si="235"/>
        <v>0</v>
      </c>
      <c r="BG297" s="85">
        <f t="shared" si="236"/>
        <v>0</v>
      </c>
      <c r="BH297" s="85">
        <f t="shared" si="237"/>
        <v>0</v>
      </c>
      <c r="BI297" s="85">
        <f t="shared" si="238"/>
        <v>0</v>
      </c>
      <c r="BJ297" s="85">
        <f t="shared" si="239"/>
        <v>0</v>
      </c>
      <c r="BK297" s="85">
        <f t="shared" si="240"/>
        <v>0</v>
      </c>
      <c r="BL297" s="85">
        <f t="shared" si="241"/>
        <v>0</v>
      </c>
      <c r="BM297" s="85">
        <f t="shared" si="242"/>
        <v>0</v>
      </c>
      <c r="BN297" s="85">
        <f t="shared" si="243"/>
        <v>0</v>
      </c>
      <c r="BO297" s="85">
        <f t="shared" si="244"/>
        <v>0</v>
      </c>
      <c r="BP297" s="85">
        <f t="shared" si="245"/>
        <v>0</v>
      </c>
      <c r="BQ297" s="85">
        <f t="shared" si="246"/>
        <v>0</v>
      </c>
      <c r="BR297" s="85">
        <f t="shared" si="247"/>
        <v>0</v>
      </c>
      <c r="BT297" s="63"/>
      <c r="BU297" s="63"/>
      <c r="BV297" s="63"/>
      <c r="BW297" s="63"/>
      <c r="BX297" s="63"/>
      <c r="BY297" s="63"/>
      <c r="BZ297" s="63"/>
      <c r="CA297" s="63"/>
      <c r="CB297" s="63"/>
      <c r="CC297" s="63"/>
      <c r="CD297" s="63"/>
      <c r="CE297" s="63"/>
      <c r="CF297" s="63"/>
      <c r="CG297" s="63"/>
      <c r="CH297" s="63"/>
      <c r="CI297" s="63"/>
      <c r="CJ297" s="63"/>
      <c r="CK297" s="63"/>
      <c r="CL297" s="63"/>
      <c r="CM297" s="63"/>
      <c r="CN297" s="63"/>
      <c r="CO297" s="63"/>
      <c r="CP297" s="63"/>
      <c r="CQ297" s="63"/>
      <c r="CR297" s="63"/>
      <c r="CS297" s="63"/>
      <c r="CW297">
        <v>8</v>
      </c>
      <c r="CX297" s="35">
        <v>45131</v>
      </c>
      <c r="CZ297" s="35">
        <f>B314</f>
        <v>45250</v>
      </c>
      <c r="DC297" s="57" t="str">
        <f t="shared" si="248"/>
        <v/>
      </c>
      <c r="DD297" s="64" t="str">
        <f t="shared" si="249"/>
        <v/>
      </c>
      <c r="DE297" s="65" t="str">
        <f t="shared" si="250"/>
        <v/>
      </c>
      <c r="DF297" s="66" t="str">
        <f t="shared" si="251"/>
        <v/>
      </c>
    </row>
    <row r="298" spans="2:110" hidden="1" outlineLevel="1">
      <c r="B298" s="54">
        <f t="shared" si="252"/>
        <v>45138</v>
      </c>
      <c r="C298" s="55" t="s">
        <v>1</v>
      </c>
      <c r="D298" s="56">
        <f t="shared" si="253"/>
        <v>45144</v>
      </c>
      <c r="E298" s="52">
        <f t="shared" si="254"/>
        <v>7</v>
      </c>
      <c r="F298" s="53">
        <f t="shared" si="255"/>
        <v>2023</v>
      </c>
      <c r="G298" s="62">
        <f t="shared" si="256"/>
        <v>15</v>
      </c>
      <c r="H298" s="63">
        <f t="shared" si="257"/>
        <v>96</v>
      </c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>
        <v>15</v>
      </c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80"/>
      <c r="AG298" s="87">
        <f t="shared" si="211"/>
        <v>0</v>
      </c>
      <c r="AH298" s="87">
        <f t="shared" si="212"/>
        <v>0</v>
      </c>
      <c r="AI298" s="87">
        <f t="shared" si="213"/>
        <v>0</v>
      </c>
      <c r="AJ298" s="87">
        <f t="shared" si="214"/>
        <v>0</v>
      </c>
      <c r="AK298" s="87">
        <f t="shared" si="215"/>
        <v>0</v>
      </c>
      <c r="AL298" s="87">
        <f t="shared" si="216"/>
        <v>0</v>
      </c>
      <c r="AM298" s="87">
        <f t="shared" si="217"/>
        <v>0</v>
      </c>
      <c r="AN298" s="87">
        <f t="shared" si="218"/>
        <v>0</v>
      </c>
      <c r="AO298" s="87">
        <f t="shared" si="219"/>
        <v>0</v>
      </c>
      <c r="AP298" s="87">
        <f t="shared" si="220"/>
        <v>0</v>
      </c>
      <c r="AQ298" s="87">
        <f t="shared" si="221"/>
        <v>15</v>
      </c>
      <c r="AR298" s="81"/>
      <c r="AS298" s="85">
        <f t="shared" si="222"/>
        <v>0</v>
      </c>
      <c r="AT298" s="85">
        <f t="shared" si="223"/>
        <v>0</v>
      </c>
      <c r="AU298" s="85">
        <f t="shared" si="224"/>
        <v>0</v>
      </c>
      <c r="AV298" s="85">
        <f t="shared" si="225"/>
        <v>0</v>
      </c>
      <c r="AW298" s="85">
        <f t="shared" si="226"/>
        <v>0</v>
      </c>
      <c r="AX298" s="85">
        <f t="shared" si="227"/>
        <v>0</v>
      </c>
      <c r="AY298" s="85">
        <f t="shared" si="228"/>
        <v>0</v>
      </c>
      <c r="AZ298" s="85">
        <f t="shared" si="229"/>
        <v>0</v>
      </c>
      <c r="BA298" s="85">
        <f t="shared" si="230"/>
        <v>0</v>
      </c>
      <c r="BB298" s="85">
        <f t="shared" si="231"/>
        <v>0</v>
      </c>
      <c r="BC298" s="85">
        <f t="shared" si="232"/>
        <v>0</v>
      </c>
      <c r="BD298" s="85">
        <f t="shared" si="233"/>
        <v>0</v>
      </c>
      <c r="BE298" s="85">
        <f t="shared" si="234"/>
        <v>0</v>
      </c>
      <c r="BF298" s="85">
        <f t="shared" si="235"/>
        <v>0</v>
      </c>
      <c r="BG298" s="85">
        <f t="shared" si="236"/>
        <v>0</v>
      </c>
      <c r="BH298" s="85">
        <f t="shared" si="237"/>
        <v>0</v>
      </c>
      <c r="BI298" s="85">
        <f t="shared" si="238"/>
        <v>0</v>
      </c>
      <c r="BJ298" s="85">
        <f t="shared" si="239"/>
        <v>0</v>
      </c>
      <c r="BK298" s="85">
        <f t="shared" si="240"/>
        <v>0</v>
      </c>
      <c r="BL298" s="85">
        <f t="shared" si="241"/>
        <v>0</v>
      </c>
      <c r="BM298" s="85">
        <f t="shared" si="242"/>
        <v>0</v>
      </c>
      <c r="BN298" s="85">
        <f t="shared" si="243"/>
        <v>0</v>
      </c>
      <c r="BO298" s="85">
        <f t="shared" si="244"/>
        <v>0</v>
      </c>
      <c r="BP298" s="85">
        <f t="shared" si="245"/>
        <v>0</v>
      </c>
      <c r="BQ298" s="85">
        <f t="shared" si="246"/>
        <v>0</v>
      </c>
      <c r="BR298" s="85">
        <f t="shared" si="247"/>
        <v>0</v>
      </c>
      <c r="BT298" s="63"/>
      <c r="BU298" s="63"/>
      <c r="BV298" s="63"/>
      <c r="BW298" s="63"/>
      <c r="BX298" s="63"/>
      <c r="BY298" s="63"/>
      <c r="BZ298" s="63"/>
      <c r="CA298" s="63"/>
      <c r="CB298" s="63"/>
      <c r="CC298" s="63"/>
      <c r="CD298" s="63"/>
      <c r="CE298" s="63"/>
      <c r="CF298" s="63"/>
      <c r="CG298" s="63"/>
      <c r="CH298" s="63"/>
      <c r="CI298" s="63"/>
      <c r="CJ298" s="63"/>
      <c r="CK298" s="63"/>
      <c r="CL298" s="63"/>
      <c r="CM298" s="63"/>
      <c r="CN298" s="63"/>
      <c r="CO298" s="63"/>
      <c r="CP298" s="63"/>
      <c r="CQ298" s="63"/>
      <c r="CR298" s="63"/>
      <c r="CS298" s="63"/>
      <c r="CX298" s="35" t="s">
        <v>12</v>
      </c>
      <c r="CZ298" s="35"/>
      <c r="DC298" s="57" t="str">
        <f t="shared" si="248"/>
        <v/>
      </c>
      <c r="DD298" s="64" t="str">
        <f t="shared" si="249"/>
        <v/>
      </c>
      <c r="DE298" s="65" t="str">
        <f t="shared" si="250"/>
        <v/>
      </c>
      <c r="DF298" s="66" t="str">
        <f t="shared" si="251"/>
        <v/>
      </c>
    </row>
    <row r="299" spans="2:110" hidden="1" outlineLevel="1">
      <c r="B299" s="54">
        <f t="shared" si="252"/>
        <v>45145</v>
      </c>
      <c r="C299" s="55" t="s">
        <v>1</v>
      </c>
      <c r="D299" s="56">
        <f t="shared" si="253"/>
        <v>45151</v>
      </c>
      <c r="E299" s="52">
        <f t="shared" si="254"/>
        <v>8</v>
      </c>
      <c r="F299" s="53">
        <f t="shared" si="255"/>
        <v>2023</v>
      </c>
      <c r="G299" s="62">
        <f t="shared" si="256"/>
        <v>15</v>
      </c>
      <c r="H299" s="63">
        <f t="shared" si="257"/>
        <v>96</v>
      </c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>
        <v>15</v>
      </c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80"/>
      <c r="AG299" s="87">
        <f t="shared" si="211"/>
        <v>0</v>
      </c>
      <c r="AH299" s="87">
        <f t="shared" si="212"/>
        <v>0</v>
      </c>
      <c r="AI299" s="87">
        <f t="shared" si="213"/>
        <v>0</v>
      </c>
      <c r="AJ299" s="87">
        <f t="shared" si="214"/>
        <v>0</v>
      </c>
      <c r="AK299" s="87">
        <f t="shared" si="215"/>
        <v>0</v>
      </c>
      <c r="AL299" s="87">
        <f t="shared" si="216"/>
        <v>0</v>
      </c>
      <c r="AM299" s="87">
        <f t="shared" si="217"/>
        <v>0</v>
      </c>
      <c r="AN299" s="87">
        <f t="shared" si="218"/>
        <v>0</v>
      </c>
      <c r="AO299" s="87">
        <f t="shared" si="219"/>
        <v>0</v>
      </c>
      <c r="AP299" s="87">
        <f t="shared" si="220"/>
        <v>0</v>
      </c>
      <c r="AQ299" s="87">
        <f t="shared" si="221"/>
        <v>15</v>
      </c>
      <c r="AR299" s="81"/>
      <c r="AS299" s="85">
        <f t="shared" si="222"/>
        <v>0</v>
      </c>
      <c r="AT299" s="85">
        <f t="shared" si="223"/>
        <v>0</v>
      </c>
      <c r="AU299" s="85">
        <f t="shared" si="224"/>
        <v>0</v>
      </c>
      <c r="AV299" s="85">
        <f t="shared" si="225"/>
        <v>0</v>
      </c>
      <c r="AW299" s="85">
        <f t="shared" si="226"/>
        <v>0</v>
      </c>
      <c r="AX299" s="85">
        <f t="shared" si="227"/>
        <v>0</v>
      </c>
      <c r="AY299" s="85">
        <f t="shared" si="228"/>
        <v>0</v>
      </c>
      <c r="AZ299" s="85">
        <f t="shared" si="229"/>
        <v>0</v>
      </c>
      <c r="BA299" s="85">
        <f t="shared" si="230"/>
        <v>0</v>
      </c>
      <c r="BB299" s="85">
        <f t="shared" si="231"/>
        <v>0</v>
      </c>
      <c r="BC299" s="85">
        <f t="shared" si="232"/>
        <v>0</v>
      </c>
      <c r="BD299" s="85">
        <f t="shared" si="233"/>
        <v>0</v>
      </c>
      <c r="BE299" s="85">
        <f t="shared" si="234"/>
        <v>0</v>
      </c>
      <c r="BF299" s="85">
        <f t="shared" si="235"/>
        <v>0</v>
      </c>
      <c r="BG299" s="85">
        <f t="shared" si="236"/>
        <v>0</v>
      </c>
      <c r="BH299" s="85">
        <f t="shared" si="237"/>
        <v>0</v>
      </c>
      <c r="BI299" s="85">
        <f t="shared" si="238"/>
        <v>0</v>
      </c>
      <c r="BJ299" s="85">
        <f t="shared" si="239"/>
        <v>0</v>
      </c>
      <c r="BK299" s="85">
        <f t="shared" si="240"/>
        <v>0</v>
      </c>
      <c r="BL299" s="85">
        <f t="shared" si="241"/>
        <v>0</v>
      </c>
      <c r="BM299" s="85">
        <f t="shared" si="242"/>
        <v>0</v>
      </c>
      <c r="BN299" s="85">
        <f t="shared" si="243"/>
        <v>0</v>
      </c>
      <c r="BO299" s="85">
        <f t="shared" si="244"/>
        <v>0</v>
      </c>
      <c r="BP299" s="85">
        <f t="shared" si="245"/>
        <v>0</v>
      </c>
      <c r="BQ299" s="85">
        <f t="shared" si="246"/>
        <v>0</v>
      </c>
      <c r="BR299" s="85">
        <f t="shared" si="247"/>
        <v>0</v>
      </c>
      <c r="BT299" s="63"/>
      <c r="BU299" s="63"/>
      <c r="BV299" s="63"/>
      <c r="BW299" s="63"/>
      <c r="BX299" s="63"/>
      <c r="BY299" s="63"/>
      <c r="BZ299" s="63"/>
      <c r="CA299" s="63"/>
      <c r="CB299" s="63"/>
      <c r="CC299" s="63"/>
      <c r="CD299" s="63"/>
      <c r="CE299" s="63"/>
      <c r="CF299" s="63"/>
      <c r="CG299" s="63"/>
      <c r="CH299" s="63"/>
      <c r="CI299" s="63"/>
      <c r="CJ299" s="63"/>
      <c r="CK299" s="63"/>
      <c r="CL299" s="63"/>
      <c r="CM299" s="63"/>
      <c r="CN299" s="63"/>
      <c r="CO299" s="63"/>
      <c r="CP299" s="63"/>
      <c r="CQ299" s="63"/>
      <c r="CR299" s="63"/>
      <c r="CS299" s="63"/>
      <c r="CX299" s="35" t="s">
        <v>12</v>
      </c>
      <c r="CZ299" s="35"/>
      <c r="DC299" s="57" t="str">
        <f t="shared" si="248"/>
        <v/>
      </c>
      <c r="DD299" s="64" t="str">
        <f t="shared" si="249"/>
        <v/>
      </c>
      <c r="DE299" s="65" t="str">
        <f t="shared" si="250"/>
        <v/>
      </c>
      <c r="DF299" s="66" t="str">
        <f t="shared" si="251"/>
        <v/>
      </c>
    </row>
    <row r="300" spans="2:110" hidden="1" outlineLevel="1">
      <c r="B300" s="54">
        <f t="shared" si="252"/>
        <v>45152</v>
      </c>
      <c r="C300" s="55" t="s">
        <v>1</v>
      </c>
      <c r="D300" s="56">
        <f t="shared" si="253"/>
        <v>45158</v>
      </c>
      <c r="E300" s="52">
        <f t="shared" si="254"/>
        <v>8</v>
      </c>
      <c r="F300" s="53">
        <f t="shared" si="255"/>
        <v>2023</v>
      </c>
      <c r="G300" s="62">
        <f t="shared" si="256"/>
        <v>15</v>
      </c>
      <c r="H300" s="63">
        <f t="shared" si="257"/>
        <v>96</v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>
        <v>15</v>
      </c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80"/>
      <c r="AG300" s="87">
        <f t="shared" si="211"/>
        <v>0</v>
      </c>
      <c r="AH300" s="87">
        <f t="shared" si="212"/>
        <v>0</v>
      </c>
      <c r="AI300" s="87">
        <f t="shared" si="213"/>
        <v>0</v>
      </c>
      <c r="AJ300" s="87">
        <f t="shared" si="214"/>
        <v>0</v>
      </c>
      <c r="AK300" s="87">
        <f t="shared" si="215"/>
        <v>0</v>
      </c>
      <c r="AL300" s="87">
        <f t="shared" si="216"/>
        <v>0</v>
      </c>
      <c r="AM300" s="87">
        <f t="shared" si="217"/>
        <v>0</v>
      </c>
      <c r="AN300" s="87">
        <f t="shared" si="218"/>
        <v>0</v>
      </c>
      <c r="AO300" s="87">
        <f t="shared" si="219"/>
        <v>0</v>
      </c>
      <c r="AP300" s="87">
        <f t="shared" si="220"/>
        <v>0</v>
      </c>
      <c r="AQ300" s="87">
        <f t="shared" si="221"/>
        <v>15</v>
      </c>
      <c r="AR300" s="81"/>
      <c r="AS300" s="85">
        <f t="shared" si="222"/>
        <v>0</v>
      </c>
      <c r="AT300" s="85">
        <f t="shared" si="223"/>
        <v>0</v>
      </c>
      <c r="AU300" s="85">
        <f t="shared" si="224"/>
        <v>0</v>
      </c>
      <c r="AV300" s="85">
        <f t="shared" si="225"/>
        <v>0</v>
      </c>
      <c r="AW300" s="85">
        <f t="shared" si="226"/>
        <v>0</v>
      </c>
      <c r="AX300" s="85">
        <f t="shared" si="227"/>
        <v>0</v>
      </c>
      <c r="AY300" s="85">
        <f t="shared" si="228"/>
        <v>0</v>
      </c>
      <c r="AZ300" s="85">
        <f t="shared" si="229"/>
        <v>0</v>
      </c>
      <c r="BA300" s="85">
        <f t="shared" si="230"/>
        <v>0</v>
      </c>
      <c r="BB300" s="85">
        <f t="shared" si="231"/>
        <v>0</v>
      </c>
      <c r="BC300" s="85">
        <f t="shared" si="232"/>
        <v>0</v>
      </c>
      <c r="BD300" s="85">
        <f t="shared" si="233"/>
        <v>0</v>
      </c>
      <c r="BE300" s="85">
        <f t="shared" si="234"/>
        <v>0</v>
      </c>
      <c r="BF300" s="85">
        <f t="shared" si="235"/>
        <v>0</v>
      </c>
      <c r="BG300" s="85">
        <f t="shared" si="236"/>
        <v>0</v>
      </c>
      <c r="BH300" s="85">
        <f t="shared" si="237"/>
        <v>0</v>
      </c>
      <c r="BI300" s="85">
        <f t="shared" si="238"/>
        <v>0</v>
      </c>
      <c r="BJ300" s="85">
        <f t="shared" si="239"/>
        <v>0</v>
      </c>
      <c r="BK300" s="85">
        <f t="shared" si="240"/>
        <v>0</v>
      </c>
      <c r="BL300" s="85">
        <f t="shared" si="241"/>
        <v>0</v>
      </c>
      <c r="BM300" s="85">
        <f t="shared" si="242"/>
        <v>0</v>
      </c>
      <c r="BN300" s="85">
        <f t="shared" si="243"/>
        <v>0</v>
      </c>
      <c r="BO300" s="85">
        <f t="shared" si="244"/>
        <v>0</v>
      </c>
      <c r="BP300" s="85">
        <f t="shared" si="245"/>
        <v>0</v>
      </c>
      <c r="BQ300" s="85">
        <f t="shared" si="246"/>
        <v>0</v>
      </c>
      <c r="BR300" s="85">
        <f t="shared" si="247"/>
        <v>0</v>
      </c>
      <c r="BT300" s="63"/>
      <c r="BU300" s="63"/>
      <c r="BV300" s="63"/>
      <c r="BW300" s="63"/>
      <c r="BX300" s="63"/>
      <c r="BY300" s="63"/>
      <c r="BZ300" s="63"/>
      <c r="CA300" s="63"/>
      <c r="CB300" s="63"/>
      <c r="CC300" s="63"/>
      <c r="CD300" s="63"/>
      <c r="CE300" s="63"/>
      <c r="CF300" s="63"/>
      <c r="CG300" s="63"/>
      <c r="CH300" s="63"/>
      <c r="CI300" s="63"/>
      <c r="CJ300" s="63"/>
      <c r="CK300" s="63"/>
      <c r="CL300" s="63"/>
      <c r="CM300" s="63"/>
      <c r="CN300" s="63"/>
      <c r="CO300" s="63"/>
      <c r="CP300" s="63"/>
      <c r="CQ300" s="63"/>
      <c r="CR300" s="63"/>
      <c r="CS300" s="63"/>
      <c r="CX300" s="35" t="s">
        <v>12</v>
      </c>
      <c r="CZ300" s="35"/>
      <c r="DC300" s="57" t="str">
        <f t="shared" si="248"/>
        <v/>
      </c>
      <c r="DD300" s="64" t="str">
        <f t="shared" si="249"/>
        <v/>
      </c>
      <c r="DE300" s="65" t="str">
        <f t="shared" si="250"/>
        <v/>
      </c>
      <c r="DF300" s="66" t="str">
        <f t="shared" si="251"/>
        <v/>
      </c>
    </row>
    <row r="301" spans="2:110" hidden="1" outlineLevel="1">
      <c r="B301" s="54">
        <f t="shared" si="252"/>
        <v>45159</v>
      </c>
      <c r="C301" s="55" t="s">
        <v>1</v>
      </c>
      <c r="D301" s="56">
        <f t="shared" si="253"/>
        <v>45165</v>
      </c>
      <c r="E301" s="52">
        <f t="shared" si="254"/>
        <v>8</v>
      </c>
      <c r="F301" s="53">
        <f t="shared" si="255"/>
        <v>2023</v>
      </c>
      <c r="G301" s="62">
        <f t="shared" si="256"/>
        <v>15</v>
      </c>
      <c r="H301" s="63">
        <f t="shared" si="257"/>
        <v>96</v>
      </c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>
        <v>15</v>
      </c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80"/>
      <c r="AG301" s="87">
        <f t="shared" si="211"/>
        <v>0</v>
      </c>
      <c r="AH301" s="87">
        <f t="shared" si="212"/>
        <v>0</v>
      </c>
      <c r="AI301" s="87">
        <f t="shared" si="213"/>
        <v>0</v>
      </c>
      <c r="AJ301" s="87">
        <f t="shared" si="214"/>
        <v>0</v>
      </c>
      <c r="AK301" s="87">
        <f t="shared" si="215"/>
        <v>0</v>
      </c>
      <c r="AL301" s="87">
        <f t="shared" si="216"/>
        <v>0</v>
      </c>
      <c r="AM301" s="87">
        <f t="shared" si="217"/>
        <v>0</v>
      </c>
      <c r="AN301" s="87">
        <f t="shared" si="218"/>
        <v>0</v>
      </c>
      <c r="AO301" s="87">
        <f t="shared" si="219"/>
        <v>0</v>
      </c>
      <c r="AP301" s="87">
        <f t="shared" si="220"/>
        <v>0</v>
      </c>
      <c r="AQ301" s="87">
        <f t="shared" si="221"/>
        <v>15</v>
      </c>
      <c r="AR301" s="81"/>
      <c r="AS301" s="85">
        <f t="shared" si="222"/>
        <v>0</v>
      </c>
      <c r="AT301" s="85">
        <f t="shared" si="223"/>
        <v>0</v>
      </c>
      <c r="AU301" s="85">
        <f t="shared" si="224"/>
        <v>0</v>
      </c>
      <c r="AV301" s="85">
        <f t="shared" si="225"/>
        <v>0</v>
      </c>
      <c r="AW301" s="85">
        <f t="shared" si="226"/>
        <v>0</v>
      </c>
      <c r="AX301" s="85">
        <f t="shared" si="227"/>
        <v>0</v>
      </c>
      <c r="AY301" s="85">
        <f t="shared" si="228"/>
        <v>0</v>
      </c>
      <c r="AZ301" s="85">
        <f t="shared" si="229"/>
        <v>0</v>
      </c>
      <c r="BA301" s="85">
        <f t="shared" si="230"/>
        <v>0</v>
      </c>
      <c r="BB301" s="85">
        <f t="shared" si="231"/>
        <v>0</v>
      </c>
      <c r="BC301" s="85">
        <f t="shared" si="232"/>
        <v>0</v>
      </c>
      <c r="BD301" s="85">
        <f t="shared" si="233"/>
        <v>0</v>
      </c>
      <c r="BE301" s="85">
        <f t="shared" si="234"/>
        <v>0</v>
      </c>
      <c r="BF301" s="85">
        <f t="shared" si="235"/>
        <v>0</v>
      </c>
      <c r="BG301" s="85">
        <f t="shared" si="236"/>
        <v>0</v>
      </c>
      <c r="BH301" s="85">
        <f t="shared" si="237"/>
        <v>0</v>
      </c>
      <c r="BI301" s="85">
        <f t="shared" si="238"/>
        <v>0</v>
      </c>
      <c r="BJ301" s="85">
        <f t="shared" si="239"/>
        <v>0</v>
      </c>
      <c r="BK301" s="85">
        <f t="shared" si="240"/>
        <v>0</v>
      </c>
      <c r="BL301" s="85">
        <f t="shared" si="241"/>
        <v>0</v>
      </c>
      <c r="BM301" s="85">
        <f t="shared" si="242"/>
        <v>0</v>
      </c>
      <c r="BN301" s="85">
        <f t="shared" si="243"/>
        <v>0</v>
      </c>
      <c r="BO301" s="85">
        <f t="shared" si="244"/>
        <v>0</v>
      </c>
      <c r="BP301" s="85">
        <f t="shared" si="245"/>
        <v>0</v>
      </c>
      <c r="BQ301" s="85">
        <f t="shared" si="246"/>
        <v>0</v>
      </c>
      <c r="BR301" s="85">
        <f t="shared" si="247"/>
        <v>0</v>
      </c>
      <c r="BT301" s="63"/>
      <c r="BU301" s="63"/>
      <c r="BV301" s="63"/>
      <c r="BW301" s="63"/>
      <c r="BX301" s="63"/>
      <c r="BY301" s="63"/>
      <c r="BZ301" s="63"/>
      <c r="CA301" s="63"/>
      <c r="CB301" s="63"/>
      <c r="CC301" s="63"/>
      <c r="CD301" s="63"/>
      <c r="CE301" s="63"/>
      <c r="CF301" s="63"/>
      <c r="CG301" s="63"/>
      <c r="CH301" s="63"/>
      <c r="CI301" s="63"/>
      <c r="CJ301" s="63"/>
      <c r="CK301" s="63"/>
      <c r="CL301" s="63"/>
      <c r="CM301" s="63"/>
      <c r="CN301" s="63"/>
      <c r="CO301" s="63"/>
      <c r="CP301" s="63"/>
      <c r="CQ301" s="63"/>
      <c r="CR301" s="63"/>
      <c r="CS301" s="63"/>
      <c r="CX301" s="35" t="s">
        <v>12</v>
      </c>
      <c r="CZ301" s="35"/>
      <c r="DC301" s="57" t="str">
        <f t="shared" si="248"/>
        <v/>
      </c>
      <c r="DD301" s="64" t="str">
        <f t="shared" si="249"/>
        <v/>
      </c>
      <c r="DE301" s="65" t="str">
        <f t="shared" si="250"/>
        <v/>
      </c>
      <c r="DF301" s="66" t="str">
        <f t="shared" si="251"/>
        <v/>
      </c>
    </row>
    <row r="302" spans="2:110" hidden="1" outlineLevel="1">
      <c r="B302" s="54">
        <f t="shared" si="252"/>
        <v>45166</v>
      </c>
      <c r="C302" s="55" t="s">
        <v>1</v>
      </c>
      <c r="D302" s="56">
        <f t="shared" si="253"/>
        <v>45172</v>
      </c>
      <c r="E302" s="52">
        <f t="shared" si="254"/>
        <v>8</v>
      </c>
      <c r="F302" s="53">
        <f t="shared" si="255"/>
        <v>2023</v>
      </c>
      <c r="G302" s="62">
        <f t="shared" si="256"/>
        <v>15</v>
      </c>
      <c r="H302" s="63">
        <f t="shared" si="257"/>
        <v>96</v>
      </c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>
        <v>15</v>
      </c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80"/>
      <c r="AG302" s="87">
        <f t="shared" si="211"/>
        <v>0</v>
      </c>
      <c r="AH302" s="87">
        <f t="shared" si="212"/>
        <v>0</v>
      </c>
      <c r="AI302" s="87">
        <f t="shared" si="213"/>
        <v>0</v>
      </c>
      <c r="AJ302" s="87">
        <f t="shared" si="214"/>
        <v>0</v>
      </c>
      <c r="AK302" s="87">
        <f t="shared" si="215"/>
        <v>0</v>
      </c>
      <c r="AL302" s="87">
        <f t="shared" si="216"/>
        <v>0</v>
      </c>
      <c r="AM302" s="87">
        <f t="shared" si="217"/>
        <v>0</v>
      </c>
      <c r="AN302" s="87">
        <f t="shared" si="218"/>
        <v>0</v>
      </c>
      <c r="AO302" s="87">
        <f t="shared" si="219"/>
        <v>0</v>
      </c>
      <c r="AP302" s="87">
        <f t="shared" si="220"/>
        <v>0</v>
      </c>
      <c r="AQ302" s="87">
        <f t="shared" si="221"/>
        <v>15</v>
      </c>
      <c r="AR302" s="81"/>
      <c r="AS302" s="85">
        <f t="shared" si="222"/>
        <v>0</v>
      </c>
      <c r="AT302" s="85">
        <f t="shared" si="223"/>
        <v>0</v>
      </c>
      <c r="AU302" s="85">
        <f t="shared" si="224"/>
        <v>0</v>
      </c>
      <c r="AV302" s="85">
        <f t="shared" si="225"/>
        <v>0</v>
      </c>
      <c r="AW302" s="85">
        <f t="shared" si="226"/>
        <v>0</v>
      </c>
      <c r="AX302" s="85">
        <f t="shared" si="227"/>
        <v>0</v>
      </c>
      <c r="AY302" s="85">
        <f t="shared" si="228"/>
        <v>0</v>
      </c>
      <c r="AZ302" s="85">
        <f t="shared" si="229"/>
        <v>0</v>
      </c>
      <c r="BA302" s="85">
        <f t="shared" si="230"/>
        <v>0</v>
      </c>
      <c r="BB302" s="85">
        <f t="shared" si="231"/>
        <v>0</v>
      </c>
      <c r="BC302" s="85">
        <f t="shared" si="232"/>
        <v>0</v>
      </c>
      <c r="BD302" s="85">
        <f t="shared" si="233"/>
        <v>0</v>
      </c>
      <c r="BE302" s="85">
        <f t="shared" si="234"/>
        <v>0</v>
      </c>
      <c r="BF302" s="85">
        <f t="shared" si="235"/>
        <v>0</v>
      </c>
      <c r="BG302" s="85">
        <f t="shared" si="236"/>
        <v>0</v>
      </c>
      <c r="BH302" s="85">
        <f t="shared" si="237"/>
        <v>0</v>
      </c>
      <c r="BI302" s="85">
        <f t="shared" si="238"/>
        <v>0</v>
      </c>
      <c r="BJ302" s="85">
        <f t="shared" si="239"/>
        <v>0</v>
      </c>
      <c r="BK302" s="85">
        <f t="shared" si="240"/>
        <v>0</v>
      </c>
      <c r="BL302" s="85">
        <f t="shared" si="241"/>
        <v>0</v>
      </c>
      <c r="BM302" s="85">
        <f t="shared" si="242"/>
        <v>0</v>
      </c>
      <c r="BN302" s="85">
        <f t="shared" si="243"/>
        <v>0</v>
      </c>
      <c r="BO302" s="85">
        <f t="shared" si="244"/>
        <v>0</v>
      </c>
      <c r="BP302" s="85">
        <f t="shared" si="245"/>
        <v>0</v>
      </c>
      <c r="BQ302" s="85">
        <f t="shared" si="246"/>
        <v>0</v>
      </c>
      <c r="BR302" s="85">
        <f t="shared" si="247"/>
        <v>0</v>
      </c>
      <c r="BT302" s="63"/>
      <c r="BU302" s="63"/>
      <c r="BV302" s="63"/>
      <c r="BW302" s="63"/>
      <c r="BX302" s="63"/>
      <c r="BY302" s="63"/>
      <c r="BZ302" s="63"/>
      <c r="CA302" s="63"/>
      <c r="CB302" s="63"/>
      <c r="CC302" s="63"/>
      <c r="CD302" s="63"/>
      <c r="CE302" s="63"/>
      <c r="CF302" s="63"/>
      <c r="CG302" s="63"/>
      <c r="CH302" s="63"/>
      <c r="CI302" s="63"/>
      <c r="CJ302" s="63"/>
      <c r="CK302" s="63"/>
      <c r="CL302" s="63"/>
      <c r="CM302" s="63"/>
      <c r="CN302" s="63"/>
      <c r="CO302" s="63"/>
      <c r="CP302" s="63"/>
      <c r="CQ302" s="63"/>
      <c r="CR302" s="63"/>
      <c r="CS302" s="63"/>
      <c r="CX302" s="35" t="s">
        <v>12</v>
      </c>
      <c r="CZ302" s="35"/>
      <c r="DC302" s="57" t="str">
        <f t="shared" si="248"/>
        <v/>
      </c>
      <c r="DD302" s="64" t="str">
        <f t="shared" si="249"/>
        <v/>
      </c>
      <c r="DE302" s="65" t="str">
        <f t="shared" si="250"/>
        <v/>
      </c>
      <c r="DF302" s="66" t="str">
        <f t="shared" si="251"/>
        <v/>
      </c>
    </row>
    <row r="303" spans="2:110" hidden="1" outlineLevel="1">
      <c r="B303" s="54">
        <f t="shared" si="252"/>
        <v>45173</v>
      </c>
      <c r="C303" s="55" t="s">
        <v>1</v>
      </c>
      <c r="D303" s="56">
        <f t="shared" si="253"/>
        <v>45179</v>
      </c>
      <c r="E303" s="52">
        <f t="shared" si="254"/>
        <v>9</v>
      </c>
      <c r="F303" s="53">
        <f t="shared" si="255"/>
        <v>2023</v>
      </c>
      <c r="G303" s="62">
        <f t="shared" si="256"/>
        <v>15</v>
      </c>
      <c r="H303" s="63">
        <f t="shared" si="257"/>
        <v>96</v>
      </c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>
        <v>15</v>
      </c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80"/>
      <c r="AG303" s="87">
        <f t="shared" si="211"/>
        <v>0</v>
      </c>
      <c r="AH303" s="87">
        <f t="shared" si="212"/>
        <v>0</v>
      </c>
      <c r="AI303" s="87">
        <f t="shared" si="213"/>
        <v>0</v>
      </c>
      <c r="AJ303" s="87">
        <f t="shared" si="214"/>
        <v>0</v>
      </c>
      <c r="AK303" s="87">
        <f t="shared" si="215"/>
        <v>0</v>
      </c>
      <c r="AL303" s="87">
        <f t="shared" si="216"/>
        <v>0</v>
      </c>
      <c r="AM303" s="87">
        <f t="shared" si="217"/>
        <v>0</v>
      </c>
      <c r="AN303" s="87">
        <f t="shared" si="218"/>
        <v>0</v>
      </c>
      <c r="AO303" s="87">
        <f t="shared" si="219"/>
        <v>0</v>
      </c>
      <c r="AP303" s="87">
        <f t="shared" si="220"/>
        <v>0</v>
      </c>
      <c r="AQ303" s="87">
        <f t="shared" si="221"/>
        <v>15</v>
      </c>
      <c r="AR303" s="81"/>
      <c r="AS303" s="85">
        <f t="shared" si="222"/>
        <v>0</v>
      </c>
      <c r="AT303" s="85">
        <f t="shared" si="223"/>
        <v>0</v>
      </c>
      <c r="AU303" s="85">
        <f t="shared" si="224"/>
        <v>0</v>
      </c>
      <c r="AV303" s="85">
        <f t="shared" si="225"/>
        <v>0</v>
      </c>
      <c r="AW303" s="85">
        <f t="shared" si="226"/>
        <v>0</v>
      </c>
      <c r="AX303" s="85">
        <f t="shared" si="227"/>
        <v>0</v>
      </c>
      <c r="AY303" s="85">
        <f t="shared" si="228"/>
        <v>0</v>
      </c>
      <c r="AZ303" s="85">
        <f t="shared" si="229"/>
        <v>0</v>
      </c>
      <c r="BA303" s="85">
        <f t="shared" si="230"/>
        <v>0</v>
      </c>
      <c r="BB303" s="85">
        <f t="shared" si="231"/>
        <v>0</v>
      </c>
      <c r="BC303" s="85">
        <f t="shared" si="232"/>
        <v>0</v>
      </c>
      <c r="BD303" s="85">
        <f t="shared" si="233"/>
        <v>0</v>
      </c>
      <c r="BE303" s="85">
        <f t="shared" si="234"/>
        <v>0</v>
      </c>
      <c r="BF303" s="85">
        <f t="shared" si="235"/>
        <v>0</v>
      </c>
      <c r="BG303" s="85">
        <f t="shared" si="236"/>
        <v>0</v>
      </c>
      <c r="BH303" s="85">
        <f t="shared" si="237"/>
        <v>0</v>
      </c>
      <c r="BI303" s="85">
        <f t="shared" si="238"/>
        <v>0</v>
      </c>
      <c r="BJ303" s="85">
        <f t="shared" si="239"/>
        <v>0</v>
      </c>
      <c r="BK303" s="85">
        <f t="shared" si="240"/>
        <v>0</v>
      </c>
      <c r="BL303" s="85">
        <f t="shared" si="241"/>
        <v>0</v>
      </c>
      <c r="BM303" s="85">
        <f t="shared" si="242"/>
        <v>0</v>
      </c>
      <c r="BN303" s="85">
        <f t="shared" si="243"/>
        <v>0</v>
      </c>
      <c r="BO303" s="85">
        <f t="shared" si="244"/>
        <v>0</v>
      </c>
      <c r="BP303" s="85">
        <f t="shared" si="245"/>
        <v>0</v>
      </c>
      <c r="BQ303" s="85">
        <f t="shared" si="246"/>
        <v>0</v>
      </c>
      <c r="BR303" s="85">
        <f t="shared" si="247"/>
        <v>0</v>
      </c>
      <c r="BT303" s="63"/>
      <c r="BU303" s="63"/>
      <c r="BV303" s="63"/>
      <c r="BW303" s="63"/>
      <c r="BX303" s="63"/>
      <c r="BY303" s="63"/>
      <c r="BZ303" s="63"/>
      <c r="CA303" s="63"/>
      <c r="CB303" s="63"/>
      <c r="CC303" s="63"/>
      <c r="CD303" s="63"/>
      <c r="CE303" s="63"/>
      <c r="CF303" s="63"/>
      <c r="CG303" s="63"/>
      <c r="CH303" s="63"/>
      <c r="CI303" s="63"/>
      <c r="CJ303" s="63"/>
      <c r="CK303" s="63"/>
      <c r="CL303" s="63"/>
      <c r="CM303" s="63"/>
      <c r="CN303" s="63"/>
      <c r="CO303" s="63"/>
      <c r="CP303" s="63"/>
      <c r="CQ303" s="63"/>
      <c r="CR303" s="63"/>
      <c r="CS303" s="63"/>
      <c r="CX303" s="35" t="s">
        <v>12</v>
      </c>
      <c r="CZ303" s="35"/>
      <c r="DC303" s="57" t="str">
        <f t="shared" si="248"/>
        <v/>
      </c>
      <c r="DD303" s="64" t="str">
        <f t="shared" si="249"/>
        <v/>
      </c>
      <c r="DE303" s="65" t="str">
        <f t="shared" si="250"/>
        <v/>
      </c>
      <c r="DF303" s="66" t="str">
        <f t="shared" si="251"/>
        <v/>
      </c>
    </row>
    <row r="304" spans="2:110" hidden="1" outlineLevel="1">
      <c r="B304" s="54">
        <f t="shared" si="252"/>
        <v>45180</v>
      </c>
      <c r="C304" s="55" t="s">
        <v>1</v>
      </c>
      <c r="D304" s="56">
        <f t="shared" si="253"/>
        <v>45186</v>
      </c>
      <c r="E304" s="52">
        <f t="shared" si="254"/>
        <v>9</v>
      </c>
      <c r="F304" s="53">
        <f t="shared" si="255"/>
        <v>2023</v>
      </c>
      <c r="G304" s="62">
        <f t="shared" si="256"/>
        <v>15</v>
      </c>
      <c r="H304" s="63">
        <f t="shared" si="257"/>
        <v>96</v>
      </c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>
        <v>15</v>
      </c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80"/>
      <c r="AG304" s="87">
        <f t="shared" si="211"/>
        <v>0</v>
      </c>
      <c r="AH304" s="87">
        <f t="shared" si="212"/>
        <v>0</v>
      </c>
      <c r="AI304" s="87">
        <f t="shared" si="213"/>
        <v>0</v>
      </c>
      <c r="AJ304" s="87">
        <f t="shared" si="214"/>
        <v>0</v>
      </c>
      <c r="AK304" s="87">
        <f t="shared" si="215"/>
        <v>0</v>
      </c>
      <c r="AL304" s="87">
        <f t="shared" si="216"/>
        <v>0</v>
      </c>
      <c r="AM304" s="87">
        <f t="shared" si="217"/>
        <v>0</v>
      </c>
      <c r="AN304" s="87">
        <f t="shared" si="218"/>
        <v>0</v>
      </c>
      <c r="AO304" s="87">
        <f t="shared" si="219"/>
        <v>0</v>
      </c>
      <c r="AP304" s="87">
        <f t="shared" si="220"/>
        <v>0</v>
      </c>
      <c r="AQ304" s="87">
        <f t="shared" si="221"/>
        <v>15</v>
      </c>
      <c r="AR304" s="81"/>
      <c r="AS304" s="85">
        <f t="shared" si="222"/>
        <v>0</v>
      </c>
      <c r="AT304" s="85">
        <f t="shared" si="223"/>
        <v>0</v>
      </c>
      <c r="AU304" s="85">
        <f t="shared" si="224"/>
        <v>0</v>
      </c>
      <c r="AV304" s="85">
        <f t="shared" si="225"/>
        <v>0</v>
      </c>
      <c r="AW304" s="85">
        <f t="shared" si="226"/>
        <v>0</v>
      </c>
      <c r="AX304" s="85">
        <f t="shared" si="227"/>
        <v>0</v>
      </c>
      <c r="AY304" s="85">
        <f t="shared" si="228"/>
        <v>0</v>
      </c>
      <c r="AZ304" s="85">
        <f t="shared" si="229"/>
        <v>0</v>
      </c>
      <c r="BA304" s="85">
        <f t="shared" si="230"/>
        <v>0</v>
      </c>
      <c r="BB304" s="85">
        <f t="shared" si="231"/>
        <v>0</v>
      </c>
      <c r="BC304" s="85">
        <f t="shared" si="232"/>
        <v>0</v>
      </c>
      <c r="BD304" s="85">
        <f t="shared" si="233"/>
        <v>0</v>
      </c>
      <c r="BE304" s="85">
        <f t="shared" si="234"/>
        <v>0</v>
      </c>
      <c r="BF304" s="85">
        <f t="shared" si="235"/>
        <v>0</v>
      </c>
      <c r="BG304" s="85">
        <f t="shared" si="236"/>
        <v>0</v>
      </c>
      <c r="BH304" s="85">
        <f t="shared" si="237"/>
        <v>0</v>
      </c>
      <c r="BI304" s="85">
        <f t="shared" si="238"/>
        <v>0</v>
      </c>
      <c r="BJ304" s="85">
        <f t="shared" si="239"/>
        <v>0</v>
      </c>
      <c r="BK304" s="85">
        <f t="shared" si="240"/>
        <v>0</v>
      </c>
      <c r="BL304" s="85">
        <f t="shared" si="241"/>
        <v>0</v>
      </c>
      <c r="BM304" s="85">
        <f t="shared" si="242"/>
        <v>0</v>
      </c>
      <c r="BN304" s="85">
        <f t="shared" si="243"/>
        <v>0</v>
      </c>
      <c r="BO304" s="85">
        <f t="shared" si="244"/>
        <v>0</v>
      </c>
      <c r="BP304" s="85">
        <f t="shared" si="245"/>
        <v>0</v>
      </c>
      <c r="BQ304" s="85">
        <f t="shared" si="246"/>
        <v>0</v>
      </c>
      <c r="BR304" s="85">
        <f t="shared" si="247"/>
        <v>0</v>
      </c>
      <c r="BT304" s="63"/>
      <c r="BU304" s="63"/>
      <c r="BV304" s="63"/>
      <c r="BW304" s="63"/>
      <c r="BX304" s="63"/>
      <c r="BY304" s="63"/>
      <c r="BZ304" s="63"/>
      <c r="CA304" s="63"/>
      <c r="CB304" s="63"/>
      <c r="CC304" s="63"/>
      <c r="CD304" s="63"/>
      <c r="CE304" s="63"/>
      <c r="CF304" s="63"/>
      <c r="CG304" s="63"/>
      <c r="CH304" s="63"/>
      <c r="CI304" s="63"/>
      <c r="CJ304" s="63"/>
      <c r="CK304" s="63"/>
      <c r="CL304" s="63"/>
      <c r="CM304" s="63"/>
      <c r="CN304" s="63"/>
      <c r="CO304" s="63"/>
      <c r="CP304" s="63"/>
      <c r="CQ304" s="63"/>
      <c r="CR304" s="63"/>
      <c r="CS304" s="63"/>
      <c r="CX304" s="35" t="s">
        <v>12</v>
      </c>
      <c r="CZ304" s="35"/>
      <c r="DC304" s="57" t="str">
        <f t="shared" si="248"/>
        <v/>
      </c>
      <c r="DD304" s="64" t="str">
        <f t="shared" si="249"/>
        <v/>
      </c>
      <c r="DE304" s="65" t="str">
        <f t="shared" si="250"/>
        <v/>
      </c>
      <c r="DF304" s="66" t="str">
        <f t="shared" si="251"/>
        <v/>
      </c>
    </row>
    <row r="305" spans="2:110" hidden="1" outlineLevel="1">
      <c r="B305" s="54">
        <f t="shared" si="252"/>
        <v>45187</v>
      </c>
      <c r="C305" s="55" t="s">
        <v>1</v>
      </c>
      <c r="D305" s="56">
        <f t="shared" si="253"/>
        <v>45193</v>
      </c>
      <c r="E305" s="52">
        <f t="shared" si="254"/>
        <v>9</v>
      </c>
      <c r="F305" s="53">
        <f t="shared" si="255"/>
        <v>2023</v>
      </c>
      <c r="G305" s="62">
        <f t="shared" si="256"/>
        <v>15</v>
      </c>
      <c r="H305" s="63">
        <f t="shared" si="257"/>
        <v>96</v>
      </c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>
        <v>15</v>
      </c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80"/>
      <c r="AG305" s="87">
        <f t="shared" si="211"/>
        <v>0</v>
      </c>
      <c r="AH305" s="87">
        <f t="shared" si="212"/>
        <v>0</v>
      </c>
      <c r="AI305" s="87">
        <f t="shared" si="213"/>
        <v>0</v>
      </c>
      <c r="AJ305" s="87">
        <f t="shared" si="214"/>
        <v>0</v>
      </c>
      <c r="AK305" s="87">
        <f t="shared" si="215"/>
        <v>0</v>
      </c>
      <c r="AL305" s="87">
        <f t="shared" si="216"/>
        <v>0</v>
      </c>
      <c r="AM305" s="87">
        <f t="shared" si="217"/>
        <v>0</v>
      </c>
      <c r="AN305" s="87">
        <f t="shared" si="218"/>
        <v>0</v>
      </c>
      <c r="AO305" s="87">
        <f t="shared" si="219"/>
        <v>0</v>
      </c>
      <c r="AP305" s="87">
        <f t="shared" si="220"/>
        <v>0</v>
      </c>
      <c r="AQ305" s="87">
        <f t="shared" si="221"/>
        <v>15</v>
      </c>
      <c r="AR305" s="81"/>
      <c r="AS305" s="85">
        <f t="shared" si="222"/>
        <v>0</v>
      </c>
      <c r="AT305" s="85">
        <f t="shared" si="223"/>
        <v>0</v>
      </c>
      <c r="AU305" s="85">
        <f t="shared" si="224"/>
        <v>0</v>
      </c>
      <c r="AV305" s="85">
        <f t="shared" si="225"/>
        <v>0</v>
      </c>
      <c r="AW305" s="85">
        <f t="shared" si="226"/>
        <v>0</v>
      </c>
      <c r="AX305" s="85">
        <f t="shared" si="227"/>
        <v>0</v>
      </c>
      <c r="AY305" s="85">
        <f t="shared" si="228"/>
        <v>0</v>
      </c>
      <c r="AZ305" s="85">
        <f t="shared" si="229"/>
        <v>0</v>
      </c>
      <c r="BA305" s="85">
        <f t="shared" si="230"/>
        <v>0</v>
      </c>
      <c r="BB305" s="85">
        <f t="shared" si="231"/>
        <v>0</v>
      </c>
      <c r="BC305" s="85">
        <f t="shared" si="232"/>
        <v>0</v>
      </c>
      <c r="BD305" s="85">
        <f t="shared" si="233"/>
        <v>0</v>
      </c>
      <c r="BE305" s="85">
        <f t="shared" si="234"/>
        <v>0</v>
      </c>
      <c r="BF305" s="85">
        <f t="shared" si="235"/>
        <v>0</v>
      </c>
      <c r="BG305" s="85">
        <f t="shared" si="236"/>
        <v>0</v>
      </c>
      <c r="BH305" s="85">
        <f t="shared" si="237"/>
        <v>0</v>
      </c>
      <c r="BI305" s="85">
        <f t="shared" si="238"/>
        <v>0</v>
      </c>
      <c r="BJ305" s="85">
        <f t="shared" si="239"/>
        <v>0</v>
      </c>
      <c r="BK305" s="85">
        <f t="shared" si="240"/>
        <v>0</v>
      </c>
      <c r="BL305" s="85">
        <f t="shared" si="241"/>
        <v>0</v>
      </c>
      <c r="BM305" s="85">
        <f t="shared" si="242"/>
        <v>0</v>
      </c>
      <c r="BN305" s="85">
        <f t="shared" si="243"/>
        <v>0</v>
      </c>
      <c r="BO305" s="85">
        <f t="shared" si="244"/>
        <v>0</v>
      </c>
      <c r="BP305" s="85">
        <f t="shared" si="245"/>
        <v>0</v>
      </c>
      <c r="BQ305" s="85">
        <f t="shared" si="246"/>
        <v>0</v>
      </c>
      <c r="BR305" s="85">
        <f t="shared" si="247"/>
        <v>0</v>
      </c>
      <c r="BT305" s="63"/>
      <c r="BU305" s="63"/>
      <c r="BV305" s="63"/>
      <c r="BW305" s="63"/>
      <c r="BX305" s="63"/>
      <c r="BY305" s="63"/>
      <c r="BZ305" s="63"/>
      <c r="CA305" s="63"/>
      <c r="CB305" s="63"/>
      <c r="CC305" s="63"/>
      <c r="CD305" s="63"/>
      <c r="CE305" s="63"/>
      <c r="CF305" s="63"/>
      <c r="CG305" s="63"/>
      <c r="CH305" s="63"/>
      <c r="CI305" s="63"/>
      <c r="CJ305" s="63"/>
      <c r="CK305" s="63"/>
      <c r="CL305" s="63"/>
      <c r="CM305" s="63"/>
      <c r="CN305" s="63"/>
      <c r="CO305" s="63"/>
      <c r="CP305" s="63"/>
      <c r="CQ305" s="63"/>
      <c r="CR305" s="63"/>
      <c r="CS305" s="63"/>
      <c r="CX305" s="35" t="s">
        <v>12</v>
      </c>
      <c r="CZ305" s="35"/>
      <c r="DC305" s="57" t="str">
        <f t="shared" si="248"/>
        <v/>
      </c>
      <c r="DD305" s="64" t="str">
        <f t="shared" si="249"/>
        <v/>
      </c>
      <c r="DE305" s="65" t="str">
        <f t="shared" si="250"/>
        <v/>
      </c>
      <c r="DF305" s="66" t="str">
        <f t="shared" si="251"/>
        <v/>
      </c>
    </row>
    <row r="306" spans="2:110" hidden="1" outlineLevel="1">
      <c r="B306" s="54">
        <f t="shared" si="252"/>
        <v>45194</v>
      </c>
      <c r="C306" s="55" t="s">
        <v>1</v>
      </c>
      <c r="D306" s="56">
        <f t="shared" si="253"/>
        <v>45200</v>
      </c>
      <c r="E306" s="52">
        <f t="shared" si="254"/>
        <v>9</v>
      </c>
      <c r="F306" s="53">
        <f t="shared" si="255"/>
        <v>2023</v>
      </c>
      <c r="G306" s="62">
        <f t="shared" si="256"/>
        <v>15</v>
      </c>
      <c r="H306" s="63">
        <f t="shared" si="257"/>
        <v>96</v>
      </c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>
        <v>15</v>
      </c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80"/>
      <c r="AG306" s="87">
        <f t="shared" si="211"/>
        <v>0</v>
      </c>
      <c r="AH306" s="87">
        <f t="shared" si="212"/>
        <v>0</v>
      </c>
      <c r="AI306" s="87">
        <f t="shared" si="213"/>
        <v>0</v>
      </c>
      <c r="AJ306" s="87">
        <f t="shared" si="214"/>
        <v>0</v>
      </c>
      <c r="AK306" s="87">
        <f t="shared" si="215"/>
        <v>0</v>
      </c>
      <c r="AL306" s="87">
        <f t="shared" si="216"/>
        <v>0</v>
      </c>
      <c r="AM306" s="87">
        <f t="shared" si="217"/>
        <v>0</v>
      </c>
      <c r="AN306" s="87">
        <f t="shared" si="218"/>
        <v>0</v>
      </c>
      <c r="AO306" s="87">
        <f t="shared" si="219"/>
        <v>0</v>
      </c>
      <c r="AP306" s="87">
        <f t="shared" si="220"/>
        <v>0</v>
      </c>
      <c r="AQ306" s="87">
        <f t="shared" si="221"/>
        <v>15</v>
      </c>
      <c r="AR306" s="81"/>
      <c r="AS306" s="85">
        <f t="shared" si="222"/>
        <v>0</v>
      </c>
      <c r="AT306" s="85">
        <f t="shared" si="223"/>
        <v>0</v>
      </c>
      <c r="AU306" s="85">
        <f t="shared" si="224"/>
        <v>0</v>
      </c>
      <c r="AV306" s="85">
        <f t="shared" si="225"/>
        <v>0</v>
      </c>
      <c r="AW306" s="85">
        <f t="shared" si="226"/>
        <v>0</v>
      </c>
      <c r="AX306" s="85">
        <f t="shared" si="227"/>
        <v>0</v>
      </c>
      <c r="AY306" s="85">
        <f t="shared" si="228"/>
        <v>0</v>
      </c>
      <c r="AZ306" s="85">
        <f t="shared" si="229"/>
        <v>0</v>
      </c>
      <c r="BA306" s="85">
        <f t="shared" si="230"/>
        <v>0</v>
      </c>
      <c r="BB306" s="85">
        <f t="shared" si="231"/>
        <v>0</v>
      </c>
      <c r="BC306" s="85">
        <f t="shared" si="232"/>
        <v>0</v>
      </c>
      <c r="BD306" s="85">
        <f t="shared" si="233"/>
        <v>0</v>
      </c>
      <c r="BE306" s="85">
        <f t="shared" si="234"/>
        <v>0</v>
      </c>
      <c r="BF306" s="85">
        <f t="shared" si="235"/>
        <v>0</v>
      </c>
      <c r="BG306" s="85">
        <f t="shared" si="236"/>
        <v>0</v>
      </c>
      <c r="BH306" s="85">
        <f t="shared" si="237"/>
        <v>0</v>
      </c>
      <c r="BI306" s="85">
        <f t="shared" si="238"/>
        <v>0</v>
      </c>
      <c r="BJ306" s="85">
        <f t="shared" si="239"/>
        <v>0</v>
      </c>
      <c r="BK306" s="85">
        <f t="shared" si="240"/>
        <v>0</v>
      </c>
      <c r="BL306" s="85">
        <f t="shared" si="241"/>
        <v>0</v>
      </c>
      <c r="BM306" s="85">
        <f t="shared" si="242"/>
        <v>0</v>
      </c>
      <c r="BN306" s="85">
        <f t="shared" si="243"/>
        <v>0</v>
      </c>
      <c r="BO306" s="85">
        <f t="shared" si="244"/>
        <v>0</v>
      </c>
      <c r="BP306" s="85">
        <f t="shared" si="245"/>
        <v>0</v>
      </c>
      <c r="BQ306" s="85">
        <f t="shared" si="246"/>
        <v>0</v>
      </c>
      <c r="BR306" s="85">
        <f t="shared" si="247"/>
        <v>0</v>
      </c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63"/>
      <c r="CH306" s="63"/>
      <c r="CI306" s="63"/>
      <c r="CJ306" s="63"/>
      <c r="CK306" s="63"/>
      <c r="CL306" s="63"/>
      <c r="CM306" s="63"/>
      <c r="CN306" s="63"/>
      <c r="CO306" s="63"/>
      <c r="CP306" s="63"/>
      <c r="CQ306" s="63"/>
      <c r="CR306" s="63"/>
      <c r="CS306" s="63"/>
      <c r="CX306" s="35" t="s">
        <v>12</v>
      </c>
      <c r="CZ306" s="35"/>
      <c r="DC306" s="57" t="str">
        <f t="shared" si="248"/>
        <v/>
      </c>
      <c r="DD306" s="64" t="str">
        <f t="shared" si="249"/>
        <v/>
      </c>
      <c r="DE306" s="65" t="str">
        <f t="shared" si="250"/>
        <v/>
      </c>
      <c r="DF306" s="66" t="str">
        <f t="shared" si="251"/>
        <v/>
      </c>
    </row>
    <row r="307" spans="2:110" hidden="1" outlineLevel="1">
      <c r="B307" s="54">
        <f t="shared" si="252"/>
        <v>45201</v>
      </c>
      <c r="C307" s="55" t="s">
        <v>1</v>
      </c>
      <c r="D307" s="56">
        <f t="shared" si="253"/>
        <v>45207</v>
      </c>
      <c r="E307" s="52">
        <f t="shared" si="254"/>
        <v>10</v>
      </c>
      <c r="F307" s="53">
        <f t="shared" si="255"/>
        <v>2023</v>
      </c>
      <c r="G307" s="62">
        <f t="shared" si="256"/>
        <v>15</v>
      </c>
      <c r="H307" s="63">
        <f t="shared" si="257"/>
        <v>96</v>
      </c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>
        <v>15</v>
      </c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80"/>
      <c r="AG307" s="87">
        <f t="shared" si="211"/>
        <v>0</v>
      </c>
      <c r="AH307" s="87">
        <f t="shared" si="212"/>
        <v>0</v>
      </c>
      <c r="AI307" s="87">
        <f t="shared" si="213"/>
        <v>0</v>
      </c>
      <c r="AJ307" s="87">
        <f t="shared" si="214"/>
        <v>0</v>
      </c>
      <c r="AK307" s="87">
        <f t="shared" si="215"/>
        <v>0</v>
      </c>
      <c r="AL307" s="87">
        <f t="shared" si="216"/>
        <v>0</v>
      </c>
      <c r="AM307" s="87">
        <f t="shared" si="217"/>
        <v>0</v>
      </c>
      <c r="AN307" s="87">
        <f t="shared" si="218"/>
        <v>0</v>
      </c>
      <c r="AO307" s="87">
        <f t="shared" si="219"/>
        <v>0</v>
      </c>
      <c r="AP307" s="87">
        <f t="shared" si="220"/>
        <v>0</v>
      </c>
      <c r="AQ307" s="87">
        <f t="shared" si="221"/>
        <v>15</v>
      </c>
      <c r="AR307" s="81"/>
      <c r="AS307" s="85">
        <f t="shared" si="222"/>
        <v>0</v>
      </c>
      <c r="AT307" s="85">
        <f t="shared" si="223"/>
        <v>0</v>
      </c>
      <c r="AU307" s="85">
        <f t="shared" si="224"/>
        <v>0</v>
      </c>
      <c r="AV307" s="85">
        <f t="shared" si="225"/>
        <v>0</v>
      </c>
      <c r="AW307" s="85">
        <f t="shared" si="226"/>
        <v>0</v>
      </c>
      <c r="AX307" s="85">
        <f t="shared" si="227"/>
        <v>0</v>
      </c>
      <c r="AY307" s="85">
        <f t="shared" si="228"/>
        <v>0</v>
      </c>
      <c r="AZ307" s="85">
        <f t="shared" si="229"/>
        <v>0</v>
      </c>
      <c r="BA307" s="85">
        <f t="shared" si="230"/>
        <v>0</v>
      </c>
      <c r="BB307" s="85">
        <f t="shared" si="231"/>
        <v>0</v>
      </c>
      <c r="BC307" s="85">
        <f t="shared" si="232"/>
        <v>0</v>
      </c>
      <c r="BD307" s="85">
        <f t="shared" si="233"/>
        <v>0</v>
      </c>
      <c r="BE307" s="85">
        <f t="shared" si="234"/>
        <v>0</v>
      </c>
      <c r="BF307" s="85">
        <f t="shared" si="235"/>
        <v>0</v>
      </c>
      <c r="BG307" s="85">
        <f t="shared" si="236"/>
        <v>0</v>
      </c>
      <c r="BH307" s="85">
        <f t="shared" si="237"/>
        <v>0</v>
      </c>
      <c r="BI307" s="85">
        <f t="shared" si="238"/>
        <v>0</v>
      </c>
      <c r="BJ307" s="85">
        <f t="shared" si="239"/>
        <v>0</v>
      </c>
      <c r="BK307" s="85">
        <f t="shared" si="240"/>
        <v>0</v>
      </c>
      <c r="BL307" s="85">
        <f t="shared" si="241"/>
        <v>0</v>
      </c>
      <c r="BM307" s="85">
        <f t="shared" si="242"/>
        <v>0</v>
      </c>
      <c r="BN307" s="85">
        <f t="shared" si="243"/>
        <v>0</v>
      </c>
      <c r="BO307" s="85">
        <f t="shared" si="244"/>
        <v>0</v>
      </c>
      <c r="BP307" s="85">
        <f t="shared" si="245"/>
        <v>0</v>
      </c>
      <c r="BQ307" s="85">
        <f t="shared" si="246"/>
        <v>0</v>
      </c>
      <c r="BR307" s="85">
        <f t="shared" si="247"/>
        <v>0</v>
      </c>
      <c r="BT307" s="63"/>
      <c r="BU307" s="63"/>
      <c r="BV307" s="63"/>
      <c r="BW307" s="63"/>
      <c r="BX307" s="63"/>
      <c r="BY307" s="63"/>
      <c r="BZ307" s="63"/>
      <c r="CA307" s="63"/>
      <c r="CB307" s="63"/>
      <c r="CC307" s="63"/>
      <c r="CD307" s="63"/>
      <c r="CE307" s="63"/>
      <c r="CF307" s="63"/>
      <c r="CG307" s="63"/>
      <c r="CH307" s="63"/>
      <c r="CI307" s="63"/>
      <c r="CJ307" s="63"/>
      <c r="CK307" s="63"/>
      <c r="CL307" s="63"/>
      <c r="CM307" s="63"/>
      <c r="CN307" s="63"/>
      <c r="CO307" s="63"/>
      <c r="CP307" s="63"/>
      <c r="CQ307" s="63"/>
      <c r="CR307" s="63"/>
      <c r="CS307" s="63"/>
      <c r="CX307" s="35" t="s">
        <v>12</v>
      </c>
      <c r="CZ307" s="35"/>
      <c r="DC307" s="57" t="str">
        <f t="shared" si="248"/>
        <v/>
      </c>
      <c r="DD307" s="64" t="str">
        <f t="shared" si="249"/>
        <v/>
      </c>
      <c r="DE307" s="65" t="str">
        <f t="shared" si="250"/>
        <v/>
      </c>
      <c r="DF307" s="66" t="str">
        <f t="shared" si="251"/>
        <v/>
      </c>
    </row>
    <row r="308" spans="2:110" hidden="1" outlineLevel="1">
      <c r="B308" s="54">
        <f t="shared" si="252"/>
        <v>45208</v>
      </c>
      <c r="C308" s="55" t="s">
        <v>1</v>
      </c>
      <c r="D308" s="56">
        <f t="shared" si="253"/>
        <v>45214</v>
      </c>
      <c r="E308" s="52">
        <f t="shared" si="254"/>
        <v>10</v>
      </c>
      <c r="F308" s="53">
        <f t="shared" si="255"/>
        <v>2023</v>
      </c>
      <c r="G308" s="62">
        <f t="shared" si="256"/>
        <v>15</v>
      </c>
      <c r="H308" s="63">
        <f t="shared" si="257"/>
        <v>96</v>
      </c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>
        <v>15</v>
      </c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80"/>
      <c r="AG308" s="87">
        <f t="shared" si="211"/>
        <v>0</v>
      </c>
      <c r="AH308" s="87">
        <f t="shared" si="212"/>
        <v>0</v>
      </c>
      <c r="AI308" s="87">
        <f t="shared" si="213"/>
        <v>0</v>
      </c>
      <c r="AJ308" s="87">
        <f t="shared" si="214"/>
        <v>0</v>
      </c>
      <c r="AK308" s="87">
        <f t="shared" si="215"/>
        <v>0</v>
      </c>
      <c r="AL308" s="87">
        <f t="shared" si="216"/>
        <v>0</v>
      </c>
      <c r="AM308" s="87">
        <f t="shared" si="217"/>
        <v>0</v>
      </c>
      <c r="AN308" s="87">
        <f t="shared" si="218"/>
        <v>0</v>
      </c>
      <c r="AO308" s="87">
        <f t="shared" si="219"/>
        <v>0</v>
      </c>
      <c r="AP308" s="87">
        <f t="shared" si="220"/>
        <v>0</v>
      </c>
      <c r="AQ308" s="87">
        <f t="shared" si="221"/>
        <v>15</v>
      </c>
      <c r="AR308" s="81"/>
      <c r="AS308" s="85">
        <f t="shared" si="222"/>
        <v>0</v>
      </c>
      <c r="AT308" s="85">
        <f t="shared" si="223"/>
        <v>0</v>
      </c>
      <c r="AU308" s="85">
        <f t="shared" si="224"/>
        <v>0</v>
      </c>
      <c r="AV308" s="85">
        <f t="shared" si="225"/>
        <v>0</v>
      </c>
      <c r="AW308" s="85">
        <f t="shared" si="226"/>
        <v>0</v>
      </c>
      <c r="AX308" s="85">
        <f t="shared" si="227"/>
        <v>0</v>
      </c>
      <c r="AY308" s="85">
        <f t="shared" si="228"/>
        <v>0</v>
      </c>
      <c r="AZ308" s="85">
        <f t="shared" si="229"/>
        <v>0</v>
      </c>
      <c r="BA308" s="85">
        <f t="shared" si="230"/>
        <v>0</v>
      </c>
      <c r="BB308" s="85">
        <f t="shared" si="231"/>
        <v>0</v>
      </c>
      <c r="BC308" s="85">
        <f t="shared" si="232"/>
        <v>0</v>
      </c>
      <c r="BD308" s="85">
        <f t="shared" si="233"/>
        <v>0</v>
      </c>
      <c r="BE308" s="85">
        <f t="shared" si="234"/>
        <v>0</v>
      </c>
      <c r="BF308" s="85">
        <f t="shared" si="235"/>
        <v>0</v>
      </c>
      <c r="BG308" s="85">
        <f t="shared" si="236"/>
        <v>0</v>
      </c>
      <c r="BH308" s="85">
        <f t="shared" si="237"/>
        <v>0</v>
      </c>
      <c r="BI308" s="85">
        <f t="shared" si="238"/>
        <v>0</v>
      </c>
      <c r="BJ308" s="85">
        <f t="shared" si="239"/>
        <v>0</v>
      </c>
      <c r="BK308" s="85">
        <f t="shared" si="240"/>
        <v>0</v>
      </c>
      <c r="BL308" s="85">
        <f t="shared" si="241"/>
        <v>0</v>
      </c>
      <c r="BM308" s="85">
        <f t="shared" si="242"/>
        <v>0</v>
      </c>
      <c r="BN308" s="85">
        <f t="shared" si="243"/>
        <v>0</v>
      </c>
      <c r="BO308" s="85">
        <f t="shared" si="244"/>
        <v>0</v>
      </c>
      <c r="BP308" s="85">
        <f t="shared" si="245"/>
        <v>0</v>
      </c>
      <c r="BQ308" s="85">
        <f t="shared" si="246"/>
        <v>0</v>
      </c>
      <c r="BR308" s="85">
        <f t="shared" si="247"/>
        <v>0</v>
      </c>
      <c r="BT308" s="63"/>
      <c r="BU308" s="63"/>
      <c r="BV308" s="63"/>
      <c r="BW308" s="63"/>
      <c r="BX308" s="63"/>
      <c r="BY308" s="63"/>
      <c r="BZ308" s="63"/>
      <c r="CA308" s="63"/>
      <c r="CB308" s="63"/>
      <c r="CC308" s="63"/>
      <c r="CD308" s="63"/>
      <c r="CE308" s="63"/>
      <c r="CF308" s="63"/>
      <c r="CG308" s="63"/>
      <c r="CH308" s="63"/>
      <c r="CI308" s="63"/>
      <c r="CJ308" s="63"/>
      <c r="CK308" s="63"/>
      <c r="CL308" s="63"/>
      <c r="CM308" s="63"/>
      <c r="CN308" s="63"/>
      <c r="CO308" s="63"/>
      <c r="CP308" s="63"/>
      <c r="CQ308" s="63"/>
      <c r="CR308" s="63"/>
      <c r="CS308" s="63"/>
      <c r="CX308" s="35" t="s">
        <v>12</v>
      </c>
      <c r="CZ308" s="35"/>
      <c r="DC308" s="57" t="str">
        <f t="shared" si="248"/>
        <v/>
      </c>
      <c r="DD308" s="64" t="str">
        <f t="shared" si="249"/>
        <v/>
      </c>
      <c r="DE308" s="65" t="str">
        <f t="shared" si="250"/>
        <v/>
      </c>
      <c r="DF308" s="66" t="str">
        <f t="shared" si="251"/>
        <v/>
      </c>
    </row>
    <row r="309" spans="2:110" hidden="1" outlineLevel="1">
      <c r="B309" s="54">
        <f t="shared" si="252"/>
        <v>45215</v>
      </c>
      <c r="C309" s="55" t="s">
        <v>1</v>
      </c>
      <c r="D309" s="56">
        <f t="shared" si="253"/>
        <v>45221</v>
      </c>
      <c r="E309" s="52">
        <f t="shared" si="254"/>
        <v>10</v>
      </c>
      <c r="F309" s="53">
        <f t="shared" si="255"/>
        <v>2023</v>
      </c>
      <c r="G309" s="62">
        <f t="shared" si="256"/>
        <v>15</v>
      </c>
      <c r="H309" s="63">
        <f t="shared" si="257"/>
        <v>96</v>
      </c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>
        <v>15</v>
      </c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80"/>
      <c r="AG309" s="87">
        <f t="shared" si="211"/>
        <v>0</v>
      </c>
      <c r="AH309" s="87">
        <f t="shared" si="212"/>
        <v>0</v>
      </c>
      <c r="AI309" s="87">
        <f t="shared" si="213"/>
        <v>0</v>
      </c>
      <c r="AJ309" s="87">
        <f t="shared" si="214"/>
        <v>0</v>
      </c>
      <c r="AK309" s="87">
        <f t="shared" si="215"/>
        <v>0</v>
      </c>
      <c r="AL309" s="87">
        <f t="shared" si="216"/>
        <v>0</v>
      </c>
      <c r="AM309" s="87">
        <f t="shared" si="217"/>
        <v>0</v>
      </c>
      <c r="AN309" s="87">
        <f t="shared" si="218"/>
        <v>0</v>
      </c>
      <c r="AO309" s="87">
        <f t="shared" si="219"/>
        <v>0</v>
      </c>
      <c r="AP309" s="87">
        <f t="shared" si="220"/>
        <v>0</v>
      </c>
      <c r="AQ309" s="87">
        <f t="shared" si="221"/>
        <v>15</v>
      </c>
      <c r="AR309" s="81"/>
      <c r="AS309" s="85">
        <f t="shared" si="222"/>
        <v>0</v>
      </c>
      <c r="AT309" s="85">
        <f t="shared" si="223"/>
        <v>0</v>
      </c>
      <c r="AU309" s="85">
        <f t="shared" si="224"/>
        <v>0</v>
      </c>
      <c r="AV309" s="85">
        <f t="shared" si="225"/>
        <v>0</v>
      </c>
      <c r="AW309" s="85">
        <f t="shared" si="226"/>
        <v>0</v>
      </c>
      <c r="AX309" s="85">
        <f t="shared" si="227"/>
        <v>0</v>
      </c>
      <c r="AY309" s="85">
        <f t="shared" si="228"/>
        <v>0</v>
      </c>
      <c r="AZ309" s="85">
        <f t="shared" si="229"/>
        <v>0</v>
      </c>
      <c r="BA309" s="85">
        <f t="shared" si="230"/>
        <v>0</v>
      </c>
      <c r="BB309" s="85">
        <f t="shared" si="231"/>
        <v>0</v>
      </c>
      <c r="BC309" s="85">
        <f t="shared" si="232"/>
        <v>0</v>
      </c>
      <c r="BD309" s="85">
        <f t="shared" si="233"/>
        <v>0</v>
      </c>
      <c r="BE309" s="85">
        <f t="shared" si="234"/>
        <v>0</v>
      </c>
      <c r="BF309" s="85">
        <f t="shared" si="235"/>
        <v>0</v>
      </c>
      <c r="BG309" s="85">
        <f t="shared" si="236"/>
        <v>0</v>
      </c>
      <c r="BH309" s="85">
        <f t="shared" si="237"/>
        <v>0</v>
      </c>
      <c r="BI309" s="85">
        <f t="shared" si="238"/>
        <v>0</v>
      </c>
      <c r="BJ309" s="85">
        <f t="shared" si="239"/>
        <v>0</v>
      </c>
      <c r="BK309" s="85">
        <f t="shared" si="240"/>
        <v>0</v>
      </c>
      <c r="BL309" s="85">
        <f t="shared" si="241"/>
        <v>0</v>
      </c>
      <c r="BM309" s="85">
        <f t="shared" si="242"/>
        <v>0</v>
      </c>
      <c r="BN309" s="85">
        <f t="shared" si="243"/>
        <v>0</v>
      </c>
      <c r="BO309" s="85">
        <f t="shared" si="244"/>
        <v>0</v>
      </c>
      <c r="BP309" s="85">
        <f t="shared" si="245"/>
        <v>0</v>
      </c>
      <c r="BQ309" s="85">
        <f t="shared" si="246"/>
        <v>0</v>
      </c>
      <c r="BR309" s="85">
        <f t="shared" si="247"/>
        <v>0</v>
      </c>
      <c r="BT309" s="63"/>
      <c r="BU309" s="63"/>
      <c r="BV309" s="63"/>
      <c r="BW309" s="63"/>
      <c r="BX309" s="63"/>
      <c r="BY309" s="63"/>
      <c r="BZ309" s="63"/>
      <c r="CA309" s="63"/>
      <c r="CB309" s="63"/>
      <c r="CC309" s="63"/>
      <c r="CD309" s="63"/>
      <c r="CE309" s="63"/>
      <c r="CF309" s="63"/>
      <c r="CG309" s="63"/>
      <c r="CH309" s="63"/>
      <c r="CI309" s="63"/>
      <c r="CJ309" s="63"/>
      <c r="CK309" s="63"/>
      <c r="CL309" s="63"/>
      <c r="CM309" s="63"/>
      <c r="CN309" s="63"/>
      <c r="CO309" s="63"/>
      <c r="CP309" s="63"/>
      <c r="CQ309" s="63"/>
      <c r="CR309" s="63"/>
      <c r="CS309" s="63"/>
      <c r="CX309" s="35" t="s">
        <v>12</v>
      </c>
      <c r="CZ309" s="35"/>
      <c r="DC309" s="57" t="str">
        <f t="shared" si="248"/>
        <v/>
      </c>
      <c r="DD309" s="64" t="str">
        <f t="shared" si="249"/>
        <v/>
      </c>
      <c r="DE309" s="65" t="str">
        <f t="shared" si="250"/>
        <v/>
      </c>
      <c r="DF309" s="66" t="str">
        <f t="shared" si="251"/>
        <v/>
      </c>
    </row>
    <row r="310" spans="2:110" hidden="1" outlineLevel="1">
      <c r="B310" s="54">
        <f t="shared" si="252"/>
        <v>45222</v>
      </c>
      <c r="C310" s="55" t="s">
        <v>1</v>
      </c>
      <c r="D310" s="56">
        <f t="shared" si="253"/>
        <v>45228</v>
      </c>
      <c r="E310" s="52">
        <f t="shared" si="254"/>
        <v>10</v>
      </c>
      <c r="F310" s="53">
        <f t="shared" si="255"/>
        <v>2023</v>
      </c>
      <c r="G310" s="62">
        <f t="shared" si="256"/>
        <v>15</v>
      </c>
      <c r="H310" s="63">
        <f t="shared" si="257"/>
        <v>96</v>
      </c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>
        <v>15</v>
      </c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80"/>
      <c r="AG310" s="87">
        <f t="shared" si="211"/>
        <v>0</v>
      </c>
      <c r="AH310" s="87">
        <f t="shared" si="212"/>
        <v>0</v>
      </c>
      <c r="AI310" s="87">
        <f t="shared" si="213"/>
        <v>0</v>
      </c>
      <c r="AJ310" s="87">
        <f t="shared" si="214"/>
        <v>0</v>
      </c>
      <c r="AK310" s="87">
        <f t="shared" si="215"/>
        <v>0</v>
      </c>
      <c r="AL310" s="87">
        <f t="shared" si="216"/>
        <v>0</v>
      </c>
      <c r="AM310" s="87">
        <f t="shared" si="217"/>
        <v>0</v>
      </c>
      <c r="AN310" s="87">
        <f t="shared" si="218"/>
        <v>0</v>
      </c>
      <c r="AO310" s="87">
        <f t="shared" si="219"/>
        <v>0</v>
      </c>
      <c r="AP310" s="87">
        <f t="shared" si="220"/>
        <v>0</v>
      </c>
      <c r="AQ310" s="87">
        <f t="shared" si="221"/>
        <v>15</v>
      </c>
      <c r="AR310" s="81"/>
      <c r="AS310" s="85">
        <f t="shared" si="222"/>
        <v>0</v>
      </c>
      <c r="AT310" s="85">
        <f t="shared" si="223"/>
        <v>0</v>
      </c>
      <c r="AU310" s="85">
        <f t="shared" si="224"/>
        <v>0</v>
      </c>
      <c r="AV310" s="85">
        <f t="shared" si="225"/>
        <v>0</v>
      </c>
      <c r="AW310" s="85">
        <f t="shared" si="226"/>
        <v>0</v>
      </c>
      <c r="AX310" s="85">
        <f t="shared" si="227"/>
        <v>0</v>
      </c>
      <c r="AY310" s="85">
        <f t="shared" si="228"/>
        <v>0</v>
      </c>
      <c r="AZ310" s="85">
        <f t="shared" si="229"/>
        <v>0</v>
      </c>
      <c r="BA310" s="85">
        <f t="shared" si="230"/>
        <v>0</v>
      </c>
      <c r="BB310" s="85">
        <f t="shared" si="231"/>
        <v>0</v>
      </c>
      <c r="BC310" s="85">
        <f t="shared" si="232"/>
        <v>0</v>
      </c>
      <c r="BD310" s="85">
        <f t="shared" si="233"/>
        <v>0</v>
      </c>
      <c r="BE310" s="85">
        <f t="shared" si="234"/>
        <v>0</v>
      </c>
      <c r="BF310" s="85">
        <f t="shared" si="235"/>
        <v>0</v>
      </c>
      <c r="BG310" s="85">
        <f t="shared" si="236"/>
        <v>0</v>
      </c>
      <c r="BH310" s="85">
        <f t="shared" si="237"/>
        <v>0</v>
      </c>
      <c r="BI310" s="85">
        <f t="shared" si="238"/>
        <v>0</v>
      </c>
      <c r="BJ310" s="85">
        <f t="shared" si="239"/>
        <v>0</v>
      </c>
      <c r="BK310" s="85">
        <f t="shared" si="240"/>
        <v>0</v>
      </c>
      <c r="BL310" s="85">
        <f t="shared" si="241"/>
        <v>0</v>
      </c>
      <c r="BM310" s="85">
        <f t="shared" si="242"/>
        <v>0</v>
      </c>
      <c r="BN310" s="85">
        <f t="shared" si="243"/>
        <v>0</v>
      </c>
      <c r="BO310" s="85">
        <f t="shared" si="244"/>
        <v>0</v>
      </c>
      <c r="BP310" s="85">
        <f t="shared" si="245"/>
        <v>0</v>
      </c>
      <c r="BQ310" s="85">
        <f t="shared" si="246"/>
        <v>0</v>
      </c>
      <c r="BR310" s="85">
        <f t="shared" si="247"/>
        <v>0</v>
      </c>
      <c r="BT310" s="63"/>
      <c r="BU310" s="63"/>
      <c r="BV310" s="63"/>
      <c r="BW310" s="63"/>
      <c r="BX310" s="63"/>
      <c r="BY310" s="63"/>
      <c r="BZ310" s="63"/>
      <c r="CA310" s="63"/>
      <c r="CB310" s="63"/>
      <c r="CC310" s="63"/>
      <c r="CD310" s="63"/>
      <c r="CE310" s="63"/>
      <c r="CF310" s="63"/>
      <c r="CG310" s="63"/>
      <c r="CH310" s="63"/>
      <c r="CI310" s="63"/>
      <c r="CJ310" s="63"/>
      <c r="CK310" s="63"/>
      <c r="CL310" s="63"/>
      <c r="CM310" s="63"/>
      <c r="CN310" s="63"/>
      <c r="CO310" s="63"/>
      <c r="CP310" s="63"/>
      <c r="CQ310" s="63"/>
      <c r="CR310" s="63"/>
      <c r="CS310" s="63"/>
      <c r="CX310" s="35" t="s">
        <v>12</v>
      </c>
      <c r="CZ310" s="35"/>
      <c r="DC310" s="57" t="str">
        <f t="shared" si="248"/>
        <v/>
      </c>
      <c r="DD310" s="64" t="str">
        <f t="shared" si="249"/>
        <v/>
      </c>
      <c r="DE310" s="65" t="str">
        <f t="shared" si="250"/>
        <v/>
      </c>
      <c r="DF310" s="66" t="str">
        <f t="shared" si="251"/>
        <v/>
      </c>
    </row>
    <row r="311" spans="2:110" hidden="1" outlineLevel="1">
      <c r="B311" s="54">
        <f t="shared" si="252"/>
        <v>45229</v>
      </c>
      <c r="C311" s="55" t="s">
        <v>1</v>
      </c>
      <c r="D311" s="56">
        <f t="shared" si="253"/>
        <v>45235</v>
      </c>
      <c r="E311" s="52">
        <f t="shared" si="254"/>
        <v>10</v>
      </c>
      <c r="F311" s="53">
        <f t="shared" si="255"/>
        <v>2023</v>
      </c>
      <c r="G311" s="62">
        <f t="shared" si="256"/>
        <v>15</v>
      </c>
      <c r="H311" s="63">
        <f t="shared" si="257"/>
        <v>96</v>
      </c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>
        <v>15</v>
      </c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80"/>
      <c r="AG311" s="87">
        <f t="shared" si="211"/>
        <v>0</v>
      </c>
      <c r="AH311" s="87">
        <f t="shared" si="212"/>
        <v>0</v>
      </c>
      <c r="AI311" s="87">
        <f t="shared" si="213"/>
        <v>0</v>
      </c>
      <c r="AJ311" s="87">
        <f t="shared" si="214"/>
        <v>0</v>
      </c>
      <c r="AK311" s="87">
        <f t="shared" si="215"/>
        <v>0</v>
      </c>
      <c r="AL311" s="87">
        <f t="shared" si="216"/>
        <v>0</v>
      </c>
      <c r="AM311" s="87">
        <f t="shared" si="217"/>
        <v>0</v>
      </c>
      <c r="AN311" s="87">
        <f t="shared" si="218"/>
        <v>0</v>
      </c>
      <c r="AO311" s="87">
        <f t="shared" si="219"/>
        <v>0</v>
      </c>
      <c r="AP311" s="87">
        <f t="shared" si="220"/>
        <v>0</v>
      </c>
      <c r="AQ311" s="87">
        <f t="shared" si="221"/>
        <v>15</v>
      </c>
      <c r="AR311" s="81"/>
      <c r="AS311" s="85">
        <f t="shared" si="222"/>
        <v>0</v>
      </c>
      <c r="AT311" s="85">
        <f t="shared" si="223"/>
        <v>0</v>
      </c>
      <c r="AU311" s="85">
        <f t="shared" si="224"/>
        <v>0</v>
      </c>
      <c r="AV311" s="85">
        <f t="shared" si="225"/>
        <v>0</v>
      </c>
      <c r="AW311" s="85">
        <f t="shared" si="226"/>
        <v>0</v>
      </c>
      <c r="AX311" s="85">
        <f t="shared" si="227"/>
        <v>0</v>
      </c>
      <c r="AY311" s="85">
        <f t="shared" si="228"/>
        <v>0</v>
      </c>
      <c r="AZ311" s="85">
        <f t="shared" si="229"/>
        <v>0</v>
      </c>
      <c r="BA311" s="85">
        <f t="shared" si="230"/>
        <v>0</v>
      </c>
      <c r="BB311" s="85">
        <f t="shared" si="231"/>
        <v>0</v>
      </c>
      <c r="BC311" s="85">
        <f t="shared" si="232"/>
        <v>0</v>
      </c>
      <c r="BD311" s="85">
        <f t="shared" si="233"/>
        <v>0</v>
      </c>
      <c r="BE311" s="85">
        <f t="shared" si="234"/>
        <v>0</v>
      </c>
      <c r="BF311" s="85">
        <f t="shared" si="235"/>
        <v>0</v>
      </c>
      <c r="BG311" s="85">
        <f t="shared" si="236"/>
        <v>0</v>
      </c>
      <c r="BH311" s="85">
        <f t="shared" si="237"/>
        <v>0</v>
      </c>
      <c r="BI311" s="85">
        <f t="shared" si="238"/>
        <v>0</v>
      </c>
      <c r="BJ311" s="85">
        <f t="shared" si="239"/>
        <v>0</v>
      </c>
      <c r="BK311" s="85">
        <f t="shared" si="240"/>
        <v>0</v>
      </c>
      <c r="BL311" s="85">
        <f t="shared" si="241"/>
        <v>0</v>
      </c>
      <c r="BM311" s="85">
        <f t="shared" si="242"/>
        <v>0</v>
      </c>
      <c r="BN311" s="85">
        <f t="shared" si="243"/>
        <v>0</v>
      </c>
      <c r="BO311" s="85">
        <f t="shared" si="244"/>
        <v>0</v>
      </c>
      <c r="BP311" s="85">
        <f t="shared" si="245"/>
        <v>0</v>
      </c>
      <c r="BQ311" s="85">
        <f t="shared" si="246"/>
        <v>0</v>
      </c>
      <c r="BR311" s="85">
        <f t="shared" si="247"/>
        <v>0</v>
      </c>
      <c r="BT311" s="63"/>
      <c r="BU311" s="63"/>
      <c r="BV311" s="63"/>
      <c r="BW311" s="63"/>
      <c r="BX311" s="63"/>
      <c r="BY311" s="63"/>
      <c r="BZ311" s="63"/>
      <c r="CA311" s="63"/>
      <c r="CB311" s="63"/>
      <c r="CC311" s="63"/>
      <c r="CD311" s="63"/>
      <c r="CE311" s="63"/>
      <c r="CF311" s="63"/>
      <c r="CG311" s="63"/>
      <c r="CH311" s="63"/>
      <c r="CI311" s="63"/>
      <c r="CJ311" s="63"/>
      <c r="CK311" s="63"/>
      <c r="CL311" s="63"/>
      <c r="CM311" s="63"/>
      <c r="CN311" s="63"/>
      <c r="CO311" s="63"/>
      <c r="CP311" s="63"/>
      <c r="CQ311" s="63"/>
      <c r="CR311" s="63"/>
      <c r="CS311" s="63"/>
      <c r="CX311" s="35" t="s">
        <v>12</v>
      </c>
      <c r="CZ311" s="35"/>
      <c r="DC311" s="57" t="str">
        <f t="shared" si="248"/>
        <v/>
      </c>
      <c r="DD311" s="64" t="str">
        <f t="shared" si="249"/>
        <v/>
      </c>
      <c r="DE311" s="65" t="str">
        <f t="shared" si="250"/>
        <v/>
      </c>
      <c r="DF311" s="66" t="str">
        <f t="shared" si="251"/>
        <v/>
      </c>
    </row>
    <row r="312" spans="2:110" hidden="1" outlineLevel="1">
      <c r="B312" s="54">
        <f t="shared" si="252"/>
        <v>45236</v>
      </c>
      <c r="C312" s="55" t="s">
        <v>1</v>
      </c>
      <c r="D312" s="56">
        <f t="shared" si="253"/>
        <v>45242</v>
      </c>
      <c r="E312" s="52">
        <f t="shared" si="254"/>
        <v>11</v>
      </c>
      <c r="F312" s="53">
        <f t="shared" si="255"/>
        <v>2023</v>
      </c>
      <c r="G312" s="62">
        <f t="shared" si="256"/>
        <v>15</v>
      </c>
      <c r="H312" s="63">
        <f t="shared" si="257"/>
        <v>96</v>
      </c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>
        <v>15</v>
      </c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80"/>
      <c r="AG312" s="87">
        <f t="shared" si="211"/>
        <v>0</v>
      </c>
      <c r="AH312" s="87">
        <f t="shared" si="212"/>
        <v>0</v>
      </c>
      <c r="AI312" s="87">
        <f t="shared" si="213"/>
        <v>0</v>
      </c>
      <c r="AJ312" s="87">
        <f t="shared" si="214"/>
        <v>0</v>
      </c>
      <c r="AK312" s="87">
        <f t="shared" si="215"/>
        <v>0</v>
      </c>
      <c r="AL312" s="87">
        <f t="shared" si="216"/>
        <v>0</v>
      </c>
      <c r="AM312" s="87">
        <f t="shared" si="217"/>
        <v>0</v>
      </c>
      <c r="AN312" s="87">
        <f t="shared" si="218"/>
        <v>0</v>
      </c>
      <c r="AO312" s="87">
        <f t="shared" si="219"/>
        <v>0</v>
      </c>
      <c r="AP312" s="87">
        <f t="shared" si="220"/>
        <v>0</v>
      </c>
      <c r="AQ312" s="87">
        <f t="shared" si="221"/>
        <v>15</v>
      </c>
      <c r="AR312" s="81"/>
      <c r="AS312" s="85">
        <f t="shared" si="222"/>
        <v>0</v>
      </c>
      <c r="AT312" s="85">
        <f t="shared" si="223"/>
        <v>0</v>
      </c>
      <c r="AU312" s="85">
        <f t="shared" si="224"/>
        <v>0</v>
      </c>
      <c r="AV312" s="85">
        <f t="shared" si="225"/>
        <v>0</v>
      </c>
      <c r="AW312" s="85">
        <f t="shared" si="226"/>
        <v>0</v>
      </c>
      <c r="AX312" s="85">
        <f t="shared" si="227"/>
        <v>0</v>
      </c>
      <c r="AY312" s="85">
        <f t="shared" si="228"/>
        <v>0</v>
      </c>
      <c r="AZ312" s="85">
        <f t="shared" si="229"/>
        <v>0</v>
      </c>
      <c r="BA312" s="85">
        <f t="shared" si="230"/>
        <v>0</v>
      </c>
      <c r="BB312" s="85">
        <f t="shared" si="231"/>
        <v>0</v>
      </c>
      <c r="BC312" s="85">
        <f t="shared" si="232"/>
        <v>0</v>
      </c>
      <c r="BD312" s="85">
        <f t="shared" si="233"/>
        <v>0</v>
      </c>
      <c r="BE312" s="85">
        <f t="shared" si="234"/>
        <v>0</v>
      </c>
      <c r="BF312" s="85">
        <f t="shared" si="235"/>
        <v>0</v>
      </c>
      <c r="BG312" s="85">
        <f t="shared" si="236"/>
        <v>0</v>
      </c>
      <c r="BH312" s="85">
        <f t="shared" si="237"/>
        <v>0</v>
      </c>
      <c r="BI312" s="85">
        <f t="shared" si="238"/>
        <v>0</v>
      </c>
      <c r="BJ312" s="85">
        <f t="shared" si="239"/>
        <v>0</v>
      </c>
      <c r="BK312" s="85">
        <f t="shared" si="240"/>
        <v>0</v>
      </c>
      <c r="BL312" s="85">
        <f t="shared" si="241"/>
        <v>0</v>
      </c>
      <c r="BM312" s="85">
        <f t="shared" si="242"/>
        <v>0</v>
      </c>
      <c r="BN312" s="85">
        <f t="shared" si="243"/>
        <v>0</v>
      </c>
      <c r="BO312" s="85">
        <f t="shared" si="244"/>
        <v>0</v>
      </c>
      <c r="BP312" s="85">
        <f t="shared" si="245"/>
        <v>0</v>
      </c>
      <c r="BQ312" s="85">
        <f t="shared" si="246"/>
        <v>0</v>
      </c>
      <c r="BR312" s="85">
        <f t="shared" si="247"/>
        <v>0</v>
      </c>
      <c r="BT312" s="63"/>
      <c r="BU312" s="63"/>
      <c r="BV312" s="63"/>
      <c r="BW312" s="63"/>
      <c r="BX312" s="63"/>
      <c r="BY312" s="63"/>
      <c r="BZ312" s="63"/>
      <c r="CA312" s="63"/>
      <c r="CB312" s="63"/>
      <c r="CC312" s="63"/>
      <c r="CD312" s="63"/>
      <c r="CE312" s="63"/>
      <c r="CF312" s="63"/>
      <c r="CG312" s="63"/>
      <c r="CH312" s="63"/>
      <c r="CI312" s="63"/>
      <c r="CJ312" s="63"/>
      <c r="CK312" s="63"/>
      <c r="CL312" s="63"/>
      <c r="CM312" s="63"/>
      <c r="CN312" s="63"/>
      <c r="CO312" s="63"/>
      <c r="CP312" s="63"/>
      <c r="CQ312" s="63"/>
      <c r="CR312" s="63"/>
      <c r="CS312" s="63"/>
      <c r="CX312" s="35" t="s">
        <v>12</v>
      </c>
      <c r="CZ312" s="35"/>
      <c r="DC312" s="57" t="str">
        <f t="shared" si="248"/>
        <v/>
      </c>
      <c r="DD312" s="64" t="str">
        <f t="shared" si="249"/>
        <v/>
      </c>
      <c r="DE312" s="65" t="str">
        <f t="shared" si="250"/>
        <v/>
      </c>
      <c r="DF312" s="66" t="str">
        <f t="shared" si="251"/>
        <v/>
      </c>
    </row>
    <row r="313" spans="2:110" hidden="1" outlineLevel="1">
      <c r="B313" s="54">
        <f t="shared" si="252"/>
        <v>45243</v>
      </c>
      <c r="C313" s="55" t="s">
        <v>1</v>
      </c>
      <c r="D313" s="56">
        <f t="shared" si="253"/>
        <v>45249</v>
      </c>
      <c r="E313" s="52">
        <f t="shared" si="254"/>
        <v>11</v>
      </c>
      <c r="F313" s="53">
        <f t="shared" si="255"/>
        <v>2023</v>
      </c>
      <c r="G313" s="62">
        <f t="shared" si="256"/>
        <v>15</v>
      </c>
      <c r="H313" s="63">
        <f t="shared" si="257"/>
        <v>96</v>
      </c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>
        <v>15</v>
      </c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80"/>
      <c r="AG313" s="87">
        <f t="shared" si="211"/>
        <v>0</v>
      </c>
      <c r="AH313" s="87">
        <f t="shared" si="212"/>
        <v>0</v>
      </c>
      <c r="AI313" s="87">
        <f t="shared" si="213"/>
        <v>0</v>
      </c>
      <c r="AJ313" s="87">
        <f t="shared" si="214"/>
        <v>0</v>
      </c>
      <c r="AK313" s="87">
        <f t="shared" si="215"/>
        <v>0</v>
      </c>
      <c r="AL313" s="87">
        <f t="shared" si="216"/>
        <v>0</v>
      </c>
      <c r="AM313" s="87">
        <f t="shared" si="217"/>
        <v>0</v>
      </c>
      <c r="AN313" s="87">
        <f t="shared" si="218"/>
        <v>0</v>
      </c>
      <c r="AO313" s="87">
        <f t="shared" si="219"/>
        <v>0</v>
      </c>
      <c r="AP313" s="87">
        <f t="shared" si="220"/>
        <v>0</v>
      </c>
      <c r="AQ313" s="87">
        <f t="shared" si="221"/>
        <v>15</v>
      </c>
      <c r="AR313" s="81"/>
      <c r="AS313" s="85">
        <f t="shared" si="222"/>
        <v>0</v>
      </c>
      <c r="AT313" s="85">
        <f t="shared" si="223"/>
        <v>0</v>
      </c>
      <c r="AU313" s="85">
        <f t="shared" si="224"/>
        <v>0</v>
      </c>
      <c r="AV313" s="85">
        <f t="shared" si="225"/>
        <v>0</v>
      </c>
      <c r="AW313" s="85">
        <f t="shared" si="226"/>
        <v>0</v>
      </c>
      <c r="AX313" s="85">
        <f t="shared" si="227"/>
        <v>0</v>
      </c>
      <c r="AY313" s="85">
        <f t="shared" si="228"/>
        <v>0</v>
      </c>
      <c r="AZ313" s="85">
        <f t="shared" si="229"/>
        <v>0</v>
      </c>
      <c r="BA313" s="85">
        <f t="shared" si="230"/>
        <v>0</v>
      </c>
      <c r="BB313" s="85">
        <f t="shared" si="231"/>
        <v>0</v>
      </c>
      <c r="BC313" s="85">
        <f t="shared" si="232"/>
        <v>0</v>
      </c>
      <c r="BD313" s="85">
        <f t="shared" si="233"/>
        <v>0</v>
      </c>
      <c r="BE313" s="85">
        <f t="shared" si="234"/>
        <v>0</v>
      </c>
      <c r="BF313" s="85">
        <f t="shared" si="235"/>
        <v>0</v>
      </c>
      <c r="BG313" s="85">
        <f t="shared" si="236"/>
        <v>0</v>
      </c>
      <c r="BH313" s="85">
        <f t="shared" si="237"/>
        <v>0</v>
      </c>
      <c r="BI313" s="85">
        <f t="shared" si="238"/>
        <v>0</v>
      </c>
      <c r="BJ313" s="85">
        <f t="shared" si="239"/>
        <v>0</v>
      </c>
      <c r="BK313" s="85">
        <f t="shared" si="240"/>
        <v>0</v>
      </c>
      <c r="BL313" s="85">
        <f t="shared" si="241"/>
        <v>0</v>
      </c>
      <c r="BM313" s="85">
        <f t="shared" si="242"/>
        <v>0</v>
      </c>
      <c r="BN313" s="85">
        <f t="shared" si="243"/>
        <v>0</v>
      </c>
      <c r="BO313" s="85">
        <f t="shared" si="244"/>
        <v>0</v>
      </c>
      <c r="BP313" s="85">
        <f t="shared" si="245"/>
        <v>0</v>
      </c>
      <c r="BQ313" s="85">
        <f t="shared" si="246"/>
        <v>0</v>
      </c>
      <c r="BR313" s="85">
        <f t="shared" si="247"/>
        <v>0</v>
      </c>
      <c r="BT313" s="63"/>
      <c r="BU313" s="63"/>
      <c r="BV313" s="63"/>
      <c r="BW313" s="63"/>
      <c r="BX313" s="63"/>
      <c r="BY313" s="63"/>
      <c r="BZ313" s="63"/>
      <c r="CA313" s="63"/>
      <c r="CB313" s="63"/>
      <c r="CC313" s="63"/>
      <c r="CD313" s="63"/>
      <c r="CE313" s="63"/>
      <c r="CF313" s="63"/>
      <c r="CG313" s="63"/>
      <c r="CH313" s="63"/>
      <c r="CI313" s="63"/>
      <c r="CJ313" s="63"/>
      <c r="CK313" s="63"/>
      <c r="CL313" s="63"/>
      <c r="CM313" s="63"/>
      <c r="CN313" s="63"/>
      <c r="CO313" s="63"/>
      <c r="CP313" s="63"/>
      <c r="CQ313" s="63"/>
      <c r="CR313" s="63"/>
      <c r="CS313" s="63"/>
      <c r="CX313" s="35" t="s">
        <v>12</v>
      </c>
      <c r="CZ313" s="35"/>
      <c r="DC313" s="57" t="str">
        <f t="shared" si="248"/>
        <v/>
      </c>
      <c r="DD313" s="64" t="str">
        <f t="shared" si="249"/>
        <v/>
      </c>
      <c r="DE313" s="65" t="str">
        <f t="shared" si="250"/>
        <v/>
      </c>
      <c r="DF313" s="66" t="str">
        <f t="shared" si="251"/>
        <v/>
      </c>
    </row>
    <row r="314" spans="2:110" hidden="1" outlineLevel="1">
      <c r="B314" s="54">
        <f t="shared" si="252"/>
        <v>45250</v>
      </c>
      <c r="C314" s="55" t="s">
        <v>1</v>
      </c>
      <c r="D314" s="56">
        <f t="shared" si="253"/>
        <v>45256</v>
      </c>
      <c r="E314" s="52">
        <f t="shared" si="254"/>
        <v>11</v>
      </c>
      <c r="F314" s="53">
        <f t="shared" si="255"/>
        <v>2023</v>
      </c>
      <c r="G314" s="62">
        <f t="shared" si="256"/>
        <v>15</v>
      </c>
      <c r="H314" s="63">
        <f t="shared" si="257"/>
        <v>96</v>
      </c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>
        <v>15</v>
      </c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80"/>
      <c r="AG314" s="87">
        <f t="shared" si="211"/>
        <v>0</v>
      </c>
      <c r="AH314" s="87">
        <f t="shared" si="212"/>
        <v>0</v>
      </c>
      <c r="AI314" s="87">
        <f t="shared" si="213"/>
        <v>0</v>
      </c>
      <c r="AJ314" s="87">
        <f t="shared" si="214"/>
        <v>0</v>
      </c>
      <c r="AK314" s="87">
        <f t="shared" si="215"/>
        <v>0</v>
      </c>
      <c r="AL314" s="87">
        <f t="shared" si="216"/>
        <v>0</v>
      </c>
      <c r="AM314" s="87">
        <f t="shared" si="217"/>
        <v>0</v>
      </c>
      <c r="AN314" s="87">
        <f t="shared" si="218"/>
        <v>0</v>
      </c>
      <c r="AO314" s="87">
        <f t="shared" si="219"/>
        <v>0</v>
      </c>
      <c r="AP314" s="87">
        <f t="shared" si="220"/>
        <v>0</v>
      </c>
      <c r="AQ314" s="87">
        <f t="shared" si="221"/>
        <v>15</v>
      </c>
      <c r="AR314" s="81"/>
      <c r="AS314" s="85">
        <f t="shared" si="222"/>
        <v>0</v>
      </c>
      <c r="AT314" s="85">
        <f t="shared" si="223"/>
        <v>0</v>
      </c>
      <c r="AU314" s="85">
        <f t="shared" si="224"/>
        <v>0</v>
      </c>
      <c r="AV314" s="85">
        <f t="shared" si="225"/>
        <v>0</v>
      </c>
      <c r="AW314" s="85">
        <f t="shared" si="226"/>
        <v>0</v>
      </c>
      <c r="AX314" s="85">
        <f t="shared" si="227"/>
        <v>0</v>
      </c>
      <c r="AY314" s="85">
        <f t="shared" si="228"/>
        <v>0</v>
      </c>
      <c r="AZ314" s="85">
        <f t="shared" si="229"/>
        <v>0</v>
      </c>
      <c r="BA314" s="85">
        <f t="shared" si="230"/>
        <v>0</v>
      </c>
      <c r="BB314" s="85">
        <f t="shared" si="231"/>
        <v>0</v>
      </c>
      <c r="BC314" s="85">
        <f t="shared" si="232"/>
        <v>0</v>
      </c>
      <c r="BD314" s="85">
        <f t="shared" si="233"/>
        <v>0</v>
      </c>
      <c r="BE314" s="85">
        <f t="shared" si="234"/>
        <v>0</v>
      </c>
      <c r="BF314" s="85">
        <f t="shared" si="235"/>
        <v>0</v>
      </c>
      <c r="BG314" s="85">
        <f t="shared" si="236"/>
        <v>0</v>
      </c>
      <c r="BH314" s="85">
        <f t="shared" si="237"/>
        <v>0</v>
      </c>
      <c r="BI314" s="85">
        <f t="shared" si="238"/>
        <v>0</v>
      </c>
      <c r="BJ314" s="85">
        <f t="shared" si="239"/>
        <v>0</v>
      </c>
      <c r="BK314" s="85">
        <f t="shared" si="240"/>
        <v>0</v>
      </c>
      <c r="BL314" s="85">
        <f t="shared" si="241"/>
        <v>0</v>
      </c>
      <c r="BM314" s="85">
        <f t="shared" si="242"/>
        <v>0</v>
      </c>
      <c r="BN314" s="85">
        <f t="shared" si="243"/>
        <v>0</v>
      </c>
      <c r="BO314" s="85">
        <f t="shared" si="244"/>
        <v>0</v>
      </c>
      <c r="BP314" s="85">
        <f t="shared" si="245"/>
        <v>0</v>
      </c>
      <c r="BQ314" s="85">
        <f t="shared" si="246"/>
        <v>0</v>
      </c>
      <c r="BR314" s="85">
        <f t="shared" si="247"/>
        <v>0</v>
      </c>
      <c r="BT314" s="63"/>
      <c r="BU314" s="63"/>
      <c r="BV314" s="63"/>
      <c r="BW314" s="63"/>
      <c r="BX314" s="63"/>
      <c r="BY314" s="63"/>
      <c r="BZ314" s="63"/>
      <c r="CA314" s="63"/>
      <c r="CB314" s="63"/>
      <c r="CC314" s="63"/>
      <c r="CD314" s="63"/>
      <c r="CE314" s="63"/>
      <c r="CF314" s="63"/>
      <c r="CG314" s="63"/>
      <c r="CH314" s="63"/>
      <c r="CI314" s="63"/>
      <c r="CJ314" s="63"/>
      <c r="CK314" s="63"/>
      <c r="CL314" s="63"/>
      <c r="CM314" s="63"/>
      <c r="CN314" s="63"/>
      <c r="CO314" s="63"/>
      <c r="CP314" s="63"/>
      <c r="CQ314" s="63"/>
      <c r="CR314" s="63"/>
      <c r="CS314" s="63"/>
      <c r="CX314" s="35" t="s">
        <v>12</v>
      </c>
      <c r="CZ314" s="35"/>
      <c r="DC314" s="57" t="str">
        <f t="shared" si="248"/>
        <v/>
      </c>
      <c r="DD314" s="64" t="str">
        <f t="shared" si="249"/>
        <v/>
      </c>
      <c r="DE314" s="65" t="str">
        <f t="shared" si="250"/>
        <v/>
      </c>
      <c r="DF314" s="66" t="str">
        <f t="shared" si="251"/>
        <v/>
      </c>
    </row>
    <row r="315" spans="2:110" hidden="1" outlineLevel="1">
      <c r="B315" s="54">
        <f t="shared" si="252"/>
        <v>45257</v>
      </c>
      <c r="C315" s="55" t="s">
        <v>1</v>
      </c>
      <c r="D315" s="56">
        <f t="shared" si="253"/>
        <v>45263</v>
      </c>
      <c r="E315" s="52">
        <f t="shared" si="254"/>
        <v>11</v>
      </c>
      <c r="F315" s="53">
        <f t="shared" si="255"/>
        <v>2023</v>
      </c>
      <c r="G315" s="62">
        <f t="shared" si="256"/>
        <v>15</v>
      </c>
      <c r="H315" s="63">
        <f t="shared" si="257"/>
        <v>96</v>
      </c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>
        <v>15</v>
      </c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80"/>
      <c r="AG315" s="87">
        <f t="shared" si="211"/>
        <v>0</v>
      </c>
      <c r="AH315" s="87">
        <f t="shared" si="212"/>
        <v>0</v>
      </c>
      <c r="AI315" s="87">
        <f t="shared" si="213"/>
        <v>0</v>
      </c>
      <c r="AJ315" s="87">
        <f t="shared" si="214"/>
        <v>0</v>
      </c>
      <c r="AK315" s="87">
        <f t="shared" si="215"/>
        <v>0</v>
      </c>
      <c r="AL315" s="87">
        <f t="shared" si="216"/>
        <v>0</v>
      </c>
      <c r="AM315" s="87">
        <f t="shared" si="217"/>
        <v>0</v>
      </c>
      <c r="AN315" s="87">
        <f t="shared" si="218"/>
        <v>0</v>
      </c>
      <c r="AO315" s="87">
        <f t="shared" si="219"/>
        <v>0</v>
      </c>
      <c r="AP315" s="87">
        <f t="shared" si="220"/>
        <v>0</v>
      </c>
      <c r="AQ315" s="87">
        <f t="shared" si="221"/>
        <v>15</v>
      </c>
      <c r="AR315" s="81"/>
      <c r="AS315" s="85">
        <f t="shared" si="222"/>
        <v>0</v>
      </c>
      <c r="AT315" s="85">
        <f t="shared" si="223"/>
        <v>0</v>
      </c>
      <c r="AU315" s="85">
        <f t="shared" si="224"/>
        <v>0</v>
      </c>
      <c r="AV315" s="85">
        <f t="shared" si="225"/>
        <v>0</v>
      </c>
      <c r="AW315" s="85">
        <f t="shared" si="226"/>
        <v>0</v>
      </c>
      <c r="AX315" s="85">
        <f t="shared" si="227"/>
        <v>0</v>
      </c>
      <c r="AY315" s="85">
        <f t="shared" si="228"/>
        <v>0</v>
      </c>
      <c r="AZ315" s="85">
        <f t="shared" si="229"/>
        <v>0</v>
      </c>
      <c r="BA315" s="85">
        <f t="shared" si="230"/>
        <v>0</v>
      </c>
      <c r="BB315" s="85">
        <f t="shared" si="231"/>
        <v>0</v>
      </c>
      <c r="BC315" s="85">
        <f t="shared" si="232"/>
        <v>0</v>
      </c>
      <c r="BD315" s="85">
        <f t="shared" si="233"/>
        <v>0</v>
      </c>
      <c r="BE315" s="85">
        <f t="shared" si="234"/>
        <v>0</v>
      </c>
      <c r="BF315" s="85">
        <f t="shared" si="235"/>
        <v>0</v>
      </c>
      <c r="BG315" s="85">
        <f t="shared" si="236"/>
        <v>0</v>
      </c>
      <c r="BH315" s="85">
        <f t="shared" si="237"/>
        <v>0</v>
      </c>
      <c r="BI315" s="85">
        <f t="shared" si="238"/>
        <v>0</v>
      </c>
      <c r="BJ315" s="85">
        <f t="shared" si="239"/>
        <v>0</v>
      </c>
      <c r="BK315" s="85">
        <f t="shared" si="240"/>
        <v>0</v>
      </c>
      <c r="BL315" s="85">
        <f t="shared" si="241"/>
        <v>0</v>
      </c>
      <c r="BM315" s="85">
        <f t="shared" si="242"/>
        <v>0</v>
      </c>
      <c r="BN315" s="85">
        <f t="shared" si="243"/>
        <v>0</v>
      </c>
      <c r="BO315" s="85">
        <f t="shared" si="244"/>
        <v>0</v>
      </c>
      <c r="BP315" s="85">
        <f t="shared" si="245"/>
        <v>0</v>
      </c>
      <c r="BQ315" s="85">
        <f t="shared" si="246"/>
        <v>0</v>
      </c>
      <c r="BR315" s="85">
        <f t="shared" si="247"/>
        <v>0</v>
      </c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  <c r="CD315" s="63"/>
      <c r="CE315" s="63"/>
      <c r="CF315" s="63"/>
      <c r="CG315" s="63"/>
      <c r="CH315" s="63"/>
      <c r="CI315" s="63"/>
      <c r="CJ315" s="63"/>
      <c r="CK315" s="63"/>
      <c r="CL315" s="63"/>
      <c r="CM315" s="63"/>
      <c r="CN315" s="63"/>
      <c r="CO315" s="63"/>
      <c r="CP315" s="63"/>
      <c r="CQ315" s="63"/>
      <c r="CR315" s="63"/>
      <c r="CS315" s="63"/>
      <c r="CX315" s="35" t="s">
        <v>12</v>
      </c>
      <c r="CZ315" s="35"/>
      <c r="DC315" s="57" t="str">
        <f t="shared" si="248"/>
        <v/>
      </c>
      <c r="DD315" s="64" t="str">
        <f t="shared" si="249"/>
        <v/>
      </c>
      <c r="DE315" s="65" t="str">
        <f t="shared" si="250"/>
        <v/>
      </c>
      <c r="DF315" s="66" t="str">
        <f t="shared" si="251"/>
        <v/>
      </c>
    </row>
    <row r="316" spans="2:110" hidden="1" outlineLevel="1">
      <c r="B316" s="54">
        <f t="shared" si="252"/>
        <v>45264</v>
      </c>
      <c r="C316" s="55" t="s">
        <v>1</v>
      </c>
      <c r="D316" s="56">
        <f t="shared" si="253"/>
        <v>45270</v>
      </c>
      <c r="E316" s="52">
        <f t="shared" si="254"/>
        <v>12</v>
      </c>
      <c r="F316" s="53">
        <f t="shared" si="255"/>
        <v>2023</v>
      </c>
      <c r="G316" s="62">
        <f t="shared" si="256"/>
        <v>15</v>
      </c>
      <c r="H316" s="63">
        <f t="shared" si="257"/>
        <v>96</v>
      </c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>
        <v>15</v>
      </c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80"/>
      <c r="AG316" s="87">
        <f t="shared" si="211"/>
        <v>0</v>
      </c>
      <c r="AH316" s="87">
        <f t="shared" si="212"/>
        <v>0</v>
      </c>
      <c r="AI316" s="87">
        <f t="shared" si="213"/>
        <v>0</v>
      </c>
      <c r="AJ316" s="87">
        <f t="shared" si="214"/>
        <v>0</v>
      </c>
      <c r="AK316" s="87">
        <f t="shared" si="215"/>
        <v>0</v>
      </c>
      <c r="AL316" s="87">
        <f t="shared" si="216"/>
        <v>0</v>
      </c>
      <c r="AM316" s="87">
        <f t="shared" si="217"/>
        <v>0</v>
      </c>
      <c r="AN316" s="87">
        <f t="shared" si="218"/>
        <v>0</v>
      </c>
      <c r="AO316" s="87">
        <f t="shared" si="219"/>
        <v>0</v>
      </c>
      <c r="AP316" s="87">
        <f t="shared" si="220"/>
        <v>0</v>
      </c>
      <c r="AQ316" s="87">
        <f t="shared" si="221"/>
        <v>15</v>
      </c>
      <c r="AR316" s="81"/>
      <c r="AS316" s="85">
        <f t="shared" si="222"/>
        <v>0</v>
      </c>
      <c r="AT316" s="85">
        <f t="shared" si="223"/>
        <v>0</v>
      </c>
      <c r="AU316" s="85">
        <f t="shared" si="224"/>
        <v>0</v>
      </c>
      <c r="AV316" s="85">
        <f t="shared" si="225"/>
        <v>0</v>
      </c>
      <c r="AW316" s="85">
        <f t="shared" si="226"/>
        <v>0</v>
      </c>
      <c r="AX316" s="85">
        <f t="shared" si="227"/>
        <v>0</v>
      </c>
      <c r="AY316" s="85">
        <f t="shared" si="228"/>
        <v>0</v>
      </c>
      <c r="AZ316" s="85">
        <f t="shared" si="229"/>
        <v>0</v>
      </c>
      <c r="BA316" s="85">
        <f t="shared" si="230"/>
        <v>0</v>
      </c>
      <c r="BB316" s="85">
        <f t="shared" si="231"/>
        <v>0</v>
      </c>
      <c r="BC316" s="85">
        <f t="shared" si="232"/>
        <v>0</v>
      </c>
      <c r="BD316" s="85">
        <f t="shared" si="233"/>
        <v>0</v>
      </c>
      <c r="BE316" s="85">
        <f t="shared" si="234"/>
        <v>0</v>
      </c>
      <c r="BF316" s="85">
        <f t="shared" si="235"/>
        <v>0</v>
      </c>
      <c r="BG316" s="85">
        <f t="shared" si="236"/>
        <v>0</v>
      </c>
      <c r="BH316" s="85">
        <f t="shared" si="237"/>
        <v>0</v>
      </c>
      <c r="BI316" s="85">
        <f t="shared" si="238"/>
        <v>0</v>
      </c>
      <c r="BJ316" s="85">
        <f t="shared" si="239"/>
        <v>0</v>
      </c>
      <c r="BK316" s="85">
        <f t="shared" si="240"/>
        <v>0</v>
      </c>
      <c r="BL316" s="85">
        <f t="shared" si="241"/>
        <v>0</v>
      </c>
      <c r="BM316" s="85">
        <f t="shared" si="242"/>
        <v>0</v>
      </c>
      <c r="BN316" s="85">
        <f t="shared" si="243"/>
        <v>0</v>
      </c>
      <c r="BO316" s="85">
        <f t="shared" si="244"/>
        <v>0</v>
      </c>
      <c r="BP316" s="85">
        <f t="shared" si="245"/>
        <v>0</v>
      </c>
      <c r="BQ316" s="85">
        <f t="shared" si="246"/>
        <v>0</v>
      </c>
      <c r="BR316" s="85">
        <f t="shared" si="247"/>
        <v>0</v>
      </c>
      <c r="BT316" s="63"/>
      <c r="BU316" s="63"/>
      <c r="BV316" s="63"/>
      <c r="BW316" s="63"/>
      <c r="BX316" s="63"/>
      <c r="BY316" s="63"/>
      <c r="BZ316" s="63"/>
      <c r="CA316" s="63"/>
      <c r="CB316" s="63"/>
      <c r="CC316" s="63"/>
      <c r="CD316" s="63"/>
      <c r="CE316" s="63"/>
      <c r="CF316" s="63"/>
      <c r="CG316" s="63"/>
      <c r="CH316" s="63"/>
      <c r="CI316" s="63"/>
      <c r="CJ316" s="63"/>
      <c r="CK316" s="63"/>
      <c r="CL316" s="63"/>
      <c r="CM316" s="63"/>
      <c r="CN316" s="63"/>
      <c r="CO316" s="63"/>
      <c r="CP316" s="63"/>
      <c r="CQ316" s="63"/>
      <c r="CR316" s="63"/>
      <c r="CS316" s="63"/>
      <c r="CX316" s="35" t="s">
        <v>12</v>
      </c>
      <c r="CZ316" s="35"/>
      <c r="DC316" s="57" t="str">
        <f t="shared" si="248"/>
        <v/>
      </c>
      <c r="DD316" s="64" t="str">
        <f t="shared" si="249"/>
        <v/>
      </c>
      <c r="DE316" s="65" t="str">
        <f t="shared" si="250"/>
        <v/>
      </c>
      <c r="DF316" s="66" t="str">
        <f t="shared" si="251"/>
        <v/>
      </c>
    </row>
    <row r="317" spans="2:110" hidden="1" outlineLevel="1">
      <c r="B317" s="54">
        <f t="shared" si="252"/>
        <v>45271</v>
      </c>
      <c r="C317" s="55" t="s">
        <v>1</v>
      </c>
      <c r="D317" s="56">
        <f t="shared" si="253"/>
        <v>45277</v>
      </c>
      <c r="E317" s="52">
        <f t="shared" si="254"/>
        <v>12</v>
      </c>
      <c r="F317" s="53">
        <f t="shared" si="255"/>
        <v>2023</v>
      </c>
      <c r="G317" s="62">
        <f t="shared" si="256"/>
        <v>15</v>
      </c>
      <c r="H317" s="63">
        <f t="shared" si="257"/>
        <v>96</v>
      </c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>
        <v>15</v>
      </c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80"/>
      <c r="AG317" s="87">
        <f t="shared" si="211"/>
        <v>0</v>
      </c>
      <c r="AH317" s="87">
        <f t="shared" si="212"/>
        <v>0</v>
      </c>
      <c r="AI317" s="87">
        <f t="shared" si="213"/>
        <v>0</v>
      </c>
      <c r="AJ317" s="87">
        <f t="shared" si="214"/>
        <v>0</v>
      </c>
      <c r="AK317" s="87">
        <f t="shared" si="215"/>
        <v>0</v>
      </c>
      <c r="AL317" s="87">
        <f t="shared" si="216"/>
        <v>0</v>
      </c>
      <c r="AM317" s="87">
        <f t="shared" si="217"/>
        <v>0</v>
      </c>
      <c r="AN317" s="87">
        <f t="shared" si="218"/>
        <v>0</v>
      </c>
      <c r="AO317" s="87">
        <f t="shared" si="219"/>
        <v>0</v>
      </c>
      <c r="AP317" s="87">
        <f t="shared" si="220"/>
        <v>0</v>
      </c>
      <c r="AQ317" s="87">
        <f t="shared" si="221"/>
        <v>15</v>
      </c>
      <c r="AR317" s="81"/>
      <c r="AS317" s="85">
        <f t="shared" si="222"/>
        <v>0</v>
      </c>
      <c r="AT317" s="85">
        <f t="shared" si="223"/>
        <v>0</v>
      </c>
      <c r="AU317" s="85">
        <f t="shared" si="224"/>
        <v>0</v>
      </c>
      <c r="AV317" s="85">
        <f t="shared" si="225"/>
        <v>0</v>
      </c>
      <c r="AW317" s="85">
        <f t="shared" si="226"/>
        <v>0</v>
      </c>
      <c r="AX317" s="85">
        <f t="shared" si="227"/>
        <v>0</v>
      </c>
      <c r="AY317" s="85">
        <f t="shared" si="228"/>
        <v>0</v>
      </c>
      <c r="AZ317" s="85">
        <f t="shared" si="229"/>
        <v>0</v>
      </c>
      <c r="BA317" s="85">
        <f t="shared" si="230"/>
        <v>0</v>
      </c>
      <c r="BB317" s="85">
        <f t="shared" si="231"/>
        <v>0</v>
      </c>
      <c r="BC317" s="85">
        <f t="shared" si="232"/>
        <v>0</v>
      </c>
      <c r="BD317" s="85">
        <f t="shared" si="233"/>
        <v>0</v>
      </c>
      <c r="BE317" s="85">
        <f t="shared" si="234"/>
        <v>0</v>
      </c>
      <c r="BF317" s="85">
        <f t="shared" si="235"/>
        <v>0</v>
      </c>
      <c r="BG317" s="85">
        <f t="shared" si="236"/>
        <v>0</v>
      </c>
      <c r="BH317" s="85">
        <f t="shared" si="237"/>
        <v>0</v>
      </c>
      <c r="BI317" s="85">
        <f t="shared" si="238"/>
        <v>0</v>
      </c>
      <c r="BJ317" s="85">
        <f t="shared" si="239"/>
        <v>0</v>
      </c>
      <c r="BK317" s="85">
        <f t="shared" si="240"/>
        <v>0</v>
      </c>
      <c r="BL317" s="85">
        <f t="shared" si="241"/>
        <v>0</v>
      </c>
      <c r="BM317" s="85">
        <f t="shared" si="242"/>
        <v>0</v>
      </c>
      <c r="BN317" s="85">
        <f t="shared" si="243"/>
        <v>0</v>
      </c>
      <c r="BO317" s="85">
        <f t="shared" si="244"/>
        <v>0</v>
      </c>
      <c r="BP317" s="85">
        <f t="shared" si="245"/>
        <v>0</v>
      </c>
      <c r="BQ317" s="85">
        <f t="shared" si="246"/>
        <v>0</v>
      </c>
      <c r="BR317" s="85">
        <f t="shared" si="247"/>
        <v>0</v>
      </c>
      <c r="BT317" s="63"/>
      <c r="BU317" s="63"/>
      <c r="BV317" s="63"/>
      <c r="BW317" s="63"/>
      <c r="BX317" s="63"/>
      <c r="BY317" s="63"/>
      <c r="BZ317" s="63"/>
      <c r="CA317" s="63"/>
      <c r="CB317" s="63"/>
      <c r="CC317" s="63"/>
      <c r="CD317" s="63"/>
      <c r="CE317" s="63"/>
      <c r="CF317" s="63"/>
      <c r="CG317" s="63"/>
      <c r="CH317" s="63"/>
      <c r="CI317" s="63"/>
      <c r="CJ317" s="63"/>
      <c r="CK317" s="63"/>
      <c r="CL317" s="63"/>
      <c r="CM317" s="63"/>
      <c r="CN317" s="63"/>
      <c r="CO317" s="63"/>
      <c r="CP317" s="63"/>
      <c r="CQ317" s="63"/>
      <c r="CR317" s="63"/>
      <c r="CS317" s="63"/>
      <c r="CX317" s="35" t="s">
        <v>12</v>
      </c>
      <c r="CZ317" s="35"/>
      <c r="DC317" s="57" t="str">
        <f t="shared" si="248"/>
        <v/>
      </c>
      <c r="DD317" s="64" t="str">
        <f t="shared" si="249"/>
        <v/>
      </c>
      <c r="DE317" s="65" t="str">
        <f t="shared" si="250"/>
        <v/>
      </c>
      <c r="DF317" s="66" t="str">
        <f t="shared" si="251"/>
        <v/>
      </c>
    </row>
    <row r="318" spans="2:110" hidden="1" outlineLevel="1">
      <c r="B318" s="54">
        <f t="shared" si="252"/>
        <v>45278</v>
      </c>
      <c r="C318" s="55" t="s">
        <v>1</v>
      </c>
      <c r="D318" s="56">
        <f t="shared" si="253"/>
        <v>45284</v>
      </c>
      <c r="E318" s="52">
        <f t="shared" si="254"/>
        <v>12</v>
      </c>
      <c r="F318" s="53">
        <f t="shared" si="255"/>
        <v>2023</v>
      </c>
      <c r="G318" s="62">
        <f t="shared" si="256"/>
        <v>15</v>
      </c>
      <c r="H318" s="63">
        <f t="shared" si="257"/>
        <v>96</v>
      </c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>
        <v>15</v>
      </c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80"/>
      <c r="AG318" s="87">
        <f t="shared" si="211"/>
        <v>0</v>
      </c>
      <c r="AH318" s="87">
        <f t="shared" si="212"/>
        <v>0</v>
      </c>
      <c r="AI318" s="87">
        <f t="shared" si="213"/>
        <v>0</v>
      </c>
      <c r="AJ318" s="87">
        <f t="shared" si="214"/>
        <v>0</v>
      </c>
      <c r="AK318" s="87">
        <f t="shared" si="215"/>
        <v>0</v>
      </c>
      <c r="AL318" s="87">
        <f t="shared" si="216"/>
        <v>0</v>
      </c>
      <c r="AM318" s="87">
        <f t="shared" si="217"/>
        <v>0</v>
      </c>
      <c r="AN318" s="87">
        <f t="shared" si="218"/>
        <v>0</v>
      </c>
      <c r="AO318" s="87">
        <f t="shared" si="219"/>
        <v>0</v>
      </c>
      <c r="AP318" s="87">
        <f t="shared" si="220"/>
        <v>0</v>
      </c>
      <c r="AQ318" s="87">
        <f t="shared" si="221"/>
        <v>15</v>
      </c>
      <c r="AR318" s="81"/>
      <c r="AS318" s="85">
        <f t="shared" si="222"/>
        <v>0</v>
      </c>
      <c r="AT318" s="85">
        <f t="shared" si="223"/>
        <v>0</v>
      </c>
      <c r="AU318" s="85">
        <f t="shared" si="224"/>
        <v>0</v>
      </c>
      <c r="AV318" s="85">
        <f t="shared" si="225"/>
        <v>0</v>
      </c>
      <c r="AW318" s="85">
        <f t="shared" si="226"/>
        <v>0</v>
      </c>
      <c r="AX318" s="85">
        <f t="shared" si="227"/>
        <v>0</v>
      </c>
      <c r="AY318" s="85">
        <f t="shared" si="228"/>
        <v>0</v>
      </c>
      <c r="AZ318" s="85">
        <f t="shared" si="229"/>
        <v>0</v>
      </c>
      <c r="BA318" s="85">
        <f t="shared" si="230"/>
        <v>0</v>
      </c>
      <c r="BB318" s="85">
        <f t="shared" si="231"/>
        <v>0</v>
      </c>
      <c r="BC318" s="85">
        <f t="shared" si="232"/>
        <v>0</v>
      </c>
      <c r="BD318" s="85">
        <f t="shared" si="233"/>
        <v>0</v>
      </c>
      <c r="BE318" s="85">
        <f t="shared" si="234"/>
        <v>0</v>
      </c>
      <c r="BF318" s="85">
        <f t="shared" si="235"/>
        <v>0</v>
      </c>
      <c r="BG318" s="85">
        <f t="shared" si="236"/>
        <v>0</v>
      </c>
      <c r="BH318" s="85">
        <f t="shared" si="237"/>
        <v>0</v>
      </c>
      <c r="BI318" s="85">
        <f t="shared" si="238"/>
        <v>0</v>
      </c>
      <c r="BJ318" s="85">
        <f t="shared" si="239"/>
        <v>0</v>
      </c>
      <c r="BK318" s="85">
        <f t="shared" si="240"/>
        <v>0</v>
      </c>
      <c r="BL318" s="85">
        <f t="shared" si="241"/>
        <v>0</v>
      </c>
      <c r="BM318" s="85">
        <f t="shared" si="242"/>
        <v>0</v>
      </c>
      <c r="BN318" s="85">
        <f t="shared" si="243"/>
        <v>0</v>
      </c>
      <c r="BO318" s="85">
        <f t="shared" si="244"/>
        <v>0</v>
      </c>
      <c r="BP318" s="85">
        <f t="shared" si="245"/>
        <v>0</v>
      </c>
      <c r="BQ318" s="85">
        <f t="shared" si="246"/>
        <v>0</v>
      </c>
      <c r="BR318" s="85">
        <f t="shared" si="247"/>
        <v>0</v>
      </c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  <c r="CD318" s="63"/>
      <c r="CE318" s="63"/>
      <c r="CF318" s="63"/>
      <c r="CG318" s="63"/>
      <c r="CH318" s="63"/>
      <c r="CI318" s="63"/>
      <c r="CJ318" s="63"/>
      <c r="CK318" s="63"/>
      <c r="CL318" s="63"/>
      <c r="CM318" s="63"/>
      <c r="CN318" s="63"/>
      <c r="CO318" s="63"/>
      <c r="CP318" s="63"/>
      <c r="CQ318" s="63"/>
      <c r="CR318" s="63"/>
      <c r="CS318" s="63"/>
      <c r="CX318" s="35" t="s">
        <v>12</v>
      </c>
      <c r="CZ318" s="35"/>
      <c r="DC318" s="57" t="str">
        <f t="shared" si="248"/>
        <v/>
      </c>
      <c r="DD318" s="64" t="str">
        <f t="shared" si="249"/>
        <v/>
      </c>
      <c r="DE318" s="65" t="str">
        <f t="shared" si="250"/>
        <v/>
      </c>
      <c r="DF318" s="66" t="str">
        <f t="shared" si="251"/>
        <v/>
      </c>
    </row>
    <row r="319" spans="2:110" collapsed="1">
      <c r="B319" s="54">
        <f t="shared" si="252"/>
        <v>45285</v>
      </c>
      <c r="C319" s="55" t="s">
        <v>1</v>
      </c>
      <c r="D319" s="56">
        <f t="shared" si="253"/>
        <v>45291</v>
      </c>
      <c r="E319" s="52">
        <f t="shared" si="254"/>
        <v>12</v>
      </c>
      <c r="F319" s="53">
        <f t="shared" si="255"/>
        <v>2023</v>
      </c>
      <c r="G319" s="62">
        <f t="shared" si="256"/>
        <v>15</v>
      </c>
      <c r="H319" s="63">
        <f t="shared" si="257"/>
        <v>96</v>
      </c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>
        <v>15</v>
      </c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80"/>
      <c r="AG319" s="87">
        <f t="shared" si="211"/>
        <v>0</v>
      </c>
      <c r="AH319" s="87">
        <f t="shared" si="212"/>
        <v>0</v>
      </c>
      <c r="AI319" s="87">
        <f t="shared" si="213"/>
        <v>0</v>
      </c>
      <c r="AJ319" s="87">
        <f t="shared" si="214"/>
        <v>0</v>
      </c>
      <c r="AK319" s="87">
        <f t="shared" si="215"/>
        <v>0</v>
      </c>
      <c r="AL319" s="87">
        <f t="shared" si="216"/>
        <v>0</v>
      </c>
      <c r="AM319" s="87">
        <f t="shared" si="217"/>
        <v>0</v>
      </c>
      <c r="AN319" s="87">
        <f t="shared" si="218"/>
        <v>0</v>
      </c>
      <c r="AO319" s="87">
        <f t="shared" si="219"/>
        <v>0</v>
      </c>
      <c r="AP319" s="87">
        <f t="shared" si="220"/>
        <v>0</v>
      </c>
      <c r="AQ319" s="87">
        <f t="shared" si="221"/>
        <v>15</v>
      </c>
      <c r="AR319" s="81"/>
      <c r="AS319" s="85">
        <f t="shared" si="222"/>
        <v>0</v>
      </c>
      <c r="AT319" s="85">
        <f t="shared" si="223"/>
        <v>0</v>
      </c>
      <c r="AU319" s="85">
        <f t="shared" si="224"/>
        <v>0</v>
      </c>
      <c r="AV319" s="85">
        <f t="shared" si="225"/>
        <v>0</v>
      </c>
      <c r="AW319" s="85">
        <f t="shared" si="226"/>
        <v>0</v>
      </c>
      <c r="AX319" s="85">
        <f t="shared" si="227"/>
        <v>0</v>
      </c>
      <c r="AY319" s="85">
        <f t="shared" si="228"/>
        <v>0</v>
      </c>
      <c r="AZ319" s="85">
        <f t="shared" si="229"/>
        <v>0</v>
      </c>
      <c r="BA319" s="85">
        <f t="shared" si="230"/>
        <v>0</v>
      </c>
      <c r="BB319" s="85">
        <f t="shared" si="231"/>
        <v>0</v>
      </c>
      <c r="BC319" s="85">
        <f t="shared" si="232"/>
        <v>0</v>
      </c>
      <c r="BD319" s="85">
        <f t="shared" si="233"/>
        <v>0</v>
      </c>
      <c r="BE319" s="85">
        <f t="shared" si="234"/>
        <v>0</v>
      </c>
      <c r="BF319" s="85">
        <f t="shared" si="235"/>
        <v>0</v>
      </c>
      <c r="BG319" s="85">
        <f t="shared" si="236"/>
        <v>0</v>
      </c>
      <c r="BH319" s="85">
        <f t="shared" si="237"/>
        <v>0</v>
      </c>
      <c r="BI319" s="85">
        <f t="shared" si="238"/>
        <v>0</v>
      </c>
      <c r="BJ319" s="85">
        <f t="shared" si="239"/>
        <v>0</v>
      </c>
      <c r="BK319" s="85">
        <f t="shared" si="240"/>
        <v>0</v>
      </c>
      <c r="BL319" s="85">
        <f t="shared" si="241"/>
        <v>0</v>
      </c>
      <c r="BM319" s="85">
        <f t="shared" si="242"/>
        <v>0</v>
      </c>
      <c r="BN319" s="85">
        <f t="shared" si="243"/>
        <v>0</v>
      </c>
      <c r="BO319" s="85">
        <f t="shared" si="244"/>
        <v>0</v>
      </c>
      <c r="BP319" s="85">
        <f t="shared" si="245"/>
        <v>0</v>
      </c>
      <c r="BQ319" s="85">
        <f t="shared" si="246"/>
        <v>0</v>
      </c>
      <c r="BR319" s="85">
        <f t="shared" si="247"/>
        <v>0</v>
      </c>
      <c r="BT319" s="63"/>
      <c r="BU319" s="63"/>
      <c r="BV319" s="63"/>
      <c r="BW319" s="63"/>
      <c r="BX319" s="63"/>
      <c r="BY319" s="63"/>
      <c r="BZ319" s="63"/>
      <c r="CA319" s="63"/>
      <c r="CB319" s="63"/>
      <c r="CC319" s="63"/>
      <c r="CD319" s="63"/>
      <c r="CE319" s="63"/>
      <c r="CF319" s="63"/>
      <c r="CG319" s="63"/>
      <c r="CH319" s="63"/>
      <c r="CI319" s="63"/>
      <c r="CJ319" s="63"/>
      <c r="CK319" s="63"/>
      <c r="CL319" s="63"/>
      <c r="CM319" s="63"/>
      <c r="CN319" s="63"/>
      <c r="CO319" s="63"/>
      <c r="CP319" s="63"/>
      <c r="CQ319" s="63"/>
      <c r="CR319" s="63"/>
      <c r="CS319" s="63"/>
      <c r="CX319" s="35" t="s">
        <v>12</v>
      </c>
      <c r="CZ319" s="35"/>
      <c r="DC319" s="57" t="str">
        <f t="shared" si="248"/>
        <v/>
      </c>
      <c r="DD319" s="64" t="str">
        <f t="shared" si="249"/>
        <v/>
      </c>
      <c r="DE319" s="65" t="str">
        <f t="shared" si="250"/>
        <v/>
      </c>
      <c r="DF319" s="66" t="str">
        <f t="shared" si="251"/>
        <v/>
      </c>
    </row>
    <row r="320" spans="2:110" hidden="1" outlineLevel="1">
      <c r="B320" s="54">
        <f t="shared" si="252"/>
        <v>45292</v>
      </c>
      <c r="C320" s="55" t="s">
        <v>1</v>
      </c>
      <c r="D320" s="56">
        <f t="shared" si="253"/>
        <v>45298</v>
      </c>
      <c r="E320" s="52">
        <f t="shared" si="254"/>
        <v>1</v>
      </c>
      <c r="F320" s="53">
        <f t="shared" si="255"/>
        <v>2024</v>
      </c>
      <c r="G320" s="62">
        <f t="shared" si="256"/>
        <v>15</v>
      </c>
      <c r="H320" s="63">
        <f t="shared" si="257"/>
        <v>96</v>
      </c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>
        <v>15</v>
      </c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80"/>
      <c r="AG320" s="87">
        <f t="shared" si="211"/>
        <v>0</v>
      </c>
      <c r="AH320" s="87">
        <f t="shared" si="212"/>
        <v>0</v>
      </c>
      <c r="AI320" s="87">
        <f t="shared" si="213"/>
        <v>0</v>
      </c>
      <c r="AJ320" s="87">
        <f t="shared" si="214"/>
        <v>0</v>
      </c>
      <c r="AK320" s="87">
        <f t="shared" si="215"/>
        <v>0</v>
      </c>
      <c r="AL320" s="87">
        <f t="shared" si="216"/>
        <v>0</v>
      </c>
      <c r="AM320" s="87">
        <f t="shared" si="217"/>
        <v>0</v>
      </c>
      <c r="AN320" s="87">
        <f t="shared" si="218"/>
        <v>0</v>
      </c>
      <c r="AO320" s="87">
        <f t="shared" si="219"/>
        <v>0</v>
      </c>
      <c r="AP320" s="87">
        <f t="shared" si="220"/>
        <v>0</v>
      </c>
      <c r="AQ320" s="87">
        <f t="shared" si="221"/>
        <v>15</v>
      </c>
      <c r="AR320" s="81"/>
      <c r="AS320" s="85">
        <f t="shared" si="222"/>
        <v>0</v>
      </c>
      <c r="AT320" s="85">
        <f t="shared" si="223"/>
        <v>0</v>
      </c>
      <c r="AU320" s="85">
        <f t="shared" si="224"/>
        <v>0</v>
      </c>
      <c r="AV320" s="85">
        <f t="shared" si="225"/>
        <v>0</v>
      </c>
      <c r="AW320" s="85">
        <f t="shared" si="226"/>
        <v>0</v>
      </c>
      <c r="AX320" s="85">
        <f t="shared" si="227"/>
        <v>0</v>
      </c>
      <c r="AY320" s="85">
        <f t="shared" si="228"/>
        <v>0</v>
      </c>
      <c r="AZ320" s="85">
        <f t="shared" si="229"/>
        <v>0</v>
      </c>
      <c r="BA320" s="85">
        <f t="shared" si="230"/>
        <v>0</v>
      </c>
      <c r="BB320" s="85">
        <f t="shared" si="231"/>
        <v>0</v>
      </c>
      <c r="BC320" s="85">
        <f t="shared" si="232"/>
        <v>0</v>
      </c>
      <c r="BD320" s="85">
        <f t="shared" si="233"/>
        <v>0</v>
      </c>
      <c r="BE320" s="85">
        <f t="shared" si="234"/>
        <v>0</v>
      </c>
      <c r="BF320" s="85">
        <f t="shared" si="235"/>
        <v>0</v>
      </c>
      <c r="BG320" s="85">
        <f t="shared" si="236"/>
        <v>0</v>
      </c>
      <c r="BH320" s="85">
        <f t="shared" si="237"/>
        <v>0</v>
      </c>
      <c r="BI320" s="85">
        <f t="shared" si="238"/>
        <v>0</v>
      </c>
      <c r="BJ320" s="85">
        <f t="shared" si="239"/>
        <v>0</v>
      </c>
      <c r="BK320" s="85">
        <f t="shared" si="240"/>
        <v>0</v>
      </c>
      <c r="BL320" s="85">
        <f t="shared" si="241"/>
        <v>0</v>
      </c>
      <c r="BM320" s="85">
        <f t="shared" si="242"/>
        <v>0</v>
      </c>
      <c r="BN320" s="85">
        <f t="shared" si="243"/>
        <v>0</v>
      </c>
      <c r="BO320" s="85">
        <f t="shared" si="244"/>
        <v>0</v>
      </c>
      <c r="BP320" s="85">
        <f t="shared" si="245"/>
        <v>0</v>
      </c>
      <c r="BQ320" s="85">
        <f t="shared" si="246"/>
        <v>0</v>
      </c>
      <c r="BR320" s="85">
        <f t="shared" si="247"/>
        <v>0</v>
      </c>
      <c r="BT320" s="63"/>
      <c r="BU320" s="63"/>
      <c r="BV320" s="63"/>
      <c r="BW320" s="63"/>
      <c r="BX320" s="63"/>
      <c r="BY320" s="63"/>
      <c r="BZ320" s="63"/>
      <c r="CA320" s="63"/>
      <c r="CB320" s="63"/>
      <c r="CC320" s="63"/>
      <c r="CD320" s="63"/>
      <c r="CE320" s="63"/>
      <c r="CF320" s="63"/>
      <c r="CG320" s="63"/>
      <c r="CH320" s="63"/>
      <c r="CI320" s="63"/>
      <c r="CJ320" s="63"/>
      <c r="CK320" s="63"/>
      <c r="CL320" s="63"/>
      <c r="CM320" s="63"/>
      <c r="CN320" s="63"/>
      <c r="CO320" s="63"/>
      <c r="CP320" s="63"/>
      <c r="CQ320" s="63"/>
      <c r="CR320" s="63"/>
      <c r="CS320" s="63"/>
      <c r="CX320" s="35" t="s">
        <v>12</v>
      </c>
      <c r="CZ320" s="35"/>
      <c r="DC320" s="57" t="str">
        <f t="shared" si="248"/>
        <v/>
      </c>
      <c r="DD320" s="64" t="str">
        <f t="shared" si="249"/>
        <v/>
      </c>
      <c r="DE320" s="65" t="str">
        <f t="shared" si="250"/>
        <v/>
      </c>
      <c r="DF320" s="66" t="str">
        <f t="shared" si="251"/>
        <v/>
      </c>
    </row>
    <row r="321" spans="2:110" hidden="1" outlineLevel="1">
      <c r="B321" s="54">
        <f t="shared" si="252"/>
        <v>45299</v>
      </c>
      <c r="C321" s="55" t="s">
        <v>1</v>
      </c>
      <c r="D321" s="56">
        <f t="shared" si="253"/>
        <v>45305</v>
      </c>
      <c r="E321" s="52">
        <f t="shared" si="254"/>
        <v>1</v>
      </c>
      <c r="F321" s="53">
        <f t="shared" si="255"/>
        <v>2024</v>
      </c>
      <c r="G321" s="62">
        <f t="shared" si="256"/>
        <v>15</v>
      </c>
      <c r="H321" s="63">
        <f t="shared" si="257"/>
        <v>96</v>
      </c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>
        <v>15</v>
      </c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80"/>
      <c r="AG321" s="87">
        <f t="shared" si="211"/>
        <v>0</v>
      </c>
      <c r="AH321" s="87">
        <f t="shared" si="212"/>
        <v>0</v>
      </c>
      <c r="AI321" s="87">
        <f t="shared" si="213"/>
        <v>0</v>
      </c>
      <c r="AJ321" s="87">
        <f t="shared" si="214"/>
        <v>0</v>
      </c>
      <c r="AK321" s="87">
        <f t="shared" si="215"/>
        <v>0</v>
      </c>
      <c r="AL321" s="87">
        <f t="shared" si="216"/>
        <v>0</v>
      </c>
      <c r="AM321" s="87">
        <f t="shared" si="217"/>
        <v>0</v>
      </c>
      <c r="AN321" s="87">
        <f t="shared" si="218"/>
        <v>0</v>
      </c>
      <c r="AO321" s="87">
        <f t="shared" si="219"/>
        <v>0</v>
      </c>
      <c r="AP321" s="87">
        <f t="shared" si="220"/>
        <v>0</v>
      </c>
      <c r="AQ321" s="87">
        <f t="shared" si="221"/>
        <v>15</v>
      </c>
      <c r="AR321" s="81"/>
      <c r="AS321" s="85">
        <f t="shared" si="222"/>
        <v>0</v>
      </c>
      <c r="AT321" s="85">
        <f t="shared" si="223"/>
        <v>0</v>
      </c>
      <c r="AU321" s="85">
        <f t="shared" si="224"/>
        <v>0</v>
      </c>
      <c r="AV321" s="85">
        <f t="shared" si="225"/>
        <v>0</v>
      </c>
      <c r="AW321" s="85">
        <f t="shared" si="226"/>
        <v>0</v>
      </c>
      <c r="AX321" s="85">
        <f t="shared" si="227"/>
        <v>0</v>
      </c>
      <c r="AY321" s="85">
        <f t="shared" si="228"/>
        <v>0</v>
      </c>
      <c r="AZ321" s="85">
        <f t="shared" si="229"/>
        <v>0</v>
      </c>
      <c r="BA321" s="85">
        <f t="shared" si="230"/>
        <v>0</v>
      </c>
      <c r="BB321" s="85">
        <f t="shared" si="231"/>
        <v>0</v>
      </c>
      <c r="BC321" s="85">
        <f t="shared" si="232"/>
        <v>0</v>
      </c>
      <c r="BD321" s="85">
        <f t="shared" si="233"/>
        <v>0</v>
      </c>
      <c r="BE321" s="85">
        <f t="shared" si="234"/>
        <v>0</v>
      </c>
      <c r="BF321" s="85">
        <f t="shared" si="235"/>
        <v>0</v>
      </c>
      <c r="BG321" s="85">
        <f t="shared" si="236"/>
        <v>0</v>
      </c>
      <c r="BH321" s="85">
        <f t="shared" si="237"/>
        <v>0</v>
      </c>
      <c r="BI321" s="85">
        <f t="shared" si="238"/>
        <v>0</v>
      </c>
      <c r="BJ321" s="85">
        <f t="shared" si="239"/>
        <v>0</v>
      </c>
      <c r="BK321" s="85">
        <f t="shared" si="240"/>
        <v>0</v>
      </c>
      <c r="BL321" s="85">
        <f t="shared" si="241"/>
        <v>0</v>
      </c>
      <c r="BM321" s="85">
        <f t="shared" si="242"/>
        <v>0</v>
      </c>
      <c r="BN321" s="85">
        <f t="shared" si="243"/>
        <v>0</v>
      </c>
      <c r="BO321" s="85">
        <f t="shared" si="244"/>
        <v>0</v>
      </c>
      <c r="BP321" s="85">
        <f t="shared" si="245"/>
        <v>0</v>
      </c>
      <c r="BQ321" s="85">
        <f t="shared" si="246"/>
        <v>0</v>
      </c>
      <c r="BR321" s="85">
        <f t="shared" si="247"/>
        <v>0</v>
      </c>
      <c r="BT321" s="63"/>
      <c r="BU321" s="63"/>
      <c r="BV321" s="63"/>
      <c r="BW321" s="63"/>
      <c r="BX321" s="63"/>
      <c r="BY321" s="63"/>
      <c r="BZ321" s="63"/>
      <c r="CA321" s="63"/>
      <c r="CB321" s="63"/>
      <c r="CC321" s="63"/>
      <c r="CD321" s="63"/>
      <c r="CE321" s="63"/>
      <c r="CF321" s="63"/>
      <c r="CG321" s="63"/>
      <c r="CH321" s="63"/>
      <c r="CI321" s="63"/>
      <c r="CJ321" s="63"/>
      <c r="CK321" s="63"/>
      <c r="CL321" s="63"/>
      <c r="CM321" s="63"/>
      <c r="CN321" s="63"/>
      <c r="CO321" s="63"/>
      <c r="CP321" s="63"/>
      <c r="CQ321" s="63"/>
      <c r="CR321" s="63"/>
      <c r="CS321" s="63"/>
      <c r="CX321" s="35" t="s">
        <v>12</v>
      </c>
      <c r="CZ321" s="35"/>
      <c r="DC321" s="57" t="str">
        <f t="shared" si="248"/>
        <v/>
      </c>
      <c r="DD321" s="64" t="str">
        <f t="shared" si="249"/>
        <v/>
      </c>
      <c r="DE321" s="65" t="str">
        <f t="shared" si="250"/>
        <v/>
      </c>
      <c r="DF321" s="66" t="str">
        <f t="shared" si="251"/>
        <v/>
      </c>
    </row>
    <row r="322" spans="2:110" hidden="1" outlineLevel="1">
      <c r="B322" s="54">
        <f t="shared" si="252"/>
        <v>45306</v>
      </c>
      <c r="C322" s="55" t="s">
        <v>1</v>
      </c>
      <c r="D322" s="56">
        <f t="shared" si="253"/>
        <v>45312</v>
      </c>
      <c r="E322" s="52">
        <f t="shared" si="254"/>
        <v>1</v>
      </c>
      <c r="F322" s="53">
        <f t="shared" si="255"/>
        <v>2024</v>
      </c>
      <c r="G322" s="62">
        <f t="shared" si="256"/>
        <v>15</v>
      </c>
      <c r="H322" s="63">
        <f t="shared" si="257"/>
        <v>96</v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>
        <v>15</v>
      </c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80"/>
      <c r="AG322" s="87">
        <f t="shared" si="211"/>
        <v>0</v>
      </c>
      <c r="AH322" s="87">
        <f t="shared" si="212"/>
        <v>0</v>
      </c>
      <c r="AI322" s="87">
        <f t="shared" si="213"/>
        <v>0</v>
      </c>
      <c r="AJ322" s="87">
        <f t="shared" si="214"/>
        <v>0</v>
      </c>
      <c r="AK322" s="87">
        <f t="shared" si="215"/>
        <v>0</v>
      </c>
      <c r="AL322" s="87">
        <f t="shared" si="216"/>
        <v>0</v>
      </c>
      <c r="AM322" s="87">
        <f t="shared" si="217"/>
        <v>0</v>
      </c>
      <c r="AN322" s="87">
        <f t="shared" si="218"/>
        <v>0</v>
      </c>
      <c r="AO322" s="87">
        <f t="shared" si="219"/>
        <v>0</v>
      </c>
      <c r="AP322" s="87">
        <f t="shared" si="220"/>
        <v>0</v>
      </c>
      <c r="AQ322" s="87">
        <f t="shared" si="221"/>
        <v>15</v>
      </c>
      <c r="AR322" s="81"/>
      <c r="AS322" s="85">
        <f t="shared" si="222"/>
        <v>0</v>
      </c>
      <c r="AT322" s="85">
        <f t="shared" si="223"/>
        <v>0</v>
      </c>
      <c r="AU322" s="85">
        <f t="shared" si="224"/>
        <v>0</v>
      </c>
      <c r="AV322" s="85">
        <f t="shared" si="225"/>
        <v>0</v>
      </c>
      <c r="AW322" s="85">
        <f t="shared" si="226"/>
        <v>0</v>
      </c>
      <c r="AX322" s="85">
        <f t="shared" si="227"/>
        <v>0</v>
      </c>
      <c r="AY322" s="85">
        <f t="shared" si="228"/>
        <v>0</v>
      </c>
      <c r="AZ322" s="85">
        <f t="shared" si="229"/>
        <v>0</v>
      </c>
      <c r="BA322" s="85">
        <f t="shared" si="230"/>
        <v>0</v>
      </c>
      <c r="BB322" s="85">
        <f t="shared" si="231"/>
        <v>0</v>
      </c>
      <c r="BC322" s="85">
        <f t="shared" si="232"/>
        <v>0</v>
      </c>
      <c r="BD322" s="85">
        <f t="shared" si="233"/>
        <v>0</v>
      </c>
      <c r="BE322" s="85">
        <f t="shared" si="234"/>
        <v>0</v>
      </c>
      <c r="BF322" s="85">
        <f t="shared" si="235"/>
        <v>0</v>
      </c>
      <c r="BG322" s="85">
        <f t="shared" si="236"/>
        <v>0</v>
      </c>
      <c r="BH322" s="85">
        <f t="shared" si="237"/>
        <v>0</v>
      </c>
      <c r="BI322" s="85">
        <f t="shared" si="238"/>
        <v>0</v>
      </c>
      <c r="BJ322" s="85">
        <f t="shared" si="239"/>
        <v>0</v>
      </c>
      <c r="BK322" s="85">
        <f t="shared" si="240"/>
        <v>0</v>
      </c>
      <c r="BL322" s="85">
        <f t="shared" si="241"/>
        <v>0</v>
      </c>
      <c r="BM322" s="85">
        <f t="shared" si="242"/>
        <v>0</v>
      </c>
      <c r="BN322" s="85">
        <f t="shared" si="243"/>
        <v>0</v>
      </c>
      <c r="BO322" s="85">
        <f t="shared" si="244"/>
        <v>0</v>
      </c>
      <c r="BP322" s="85">
        <f t="shared" si="245"/>
        <v>0</v>
      </c>
      <c r="BQ322" s="85">
        <f t="shared" si="246"/>
        <v>0</v>
      </c>
      <c r="BR322" s="85">
        <f t="shared" si="247"/>
        <v>0</v>
      </c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3"/>
      <c r="CF322" s="63"/>
      <c r="CG322" s="63"/>
      <c r="CH322" s="63"/>
      <c r="CI322" s="63"/>
      <c r="CJ322" s="63"/>
      <c r="CK322" s="63"/>
      <c r="CL322" s="63"/>
      <c r="CM322" s="63"/>
      <c r="CN322" s="63"/>
      <c r="CO322" s="63"/>
      <c r="CP322" s="63"/>
      <c r="CQ322" s="63"/>
      <c r="CR322" s="63"/>
      <c r="CS322" s="63"/>
      <c r="CX322" s="35" t="s">
        <v>12</v>
      </c>
      <c r="CZ322" s="35"/>
      <c r="DC322" s="57" t="str">
        <f t="shared" si="248"/>
        <v/>
      </c>
      <c r="DD322" s="64" t="str">
        <f t="shared" si="249"/>
        <v/>
      </c>
      <c r="DE322" s="65" t="str">
        <f t="shared" si="250"/>
        <v/>
      </c>
      <c r="DF322" s="66" t="str">
        <f t="shared" si="251"/>
        <v/>
      </c>
    </row>
    <row r="323" spans="2:110" hidden="1" outlineLevel="1">
      <c r="B323" s="54">
        <f t="shared" si="252"/>
        <v>45313</v>
      </c>
      <c r="C323" s="55" t="s">
        <v>1</v>
      </c>
      <c r="D323" s="56">
        <f t="shared" si="253"/>
        <v>45319</v>
      </c>
      <c r="E323" s="52">
        <f t="shared" si="254"/>
        <v>1</v>
      </c>
      <c r="F323" s="53">
        <f t="shared" si="255"/>
        <v>2024</v>
      </c>
      <c r="G323" s="62">
        <f t="shared" si="256"/>
        <v>15</v>
      </c>
      <c r="H323" s="63">
        <f t="shared" si="257"/>
        <v>96</v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>
        <v>15</v>
      </c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80"/>
      <c r="AG323" s="87">
        <f t="shared" si="211"/>
        <v>0</v>
      </c>
      <c r="AH323" s="87">
        <f t="shared" si="212"/>
        <v>0</v>
      </c>
      <c r="AI323" s="87">
        <f t="shared" si="213"/>
        <v>0</v>
      </c>
      <c r="AJ323" s="87">
        <f t="shared" si="214"/>
        <v>0</v>
      </c>
      <c r="AK323" s="87">
        <f t="shared" si="215"/>
        <v>0</v>
      </c>
      <c r="AL323" s="87">
        <f t="shared" si="216"/>
        <v>0</v>
      </c>
      <c r="AM323" s="87">
        <f t="shared" si="217"/>
        <v>0</v>
      </c>
      <c r="AN323" s="87">
        <f t="shared" si="218"/>
        <v>0</v>
      </c>
      <c r="AO323" s="87">
        <f t="shared" si="219"/>
        <v>0</v>
      </c>
      <c r="AP323" s="87">
        <f t="shared" si="220"/>
        <v>0</v>
      </c>
      <c r="AQ323" s="87">
        <f t="shared" si="221"/>
        <v>15</v>
      </c>
      <c r="AR323" s="81"/>
      <c r="AS323" s="85">
        <f t="shared" si="222"/>
        <v>0</v>
      </c>
      <c r="AT323" s="85">
        <f t="shared" si="223"/>
        <v>0</v>
      </c>
      <c r="AU323" s="85">
        <f t="shared" si="224"/>
        <v>0</v>
      </c>
      <c r="AV323" s="85">
        <f t="shared" si="225"/>
        <v>0</v>
      </c>
      <c r="AW323" s="85">
        <f t="shared" si="226"/>
        <v>0</v>
      </c>
      <c r="AX323" s="85">
        <f t="shared" si="227"/>
        <v>0</v>
      </c>
      <c r="AY323" s="85">
        <f t="shared" si="228"/>
        <v>0</v>
      </c>
      <c r="AZ323" s="85">
        <f t="shared" si="229"/>
        <v>0</v>
      </c>
      <c r="BA323" s="85">
        <f t="shared" si="230"/>
        <v>0</v>
      </c>
      <c r="BB323" s="85">
        <f t="shared" si="231"/>
        <v>0</v>
      </c>
      <c r="BC323" s="85">
        <f t="shared" si="232"/>
        <v>0</v>
      </c>
      <c r="BD323" s="85">
        <f t="shared" si="233"/>
        <v>0</v>
      </c>
      <c r="BE323" s="85">
        <f t="shared" si="234"/>
        <v>0</v>
      </c>
      <c r="BF323" s="85">
        <f t="shared" si="235"/>
        <v>0</v>
      </c>
      <c r="BG323" s="85">
        <f t="shared" si="236"/>
        <v>0</v>
      </c>
      <c r="BH323" s="85">
        <f t="shared" si="237"/>
        <v>0</v>
      </c>
      <c r="BI323" s="85">
        <f t="shared" si="238"/>
        <v>0</v>
      </c>
      <c r="BJ323" s="85">
        <f t="shared" si="239"/>
        <v>0</v>
      </c>
      <c r="BK323" s="85">
        <f t="shared" si="240"/>
        <v>0</v>
      </c>
      <c r="BL323" s="85">
        <f t="shared" si="241"/>
        <v>0</v>
      </c>
      <c r="BM323" s="85">
        <f t="shared" si="242"/>
        <v>0</v>
      </c>
      <c r="BN323" s="85">
        <f t="shared" si="243"/>
        <v>0</v>
      </c>
      <c r="BO323" s="85">
        <f t="shared" si="244"/>
        <v>0</v>
      </c>
      <c r="BP323" s="85">
        <f t="shared" si="245"/>
        <v>0</v>
      </c>
      <c r="BQ323" s="85">
        <f t="shared" si="246"/>
        <v>0</v>
      </c>
      <c r="BR323" s="85">
        <f t="shared" si="247"/>
        <v>0</v>
      </c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  <c r="CD323" s="63"/>
      <c r="CE323" s="63"/>
      <c r="CF323" s="63"/>
      <c r="CG323" s="63"/>
      <c r="CH323" s="63"/>
      <c r="CI323" s="63"/>
      <c r="CJ323" s="63"/>
      <c r="CK323" s="63"/>
      <c r="CL323" s="63"/>
      <c r="CM323" s="63"/>
      <c r="CN323" s="63"/>
      <c r="CO323" s="63"/>
      <c r="CP323" s="63"/>
      <c r="CQ323" s="63"/>
      <c r="CR323" s="63"/>
      <c r="CS323" s="63"/>
      <c r="CX323" s="35" t="s">
        <v>12</v>
      </c>
      <c r="CZ323" s="35"/>
      <c r="DC323" s="57" t="str">
        <f t="shared" si="248"/>
        <v/>
      </c>
      <c r="DD323" s="64" t="str">
        <f t="shared" si="249"/>
        <v/>
      </c>
      <c r="DE323" s="65" t="str">
        <f t="shared" si="250"/>
        <v/>
      </c>
      <c r="DF323" s="66" t="str">
        <f t="shared" si="251"/>
        <v/>
      </c>
    </row>
    <row r="324" spans="2:110" hidden="1" outlineLevel="1">
      <c r="B324" s="54">
        <f t="shared" si="252"/>
        <v>45320</v>
      </c>
      <c r="C324" s="55" t="s">
        <v>1</v>
      </c>
      <c r="D324" s="56">
        <f t="shared" si="253"/>
        <v>45326</v>
      </c>
      <c r="E324" s="52">
        <f t="shared" si="254"/>
        <v>1</v>
      </c>
      <c r="F324" s="53">
        <f t="shared" si="255"/>
        <v>2024</v>
      </c>
      <c r="G324" s="62">
        <f t="shared" si="256"/>
        <v>15</v>
      </c>
      <c r="H324" s="63">
        <f t="shared" si="257"/>
        <v>96</v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>
        <v>15</v>
      </c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80"/>
      <c r="AG324" s="87">
        <f t="shared" si="211"/>
        <v>0</v>
      </c>
      <c r="AH324" s="87">
        <f t="shared" si="212"/>
        <v>0</v>
      </c>
      <c r="AI324" s="87">
        <f t="shared" si="213"/>
        <v>0</v>
      </c>
      <c r="AJ324" s="87">
        <f t="shared" si="214"/>
        <v>0</v>
      </c>
      <c r="AK324" s="87">
        <f t="shared" si="215"/>
        <v>0</v>
      </c>
      <c r="AL324" s="87">
        <f t="shared" si="216"/>
        <v>0</v>
      </c>
      <c r="AM324" s="87">
        <f t="shared" si="217"/>
        <v>0</v>
      </c>
      <c r="AN324" s="87">
        <f t="shared" si="218"/>
        <v>0</v>
      </c>
      <c r="AO324" s="87">
        <f t="shared" si="219"/>
        <v>0</v>
      </c>
      <c r="AP324" s="87">
        <f t="shared" si="220"/>
        <v>0</v>
      </c>
      <c r="AQ324" s="87">
        <f t="shared" si="221"/>
        <v>15</v>
      </c>
      <c r="AR324" s="81"/>
      <c r="AS324" s="85">
        <f t="shared" si="222"/>
        <v>0</v>
      </c>
      <c r="AT324" s="85">
        <f t="shared" si="223"/>
        <v>0</v>
      </c>
      <c r="AU324" s="85">
        <f t="shared" si="224"/>
        <v>0</v>
      </c>
      <c r="AV324" s="85">
        <f t="shared" si="225"/>
        <v>0</v>
      </c>
      <c r="AW324" s="85">
        <f t="shared" si="226"/>
        <v>0</v>
      </c>
      <c r="AX324" s="85">
        <f t="shared" si="227"/>
        <v>0</v>
      </c>
      <c r="AY324" s="85">
        <f t="shared" si="228"/>
        <v>0</v>
      </c>
      <c r="AZ324" s="85">
        <f t="shared" si="229"/>
        <v>0</v>
      </c>
      <c r="BA324" s="85">
        <f t="shared" si="230"/>
        <v>0</v>
      </c>
      <c r="BB324" s="85">
        <f t="shared" si="231"/>
        <v>0</v>
      </c>
      <c r="BC324" s="85">
        <f t="shared" si="232"/>
        <v>0</v>
      </c>
      <c r="BD324" s="85">
        <f t="shared" si="233"/>
        <v>0</v>
      </c>
      <c r="BE324" s="85">
        <f t="shared" si="234"/>
        <v>0</v>
      </c>
      <c r="BF324" s="85">
        <f t="shared" si="235"/>
        <v>0</v>
      </c>
      <c r="BG324" s="85">
        <f t="shared" si="236"/>
        <v>0</v>
      </c>
      <c r="BH324" s="85">
        <f t="shared" si="237"/>
        <v>0</v>
      </c>
      <c r="BI324" s="85">
        <f t="shared" si="238"/>
        <v>0</v>
      </c>
      <c r="BJ324" s="85">
        <f t="shared" si="239"/>
        <v>0</v>
      </c>
      <c r="BK324" s="85">
        <f t="shared" si="240"/>
        <v>0</v>
      </c>
      <c r="BL324" s="85">
        <f t="shared" si="241"/>
        <v>0</v>
      </c>
      <c r="BM324" s="85">
        <f t="shared" si="242"/>
        <v>0</v>
      </c>
      <c r="BN324" s="85">
        <f t="shared" si="243"/>
        <v>0</v>
      </c>
      <c r="BO324" s="85">
        <f t="shared" si="244"/>
        <v>0</v>
      </c>
      <c r="BP324" s="85">
        <f t="shared" si="245"/>
        <v>0</v>
      </c>
      <c r="BQ324" s="85">
        <f t="shared" si="246"/>
        <v>0</v>
      </c>
      <c r="BR324" s="85">
        <f t="shared" si="247"/>
        <v>0</v>
      </c>
      <c r="BT324" s="63"/>
      <c r="BU324" s="63"/>
      <c r="BV324" s="63"/>
      <c r="BW324" s="63"/>
      <c r="BX324" s="63"/>
      <c r="BY324" s="63"/>
      <c r="BZ324" s="63"/>
      <c r="CA324" s="63"/>
      <c r="CB324" s="63"/>
      <c r="CC324" s="63"/>
      <c r="CD324" s="63"/>
      <c r="CE324" s="63"/>
      <c r="CF324" s="63"/>
      <c r="CG324" s="63"/>
      <c r="CH324" s="63"/>
      <c r="CI324" s="63"/>
      <c r="CJ324" s="63"/>
      <c r="CK324" s="63"/>
      <c r="CL324" s="63"/>
      <c r="CM324" s="63"/>
      <c r="CN324" s="63"/>
      <c r="CO324" s="63"/>
      <c r="CP324" s="63"/>
      <c r="CQ324" s="63"/>
      <c r="CR324" s="63"/>
      <c r="CS324" s="63"/>
      <c r="CX324" s="35" t="s">
        <v>12</v>
      </c>
      <c r="CZ324" s="35"/>
      <c r="DC324" s="57" t="str">
        <f t="shared" si="248"/>
        <v/>
      </c>
      <c r="DD324" s="64" t="str">
        <f t="shared" si="249"/>
        <v/>
      </c>
      <c r="DE324" s="65" t="str">
        <f t="shared" si="250"/>
        <v/>
      </c>
      <c r="DF324" s="66" t="str">
        <f t="shared" si="251"/>
        <v/>
      </c>
    </row>
    <row r="325" spans="2:110" hidden="1" outlineLevel="1">
      <c r="B325" s="54">
        <f t="shared" si="252"/>
        <v>45327</v>
      </c>
      <c r="C325" s="55" t="s">
        <v>1</v>
      </c>
      <c r="D325" s="56">
        <f t="shared" si="253"/>
        <v>45333</v>
      </c>
      <c r="E325" s="52">
        <f t="shared" si="254"/>
        <v>2</v>
      </c>
      <c r="F325" s="53">
        <f t="shared" si="255"/>
        <v>2024</v>
      </c>
      <c r="G325" s="62">
        <f t="shared" si="256"/>
        <v>15</v>
      </c>
      <c r="H325" s="63">
        <f t="shared" si="257"/>
        <v>96</v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>
        <v>15</v>
      </c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80"/>
      <c r="AG325" s="87">
        <f t="shared" si="211"/>
        <v>0</v>
      </c>
      <c r="AH325" s="87">
        <f t="shared" si="212"/>
        <v>0</v>
      </c>
      <c r="AI325" s="87">
        <f t="shared" si="213"/>
        <v>0</v>
      </c>
      <c r="AJ325" s="87">
        <f t="shared" si="214"/>
        <v>0</v>
      </c>
      <c r="AK325" s="87">
        <f t="shared" si="215"/>
        <v>0</v>
      </c>
      <c r="AL325" s="87">
        <f t="shared" si="216"/>
        <v>0</v>
      </c>
      <c r="AM325" s="87">
        <f t="shared" si="217"/>
        <v>0</v>
      </c>
      <c r="AN325" s="87">
        <f t="shared" si="218"/>
        <v>0</v>
      </c>
      <c r="AO325" s="87">
        <f t="shared" si="219"/>
        <v>0</v>
      </c>
      <c r="AP325" s="87">
        <f t="shared" si="220"/>
        <v>0</v>
      </c>
      <c r="AQ325" s="87">
        <f t="shared" si="221"/>
        <v>15</v>
      </c>
      <c r="AR325" s="81"/>
      <c r="AS325" s="85">
        <f t="shared" si="222"/>
        <v>0</v>
      </c>
      <c r="AT325" s="85">
        <f t="shared" si="223"/>
        <v>0</v>
      </c>
      <c r="AU325" s="85">
        <f t="shared" si="224"/>
        <v>0</v>
      </c>
      <c r="AV325" s="85">
        <f t="shared" si="225"/>
        <v>0</v>
      </c>
      <c r="AW325" s="85">
        <f t="shared" si="226"/>
        <v>0</v>
      </c>
      <c r="AX325" s="85">
        <f t="shared" si="227"/>
        <v>0</v>
      </c>
      <c r="AY325" s="85">
        <f t="shared" si="228"/>
        <v>0</v>
      </c>
      <c r="AZ325" s="85">
        <f t="shared" si="229"/>
        <v>0</v>
      </c>
      <c r="BA325" s="85">
        <f t="shared" si="230"/>
        <v>0</v>
      </c>
      <c r="BB325" s="85">
        <f t="shared" si="231"/>
        <v>0</v>
      </c>
      <c r="BC325" s="85">
        <f t="shared" si="232"/>
        <v>0</v>
      </c>
      <c r="BD325" s="85">
        <f t="shared" si="233"/>
        <v>0</v>
      </c>
      <c r="BE325" s="85">
        <f t="shared" si="234"/>
        <v>0</v>
      </c>
      <c r="BF325" s="85">
        <f t="shared" si="235"/>
        <v>0</v>
      </c>
      <c r="BG325" s="85">
        <f t="shared" si="236"/>
        <v>0</v>
      </c>
      <c r="BH325" s="85">
        <f t="shared" si="237"/>
        <v>0</v>
      </c>
      <c r="BI325" s="85">
        <f t="shared" si="238"/>
        <v>0</v>
      </c>
      <c r="BJ325" s="85">
        <f t="shared" si="239"/>
        <v>0</v>
      </c>
      <c r="BK325" s="85">
        <f t="shared" si="240"/>
        <v>0</v>
      </c>
      <c r="BL325" s="85">
        <f t="shared" si="241"/>
        <v>0</v>
      </c>
      <c r="BM325" s="85">
        <f t="shared" si="242"/>
        <v>0</v>
      </c>
      <c r="BN325" s="85">
        <f t="shared" si="243"/>
        <v>0</v>
      </c>
      <c r="BO325" s="85">
        <f t="shared" si="244"/>
        <v>0</v>
      </c>
      <c r="BP325" s="85">
        <f t="shared" si="245"/>
        <v>0</v>
      </c>
      <c r="BQ325" s="85">
        <f t="shared" si="246"/>
        <v>0</v>
      </c>
      <c r="BR325" s="85">
        <f t="shared" si="247"/>
        <v>0</v>
      </c>
      <c r="BT325" s="63"/>
      <c r="BU325" s="63"/>
      <c r="BV325" s="63"/>
      <c r="BW325" s="63"/>
      <c r="BX325" s="63"/>
      <c r="BY325" s="63"/>
      <c r="BZ325" s="63"/>
      <c r="CA325" s="63"/>
      <c r="CB325" s="63"/>
      <c r="CC325" s="63"/>
      <c r="CD325" s="63"/>
      <c r="CE325" s="63"/>
      <c r="CF325" s="63"/>
      <c r="CG325" s="63"/>
      <c r="CH325" s="63"/>
      <c r="CI325" s="63"/>
      <c r="CJ325" s="63"/>
      <c r="CK325" s="63"/>
      <c r="CL325" s="63"/>
      <c r="CM325" s="63"/>
      <c r="CN325" s="63"/>
      <c r="CO325" s="63"/>
      <c r="CP325" s="63"/>
      <c r="CQ325" s="63"/>
      <c r="CR325" s="63"/>
      <c r="CS325" s="63"/>
      <c r="CX325" s="35" t="s">
        <v>12</v>
      </c>
      <c r="CZ325" s="35"/>
      <c r="DC325" s="57" t="str">
        <f t="shared" si="248"/>
        <v/>
      </c>
      <c r="DD325" s="64" t="str">
        <f t="shared" si="249"/>
        <v/>
      </c>
      <c r="DE325" s="65" t="str">
        <f t="shared" si="250"/>
        <v/>
      </c>
      <c r="DF325" s="66" t="str">
        <f t="shared" si="251"/>
        <v/>
      </c>
    </row>
    <row r="326" spans="2:110" hidden="1" outlineLevel="1">
      <c r="B326" s="54">
        <f t="shared" si="252"/>
        <v>45334</v>
      </c>
      <c r="C326" s="55" t="s">
        <v>1</v>
      </c>
      <c r="D326" s="56">
        <f t="shared" si="253"/>
        <v>45340</v>
      </c>
      <c r="E326" s="52">
        <f t="shared" si="254"/>
        <v>2</v>
      </c>
      <c r="F326" s="53">
        <f t="shared" si="255"/>
        <v>2024</v>
      </c>
      <c r="G326" s="62">
        <f t="shared" si="256"/>
        <v>15</v>
      </c>
      <c r="H326" s="63">
        <f t="shared" si="257"/>
        <v>96</v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>
        <v>15</v>
      </c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80"/>
      <c r="AG326" s="87">
        <f t="shared" si="211"/>
        <v>0</v>
      </c>
      <c r="AH326" s="87">
        <f t="shared" si="212"/>
        <v>0</v>
      </c>
      <c r="AI326" s="87">
        <f t="shared" si="213"/>
        <v>0</v>
      </c>
      <c r="AJ326" s="87">
        <f t="shared" si="214"/>
        <v>0</v>
      </c>
      <c r="AK326" s="87">
        <f t="shared" si="215"/>
        <v>0</v>
      </c>
      <c r="AL326" s="87">
        <f t="shared" si="216"/>
        <v>0</v>
      </c>
      <c r="AM326" s="87">
        <f t="shared" si="217"/>
        <v>0</v>
      </c>
      <c r="AN326" s="87">
        <f t="shared" si="218"/>
        <v>0</v>
      </c>
      <c r="AO326" s="87">
        <f t="shared" si="219"/>
        <v>0</v>
      </c>
      <c r="AP326" s="87">
        <f t="shared" si="220"/>
        <v>0</v>
      </c>
      <c r="AQ326" s="87">
        <f t="shared" si="221"/>
        <v>15</v>
      </c>
      <c r="AR326" s="81"/>
      <c r="AS326" s="85">
        <f t="shared" si="222"/>
        <v>0</v>
      </c>
      <c r="AT326" s="85">
        <f t="shared" si="223"/>
        <v>0</v>
      </c>
      <c r="AU326" s="85">
        <f t="shared" si="224"/>
        <v>0</v>
      </c>
      <c r="AV326" s="85">
        <f t="shared" si="225"/>
        <v>0</v>
      </c>
      <c r="AW326" s="85">
        <f t="shared" si="226"/>
        <v>0</v>
      </c>
      <c r="AX326" s="85">
        <f t="shared" si="227"/>
        <v>0</v>
      </c>
      <c r="AY326" s="85">
        <f t="shared" si="228"/>
        <v>0</v>
      </c>
      <c r="AZ326" s="85">
        <f t="shared" si="229"/>
        <v>0</v>
      </c>
      <c r="BA326" s="85">
        <f t="shared" si="230"/>
        <v>0</v>
      </c>
      <c r="BB326" s="85">
        <f t="shared" si="231"/>
        <v>0</v>
      </c>
      <c r="BC326" s="85">
        <f t="shared" si="232"/>
        <v>0</v>
      </c>
      <c r="BD326" s="85">
        <f t="shared" si="233"/>
        <v>0</v>
      </c>
      <c r="BE326" s="85">
        <f t="shared" si="234"/>
        <v>0</v>
      </c>
      <c r="BF326" s="85">
        <f t="shared" si="235"/>
        <v>0</v>
      </c>
      <c r="BG326" s="85">
        <f t="shared" si="236"/>
        <v>0</v>
      </c>
      <c r="BH326" s="85">
        <f t="shared" si="237"/>
        <v>0</v>
      </c>
      <c r="BI326" s="85">
        <f t="shared" si="238"/>
        <v>0</v>
      </c>
      <c r="BJ326" s="85">
        <f t="shared" si="239"/>
        <v>0</v>
      </c>
      <c r="BK326" s="85">
        <f t="shared" si="240"/>
        <v>0</v>
      </c>
      <c r="BL326" s="85">
        <f t="shared" si="241"/>
        <v>0</v>
      </c>
      <c r="BM326" s="85">
        <f t="shared" si="242"/>
        <v>0</v>
      </c>
      <c r="BN326" s="85">
        <f t="shared" si="243"/>
        <v>0</v>
      </c>
      <c r="BO326" s="85">
        <f t="shared" si="244"/>
        <v>0</v>
      </c>
      <c r="BP326" s="85">
        <f t="shared" si="245"/>
        <v>0</v>
      </c>
      <c r="BQ326" s="85">
        <f t="shared" si="246"/>
        <v>0</v>
      </c>
      <c r="BR326" s="85">
        <f t="shared" si="247"/>
        <v>0</v>
      </c>
      <c r="BT326" s="63"/>
      <c r="BU326" s="63"/>
      <c r="BV326" s="63"/>
      <c r="BW326" s="63"/>
      <c r="BX326" s="63"/>
      <c r="BY326" s="63"/>
      <c r="BZ326" s="63"/>
      <c r="CA326" s="63"/>
      <c r="CB326" s="63"/>
      <c r="CC326" s="63"/>
      <c r="CD326" s="63"/>
      <c r="CE326" s="63"/>
      <c r="CF326" s="63"/>
      <c r="CG326" s="63"/>
      <c r="CH326" s="63"/>
      <c r="CI326" s="63"/>
      <c r="CJ326" s="63"/>
      <c r="CK326" s="63"/>
      <c r="CL326" s="63"/>
      <c r="CM326" s="63"/>
      <c r="CN326" s="63"/>
      <c r="CO326" s="63"/>
      <c r="CP326" s="63"/>
      <c r="CQ326" s="63"/>
      <c r="CR326" s="63"/>
      <c r="CS326" s="63"/>
      <c r="CX326" s="35" t="s">
        <v>12</v>
      </c>
      <c r="CZ326" s="35"/>
      <c r="DC326" s="57" t="str">
        <f t="shared" si="248"/>
        <v/>
      </c>
      <c r="DD326" s="64" t="str">
        <f t="shared" si="249"/>
        <v/>
      </c>
      <c r="DE326" s="65" t="str">
        <f t="shared" si="250"/>
        <v/>
      </c>
      <c r="DF326" s="66" t="str">
        <f t="shared" si="251"/>
        <v/>
      </c>
    </row>
    <row r="327" spans="2:110" hidden="1" outlineLevel="1">
      <c r="B327" s="54">
        <f t="shared" si="252"/>
        <v>45341</v>
      </c>
      <c r="C327" s="55" t="s">
        <v>1</v>
      </c>
      <c r="D327" s="56">
        <f t="shared" si="253"/>
        <v>45347</v>
      </c>
      <c r="E327" s="52">
        <f t="shared" si="254"/>
        <v>2</v>
      </c>
      <c r="F327" s="53">
        <f t="shared" si="255"/>
        <v>2024</v>
      </c>
      <c r="G327" s="62">
        <f t="shared" si="256"/>
        <v>15</v>
      </c>
      <c r="H327" s="63">
        <f t="shared" si="257"/>
        <v>96</v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>
        <v>15</v>
      </c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80"/>
      <c r="AG327" s="87">
        <f t="shared" ref="AG327:AG390" si="258">IF(I327&gt;0,I327,IF(U327=1,$B327+2,IF(U326=1,1,IF(U326=2,0,IF(AG326=$G326,0,(IF(AG326&gt;=1,AG326+1,0)))))))</f>
        <v>0</v>
      </c>
      <c r="AH327" s="87">
        <f t="shared" ref="AH327:AH390" si="259">IF(J327&gt;0,J327,IF(V327=1,$B327+2,IF(V326=1,1,IF(V326=2,0,IF(AH326=$G326,0,(IF(AH326&gt;=1,AH326+1,0)))))))</f>
        <v>0</v>
      </c>
      <c r="AI327" s="87">
        <f t="shared" ref="AI327:AI390" si="260">IF(K327&gt;0,K327,IF(W327=1,$B327+2,IF(W326=1,1,IF(W326=2,0,IF(AI326=$G326,0,(IF(AI326&gt;=1,AI326+1,0)))))))</f>
        <v>0</v>
      </c>
      <c r="AJ327" s="87">
        <f t="shared" ref="AJ327:AJ390" si="261">IF(L327&gt;0,L327,IF(X327=1,$B327+2,IF(X326=1,1,IF(X326=2,0,IF(AJ326=$G326,0,(IF(AJ326&gt;=1,AJ326+1,0)))))))</f>
        <v>0</v>
      </c>
      <c r="AK327" s="87">
        <f t="shared" ref="AK327:AK390" si="262">IF(M327&gt;0,M327,IF(Y327=1,$B327+2,IF(Y326=1,1,IF(Y326=2,0,IF(AK326=$G326,0,(IF(AK326&gt;=1,AK326+1,0)))))))</f>
        <v>0</v>
      </c>
      <c r="AL327" s="87">
        <f t="shared" ref="AL327:AL390" si="263">IF(N327&gt;0,N327,IF(Z327=1,$B327+2,IF(Z326=1,1,IF(Z326=2,0,IF(AL326=$G326,0,(IF(AL326&gt;=1,AL326+1,0)))))))</f>
        <v>0</v>
      </c>
      <c r="AM327" s="87">
        <f t="shared" ref="AM327:AM390" si="264">IF(O327&gt;0,O327,IF(AA327=1,$B327+2,IF(AA326=1,1,IF(AA326=2,0,IF(AM326=$G326,0,(IF(AM326&gt;=1,AM326+1,0)))))))</f>
        <v>0</v>
      </c>
      <c r="AN327" s="87">
        <f t="shared" ref="AN327:AN390" si="265">IF(P327&gt;0,P327,IF(AB327=1,$B327+2,IF(AB326=1,1,IF(AB326=2,0,IF(AN326=$G326,0,(IF(AN326&gt;=1,AN326+1,0)))))))</f>
        <v>0</v>
      </c>
      <c r="AO327" s="87">
        <f t="shared" ref="AO327:AO390" si="266">IF(Q327&gt;0,Q327,IF(AC327=1,$B327+2,IF(AC326=1,1,IF(AC326=2,0,IF(AO326=$G326,0,(IF(AO326&gt;=1,AO326+1,0)))))))</f>
        <v>0</v>
      </c>
      <c r="AP327" s="87">
        <f t="shared" ref="AP327:AP390" si="267">IF(R327&gt;0,R327,IF(AD327=1,$B327+2,IF(AD326=1,1,IF(AD326=2,0,IF(AP326=$G326,0,(IF(AP326&gt;=1,AP326+1,0)))))))</f>
        <v>0</v>
      </c>
      <c r="AQ327" s="87">
        <f t="shared" ref="AQ327:AQ390" si="268">IF(S327&gt;0,S327,IF(AE327=1,$B327+2,IF(AE326=1,1,IF(AE326=2,0,IF(AQ326=$G326,0,(IF(AQ326&gt;=1,AQ326+1,0)))))))</f>
        <v>15</v>
      </c>
      <c r="AR327" s="81"/>
      <c r="AS327" s="85">
        <f t="shared" ref="AS327:AS390" si="269">IF(AND(BT327&gt;=$AG$5,BT327&lt;=$AQ$5),LOOKUP(BT327,$AG$5:$AQ$5,$AG327:$AQ327),IF(BT326="A",0,IF(AS326=$H327,0,IF(AS326=0,0,AS326+1))))</f>
        <v>0</v>
      </c>
      <c r="AT327" s="85">
        <f t="shared" ref="AT327:AT390" si="270">IF(AND(BU327&gt;=$AG$5,BU327&lt;=$AQ$5),LOOKUP(BU327,$AG$5:$AQ$5,$AG327:$AQ327),IF(BU326="A",0,IF(AT326=$H327,0,IF(AT326=0,0,AT326+1))))</f>
        <v>0</v>
      </c>
      <c r="AU327" s="85">
        <f t="shared" ref="AU327:AU390" si="271">IF(AND(BV327&gt;=$AG$5,BV327&lt;=$AQ$5),LOOKUP(BV327,$AG$5:$AQ$5,$AG327:$AQ327),IF(BV326="A",0,IF(AU326=$H327,0,IF(AU326=0,0,AU326+1))))</f>
        <v>0</v>
      </c>
      <c r="AV327" s="85">
        <f t="shared" ref="AV327:AV390" si="272">IF(AND(BW327&gt;=$AG$5,BW327&lt;=$AQ$5),LOOKUP(BW327,$AG$5:$AQ$5,$AG327:$AQ327),IF(BW326="A",0,IF(AV326=$H327,0,IF(AV326=0,0,AV326+1))))</f>
        <v>0</v>
      </c>
      <c r="AW327" s="85">
        <f t="shared" ref="AW327:AW390" si="273">IF(AND(BX327&gt;=$AG$5,BX327&lt;=$AQ$5),LOOKUP(BX327,$AG$5:$AQ$5,$AG327:$AQ327),IF(BX326="A",0,IF(AW326=$H327,0,IF(AW326=0,0,AW326+1))))</f>
        <v>0</v>
      </c>
      <c r="AX327" s="85">
        <f t="shared" ref="AX327:AX390" si="274">IF(AND(BY327&gt;=$AG$5,BY327&lt;=$AQ$5),LOOKUP(BY327,$AG$5:$AQ$5,$AG327:$AQ327),IF(BY326="A",0,IF(AX326=$H327,0,IF(AX326=0,0,AX326+1))))</f>
        <v>0</v>
      </c>
      <c r="AY327" s="85">
        <f t="shared" ref="AY327:AY390" si="275">IF(AND(BZ327&gt;=$AG$5,BZ327&lt;=$AQ$5),LOOKUP(BZ327,$AG$5:$AQ$5,$AG327:$AQ327),IF(BZ326="A",0,IF(AY326=$H327,0,IF(AY326=0,0,AY326+1))))</f>
        <v>0</v>
      </c>
      <c r="AZ327" s="85">
        <f t="shared" ref="AZ327:AZ390" si="276">IF(AND(CA327&gt;=$AG$5,CA327&lt;=$AQ$5),LOOKUP(CA327,$AG$5:$AQ$5,$AG327:$AQ327),IF(CA326="A",0,IF(AZ326=$H327,0,IF(AZ326=0,0,AZ326+1))))</f>
        <v>0</v>
      </c>
      <c r="BA327" s="85">
        <f t="shared" ref="BA327:BA390" si="277">IF(AND(CB327&gt;=$AG$5,CB327&lt;=$AQ$5),LOOKUP(CB327,$AG$5:$AQ$5,$AG327:$AQ327),IF(CB326="A",0,IF(BA326=$H327,0,IF(BA326=0,0,BA326+1))))</f>
        <v>0</v>
      </c>
      <c r="BB327" s="85">
        <f t="shared" ref="BB327:BB390" si="278">IF(AND(CC327&gt;=$AG$5,CC327&lt;=$AQ$5),LOOKUP(CC327,$AG$5:$AQ$5,$AG327:$AQ327),IF(CC326="A",0,IF(BB326=$H327,0,IF(BB326=0,0,BB326+1))))</f>
        <v>0</v>
      </c>
      <c r="BC327" s="85">
        <f t="shared" ref="BC327:BC390" si="279">IF(AND(CD327&gt;=$AG$5,CD327&lt;=$AQ$5),LOOKUP(CD327,$AG$5:$AQ$5,$AG327:$AQ327),IF(CD326="A",0,IF(BC326=$H327,0,IF(BC326=0,0,BC326+1))))</f>
        <v>0</v>
      </c>
      <c r="BD327" s="85">
        <f t="shared" ref="BD327:BD390" si="280">IF(AND(CE327&gt;=$AG$5,CE327&lt;=$AQ$5),LOOKUP(CE327,$AG$5:$AQ$5,$AG327:$AQ327),IF(CE326="A",0,IF(BD326=$H327,0,IF(BD326=0,0,BD326+1))))</f>
        <v>0</v>
      </c>
      <c r="BE327" s="85">
        <f t="shared" ref="BE327:BE390" si="281">IF(AND(CF327&gt;=$AG$5,CF327&lt;=$AQ$5),LOOKUP(CF327,$AG$5:$AQ$5,$AG327:$AQ327),IF(CF326="A",0,IF(BE326=$H327,0,IF(BE326=0,0,BE326+1))))</f>
        <v>0</v>
      </c>
      <c r="BF327" s="85">
        <f t="shared" ref="BF327:BF390" si="282">IF(AND(CG327&gt;=$AG$5,CG327&lt;=$AQ$5),LOOKUP(CG327,$AG$5:$AQ$5,$AG327:$AQ327),IF(CG326="A",0,IF(BF326=$H327,0,IF(BF326=0,0,BF326+1))))</f>
        <v>0</v>
      </c>
      <c r="BG327" s="85">
        <f t="shared" ref="BG327:BG390" si="283">IF(AND(CH327&gt;=$AG$5,CH327&lt;=$AQ$5),LOOKUP(CH327,$AG$5:$AQ$5,$AG327:$AQ327),IF(CH326="A",0,IF(BG326=$H327,0,IF(BG326=0,0,BG326+1))))</f>
        <v>0</v>
      </c>
      <c r="BH327" s="85">
        <f t="shared" ref="BH327:BH390" si="284">IF(AND(CI327&gt;=$AG$5,CI327&lt;=$AQ$5),LOOKUP(CI327,$AG$5:$AQ$5,$AG327:$AQ327),IF(CI326="A",0,IF(BH326=$H327,0,IF(BH326=0,0,BH326+1))))</f>
        <v>0</v>
      </c>
      <c r="BI327" s="85">
        <f t="shared" ref="BI327:BI390" si="285">IF(AND(CJ327&gt;=$AG$5,CJ327&lt;=$AQ$5),LOOKUP(CJ327,$AG$5:$AQ$5,$AG327:$AQ327),IF(CJ326="A",0,IF(BI326=$H327,0,IF(BI326=0,0,BI326+1))))</f>
        <v>0</v>
      </c>
      <c r="BJ327" s="85">
        <f t="shared" ref="BJ327:BJ390" si="286">IF(AND(CK327&gt;=$AG$5,CK327&lt;=$AQ$5),LOOKUP(CK327,$AG$5:$AQ$5,$AG327:$AQ327),IF(CK326="A",0,IF(BJ326=$H327,0,IF(BJ326=0,0,BJ326+1))))</f>
        <v>0</v>
      </c>
      <c r="BK327" s="85">
        <f t="shared" ref="BK327:BK390" si="287">IF(AND(CL327&gt;=$AG$5,CL327&lt;=$AQ$5),LOOKUP(CL327,$AG$5:$AQ$5,$AG327:$AQ327),IF(CL326="A",0,IF(BK326=$H327,0,IF(BK326=0,0,BK326+1))))</f>
        <v>0</v>
      </c>
      <c r="BL327" s="85">
        <f t="shared" ref="BL327:BL390" si="288">IF(AND(CM327&gt;=$AG$5,CM327&lt;=$AQ$5),LOOKUP(CM327,$AG$5:$AQ$5,$AG327:$AQ327),IF(CM326="A",0,IF(BL326=$H327,0,IF(BL326=0,0,BL326+1))))</f>
        <v>0</v>
      </c>
      <c r="BM327" s="85">
        <f t="shared" ref="BM327:BM390" si="289">IF(AND(CN327&gt;=$AG$5,CN327&lt;=$AQ$5),LOOKUP(CN327,$AG$5:$AQ$5,$AG327:$AQ327),IF(CN326="A",0,IF(BM326=$H327,0,IF(BM326=0,0,BM326+1))))</f>
        <v>0</v>
      </c>
      <c r="BN327" s="85">
        <f t="shared" ref="BN327:BN390" si="290">IF(AND(CO327&gt;=$AG$5,CO327&lt;=$AQ$5),LOOKUP(CO327,$AG$5:$AQ$5,$AG327:$AQ327),IF(CO326="A",0,IF(BN326=$H327,0,IF(BN326=0,0,BN326+1))))</f>
        <v>0</v>
      </c>
      <c r="BO327" s="85">
        <f t="shared" ref="BO327:BO390" si="291">IF(AND(CP327&gt;=$AG$5,CP327&lt;=$AQ$5),LOOKUP(CP327,$AG$5:$AQ$5,$AG327:$AQ327),IF(CP326="A",0,IF(BO326=$H327,0,IF(BO326=0,0,BO326+1))))</f>
        <v>0</v>
      </c>
      <c r="BP327" s="85">
        <f t="shared" ref="BP327:BP390" si="292">IF(AND(CQ327&gt;=$AG$5,CQ327&lt;=$AQ$5),LOOKUP(CQ327,$AG$5:$AQ$5,$AG327:$AQ327),IF(CQ326="A",0,IF(BP326=$H327,0,IF(BP326=0,0,BP326+1))))</f>
        <v>0</v>
      </c>
      <c r="BQ327" s="85">
        <f t="shared" ref="BQ327:BQ390" si="293">IF(AND(CR327&gt;=$AG$5,CR327&lt;=$AQ$5),LOOKUP(CR327,$AG$5:$AQ$5,$AG327:$AQ327),IF(CR326="A",0,IF(BQ326=$H327,0,IF(BQ326=0,0,BQ326+1))))</f>
        <v>0</v>
      </c>
      <c r="BR327" s="85">
        <f t="shared" ref="BR327:BR390" si="294">IF(AND(CS327&gt;=$AG$5,CS327&lt;=$AQ$5),LOOKUP(CS327,$AG$5:$AQ$5,$AG327:$AQ327),IF(CS326="A",0,IF(BR326=$H327,0,IF(BR326=0,0,BR326+1))))</f>
        <v>0</v>
      </c>
      <c r="BT327" s="63"/>
      <c r="BU327" s="63"/>
      <c r="BV327" s="63"/>
      <c r="BW327" s="63"/>
      <c r="BX327" s="63"/>
      <c r="BY327" s="63"/>
      <c r="BZ327" s="63"/>
      <c r="CA327" s="63"/>
      <c r="CB327" s="63"/>
      <c r="CC327" s="63"/>
      <c r="CD327" s="63"/>
      <c r="CE327" s="63"/>
      <c r="CF327" s="63"/>
      <c r="CG327" s="63"/>
      <c r="CH327" s="63"/>
      <c r="CI327" s="63"/>
      <c r="CJ327" s="63"/>
      <c r="CK327" s="63"/>
      <c r="CL327" s="63"/>
      <c r="CM327" s="63"/>
      <c r="CN327" s="63"/>
      <c r="CO327" s="63"/>
      <c r="CP327" s="63"/>
      <c r="CQ327" s="63"/>
      <c r="CR327" s="63"/>
      <c r="CS327" s="63"/>
      <c r="CX327" s="35" t="s">
        <v>12</v>
      </c>
      <c r="CZ327" s="35"/>
      <c r="DC327" s="57" t="str">
        <f t="shared" ref="DC327:DC390" si="295">IF(AND(AG327&gt;0,AG326=0),$AG$5,IF(AND(AK327&gt;0,AK326=0),$AK$5,IF(AND(AO327&gt;0,AO326=0),$AO$5,IF(AND(AI327&gt;0,AI326=0),$AI$5,IF(AND(AJ327&gt;0,AJ326=0),$AJ$5,IF(AND(AQ327&gt;0,AQ326=0),$AQ$5,IF(AND(AL327&gt;0,AL326=0),$AL$5,IF(AND(AM327&gt;0,AM326=0),$AM$5,IF(AND(AN327&gt;0,AN326=0),$AN$5,"")))))))))</f>
        <v/>
      </c>
      <c r="DD327" s="64" t="str">
        <f t="shared" ref="DD327:DD390" si="296">IF(OR(AND($AG328=1,$AG329=2),OR(AND($AK328=1,$AK329=2),OR(AND($AO328=1,$AO329=2),OR(AND($AI328=1,$AI329=2),OR(AND($AJ328=1,$AJ329),OR(AND($AQ328=1,$AQ329=2,OR(AND($AL328=1,$AL329=2,OR(AND($AM328=1,$AM329=2,OR(AND($AN328=1,$AN329=2))))))))))))),$B327+2,"")</f>
        <v/>
      </c>
      <c r="DE327" s="65" t="str">
        <f t="shared" ref="DE327:DE390" si="297">IF(DD327="","",DD327+(15*7))</f>
        <v/>
      </c>
      <c r="DF327" s="66" t="str">
        <f t="shared" ref="DF327:DF390" si="298">IF(AND(AS342&gt;0,AS341=0),$AS$1,IF(AND(AT342&gt;0,AT341=0),$AT$1,IF(AND(AU342&gt;0,AU341=0),$AU$1,IF(AND(AV342&gt;0,AV341=0),$AV$1,IF(AND(AW342&gt;0,AW341=0),$AW$1,IF(AND(AX342&gt;0,AX341=0),$AX$1,IF(AND(AY342&gt;0,AY341=0),$AY$1,IF(AND(AZ342&gt;0,AZ341=0),$AZ$1,IF(AND(BA342&gt;0,BA341=0),$BA$1,IF(AND(BB342&gt;0,BB341=0),$BB$1,IF(AND(BC342&gt;0,BC341=0),$BC$1,IF(AND(BD342&gt;0,BD341=0),$BD$1,IF(AND(BE342&gt;0,BE341=0),$BE$1,IF(AND(BF342&gt;0,BF341=0),$BF$1,IF(AND(BG342&gt;0,BG341=0),$BG$1,IF(AND(BH342&gt;0,BH341=0),$BH$1,IF(AND(BI342&gt;0,BI341=0),$BI$1,IF(AND(BJ342&gt;0,BJ341=0),$BJ$1,IF(AND(BK342&gt;0,BK341=0),$BK$1,IF(AND(BL342&gt;0,BL341=0),$BL$1,IF(AND(BM342&gt;0,BM341=0),$BM$1,IF(AND(BN342&gt;0,BN341=0),$BN$1,IF(AND(BO342&gt;0,BO341=0),$BO$1,IF(AND(BP342&gt;0,BP341=0),$BP$1,IF(AND(BQ342&gt;0,BQ341=0),$BQ$1,IF(AND(BR342&gt;0,BR341=0),$BQ$1,""))))))))))))))))&amp;(IF(COUNTA(BT342:CS342)&gt;1," ["&amp;COUNTA(BT342:CS342)&amp;"]",""))))))))))))</f>
        <v/>
      </c>
    </row>
    <row r="328" spans="2:110" hidden="1" outlineLevel="1">
      <c r="B328" s="54">
        <f t="shared" ref="B328:B391" si="299">D327+1</f>
        <v>45348</v>
      </c>
      <c r="C328" s="55" t="s">
        <v>1</v>
      </c>
      <c r="D328" s="56">
        <f t="shared" ref="D328:D391" si="300">B328+6</f>
        <v>45354</v>
      </c>
      <c r="E328" s="52">
        <f t="shared" ref="E328:E391" si="301">MONTH(B328)</f>
        <v>2</v>
      </c>
      <c r="F328" s="53">
        <f t="shared" ref="F328:F391" si="302">YEAR(D328)</f>
        <v>2024</v>
      </c>
      <c r="G328" s="62">
        <f t="shared" si="256"/>
        <v>15</v>
      </c>
      <c r="H328" s="63">
        <f t="shared" si="257"/>
        <v>96</v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>
        <v>15</v>
      </c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80"/>
      <c r="AG328" s="87">
        <f t="shared" si="258"/>
        <v>0</v>
      </c>
      <c r="AH328" s="87">
        <f t="shared" si="259"/>
        <v>0</v>
      </c>
      <c r="AI328" s="87">
        <f t="shared" si="260"/>
        <v>0</v>
      </c>
      <c r="AJ328" s="87">
        <f t="shared" si="261"/>
        <v>0</v>
      </c>
      <c r="AK328" s="87">
        <f t="shared" si="262"/>
        <v>0</v>
      </c>
      <c r="AL328" s="87">
        <f t="shared" si="263"/>
        <v>0</v>
      </c>
      <c r="AM328" s="87">
        <f t="shared" si="264"/>
        <v>0</v>
      </c>
      <c r="AN328" s="87">
        <f t="shared" si="265"/>
        <v>0</v>
      </c>
      <c r="AO328" s="87">
        <f t="shared" si="266"/>
        <v>0</v>
      </c>
      <c r="AP328" s="87">
        <f t="shared" si="267"/>
        <v>0</v>
      </c>
      <c r="AQ328" s="87">
        <f t="shared" si="268"/>
        <v>15</v>
      </c>
      <c r="AR328" s="81"/>
      <c r="AS328" s="85">
        <f t="shared" si="269"/>
        <v>0</v>
      </c>
      <c r="AT328" s="85">
        <f t="shared" si="270"/>
        <v>0</v>
      </c>
      <c r="AU328" s="85">
        <f t="shared" si="271"/>
        <v>0</v>
      </c>
      <c r="AV328" s="85">
        <f t="shared" si="272"/>
        <v>0</v>
      </c>
      <c r="AW328" s="85">
        <f t="shared" si="273"/>
        <v>0</v>
      </c>
      <c r="AX328" s="85">
        <f t="shared" si="274"/>
        <v>0</v>
      </c>
      <c r="AY328" s="85">
        <f t="shared" si="275"/>
        <v>0</v>
      </c>
      <c r="AZ328" s="85">
        <f t="shared" si="276"/>
        <v>0</v>
      </c>
      <c r="BA328" s="85">
        <f t="shared" si="277"/>
        <v>0</v>
      </c>
      <c r="BB328" s="85">
        <f t="shared" si="278"/>
        <v>0</v>
      </c>
      <c r="BC328" s="85">
        <f t="shared" si="279"/>
        <v>0</v>
      </c>
      <c r="BD328" s="85">
        <f t="shared" si="280"/>
        <v>0</v>
      </c>
      <c r="BE328" s="85">
        <f t="shared" si="281"/>
        <v>0</v>
      </c>
      <c r="BF328" s="85">
        <f t="shared" si="282"/>
        <v>0</v>
      </c>
      <c r="BG328" s="85">
        <f t="shared" si="283"/>
        <v>0</v>
      </c>
      <c r="BH328" s="85">
        <f t="shared" si="284"/>
        <v>0</v>
      </c>
      <c r="BI328" s="85">
        <f t="shared" si="285"/>
        <v>0</v>
      </c>
      <c r="BJ328" s="85">
        <f t="shared" si="286"/>
        <v>0</v>
      </c>
      <c r="BK328" s="85">
        <f t="shared" si="287"/>
        <v>0</v>
      </c>
      <c r="BL328" s="85">
        <f t="shared" si="288"/>
        <v>0</v>
      </c>
      <c r="BM328" s="85">
        <f t="shared" si="289"/>
        <v>0</v>
      </c>
      <c r="BN328" s="85">
        <f t="shared" si="290"/>
        <v>0</v>
      </c>
      <c r="BO328" s="85">
        <f t="shared" si="291"/>
        <v>0</v>
      </c>
      <c r="BP328" s="85">
        <f t="shared" si="292"/>
        <v>0</v>
      </c>
      <c r="BQ328" s="85">
        <f t="shared" si="293"/>
        <v>0</v>
      </c>
      <c r="BR328" s="85">
        <f t="shared" si="294"/>
        <v>0</v>
      </c>
      <c r="BT328" s="63"/>
      <c r="BU328" s="63"/>
      <c r="BV328" s="63"/>
      <c r="BW328" s="63"/>
      <c r="BX328" s="63"/>
      <c r="BY328" s="63"/>
      <c r="BZ328" s="63"/>
      <c r="CA328" s="63"/>
      <c r="CB328" s="63"/>
      <c r="CC328" s="63"/>
      <c r="CD328" s="63"/>
      <c r="CE328" s="63"/>
      <c r="CF328" s="63"/>
      <c r="CG328" s="63"/>
      <c r="CH328" s="63"/>
      <c r="CI328" s="63"/>
      <c r="CJ328" s="63"/>
      <c r="CK328" s="63"/>
      <c r="CL328" s="63"/>
      <c r="CM328" s="63"/>
      <c r="CN328" s="63"/>
      <c r="CO328" s="63"/>
      <c r="CP328" s="63"/>
      <c r="CQ328" s="63"/>
      <c r="CR328" s="63"/>
      <c r="CS328" s="63"/>
      <c r="CX328" s="35" t="s">
        <v>12</v>
      </c>
      <c r="CZ328" s="35"/>
      <c r="DC328" s="57" t="str">
        <f t="shared" si="295"/>
        <v/>
      </c>
      <c r="DD328" s="64" t="str">
        <f t="shared" si="296"/>
        <v/>
      </c>
      <c r="DE328" s="65" t="str">
        <f t="shared" si="297"/>
        <v/>
      </c>
      <c r="DF328" s="66" t="str">
        <f t="shared" si="298"/>
        <v/>
      </c>
    </row>
    <row r="329" spans="2:110" hidden="1" outlineLevel="1">
      <c r="B329" s="54">
        <f t="shared" si="299"/>
        <v>45355</v>
      </c>
      <c r="C329" s="55" t="s">
        <v>1</v>
      </c>
      <c r="D329" s="56">
        <f t="shared" si="300"/>
        <v>45361</v>
      </c>
      <c r="E329" s="52">
        <f t="shared" si="301"/>
        <v>3</v>
      </c>
      <c r="F329" s="53">
        <f t="shared" si="302"/>
        <v>2024</v>
      </c>
      <c r="G329" s="62">
        <f t="shared" ref="G329:G392" si="303">G328</f>
        <v>15</v>
      </c>
      <c r="H329" s="63">
        <f t="shared" ref="H329:H392" si="304">H328</f>
        <v>96</v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>
        <v>15</v>
      </c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80"/>
      <c r="AG329" s="87">
        <f t="shared" si="258"/>
        <v>0</v>
      </c>
      <c r="AH329" s="87">
        <f t="shared" si="259"/>
        <v>0</v>
      </c>
      <c r="AI329" s="87">
        <f t="shared" si="260"/>
        <v>0</v>
      </c>
      <c r="AJ329" s="87">
        <f t="shared" si="261"/>
        <v>0</v>
      </c>
      <c r="AK329" s="87">
        <f t="shared" si="262"/>
        <v>0</v>
      </c>
      <c r="AL329" s="87">
        <f t="shared" si="263"/>
        <v>0</v>
      </c>
      <c r="AM329" s="87">
        <f t="shared" si="264"/>
        <v>0</v>
      </c>
      <c r="AN329" s="87">
        <f t="shared" si="265"/>
        <v>0</v>
      </c>
      <c r="AO329" s="87">
        <f t="shared" si="266"/>
        <v>0</v>
      </c>
      <c r="AP329" s="87">
        <f t="shared" si="267"/>
        <v>0</v>
      </c>
      <c r="AQ329" s="87">
        <f t="shared" si="268"/>
        <v>15</v>
      </c>
      <c r="AR329" s="81"/>
      <c r="AS329" s="85">
        <f t="shared" si="269"/>
        <v>0</v>
      </c>
      <c r="AT329" s="85">
        <f t="shared" si="270"/>
        <v>0</v>
      </c>
      <c r="AU329" s="85">
        <f t="shared" si="271"/>
        <v>0</v>
      </c>
      <c r="AV329" s="85">
        <f t="shared" si="272"/>
        <v>0</v>
      </c>
      <c r="AW329" s="85">
        <f t="shared" si="273"/>
        <v>0</v>
      </c>
      <c r="AX329" s="85">
        <f t="shared" si="274"/>
        <v>0</v>
      </c>
      <c r="AY329" s="85">
        <f t="shared" si="275"/>
        <v>0</v>
      </c>
      <c r="AZ329" s="85">
        <f t="shared" si="276"/>
        <v>0</v>
      </c>
      <c r="BA329" s="85">
        <f t="shared" si="277"/>
        <v>0</v>
      </c>
      <c r="BB329" s="85">
        <f t="shared" si="278"/>
        <v>0</v>
      </c>
      <c r="BC329" s="85">
        <f t="shared" si="279"/>
        <v>0</v>
      </c>
      <c r="BD329" s="85">
        <f t="shared" si="280"/>
        <v>0</v>
      </c>
      <c r="BE329" s="85">
        <f t="shared" si="281"/>
        <v>0</v>
      </c>
      <c r="BF329" s="85">
        <f t="shared" si="282"/>
        <v>0</v>
      </c>
      <c r="BG329" s="85">
        <f t="shared" si="283"/>
        <v>0</v>
      </c>
      <c r="BH329" s="85">
        <f t="shared" si="284"/>
        <v>0</v>
      </c>
      <c r="BI329" s="85">
        <f t="shared" si="285"/>
        <v>0</v>
      </c>
      <c r="BJ329" s="85">
        <f t="shared" si="286"/>
        <v>0</v>
      </c>
      <c r="BK329" s="85">
        <f t="shared" si="287"/>
        <v>0</v>
      </c>
      <c r="BL329" s="85">
        <f t="shared" si="288"/>
        <v>0</v>
      </c>
      <c r="BM329" s="85">
        <f t="shared" si="289"/>
        <v>0</v>
      </c>
      <c r="BN329" s="85">
        <f t="shared" si="290"/>
        <v>0</v>
      </c>
      <c r="BO329" s="85">
        <f t="shared" si="291"/>
        <v>0</v>
      </c>
      <c r="BP329" s="85">
        <f t="shared" si="292"/>
        <v>0</v>
      </c>
      <c r="BQ329" s="85">
        <f t="shared" si="293"/>
        <v>0</v>
      </c>
      <c r="BR329" s="85">
        <f t="shared" si="294"/>
        <v>0</v>
      </c>
      <c r="BT329" s="63"/>
      <c r="BU329" s="63"/>
      <c r="BV329" s="63"/>
      <c r="BW329" s="63"/>
      <c r="BX329" s="63"/>
      <c r="BY329" s="63"/>
      <c r="BZ329" s="63"/>
      <c r="CA329" s="63"/>
      <c r="CB329" s="63"/>
      <c r="CC329" s="63"/>
      <c r="CD329" s="63"/>
      <c r="CE329" s="63"/>
      <c r="CF329" s="63"/>
      <c r="CG329" s="63"/>
      <c r="CH329" s="63"/>
      <c r="CI329" s="63"/>
      <c r="CJ329" s="63"/>
      <c r="CK329" s="63"/>
      <c r="CL329" s="63"/>
      <c r="CM329" s="63"/>
      <c r="CN329" s="63"/>
      <c r="CO329" s="63"/>
      <c r="CP329" s="63"/>
      <c r="CQ329" s="63"/>
      <c r="CR329" s="63"/>
      <c r="CS329" s="63"/>
      <c r="CX329" s="35" t="s">
        <v>12</v>
      </c>
      <c r="CZ329" s="35"/>
      <c r="DC329" s="57" t="str">
        <f t="shared" si="295"/>
        <v/>
      </c>
      <c r="DD329" s="64" t="str">
        <f t="shared" si="296"/>
        <v/>
      </c>
      <c r="DE329" s="65" t="str">
        <f t="shared" si="297"/>
        <v/>
      </c>
      <c r="DF329" s="66" t="str">
        <f t="shared" si="298"/>
        <v/>
      </c>
    </row>
    <row r="330" spans="2:110" hidden="1" outlineLevel="1">
      <c r="B330" s="54">
        <f t="shared" si="299"/>
        <v>45362</v>
      </c>
      <c r="C330" s="55" t="s">
        <v>1</v>
      </c>
      <c r="D330" s="56">
        <f t="shared" si="300"/>
        <v>45368</v>
      </c>
      <c r="E330" s="52">
        <f t="shared" si="301"/>
        <v>3</v>
      </c>
      <c r="F330" s="53">
        <f t="shared" si="302"/>
        <v>2024</v>
      </c>
      <c r="G330" s="62">
        <f t="shared" si="303"/>
        <v>15</v>
      </c>
      <c r="H330" s="63">
        <f t="shared" si="304"/>
        <v>96</v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>
        <v>15</v>
      </c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80"/>
      <c r="AG330" s="87">
        <f t="shared" si="258"/>
        <v>0</v>
      </c>
      <c r="AH330" s="87">
        <f t="shared" si="259"/>
        <v>0</v>
      </c>
      <c r="AI330" s="87">
        <f t="shared" si="260"/>
        <v>0</v>
      </c>
      <c r="AJ330" s="87">
        <f t="shared" si="261"/>
        <v>0</v>
      </c>
      <c r="AK330" s="87">
        <f t="shared" si="262"/>
        <v>0</v>
      </c>
      <c r="AL330" s="87">
        <f t="shared" si="263"/>
        <v>0</v>
      </c>
      <c r="AM330" s="87">
        <f t="shared" si="264"/>
        <v>0</v>
      </c>
      <c r="AN330" s="87">
        <f t="shared" si="265"/>
        <v>0</v>
      </c>
      <c r="AO330" s="87">
        <f t="shared" si="266"/>
        <v>0</v>
      </c>
      <c r="AP330" s="87">
        <f t="shared" si="267"/>
        <v>0</v>
      </c>
      <c r="AQ330" s="87">
        <f t="shared" si="268"/>
        <v>15</v>
      </c>
      <c r="AR330" s="81"/>
      <c r="AS330" s="85">
        <f t="shared" si="269"/>
        <v>0</v>
      </c>
      <c r="AT330" s="85">
        <f t="shared" si="270"/>
        <v>0</v>
      </c>
      <c r="AU330" s="85">
        <f t="shared" si="271"/>
        <v>0</v>
      </c>
      <c r="AV330" s="85">
        <f t="shared" si="272"/>
        <v>0</v>
      </c>
      <c r="AW330" s="85">
        <f t="shared" si="273"/>
        <v>0</v>
      </c>
      <c r="AX330" s="85">
        <f t="shared" si="274"/>
        <v>0</v>
      </c>
      <c r="AY330" s="85">
        <f t="shared" si="275"/>
        <v>0</v>
      </c>
      <c r="AZ330" s="85">
        <f t="shared" si="276"/>
        <v>0</v>
      </c>
      <c r="BA330" s="85">
        <f t="shared" si="277"/>
        <v>0</v>
      </c>
      <c r="BB330" s="85">
        <f t="shared" si="278"/>
        <v>0</v>
      </c>
      <c r="BC330" s="85">
        <f t="shared" si="279"/>
        <v>0</v>
      </c>
      <c r="BD330" s="85">
        <f t="shared" si="280"/>
        <v>0</v>
      </c>
      <c r="BE330" s="85">
        <f t="shared" si="281"/>
        <v>0</v>
      </c>
      <c r="BF330" s="85">
        <f t="shared" si="282"/>
        <v>0</v>
      </c>
      <c r="BG330" s="85">
        <f t="shared" si="283"/>
        <v>0</v>
      </c>
      <c r="BH330" s="85">
        <f t="shared" si="284"/>
        <v>0</v>
      </c>
      <c r="BI330" s="85">
        <f t="shared" si="285"/>
        <v>0</v>
      </c>
      <c r="BJ330" s="85">
        <f t="shared" si="286"/>
        <v>0</v>
      </c>
      <c r="BK330" s="85">
        <f t="shared" si="287"/>
        <v>0</v>
      </c>
      <c r="BL330" s="85">
        <f t="shared" si="288"/>
        <v>0</v>
      </c>
      <c r="BM330" s="85">
        <f t="shared" si="289"/>
        <v>0</v>
      </c>
      <c r="BN330" s="85">
        <f t="shared" si="290"/>
        <v>0</v>
      </c>
      <c r="BO330" s="85">
        <f t="shared" si="291"/>
        <v>0</v>
      </c>
      <c r="BP330" s="85">
        <f t="shared" si="292"/>
        <v>0</v>
      </c>
      <c r="BQ330" s="85">
        <f t="shared" si="293"/>
        <v>0</v>
      </c>
      <c r="BR330" s="85">
        <f t="shared" si="294"/>
        <v>0</v>
      </c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3"/>
      <c r="CH330" s="63"/>
      <c r="CI330" s="63"/>
      <c r="CJ330" s="63"/>
      <c r="CK330" s="63"/>
      <c r="CL330" s="63"/>
      <c r="CM330" s="63"/>
      <c r="CN330" s="63"/>
      <c r="CO330" s="63"/>
      <c r="CP330" s="63"/>
      <c r="CQ330" s="63"/>
      <c r="CR330" s="63"/>
      <c r="CS330" s="63"/>
      <c r="CX330" s="35" t="s">
        <v>12</v>
      </c>
      <c r="CZ330" s="35"/>
      <c r="DC330" s="57" t="str">
        <f t="shared" si="295"/>
        <v/>
      </c>
      <c r="DD330" s="64" t="str">
        <f t="shared" si="296"/>
        <v/>
      </c>
      <c r="DE330" s="65" t="str">
        <f t="shared" si="297"/>
        <v/>
      </c>
      <c r="DF330" s="66" t="str">
        <f t="shared" si="298"/>
        <v/>
      </c>
    </row>
    <row r="331" spans="2:110" hidden="1" outlineLevel="1">
      <c r="B331" s="54">
        <f t="shared" si="299"/>
        <v>45369</v>
      </c>
      <c r="C331" s="55" t="s">
        <v>1</v>
      </c>
      <c r="D331" s="56">
        <f t="shared" si="300"/>
        <v>45375</v>
      </c>
      <c r="E331" s="52">
        <f t="shared" si="301"/>
        <v>3</v>
      </c>
      <c r="F331" s="53">
        <f t="shared" si="302"/>
        <v>2024</v>
      </c>
      <c r="G331" s="62">
        <f t="shared" si="303"/>
        <v>15</v>
      </c>
      <c r="H331" s="63">
        <f t="shared" si="304"/>
        <v>96</v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>
        <v>15</v>
      </c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80"/>
      <c r="AG331" s="87">
        <f t="shared" si="258"/>
        <v>0</v>
      </c>
      <c r="AH331" s="87">
        <f t="shared" si="259"/>
        <v>0</v>
      </c>
      <c r="AI331" s="87">
        <f t="shared" si="260"/>
        <v>0</v>
      </c>
      <c r="AJ331" s="87">
        <f t="shared" si="261"/>
        <v>0</v>
      </c>
      <c r="AK331" s="87">
        <f t="shared" si="262"/>
        <v>0</v>
      </c>
      <c r="AL331" s="87">
        <f t="shared" si="263"/>
        <v>0</v>
      </c>
      <c r="AM331" s="87">
        <f t="shared" si="264"/>
        <v>0</v>
      </c>
      <c r="AN331" s="87">
        <f t="shared" si="265"/>
        <v>0</v>
      </c>
      <c r="AO331" s="87">
        <f t="shared" si="266"/>
        <v>0</v>
      </c>
      <c r="AP331" s="87">
        <f t="shared" si="267"/>
        <v>0</v>
      </c>
      <c r="AQ331" s="87">
        <f t="shared" si="268"/>
        <v>15</v>
      </c>
      <c r="AR331" s="81"/>
      <c r="AS331" s="85">
        <f t="shared" si="269"/>
        <v>0</v>
      </c>
      <c r="AT331" s="85">
        <f t="shared" si="270"/>
        <v>0</v>
      </c>
      <c r="AU331" s="85">
        <f t="shared" si="271"/>
        <v>0</v>
      </c>
      <c r="AV331" s="85">
        <f t="shared" si="272"/>
        <v>0</v>
      </c>
      <c r="AW331" s="85">
        <f t="shared" si="273"/>
        <v>0</v>
      </c>
      <c r="AX331" s="85">
        <f t="shared" si="274"/>
        <v>0</v>
      </c>
      <c r="AY331" s="85">
        <f t="shared" si="275"/>
        <v>0</v>
      </c>
      <c r="AZ331" s="85">
        <f t="shared" si="276"/>
        <v>0</v>
      </c>
      <c r="BA331" s="85">
        <f t="shared" si="277"/>
        <v>0</v>
      </c>
      <c r="BB331" s="85">
        <f t="shared" si="278"/>
        <v>0</v>
      </c>
      <c r="BC331" s="85">
        <f t="shared" si="279"/>
        <v>0</v>
      </c>
      <c r="BD331" s="85">
        <f t="shared" si="280"/>
        <v>0</v>
      </c>
      <c r="BE331" s="85">
        <f t="shared" si="281"/>
        <v>0</v>
      </c>
      <c r="BF331" s="85">
        <f t="shared" si="282"/>
        <v>0</v>
      </c>
      <c r="BG331" s="85">
        <f t="shared" si="283"/>
        <v>0</v>
      </c>
      <c r="BH331" s="85">
        <f t="shared" si="284"/>
        <v>0</v>
      </c>
      <c r="BI331" s="85">
        <f t="shared" si="285"/>
        <v>0</v>
      </c>
      <c r="BJ331" s="85">
        <f t="shared" si="286"/>
        <v>0</v>
      </c>
      <c r="BK331" s="85">
        <f t="shared" si="287"/>
        <v>0</v>
      </c>
      <c r="BL331" s="85">
        <f t="shared" si="288"/>
        <v>0</v>
      </c>
      <c r="BM331" s="85">
        <f t="shared" si="289"/>
        <v>0</v>
      </c>
      <c r="BN331" s="85">
        <f t="shared" si="290"/>
        <v>0</v>
      </c>
      <c r="BO331" s="85">
        <f t="shared" si="291"/>
        <v>0</v>
      </c>
      <c r="BP331" s="85">
        <f t="shared" si="292"/>
        <v>0</v>
      </c>
      <c r="BQ331" s="85">
        <f t="shared" si="293"/>
        <v>0</v>
      </c>
      <c r="BR331" s="85">
        <f t="shared" si="294"/>
        <v>0</v>
      </c>
      <c r="BT331" s="63"/>
      <c r="BU331" s="63"/>
      <c r="BV331" s="63"/>
      <c r="BW331" s="63"/>
      <c r="BX331" s="63"/>
      <c r="BY331" s="63"/>
      <c r="BZ331" s="63"/>
      <c r="CA331" s="63"/>
      <c r="CB331" s="63"/>
      <c r="CC331" s="63"/>
      <c r="CD331" s="63"/>
      <c r="CE331" s="63"/>
      <c r="CF331" s="63"/>
      <c r="CG331" s="63"/>
      <c r="CH331" s="63"/>
      <c r="CI331" s="63"/>
      <c r="CJ331" s="63"/>
      <c r="CK331" s="63"/>
      <c r="CL331" s="63"/>
      <c r="CM331" s="63"/>
      <c r="CN331" s="63"/>
      <c r="CO331" s="63"/>
      <c r="CP331" s="63"/>
      <c r="CQ331" s="63"/>
      <c r="CR331" s="63"/>
      <c r="CS331" s="63"/>
      <c r="CX331" s="35" t="s">
        <v>12</v>
      </c>
      <c r="CZ331" s="35"/>
      <c r="DC331" s="57" t="str">
        <f t="shared" si="295"/>
        <v/>
      </c>
      <c r="DD331" s="64" t="str">
        <f t="shared" si="296"/>
        <v/>
      </c>
      <c r="DE331" s="65" t="str">
        <f t="shared" si="297"/>
        <v/>
      </c>
      <c r="DF331" s="66" t="str">
        <f t="shared" si="298"/>
        <v/>
      </c>
    </row>
    <row r="332" spans="2:110" hidden="1" outlineLevel="1">
      <c r="B332" s="54">
        <f t="shared" si="299"/>
        <v>45376</v>
      </c>
      <c r="C332" s="55" t="s">
        <v>1</v>
      </c>
      <c r="D332" s="56">
        <f t="shared" si="300"/>
        <v>45382</v>
      </c>
      <c r="E332" s="52">
        <f t="shared" si="301"/>
        <v>3</v>
      </c>
      <c r="F332" s="53">
        <f t="shared" si="302"/>
        <v>2024</v>
      </c>
      <c r="G332" s="62">
        <f t="shared" si="303"/>
        <v>15</v>
      </c>
      <c r="H332" s="63">
        <f t="shared" si="304"/>
        <v>96</v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>
        <v>15</v>
      </c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80"/>
      <c r="AG332" s="87">
        <f t="shared" si="258"/>
        <v>0</v>
      </c>
      <c r="AH332" s="87">
        <f t="shared" si="259"/>
        <v>0</v>
      </c>
      <c r="AI332" s="87">
        <f t="shared" si="260"/>
        <v>0</v>
      </c>
      <c r="AJ332" s="87">
        <f t="shared" si="261"/>
        <v>0</v>
      </c>
      <c r="AK332" s="87">
        <f t="shared" si="262"/>
        <v>0</v>
      </c>
      <c r="AL332" s="87">
        <f t="shared" si="263"/>
        <v>0</v>
      </c>
      <c r="AM332" s="87">
        <f t="shared" si="264"/>
        <v>0</v>
      </c>
      <c r="AN332" s="87">
        <f t="shared" si="265"/>
        <v>0</v>
      </c>
      <c r="AO332" s="87">
        <f t="shared" si="266"/>
        <v>0</v>
      </c>
      <c r="AP332" s="87">
        <f t="shared" si="267"/>
        <v>0</v>
      </c>
      <c r="AQ332" s="87">
        <f t="shared" si="268"/>
        <v>15</v>
      </c>
      <c r="AR332" s="81"/>
      <c r="AS332" s="85">
        <f t="shared" si="269"/>
        <v>0</v>
      </c>
      <c r="AT332" s="85">
        <f t="shared" si="270"/>
        <v>0</v>
      </c>
      <c r="AU332" s="85">
        <f t="shared" si="271"/>
        <v>0</v>
      </c>
      <c r="AV332" s="85">
        <f t="shared" si="272"/>
        <v>0</v>
      </c>
      <c r="AW332" s="85">
        <f t="shared" si="273"/>
        <v>0</v>
      </c>
      <c r="AX332" s="85">
        <f t="shared" si="274"/>
        <v>0</v>
      </c>
      <c r="AY332" s="85">
        <f t="shared" si="275"/>
        <v>0</v>
      </c>
      <c r="AZ332" s="85">
        <f t="shared" si="276"/>
        <v>0</v>
      </c>
      <c r="BA332" s="85">
        <f t="shared" si="277"/>
        <v>0</v>
      </c>
      <c r="BB332" s="85">
        <f t="shared" si="278"/>
        <v>0</v>
      </c>
      <c r="BC332" s="85">
        <f t="shared" si="279"/>
        <v>0</v>
      </c>
      <c r="BD332" s="85">
        <f t="shared" si="280"/>
        <v>0</v>
      </c>
      <c r="BE332" s="85">
        <f t="shared" si="281"/>
        <v>0</v>
      </c>
      <c r="BF332" s="85">
        <f t="shared" si="282"/>
        <v>0</v>
      </c>
      <c r="BG332" s="85">
        <f t="shared" si="283"/>
        <v>0</v>
      </c>
      <c r="BH332" s="85">
        <f t="shared" si="284"/>
        <v>0</v>
      </c>
      <c r="BI332" s="85">
        <f t="shared" si="285"/>
        <v>0</v>
      </c>
      <c r="BJ332" s="85">
        <f t="shared" si="286"/>
        <v>0</v>
      </c>
      <c r="BK332" s="85">
        <f t="shared" si="287"/>
        <v>0</v>
      </c>
      <c r="BL332" s="85">
        <f t="shared" si="288"/>
        <v>0</v>
      </c>
      <c r="BM332" s="85">
        <f t="shared" si="289"/>
        <v>0</v>
      </c>
      <c r="BN332" s="85">
        <f t="shared" si="290"/>
        <v>0</v>
      </c>
      <c r="BO332" s="85">
        <f t="shared" si="291"/>
        <v>0</v>
      </c>
      <c r="BP332" s="85">
        <f t="shared" si="292"/>
        <v>0</v>
      </c>
      <c r="BQ332" s="85">
        <f t="shared" si="293"/>
        <v>0</v>
      </c>
      <c r="BR332" s="85">
        <f t="shared" si="294"/>
        <v>0</v>
      </c>
      <c r="BT332" s="63"/>
      <c r="BU332" s="63"/>
      <c r="BV332" s="63"/>
      <c r="BW332" s="63"/>
      <c r="BX332" s="63"/>
      <c r="BY332" s="63"/>
      <c r="BZ332" s="63"/>
      <c r="CA332" s="63"/>
      <c r="CB332" s="63"/>
      <c r="CC332" s="63"/>
      <c r="CD332" s="63"/>
      <c r="CE332" s="63"/>
      <c r="CF332" s="63"/>
      <c r="CG332" s="63"/>
      <c r="CH332" s="63"/>
      <c r="CI332" s="63"/>
      <c r="CJ332" s="63"/>
      <c r="CK332" s="63"/>
      <c r="CL332" s="63"/>
      <c r="CM332" s="63"/>
      <c r="CN332" s="63"/>
      <c r="CO332" s="63"/>
      <c r="CP332" s="63"/>
      <c r="CQ332" s="63"/>
      <c r="CR332" s="63"/>
      <c r="CS332" s="63"/>
      <c r="CX332" s="35" t="s">
        <v>12</v>
      </c>
      <c r="CZ332" s="35"/>
      <c r="DC332" s="57" t="str">
        <f t="shared" si="295"/>
        <v/>
      </c>
      <c r="DD332" s="64" t="str">
        <f t="shared" si="296"/>
        <v/>
      </c>
      <c r="DE332" s="65" t="str">
        <f t="shared" si="297"/>
        <v/>
      </c>
      <c r="DF332" s="66" t="str">
        <f t="shared" si="298"/>
        <v/>
      </c>
    </row>
    <row r="333" spans="2:110" hidden="1" outlineLevel="1">
      <c r="B333" s="54">
        <f t="shared" si="299"/>
        <v>45383</v>
      </c>
      <c r="C333" s="55" t="s">
        <v>1</v>
      </c>
      <c r="D333" s="56">
        <f t="shared" si="300"/>
        <v>45389</v>
      </c>
      <c r="E333" s="52">
        <f t="shared" si="301"/>
        <v>4</v>
      </c>
      <c r="F333" s="53">
        <f t="shared" si="302"/>
        <v>2024</v>
      </c>
      <c r="G333" s="62">
        <f t="shared" si="303"/>
        <v>15</v>
      </c>
      <c r="H333" s="63">
        <f t="shared" si="304"/>
        <v>96</v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>
        <v>15</v>
      </c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80"/>
      <c r="AG333" s="87">
        <f t="shared" si="258"/>
        <v>0</v>
      </c>
      <c r="AH333" s="87">
        <f t="shared" si="259"/>
        <v>0</v>
      </c>
      <c r="AI333" s="87">
        <f t="shared" si="260"/>
        <v>0</v>
      </c>
      <c r="AJ333" s="87">
        <f t="shared" si="261"/>
        <v>0</v>
      </c>
      <c r="AK333" s="87">
        <f t="shared" si="262"/>
        <v>0</v>
      </c>
      <c r="AL333" s="87">
        <f t="shared" si="263"/>
        <v>0</v>
      </c>
      <c r="AM333" s="87">
        <f t="shared" si="264"/>
        <v>0</v>
      </c>
      <c r="AN333" s="87">
        <f t="shared" si="265"/>
        <v>0</v>
      </c>
      <c r="AO333" s="87">
        <f t="shared" si="266"/>
        <v>0</v>
      </c>
      <c r="AP333" s="87">
        <f t="shared" si="267"/>
        <v>0</v>
      </c>
      <c r="AQ333" s="87">
        <f t="shared" si="268"/>
        <v>15</v>
      </c>
      <c r="AR333" s="81"/>
      <c r="AS333" s="85">
        <f t="shared" si="269"/>
        <v>0</v>
      </c>
      <c r="AT333" s="85">
        <f t="shared" si="270"/>
        <v>0</v>
      </c>
      <c r="AU333" s="85">
        <f t="shared" si="271"/>
        <v>0</v>
      </c>
      <c r="AV333" s="85">
        <f t="shared" si="272"/>
        <v>0</v>
      </c>
      <c r="AW333" s="85">
        <f t="shared" si="273"/>
        <v>0</v>
      </c>
      <c r="AX333" s="85">
        <f t="shared" si="274"/>
        <v>0</v>
      </c>
      <c r="AY333" s="85">
        <f t="shared" si="275"/>
        <v>0</v>
      </c>
      <c r="AZ333" s="85">
        <f t="shared" si="276"/>
        <v>0</v>
      </c>
      <c r="BA333" s="85">
        <f t="shared" si="277"/>
        <v>0</v>
      </c>
      <c r="BB333" s="85">
        <f t="shared" si="278"/>
        <v>0</v>
      </c>
      <c r="BC333" s="85">
        <f t="shared" si="279"/>
        <v>0</v>
      </c>
      <c r="BD333" s="85">
        <f t="shared" si="280"/>
        <v>0</v>
      </c>
      <c r="BE333" s="85">
        <f t="shared" si="281"/>
        <v>0</v>
      </c>
      <c r="BF333" s="85">
        <f t="shared" si="282"/>
        <v>0</v>
      </c>
      <c r="BG333" s="85">
        <f t="shared" si="283"/>
        <v>0</v>
      </c>
      <c r="BH333" s="85">
        <f t="shared" si="284"/>
        <v>0</v>
      </c>
      <c r="BI333" s="85">
        <f t="shared" si="285"/>
        <v>0</v>
      </c>
      <c r="BJ333" s="85">
        <f t="shared" si="286"/>
        <v>0</v>
      </c>
      <c r="BK333" s="85">
        <f t="shared" si="287"/>
        <v>0</v>
      </c>
      <c r="BL333" s="85">
        <f t="shared" si="288"/>
        <v>0</v>
      </c>
      <c r="BM333" s="85">
        <f t="shared" si="289"/>
        <v>0</v>
      </c>
      <c r="BN333" s="85">
        <f t="shared" si="290"/>
        <v>0</v>
      </c>
      <c r="BO333" s="85">
        <f t="shared" si="291"/>
        <v>0</v>
      </c>
      <c r="BP333" s="85">
        <f t="shared" si="292"/>
        <v>0</v>
      </c>
      <c r="BQ333" s="85">
        <f t="shared" si="293"/>
        <v>0</v>
      </c>
      <c r="BR333" s="85">
        <f t="shared" si="294"/>
        <v>0</v>
      </c>
      <c r="BT333" s="63"/>
      <c r="BU333" s="63"/>
      <c r="BV333" s="63"/>
      <c r="BW333" s="63"/>
      <c r="BX333" s="63"/>
      <c r="BY333" s="63"/>
      <c r="BZ333" s="63"/>
      <c r="CA333" s="63"/>
      <c r="CB333" s="63"/>
      <c r="CC333" s="63"/>
      <c r="CD333" s="63"/>
      <c r="CE333" s="63"/>
      <c r="CF333" s="63"/>
      <c r="CG333" s="63"/>
      <c r="CH333" s="63"/>
      <c r="CI333" s="63"/>
      <c r="CJ333" s="63"/>
      <c r="CK333" s="63"/>
      <c r="CL333" s="63"/>
      <c r="CM333" s="63"/>
      <c r="CN333" s="63"/>
      <c r="CO333" s="63"/>
      <c r="CP333" s="63"/>
      <c r="CQ333" s="63"/>
      <c r="CR333" s="63"/>
      <c r="CS333" s="63"/>
      <c r="CX333" s="35" t="s">
        <v>12</v>
      </c>
      <c r="CZ333" s="35"/>
      <c r="DC333" s="57" t="str">
        <f t="shared" si="295"/>
        <v/>
      </c>
      <c r="DD333" s="64" t="str">
        <f t="shared" si="296"/>
        <v/>
      </c>
      <c r="DE333" s="65" t="str">
        <f t="shared" si="297"/>
        <v/>
      </c>
      <c r="DF333" s="66" t="str">
        <f t="shared" si="298"/>
        <v/>
      </c>
    </row>
    <row r="334" spans="2:110" hidden="1" outlineLevel="1">
      <c r="B334" s="54">
        <f t="shared" si="299"/>
        <v>45390</v>
      </c>
      <c r="C334" s="55" t="s">
        <v>1</v>
      </c>
      <c r="D334" s="56">
        <f t="shared" si="300"/>
        <v>45396</v>
      </c>
      <c r="E334" s="52">
        <f t="shared" si="301"/>
        <v>4</v>
      </c>
      <c r="F334" s="53">
        <f t="shared" si="302"/>
        <v>2024</v>
      </c>
      <c r="G334" s="62">
        <f t="shared" si="303"/>
        <v>15</v>
      </c>
      <c r="H334" s="63">
        <f t="shared" si="304"/>
        <v>96</v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>
        <v>15</v>
      </c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80"/>
      <c r="AG334" s="87">
        <f t="shared" si="258"/>
        <v>0</v>
      </c>
      <c r="AH334" s="87">
        <f t="shared" si="259"/>
        <v>0</v>
      </c>
      <c r="AI334" s="87">
        <f t="shared" si="260"/>
        <v>0</v>
      </c>
      <c r="AJ334" s="87">
        <f t="shared" si="261"/>
        <v>0</v>
      </c>
      <c r="AK334" s="87">
        <f t="shared" si="262"/>
        <v>0</v>
      </c>
      <c r="AL334" s="87">
        <f t="shared" si="263"/>
        <v>0</v>
      </c>
      <c r="AM334" s="87">
        <f t="shared" si="264"/>
        <v>0</v>
      </c>
      <c r="AN334" s="87">
        <f t="shared" si="265"/>
        <v>0</v>
      </c>
      <c r="AO334" s="87">
        <f t="shared" si="266"/>
        <v>0</v>
      </c>
      <c r="AP334" s="87">
        <f t="shared" si="267"/>
        <v>0</v>
      </c>
      <c r="AQ334" s="87">
        <f t="shared" si="268"/>
        <v>15</v>
      </c>
      <c r="AR334" s="81"/>
      <c r="AS334" s="85">
        <f t="shared" si="269"/>
        <v>0</v>
      </c>
      <c r="AT334" s="85">
        <f t="shared" si="270"/>
        <v>0</v>
      </c>
      <c r="AU334" s="85">
        <f t="shared" si="271"/>
        <v>0</v>
      </c>
      <c r="AV334" s="85">
        <f t="shared" si="272"/>
        <v>0</v>
      </c>
      <c r="AW334" s="85">
        <f t="shared" si="273"/>
        <v>0</v>
      </c>
      <c r="AX334" s="85">
        <f t="shared" si="274"/>
        <v>0</v>
      </c>
      <c r="AY334" s="85">
        <f t="shared" si="275"/>
        <v>0</v>
      </c>
      <c r="AZ334" s="85">
        <f t="shared" si="276"/>
        <v>0</v>
      </c>
      <c r="BA334" s="85">
        <f t="shared" si="277"/>
        <v>0</v>
      </c>
      <c r="BB334" s="85">
        <f t="shared" si="278"/>
        <v>0</v>
      </c>
      <c r="BC334" s="85">
        <f t="shared" si="279"/>
        <v>0</v>
      </c>
      <c r="BD334" s="85">
        <f t="shared" si="280"/>
        <v>0</v>
      </c>
      <c r="BE334" s="85">
        <f t="shared" si="281"/>
        <v>0</v>
      </c>
      <c r="BF334" s="85">
        <f t="shared" si="282"/>
        <v>0</v>
      </c>
      <c r="BG334" s="85">
        <f t="shared" si="283"/>
        <v>0</v>
      </c>
      <c r="BH334" s="85">
        <f t="shared" si="284"/>
        <v>0</v>
      </c>
      <c r="BI334" s="85">
        <f t="shared" si="285"/>
        <v>0</v>
      </c>
      <c r="BJ334" s="85">
        <f t="shared" si="286"/>
        <v>0</v>
      </c>
      <c r="BK334" s="85">
        <f t="shared" si="287"/>
        <v>0</v>
      </c>
      <c r="BL334" s="85">
        <f t="shared" si="288"/>
        <v>0</v>
      </c>
      <c r="BM334" s="85">
        <f t="shared" si="289"/>
        <v>0</v>
      </c>
      <c r="BN334" s="85">
        <f t="shared" si="290"/>
        <v>0</v>
      </c>
      <c r="BO334" s="85">
        <f t="shared" si="291"/>
        <v>0</v>
      </c>
      <c r="BP334" s="85">
        <f t="shared" si="292"/>
        <v>0</v>
      </c>
      <c r="BQ334" s="85">
        <f t="shared" si="293"/>
        <v>0</v>
      </c>
      <c r="BR334" s="85">
        <f t="shared" si="294"/>
        <v>0</v>
      </c>
      <c r="BT334" s="63"/>
      <c r="BU334" s="63"/>
      <c r="BV334" s="63"/>
      <c r="BW334" s="63"/>
      <c r="BX334" s="63"/>
      <c r="BY334" s="63"/>
      <c r="BZ334" s="63"/>
      <c r="CA334" s="63"/>
      <c r="CB334" s="63"/>
      <c r="CC334" s="63"/>
      <c r="CD334" s="63"/>
      <c r="CE334" s="63"/>
      <c r="CF334" s="63"/>
      <c r="CG334" s="63"/>
      <c r="CH334" s="63"/>
      <c r="CI334" s="63"/>
      <c r="CJ334" s="63"/>
      <c r="CK334" s="63"/>
      <c r="CL334" s="63"/>
      <c r="CM334" s="63"/>
      <c r="CN334" s="63"/>
      <c r="CO334" s="63"/>
      <c r="CP334" s="63"/>
      <c r="CQ334" s="63"/>
      <c r="CR334" s="63"/>
      <c r="CS334" s="63"/>
      <c r="CX334" s="35" t="s">
        <v>12</v>
      </c>
      <c r="CZ334" s="35"/>
      <c r="DC334" s="57" t="str">
        <f t="shared" si="295"/>
        <v/>
      </c>
      <c r="DD334" s="64" t="str">
        <f t="shared" si="296"/>
        <v/>
      </c>
      <c r="DE334" s="65" t="str">
        <f t="shared" si="297"/>
        <v/>
      </c>
      <c r="DF334" s="66" t="str">
        <f t="shared" si="298"/>
        <v/>
      </c>
    </row>
    <row r="335" spans="2:110" hidden="1" outlineLevel="1">
      <c r="B335" s="54">
        <f t="shared" si="299"/>
        <v>45397</v>
      </c>
      <c r="C335" s="55" t="s">
        <v>1</v>
      </c>
      <c r="D335" s="56">
        <f t="shared" si="300"/>
        <v>45403</v>
      </c>
      <c r="E335" s="52">
        <f t="shared" si="301"/>
        <v>4</v>
      </c>
      <c r="F335" s="53">
        <f t="shared" si="302"/>
        <v>2024</v>
      </c>
      <c r="G335" s="62">
        <f t="shared" si="303"/>
        <v>15</v>
      </c>
      <c r="H335" s="63">
        <f t="shared" si="304"/>
        <v>96</v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>
        <v>15</v>
      </c>
      <c r="U335" s="79">
        <v>1</v>
      </c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80"/>
      <c r="AG335" s="87">
        <f t="shared" si="258"/>
        <v>45399</v>
      </c>
      <c r="AH335" s="87">
        <f t="shared" si="259"/>
        <v>0</v>
      </c>
      <c r="AI335" s="87">
        <f t="shared" si="260"/>
        <v>0</v>
      </c>
      <c r="AJ335" s="87">
        <f t="shared" si="261"/>
        <v>0</v>
      </c>
      <c r="AK335" s="87">
        <f t="shared" si="262"/>
        <v>0</v>
      </c>
      <c r="AL335" s="87">
        <f t="shared" si="263"/>
        <v>0</v>
      </c>
      <c r="AM335" s="87">
        <f t="shared" si="264"/>
        <v>0</v>
      </c>
      <c r="AN335" s="87">
        <f t="shared" si="265"/>
        <v>0</v>
      </c>
      <c r="AO335" s="87">
        <f t="shared" si="266"/>
        <v>0</v>
      </c>
      <c r="AP335" s="87">
        <f t="shared" si="267"/>
        <v>0</v>
      </c>
      <c r="AQ335" s="87">
        <f t="shared" si="268"/>
        <v>15</v>
      </c>
      <c r="AR335" s="81"/>
      <c r="AS335" s="85">
        <f t="shared" si="269"/>
        <v>0</v>
      </c>
      <c r="AT335" s="85">
        <f t="shared" si="270"/>
        <v>0</v>
      </c>
      <c r="AU335" s="85">
        <f t="shared" si="271"/>
        <v>0</v>
      </c>
      <c r="AV335" s="85">
        <f t="shared" si="272"/>
        <v>0</v>
      </c>
      <c r="AW335" s="85">
        <f t="shared" si="273"/>
        <v>0</v>
      </c>
      <c r="AX335" s="85">
        <f t="shared" si="274"/>
        <v>0</v>
      </c>
      <c r="AY335" s="85">
        <f t="shared" si="275"/>
        <v>0</v>
      </c>
      <c r="AZ335" s="85">
        <f t="shared" si="276"/>
        <v>0</v>
      </c>
      <c r="BA335" s="85">
        <f t="shared" si="277"/>
        <v>0</v>
      </c>
      <c r="BB335" s="85">
        <f t="shared" si="278"/>
        <v>0</v>
      </c>
      <c r="BC335" s="85">
        <f t="shared" si="279"/>
        <v>0</v>
      </c>
      <c r="BD335" s="85">
        <f t="shared" si="280"/>
        <v>0</v>
      </c>
      <c r="BE335" s="85">
        <f t="shared" si="281"/>
        <v>0</v>
      </c>
      <c r="BF335" s="85">
        <f t="shared" si="282"/>
        <v>0</v>
      </c>
      <c r="BG335" s="85">
        <f t="shared" si="283"/>
        <v>0</v>
      </c>
      <c r="BH335" s="85">
        <f t="shared" si="284"/>
        <v>0</v>
      </c>
      <c r="BI335" s="85">
        <f t="shared" si="285"/>
        <v>0</v>
      </c>
      <c r="BJ335" s="85">
        <f t="shared" si="286"/>
        <v>0</v>
      </c>
      <c r="BK335" s="85">
        <f t="shared" si="287"/>
        <v>0</v>
      </c>
      <c r="BL335" s="85">
        <f t="shared" si="288"/>
        <v>0</v>
      </c>
      <c r="BM335" s="85">
        <f t="shared" si="289"/>
        <v>0</v>
      </c>
      <c r="BN335" s="85">
        <f t="shared" si="290"/>
        <v>0</v>
      </c>
      <c r="BO335" s="85">
        <f t="shared" si="291"/>
        <v>0</v>
      </c>
      <c r="BP335" s="85">
        <f t="shared" si="292"/>
        <v>0</v>
      </c>
      <c r="BQ335" s="85">
        <f t="shared" si="293"/>
        <v>0</v>
      </c>
      <c r="BR335" s="85">
        <f t="shared" si="294"/>
        <v>0</v>
      </c>
      <c r="BT335" s="63"/>
      <c r="BU335" s="63"/>
      <c r="BV335" s="63"/>
      <c r="BW335" s="63"/>
      <c r="BX335" s="63"/>
      <c r="BY335" s="63"/>
      <c r="BZ335" s="63"/>
      <c r="CA335" s="63"/>
      <c r="CB335" s="63"/>
      <c r="CC335" s="63"/>
      <c r="CD335" s="63"/>
      <c r="CE335" s="63"/>
      <c r="CF335" s="63"/>
      <c r="CG335" s="63"/>
      <c r="CH335" s="63"/>
      <c r="CI335" s="63"/>
      <c r="CJ335" s="63"/>
      <c r="CK335" s="63"/>
      <c r="CL335" s="63"/>
      <c r="CM335" s="63"/>
      <c r="CN335" s="63"/>
      <c r="CO335" s="63"/>
      <c r="CP335" s="63"/>
      <c r="CQ335" s="63"/>
      <c r="CR335" s="63"/>
      <c r="CS335" s="63"/>
      <c r="CX335" s="35" t="s">
        <v>12</v>
      </c>
      <c r="CZ335" s="35"/>
      <c r="DC335" s="57">
        <f t="shared" si="295"/>
        <v>1</v>
      </c>
      <c r="DD335" s="64">
        <f t="shared" si="296"/>
        <v>45399</v>
      </c>
      <c r="DE335" s="65">
        <f t="shared" si="297"/>
        <v>45504</v>
      </c>
      <c r="DF335" s="66" t="str">
        <f t="shared" si="298"/>
        <v>VNI</v>
      </c>
    </row>
    <row r="336" spans="2:110" hidden="1" outlineLevel="1">
      <c r="B336" s="54">
        <f t="shared" si="299"/>
        <v>45404</v>
      </c>
      <c r="C336" s="55" t="s">
        <v>1</v>
      </c>
      <c r="D336" s="56">
        <f t="shared" si="300"/>
        <v>45410</v>
      </c>
      <c r="E336" s="52">
        <f t="shared" si="301"/>
        <v>4</v>
      </c>
      <c r="F336" s="53">
        <f t="shared" si="302"/>
        <v>2024</v>
      </c>
      <c r="G336" s="62">
        <f t="shared" si="303"/>
        <v>15</v>
      </c>
      <c r="H336" s="63">
        <f t="shared" si="304"/>
        <v>96</v>
      </c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>
        <v>15</v>
      </c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80"/>
      <c r="AG336" s="87">
        <f t="shared" si="258"/>
        <v>1</v>
      </c>
      <c r="AH336" s="87">
        <f t="shared" si="259"/>
        <v>0</v>
      </c>
      <c r="AI336" s="87">
        <f t="shared" si="260"/>
        <v>0</v>
      </c>
      <c r="AJ336" s="87">
        <f t="shared" si="261"/>
        <v>0</v>
      </c>
      <c r="AK336" s="87">
        <f t="shared" si="262"/>
        <v>0</v>
      </c>
      <c r="AL336" s="87">
        <f t="shared" si="263"/>
        <v>0</v>
      </c>
      <c r="AM336" s="87">
        <f t="shared" si="264"/>
        <v>0</v>
      </c>
      <c r="AN336" s="87">
        <f t="shared" si="265"/>
        <v>0</v>
      </c>
      <c r="AO336" s="87">
        <f t="shared" si="266"/>
        <v>0</v>
      </c>
      <c r="AP336" s="87">
        <f t="shared" si="267"/>
        <v>0</v>
      </c>
      <c r="AQ336" s="87">
        <f t="shared" si="268"/>
        <v>15</v>
      </c>
      <c r="AR336" s="81"/>
      <c r="AS336" s="85">
        <f t="shared" si="269"/>
        <v>0</v>
      </c>
      <c r="AT336" s="85">
        <f t="shared" si="270"/>
        <v>0</v>
      </c>
      <c r="AU336" s="85">
        <f t="shared" si="271"/>
        <v>0</v>
      </c>
      <c r="AV336" s="85">
        <f t="shared" si="272"/>
        <v>0</v>
      </c>
      <c r="AW336" s="85">
        <f t="shared" si="273"/>
        <v>0</v>
      </c>
      <c r="AX336" s="85">
        <f t="shared" si="274"/>
        <v>0</v>
      </c>
      <c r="AY336" s="85">
        <f t="shared" si="275"/>
        <v>0</v>
      </c>
      <c r="AZ336" s="85">
        <f t="shared" si="276"/>
        <v>0</v>
      </c>
      <c r="BA336" s="85">
        <f t="shared" si="277"/>
        <v>0</v>
      </c>
      <c r="BB336" s="85">
        <f t="shared" si="278"/>
        <v>0</v>
      </c>
      <c r="BC336" s="85">
        <f t="shared" si="279"/>
        <v>0</v>
      </c>
      <c r="BD336" s="85">
        <f t="shared" si="280"/>
        <v>0</v>
      </c>
      <c r="BE336" s="85">
        <f t="shared" si="281"/>
        <v>0</v>
      </c>
      <c r="BF336" s="85">
        <f t="shared" si="282"/>
        <v>0</v>
      </c>
      <c r="BG336" s="85">
        <f t="shared" si="283"/>
        <v>0</v>
      </c>
      <c r="BH336" s="85">
        <f t="shared" si="284"/>
        <v>0</v>
      </c>
      <c r="BI336" s="85">
        <f t="shared" si="285"/>
        <v>0</v>
      </c>
      <c r="BJ336" s="85">
        <f t="shared" si="286"/>
        <v>0</v>
      </c>
      <c r="BK336" s="85">
        <f t="shared" si="287"/>
        <v>0</v>
      </c>
      <c r="BL336" s="85">
        <f t="shared" si="288"/>
        <v>0</v>
      </c>
      <c r="BM336" s="85">
        <f t="shared" si="289"/>
        <v>0</v>
      </c>
      <c r="BN336" s="85">
        <f t="shared" si="290"/>
        <v>0</v>
      </c>
      <c r="BO336" s="85">
        <f t="shared" si="291"/>
        <v>0</v>
      </c>
      <c r="BP336" s="85">
        <f t="shared" si="292"/>
        <v>0</v>
      </c>
      <c r="BQ336" s="85">
        <f t="shared" si="293"/>
        <v>0</v>
      </c>
      <c r="BR336" s="85">
        <f t="shared" si="294"/>
        <v>0</v>
      </c>
      <c r="BT336" s="63"/>
      <c r="BU336" s="63"/>
      <c r="BV336" s="63"/>
      <c r="BW336" s="63"/>
      <c r="BX336" s="63"/>
      <c r="BY336" s="63"/>
      <c r="BZ336" s="63"/>
      <c r="CA336" s="63"/>
      <c r="CB336" s="63"/>
      <c r="CC336" s="63"/>
      <c r="CD336" s="63"/>
      <c r="CE336" s="63"/>
      <c r="CF336" s="63"/>
      <c r="CG336" s="63"/>
      <c r="CH336" s="63"/>
      <c r="CI336" s="63"/>
      <c r="CJ336" s="63"/>
      <c r="CK336" s="63"/>
      <c r="CL336" s="63"/>
      <c r="CM336" s="63"/>
      <c r="CN336" s="63"/>
      <c r="CO336" s="63"/>
      <c r="CP336" s="63"/>
      <c r="CQ336" s="63"/>
      <c r="CR336" s="63"/>
      <c r="CS336" s="63"/>
      <c r="CX336" s="35" t="s">
        <v>12</v>
      </c>
      <c r="CZ336" s="35"/>
      <c r="DC336" s="57" t="str">
        <f t="shared" si="295"/>
        <v/>
      </c>
      <c r="DD336" s="64" t="str">
        <f t="shared" si="296"/>
        <v/>
      </c>
      <c r="DE336" s="65" t="str">
        <f t="shared" si="297"/>
        <v/>
      </c>
      <c r="DF336" s="66" t="str">
        <f t="shared" si="298"/>
        <v/>
      </c>
    </row>
    <row r="337" spans="2:110" hidden="1" outlineLevel="1">
      <c r="B337" s="54">
        <f t="shared" si="299"/>
        <v>45411</v>
      </c>
      <c r="C337" s="55" t="s">
        <v>1</v>
      </c>
      <c r="D337" s="56">
        <f t="shared" si="300"/>
        <v>45417</v>
      </c>
      <c r="E337" s="52">
        <f t="shared" si="301"/>
        <v>4</v>
      </c>
      <c r="F337" s="53">
        <f t="shared" si="302"/>
        <v>2024</v>
      </c>
      <c r="G337" s="62">
        <f t="shared" si="303"/>
        <v>15</v>
      </c>
      <c r="H337" s="63">
        <f t="shared" si="304"/>
        <v>96</v>
      </c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>
        <v>15</v>
      </c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80"/>
      <c r="AG337" s="87">
        <f t="shared" si="258"/>
        <v>2</v>
      </c>
      <c r="AH337" s="87">
        <f t="shared" si="259"/>
        <v>0</v>
      </c>
      <c r="AI337" s="87">
        <f t="shared" si="260"/>
        <v>0</v>
      </c>
      <c r="AJ337" s="87">
        <f t="shared" si="261"/>
        <v>0</v>
      </c>
      <c r="AK337" s="87">
        <f t="shared" si="262"/>
        <v>0</v>
      </c>
      <c r="AL337" s="87">
        <f t="shared" si="263"/>
        <v>0</v>
      </c>
      <c r="AM337" s="87">
        <f t="shared" si="264"/>
        <v>0</v>
      </c>
      <c r="AN337" s="87">
        <f t="shared" si="265"/>
        <v>0</v>
      </c>
      <c r="AO337" s="87">
        <f t="shared" si="266"/>
        <v>0</v>
      </c>
      <c r="AP337" s="87">
        <f t="shared" si="267"/>
        <v>0</v>
      </c>
      <c r="AQ337" s="87">
        <f t="shared" si="268"/>
        <v>15</v>
      </c>
      <c r="AR337" s="81"/>
      <c r="AS337" s="85">
        <f t="shared" si="269"/>
        <v>0</v>
      </c>
      <c r="AT337" s="85">
        <f t="shared" si="270"/>
        <v>0</v>
      </c>
      <c r="AU337" s="85">
        <f t="shared" si="271"/>
        <v>0</v>
      </c>
      <c r="AV337" s="85">
        <f t="shared" si="272"/>
        <v>0</v>
      </c>
      <c r="AW337" s="85">
        <f t="shared" si="273"/>
        <v>0</v>
      </c>
      <c r="AX337" s="85">
        <f t="shared" si="274"/>
        <v>0</v>
      </c>
      <c r="AY337" s="85">
        <f t="shared" si="275"/>
        <v>0</v>
      </c>
      <c r="AZ337" s="85">
        <f t="shared" si="276"/>
        <v>0</v>
      </c>
      <c r="BA337" s="85">
        <f t="shared" si="277"/>
        <v>0</v>
      </c>
      <c r="BB337" s="85">
        <f t="shared" si="278"/>
        <v>0</v>
      </c>
      <c r="BC337" s="85">
        <f t="shared" si="279"/>
        <v>0</v>
      </c>
      <c r="BD337" s="85">
        <f t="shared" si="280"/>
        <v>0</v>
      </c>
      <c r="BE337" s="85">
        <f t="shared" si="281"/>
        <v>0</v>
      </c>
      <c r="BF337" s="85">
        <f t="shared" si="282"/>
        <v>0</v>
      </c>
      <c r="BG337" s="85">
        <f t="shared" si="283"/>
        <v>0</v>
      </c>
      <c r="BH337" s="85">
        <f t="shared" si="284"/>
        <v>0</v>
      </c>
      <c r="BI337" s="85">
        <f t="shared" si="285"/>
        <v>0</v>
      </c>
      <c r="BJ337" s="85">
        <f t="shared" si="286"/>
        <v>0</v>
      </c>
      <c r="BK337" s="85">
        <f t="shared" si="287"/>
        <v>0</v>
      </c>
      <c r="BL337" s="85">
        <f t="shared" si="288"/>
        <v>0</v>
      </c>
      <c r="BM337" s="85">
        <f t="shared" si="289"/>
        <v>0</v>
      </c>
      <c r="BN337" s="85">
        <f t="shared" si="290"/>
        <v>0</v>
      </c>
      <c r="BO337" s="85">
        <f t="shared" si="291"/>
        <v>0</v>
      </c>
      <c r="BP337" s="85">
        <f t="shared" si="292"/>
        <v>0</v>
      </c>
      <c r="BQ337" s="85">
        <f t="shared" si="293"/>
        <v>0</v>
      </c>
      <c r="BR337" s="85">
        <f t="shared" si="294"/>
        <v>0</v>
      </c>
      <c r="BT337" s="63"/>
      <c r="BU337" s="63"/>
      <c r="BV337" s="63"/>
      <c r="BW337" s="63"/>
      <c r="BX337" s="63"/>
      <c r="BY337" s="63"/>
      <c r="BZ337" s="63"/>
      <c r="CA337" s="63"/>
      <c r="CB337" s="63"/>
      <c r="CC337" s="63"/>
      <c r="CD337" s="63"/>
      <c r="CE337" s="63"/>
      <c r="CF337" s="63"/>
      <c r="CG337" s="63"/>
      <c r="CH337" s="63"/>
      <c r="CI337" s="63"/>
      <c r="CJ337" s="63"/>
      <c r="CK337" s="63"/>
      <c r="CL337" s="63"/>
      <c r="CM337" s="63"/>
      <c r="CN337" s="63"/>
      <c r="CO337" s="63"/>
      <c r="CP337" s="63"/>
      <c r="CQ337" s="63"/>
      <c r="CR337" s="63"/>
      <c r="CS337" s="63"/>
      <c r="CX337" s="35" t="s">
        <v>12</v>
      </c>
      <c r="CZ337" s="35"/>
      <c r="DC337" s="57" t="str">
        <f t="shared" si="295"/>
        <v/>
      </c>
      <c r="DD337" s="64" t="str">
        <f t="shared" si="296"/>
        <v/>
      </c>
      <c r="DE337" s="65" t="str">
        <f t="shared" si="297"/>
        <v/>
      </c>
      <c r="DF337" s="66" t="str">
        <f t="shared" si="298"/>
        <v/>
      </c>
    </row>
    <row r="338" spans="2:110" hidden="1" outlineLevel="1">
      <c r="B338" s="54">
        <f t="shared" si="299"/>
        <v>45418</v>
      </c>
      <c r="C338" s="55" t="s">
        <v>1</v>
      </c>
      <c r="D338" s="56">
        <f t="shared" si="300"/>
        <v>45424</v>
      </c>
      <c r="E338" s="52">
        <f t="shared" si="301"/>
        <v>5</v>
      </c>
      <c r="F338" s="53">
        <f t="shared" si="302"/>
        <v>2024</v>
      </c>
      <c r="G338" s="62">
        <f t="shared" si="303"/>
        <v>15</v>
      </c>
      <c r="H338" s="63">
        <f t="shared" si="304"/>
        <v>96</v>
      </c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>
        <v>15</v>
      </c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80"/>
      <c r="AG338" s="87">
        <f t="shared" si="258"/>
        <v>3</v>
      </c>
      <c r="AH338" s="87">
        <f t="shared" si="259"/>
        <v>0</v>
      </c>
      <c r="AI338" s="87">
        <f t="shared" si="260"/>
        <v>0</v>
      </c>
      <c r="AJ338" s="87">
        <f t="shared" si="261"/>
        <v>0</v>
      </c>
      <c r="AK338" s="87">
        <f t="shared" si="262"/>
        <v>0</v>
      </c>
      <c r="AL338" s="87">
        <f t="shared" si="263"/>
        <v>0</v>
      </c>
      <c r="AM338" s="87">
        <f t="shared" si="264"/>
        <v>0</v>
      </c>
      <c r="AN338" s="87">
        <f t="shared" si="265"/>
        <v>0</v>
      </c>
      <c r="AO338" s="87">
        <f t="shared" si="266"/>
        <v>0</v>
      </c>
      <c r="AP338" s="87">
        <f t="shared" si="267"/>
        <v>0</v>
      </c>
      <c r="AQ338" s="87">
        <f t="shared" si="268"/>
        <v>15</v>
      </c>
      <c r="AR338" s="81"/>
      <c r="AS338" s="85">
        <f t="shared" si="269"/>
        <v>0</v>
      </c>
      <c r="AT338" s="85">
        <f t="shared" si="270"/>
        <v>0</v>
      </c>
      <c r="AU338" s="85">
        <f t="shared" si="271"/>
        <v>0</v>
      </c>
      <c r="AV338" s="85">
        <f t="shared" si="272"/>
        <v>0</v>
      </c>
      <c r="AW338" s="85">
        <f t="shared" si="273"/>
        <v>0</v>
      </c>
      <c r="AX338" s="85">
        <f t="shared" si="274"/>
        <v>0</v>
      </c>
      <c r="AY338" s="85">
        <f t="shared" si="275"/>
        <v>0</v>
      </c>
      <c r="AZ338" s="85">
        <f t="shared" si="276"/>
        <v>0</v>
      </c>
      <c r="BA338" s="85">
        <f t="shared" si="277"/>
        <v>0</v>
      </c>
      <c r="BB338" s="85">
        <f t="shared" si="278"/>
        <v>0</v>
      </c>
      <c r="BC338" s="85">
        <f t="shared" si="279"/>
        <v>0</v>
      </c>
      <c r="BD338" s="85">
        <f t="shared" si="280"/>
        <v>0</v>
      </c>
      <c r="BE338" s="85">
        <f t="shared" si="281"/>
        <v>0</v>
      </c>
      <c r="BF338" s="85">
        <f t="shared" si="282"/>
        <v>0</v>
      </c>
      <c r="BG338" s="85">
        <f t="shared" si="283"/>
        <v>0</v>
      </c>
      <c r="BH338" s="85">
        <f t="shared" si="284"/>
        <v>0</v>
      </c>
      <c r="BI338" s="85">
        <f t="shared" si="285"/>
        <v>0</v>
      </c>
      <c r="BJ338" s="85">
        <f t="shared" si="286"/>
        <v>0</v>
      </c>
      <c r="BK338" s="85">
        <f t="shared" si="287"/>
        <v>0</v>
      </c>
      <c r="BL338" s="85">
        <f t="shared" si="288"/>
        <v>0</v>
      </c>
      <c r="BM338" s="85">
        <f t="shared" si="289"/>
        <v>0</v>
      </c>
      <c r="BN338" s="85">
        <f t="shared" si="290"/>
        <v>0</v>
      </c>
      <c r="BO338" s="85">
        <f t="shared" si="291"/>
        <v>0</v>
      </c>
      <c r="BP338" s="85">
        <f t="shared" si="292"/>
        <v>0</v>
      </c>
      <c r="BQ338" s="85">
        <f t="shared" si="293"/>
        <v>0</v>
      </c>
      <c r="BR338" s="85">
        <f t="shared" si="294"/>
        <v>0</v>
      </c>
      <c r="BT338" s="63"/>
      <c r="BU338" s="63"/>
      <c r="BV338" s="63"/>
      <c r="BW338" s="63"/>
      <c r="BX338" s="63"/>
      <c r="BY338" s="63"/>
      <c r="BZ338" s="63"/>
      <c r="CA338" s="63"/>
      <c r="CB338" s="63"/>
      <c r="CC338" s="63"/>
      <c r="CD338" s="63"/>
      <c r="CE338" s="63"/>
      <c r="CF338" s="63"/>
      <c r="CG338" s="63"/>
      <c r="CH338" s="63"/>
      <c r="CI338" s="63"/>
      <c r="CJ338" s="63"/>
      <c r="CK338" s="63"/>
      <c r="CL338" s="63"/>
      <c r="CM338" s="63"/>
      <c r="CN338" s="63"/>
      <c r="CO338" s="63"/>
      <c r="CP338" s="63"/>
      <c r="CQ338" s="63"/>
      <c r="CR338" s="63"/>
      <c r="CS338" s="63"/>
      <c r="CX338" s="35" t="s">
        <v>12</v>
      </c>
      <c r="CZ338" s="35"/>
      <c r="DC338" s="57" t="str">
        <f t="shared" si="295"/>
        <v/>
      </c>
      <c r="DD338" s="64" t="str">
        <f t="shared" si="296"/>
        <v/>
      </c>
      <c r="DE338" s="65" t="str">
        <f t="shared" si="297"/>
        <v/>
      </c>
      <c r="DF338" s="66" t="str">
        <f t="shared" si="298"/>
        <v/>
      </c>
    </row>
    <row r="339" spans="2:110" hidden="1" outlineLevel="1">
      <c r="B339" s="54">
        <f t="shared" si="299"/>
        <v>45425</v>
      </c>
      <c r="C339" s="55" t="s">
        <v>1</v>
      </c>
      <c r="D339" s="56">
        <f t="shared" si="300"/>
        <v>45431</v>
      </c>
      <c r="E339" s="52">
        <f t="shared" si="301"/>
        <v>5</v>
      </c>
      <c r="F339" s="53">
        <f t="shared" si="302"/>
        <v>2024</v>
      </c>
      <c r="G339" s="62">
        <f t="shared" si="303"/>
        <v>15</v>
      </c>
      <c r="H339" s="63">
        <f t="shared" si="304"/>
        <v>96</v>
      </c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>
        <v>15</v>
      </c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80"/>
      <c r="AG339" s="87">
        <f t="shared" si="258"/>
        <v>4</v>
      </c>
      <c r="AH339" s="87">
        <f t="shared" si="259"/>
        <v>0</v>
      </c>
      <c r="AI339" s="87">
        <f t="shared" si="260"/>
        <v>0</v>
      </c>
      <c r="AJ339" s="87">
        <f t="shared" si="261"/>
        <v>0</v>
      </c>
      <c r="AK339" s="87">
        <f t="shared" si="262"/>
        <v>0</v>
      </c>
      <c r="AL339" s="87">
        <f t="shared" si="263"/>
        <v>0</v>
      </c>
      <c r="AM339" s="87">
        <f t="shared" si="264"/>
        <v>0</v>
      </c>
      <c r="AN339" s="87">
        <f t="shared" si="265"/>
        <v>0</v>
      </c>
      <c r="AO339" s="87">
        <f t="shared" si="266"/>
        <v>0</v>
      </c>
      <c r="AP339" s="87">
        <f t="shared" si="267"/>
        <v>0</v>
      </c>
      <c r="AQ339" s="87">
        <f t="shared" si="268"/>
        <v>15</v>
      </c>
      <c r="AR339" s="81"/>
      <c r="AS339" s="85">
        <f t="shared" si="269"/>
        <v>0</v>
      </c>
      <c r="AT339" s="85">
        <f t="shared" si="270"/>
        <v>0</v>
      </c>
      <c r="AU339" s="85">
        <f t="shared" si="271"/>
        <v>0</v>
      </c>
      <c r="AV339" s="85">
        <f t="shared" si="272"/>
        <v>0</v>
      </c>
      <c r="AW339" s="85">
        <f t="shared" si="273"/>
        <v>0</v>
      </c>
      <c r="AX339" s="85">
        <f t="shared" si="274"/>
        <v>0</v>
      </c>
      <c r="AY339" s="85">
        <f t="shared" si="275"/>
        <v>0</v>
      </c>
      <c r="AZ339" s="85">
        <f t="shared" si="276"/>
        <v>0</v>
      </c>
      <c r="BA339" s="85">
        <f t="shared" si="277"/>
        <v>0</v>
      </c>
      <c r="BB339" s="85">
        <f t="shared" si="278"/>
        <v>0</v>
      </c>
      <c r="BC339" s="85">
        <f t="shared" si="279"/>
        <v>0</v>
      </c>
      <c r="BD339" s="85">
        <f t="shared" si="280"/>
        <v>0</v>
      </c>
      <c r="BE339" s="85">
        <f t="shared" si="281"/>
        <v>0</v>
      </c>
      <c r="BF339" s="85">
        <f t="shared" si="282"/>
        <v>0</v>
      </c>
      <c r="BG339" s="85">
        <f t="shared" si="283"/>
        <v>0</v>
      </c>
      <c r="BH339" s="85">
        <f t="shared" si="284"/>
        <v>0</v>
      </c>
      <c r="BI339" s="85">
        <f t="shared" si="285"/>
        <v>0</v>
      </c>
      <c r="BJ339" s="85">
        <f t="shared" si="286"/>
        <v>0</v>
      </c>
      <c r="BK339" s="85">
        <f t="shared" si="287"/>
        <v>0</v>
      </c>
      <c r="BL339" s="85">
        <f t="shared" si="288"/>
        <v>0</v>
      </c>
      <c r="BM339" s="85">
        <f t="shared" si="289"/>
        <v>0</v>
      </c>
      <c r="BN339" s="85">
        <f t="shared" si="290"/>
        <v>0</v>
      </c>
      <c r="BO339" s="85">
        <f t="shared" si="291"/>
        <v>0</v>
      </c>
      <c r="BP339" s="85">
        <f t="shared" si="292"/>
        <v>0</v>
      </c>
      <c r="BQ339" s="85">
        <f t="shared" si="293"/>
        <v>0</v>
      </c>
      <c r="BR339" s="85">
        <f t="shared" si="294"/>
        <v>0</v>
      </c>
      <c r="BT339" s="63"/>
      <c r="BU339" s="63"/>
      <c r="BV339" s="63"/>
      <c r="BW339" s="63"/>
      <c r="BX339" s="63"/>
      <c r="BY339" s="63"/>
      <c r="BZ339" s="63"/>
      <c r="CA339" s="63"/>
      <c r="CB339" s="63"/>
      <c r="CC339" s="63"/>
      <c r="CD339" s="63"/>
      <c r="CE339" s="63"/>
      <c r="CF339" s="63"/>
      <c r="CG339" s="63"/>
      <c r="CH339" s="63"/>
      <c r="CI339" s="63"/>
      <c r="CJ339" s="63"/>
      <c r="CK339" s="63"/>
      <c r="CL339" s="63"/>
      <c r="CM339" s="63"/>
      <c r="CN339" s="63"/>
      <c r="CO339" s="63"/>
      <c r="CP339" s="63"/>
      <c r="CQ339" s="63"/>
      <c r="CR339" s="63"/>
      <c r="CS339" s="63"/>
      <c r="CX339" s="35" t="s">
        <v>12</v>
      </c>
      <c r="CZ339" s="35"/>
      <c r="DC339" s="57" t="str">
        <f t="shared" si="295"/>
        <v/>
      </c>
      <c r="DD339" s="64" t="str">
        <f t="shared" si="296"/>
        <v/>
      </c>
      <c r="DE339" s="65" t="str">
        <f t="shared" si="297"/>
        <v/>
      </c>
      <c r="DF339" s="66" t="str">
        <f t="shared" si="298"/>
        <v/>
      </c>
    </row>
    <row r="340" spans="2:110" hidden="1" outlineLevel="1">
      <c r="B340" s="54">
        <f t="shared" si="299"/>
        <v>45432</v>
      </c>
      <c r="C340" s="55" t="s">
        <v>1</v>
      </c>
      <c r="D340" s="56">
        <f t="shared" si="300"/>
        <v>45438</v>
      </c>
      <c r="E340" s="52">
        <f t="shared" si="301"/>
        <v>5</v>
      </c>
      <c r="F340" s="53">
        <f t="shared" si="302"/>
        <v>2024</v>
      </c>
      <c r="G340" s="62">
        <f t="shared" si="303"/>
        <v>15</v>
      </c>
      <c r="H340" s="63">
        <f t="shared" si="304"/>
        <v>96</v>
      </c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>
        <v>15</v>
      </c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80"/>
      <c r="AG340" s="87">
        <f t="shared" si="258"/>
        <v>5</v>
      </c>
      <c r="AH340" s="87">
        <f t="shared" si="259"/>
        <v>0</v>
      </c>
      <c r="AI340" s="87">
        <f t="shared" si="260"/>
        <v>0</v>
      </c>
      <c r="AJ340" s="87">
        <f t="shared" si="261"/>
        <v>0</v>
      </c>
      <c r="AK340" s="87">
        <f t="shared" si="262"/>
        <v>0</v>
      </c>
      <c r="AL340" s="87">
        <f t="shared" si="263"/>
        <v>0</v>
      </c>
      <c r="AM340" s="87">
        <f t="shared" si="264"/>
        <v>0</v>
      </c>
      <c r="AN340" s="87">
        <f t="shared" si="265"/>
        <v>0</v>
      </c>
      <c r="AO340" s="87">
        <f t="shared" si="266"/>
        <v>0</v>
      </c>
      <c r="AP340" s="87">
        <f t="shared" si="267"/>
        <v>0</v>
      </c>
      <c r="AQ340" s="87">
        <f t="shared" si="268"/>
        <v>15</v>
      </c>
      <c r="AR340" s="81"/>
      <c r="AS340" s="85">
        <f t="shared" si="269"/>
        <v>0</v>
      </c>
      <c r="AT340" s="85">
        <f t="shared" si="270"/>
        <v>0</v>
      </c>
      <c r="AU340" s="85">
        <f t="shared" si="271"/>
        <v>0</v>
      </c>
      <c r="AV340" s="85">
        <f t="shared" si="272"/>
        <v>0</v>
      </c>
      <c r="AW340" s="85">
        <f t="shared" si="273"/>
        <v>0</v>
      </c>
      <c r="AX340" s="85">
        <f t="shared" si="274"/>
        <v>0</v>
      </c>
      <c r="AY340" s="85">
        <f t="shared" si="275"/>
        <v>0</v>
      </c>
      <c r="AZ340" s="85">
        <f t="shared" si="276"/>
        <v>0</v>
      </c>
      <c r="BA340" s="85">
        <f t="shared" si="277"/>
        <v>0</v>
      </c>
      <c r="BB340" s="85">
        <f t="shared" si="278"/>
        <v>0</v>
      </c>
      <c r="BC340" s="85">
        <f t="shared" si="279"/>
        <v>0</v>
      </c>
      <c r="BD340" s="85">
        <f t="shared" si="280"/>
        <v>0</v>
      </c>
      <c r="BE340" s="85">
        <f t="shared" si="281"/>
        <v>0</v>
      </c>
      <c r="BF340" s="85">
        <f t="shared" si="282"/>
        <v>0</v>
      </c>
      <c r="BG340" s="85">
        <f t="shared" si="283"/>
        <v>0</v>
      </c>
      <c r="BH340" s="85">
        <f t="shared" si="284"/>
        <v>0</v>
      </c>
      <c r="BI340" s="85">
        <f t="shared" si="285"/>
        <v>0</v>
      </c>
      <c r="BJ340" s="85">
        <f t="shared" si="286"/>
        <v>0</v>
      </c>
      <c r="BK340" s="85">
        <f t="shared" si="287"/>
        <v>0</v>
      </c>
      <c r="BL340" s="85">
        <f t="shared" si="288"/>
        <v>0</v>
      </c>
      <c r="BM340" s="85">
        <f t="shared" si="289"/>
        <v>0</v>
      </c>
      <c r="BN340" s="85">
        <f t="shared" si="290"/>
        <v>0</v>
      </c>
      <c r="BO340" s="85">
        <f t="shared" si="291"/>
        <v>0</v>
      </c>
      <c r="BP340" s="85">
        <f t="shared" si="292"/>
        <v>0</v>
      </c>
      <c r="BQ340" s="85">
        <f t="shared" si="293"/>
        <v>0</v>
      </c>
      <c r="BR340" s="85">
        <f t="shared" si="294"/>
        <v>0</v>
      </c>
      <c r="BT340" s="63"/>
      <c r="BU340" s="63"/>
      <c r="BV340" s="63"/>
      <c r="BW340" s="63"/>
      <c r="BX340" s="63"/>
      <c r="BY340" s="63"/>
      <c r="BZ340" s="63"/>
      <c r="CA340" s="63"/>
      <c r="CB340" s="63"/>
      <c r="CC340" s="63"/>
      <c r="CD340" s="63"/>
      <c r="CE340" s="63"/>
      <c r="CF340" s="63"/>
      <c r="CG340" s="63"/>
      <c r="CH340" s="63"/>
      <c r="CI340" s="63"/>
      <c r="CJ340" s="63"/>
      <c r="CK340" s="63"/>
      <c r="CL340" s="63"/>
      <c r="CM340" s="63"/>
      <c r="CN340" s="63"/>
      <c r="CO340" s="63"/>
      <c r="CP340" s="63"/>
      <c r="CQ340" s="63"/>
      <c r="CR340" s="63"/>
      <c r="CS340" s="63"/>
      <c r="CX340" s="35" t="s">
        <v>12</v>
      </c>
      <c r="CZ340" s="35"/>
      <c r="DC340" s="57" t="str">
        <f t="shared" si="295"/>
        <v/>
      </c>
      <c r="DD340" s="64" t="str">
        <f t="shared" si="296"/>
        <v/>
      </c>
      <c r="DE340" s="65" t="str">
        <f t="shared" si="297"/>
        <v/>
      </c>
      <c r="DF340" s="66" t="str">
        <f t="shared" si="298"/>
        <v/>
      </c>
    </row>
    <row r="341" spans="2:110" hidden="1" outlineLevel="1">
      <c r="B341" s="54">
        <f t="shared" si="299"/>
        <v>45439</v>
      </c>
      <c r="C341" s="55" t="s">
        <v>1</v>
      </c>
      <c r="D341" s="56">
        <f t="shared" si="300"/>
        <v>45445</v>
      </c>
      <c r="E341" s="52">
        <f t="shared" si="301"/>
        <v>5</v>
      </c>
      <c r="F341" s="53">
        <f t="shared" si="302"/>
        <v>2024</v>
      </c>
      <c r="G341" s="62">
        <f t="shared" si="303"/>
        <v>15</v>
      </c>
      <c r="H341" s="63">
        <f t="shared" si="304"/>
        <v>96</v>
      </c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>
        <v>15</v>
      </c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80"/>
      <c r="AG341" s="87">
        <f t="shared" si="258"/>
        <v>6</v>
      </c>
      <c r="AH341" s="87">
        <f t="shared" si="259"/>
        <v>0</v>
      </c>
      <c r="AI341" s="87">
        <f t="shared" si="260"/>
        <v>0</v>
      </c>
      <c r="AJ341" s="87">
        <f t="shared" si="261"/>
        <v>0</v>
      </c>
      <c r="AK341" s="87">
        <f t="shared" si="262"/>
        <v>0</v>
      </c>
      <c r="AL341" s="87">
        <f t="shared" si="263"/>
        <v>0</v>
      </c>
      <c r="AM341" s="87">
        <f t="shared" si="264"/>
        <v>0</v>
      </c>
      <c r="AN341" s="87">
        <f t="shared" si="265"/>
        <v>0</v>
      </c>
      <c r="AO341" s="87">
        <f t="shared" si="266"/>
        <v>0</v>
      </c>
      <c r="AP341" s="87">
        <f t="shared" si="267"/>
        <v>0</v>
      </c>
      <c r="AQ341" s="87">
        <f t="shared" si="268"/>
        <v>15</v>
      </c>
      <c r="AR341" s="81"/>
      <c r="AS341" s="85">
        <f t="shared" si="269"/>
        <v>0</v>
      </c>
      <c r="AT341" s="85">
        <f t="shared" si="270"/>
        <v>0</v>
      </c>
      <c r="AU341" s="85">
        <f t="shared" si="271"/>
        <v>0</v>
      </c>
      <c r="AV341" s="85">
        <f t="shared" si="272"/>
        <v>0</v>
      </c>
      <c r="AW341" s="85">
        <f t="shared" si="273"/>
        <v>0</v>
      </c>
      <c r="AX341" s="85">
        <f t="shared" si="274"/>
        <v>0</v>
      </c>
      <c r="AY341" s="85">
        <f t="shared" si="275"/>
        <v>0</v>
      </c>
      <c r="AZ341" s="85">
        <f t="shared" si="276"/>
        <v>0</v>
      </c>
      <c r="BA341" s="85">
        <f t="shared" si="277"/>
        <v>0</v>
      </c>
      <c r="BB341" s="85">
        <f t="shared" si="278"/>
        <v>0</v>
      </c>
      <c r="BC341" s="85">
        <f t="shared" si="279"/>
        <v>0</v>
      </c>
      <c r="BD341" s="85">
        <f t="shared" si="280"/>
        <v>0</v>
      </c>
      <c r="BE341" s="85">
        <f t="shared" si="281"/>
        <v>0</v>
      </c>
      <c r="BF341" s="85">
        <f t="shared" si="282"/>
        <v>0</v>
      </c>
      <c r="BG341" s="85">
        <f t="shared" si="283"/>
        <v>0</v>
      </c>
      <c r="BH341" s="85">
        <f t="shared" si="284"/>
        <v>0</v>
      </c>
      <c r="BI341" s="85">
        <f t="shared" si="285"/>
        <v>0</v>
      </c>
      <c r="BJ341" s="85">
        <f t="shared" si="286"/>
        <v>0</v>
      </c>
      <c r="BK341" s="85">
        <f t="shared" si="287"/>
        <v>0</v>
      </c>
      <c r="BL341" s="85">
        <f t="shared" si="288"/>
        <v>0</v>
      </c>
      <c r="BM341" s="85">
        <f t="shared" si="289"/>
        <v>0</v>
      </c>
      <c r="BN341" s="85">
        <f t="shared" si="290"/>
        <v>0</v>
      </c>
      <c r="BO341" s="85">
        <f t="shared" si="291"/>
        <v>0</v>
      </c>
      <c r="BP341" s="85">
        <f t="shared" si="292"/>
        <v>0</v>
      </c>
      <c r="BQ341" s="85">
        <f t="shared" si="293"/>
        <v>0</v>
      </c>
      <c r="BR341" s="85">
        <f t="shared" si="294"/>
        <v>0</v>
      </c>
      <c r="BT341" s="63"/>
      <c r="BU341" s="63"/>
      <c r="BV341" s="63"/>
      <c r="BW341" s="63"/>
      <c r="BX341" s="63"/>
      <c r="BY341" s="63"/>
      <c r="BZ341" s="63"/>
      <c r="CA341" s="63"/>
      <c r="CB341" s="63"/>
      <c r="CC341" s="63"/>
      <c r="CD341" s="63"/>
      <c r="CE341" s="63"/>
      <c r="CF341" s="63"/>
      <c r="CG341" s="63"/>
      <c r="CH341" s="63"/>
      <c r="CI341" s="63"/>
      <c r="CJ341" s="63"/>
      <c r="CK341" s="63"/>
      <c r="CL341" s="63"/>
      <c r="CM341" s="63"/>
      <c r="CN341" s="63"/>
      <c r="CO341" s="63"/>
      <c r="CP341" s="63"/>
      <c r="CQ341" s="63"/>
      <c r="CR341" s="63"/>
      <c r="CS341" s="63"/>
      <c r="CX341" s="35" t="s">
        <v>12</v>
      </c>
      <c r="CZ341" s="35"/>
      <c r="DC341" s="57" t="str">
        <f t="shared" si="295"/>
        <v/>
      </c>
      <c r="DD341" s="64" t="str">
        <f t="shared" si="296"/>
        <v/>
      </c>
      <c r="DE341" s="65" t="str">
        <f t="shared" si="297"/>
        <v/>
      </c>
      <c r="DF341" s="66" t="str">
        <f t="shared" si="298"/>
        <v/>
      </c>
    </row>
    <row r="342" spans="2:110" hidden="1" outlineLevel="1">
      <c r="B342" s="54">
        <f t="shared" si="299"/>
        <v>45446</v>
      </c>
      <c r="C342" s="55" t="s">
        <v>1</v>
      </c>
      <c r="D342" s="56">
        <f t="shared" si="300"/>
        <v>45452</v>
      </c>
      <c r="E342" s="52">
        <f t="shared" si="301"/>
        <v>6</v>
      </c>
      <c r="F342" s="53">
        <f t="shared" si="302"/>
        <v>2024</v>
      </c>
      <c r="G342" s="62">
        <f t="shared" si="303"/>
        <v>15</v>
      </c>
      <c r="H342" s="63">
        <f t="shared" si="304"/>
        <v>96</v>
      </c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>
        <v>15</v>
      </c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80"/>
      <c r="AG342" s="87">
        <f t="shared" si="258"/>
        <v>7</v>
      </c>
      <c r="AH342" s="87">
        <f t="shared" si="259"/>
        <v>0</v>
      </c>
      <c r="AI342" s="87">
        <f t="shared" si="260"/>
        <v>0</v>
      </c>
      <c r="AJ342" s="87">
        <f t="shared" si="261"/>
        <v>0</v>
      </c>
      <c r="AK342" s="87">
        <f t="shared" si="262"/>
        <v>0</v>
      </c>
      <c r="AL342" s="87">
        <f t="shared" si="263"/>
        <v>0</v>
      </c>
      <c r="AM342" s="87">
        <f t="shared" si="264"/>
        <v>0</v>
      </c>
      <c r="AN342" s="87">
        <f t="shared" si="265"/>
        <v>0</v>
      </c>
      <c r="AO342" s="87">
        <f t="shared" si="266"/>
        <v>0</v>
      </c>
      <c r="AP342" s="87">
        <f t="shared" si="267"/>
        <v>0</v>
      </c>
      <c r="AQ342" s="87">
        <f t="shared" si="268"/>
        <v>15</v>
      </c>
      <c r="AR342" s="81"/>
      <c r="AS342" s="85">
        <f t="shared" si="269"/>
        <v>0</v>
      </c>
      <c r="AT342" s="85">
        <f t="shared" si="270"/>
        <v>0</v>
      </c>
      <c r="AU342" s="85">
        <f t="shared" si="271"/>
        <v>0</v>
      </c>
      <c r="AV342" s="85">
        <f t="shared" si="272"/>
        <v>0</v>
      </c>
      <c r="AW342" s="85">
        <f t="shared" si="273"/>
        <v>0</v>
      </c>
      <c r="AX342" s="85">
        <f t="shared" si="274"/>
        <v>0</v>
      </c>
      <c r="AY342" s="85">
        <f t="shared" si="275"/>
        <v>0</v>
      </c>
      <c r="AZ342" s="85">
        <f t="shared" si="276"/>
        <v>0</v>
      </c>
      <c r="BA342" s="85">
        <f t="shared" si="277"/>
        <v>0</v>
      </c>
      <c r="BB342" s="85">
        <f t="shared" si="278"/>
        <v>0</v>
      </c>
      <c r="BC342" s="85">
        <f t="shared" si="279"/>
        <v>0</v>
      </c>
      <c r="BD342" s="85">
        <f t="shared" si="280"/>
        <v>0</v>
      </c>
      <c r="BE342" s="85">
        <f t="shared" si="281"/>
        <v>0</v>
      </c>
      <c r="BF342" s="85">
        <f t="shared" si="282"/>
        <v>0</v>
      </c>
      <c r="BG342" s="85">
        <f t="shared" si="283"/>
        <v>0</v>
      </c>
      <c r="BH342" s="85">
        <f t="shared" si="284"/>
        <v>0</v>
      </c>
      <c r="BI342" s="85">
        <f t="shared" si="285"/>
        <v>0</v>
      </c>
      <c r="BJ342" s="85">
        <f t="shared" si="286"/>
        <v>0</v>
      </c>
      <c r="BK342" s="85">
        <f t="shared" si="287"/>
        <v>0</v>
      </c>
      <c r="BL342" s="85">
        <f t="shared" si="288"/>
        <v>0</v>
      </c>
      <c r="BM342" s="85">
        <f t="shared" si="289"/>
        <v>0</v>
      </c>
      <c r="BN342" s="85">
        <f t="shared" si="290"/>
        <v>0</v>
      </c>
      <c r="BO342" s="85">
        <f t="shared" si="291"/>
        <v>0</v>
      </c>
      <c r="BP342" s="85">
        <f t="shared" si="292"/>
        <v>0</v>
      </c>
      <c r="BQ342" s="85">
        <f t="shared" si="293"/>
        <v>0</v>
      </c>
      <c r="BR342" s="85">
        <f t="shared" si="294"/>
        <v>0</v>
      </c>
      <c r="BT342" s="63"/>
      <c r="BU342" s="63"/>
      <c r="BV342" s="63"/>
      <c r="BW342" s="63"/>
      <c r="BX342" s="63"/>
      <c r="BY342" s="63"/>
      <c r="BZ342" s="63"/>
      <c r="CA342" s="63"/>
      <c r="CB342" s="63"/>
      <c r="CC342" s="63"/>
      <c r="CD342" s="63"/>
      <c r="CE342" s="63"/>
      <c r="CF342" s="63"/>
      <c r="CG342" s="63"/>
      <c r="CH342" s="63"/>
      <c r="CI342" s="63"/>
      <c r="CJ342" s="63"/>
      <c r="CK342" s="63"/>
      <c r="CL342" s="63"/>
      <c r="CM342" s="63"/>
      <c r="CN342" s="63"/>
      <c r="CO342" s="63"/>
      <c r="CP342" s="63"/>
      <c r="CQ342" s="63"/>
      <c r="CR342" s="63"/>
      <c r="CS342" s="63"/>
      <c r="CX342" s="35" t="s">
        <v>12</v>
      </c>
      <c r="CZ342" s="35"/>
      <c r="DC342" s="57" t="str">
        <f t="shared" si="295"/>
        <v/>
      </c>
      <c r="DD342" s="64" t="str">
        <f t="shared" si="296"/>
        <v/>
      </c>
      <c r="DE342" s="65" t="str">
        <f t="shared" si="297"/>
        <v/>
      </c>
      <c r="DF342" s="66" t="str">
        <f t="shared" si="298"/>
        <v/>
      </c>
    </row>
    <row r="343" spans="2:110" hidden="1" outlineLevel="1">
      <c r="B343" s="54">
        <f t="shared" si="299"/>
        <v>45453</v>
      </c>
      <c r="C343" s="55" t="s">
        <v>1</v>
      </c>
      <c r="D343" s="56">
        <f t="shared" si="300"/>
        <v>45459</v>
      </c>
      <c r="E343" s="52">
        <f t="shared" si="301"/>
        <v>6</v>
      </c>
      <c r="F343" s="53">
        <f t="shared" si="302"/>
        <v>2024</v>
      </c>
      <c r="G343" s="62">
        <f t="shared" si="303"/>
        <v>15</v>
      </c>
      <c r="H343" s="63">
        <f t="shared" si="304"/>
        <v>96</v>
      </c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>
        <v>15</v>
      </c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80"/>
      <c r="AG343" s="87">
        <f t="shared" si="258"/>
        <v>8</v>
      </c>
      <c r="AH343" s="87">
        <f t="shared" si="259"/>
        <v>0</v>
      </c>
      <c r="AI343" s="87">
        <f t="shared" si="260"/>
        <v>0</v>
      </c>
      <c r="AJ343" s="87">
        <f t="shared" si="261"/>
        <v>0</v>
      </c>
      <c r="AK343" s="87">
        <f t="shared" si="262"/>
        <v>0</v>
      </c>
      <c r="AL343" s="87">
        <f t="shared" si="263"/>
        <v>0</v>
      </c>
      <c r="AM343" s="87">
        <f t="shared" si="264"/>
        <v>0</v>
      </c>
      <c r="AN343" s="87">
        <f t="shared" si="265"/>
        <v>0</v>
      </c>
      <c r="AO343" s="87">
        <f t="shared" si="266"/>
        <v>0</v>
      </c>
      <c r="AP343" s="87">
        <f t="shared" si="267"/>
        <v>0</v>
      </c>
      <c r="AQ343" s="87">
        <f t="shared" si="268"/>
        <v>15</v>
      </c>
      <c r="AR343" s="81"/>
      <c r="AS343" s="85">
        <f t="shared" si="269"/>
        <v>0</v>
      </c>
      <c r="AT343" s="85">
        <f t="shared" si="270"/>
        <v>0</v>
      </c>
      <c r="AU343" s="85">
        <f t="shared" si="271"/>
        <v>0</v>
      </c>
      <c r="AV343" s="85">
        <f t="shared" si="272"/>
        <v>0</v>
      </c>
      <c r="AW343" s="85">
        <f t="shared" si="273"/>
        <v>0</v>
      </c>
      <c r="AX343" s="85">
        <f t="shared" si="274"/>
        <v>0</v>
      </c>
      <c r="AY343" s="85">
        <f t="shared" si="275"/>
        <v>0</v>
      </c>
      <c r="AZ343" s="85">
        <f t="shared" si="276"/>
        <v>0</v>
      </c>
      <c r="BA343" s="85">
        <f t="shared" si="277"/>
        <v>0</v>
      </c>
      <c r="BB343" s="85">
        <f t="shared" si="278"/>
        <v>0</v>
      </c>
      <c r="BC343" s="85">
        <f t="shared" si="279"/>
        <v>0</v>
      </c>
      <c r="BD343" s="85">
        <f t="shared" si="280"/>
        <v>0</v>
      </c>
      <c r="BE343" s="85">
        <f t="shared" si="281"/>
        <v>0</v>
      </c>
      <c r="BF343" s="85">
        <f t="shared" si="282"/>
        <v>0</v>
      </c>
      <c r="BG343" s="85">
        <f t="shared" si="283"/>
        <v>0</v>
      </c>
      <c r="BH343" s="85">
        <f t="shared" si="284"/>
        <v>0</v>
      </c>
      <c r="BI343" s="85">
        <f t="shared" si="285"/>
        <v>0</v>
      </c>
      <c r="BJ343" s="85">
        <f t="shared" si="286"/>
        <v>0</v>
      </c>
      <c r="BK343" s="85">
        <f t="shared" si="287"/>
        <v>0</v>
      </c>
      <c r="BL343" s="85">
        <f t="shared" si="288"/>
        <v>0</v>
      </c>
      <c r="BM343" s="85">
        <f t="shared" si="289"/>
        <v>0</v>
      </c>
      <c r="BN343" s="85">
        <f t="shared" si="290"/>
        <v>0</v>
      </c>
      <c r="BO343" s="85">
        <f t="shared" si="291"/>
        <v>0</v>
      </c>
      <c r="BP343" s="85">
        <f t="shared" si="292"/>
        <v>0</v>
      </c>
      <c r="BQ343" s="85">
        <f t="shared" si="293"/>
        <v>0</v>
      </c>
      <c r="BR343" s="85">
        <f t="shared" si="294"/>
        <v>0</v>
      </c>
      <c r="BT343" s="63"/>
      <c r="BU343" s="63"/>
      <c r="BV343" s="63"/>
      <c r="BW343" s="63"/>
      <c r="BX343" s="63"/>
      <c r="BY343" s="63"/>
      <c r="BZ343" s="63"/>
      <c r="CA343" s="63"/>
      <c r="CB343" s="63"/>
      <c r="CC343" s="63"/>
      <c r="CD343" s="63"/>
      <c r="CE343" s="63"/>
      <c r="CF343" s="63"/>
      <c r="CG343" s="63"/>
      <c r="CH343" s="63"/>
      <c r="CI343" s="63"/>
      <c r="CJ343" s="63"/>
      <c r="CK343" s="63"/>
      <c r="CL343" s="63"/>
      <c r="CM343" s="63"/>
      <c r="CN343" s="63"/>
      <c r="CO343" s="63"/>
      <c r="CP343" s="63"/>
      <c r="CQ343" s="63"/>
      <c r="CR343" s="63"/>
      <c r="CS343" s="63"/>
      <c r="CX343" s="35" t="s">
        <v>12</v>
      </c>
      <c r="CZ343" s="35"/>
      <c r="DC343" s="57" t="str">
        <f t="shared" si="295"/>
        <v/>
      </c>
      <c r="DD343" s="64" t="str">
        <f t="shared" si="296"/>
        <v/>
      </c>
      <c r="DE343" s="65" t="str">
        <f t="shared" si="297"/>
        <v/>
      </c>
      <c r="DF343" s="66" t="str">
        <f t="shared" si="298"/>
        <v/>
      </c>
    </row>
    <row r="344" spans="2:110" hidden="1" outlineLevel="1">
      <c r="B344" s="54">
        <f t="shared" si="299"/>
        <v>45460</v>
      </c>
      <c r="C344" s="55" t="s">
        <v>1</v>
      </c>
      <c r="D344" s="56">
        <f t="shared" si="300"/>
        <v>45466</v>
      </c>
      <c r="E344" s="52">
        <f t="shared" si="301"/>
        <v>6</v>
      </c>
      <c r="F344" s="53">
        <f t="shared" si="302"/>
        <v>2024</v>
      </c>
      <c r="G344" s="62">
        <f t="shared" si="303"/>
        <v>15</v>
      </c>
      <c r="H344" s="63">
        <f t="shared" si="304"/>
        <v>96</v>
      </c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>
        <v>15</v>
      </c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80"/>
      <c r="AG344" s="87">
        <f t="shared" si="258"/>
        <v>9</v>
      </c>
      <c r="AH344" s="87">
        <f t="shared" si="259"/>
        <v>0</v>
      </c>
      <c r="AI344" s="87">
        <f t="shared" si="260"/>
        <v>0</v>
      </c>
      <c r="AJ344" s="87">
        <f t="shared" si="261"/>
        <v>0</v>
      </c>
      <c r="AK344" s="87">
        <f t="shared" si="262"/>
        <v>0</v>
      </c>
      <c r="AL344" s="87">
        <f t="shared" si="263"/>
        <v>0</v>
      </c>
      <c r="AM344" s="87">
        <f t="shared" si="264"/>
        <v>0</v>
      </c>
      <c r="AN344" s="87">
        <f t="shared" si="265"/>
        <v>0</v>
      </c>
      <c r="AO344" s="87">
        <f t="shared" si="266"/>
        <v>0</v>
      </c>
      <c r="AP344" s="87">
        <f t="shared" si="267"/>
        <v>0</v>
      </c>
      <c r="AQ344" s="87">
        <f t="shared" si="268"/>
        <v>15</v>
      </c>
      <c r="AR344" s="81"/>
      <c r="AS344" s="85">
        <f t="shared" si="269"/>
        <v>0</v>
      </c>
      <c r="AT344" s="85">
        <f t="shared" si="270"/>
        <v>0</v>
      </c>
      <c r="AU344" s="85">
        <f t="shared" si="271"/>
        <v>0</v>
      </c>
      <c r="AV344" s="85">
        <f t="shared" si="272"/>
        <v>0</v>
      </c>
      <c r="AW344" s="85">
        <f t="shared" si="273"/>
        <v>0</v>
      </c>
      <c r="AX344" s="85">
        <f t="shared" si="274"/>
        <v>0</v>
      </c>
      <c r="AY344" s="85">
        <f t="shared" si="275"/>
        <v>0</v>
      </c>
      <c r="AZ344" s="85">
        <f t="shared" si="276"/>
        <v>0</v>
      </c>
      <c r="BA344" s="85">
        <f t="shared" si="277"/>
        <v>0</v>
      </c>
      <c r="BB344" s="85">
        <f t="shared" si="278"/>
        <v>0</v>
      </c>
      <c r="BC344" s="85">
        <f t="shared" si="279"/>
        <v>0</v>
      </c>
      <c r="BD344" s="85">
        <f t="shared" si="280"/>
        <v>0</v>
      </c>
      <c r="BE344" s="85">
        <f t="shared" si="281"/>
        <v>0</v>
      </c>
      <c r="BF344" s="85">
        <f t="shared" si="282"/>
        <v>0</v>
      </c>
      <c r="BG344" s="85">
        <f t="shared" si="283"/>
        <v>0</v>
      </c>
      <c r="BH344" s="85">
        <f t="shared" si="284"/>
        <v>0</v>
      </c>
      <c r="BI344" s="85">
        <f t="shared" si="285"/>
        <v>0</v>
      </c>
      <c r="BJ344" s="85">
        <f t="shared" si="286"/>
        <v>0</v>
      </c>
      <c r="BK344" s="85">
        <f t="shared" si="287"/>
        <v>0</v>
      </c>
      <c r="BL344" s="85">
        <f t="shared" si="288"/>
        <v>0</v>
      </c>
      <c r="BM344" s="85">
        <f t="shared" si="289"/>
        <v>0</v>
      </c>
      <c r="BN344" s="85">
        <f t="shared" si="290"/>
        <v>0</v>
      </c>
      <c r="BO344" s="85">
        <f t="shared" si="291"/>
        <v>0</v>
      </c>
      <c r="BP344" s="85">
        <f t="shared" si="292"/>
        <v>0</v>
      </c>
      <c r="BQ344" s="85">
        <f t="shared" si="293"/>
        <v>0</v>
      </c>
      <c r="BR344" s="85">
        <f t="shared" si="294"/>
        <v>0</v>
      </c>
      <c r="BT344" s="63"/>
      <c r="BU344" s="63"/>
      <c r="BV344" s="63"/>
      <c r="BW344" s="63"/>
      <c r="BX344" s="63"/>
      <c r="BY344" s="63"/>
      <c r="BZ344" s="63"/>
      <c r="CA344" s="63"/>
      <c r="CB344" s="63"/>
      <c r="CC344" s="63"/>
      <c r="CD344" s="63"/>
      <c r="CE344" s="63"/>
      <c r="CF344" s="63"/>
      <c r="CG344" s="63"/>
      <c r="CH344" s="63"/>
      <c r="CI344" s="63"/>
      <c r="CJ344" s="63"/>
      <c r="CK344" s="63"/>
      <c r="CL344" s="63"/>
      <c r="CM344" s="63"/>
      <c r="CN344" s="63"/>
      <c r="CO344" s="63"/>
      <c r="CP344" s="63"/>
      <c r="CQ344" s="63"/>
      <c r="CR344" s="63"/>
      <c r="CS344" s="63"/>
      <c r="CX344" s="35" t="s">
        <v>12</v>
      </c>
      <c r="CZ344" s="35"/>
      <c r="DC344" s="57" t="str">
        <f t="shared" si="295"/>
        <v/>
      </c>
      <c r="DD344" s="64" t="str">
        <f t="shared" si="296"/>
        <v/>
      </c>
      <c r="DE344" s="65" t="str">
        <f t="shared" si="297"/>
        <v/>
      </c>
      <c r="DF344" s="66" t="str">
        <f t="shared" si="298"/>
        <v/>
      </c>
    </row>
    <row r="345" spans="2:110" hidden="1" outlineLevel="1">
      <c r="B345" s="54">
        <f t="shared" si="299"/>
        <v>45467</v>
      </c>
      <c r="C345" s="55" t="s">
        <v>1</v>
      </c>
      <c r="D345" s="56">
        <f t="shared" si="300"/>
        <v>45473</v>
      </c>
      <c r="E345" s="52">
        <f t="shared" si="301"/>
        <v>6</v>
      </c>
      <c r="F345" s="53">
        <f t="shared" si="302"/>
        <v>2024</v>
      </c>
      <c r="G345" s="62">
        <f t="shared" si="303"/>
        <v>15</v>
      </c>
      <c r="H345" s="63">
        <f t="shared" si="304"/>
        <v>96</v>
      </c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>
        <v>15</v>
      </c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80"/>
      <c r="AG345" s="87">
        <f t="shared" si="258"/>
        <v>10</v>
      </c>
      <c r="AH345" s="87">
        <f t="shared" si="259"/>
        <v>0</v>
      </c>
      <c r="AI345" s="87">
        <f t="shared" si="260"/>
        <v>0</v>
      </c>
      <c r="AJ345" s="87">
        <f t="shared" si="261"/>
        <v>0</v>
      </c>
      <c r="AK345" s="87">
        <f t="shared" si="262"/>
        <v>0</v>
      </c>
      <c r="AL345" s="87">
        <f t="shared" si="263"/>
        <v>0</v>
      </c>
      <c r="AM345" s="87">
        <f t="shared" si="264"/>
        <v>0</v>
      </c>
      <c r="AN345" s="87">
        <f t="shared" si="265"/>
        <v>0</v>
      </c>
      <c r="AO345" s="87">
        <f t="shared" si="266"/>
        <v>0</v>
      </c>
      <c r="AP345" s="87">
        <f t="shared" si="267"/>
        <v>0</v>
      </c>
      <c r="AQ345" s="87">
        <f t="shared" si="268"/>
        <v>15</v>
      </c>
      <c r="AR345" s="81"/>
      <c r="AS345" s="85">
        <f t="shared" si="269"/>
        <v>0</v>
      </c>
      <c r="AT345" s="85">
        <f t="shared" si="270"/>
        <v>0</v>
      </c>
      <c r="AU345" s="85">
        <f t="shared" si="271"/>
        <v>0</v>
      </c>
      <c r="AV345" s="85">
        <f t="shared" si="272"/>
        <v>0</v>
      </c>
      <c r="AW345" s="85">
        <f t="shared" si="273"/>
        <v>0</v>
      </c>
      <c r="AX345" s="85">
        <f t="shared" si="274"/>
        <v>0</v>
      </c>
      <c r="AY345" s="85">
        <f t="shared" si="275"/>
        <v>0</v>
      </c>
      <c r="AZ345" s="85">
        <f t="shared" si="276"/>
        <v>0</v>
      </c>
      <c r="BA345" s="85">
        <f t="shared" si="277"/>
        <v>0</v>
      </c>
      <c r="BB345" s="85">
        <f t="shared" si="278"/>
        <v>0</v>
      </c>
      <c r="BC345" s="85">
        <f t="shared" si="279"/>
        <v>0</v>
      </c>
      <c r="BD345" s="85">
        <f t="shared" si="280"/>
        <v>0</v>
      </c>
      <c r="BE345" s="85">
        <f t="shared" si="281"/>
        <v>0</v>
      </c>
      <c r="BF345" s="85">
        <f t="shared" si="282"/>
        <v>0</v>
      </c>
      <c r="BG345" s="85">
        <f t="shared" si="283"/>
        <v>0</v>
      </c>
      <c r="BH345" s="85">
        <f t="shared" si="284"/>
        <v>0</v>
      </c>
      <c r="BI345" s="85">
        <f t="shared" si="285"/>
        <v>0</v>
      </c>
      <c r="BJ345" s="85">
        <f t="shared" si="286"/>
        <v>0</v>
      </c>
      <c r="BK345" s="85">
        <f t="shared" si="287"/>
        <v>0</v>
      </c>
      <c r="BL345" s="85">
        <f t="shared" si="288"/>
        <v>0</v>
      </c>
      <c r="BM345" s="85">
        <f t="shared" si="289"/>
        <v>0</v>
      </c>
      <c r="BN345" s="85">
        <f t="shared" si="290"/>
        <v>0</v>
      </c>
      <c r="BO345" s="85">
        <f t="shared" si="291"/>
        <v>0</v>
      </c>
      <c r="BP345" s="85">
        <f t="shared" si="292"/>
        <v>0</v>
      </c>
      <c r="BQ345" s="85">
        <f t="shared" si="293"/>
        <v>0</v>
      </c>
      <c r="BR345" s="85">
        <f t="shared" si="294"/>
        <v>0</v>
      </c>
      <c r="BT345" s="63"/>
      <c r="BU345" s="63"/>
      <c r="BV345" s="63"/>
      <c r="BW345" s="63"/>
      <c r="BX345" s="63"/>
      <c r="BY345" s="63"/>
      <c r="BZ345" s="63"/>
      <c r="CA345" s="63"/>
      <c r="CB345" s="63"/>
      <c r="CC345" s="63"/>
      <c r="CD345" s="63"/>
      <c r="CE345" s="63"/>
      <c r="CF345" s="63"/>
      <c r="CG345" s="63"/>
      <c r="CH345" s="63"/>
      <c r="CI345" s="63"/>
      <c r="CJ345" s="63"/>
      <c r="CK345" s="63"/>
      <c r="CL345" s="63"/>
      <c r="CM345" s="63"/>
      <c r="CN345" s="63"/>
      <c r="CO345" s="63"/>
      <c r="CP345" s="63"/>
      <c r="CQ345" s="63"/>
      <c r="CR345" s="63"/>
      <c r="CS345" s="63"/>
      <c r="CX345" s="35" t="s">
        <v>12</v>
      </c>
      <c r="CZ345" s="35"/>
      <c r="DC345" s="57" t="str">
        <f t="shared" si="295"/>
        <v/>
      </c>
      <c r="DD345" s="64" t="str">
        <f t="shared" si="296"/>
        <v/>
      </c>
      <c r="DE345" s="65" t="str">
        <f t="shared" si="297"/>
        <v/>
      </c>
      <c r="DF345" s="66" t="str">
        <f t="shared" si="298"/>
        <v/>
      </c>
    </row>
    <row r="346" spans="2:110" hidden="1" outlineLevel="1">
      <c r="B346" s="54">
        <f t="shared" si="299"/>
        <v>45474</v>
      </c>
      <c r="C346" s="55" t="s">
        <v>1</v>
      </c>
      <c r="D346" s="56">
        <f t="shared" si="300"/>
        <v>45480</v>
      </c>
      <c r="E346" s="52">
        <f t="shared" si="301"/>
        <v>7</v>
      </c>
      <c r="F346" s="53">
        <f t="shared" si="302"/>
        <v>2024</v>
      </c>
      <c r="G346" s="62">
        <f t="shared" si="303"/>
        <v>15</v>
      </c>
      <c r="H346" s="63">
        <f t="shared" si="304"/>
        <v>96</v>
      </c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>
        <v>15</v>
      </c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80"/>
      <c r="AG346" s="87">
        <f t="shared" si="258"/>
        <v>11</v>
      </c>
      <c r="AH346" s="87">
        <f t="shared" si="259"/>
        <v>0</v>
      </c>
      <c r="AI346" s="87">
        <f t="shared" si="260"/>
        <v>0</v>
      </c>
      <c r="AJ346" s="87">
        <f t="shared" si="261"/>
        <v>0</v>
      </c>
      <c r="AK346" s="87">
        <f t="shared" si="262"/>
        <v>0</v>
      </c>
      <c r="AL346" s="87">
        <f t="shared" si="263"/>
        <v>0</v>
      </c>
      <c r="AM346" s="87">
        <f t="shared" si="264"/>
        <v>0</v>
      </c>
      <c r="AN346" s="87">
        <f t="shared" si="265"/>
        <v>0</v>
      </c>
      <c r="AO346" s="87">
        <f t="shared" si="266"/>
        <v>0</v>
      </c>
      <c r="AP346" s="87">
        <f t="shared" si="267"/>
        <v>0</v>
      </c>
      <c r="AQ346" s="87">
        <f t="shared" si="268"/>
        <v>15</v>
      </c>
      <c r="AR346" s="81"/>
      <c r="AS346" s="85">
        <f t="shared" si="269"/>
        <v>0</v>
      </c>
      <c r="AT346" s="85">
        <f t="shared" si="270"/>
        <v>0</v>
      </c>
      <c r="AU346" s="85">
        <f t="shared" si="271"/>
        <v>0</v>
      </c>
      <c r="AV346" s="85">
        <f t="shared" si="272"/>
        <v>0</v>
      </c>
      <c r="AW346" s="85">
        <f t="shared" si="273"/>
        <v>0</v>
      </c>
      <c r="AX346" s="85">
        <f t="shared" si="274"/>
        <v>0</v>
      </c>
      <c r="AY346" s="85">
        <f t="shared" si="275"/>
        <v>0</v>
      </c>
      <c r="AZ346" s="85">
        <f t="shared" si="276"/>
        <v>0</v>
      </c>
      <c r="BA346" s="85">
        <f t="shared" si="277"/>
        <v>0</v>
      </c>
      <c r="BB346" s="85">
        <f t="shared" si="278"/>
        <v>0</v>
      </c>
      <c r="BC346" s="85">
        <f t="shared" si="279"/>
        <v>0</v>
      </c>
      <c r="BD346" s="85">
        <f t="shared" si="280"/>
        <v>0</v>
      </c>
      <c r="BE346" s="85">
        <f t="shared" si="281"/>
        <v>0</v>
      </c>
      <c r="BF346" s="85">
        <f t="shared" si="282"/>
        <v>0</v>
      </c>
      <c r="BG346" s="85">
        <f t="shared" si="283"/>
        <v>0</v>
      </c>
      <c r="BH346" s="85">
        <f t="shared" si="284"/>
        <v>0</v>
      </c>
      <c r="BI346" s="85">
        <f t="shared" si="285"/>
        <v>0</v>
      </c>
      <c r="BJ346" s="85">
        <f t="shared" si="286"/>
        <v>0</v>
      </c>
      <c r="BK346" s="85">
        <f t="shared" si="287"/>
        <v>0</v>
      </c>
      <c r="BL346" s="85">
        <f t="shared" si="288"/>
        <v>0</v>
      </c>
      <c r="BM346" s="85">
        <f t="shared" si="289"/>
        <v>0</v>
      </c>
      <c r="BN346" s="85">
        <f t="shared" si="290"/>
        <v>0</v>
      </c>
      <c r="BO346" s="85">
        <f t="shared" si="291"/>
        <v>0</v>
      </c>
      <c r="BP346" s="85">
        <f t="shared" si="292"/>
        <v>0</v>
      </c>
      <c r="BQ346" s="85">
        <f t="shared" si="293"/>
        <v>0</v>
      </c>
      <c r="BR346" s="85">
        <f t="shared" si="294"/>
        <v>0</v>
      </c>
      <c r="BT346" s="63"/>
      <c r="BU346" s="63"/>
      <c r="BV346" s="63"/>
      <c r="BW346" s="63"/>
      <c r="BX346" s="63"/>
      <c r="BY346" s="63"/>
      <c r="BZ346" s="63"/>
      <c r="CA346" s="63"/>
      <c r="CB346" s="63"/>
      <c r="CC346" s="63"/>
      <c r="CD346" s="63"/>
      <c r="CE346" s="63"/>
      <c r="CF346" s="63"/>
      <c r="CG346" s="63"/>
      <c r="CH346" s="63"/>
      <c r="CI346" s="63"/>
      <c r="CJ346" s="63"/>
      <c r="CK346" s="63"/>
      <c r="CL346" s="63"/>
      <c r="CM346" s="63"/>
      <c r="CN346" s="63"/>
      <c r="CO346" s="63"/>
      <c r="CP346" s="63"/>
      <c r="CQ346" s="63"/>
      <c r="CR346" s="63"/>
      <c r="CS346" s="63"/>
      <c r="CX346" s="35" t="s">
        <v>12</v>
      </c>
      <c r="CZ346" s="35"/>
      <c r="DC346" s="57" t="str">
        <f t="shared" si="295"/>
        <v/>
      </c>
      <c r="DD346" s="64" t="str">
        <f t="shared" si="296"/>
        <v/>
      </c>
      <c r="DE346" s="65" t="str">
        <f t="shared" si="297"/>
        <v/>
      </c>
      <c r="DF346" s="66" t="str">
        <f t="shared" si="298"/>
        <v/>
      </c>
    </row>
    <row r="347" spans="2:110" hidden="1" outlineLevel="1">
      <c r="B347" s="54">
        <f t="shared" si="299"/>
        <v>45481</v>
      </c>
      <c r="C347" s="55" t="s">
        <v>1</v>
      </c>
      <c r="D347" s="56">
        <f t="shared" si="300"/>
        <v>45487</v>
      </c>
      <c r="E347" s="52">
        <f t="shared" si="301"/>
        <v>7</v>
      </c>
      <c r="F347" s="53">
        <f t="shared" si="302"/>
        <v>2024</v>
      </c>
      <c r="G347" s="62">
        <f t="shared" si="303"/>
        <v>15</v>
      </c>
      <c r="H347" s="63">
        <f t="shared" si="304"/>
        <v>96</v>
      </c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>
        <v>15</v>
      </c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80"/>
      <c r="AG347" s="87">
        <f t="shared" si="258"/>
        <v>12</v>
      </c>
      <c r="AH347" s="87">
        <f t="shared" si="259"/>
        <v>0</v>
      </c>
      <c r="AI347" s="87">
        <f t="shared" si="260"/>
        <v>0</v>
      </c>
      <c r="AJ347" s="87">
        <f t="shared" si="261"/>
        <v>0</v>
      </c>
      <c r="AK347" s="87">
        <f t="shared" si="262"/>
        <v>0</v>
      </c>
      <c r="AL347" s="87">
        <f t="shared" si="263"/>
        <v>0</v>
      </c>
      <c r="AM347" s="87">
        <f t="shared" si="264"/>
        <v>0</v>
      </c>
      <c r="AN347" s="87">
        <f t="shared" si="265"/>
        <v>0</v>
      </c>
      <c r="AO347" s="87">
        <f t="shared" si="266"/>
        <v>0</v>
      </c>
      <c r="AP347" s="87">
        <f t="shared" si="267"/>
        <v>0</v>
      </c>
      <c r="AQ347" s="87">
        <f t="shared" si="268"/>
        <v>15</v>
      </c>
      <c r="AR347" s="81"/>
      <c r="AS347" s="85">
        <f t="shared" si="269"/>
        <v>0</v>
      </c>
      <c r="AT347" s="85">
        <f t="shared" si="270"/>
        <v>0</v>
      </c>
      <c r="AU347" s="85">
        <f t="shared" si="271"/>
        <v>0</v>
      </c>
      <c r="AV347" s="85">
        <f t="shared" si="272"/>
        <v>0</v>
      </c>
      <c r="AW347" s="85">
        <f t="shared" si="273"/>
        <v>0</v>
      </c>
      <c r="AX347" s="85">
        <f t="shared" si="274"/>
        <v>0</v>
      </c>
      <c r="AY347" s="85">
        <f t="shared" si="275"/>
        <v>0</v>
      </c>
      <c r="AZ347" s="85">
        <f t="shared" si="276"/>
        <v>0</v>
      </c>
      <c r="BA347" s="85">
        <f t="shared" si="277"/>
        <v>0</v>
      </c>
      <c r="BB347" s="85">
        <f t="shared" si="278"/>
        <v>0</v>
      </c>
      <c r="BC347" s="85">
        <f t="shared" si="279"/>
        <v>0</v>
      </c>
      <c r="BD347" s="85">
        <f t="shared" si="280"/>
        <v>0</v>
      </c>
      <c r="BE347" s="85">
        <f t="shared" si="281"/>
        <v>0</v>
      </c>
      <c r="BF347" s="85">
        <f t="shared" si="282"/>
        <v>0</v>
      </c>
      <c r="BG347" s="85">
        <f t="shared" si="283"/>
        <v>0</v>
      </c>
      <c r="BH347" s="85">
        <f t="shared" si="284"/>
        <v>0</v>
      </c>
      <c r="BI347" s="85">
        <f t="shared" si="285"/>
        <v>0</v>
      </c>
      <c r="BJ347" s="85">
        <f t="shared" si="286"/>
        <v>0</v>
      </c>
      <c r="BK347" s="85">
        <f t="shared" si="287"/>
        <v>0</v>
      </c>
      <c r="BL347" s="85">
        <f t="shared" si="288"/>
        <v>0</v>
      </c>
      <c r="BM347" s="85">
        <f t="shared" si="289"/>
        <v>0</v>
      </c>
      <c r="BN347" s="85">
        <f t="shared" si="290"/>
        <v>0</v>
      </c>
      <c r="BO347" s="85">
        <f t="shared" si="291"/>
        <v>0</v>
      </c>
      <c r="BP347" s="85">
        <f t="shared" si="292"/>
        <v>0</v>
      </c>
      <c r="BQ347" s="85">
        <f t="shared" si="293"/>
        <v>0</v>
      </c>
      <c r="BR347" s="85">
        <f t="shared" si="294"/>
        <v>0</v>
      </c>
      <c r="BT347" s="63"/>
      <c r="BU347" s="63"/>
      <c r="BV347" s="63"/>
      <c r="BW347" s="63"/>
      <c r="BX347" s="63"/>
      <c r="BY347" s="63"/>
      <c r="BZ347" s="63"/>
      <c r="CA347" s="63"/>
      <c r="CB347" s="63"/>
      <c r="CC347" s="63"/>
      <c r="CD347" s="63"/>
      <c r="CE347" s="63"/>
      <c r="CF347" s="63"/>
      <c r="CG347" s="63"/>
      <c r="CH347" s="63"/>
      <c r="CI347" s="63"/>
      <c r="CJ347" s="63"/>
      <c r="CK347" s="63"/>
      <c r="CL347" s="63"/>
      <c r="CM347" s="63"/>
      <c r="CN347" s="63"/>
      <c r="CO347" s="63"/>
      <c r="CP347" s="63"/>
      <c r="CQ347" s="63"/>
      <c r="CR347" s="63"/>
      <c r="CS347" s="63"/>
      <c r="CX347" s="35" t="s">
        <v>12</v>
      </c>
      <c r="CZ347" s="35"/>
      <c r="DC347" s="57" t="str">
        <f t="shared" si="295"/>
        <v/>
      </c>
      <c r="DD347" s="64" t="str">
        <f t="shared" si="296"/>
        <v/>
      </c>
      <c r="DE347" s="65" t="str">
        <f t="shared" si="297"/>
        <v/>
      </c>
      <c r="DF347" s="66" t="str">
        <f t="shared" si="298"/>
        <v/>
      </c>
    </row>
    <row r="348" spans="2:110" hidden="1" outlineLevel="1">
      <c r="B348" s="54">
        <f t="shared" si="299"/>
        <v>45488</v>
      </c>
      <c r="C348" s="55" t="s">
        <v>1</v>
      </c>
      <c r="D348" s="56">
        <f t="shared" si="300"/>
        <v>45494</v>
      </c>
      <c r="E348" s="52">
        <f t="shared" si="301"/>
        <v>7</v>
      </c>
      <c r="F348" s="53">
        <f t="shared" si="302"/>
        <v>2024</v>
      </c>
      <c r="G348" s="62">
        <f t="shared" si="303"/>
        <v>15</v>
      </c>
      <c r="H348" s="63">
        <f t="shared" si="304"/>
        <v>96</v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>
        <v>15</v>
      </c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80"/>
      <c r="AG348" s="87">
        <f t="shared" si="258"/>
        <v>13</v>
      </c>
      <c r="AH348" s="87">
        <f t="shared" si="259"/>
        <v>0</v>
      </c>
      <c r="AI348" s="87">
        <f t="shared" si="260"/>
        <v>0</v>
      </c>
      <c r="AJ348" s="87">
        <f t="shared" si="261"/>
        <v>0</v>
      </c>
      <c r="AK348" s="87">
        <f t="shared" si="262"/>
        <v>0</v>
      </c>
      <c r="AL348" s="87">
        <f t="shared" si="263"/>
        <v>0</v>
      </c>
      <c r="AM348" s="87">
        <f t="shared" si="264"/>
        <v>0</v>
      </c>
      <c r="AN348" s="87">
        <f t="shared" si="265"/>
        <v>0</v>
      </c>
      <c r="AO348" s="87">
        <f t="shared" si="266"/>
        <v>0</v>
      </c>
      <c r="AP348" s="87">
        <f t="shared" si="267"/>
        <v>0</v>
      </c>
      <c r="AQ348" s="87">
        <f t="shared" si="268"/>
        <v>15</v>
      </c>
      <c r="AR348" s="81"/>
      <c r="AS348" s="85">
        <f t="shared" si="269"/>
        <v>0</v>
      </c>
      <c r="AT348" s="85">
        <f t="shared" si="270"/>
        <v>0</v>
      </c>
      <c r="AU348" s="85">
        <f t="shared" si="271"/>
        <v>0</v>
      </c>
      <c r="AV348" s="85">
        <f t="shared" si="272"/>
        <v>0</v>
      </c>
      <c r="AW348" s="85">
        <f t="shared" si="273"/>
        <v>0</v>
      </c>
      <c r="AX348" s="85">
        <f t="shared" si="274"/>
        <v>0</v>
      </c>
      <c r="AY348" s="85">
        <f t="shared" si="275"/>
        <v>0</v>
      </c>
      <c r="AZ348" s="85">
        <f t="shared" si="276"/>
        <v>0</v>
      </c>
      <c r="BA348" s="85">
        <f t="shared" si="277"/>
        <v>0</v>
      </c>
      <c r="BB348" s="85">
        <f t="shared" si="278"/>
        <v>0</v>
      </c>
      <c r="BC348" s="85">
        <f t="shared" si="279"/>
        <v>0</v>
      </c>
      <c r="BD348" s="85">
        <f t="shared" si="280"/>
        <v>0</v>
      </c>
      <c r="BE348" s="85">
        <f t="shared" si="281"/>
        <v>0</v>
      </c>
      <c r="BF348" s="85">
        <f t="shared" si="282"/>
        <v>0</v>
      </c>
      <c r="BG348" s="85">
        <f t="shared" si="283"/>
        <v>0</v>
      </c>
      <c r="BH348" s="85">
        <f t="shared" si="284"/>
        <v>0</v>
      </c>
      <c r="BI348" s="85">
        <f t="shared" si="285"/>
        <v>0</v>
      </c>
      <c r="BJ348" s="85">
        <f t="shared" si="286"/>
        <v>0</v>
      </c>
      <c r="BK348" s="85">
        <f t="shared" si="287"/>
        <v>0</v>
      </c>
      <c r="BL348" s="85">
        <f t="shared" si="288"/>
        <v>0</v>
      </c>
      <c r="BM348" s="85">
        <f t="shared" si="289"/>
        <v>0</v>
      </c>
      <c r="BN348" s="85">
        <f t="shared" si="290"/>
        <v>0</v>
      </c>
      <c r="BO348" s="85">
        <f t="shared" si="291"/>
        <v>0</v>
      </c>
      <c r="BP348" s="85">
        <f t="shared" si="292"/>
        <v>0</v>
      </c>
      <c r="BQ348" s="85">
        <f t="shared" si="293"/>
        <v>0</v>
      </c>
      <c r="BR348" s="85">
        <f t="shared" si="294"/>
        <v>0</v>
      </c>
      <c r="BT348" s="63"/>
      <c r="BU348" s="63"/>
      <c r="BV348" s="63"/>
      <c r="BW348" s="63"/>
      <c r="BX348" s="63"/>
      <c r="BY348" s="63"/>
      <c r="BZ348" s="63"/>
      <c r="CA348" s="63"/>
      <c r="CB348" s="63"/>
      <c r="CC348" s="63"/>
      <c r="CD348" s="63"/>
      <c r="CE348" s="63"/>
      <c r="CF348" s="63"/>
      <c r="CG348" s="63"/>
      <c r="CH348" s="63"/>
      <c r="CI348" s="63"/>
      <c r="CJ348" s="63"/>
      <c r="CK348" s="63"/>
      <c r="CL348" s="63"/>
      <c r="CM348" s="63"/>
      <c r="CN348" s="63"/>
      <c r="CO348" s="63"/>
      <c r="CP348" s="63"/>
      <c r="CQ348" s="63"/>
      <c r="CR348" s="63"/>
      <c r="CS348" s="63"/>
      <c r="CX348" s="35" t="s">
        <v>12</v>
      </c>
      <c r="CZ348" s="35"/>
      <c r="DC348" s="57" t="str">
        <f t="shared" si="295"/>
        <v/>
      </c>
      <c r="DD348" s="64" t="str">
        <f t="shared" si="296"/>
        <v/>
      </c>
      <c r="DE348" s="65" t="str">
        <f t="shared" si="297"/>
        <v/>
      </c>
      <c r="DF348" s="66" t="str">
        <f t="shared" si="298"/>
        <v/>
      </c>
    </row>
    <row r="349" spans="2:110" hidden="1" outlineLevel="1">
      <c r="B349" s="54">
        <f t="shared" si="299"/>
        <v>45495</v>
      </c>
      <c r="C349" s="55" t="s">
        <v>1</v>
      </c>
      <c r="D349" s="56">
        <f t="shared" si="300"/>
        <v>45501</v>
      </c>
      <c r="E349" s="52">
        <f t="shared" si="301"/>
        <v>7</v>
      </c>
      <c r="F349" s="53">
        <f t="shared" si="302"/>
        <v>2024</v>
      </c>
      <c r="G349" s="62">
        <f t="shared" si="303"/>
        <v>15</v>
      </c>
      <c r="H349" s="63">
        <f t="shared" si="304"/>
        <v>96</v>
      </c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>
        <v>15</v>
      </c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80"/>
      <c r="AG349" s="87">
        <f t="shared" si="258"/>
        <v>14</v>
      </c>
      <c r="AH349" s="87">
        <f t="shared" si="259"/>
        <v>0</v>
      </c>
      <c r="AI349" s="87">
        <f t="shared" si="260"/>
        <v>0</v>
      </c>
      <c r="AJ349" s="87">
        <f t="shared" si="261"/>
        <v>0</v>
      </c>
      <c r="AK349" s="87">
        <f t="shared" si="262"/>
        <v>0</v>
      </c>
      <c r="AL349" s="87">
        <f t="shared" si="263"/>
        <v>0</v>
      </c>
      <c r="AM349" s="87">
        <f t="shared" si="264"/>
        <v>0</v>
      </c>
      <c r="AN349" s="87">
        <f t="shared" si="265"/>
        <v>0</v>
      </c>
      <c r="AO349" s="87">
        <f t="shared" si="266"/>
        <v>0</v>
      </c>
      <c r="AP349" s="87">
        <f t="shared" si="267"/>
        <v>0</v>
      </c>
      <c r="AQ349" s="87">
        <f t="shared" si="268"/>
        <v>15</v>
      </c>
      <c r="AR349" s="81"/>
      <c r="AS349" s="85">
        <f t="shared" si="269"/>
        <v>0</v>
      </c>
      <c r="AT349" s="85">
        <f t="shared" si="270"/>
        <v>0</v>
      </c>
      <c r="AU349" s="85">
        <f t="shared" si="271"/>
        <v>0</v>
      </c>
      <c r="AV349" s="85">
        <f t="shared" si="272"/>
        <v>0</v>
      </c>
      <c r="AW349" s="85">
        <f t="shared" si="273"/>
        <v>0</v>
      </c>
      <c r="AX349" s="85">
        <f t="shared" si="274"/>
        <v>0</v>
      </c>
      <c r="AY349" s="85">
        <f t="shared" si="275"/>
        <v>0</v>
      </c>
      <c r="AZ349" s="85">
        <f t="shared" si="276"/>
        <v>0</v>
      </c>
      <c r="BA349" s="85">
        <f t="shared" si="277"/>
        <v>0</v>
      </c>
      <c r="BB349" s="85">
        <f t="shared" si="278"/>
        <v>0</v>
      </c>
      <c r="BC349" s="85">
        <f t="shared" si="279"/>
        <v>0</v>
      </c>
      <c r="BD349" s="85">
        <f t="shared" si="280"/>
        <v>0</v>
      </c>
      <c r="BE349" s="85">
        <f t="shared" si="281"/>
        <v>0</v>
      </c>
      <c r="BF349" s="85">
        <f t="shared" si="282"/>
        <v>0</v>
      </c>
      <c r="BG349" s="85">
        <f t="shared" si="283"/>
        <v>0</v>
      </c>
      <c r="BH349" s="85">
        <f t="shared" si="284"/>
        <v>0</v>
      </c>
      <c r="BI349" s="85">
        <f t="shared" si="285"/>
        <v>0</v>
      </c>
      <c r="BJ349" s="85">
        <f t="shared" si="286"/>
        <v>0</v>
      </c>
      <c r="BK349" s="85">
        <f t="shared" si="287"/>
        <v>0</v>
      </c>
      <c r="BL349" s="85">
        <f t="shared" si="288"/>
        <v>0</v>
      </c>
      <c r="BM349" s="85">
        <f t="shared" si="289"/>
        <v>0</v>
      </c>
      <c r="BN349" s="85">
        <f t="shared" si="290"/>
        <v>0</v>
      </c>
      <c r="BO349" s="85">
        <f t="shared" si="291"/>
        <v>0</v>
      </c>
      <c r="BP349" s="85">
        <f t="shared" si="292"/>
        <v>0</v>
      </c>
      <c r="BQ349" s="85">
        <f t="shared" si="293"/>
        <v>0</v>
      </c>
      <c r="BR349" s="85">
        <f t="shared" si="294"/>
        <v>0</v>
      </c>
      <c r="BT349" s="63"/>
      <c r="BU349" s="63"/>
      <c r="BV349" s="63"/>
      <c r="BW349" s="63"/>
      <c r="BX349" s="63"/>
      <c r="BY349" s="63"/>
      <c r="BZ349" s="63"/>
      <c r="CA349" s="63"/>
      <c r="CB349" s="63"/>
      <c r="CC349" s="63"/>
      <c r="CD349" s="63"/>
      <c r="CE349" s="63"/>
      <c r="CF349" s="63"/>
      <c r="CG349" s="63"/>
      <c r="CH349" s="63"/>
      <c r="CI349" s="63"/>
      <c r="CJ349" s="63"/>
      <c r="CK349" s="63"/>
      <c r="CL349" s="63"/>
      <c r="CM349" s="63"/>
      <c r="CN349" s="63"/>
      <c r="CO349" s="63"/>
      <c r="CP349" s="63"/>
      <c r="CQ349" s="63"/>
      <c r="CR349" s="63"/>
      <c r="CS349" s="63"/>
      <c r="CX349" s="35" t="s">
        <v>12</v>
      </c>
      <c r="CZ349" s="35"/>
      <c r="DC349" s="57" t="str">
        <f t="shared" si="295"/>
        <v/>
      </c>
      <c r="DD349" s="64" t="str">
        <f t="shared" si="296"/>
        <v/>
      </c>
      <c r="DE349" s="65" t="str">
        <f t="shared" si="297"/>
        <v/>
      </c>
      <c r="DF349" s="66" t="str">
        <f t="shared" si="298"/>
        <v/>
      </c>
    </row>
    <row r="350" spans="2:110" hidden="1" outlineLevel="1">
      <c r="B350" s="54">
        <f t="shared" si="299"/>
        <v>45502</v>
      </c>
      <c r="C350" s="55" t="s">
        <v>1</v>
      </c>
      <c r="D350" s="56">
        <f t="shared" si="300"/>
        <v>45508</v>
      </c>
      <c r="E350" s="52">
        <f t="shared" si="301"/>
        <v>7</v>
      </c>
      <c r="F350" s="53">
        <f t="shared" si="302"/>
        <v>2024</v>
      </c>
      <c r="G350" s="62">
        <f t="shared" si="303"/>
        <v>15</v>
      </c>
      <c r="H350" s="63">
        <f t="shared" si="304"/>
        <v>96</v>
      </c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>
        <v>15</v>
      </c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80"/>
      <c r="AG350" s="87">
        <f t="shared" si="258"/>
        <v>15</v>
      </c>
      <c r="AH350" s="87">
        <f t="shared" si="259"/>
        <v>0</v>
      </c>
      <c r="AI350" s="87">
        <f t="shared" si="260"/>
        <v>0</v>
      </c>
      <c r="AJ350" s="87">
        <f t="shared" si="261"/>
        <v>0</v>
      </c>
      <c r="AK350" s="87">
        <f t="shared" si="262"/>
        <v>0</v>
      </c>
      <c r="AL350" s="87">
        <f t="shared" si="263"/>
        <v>0</v>
      </c>
      <c r="AM350" s="87">
        <f t="shared" si="264"/>
        <v>0</v>
      </c>
      <c r="AN350" s="87">
        <f t="shared" si="265"/>
        <v>0</v>
      </c>
      <c r="AO350" s="87">
        <f t="shared" si="266"/>
        <v>0</v>
      </c>
      <c r="AP350" s="87">
        <f t="shared" si="267"/>
        <v>0</v>
      </c>
      <c r="AQ350" s="87">
        <f t="shared" si="268"/>
        <v>15</v>
      </c>
      <c r="AR350" s="81"/>
      <c r="AS350" s="85">
        <f t="shared" si="269"/>
        <v>0</v>
      </c>
      <c r="AT350" s="85">
        <f t="shared" si="270"/>
        <v>0</v>
      </c>
      <c r="AU350" s="85">
        <f t="shared" si="271"/>
        <v>0</v>
      </c>
      <c r="AV350" s="85">
        <f t="shared" si="272"/>
        <v>15</v>
      </c>
      <c r="AW350" s="85">
        <f t="shared" si="273"/>
        <v>0</v>
      </c>
      <c r="AX350" s="85">
        <f t="shared" si="274"/>
        <v>0</v>
      </c>
      <c r="AY350" s="85">
        <f t="shared" si="275"/>
        <v>0</v>
      </c>
      <c r="AZ350" s="85">
        <f t="shared" si="276"/>
        <v>0</v>
      </c>
      <c r="BA350" s="85">
        <f t="shared" si="277"/>
        <v>0</v>
      </c>
      <c r="BB350" s="85">
        <f t="shared" si="278"/>
        <v>0</v>
      </c>
      <c r="BC350" s="85">
        <f t="shared" si="279"/>
        <v>0</v>
      </c>
      <c r="BD350" s="85">
        <f t="shared" si="280"/>
        <v>0</v>
      </c>
      <c r="BE350" s="85">
        <f t="shared" si="281"/>
        <v>0</v>
      </c>
      <c r="BF350" s="85">
        <f t="shared" si="282"/>
        <v>0</v>
      </c>
      <c r="BG350" s="85">
        <f t="shared" si="283"/>
        <v>0</v>
      </c>
      <c r="BH350" s="85">
        <f t="shared" si="284"/>
        <v>0</v>
      </c>
      <c r="BI350" s="85">
        <f t="shared" si="285"/>
        <v>0</v>
      </c>
      <c r="BJ350" s="85">
        <f t="shared" si="286"/>
        <v>0</v>
      </c>
      <c r="BK350" s="85">
        <f t="shared" si="287"/>
        <v>0</v>
      </c>
      <c r="BL350" s="85">
        <f t="shared" si="288"/>
        <v>0</v>
      </c>
      <c r="BM350" s="85">
        <f t="shared" si="289"/>
        <v>0</v>
      </c>
      <c r="BN350" s="85">
        <f t="shared" si="290"/>
        <v>0</v>
      </c>
      <c r="BO350" s="85">
        <f t="shared" si="291"/>
        <v>0</v>
      </c>
      <c r="BP350" s="85">
        <f t="shared" si="292"/>
        <v>0</v>
      </c>
      <c r="BQ350" s="85">
        <f t="shared" si="293"/>
        <v>0</v>
      </c>
      <c r="BR350" s="85">
        <f t="shared" si="294"/>
        <v>0</v>
      </c>
      <c r="BT350" s="63"/>
      <c r="BU350" s="63"/>
      <c r="BV350" s="63"/>
      <c r="BW350" s="63">
        <v>1</v>
      </c>
      <c r="BX350" s="63"/>
      <c r="BY350" s="63"/>
      <c r="BZ350" s="63"/>
      <c r="CA350" s="63"/>
      <c r="CB350" s="63"/>
      <c r="CC350" s="63"/>
      <c r="CD350" s="63"/>
      <c r="CE350" s="63"/>
      <c r="CF350" s="63"/>
      <c r="CG350" s="63"/>
      <c r="CH350" s="63"/>
      <c r="CI350" s="63"/>
      <c r="CJ350" s="63"/>
      <c r="CK350" s="63"/>
      <c r="CL350" s="63"/>
      <c r="CM350" s="63"/>
      <c r="CN350" s="63"/>
      <c r="CO350" s="63"/>
      <c r="CP350" s="63"/>
      <c r="CQ350" s="63"/>
      <c r="CR350" s="63"/>
      <c r="CS350" s="63"/>
      <c r="CX350" s="35" t="s">
        <v>12</v>
      </c>
      <c r="CZ350" s="35"/>
      <c r="DC350" s="57" t="str">
        <f t="shared" si="295"/>
        <v/>
      </c>
      <c r="DD350" s="64" t="str">
        <f t="shared" si="296"/>
        <v/>
      </c>
      <c r="DE350" s="65" t="str">
        <f t="shared" si="297"/>
        <v/>
      </c>
      <c r="DF350" s="66" t="str">
        <f t="shared" si="298"/>
        <v/>
      </c>
    </row>
    <row r="351" spans="2:110" hidden="1" outlineLevel="1">
      <c r="B351" s="54">
        <f t="shared" si="299"/>
        <v>45509</v>
      </c>
      <c r="C351" s="55" t="s">
        <v>1</v>
      </c>
      <c r="D351" s="56">
        <f t="shared" si="300"/>
        <v>45515</v>
      </c>
      <c r="E351" s="52">
        <f t="shared" si="301"/>
        <v>8</v>
      </c>
      <c r="F351" s="53">
        <f t="shared" si="302"/>
        <v>2024</v>
      </c>
      <c r="G351" s="62">
        <f t="shared" si="303"/>
        <v>15</v>
      </c>
      <c r="H351" s="63">
        <f t="shared" si="304"/>
        <v>96</v>
      </c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>
        <v>15</v>
      </c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80"/>
      <c r="AG351" s="87">
        <f t="shared" si="258"/>
        <v>0</v>
      </c>
      <c r="AH351" s="87">
        <f t="shared" si="259"/>
        <v>0</v>
      </c>
      <c r="AI351" s="87">
        <f t="shared" si="260"/>
        <v>0</v>
      </c>
      <c r="AJ351" s="87">
        <f t="shared" si="261"/>
        <v>0</v>
      </c>
      <c r="AK351" s="87">
        <f t="shared" si="262"/>
        <v>0</v>
      </c>
      <c r="AL351" s="87">
        <f t="shared" si="263"/>
        <v>0</v>
      </c>
      <c r="AM351" s="87">
        <f t="shared" si="264"/>
        <v>0</v>
      </c>
      <c r="AN351" s="87">
        <f t="shared" si="265"/>
        <v>0</v>
      </c>
      <c r="AO351" s="87">
        <f t="shared" si="266"/>
        <v>0</v>
      </c>
      <c r="AP351" s="87">
        <f t="shared" si="267"/>
        <v>0</v>
      </c>
      <c r="AQ351" s="87">
        <f t="shared" si="268"/>
        <v>15</v>
      </c>
      <c r="AR351" s="81"/>
      <c r="AS351" s="85">
        <f t="shared" si="269"/>
        <v>0</v>
      </c>
      <c r="AT351" s="85">
        <f t="shared" si="270"/>
        <v>0</v>
      </c>
      <c r="AU351" s="85">
        <f t="shared" si="271"/>
        <v>0</v>
      </c>
      <c r="AV351" s="85">
        <f t="shared" si="272"/>
        <v>16</v>
      </c>
      <c r="AW351" s="85">
        <f t="shared" si="273"/>
        <v>0</v>
      </c>
      <c r="AX351" s="85">
        <f t="shared" si="274"/>
        <v>0</v>
      </c>
      <c r="AY351" s="85">
        <f t="shared" si="275"/>
        <v>0</v>
      </c>
      <c r="AZ351" s="85">
        <f t="shared" si="276"/>
        <v>0</v>
      </c>
      <c r="BA351" s="85">
        <f t="shared" si="277"/>
        <v>0</v>
      </c>
      <c r="BB351" s="85">
        <f t="shared" si="278"/>
        <v>0</v>
      </c>
      <c r="BC351" s="85">
        <f t="shared" si="279"/>
        <v>0</v>
      </c>
      <c r="BD351" s="85">
        <f t="shared" si="280"/>
        <v>0</v>
      </c>
      <c r="BE351" s="85">
        <f t="shared" si="281"/>
        <v>0</v>
      </c>
      <c r="BF351" s="85">
        <f t="shared" si="282"/>
        <v>0</v>
      </c>
      <c r="BG351" s="85">
        <f t="shared" si="283"/>
        <v>0</v>
      </c>
      <c r="BH351" s="85">
        <f t="shared" si="284"/>
        <v>0</v>
      </c>
      <c r="BI351" s="85">
        <f t="shared" si="285"/>
        <v>0</v>
      </c>
      <c r="BJ351" s="85">
        <f t="shared" si="286"/>
        <v>0</v>
      </c>
      <c r="BK351" s="85">
        <f t="shared" si="287"/>
        <v>0</v>
      </c>
      <c r="BL351" s="85">
        <f t="shared" si="288"/>
        <v>0</v>
      </c>
      <c r="BM351" s="85">
        <f t="shared" si="289"/>
        <v>0</v>
      </c>
      <c r="BN351" s="85">
        <f t="shared" si="290"/>
        <v>0</v>
      </c>
      <c r="BO351" s="85">
        <f t="shared" si="291"/>
        <v>0</v>
      </c>
      <c r="BP351" s="85">
        <f t="shared" si="292"/>
        <v>0</v>
      </c>
      <c r="BQ351" s="85">
        <f t="shared" si="293"/>
        <v>0</v>
      </c>
      <c r="BR351" s="85">
        <f t="shared" si="294"/>
        <v>0</v>
      </c>
      <c r="BT351" s="63"/>
      <c r="BU351" s="63"/>
      <c r="BV351" s="63"/>
      <c r="BW351" s="63"/>
      <c r="BX351" s="63"/>
      <c r="BY351" s="63"/>
      <c r="BZ351" s="63"/>
      <c r="CA351" s="63"/>
      <c r="CB351" s="63"/>
      <c r="CC351" s="63"/>
      <c r="CD351" s="63"/>
      <c r="CE351" s="63"/>
      <c r="CF351" s="63"/>
      <c r="CG351" s="63"/>
      <c r="CH351" s="63"/>
      <c r="CI351" s="63"/>
      <c r="CJ351" s="63"/>
      <c r="CK351" s="63"/>
      <c r="CL351" s="63"/>
      <c r="CM351" s="63"/>
      <c r="CN351" s="63"/>
      <c r="CO351" s="63"/>
      <c r="CP351" s="63"/>
      <c r="CQ351" s="63"/>
      <c r="CR351" s="63"/>
      <c r="CS351" s="63"/>
      <c r="CX351" s="35" t="s">
        <v>12</v>
      </c>
      <c r="CZ351" s="35"/>
      <c r="DC351" s="57" t="str">
        <f t="shared" si="295"/>
        <v/>
      </c>
      <c r="DD351" s="64" t="str">
        <f t="shared" si="296"/>
        <v/>
      </c>
      <c r="DE351" s="65" t="str">
        <f t="shared" si="297"/>
        <v/>
      </c>
      <c r="DF351" s="66" t="str">
        <f t="shared" si="298"/>
        <v/>
      </c>
    </row>
    <row r="352" spans="2:110" hidden="1" outlineLevel="1">
      <c r="B352" s="54">
        <f t="shared" si="299"/>
        <v>45516</v>
      </c>
      <c r="C352" s="55" t="s">
        <v>1</v>
      </c>
      <c r="D352" s="56">
        <f t="shared" si="300"/>
        <v>45522</v>
      </c>
      <c r="E352" s="52">
        <f t="shared" si="301"/>
        <v>8</v>
      </c>
      <c r="F352" s="53">
        <f t="shared" si="302"/>
        <v>2024</v>
      </c>
      <c r="G352" s="62">
        <f t="shared" si="303"/>
        <v>15</v>
      </c>
      <c r="H352" s="63">
        <f t="shared" si="304"/>
        <v>96</v>
      </c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>
        <v>15</v>
      </c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80"/>
      <c r="AG352" s="87">
        <f t="shared" si="258"/>
        <v>0</v>
      </c>
      <c r="AH352" s="87">
        <f t="shared" si="259"/>
        <v>0</v>
      </c>
      <c r="AI352" s="87">
        <f t="shared" si="260"/>
        <v>0</v>
      </c>
      <c r="AJ352" s="87">
        <f t="shared" si="261"/>
        <v>0</v>
      </c>
      <c r="AK352" s="87">
        <f t="shared" si="262"/>
        <v>0</v>
      </c>
      <c r="AL352" s="87">
        <f t="shared" si="263"/>
        <v>0</v>
      </c>
      <c r="AM352" s="87">
        <f t="shared" si="264"/>
        <v>0</v>
      </c>
      <c r="AN352" s="87">
        <f t="shared" si="265"/>
        <v>0</v>
      </c>
      <c r="AO352" s="87">
        <f t="shared" si="266"/>
        <v>0</v>
      </c>
      <c r="AP352" s="87">
        <f t="shared" si="267"/>
        <v>0</v>
      </c>
      <c r="AQ352" s="87">
        <f t="shared" si="268"/>
        <v>15</v>
      </c>
      <c r="AR352" s="81"/>
      <c r="AS352" s="85">
        <f t="shared" si="269"/>
        <v>0</v>
      </c>
      <c r="AT352" s="85">
        <f t="shared" si="270"/>
        <v>0</v>
      </c>
      <c r="AU352" s="85">
        <f t="shared" si="271"/>
        <v>0</v>
      </c>
      <c r="AV352" s="85">
        <f t="shared" si="272"/>
        <v>17</v>
      </c>
      <c r="AW352" s="85">
        <f t="shared" si="273"/>
        <v>0</v>
      </c>
      <c r="AX352" s="85">
        <f t="shared" si="274"/>
        <v>0</v>
      </c>
      <c r="AY352" s="85">
        <f t="shared" si="275"/>
        <v>0</v>
      </c>
      <c r="AZ352" s="85">
        <f t="shared" si="276"/>
        <v>0</v>
      </c>
      <c r="BA352" s="85">
        <f t="shared" si="277"/>
        <v>0</v>
      </c>
      <c r="BB352" s="85">
        <f t="shared" si="278"/>
        <v>0</v>
      </c>
      <c r="BC352" s="85">
        <f t="shared" si="279"/>
        <v>0</v>
      </c>
      <c r="BD352" s="85">
        <f t="shared" si="280"/>
        <v>0</v>
      </c>
      <c r="BE352" s="85">
        <f t="shared" si="281"/>
        <v>0</v>
      </c>
      <c r="BF352" s="85">
        <f t="shared" si="282"/>
        <v>0</v>
      </c>
      <c r="BG352" s="85">
        <f t="shared" si="283"/>
        <v>0</v>
      </c>
      <c r="BH352" s="85">
        <f t="shared" si="284"/>
        <v>0</v>
      </c>
      <c r="BI352" s="85">
        <f t="shared" si="285"/>
        <v>0</v>
      </c>
      <c r="BJ352" s="85">
        <f t="shared" si="286"/>
        <v>0</v>
      </c>
      <c r="BK352" s="85">
        <f t="shared" si="287"/>
        <v>0</v>
      </c>
      <c r="BL352" s="85">
        <f t="shared" si="288"/>
        <v>0</v>
      </c>
      <c r="BM352" s="85">
        <f t="shared" si="289"/>
        <v>0</v>
      </c>
      <c r="BN352" s="85">
        <f t="shared" si="290"/>
        <v>0</v>
      </c>
      <c r="BO352" s="85">
        <f t="shared" si="291"/>
        <v>0</v>
      </c>
      <c r="BP352" s="85">
        <f t="shared" si="292"/>
        <v>0</v>
      </c>
      <c r="BQ352" s="85">
        <f t="shared" si="293"/>
        <v>0</v>
      </c>
      <c r="BR352" s="85">
        <f t="shared" si="294"/>
        <v>0</v>
      </c>
      <c r="BT352" s="63"/>
      <c r="BU352" s="63"/>
      <c r="BV352" s="63"/>
      <c r="BW352" s="63"/>
      <c r="BX352" s="63"/>
      <c r="BY352" s="63"/>
      <c r="BZ352" s="63"/>
      <c r="CA352" s="63"/>
      <c r="CB352" s="63"/>
      <c r="CC352" s="63"/>
      <c r="CD352" s="63"/>
      <c r="CE352" s="63"/>
      <c r="CF352" s="63"/>
      <c r="CG352" s="63"/>
      <c r="CH352" s="63"/>
      <c r="CI352" s="63"/>
      <c r="CJ352" s="63"/>
      <c r="CK352" s="63"/>
      <c r="CL352" s="63"/>
      <c r="CM352" s="63"/>
      <c r="CN352" s="63"/>
      <c r="CO352" s="63"/>
      <c r="CP352" s="63"/>
      <c r="CQ352" s="63"/>
      <c r="CR352" s="63"/>
      <c r="CS352" s="63"/>
      <c r="CX352" s="35" t="s">
        <v>12</v>
      </c>
      <c r="CZ352" s="35"/>
      <c r="DC352" s="57" t="str">
        <f t="shared" si="295"/>
        <v/>
      </c>
      <c r="DD352" s="64" t="str">
        <f t="shared" si="296"/>
        <v/>
      </c>
      <c r="DE352" s="65" t="str">
        <f t="shared" si="297"/>
        <v/>
      </c>
      <c r="DF352" s="66" t="str">
        <f t="shared" si="298"/>
        <v>PAT</v>
      </c>
    </row>
    <row r="353" spans="2:110" hidden="1" outlineLevel="1">
      <c r="B353" s="54">
        <f t="shared" si="299"/>
        <v>45523</v>
      </c>
      <c r="C353" s="55" t="s">
        <v>1</v>
      </c>
      <c r="D353" s="56">
        <f t="shared" si="300"/>
        <v>45529</v>
      </c>
      <c r="E353" s="52">
        <f t="shared" si="301"/>
        <v>8</v>
      </c>
      <c r="F353" s="53">
        <f t="shared" si="302"/>
        <v>2024</v>
      </c>
      <c r="G353" s="62">
        <f t="shared" si="303"/>
        <v>15</v>
      </c>
      <c r="H353" s="63">
        <f t="shared" si="304"/>
        <v>96</v>
      </c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>
        <v>15</v>
      </c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80"/>
      <c r="AG353" s="87">
        <f t="shared" si="258"/>
        <v>0</v>
      </c>
      <c r="AH353" s="87">
        <f t="shared" si="259"/>
        <v>0</v>
      </c>
      <c r="AI353" s="87">
        <f t="shared" si="260"/>
        <v>0</v>
      </c>
      <c r="AJ353" s="87">
        <f t="shared" si="261"/>
        <v>0</v>
      </c>
      <c r="AK353" s="87">
        <f t="shared" si="262"/>
        <v>0</v>
      </c>
      <c r="AL353" s="87">
        <f t="shared" si="263"/>
        <v>0</v>
      </c>
      <c r="AM353" s="87">
        <f t="shared" si="264"/>
        <v>0</v>
      </c>
      <c r="AN353" s="87">
        <f t="shared" si="265"/>
        <v>0</v>
      </c>
      <c r="AO353" s="87">
        <f t="shared" si="266"/>
        <v>0</v>
      </c>
      <c r="AP353" s="87">
        <f t="shared" si="267"/>
        <v>0</v>
      </c>
      <c r="AQ353" s="87">
        <f t="shared" si="268"/>
        <v>15</v>
      </c>
      <c r="AR353" s="81"/>
      <c r="AS353" s="85">
        <f t="shared" si="269"/>
        <v>0</v>
      </c>
      <c r="AT353" s="85">
        <f t="shared" si="270"/>
        <v>0</v>
      </c>
      <c r="AU353" s="85">
        <f t="shared" si="271"/>
        <v>0</v>
      </c>
      <c r="AV353" s="85">
        <f t="shared" si="272"/>
        <v>18</v>
      </c>
      <c r="AW353" s="85">
        <f t="shared" si="273"/>
        <v>0</v>
      </c>
      <c r="AX353" s="85">
        <f t="shared" si="274"/>
        <v>0</v>
      </c>
      <c r="AY353" s="85">
        <f t="shared" si="275"/>
        <v>0</v>
      </c>
      <c r="AZ353" s="85">
        <f t="shared" si="276"/>
        <v>0</v>
      </c>
      <c r="BA353" s="85">
        <f t="shared" si="277"/>
        <v>0</v>
      </c>
      <c r="BB353" s="85">
        <f t="shared" si="278"/>
        <v>0</v>
      </c>
      <c r="BC353" s="85">
        <f t="shared" si="279"/>
        <v>0</v>
      </c>
      <c r="BD353" s="85">
        <f t="shared" si="280"/>
        <v>0</v>
      </c>
      <c r="BE353" s="85">
        <f t="shared" si="281"/>
        <v>0</v>
      </c>
      <c r="BF353" s="85">
        <f t="shared" si="282"/>
        <v>0</v>
      </c>
      <c r="BG353" s="85">
        <f t="shared" si="283"/>
        <v>0</v>
      </c>
      <c r="BH353" s="85">
        <f t="shared" si="284"/>
        <v>0</v>
      </c>
      <c r="BI353" s="85">
        <f t="shared" si="285"/>
        <v>0</v>
      </c>
      <c r="BJ353" s="85">
        <f t="shared" si="286"/>
        <v>0</v>
      </c>
      <c r="BK353" s="85">
        <f t="shared" si="287"/>
        <v>0</v>
      </c>
      <c r="BL353" s="85">
        <f t="shared" si="288"/>
        <v>0</v>
      </c>
      <c r="BM353" s="85">
        <f t="shared" si="289"/>
        <v>0</v>
      </c>
      <c r="BN353" s="85">
        <f t="shared" si="290"/>
        <v>0</v>
      </c>
      <c r="BO353" s="85">
        <f t="shared" si="291"/>
        <v>0</v>
      </c>
      <c r="BP353" s="85">
        <f t="shared" si="292"/>
        <v>0</v>
      </c>
      <c r="BQ353" s="85">
        <f t="shared" si="293"/>
        <v>0</v>
      </c>
      <c r="BR353" s="85">
        <f t="shared" si="294"/>
        <v>0</v>
      </c>
      <c r="BT353" s="63"/>
      <c r="BU353" s="63"/>
      <c r="BV353" s="63"/>
      <c r="BW353" s="63"/>
      <c r="BX353" s="63"/>
      <c r="BY353" s="63"/>
      <c r="BZ353" s="63"/>
      <c r="CA353" s="63"/>
      <c r="CB353" s="63"/>
      <c r="CC353" s="63"/>
      <c r="CD353" s="63"/>
      <c r="CE353" s="63"/>
      <c r="CF353" s="63"/>
      <c r="CG353" s="63"/>
      <c r="CH353" s="63"/>
      <c r="CI353" s="63"/>
      <c r="CJ353" s="63"/>
      <c r="CK353" s="63"/>
      <c r="CL353" s="63"/>
      <c r="CM353" s="63"/>
      <c r="CN353" s="63"/>
      <c r="CO353" s="63"/>
      <c r="CP353" s="63"/>
      <c r="CQ353" s="63"/>
      <c r="CR353" s="63"/>
      <c r="CS353" s="63"/>
      <c r="CX353" s="35" t="s">
        <v>12</v>
      </c>
      <c r="CZ353" s="35"/>
      <c r="DC353" s="57" t="str">
        <f t="shared" si="295"/>
        <v/>
      </c>
      <c r="DD353" s="64" t="str">
        <f t="shared" si="296"/>
        <v/>
      </c>
      <c r="DE353" s="65" t="str">
        <f t="shared" si="297"/>
        <v/>
      </c>
      <c r="DF353" s="66" t="str">
        <f t="shared" si="298"/>
        <v>AME</v>
      </c>
    </row>
    <row r="354" spans="2:110" hidden="1" outlineLevel="1">
      <c r="B354" s="54">
        <f t="shared" si="299"/>
        <v>45530</v>
      </c>
      <c r="C354" s="55" t="s">
        <v>1</v>
      </c>
      <c r="D354" s="56">
        <f t="shared" si="300"/>
        <v>45536</v>
      </c>
      <c r="E354" s="52">
        <f t="shared" si="301"/>
        <v>8</v>
      </c>
      <c r="F354" s="53">
        <f t="shared" si="302"/>
        <v>2024</v>
      </c>
      <c r="G354" s="62">
        <f t="shared" si="303"/>
        <v>15</v>
      </c>
      <c r="H354" s="63">
        <f t="shared" si="304"/>
        <v>96</v>
      </c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>
        <v>15</v>
      </c>
      <c r="U354" s="79"/>
      <c r="V354" s="79"/>
      <c r="W354" s="79"/>
      <c r="X354" s="79"/>
      <c r="Y354" s="79">
        <v>1</v>
      </c>
      <c r="Z354" s="79"/>
      <c r="AA354" s="79"/>
      <c r="AB354" s="79"/>
      <c r="AC354" s="79"/>
      <c r="AD354" s="79"/>
      <c r="AE354" s="79"/>
      <c r="AF354" s="80"/>
      <c r="AG354" s="87">
        <f t="shared" si="258"/>
        <v>0</v>
      </c>
      <c r="AH354" s="87">
        <f t="shared" si="259"/>
        <v>0</v>
      </c>
      <c r="AI354" s="87">
        <f t="shared" si="260"/>
        <v>0</v>
      </c>
      <c r="AJ354" s="87">
        <f t="shared" si="261"/>
        <v>0</v>
      </c>
      <c r="AK354" s="87">
        <f t="shared" si="262"/>
        <v>45532</v>
      </c>
      <c r="AL354" s="87">
        <f t="shared" si="263"/>
        <v>0</v>
      </c>
      <c r="AM354" s="87">
        <f t="shared" si="264"/>
        <v>0</v>
      </c>
      <c r="AN354" s="87">
        <f t="shared" si="265"/>
        <v>0</v>
      </c>
      <c r="AO354" s="87">
        <f t="shared" si="266"/>
        <v>0</v>
      </c>
      <c r="AP354" s="87">
        <f t="shared" si="267"/>
        <v>0</v>
      </c>
      <c r="AQ354" s="87">
        <f t="shared" si="268"/>
        <v>15</v>
      </c>
      <c r="AR354" s="81"/>
      <c r="AS354" s="85">
        <f t="shared" si="269"/>
        <v>0</v>
      </c>
      <c r="AT354" s="85">
        <f t="shared" si="270"/>
        <v>0</v>
      </c>
      <c r="AU354" s="85">
        <f t="shared" si="271"/>
        <v>0</v>
      </c>
      <c r="AV354" s="85">
        <f t="shared" si="272"/>
        <v>19</v>
      </c>
      <c r="AW354" s="85">
        <f t="shared" si="273"/>
        <v>0</v>
      </c>
      <c r="AX354" s="85">
        <f t="shared" si="274"/>
        <v>0</v>
      </c>
      <c r="AY354" s="85">
        <f t="shared" si="275"/>
        <v>0</v>
      </c>
      <c r="AZ354" s="85">
        <f t="shared" si="276"/>
        <v>0</v>
      </c>
      <c r="BA354" s="85">
        <f t="shared" si="277"/>
        <v>0</v>
      </c>
      <c r="BB354" s="85">
        <f t="shared" si="278"/>
        <v>0</v>
      </c>
      <c r="BC354" s="85">
        <f t="shared" si="279"/>
        <v>0</v>
      </c>
      <c r="BD354" s="85">
        <f t="shared" si="280"/>
        <v>0</v>
      </c>
      <c r="BE354" s="85">
        <f t="shared" si="281"/>
        <v>0</v>
      </c>
      <c r="BF354" s="85">
        <f t="shared" si="282"/>
        <v>0</v>
      </c>
      <c r="BG354" s="85">
        <f t="shared" si="283"/>
        <v>0</v>
      </c>
      <c r="BH354" s="85">
        <f t="shared" si="284"/>
        <v>0</v>
      </c>
      <c r="BI354" s="85">
        <f t="shared" si="285"/>
        <v>0</v>
      </c>
      <c r="BJ354" s="85">
        <f t="shared" si="286"/>
        <v>0</v>
      </c>
      <c r="BK354" s="85">
        <f t="shared" si="287"/>
        <v>0</v>
      </c>
      <c r="BL354" s="85">
        <f t="shared" si="288"/>
        <v>0</v>
      </c>
      <c r="BM354" s="85">
        <f t="shared" si="289"/>
        <v>0</v>
      </c>
      <c r="BN354" s="85">
        <f t="shared" si="290"/>
        <v>0</v>
      </c>
      <c r="BO354" s="85">
        <f t="shared" si="291"/>
        <v>0</v>
      </c>
      <c r="BP354" s="85">
        <f t="shared" si="292"/>
        <v>0</v>
      </c>
      <c r="BQ354" s="85">
        <f t="shared" si="293"/>
        <v>0</v>
      </c>
      <c r="BR354" s="85">
        <f t="shared" si="294"/>
        <v>0</v>
      </c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  <c r="CG354" s="63"/>
      <c r="CH354" s="63"/>
      <c r="CI354" s="63"/>
      <c r="CJ354" s="63"/>
      <c r="CK354" s="63"/>
      <c r="CL354" s="63"/>
      <c r="CM354" s="63"/>
      <c r="CN354" s="63"/>
      <c r="CO354" s="63"/>
      <c r="CP354" s="63"/>
      <c r="CQ354" s="63"/>
      <c r="CR354" s="63"/>
      <c r="CS354" s="63"/>
      <c r="CX354" s="35" t="s">
        <v>12</v>
      </c>
      <c r="CZ354" s="35"/>
      <c r="DC354" s="57">
        <f t="shared" si="295"/>
        <v>5</v>
      </c>
      <c r="DD354" s="64">
        <f t="shared" si="296"/>
        <v>45532</v>
      </c>
      <c r="DE354" s="65">
        <f t="shared" si="297"/>
        <v>45637</v>
      </c>
      <c r="DF354" s="66" t="str">
        <f t="shared" si="298"/>
        <v>VNI</v>
      </c>
    </row>
    <row r="355" spans="2:110" hidden="1" outlineLevel="1">
      <c r="B355" s="54">
        <f t="shared" si="299"/>
        <v>45537</v>
      </c>
      <c r="C355" s="55" t="s">
        <v>1</v>
      </c>
      <c r="D355" s="56">
        <f t="shared" si="300"/>
        <v>45543</v>
      </c>
      <c r="E355" s="52">
        <f t="shared" si="301"/>
        <v>9</v>
      </c>
      <c r="F355" s="53">
        <f t="shared" si="302"/>
        <v>2024</v>
      </c>
      <c r="G355" s="62">
        <f t="shared" si="303"/>
        <v>15</v>
      </c>
      <c r="H355" s="63">
        <f t="shared" si="304"/>
        <v>96</v>
      </c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>
        <v>15</v>
      </c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80"/>
      <c r="AG355" s="87">
        <f t="shared" si="258"/>
        <v>0</v>
      </c>
      <c r="AH355" s="87">
        <f t="shared" si="259"/>
        <v>0</v>
      </c>
      <c r="AI355" s="87">
        <f t="shared" si="260"/>
        <v>0</v>
      </c>
      <c r="AJ355" s="87">
        <f t="shared" si="261"/>
        <v>0</v>
      </c>
      <c r="AK355" s="87">
        <f t="shared" si="262"/>
        <v>1</v>
      </c>
      <c r="AL355" s="87">
        <f t="shared" si="263"/>
        <v>0</v>
      </c>
      <c r="AM355" s="87">
        <f t="shared" si="264"/>
        <v>0</v>
      </c>
      <c r="AN355" s="87">
        <f t="shared" si="265"/>
        <v>0</v>
      </c>
      <c r="AO355" s="87">
        <f t="shared" si="266"/>
        <v>0</v>
      </c>
      <c r="AP355" s="87">
        <f t="shared" si="267"/>
        <v>0</v>
      </c>
      <c r="AQ355" s="87">
        <f t="shared" si="268"/>
        <v>15</v>
      </c>
      <c r="AR355" s="81"/>
      <c r="AS355" s="85">
        <f t="shared" si="269"/>
        <v>0</v>
      </c>
      <c r="AT355" s="85">
        <f t="shared" si="270"/>
        <v>0</v>
      </c>
      <c r="AU355" s="85">
        <f t="shared" si="271"/>
        <v>0</v>
      </c>
      <c r="AV355" s="85">
        <f t="shared" si="272"/>
        <v>20</v>
      </c>
      <c r="AW355" s="85">
        <f t="shared" si="273"/>
        <v>0</v>
      </c>
      <c r="AX355" s="85">
        <f t="shared" si="274"/>
        <v>0</v>
      </c>
      <c r="AY355" s="85">
        <f t="shared" si="275"/>
        <v>0</v>
      </c>
      <c r="AZ355" s="85">
        <f t="shared" si="276"/>
        <v>0</v>
      </c>
      <c r="BA355" s="85">
        <f t="shared" si="277"/>
        <v>0</v>
      </c>
      <c r="BB355" s="85">
        <f t="shared" si="278"/>
        <v>0</v>
      </c>
      <c r="BC355" s="85">
        <f t="shared" si="279"/>
        <v>0</v>
      </c>
      <c r="BD355" s="85">
        <f t="shared" si="280"/>
        <v>0</v>
      </c>
      <c r="BE355" s="85">
        <f t="shared" si="281"/>
        <v>0</v>
      </c>
      <c r="BF355" s="85">
        <f t="shared" si="282"/>
        <v>0</v>
      </c>
      <c r="BG355" s="85">
        <f t="shared" si="283"/>
        <v>0</v>
      </c>
      <c r="BH355" s="85">
        <f t="shared" si="284"/>
        <v>0</v>
      </c>
      <c r="BI355" s="85">
        <f t="shared" si="285"/>
        <v>0</v>
      </c>
      <c r="BJ355" s="85">
        <f t="shared" si="286"/>
        <v>0</v>
      </c>
      <c r="BK355" s="85">
        <f t="shared" si="287"/>
        <v>0</v>
      </c>
      <c r="BL355" s="85">
        <f t="shared" si="288"/>
        <v>0</v>
      </c>
      <c r="BM355" s="85">
        <f t="shared" si="289"/>
        <v>0</v>
      </c>
      <c r="BN355" s="85">
        <f t="shared" si="290"/>
        <v>0</v>
      </c>
      <c r="BO355" s="85">
        <f t="shared" si="291"/>
        <v>0</v>
      </c>
      <c r="BP355" s="85">
        <f t="shared" si="292"/>
        <v>0</v>
      </c>
      <c r="BQ355" s="85">
        <f t="shared" si="293"/>
        <v>0</v>
      </c>
      <c r="BR355" s="85">
        <f t="shared" si="294"/>
        <v>0</v>
      </c>
      <c r="BT355" s="63"/>
      <c r="BU355" s="63"/>
      <c r="BV355" s="63"/>
      <c r="BW355" s="63"/>
      <c r="BX355" s="63"/>
      <c r="BY355" s="63"/>
      <c r="BZ355" s="63"/>
      <c r="CA355" s="63"/>
      <c r="CB355" s="63"/>
      <c r="CC355" s="63"/>
      <c r="CD355" s="63"/>
      <c r="CE355" s="63"/>
      <c r="CF355" s="63"/>
      <c r="CG355" s="63"/>
      <c r="CH355" s="63"/>
      <c r="CI355" s="63"/>
      <c r="CJ355" s="63"/>
      <c r="CK355" s="63"/>
      <c r="CL355" s="63"/>
      <c r="CM355" s="63"/>
      <c r="CN355" s="63"/>
      <c r="CO355" s="63"/>
      <c r="CP355" s="63"/>
      <c r="CQ355" s="63"/>
      <c r="CR355" s="63"/>
      <c r="CS355" s="63"/>
      <c r="CX355" s="35" t="s">
        <v>12</v>
      </c>
      <c r="CZ355" s="35"/>
      <c r="DC355" s="57" t="str">
        <f t="shared" si="295"/>
        <v/>
      </c>
      <c r="DD355" s="64" t="str">
        <f t="shared" si="296"/>
        <v/>
      </c>
      <c r="DE355" s="65" t="str">
        <f t="shared" si="297"/>
        <v/>
      </c>
      <c r="DF355" s="66" t="str">
        <f t="shared" si="298"/>
        <v/>
      </c>
    </row>
    <row r="356" spans="2:110" hidden="1" outlineLevel="1">
      <c r="B356" s="54">
        <f t="shared" si="299"/>
        <v>45544</v>
      </c>
      <c r="C356" s="55" t="s">
        <v>1</v>
      </c>
      <c r="D356" s="56">
        <f t="shared" si="300"/>
        <v>45550</v>
      </c>
      <c r="E356" s="52">
        <f t="shared" si="301"/>
        <v>9</v>
      </c>
      <c r="F356" s="53">
        <f t="shared" si="302"/>
        <v>2024</v>
      </c>
      <c r="G356" s="62">
        <f t="shared" si="303"/>
        <v>15</v>
      </c>
      <c r="H356" s="63">
        <f t="shared" si="304"/>
        <v>96</v>
      </c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>
        <v>15</v>
      </c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80"/>
      <c r="AG356" s="87">
        <f t="shared" si="258"/>
        <v>0</v>
      </c>
      <c r="AH356" s="87">
        <f t="shared" si="259"/>
        <v>0</v>
      </c>
      <c r="AI356" s="87">
        <f t="shared" si="260"/>
        <v>0</v>
      </c>
      <c r="AJ356" s="87">
        <f t="shared" si="261"/>
        <v>0</v>
      </c>
      <c r="AK356" s="87">
        <f t="shared" si="262"/>
        <v>2</v>
      </c>
      <c r="AL356" s="87">
        <f t="shared" si="263"/>
        <v>0</v>
      </c>
      <c r="AM356" s="87">
        <f t="shared" si="264"/>
        <v>0</v>
      </c>
      <c r="AN356" s="87">
        <f t="shared" si="265"/>
        <v>0</v>
      </c>
      <c r="AO356" s="87">
        <f t="shared" si="266"/>
        <v>0</v>
      </c>
      <c r="AP356" s="87">
        <f t="shared" si="267"/>
        <v>0</v>
      </c>
      <c r="AQ356" s="87">
        <f t="shared" si="268"/>
        <v>15</v>
      </c>
      <c r="AR356" s="81"/>
      <c r="AS356" s="85">
        <f t="shared" si="269"/>
        <v>0</v>
      </c>
      <c r="AT356" s="85">
        <f t="shared" si="270"/>
        <v>0</v>
      </c>
      <c r="AU356" s="85">
        <f t="shared" si="271"/>
        <v>0</v>
      </c>
      <c r="AV356" s="85">
        <f t="shared" si="272"/>
        <v>21</v>
      </c>
      <c r="AW356" s="85">
        <f t="shared" si="273"/>
        <v>0</v>
      </c>
      <c r="AX356" s="85">
        <f t="shared" si="274"/>
        <v>0</v>
      </c>
      <c r="AY356" s="85">
        <f t="shared" si="275"/>
        <v>0</v>
      </c>
      <c r="AZ356" s="85">
        <f t="shared" si="276"/>
        <v>0</v>
      </c>
      <c r="BA356" s="85">
        <f t="shared" si="277"/>
        <v>0</v>
      </c>
      <c r="BB356" s="85">
        <f t="shared" si="278"/>
        <v>0</v>
      </c>
      <c r="BC356" s="85">
        <f t="shared" si="279"/>
        <v>0</v>
      </c>
      <c r="BD356" s="85">
        <f t="shared" si="280"/>
        <v>0</v>
      </c>
      <c r="BE356" s="85">
        <f t="shared" si="281"/>
        <v>0</v>
      </c>
      <c r="BF356" s="85">
        <f t="shared" si="282"/>
        <v>0</v>
      </c>
      <c r="BG356" s="85">
        <f t="shared" si="283"/>
        <v>0</v>
      </c>
      <c r="BH356" s="85">
        <f t="shared" si="284"/>
        <v>0</v>
      </c>
      <c r="BI356" s="85">
        <f t="shared" si="285"/>
        <v>0</v>
      </c>
      <c r="BJ356" s="85">
        <f t="shared" si="286"/>
        <v>0</v>
      </c>
      <c r="BK356" s="85">
        <f t="shared" si="287"/>
        <v>0</v>
      </c>
      <c r="BL356" s="85">
        <f t="shared" si="288"/>
        <v>0</v>
      </c>
      <c r="BM356" s="85">
        <f t="shared" si="289"/>
        <v>0</v>
      </c>
      <c r="BN356" s="85">
        <f t="shared" si="290"/>
        <v>0</v>
      </c>
      <c r="BO356" s="85">
        <f t="shared" si="291"/>
        <v>0</v>
      </c>
      <c r="BP356" s="85">
        <f t="shared" si="292"/>
        <v>0</v>
      </c>
      <c r="BQ356" s="85">
        <f t="shared" si="293"/>
        <v>0</v>
      </c>
      <c r="BR356" s="85">
        <f t="shared" si="294"/>
        <v>0</v>
      </c>
      <c r="BT356" s="63"/>
      <c r="BU356" s="63"/>
      <c r="BV356" s="63"/>
      <c r="BW356" s="63"/>
      <c r="BX356" s="63"/>
      <c r="BY356" s="63"/>
      <c r="BZ356" s="63"/>
      <c r="CA356" s="63"/>
      <c r="CB356" s="63"/>
      <c r="CC356" s="63"/>
      <c r="CD356" s="63"/>
      <c r="CE356" s="63"/>
      <c r="CF356" s="63"/>
      <c r="CG356" s="63"/>
      <c r="CH356" s="63"/>
      <c r="CI356" s="63"/>
      <c r="CJ356" s="63"/>
      <c r="CK356" s="63"/>
      <c r="CL356" s="63"/>
      <c r="CM356" s="63"/>
      <c r="CN356" s="63"/>
      <c r="CO356" s="63"/>
      <c r="CP356" s="63"/>
      <c r="CQ356" s="63"/>
      <c r="CR356" s="63"/>
      <c r="CS356" s="63"/>
      <c r="CX356" s="35" t="s">
        <v>12</v>
      </c>
      <c r="CZ356" s="35"/>
      <c r="DC356" s="57" t="str">
        <f t="shared" si="295"/>
        <v/>
      </c>
      <c r="DD356" s="64" t="str">
        <f t="shared" si="296"/>
        <v/>
      </c>
      <c r="DE356" s="65" t="str">
        <f t="shared" si="297"/>
        <v/>
      </c>
      <c r="DF356" s="66" t="str">
        <f t="shared" si="298"/>
        <v/>
      </c>
    </row>
    <row r="357" spans="2:110" hidden="1" outlineLevel="1">
      <c r="B357" s="54">
        <f t="shared" si="299"/>
        <v>45551</v>
      </c>
      <c r="C357" s="55" t="s">
        <v>1</v>
      </c>
      <c r="D357" s="56">
        <f t="shared" si="300"/>
        <v>45557</v>
      </c>
      <c r="E357" s="52">
        <f t="shared" si="301"/>
        <v>9</v>
      </c>
      <c r="F357" s="53">
        <f t="shared" si="302"/>
        <v>2024</v>
      </c>
      <c r="G357" s="62">
        <f t="shared" si="303"/>
        <v>15</v>
      </c>
      <c r="H357" s="63">
        <f t="shared" si="304"/>
        <v>96</v>
      </c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>
        <v>15</v>
      </c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80"/>
      <c r="AG357" s="87">
        <f t="shared" si="258"/>
        <v>0</v>
      </c>
      <c r="AH357" s="87">
        <f t="shared" si="259"/>
        <v>0</v>
      </c>
      <c r="AI357" s="87">
        <f t="shared" si="260"/>
        <v>0</v>
      </c>
      <c r="AJ357" s="87">
        <f t="shared" si="261"/>
        <v>0</v>
      </c>
      <c r="AK357" s="87">
        <f t="shared" si="262"/>
        <v>3</v>
      </c>
      <c r="AL357" s="87">
        <f t="shared" si="263"/>
        <v>0</v>
      </c>
      <c r="AM357" s="87">
        <f t="shared" si="264"/>
        <v>0</v>
      </c>
      <c r="AN357" s="87">
        <f t="shared" si="265"/>
        <v>0</v>
      </c>
      <c r="AO357" s="87">
        <f t="shared" si="266"/>
        <v>0</v>
      </c>
      <c r="AP357" s="87">
        <f t="shared" si="267"/>
        <v>0</v>
      </c>
      <c r="AQ357" s="87">
        <f t="shared" si="268"/>
        <v>15</v>
      </c>
      <c r="AR357" s="81"/>
      <c r="AS357" s="85">
        <f t="shared" si="269"/>
        <v>0</v>
      </c>
      <c r="AT357" s="85">
        <f t="shared" si="270"/>
        <v>0</v>
      </c>
      <c r="AU357" s="85">
        <f t="shared" si="271"/>
        <v>0</v>
      </c>
      <c r="AV357" s="85">
        <f t="shared" si="272"/>
        <v>22</v>
      </c>
      <c r="AW357" s="85">
        <f t="shared" si="273"/>
        <v>0</v>
      </c>
      <c r="AX357" s="85">
        <f t="shared" si="274"/>
        <v>0</v>
      </c>
      <c r="AY357" s="85">
        <f t="shared" si="275"/>
        <v>0</v>
      </c>
      <c r="AZ357" s="85">
        <f t="shared" si="276"/>
        <v>0</v>
      </c>
      <c r="BA357" s="85">
        <f t="shared" si="277"/>
        <v>0</v>
      </c>
      <c r="BB357" s="85">
        <f t="shared" si="278"/>
        <v>0</v>
      </c>
      <c r="BC357" s="85">
        <f t="shared" si="279"/>
        <v>0</v>
      </c>
      <c r="BD357" s="85">
        <f t="shared" si="280"/>
        <v>0</v>
      </c>
      <c r="BE357" s="85">
        <f t="shared" si="281"/>
        <v>0</v>
      </c>
      <c r="BF357" s="85">
        <f t="shared" si="282"/>
        <v>0</v>
      </c>
      <c r="BG357" s="85">
        <f t="shared" si="283"/>
        <v>0</v>
      </c>
      <c r="BH357" s="85">
        <f t="shared" si="284"/>
        <v>0</v>
      </c>
      <c r="BI357" s="85">
        <f t="shared" si="285"/>
        <v>0</v>
      </c>
      <c r="BJ357" s="85">
        <f t="shared" si="286"/>
        <v>0</v>
      </c>
      <c r="BK357" s="85">
        <f t="shared" si="287"/>
        <v>0</v>
      </c>
      <c r="BL357" s="85">
        <f t="shared" si="288"/>
        <v>0</v>
      </c>
      <c r="BM357" s="85">
        <f t="shared" si="289"/>
        <v>0</v>
      </c>
      <c r="BN357" s="85">
        <f t="shared" si="290"/>
        <v>0</v>
      </c>
      <c r="BO357" s="85">
        <f t="shared" si="291"/>
        <v>0</v>
      </c>
      <c r="BP357" s="85">
        <f t="shared" si="292"/>
        <v>0</v>
      </c>
      <c r="BQ357" s="85">
        <f t="shared" si="293"/>
        <v>0</v>
      </c>
      <c r="BR357" s="85">
        <f t="shared" si="294"/>
        <v>0</v>
      </c>
      <c r="BT357" s="63"/>
      <c r="BU357" s="63"/>
      <c r="BV357" s="63"/>
      <c r="BW357" s="63"/>
      <c r="BX357" s="63"/>
      <c r="BY357" s="63"/>
      <c r="BZ357" s="63"/>
      <c r="CA357" s="63"/>
      <c r="CB357" s="63"/>
      <c r="CC357" s="63"/>
      <c r="CD357" s="63"/>
      <c r="CE357" s="63"/>
      <c r="CF357" s="63"/>
      <c r="CG357" s="63"/>
      <c r="CH357" s="63"/>
      <c r="CI357" s="63"/>
      <c r="CJ357" s="63"/>
      <c r="CK357" s="63"/>
      <c r="CL357" s="63"/>
      <c r="CM357" s="63"/>
      <c r="CN357" s="63"/>
      <c r="CO357" s="63"/>
      <c r="CP357" s="63"/>
      <c r="CQ357" s="63"/>
      <c r="CR357" s="63"/>
      <c r="CS357" s="63"/>
      <c r="CX357" s="35" t="s">
        <v>12</v>
      </c>
      <c r="CZ357" s="35"/>
      <c r="DC357" s="57" t="str">
        <f t="shared" si="295"/>
        <v/>
      </c>
      <c r="DD357" s="64" t="str">
        <f t="shared" si="296"/>
        <v/>
      </c>
      <c r="DE357" s="65" t="str">
        <f t="shared" si="297"/>
        <v/>
      </c>
      <c r="DF357" s="66" t="str">
        <f t="shared" si="298"/>
        <v/>
      </c>
    </row>
    <row r="358" spans="2:110" hidden="1" outlineLevel="1">
      <c r="B358" s="54">
        <f t="shared" si="299"/>
        <v>45558</v>
      </c>
      <c r="C358" s="55" t="s">
        <v>1</v>
      </c>
      <c r="D358" s="56">
        <f t="shared" si="300"/>
        <v>45564</v>
      </c>
      <c r="E358" s="52">
        <f t="shared" si="301"/>
        <v>9</v>
      </c>
      <c r="F358" s="53">
        <f t="shared" si="302"/>
        <v>2024</v>
      </c>
      <c r="G358" s="62">
        <f t="shared" si="303"/>
        <v>15</v>
      </c>
      <c r="H358" s="63">
        <f t="shared" si="304"/>
        <v>96</v>
      </c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>
        <v>15</v>
      </c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80"/>
      <c r="AG358" s="87">
        <f t="shared" si="258"/>
        <v>0</v>
      </c>
      <c r="AH358" s="87">
        <f t="shared" si="259"/>
        <v>0</v>
      </c>
      <c r="AI358" s="87">
        <f t="shared" si="260"/>
        <v>0</v>
      </c>
      <c r="AJ358" s="87">
        <f t="shared" si="261"/>
        <v>0</v>
      </c>
      <c r="AK358" s="87">
        <f t="shared" si="262"/>
        <v>4</v>
      </c>
      <c r="AL358" s="87">
        <f t="shared" si="263"/>
        <v>0</v>
      </c>
      <c r="AM358" s="87">
        <f t="shared" si="264"/>
        <v>0</v>
      </c>
      <c r="AN358" s="87">
        <f t="shared" si="265"/>
        <v>0</v>
      </c>
      <c r="AO358" s="87">
        <f t="shared" si="266"/>
        <v>0</v>
      </c>
      <c r="AP358" s="87">
        <f t="shared" si="267"/>
        <v>0</v>
      </c>
      <c r="AQ358" s="87">
        <f t="shared" si="268"/>
        <v>15</v>
      </c>
      <c r="AR358" s="81"/>
      <c r="AS358" s="85">
        <f t="shared" si="269"/>
        <v>0</v>
      </c>
      <c r="AT358" s="85">
        <f t="shared" si="270"/>
        <v>0</v>
      </c>
      <c r="AU358" s="85">
        <f t="shared" si="271"/>
        <v>0</v>
      </c>
      <c r="AV358" s="85">
        <f t="shared" si="272"/>
        <v>23</v>
      </c>
      <c r="AW358" s="85">
        <f t="shared" si="273"/>
        <v>0</v>
      </c>
      <c r="AX358" s="85">
        <f t="shared" si="274"/>
        <v>0</v>
      </c>
      <c r="AY358" s="85">
        <f t="shared" si="275"/>
        <v>0</v>
      </c>
      <c r="AZ358" s="85">
        <f t="shared" si="276"/>
        <v>0</v>
      </c>
      <c r="BA358" s="85">
        <f t="shared" si="277"/>
        <v>0</v>
      </c>
      <c r="BB358" s="85">
        <f t="shared" si="278"/>
        <v>0</v>
      </c>
      <c r="BC358" s="85">
        <f t="shared" si="279"/>
        <v>0</v>
      </c>
      <c r="BD358" s="85">
        <f t="shared" si="280"/>
        <v>0</v>
      </c>
      <c r="BE358" s="85">
        <f t="shared" si="281"/>
        <v>0</v>
      </c>
      <c r="BF358" s="85">
        <f t="shared" si="282"/>
        <v>0</v>
      </c>
      <c r="BG358" s="85">
        <f t="shared" si="283"/>
        <v>0</v>
      </c>
      <c r="BH358" s="85">
        <f t="shared" si="284"/>
        <v>0</v>
      </c>
      <c r="BI358" s="85">
        <f t="shared" si="285"/>
        <v>0</v>
      </c>
      <c r="BJ358" s="85">
        <f t="shared" si="286"/>
        <v>0</v>
      </c>
      <c r="BK358" s="85">
        <f t="shared" si="287"/>
        <v>0</v>
      </c>
      <c r="BL358" s="85">
        <f t="shared" si="288"/>
        <v>0</v>
      </c>
      <c r="BM358" s="85">
        <f t="shared" si="289"/>
        <v>0</v>
      </c>
      <c r="BN358" s="85">
        <f t="shared" si="290"/>
        <v>0</v>
      </c>
      <c r="BO358" s="85">
        <f t="shared" si="291"/>
        <v>0</v>
      </c>
      <c r="BP358" s="85">
        <f t="shared" si="292"/>
        <v>0</v>
      </c>
      <c r="BQ358" s="85">
        <f t="shared" si="293"/>
        <v>0</v>
      </c>
      <c r="BR358" s="85">
        <f t="shared" si="294"/>
        <v>0</v>
      </c>
      <c r="BT358" s="63"/>
      <c r="BU358" s="63"/>
      <c r="BV358" s="63"/>
      <c r="BW358" s="63"/>
      <c r="BX358" s="63"/>
      <c r="BY358" s="63"/>
      <c r="BZ358" s="63"/>
      <c r="CA358" s="63"/>
      <c r="CB358" s="63"/>
      <c r="CC358" s="63"/>
      <c r="CD358" s="63"/>
      <c r="CE358" s="63"/>
      <c r="CF358" s="63"/>
      <c r="CG358" s="63"/>
      <c r="CH358" s="63"/>
      <c r="CI358" s="63"/>
      <c r="CJ358" s="63"/>
      <c r="CK358" s="63"/>
      <c r="CL358" s="63"/>
      <c r="CM358" s="63"/>
      <c r="CN358" s="63"/>
      <c r="CO358" s="63"/>
      <c r="CP358" s="63"/>
      <c r="CQ358" s="63"/>
      <c r="CR358" s="63"/>
      <c r="CS358" s="63"/>
      <c r="CX358" s="35" t="s">
        <v>12</v>
      </c>
      <c r="CZ358" s="35"/>
      <c r="DC358" s="57" t="str">
        <f t="shared" si="295"/>
        <v/>
      </c>
      <c r="DD358" s="64" t="str">
        <f t="shared" si="296"/>
        <v/>
      </c>
      <c r="DE358" s="65" t="str">
        <f t="shared" si="297"/>
        <v/>
      </c>
      <c r="DF358" s="66" t="str">
        <f t="shared" si="298"/>
        <v/>
      </c>
    </row>
    <row r="359" spans="2:110" hidden="1" outlineLevel="1">
      <c r="B359" s="54">
        <f t="shared" si="299"/>
        <v>45565</v>
      </c>
      <c r="C359" s="55" t="s">
        <v>1</v>
      </c>
      <c r="D359" s="56">
        <f t="shared" si="300"/>
        <v>45571</v>
      </c>
      <c r="E359" s="52">
        <f t="shared" si="301"/>
        <v>9</v>
      </c>
      <c r="F359" s="53">
        <f t="shared" si="302"/>
        <v>2024</v>
      </c>
      <c r="G359" s="62">
        <f t="shared" si="303"/>
        <v>15</v>
      </c>
      <c r="H359" s="63">
        <f t="shared" si="304"/>
        <v>96</v>
      </c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>
        <v>15</v>
      </c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80"/>
      <c r="AG359" s="87">
        <f t="shared" si="258"/>
        <v>0</v>
      </c>
      <c r="AH359" s="87">
        <f t="shared" si="259"/>
        <v>0</v>
      </c>
      <c r="AI359" s="87">
        <f t="shared" si="260"/>
        <v>0</v>
      </c>
      <c r="AJ359" s="87">
        <f t="shared" si="261"/>
        <v>0</v>
      </c>
      <c r="AK359" s="87">
        <f t="shared" si="262"/>
        <v>5</v>
      </c>
      <c r="AL359" s="87">
        <f t="shared" si="263"/>
        <v>0</v>
      </c>
      <c r="AM359" s="87">
        <f t="shared" si="264"/>
        <v>0</v>
      </c>
      <c r="AN359" s="87">
        <f t="shared" si="265"/>
        <v>0</v>
      </c>
      <c r="AO359" s="87">
        <f t="shared" si="266"/>
        <v>0</v>
      </c>
      <c r="AP359" s="87">
        <f t="shared" si="267"/>
        <v>0</v>
      </c>
      <c r="AQ359" s="87">
        <f t="shared" si="268"/>
        <v>15</v>
      </c>
      <c r="AR359" s="81"/>
      <c r="AS359" s="85">
        <f t="shared" si="269"/>
        <v>0</v>
      </c>
      <c r="AT359" s="85">
        <f t="shared" si="270"/>
        <v>0</v>
      </c>
      <c r="AU359" s="85">
        <f t="shared" si="271"/>
        <v>0</v>
      </c>
      <c r="AV359" s="85">
        <f t="shared" si="272"/>
        <v>24</v>
      </c>
      <c r="AW359" s="85">
        <f t="shared" si="273"/>
        <v>0</v>
      </c>
      <c r="AX359" s="85">
        <f t="shared" si="274"/>
        <v>0</v>
      </c>
      <c r="AY359" s="85">
        <f t="shared" si="275"/>
        <v>0</v>
      </c>
      <c r="AZ359" s="85">
        <f t="shared" si="276"/>
        <v>0</v>
      </c>
      <c r="BA359" s="85">
        <f t="shared" si="277"/>
        <v>0</v>
      </c>
      <c r="BB359" s="85">
        <f t="shared" si="278"/>
        <v>0</v>
      </c>
      <c r="BC359" s="85">
        <f t="shared" si="279"/>
        <v>0</v>
      </c>
      <c r="BD359" s="85">
        <f t="shared" si="280"/>
        <v>0</v>
      </c>
      <c r="BE359" s="85">
        <f t="shared" si="281"/>
        <v>0</v>
      </c>
      <c r="BF359" s="85">
        <f t="shared" si="282"/>
        <v>0</v>
      </c>
      <c r="BG359" s="85">
        <f t="shared" si="283"/>
        <v>0</v>
      </c>
      <c r="BH359" s="85">
        <f t="shared" si="284"/>
        <v>0</v>
      </c>
      <c r="BI359" s="85">
        <f t="shared" si="285"/>
        <v>0</v>
      </c>
      <c r="BJ359" s="85">
        <f t="shared" si="286"/>
        <v>0</v>
      </c>
      <c r="BK359" s="85">
        <f t="shared" si="287"/>
        <v>0</v>
      </c>
      <c r="BL359" s="85">
        <f t="shared" si="288"/>
        <v>0</v>
      </c>
      <c r="BM359" s="85">
        <f t="shared" si="289"/>
        <v>0</v>
      </c>
      <c r="BN359" s="85">
        <f t="shared" si="290"/>
        <v>0</v>
      </c>
      <c r="BO359" s="85">
        <f t="shared" si="291"/>
        <v>0</v>
      </c>
      <c r="BP359" s="85">
        <f t="shared" si="292"/>
        <v>0</v>
      </c>
      <c r="BQ359" s="85">
        <f t="shared" si="293"/>
        <v>0</v>
      </c>
      <c r="BR359" s="85">
        <f t="shared" si="294"/>
        <v>0</v>
      </c>
      <c r="BT359" s="63"/>
      <c r="BU359" s="63"/>
      <c r="BV359" s="63"/>
      <c r="BW359" s="63"/>
      <c r="BX359" s="63"/>
      <c r="BY359" s="63"/>
      <c r="BZ359" s="63"/>
      <c r="CA359" s="63"/>
      <c r="CB359" s="63"/>
      <c r="CC359" s="63"/>
      <c r="CD359" s="63"/>
      <c r="CE359" s="63"/>
      <c r="CF359" s="63"/>
      <c r="CG359" s="63"/>
      <c r="CH359" s="63"/>
      <c r="CI359" s="63"/>
      <c r="CJ359" s="63"/>
      <c r="CK359" s="63"/>
      <c r="CL359" s="63"/>
      <c r="CM359" s="63"/>
      <c r="CN359" s="63"/>
      <c r="CO359" s="63"/>
      <c r="CP359" s="63"/>
      <c r="CQ359" s="63"/>
      <c r="CR359" s="63"/>
      <c r="CS359" s="63"/>
      <c r="CX359" s="35" t="s">
        <v>12</v>
      </c>
      <c r="CZ359" s="35"/>
      <c r="DC359" s="57" t="str">
        <f t="shared" si="295"/>
        <v/>
      </c>
      <c r="DD359" s="64" t="str">
        <f t="shared" si="296"/>
        <v/>
      </c>
      <c r="DE359" s="65" t="str">
        <f t="shared" si="297"/>
        <v/>
      </c>
      <c r="DF359" s="66" t="str">
        <f t="shared" si="298"/>
        <v/>
      </c>
    </row>
    <row r="360" spans="2:110" hidden="1" outlineLevel="1">
      <c r="B360" s="54">
        <f t="shared" si="299"/>
        <v>45572</v>
      </c>
      <c r="C360" s="55" t="s">
        <v>1</v>
      </c>
      <c r="D360" s="56">
        <f t="shared" si="300"/>
        <v>45578</v>
      </c>
      <c r="E360" s="52">
        <f t="shared" si="301"/>
        <v>10</v>
      </c>
      <c r="F360" s="53">
        <f t="shared" si="302"/>
        <v>2024</v>
      </c>
      <c r="G360" s="62">
        <f t="shared" si="303"/>
        <v>15</v>
      </c>
      <c r="H360" s="63">
        <f t="shared" si="304"/>
        <v>96</v>
      </c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>
        <v>15</v>
      </c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80"/>
      <c r="AG360" s="87">
        <f t="shared" si="258"/>
        <v>0</v>
      </c>
      <c r="AH360" s="87">
        <f t="shared" si="259"/>
        <v>0</v>
      </c>
      <c r="AI360" s="87">
        <f t="shared" si="260"/>
        <v>0</v>
      </c>
      <c r="AJ360" s="87">
        <f t="shared" si="261"/>
        <v>0</v>
      </c>
      <c r="AK360" s="87">
        <f t="shared" si="262"/>
        <v>6</v>
      </c>
      <c r="AL360" s="87">
        <f t="shared" si="263"/>
        <v>0</v>
      </c>
      <c r="AM360" s="87">
        <f t="shared" si="264"/>
        <v>0</v>
      </c>
      <c r="AN360" s="87">
        <f t="shared" si="265"/>
        <v>0</v>
      </c>
      <c r="AO360" s="87">
        <f t="shared" si="266"/>
        <v>0</v>
      </c>
      <c r="AP360" s="87">
        <f t="shared" si="267"/>
        <v>0</v>
      </c>
      <c r="AQ360" s="87">
        <f t="shared" si="268"/>
        <v>15</v>
      </c>
      <c r="AR360" s="81"/>
      <c r="AS360" s="85">
        <f t="shared" si="269"/>
        <v>0</v>
      </c>
      <c r="AT360" s="85">
        <f t="shared" si="270"/>
        <v>0</v>
      </c>
      <c r="AU360" s="85">
        <f t="shared" si="271"/>
        <v>0</v>
      </c>
      <c r="AV360" s="85">
        <f t="shared" si="272"/>
        <v>25</v>
      </c>
      <c r="AW360" s="85">
        <f t="shared" si="273"/>
        <v>0</v>
      </c>
      <c r="AX360" s="85">
        <f t="shared" si="274"/>
        <v>0</v>
      </c>
      <c r="AY360" s="85">
        <f t="shared" si="275"/>
        <v>0</v>
      </c>
      <c r="AZ360" s="85">
        <f t="shared" si="276"/>
        <v>0</v>
      </c>
      <c r="BA360" s="85">
        <f t="shared" si="277"/>
        <v>0</v>
      </c>
      <c r="BB360" s="85">
        <f t="shared" si="278"/>
        <v>0</v>
      </c>
      <c r="BC360" s="85">
        <f t="shared" si="279"/>
        <v>0</v>
      </c>
      <c r="BD360" s="85">
        <f t="shared" si="280"/>
        <v>0</v>
      </c>
      <c r="BE360" s="85">
        <f t="shared" si="281"/>
        <v>0</v>
      </c>
      <c r="BF360" s="85">
        <f t="shared" si="282"/>
        <v>0</v>
      </c>
      <c r="BG360" s="85">
        <f t="shared" si="283"/>
        <v>0</v>
      </c>
      <c r="BH360" s="85">
        <f t="shared" si="284"/>
        <v>0</v>
      </c>
      <c r="BI360" s="85">
        <f t="shared" si="285"/>
        <v>0</v>
      </c>
      <c r="BJ360" s="85">
        <f t="shared" si="286"/>
        <v>0</v>
      </c>
      <c r="BK360" s="85">
        <f t="shared" si="287"/>
        <v>0</v>
      </c>
      <c r="BL360" s="85">
        <f t="shared" si="288"/>
        <v>0</v>
      </c>
      <c r="BM360" s="85">
        <f t="shared" si="289"/>
        <v>0</v>
      </c>
      <c r="BN360" s="85">
        <f t="shared" si="290"/>
        <v>0</v>
      </c>
      <c r="BO360" s="85">
        <f t="shared" si="291"/>
        <v>0</v>
      </c>
      <c r="BP360" s="85">
        <f t="shared" si="292"/>
        <v>0</v>
      </c>
      <c r="BQ360" s="85">
        <f t="shared" si="293"/>
        <v>0</v>
      </c>
      <c r="BR360" s="85">
        <f t="shared" si="294"/>
        <v>0</v>
      </c>
      <c r="BT360" s="63"/>
      <c r="BU360" s="63"/>
      <c r="BV360" s="63"/>
      <c r="BW360" s="63"/>
      <c r="BX360" s="63"/>
      <c r="BY360" s="63"/>
      <c r="BZ360" s="63"/>
      <c r="CA360" s="63"/>
      <c r="CB360" s="63"/>
      <c r="CC360" s="63"/>
      <c r="CD360" s="63"/>
      <c r="CE360" s="63"/>
      <c r="CF360" s="63"/>
      <c r="CG360" s="63"/>
      <c r="CH360" s="63"/>
      <c r="CI360" s="63"/>
      <c r="CJ360" s="63"/>
      <c r="CK360" s="63"/>
      <c r="CL360" s="63"/>
      <c r="CM360" s="63"/>
      <c r="CN360" s="63"/>
      <c r="CO360" s="63"/>
      <c r="CP360" s="63"/>
      <c r="CQ360" s="63"/>
      <c r="CR360" s="63"/>
      <c r="CS360" s="63"/>
      <c r="CX360" s="35" t="s">
        <v>12</v>
      </c>
      <c r="CZ360" s="35"/>
      <c r="DC360" s="57" t="str">
        <f t="shared" si="295"/>
        <v/>
      </c>
      <c r="DD360" s="64" t="str">
        <f t="shared" si="296"/>
        <v/>
      </c>
      <c r="DE360" s="65" t="str">
        <f t="shared" si="297"/>
        <v/>
      </c>
      <c r="DF360" s="66" t="str">
        <f t="shared" si="298"/>
        <v/>
      </c>
    </row>
    <row r="361" spans="2:110" hidden="1" outlineLevel="1">
      <c r="B361" s="54">
        <f t="shared" si="299"/>
        <v>45579</v>
      </c>
      <c r="C361" s="55" t="s">
        <v>1</v>
      </c>
      <c r="D361" s="56">
        <f t="shared" si="300"/>
        <v>45585</v>
      </c>
      <c r="E361" s="52">
        <f t="shared" si="301"/>
        <v>10</v>
      </c>
      <c r="F361" s="53">
        <f t="shared" si="302"/>
        <v>2024</v>
      </c>
      <c r="G361" s="62">
        <f t="shared" si="303"/>
        <v>15</v>
      </c>
      <c r="H361" s="63">
        <f t="shared" si="304"/>
        <v>96</v>
      </c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>
        <v>15</v>
      </c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80"/>
      <c r="AG361" s="87">
        <f t="shared" si="258"/>
        <v>0</v>
      </c>
      <c r="AH361" s="87">
        <f t="shared" si="259"/>
        <v>0</v>
      </c>
      <c r="AI361" s="87">
        <f t="shared" si="260"/>
        <v>0</v>
      </c>
      <c r="AJ361" s="87">
        <f t="shared" si="261"/>
        <v>0</v>
      </c>
      <c r="AK361" s="87">
        <f t="shared" si="262"/>
        <v>7</v>
      </c>
      <c r="AL361" s="87">
        <f t="shared" si="263"/>
        <v>0</v>
      </c>
      <c r="AM361" s="87">
        <f t="shared" si="264"/>
        <v>0</v>
      </c>
      <c r="AN361" s="87">
        <f t="shared" si="265"/>
        <v>0</v>
      </c>
      <c r="AO361" s="87">
        <f t="shared" si="266"/>
        <v>0</v>
      </c>
      <c r="AP361" s="87">
        <f t="shared" si="267"/>
        <v>0</v>
      </c>
      <c r="AQ361" s="87">
        <f t="shared" si="268"/>
        <v>15</v>
      </c>
      <c r="AR361" s="81"/>
      <c r="AS361" s="85">
        <f t="shared" si="269"/>
        <v>0</v>
      </c>
      <c r="AT361" s="85">
        <f t="shared" si="270"/>
        <v>0</v>
      </c>
      <c r="AU361" s="85">
        <f t="shared" si="271"/>
        <v>0</v>
      </c>
      <c r="AV361" s="85">
        <f t="shared" si="272"/>
        <v>26</v>
      </c>
      <c r="AW361" s="85">
        <f t="shared" si="273"/>
        <v>0</v>
      </c>
      <c r="AX361" s="85">
        <f t="shared" si="274"/>
        <v>0</v>
      </c>
      <c r="AY361" s="85">
        <f t="shared" si="275"/>
        <v>0</v>
      </c>
      <c r="AZ361" s="85">
        <f t="shared" si="276"/>
        <v>0</v>
      </c>
      <c r="BA361" s="85">
        <f t="shared" si="277"/>
        <v>0</v>
      </c>
      <c r="BB361" s="85">
        <f t="shared" si="278"/>
        <v>0</v>
      </c>
      <c r="BC361" s="85">
        <f t="shared" si="279"/>
        <v>0</v>
      </c>
      <c r="BD361" s="85">
        <f t="shared" si="280"/>
        <v>0</v>
      </c>
      <c r="BE361" s="85">
        <f t="shared" si="281"/>
        <v>0</v>
      </c>
      <c r="BF361" s="85">
        <f t="shared" si="282"/>
        <v>0</v>
      </c>
      <c r="BG361" s="85">
        <f t="shared" si="283"/>
        <v>0</v>
      </c>
      <c r="BH361" s="85">
        <f t="shared" si="284"/>
        <v>0</v>
      </c>
      <c r="BI361" s="85">
        <f t="shared" si="285"/>
        <v>0</v>
      </c>
      <c r="BJ361" s="85">
        <f t="shared" si="286"/>
        <v>0</v>
      </c>
      <c r="BK361" s="85">
        <f t="shared" si="287"/>
        <v>0</v>
      </c>
      <c r="BL361" s="85">
        <f t="shared" si="288"/>
        <v>0</v>
      </c>
      <c r="BM361" s="85">
        <f t="shared" si="289"/>
        <v>0</v>
      </c>
      <c r="BN361" s="85">
        <f t="shared" si="290"/>
        <v>0</v>
      </c>
      <c r="BO361" s="85">
        <f t="shared" si="291"/>
        <v>0</v>
      </c>
      <c r="BP361" s="85">
        <f t="shared" si="292"/>
        <v>0</v>
      </c>
      <c r="BQ361" s="85">
        <f t="shared" si="293"/>
        <v>0</v>
      </c>
      <c r="BR361" s="85">
        <f t="shared" si="294"/>
        <v>0</v>
      </c>
      <c r="BT361" s="63"/>
      <c r="BU361" s="63"/>
      <c r="BV361" s="63"/>
      <c r="BW361" s="63"/>
      <c r="BX361" s="63"/>
      <c r="BY361" s="63"/>
      <c r="BZ361" s="63"/>
      <c r="CA361" s="63"/>
      <c r="CB361" s="63"/>
      <c r="CC361" s="63"/>
      <c r="CD361" s="63"/>
      <c r="CE361" s="63"/>
      <c r="CF361" s="63"/>
      <c r="CG361" s="63"/>
      <c r="CH361" s="63"/>
      <c r="CI361" s="63"/>
      <c r="CJ361" s="63"/>
      <c r="CK361" s="63"/>
      <c r="CL361" s="63"/>
      <c r="CM361" s="63"/>
      <c r="CN361" s="63"/>
      <c r="CO361" s="63"/>
      <c r="CP361" s="63"/>
      <c r="CQ361" s="63"/>
      <c r="CR361" s="63"/>
      <c r="CS361" s="63"/>
      <c r="CX361" s="35" t="s">
        <v>12</v>
      </c>
      <c r="CZ361" s="35"/>
      <c r="DC361" s="57" t="str">
        <f t="shared" si="295"/>
        <v/>
      </c>
      <c r="DD361" s="64" t="str">
        <f t="shared" si="296"/>
        <v/>
      </c>
      <c r="DE361" s="65" t="str">
        <f t="shared" si="297"/>
        <v/>
      </c>
      <c r="DF361" s="66" t="str">
        <f t="shared" si="298"/>
        <v>SPE</v>
      </c>
    </row>
    <row r="362" spans="2:110" hidden="1" outlineLevel="1">
      <c r="B362" s="54">
        <f t="shared" si="299"/>
        <v>45586</v>
      </c>
      <c r="C362" s="55" t="s">
        <v>1</v>
      </c>
      <c r="D362" s="56">
        <f t="shared" si="300"/>
        <v>45592</v>
      </c>
      <c r="E362" s="52">
        <f t="shared" si="301"/>
        <v>10</v>
      </c>
      <c r="F362" s="53">
        <f t="shared" si="302"/>
        <v>2024</v>
      </c>
      <c r="G362" s="62">
        <f t="shared" si="303"/>
        <v>15</v>
      </c>
      <c r="H362" s="63">
        <f t="shared" si="304"/>
        <v>96</v>
      </c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>
        <v>15</v>
      </c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80"/>
      <c r="AG362" s="87">
        <f t="shared" si="258"/>
        <v>0</v>
      </c>
      <c r="AH362" s="87">
        <f t="shared" si="259"/>
        <v>0</v>
      </c>
      <c r="AI362" s="87">
        <f t="shared" si="260"/>
        <v>0</v>
      </c>
      <c r="AJ362" s="87">
        <f t="shared" si="261"/>
        <v>0</v>
      </c>
      <c r="AK362" s="87">
        <f t="shared" si="262"/>
        <v>8</v>
      </c>
      <c r="AL362" s="87">
        <f t="shared" si="263"/>
        <v>0</v>
      </c>
      <c r="AM362" s="87">
        <f t="shared" si="264"/>
        <v>0</v>
      </c>
      <c r="AN362" s="87">
        <f t="shared" si="265"/>
        <v>0</v>
      </c>
      <c r="AO362" s="87">
        <f t="shared" si="266"/>
        <v>0</v>
      </c>
      <c r="AP362" s="87">
        <f t="shared" si="267"/>
        <v>0</v>
      </c>
      <c r="AQ362" s="87">
        <f t="shared" si="268"/>
        <v>15</v>
      </c>
      <c r="AR362" s="81"/>
      <c r="AS362" s="85">
        <f t="shared" si="269"/>
        <v>0</v>
      </c>
      <c r="AT362" s="85">
        <f t="shared" si="270"/>
        <v>0</v>
      </c>
      <c r="AU362" s="85">
        <f t="shared" si="271"/>
        <v>0</v>
      </c>
      <c r="AV362" s="85">
        <f t="shared" si="272"/>
        <v>27</v>
      </c>
      <c r="AW362" s="85">
        <f t="shared" si="273"/>
        <v>0</v>
      </c>
      <c r="AX362" s="85">
        <f t="shared" si="274"/>
        <v>0</v>
      </c>
      <c r="AY362" s="85">
        <f t="shared" si="275"/>
        <v>0</v>
      </c>
      <c r="AZ362" s="85">
        <f t="shared" si="276"/>
        <v>0</v>
      </c>
      <c r="BA362" s="85">
        <f t="shared" si="277"/>
        <v>0</v>
      </c>
      <c r="BB362" s="85">
        <f t="shared" si="278"/>
        <v>0</v>
      </c>
      <c r="BC362" s="85">
        <f t="shared" si="279"/>
        <v>0</v>
      </c>
      <c r="BD362" s="85">
        <f t="shared" si="280"/>
        <v>0</v>
      </c>
      <c r="BE362" s="85">
        <f t="shared" si="281"/>
        <v>0</v>
      </c>
      <c r="BF362" s="85">
        <f t="shared" si="282"/>
        <v>0</v>
      </c>
      <c r="BG362" s="85">
        <f t="shared" si="283"/>
        <v>0</v>
      </c>
      <c r="BH362" s="85">
        <f t="shared" si="284"/>
        <v>0</v>
      </c>
      <c r="BI362" s="85">
        <f t="shared" si="285"/>
        <v>0</v>
      </c>
      <c r="BJ362" s="85">
        <f t="shared" si="286"/>
        <v>0</v>
      </c>
      <c r="BK362" s="85">
        <f t="shared" si="287"/>
        <v>0</v>
      </c>
      <c r="BL362" s="85">
        <f t="shared" si="288"/>
        <v>0</v>
      </c>
      <c r="BM362" s="85">
        <f t="shared" si="289"/>
        <v>0</v>
      </c>
      <c r="BN362" s="85">
        <f t="shared" si="290"/>
        <v>0</v>
      </c>
      <c r="BO362" s="85">
        <f t="shared" si="291"/>
        <v>0</v>
      </c>
      <c r="BP362" s="85">
        <f t="shared" si="292"/>
        <v>0</v>
      </c>
      <c r="BQ362" s="85">
        <f t="shared" si="293"/>
        <v>0</v>
      </c>
      <c r="BR362" s="85">
        <f t="shared" si="294"/>
        <v>0</v>
      </c>
      <c r="BT362" s="63"/>
      <c r="BU362" s="63"/>
      <c r="BV362" s="63"/>
      <c r="BW362" s="63"/>
      <c r="BX362" s="63"/>
      <c r="BY362" s="63"/>
      <c r="BZ362" s="63"/>
      <c r="CA362" s="63"/>
      <c r="CB362" s="63"/>
      <c r="CC362" s="63"/>
      <c r="CD362" s="63"/>
      <c r="CE362" s="63"/>
      <c r="CF362" s="63"/>
      <c r="CG362" s="63"/>
      <c r="CH362" s="63"/>
      <c r="CI362" s="63"/>
      <c r="CJ362" s="63"/>
      <c r="CK362" s="63"/>
      <c r="CL362" s="63"/>
      <c r="CM362" s="63"/>
      <c r="CN362" s="63"/>
      <c r="CO362" s="63"/>
      <c r="CP362" s="63"/>
      <c r="CQ362" s="63"/>
      <c r="CR362" s="63"/>
      <c r="CS362" s="63"/>
      <c r="CX362" s="35" t="s">
        <v>12</v>
      </c>
      <c r="CZ362" s="35"/>
      <c r="DC362" s="57" t="str">
        <f t="shared" si="295"/>
        <v/>
      </c>
      <c r="DD362" s="64" t="str">
        <f t="shared" si="296"/>
        <v/>
      </c>
      <c r="DE362" s="65" t="str">
        <f t="shared" si="297"/>
        <v/>
      </c>
      <c r="DF362" s="66" t="str">
        <f t="shared" si="298"/>
        <v>SPE [2]</v>
      </c>
    </row>
    <row r="363" spans="2:110" hidden="1" outlineLevel="1">
      <c r="B363" s="54">
        <f t="shared" si="299"/>
        <v>45593</v>
      </c>
      <c r="C363" s="55" t="s">
        <v>1</v>
      </c>
      <c r="D363" s="56">
        <f t="shared" si="300"/>
        <v>45599</v>
      </c>
      <c r="E363" s="52">
        <f t="shared" si="301"/>
        <v>10</v>
      </c>
      <c r="F363" s="53">
        <f t="shared" si="302"/>
        <v>2024</v>
      </c>
      <c r="G363" s="62">
        <f t="shared" si="303"/>
        <v>15</v>
      </c>
      <c r="H363" s="63">
        <f t="shared" si="304"/>
        <v>96</v>
      </c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>
        <v>15</v>
      </c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80"/>
      <c r="AG363" s="87">
        <f t="shared" si="258"/>
        <v>0</v>
      </c>
      <c r="AH363" s="87">
        <f t="shared" si="259"/>
        <v>0</v>
      </c>
      <c r="AI363" s="87">
        <f t="shared" si="260"/>
        <v>0</v>
      </c>
      <c r="AJ363" s="87">
        <f t="shared" si="261"/>
        <v>0</v>
      </c>
      <c r="AK363" s="87">
        <f t="shared" si="262"/>
        <v>9</v>
      </c>
      <c r="AL363" s="87">
        <f t="shared" si="263"/>
        <v>0</v>
      </c>
      <c r="AM363" s="87">
        <f t="shared" si="264"/>
        <v>0</v>
      </c>
      <c r="AN363" s="87">
        <f t="shared" si="265"/>
        <v>0</v>
      </c>
      <c r="AO363" s="87">
        <f t="shared" si="266"/>
        <v>0</v>
      </c>
      <c r="AP363" s="87">
        <f t="shared" si="267"/>
        <v>0</v>
      </c>
      <c r="AQ363" s="87">
        <f t="shared" si="268"/>
        <v>15</v>
      </c>
      <c r="AR363" s="81"/>
      <c r="AS363" s="85">
        <f t="shared" si="269"/>
        <v>0</v>
      </c>
      <c r="AT363" s="85">
        <f t="shared" si="270"/>
        <v>0</v>
      </c>
      <c r="AU363" s="85">
        <f t="shared" si="271"/>
        <v>0</v>
      </c>
      <c r="AV363" s="85">
        <f t="shared" si="272"/>
        <v>28</v>
      </c>
      <c r="AW363" s="85">
        <f t="shared" si="273"/>
        <v>0</v>
      </c>
      <c r="AX363" s="85">
        <f t="shared" si="274"/>
        <v>0</v>
      </c>
      <c r="AY363" s="85">
        <f t="shared" si="275"/>
        <v>0</v>
      </c>
      <c r="AZ363" s="85">
        <f t="shared" si="276"/>
        <v>0</v>
      </c>
      <c r="BA363" s="85">
        <f t="shared" si="277"/>
        <v>0</v>
      </c>
      <c r="BB363" s="85">
        <f t="shared" si="278"/>
        <v>0</v>
      </c>
      <c r="BC363" s="85">
        <f t="shared" si="279"/>
        <v>0</v>
      </c>
      <c r="BD363" s="85">
        <f t="shared" si="280"/>
        <v>0</v>
      </c>
      <c r="BE363" s="85">
        <f t="shared" si="281"/>
        <v>0</v>
      </c>
      <c r="BF363" s="85">
        <f t="shared" si="282"/>
        <v>0</v>
      </c>
      <c r="BG363" s="85">
        <f t="shared" si="283"/>
        <v>0</v>
      </c>
      <c r="BH363" s="85">
        <f t="shared" si="284"/>
        <v>0</v>
      </c>
      <c r="BI363" s="85">
        <f t="shared" si="285"/>
        <v>0</v>
      </c>
      <c r="BJ363" s="85">
        <f t="shared" si="286"/>
        <v>0</v>
      </c>
      <c r="BK363" s="85">
        <f t="shared" si="287"/>
        <v>0</v>
      </c>
      <c r="BL363" s="85">
        <f t="shared" si="288"/>
        <v>0</v>
      </c>
      <c r="BM363" s="85">
        <f t="shared" si="289"/>
        <v>0</v>
      </c>
      <c r="BN363" s="85">
        <f t="shared" si="290"/>
        <v>0</v>
      </c>
      <c r="BO363" s="85">
        <f t="shared" si="291"/>
        <v>0</v>
      </c>
      <c r="BP363" s="85">
        <f t="shared" si="292"/>
        <v>0</v>
      </c>
      <c r="BQ363" s="85">
        <f t="shared" si="293"/>
        <v>0</v>
      </c>
      <c r="BR363" s="85">
        <f t="shared" si="294"/>
        <v>0</v>
      </c>
      <c r="BT363" s="63"/>
      <c r="BU363" s="63"/>
      <c r="BV363" s="63"/>
      <c r="BW363" s="63"/>
      <c r="BX363" s="63"/>
      <c r="BY363" s="63"/>
      <c r="BZ363" s="63"/>
      <c r="CA363" s="63"/>
      <c r="CB363" s="63"/>
      <c r="CC363" s="63"/>
      <c r="CD363" s="63"/>
      <c r="CE363" s="63"/>
      <c r="CF363" s="63"/>
      <c r="CG363" s="63"/>
      <c r="CH363" s="63"/>
      <c r="CI363" s="63"/>
      <c r="CJ363" s="63"/>
      <c r="CK363" s="63"/>
      <c r="CL363" s="63"/>
      <c r="CM363" s="63"/>
      <c r="CN363" s="63"/>
      <c r="CO363" s="63"/>
      <c r="CP363" s="63"/>
      <c r="CQ363" s="63"/>
      <c r="CR363" s="63"/>
      <c r="CS363" s="63"/>
      <c r="CX363" s="35" t="s">
        <v>12</v>
      </c>
      <c r="CZ363" s="35"/>
      <c r="DC363" s="57" t="str">
        <f t="shared" si="295"/>
        <v/>
      </c>
      <c r="DD363" s="64" t="str">
        <f t="shared" si="296"/>
        <v/>
      </c>
      <c r="DE363" s="65" t="str">
        <f t="shared" si="297"/>
        <v/>
      </c>
      <c r="DF363" s="66" t="str">
        <f t="shared" si="298"/>
        <v/>
      </c>
    </row>
    <row r="364" spans="2:110" hidden="1" outlineLevel="1">
      <c r="B364" s="54">
        <f t="shared" si="299"/>
        <v>45600</v>
      </c>
      <c r="C364" s="55" t="s">
        <v>1</v>
      </c>
      <c r="D364" s="56">
        <f t="shared" si="300"/>
        <v>45606</v>
      </c>
      <c r="E364" s="52">
        <f t="shared" si="301"/>
        <v>11</v>
      </c>
      <c r="F364" s="53">
        <f t="shared" si="302"/>
        <v>2024</v>
      </c>
      <c r="G364" s="62">
        <f t="shared" si="303"/>
        <v>15</v>
      </c>
      <c r="H364" s="63">
        <f t="shared" si="304"/>
        <v>96</v>
      </c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>
        <v>15</v>
      </c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80"/>
      <c r="AG364" s="87">
        <f t="shared" si="258"/>
        <v>0</v>
      </c>
      <c r="AH364" s="87">
        <f t="shared" si="259"/>
        <v>0</v>
      </c>
      <c r="AI364" s="87">
        <f t="shared" si="260"/>
        <v>0</v>
      </c>
      <c r="AJ364" s="87">
        <f t="shared" si="261"/>
        <v>0</v>
      </c>
      <c r="AK364" s="87">
        <f t="shared" si="262"/>
        <v>10</v>
      </c>
      <c r="AL364" s="87">
        <f t="shared" si="263"/>
        <v>0</v>
      </c>
      <c r="AM364" s="87">
        <f t="shared" si="264"/>
        <v>0</v>
      </c>
      <c r="AN364" s="87">
        <f t="shared" si="265"/>
        <v>0</v>
      </c>
      <c r="AO364" s="87">
        <f t="shared" si="266"/>
        <v>0</v>
      </c>
      <c r="AP364" s="87">
        <f t="shared" si="267"/>
        <v>0</v>
      </c>
      <c r="AQ364" s="87">
        <f t="shared" si="268"/>
        <v>15</v>
      </c>
      <c r="AR364" s="81"/>
      <c r="AS364" s="85">
        <f t="shared" si="269"/>
        <v>0</v>
      </c>
      <c r="AT364" s="85">
        <f t="shared" si="270"/>
        <v>0</v>
      </c>
      <c r="AU364" s="85">
        <f t="shared" si="271"/>
        <v>0</v>
      </c>
      <c r="AV364" s="85">
        <f t="shared" si="272"/>
        <v>29</v>
      </c>
      <c r="AW364" s="85">
        <f t="shared" si="273"/>
        <v>0</v>
      </c>
      <c r="AX364" s="85">
        <f t="shared" si="274"/>
        <v>0</v>
      </c>
      <c r="AY364" s="85">
        <f t="shared" si="275"/>
        <v>0</v>
      </c>
      <c r="AZ364" s="85">
        <f t="shared" si="276"/>
        <v>0</v>
      </c>
      <c r="BA364" s="85">
        <f t="shared" si="277"/>
        <v>0</v>
      </c>
      <c r="BB364" s="85">
        <f t="shared" si="278"/>
        <v>0</v>
      </c>
      <c r="BC364" s="85">
        <f t="shared" si="279"/>
        <v>0</v>
      </c>
      <c r="BD364" s="85">
        <f t="shared" si="280"/>
        <v>0</v>
      </c>
      <c r="BE364" s="85">
        <f t="shared" si="281"/>
        <v>0</v>
      </c>
      <c r="BF364" s="85">
        <f t="shared" si="282"/>
        <v>0</v>
      </c>
      <c r="BG364" s="85">
        <f t="shared" si="283"/>
        <v>0</v>
      </c>
      <c r="BH364" s="85">
        <f t="shared" si="284"/>
        <v>0</v>
      </c>
      <c r="BI364" s="85">
        <f t="shared" si="285"/>
        <v>0</v>
      </c>
      <c r="BJ364" s="85">
        <f t="shared" si="286"/>
        <v>0</v>
      </c>
      <c r="BK364" s="85">
        <f t="shared" si="287"/>
        <v>0</v>
      </c>
      <c r="BL364" s="85">
        <f t="shared" si="288"/>
        <v>0</v>
      </c>
      <c r="BM364" s="85">
        <f t="shared" si="289"/>
        <v>0</v>
      </c>
      <c r="BN364" s="85">
        <f t="shared" si="290"/>
        <v>0</v>
      </c>
      <c r="BO364" s="85">
        <f t="shared" si="291"/>
        <v>0</v>
      </c>
      <c r="BP364" s="85">
        <f t="shared" si="292"/>
        <v>0</v>
      </c>
      <c r="BQ364" s="85">
        <f t="shared" si="293"/>
        <v>0</v>
      </c>
      <c r="BR364" s="85">
        <f t="shared" si="294"/>
        <v>0</v>
      </c>
      <c r="BT364" s="63"/>
      <c r="BU364" s="63"/>
      <c r="BV364" s="63"/>
      <c r="BW364" s="63"/>
      <c r="BX364" s="63"/>
      <c r="BY364" s="63"/>
      <c r="BZ364" s="63"/>
      <c r="CA364" s="63"/>
      <c r="CB364" s="63"/>
      <c r="CC364" s="63"/>
      <c r="CD364" s="63"/>
      <c r="CE364" s="63"/>
      <c r="CF364" s="63"/>
      <c r="CG364" s="63"/>
      <c r="CH364" s="63"/>
      <c r="CI364" s="63"/>
      <c r="CJ364" s="63"/>
      <c r="CK364" s="63"/>
      <c r="CL364" s="63"/>
      <c r="CM364" s="63"/>
      <c r="CN364" s="63"/>
      <c r="CO364" s="63"/>
      <c r="CP364" s="63"/>
      <c r="CQ364" s="63"/>
      <c r="CR364" s="63"/>
      <c r="CS364" s="63"/>
      <c r="CX364" s="35" t="s">
        <v>12</v>
      </c>
      <c r="CZ364" s="35"/>
      <c r="DC364" s="57" t="str">
        <f t="shared" si="295"/>
        <v/>
      </c>
      <c r="DD364" s="64" t="str">
        <f t="shared" si="296"/>
        <v/>
      </c>
      <c r="DE364" s="65" t="str">
        <f t="shared" si="297"/>
        <v/>
      </c>
      <c r="DF364" s="66" t="str">
        <f t="shared" si="298"/>
        <v/>
      </c>
    </row>
    <row r="365" spans="2:110" hidden="1" outlineLevel="1">
      <c r="B365" s="54">
        <f t="shared" si="299"/>
        <v>45607</v>
      </c>
      <c r="C365" s="55" t="s">
        <v>1</v>
      </c>
      <c r="D365" s="56">
        <f t="shared" si="300"/>
        <v>45613</v>
      </c>
      <c r="E365" s="52">
        <f t="shared" si="301"/>
        <v>11</v>
      </c>
      <c r="F365" s="53">
        <f t="shared" si="302"/>
        <v>2024</v>
      </c>
      <c r="G365" s="62">
        <f t="shared" si="303"/>
        <v>15</v>
      </c>
      <c r="H365" s="63">
        <f t="shared" si="304"/>
        <v>96</v>
      </c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>
        <v>15</v>
      </c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80"/>
      <c r="AG365" s="87">
        <f t="shared" si="258"/>
        <v>0</v>
      </c>
      <c r="AH365" s="87">
        <f t="shared" si="259"/>
        <v>0</v>
      </c>
      <c r="AI365" s="87">
        <f t="shared" si="260"/>
        <v>0</v>
      </c>
      <c r="AJ365" s="87">
        <f t="shared" si="261"/>
        <v>0</v>
      </c>
      <c r="AK365" s="87">
        <f t="shared" si="262"/>
        <v>11</v>
      </c>
      <c r="AL365" s="87">
        <f t="shared" si="263"/>
        <v>0</v>
      </c>
      <c r="AM365" s="87">
        <f t="shared" si="264"/>
        <v>0</v>
      </c>
      <c r="AN365" s="87">
        <f t="shared" si="265"/>
        <v>0</v>
      </c>
      <c r="AO365" s="87">
        <f t="shared" si="266"/>
        <v>0</v>
      </c>
      <c r="AP365" s="87">
        <f t="shared" si="267"/>
        <v>0</v>
      </c>
      <c r="AQ365" s="87">
        <f t="shared" si="268"/>
        <v>15</v>
      </c>
      <c r="AR365" s="81"/>
      <c r="AS365" s="85">
        <f t="shared" si="269"/>
        <v>0</v>
      </c>
      <c r="AT365" s="85">
        <f t="shared" si="270"/>
        <v>0</v>
      </c>
      <c r="AU365" s="85">
        <f t="shared" si="271"/>
        <v>0</v>
      </c>
      <c r="AV365" s="85">
        <f t="shared" si="272"/>
        <v>30</v>
      </c>
      <c r="AW365" s="85">
        <f t="shared" si="273"/>
        <v>0</v>
      </c>
      <c r="AX365" s="85">
        <f t="shared" si="274"/>
        <v>0</v>
      </c>
      <c r="AY365" s="85">
        <f t="shared" si="275"/>
        <v>0</v>
      </c>
      <c r="AZ365" s="85">
        <f t="shared" si="276"/>
        <v>0</v>
      </c>
      <c r="BA365" s="85">
        <f t="shared" si="277"/>
        <v>0</v>
      </c>
      <c r="BB365" s="85">
        <f t="shared" si="278"/>
        <v>0</v>
      </c>
      <c r="BC365" s="85">
        <f t="shared" si="279"/>
        <v>0</v>
      </c>
      <c r="BD365" s="85">
        <f t="shared" si="280"/>
        <v>0</v>
      </c>
      <c r="BE365" s="85">
        <f t="shared" si="281"/>
        <v>0</v>
      </c>
      <c r="BF365" s="85">
        <f t="shared" si="282"/>
        <v>0</v>
      </c>
      <c r="BG365" s="85">
        <f t="shared" si="283"/>
        <v>0</v>
      </c>
      <c r="BH365" s="85">
        <f t="shared" si="284"/>
        <v>0</v>
      </c>
      <c r="BI365" s="85">
        <f t="shared" si="285"/>
        <v>0</v>
      </c>
      <c r="BJ365" s="85">
        <f t="shared" si="286"/>
        <v>0</v>
      </c>
      <c r="BK365" s="85">
        <f t="shared" si="287"/>
        <v>0</v>
      </c>
      <c r="BL365" s="85">
        <f t="shared" si="288"/>
        <v>0</v>
      </c>
      <c r="BM365" s="85">
        <f t="shared" si="289"/>
        <v>0</v>
      </c>
      <c r="BN365" s="85">
        <f t="shared" si="290"/>
        <v>0</v>
      </c>
      <c r="BO365" s="85">
        <f t="shared" si="291"/>
        <v>0</v>
      </c>
      <c r="BP365" s="85">
        <f t="shared" si="292"/>
        <v>0</v>
      </c>
      <c r="BQ365" s="85">
        <f t="shared" si="293"/>
        <v>0</v>
      </c>
      <c r="BR365" s="85">
        <f t="shared" si="294"/>
        <v>0</v>
      </c>
      <c r="BT365" s="63"/>
      <c r="BU365" s="63"/>
      <c r="BV365" s="63"/>
      <c r="BW365" s="63"/>
      <c r="BX365" s="63"/>
      <c r="BY365" s="63"/>
      <c r="BZ365" s="63"/>
      <c r="CA365" s="63"/>
      <c r="CB365" s="63"/>
      <c r="CC365" s="63"/>
      <c r="CD365" s="63"/>
      <c r="CE365" s="63"/>
      <c r="CF365" s="63"/>
      <c r="CG365" s="63"/>
      <c r="CH365" s="63"/>
      <c r="CI365" s="63"/>
      <c r="CJ365" s="63"/>
      <c r="CK365" s="63"/>
      <c r="CL365" s="63"/>
      <c r="CM365" s="63"/>
      <c r="CN365" s="63"/>
      <c r="CO365" s="63"/>
      <c r="CP365" s="63"/>
      <c r="CQ365" s="63"/>
      <c r="CR365" s="63"/>
      <c r="CS365" s="63"/>
      <c r="CX365" s="35" t="s">
        <v>12</v>
      </c>
      <c r="CZ365" s="35"/>
      <c r="DC365" s="57" t="str">
        <f t="shared" si="295"/>
        <v/>
      </c>
      <c r="DD365" s="64" t="str">
        <f t="shared" si="296"/>
        <v/>
      </c>
      <c r="DE365" s="65" t="str">
        <f t="shared" si="297"/>
        <v/>
      </c>
      <c r="DF365" s="66" t="str">
        <f t="shared" si="298"/>
        <v/>
      </c>
    </row>
    <row r="366" spans="2:110" hidden="1" outlineLevel="1">
      <c r="B366" s="54">
        <f t="shared" si="299"/>
        <v>45614</v>
      </c>
      <c r="C366" s="55" t="s">
        <v>1</v>
      </c>
      <c r="D366" s="56">
        <f t="shared" si="300"/>
        <v>45620</v>
      </c>
      <c r="E366" s="52">
        <f t="shared" si="301"/>
        <v>11</v>
      </c>
      <c r="F366" s="53">
        <f t="shared" si="302"/>
        <v>2024</v>
      </c>
      <c r="G366" s="62">
        <f t="shared" si="303"/>
        <v>15</v>
      </c>
      <c r="H366" s="63">
        <f t="shared" si="304"/>
        <v>96</v>
      </c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>
        <v>15</v>
      </c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80"/>
      <c r="AG366" s="87">
        <f t="shared" si="258"/>
        <v>0</v>
      </c>
      <c r="AH366" s="87">
        <f t="shared" si="259"/>
        <v>0</v>
      </c>
      <c r="AI366" s="87">
        <f t="shared" si="260"/>
        <v>0</v>
      </c>
      <c r="AJ366" s="87">
        <f t="shared" si="261"/>
        <v>0</v>
      </c>
      <c r="AK366" s="87">
        <f t="shared" si="262"/>
        <v>12</v>
      </c>
      <c r="AL366" s="87">
        <f t="shared" si="263"/>
        <v>0</v>
      </c>
      <c r="AM366" s="87">
        <f t="shared" si="264"/>
        <v>0</v>
      </c>
      <c r="AN366" s="87">
        <f t="shared" si="265"/>
        <v>0</v>
      </c>
      <c r="AO366" s="87">
        <f t="shared" si="266"/>
        <v>0</v>
      </c>
      <c r="AP366" s="87">
        <f t="shared" si="267"/>
        <v>0</v>
      </c>
      <c r="AQ366" s="87">
        <f t="shared" si="268"/>
        <v>15</v>
      </c>
      <c r="AR366" s="81"/>
      <c r="AS366" s="85">
        <f t="shared" si="269"/>
        <v>0</v>
      </c>
      <c r="AT366" s="85">
        <f t="shared" si="270"/>
        <v>0</v>
      </c>
      <c r="AU366" s="85">
        <f t="shared" si="271"/>
        <v>0</v>
      </c>
      <c r="AV366" s="85">
        <f t="shared" si="272"/>
        <v>31</v>
      </c>
      <c r="AW366" s="85">
        <f t="shared" si="273"/>
        <v>0</v>
      </c>
      <c r="AX366" s="85">
        <f t="shared" si="274"/>
        <v>0</v>
      </c>
      <c r="AY366" s="85">
        <f t="shared" si="275"/>
        <v>0</v>
      </c>
      <c r="AZ366" s="85">
        <f t="shared" si="276"/>
        <v>0</v>
      </c>
      <c r="BA366" s="85">
        <f t="shared" si="277"/>
        <v>0</v>
      </c>
      <c r="BB366" s="85">
        <f t="shared" si="278"/>
        <v>0</v>
      </c>
      <c r="BC366" s="85">
        <f t="shared" si="279"/>
        <v>0</v>
      </c>
      <c r="BD366" s="85">
        <f t="shared" si="280"/>
        <v>0</v>
      </c>
      <c r="BE366" s="85">
        <f t="shared" si="281"/>
        <v>0</v>
      </c>
      <c r="BF366" s="85">
        <f t="shared" si="282"/>
        <v>0</v>
      </c>
      <c r="BG366" s="85">
        <f t="shared" si="283"/>
        <v>0</v>
      </c>
      <c r="BH366" s="85">
        <f t="shared" si="284"/>
        <v>0</v>
      </c>
      <c r="BI366" s="85">
        <f t="shared" si="285"/>
        <v>0</v>
      </c>
      <c r="BJ366" s="85">
        <f t="shared" si="286"/>
        <v>0</v>
      </c>
      <c r="BK366" s="85">
        <f t="shared" si="287"/>
        <v>0</v>
      </c>
      <c r="BL366" s="85">
        <f t="shared" si="288"/>
        <v>0</v>
      </c>
      <c r="BM366" s="85">
        <f t="shared" si="289"/>
        <v>0</v>
      </c>
      <c r="BN366" s="85">
        <f t="shared" si="290"/>
        <v>0</v>
      </c>
      <c r="BO366" s="85">
        <f t="shared" si="291"/>
        <v>0</v>
      </c>
      <c r="BP366" s="85">
        <f t="shared" si="292"/>
        <v>0</v>
      </c>
      <c r="BQ366" s="85">
        <f t="shared" si="293"/>
        <v>0</v>
      </c>
      <c r="BR366" s="85">
        <f t="shared" si="294"/>
        <v>0</v>
      </c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  <c r="CD366" s="63"/>
      <c r="CE366" s="63"/>
      <c r="CF366" s="63"/>
      <c r="CG366" s="63"/>
      <c r="CH366" s="63"/>
      <c r="CI366" s="63"/>
      <c r="CJ366" s="63"/>
      <c r="CK366" s="63"/>
      <c r="CL366" s="63"/>
      <c r="CM366" s="63"/>
      <c r="CN366" s="63"/>
      <c r="CO366" s="63"/>
      <c r="CP366" s="63"/>
      <c r="CQ366" s="63"/>
      <c r="CR366" s="63"/>
      <c r="CS366" s="63"/>
      <c r="CX366" s="35" t="s">
        <v>12</v>
      </c>
      <c r="CZ366" s="35"/>
      <c r="DC366" s="57" t="str">
        <f t="shared" si="295"/>
        <v/>
      </c>
      <c r="DD366" s="64" t="str">
        <f t="shared" si="296"/>
        <v/>
      </c>
      <c r="DE366" s="65" t="str">
        <f t="shared" si="297"/>
        <v/>
      </c>
      <c r="DF366" s="66" t="str">
        <f t="shared" si="298"/>
        <v/>
      </c>
    </row>
    <row r="367" spans="2:110" hidden="1" outlineLevel="1">
      <c r="B367" s="54">
        <f t="shared" si="299"/>
        <v>45621</v>
      </c>
      <c r="C367" s="55" t="s">
        <v>1</v>
      </c>
      <c r="D367" s="56">
        <f t="shared" si="300"/>
        <v>45627</v>
      </c>
      <c r="E367" s="52">
        <f t="shared" si="301"/>
        <v>11</v>
      </c>
      <c r="F367" s="53">
        <f t="shared" si="302"/>
        <v>2024</v>
      </c>
      <c r="G367" s="62">
        <f t="shared" si="303"/>
        <v>15</v>
      </c>
      <c r="H367" s="63">
        <f t="shared" si="304"/>
        <v>96</v>
      </c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>
        <v>15</v>
      </c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80"/>
      <c r="AG367" s="87">
        <f t="shared" si="258"/>
        <v>0</v>
      </c>
      <c r="AH367" s="87">
        <f t="shared" si="259"/>
        <v>0</v>
      </c>
      <c r="AI367" s="87">
        <f t="shared" si="260"/>
        <v>0</v>
      </c>
      <c r="AJ367" s="87">
        <f t="shared" si="261"/>
        <v>0</v>
      </c>
      <c r="AK367" s="87">
        <f t="shared" si="262"/>
        <v>13</v>
      </c>
      <c r="AL367" s="87">
        <f t="shared" si="263"/>
        <v>0</v>
      </c>
      <c r="AM367" s="87">
        <f t="shared" si="264"/>
        <v>0</v>
      </c>
      <c r="AN367" s="87">
        <f t="shared" si="265"/>
        <v>0</v>
      </c>
      <c r="AO367" s="87">
        <f t="shared" si="266"/>
        <v>0</v>
      </c>
      <c r="AP367" s="87">
        <f t="shared" si="267"/>
        <v>0</v>
      </c>
      <c r="AQ367" s="87">
        <f t="shared" si="268"/>
        <v>15</v>
      </c>
      <c r="AR367" s="81"/>
      <c r="AS367" s="85">
        <f t="shared" si="269"/>
        <v>0</v>
      </c>
      <c r="AT367" s="85">
        <f t="shared" si="270"/>
        <v>0</v>
      </c>
      <c r="AU367" s="85">
        <f t="shared" si="271"/>
        <v>0</v>
      </c>
      <c r="AV367" s="85">
        <f t="shared" si="272"/>
        <v>32</v>
      </c>
      <c r="AW367" s="85">
        <f t="shared" si="273"/>
        <v>0</v>
      </c>
      <c r="AX367" s="85">
        <f t="shared" si="274"/>
        <v>0</v>
      </c>
      <c r="AY367" s="85">
        <f t="shared" si="275"/>
        <v>0</v>
      </c>
      <c r="AZ367" s="85">
        <f t="shared" si="276"/>
        <v>15</v>
      </c>
      <c r="BA367" s="85">
        <f t="shared" si="277"/>
        <v>15</v>
      </c>
      <c r="BB367" s="85">
        <f t="shared" si="278"/>
        <v>0</v>
      </c>
      <c r="BC367" s="85">
        <f t="shared" si="279"/>
        <v>0</v>
      </c>
      <c r="BD367" s="85">
        <f t="shared" si="280"/>
        <v>0</v>
      </c>
      <c r="BE367" s="85">
        <f t="shared" si="281"/>
        <v>0</v>
      </c>
      <c r="BF367" s="85">
        <f t="shared" si="282"/>
        <v>0</v>
      </c>
      <c r="BG367" s="85">
        <f t="shared" si="283"/>
        <v>0</v>
      </c>
      <c r="BH367" s="85">
        <f t="shared" si="284"/>
        <v>0</v>
      </c>
      <c r="BI367" s="85">
        <f t="shared" si="285"/>
        <v>0</v>
      </c>
      <c r="BJ367" s="85">
        <f t="shared" si="286"/>
        <v>0</v>
      </c>
      <c r="BK367" s="85">
        <f t="shared" si="287"/>
        <v>0</v>
      </c>
      <c r="BL367" s="85">
        <f t="shared" si="288"/>
        <v>0</v>
      </c>
      <c r="BM367" s="85">
        <f t="shared" si="289"/>
        <v>0</v>
      </c>
      <c r="BN367" s="85">
        <f t="shared" si="290"/>
        <v>0</v>
      </c>
      <c r="BO367" s="85">
        <f t="shared" si="291"/>
        <v>0</v>
      </c>
      <c r="BP367" s="85">
        <f t="shared" si="292"/>
        <v>0</v>
      </c>
      <c r="BQ367" s="85">
        <f t="shared" si="293"/>
        <v>0</v>
      </c>
      <c r="BR367" s="85">
        <f t="shared" si="294"/>
        <v>0</v>
      </c>
      <c r="BT367" s="63"/>
      <c r="BU367" s="63"/>
      <c r="BV367" s="63"/>
      <c r="BW367" s="63"/>
      <c r="BX367" s="63"/>
      <c r="BY367" s="63"/>
      <c r="BZ367" s="63"/>
      <c r="CA367" s="63">
        <v>11</v>
      </c>
      <c r="CB367" s="63">
        <v>11</v>
      </c>
      <c r="CC367" s="63"/>
      <c r="CD367" s="63"/>
      <c r="CE367" s="63"/>
      <c r="CF367" s="63"/>
      <c r="CG367" s="63"/>
      <c r="CH367" s="63"/>
      <c r="CI367" s="63"/>
      <c r="CJ367" s="63"/>
      <c r="CK367" s="63"/>
      <c r="CL367" s="63"/>
      <c r="CM367" s="63"/>
      <c r="CN367" s="63"/>
      <c r="CO367" s="63"/>
      <c r="CP367" s="63"/>
      <c r="CQ367" s="63"/>
      <c r="CR367" s="63"/>
      <c r="CS367" s="63"/>
      <c r="CX367" s="35" t="s">
        <v>12</v>
      </c>
      <c r="CZ367" s="35"/>
      <c r="DC367" s="57" t="str">
        <f t="shared" si="295"/>
        <v/>
      </c>
      <c r="DD367" s="64" t="str">
        <f t="shared" si="296"/>
        <v/>
      </c>
      <c r="DE367" s="65" t="str">
        <f t="shared" si="297"/>
        <v/>
      </c>
      <c r="DF367" s="66" t="str">
        <f t="shared" si="298"/>
        <v/>
      </c>
    </row>
    <row r="368" spans="2:110" hidden="1" outlineLevel="1">
      <c r="B368" s="54">
        <f t="shared" si="299"/>
        <v>45628</v>
      </c>
      <c r="C368" s="55" t="s">
        <v>1</v>
      </c>
      <c r="D368" s="56">
        <f t="shared" si="300"/>
        <v>45634</v>
      </c>
      <c r="E368" s="52">
        <f t="shared" si="301"/>
        <v>12</v>
      </c>
      <c r="F368" s="53">
        <f t="shared" si="302"/>
        <v>2024</v>
      </c>
      <c r="G368" s="62">
        <f t="shared" si="303"/>
        <v>15</v>
      </c>
      <c r="H368" s="63">
        <f t="shared" si="304"/>
        <v>96</v>
      </c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>
        <v>15</v>
      </c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80"/>
      <c r="AG368" s="87">
        <f t="shared" si="258"/>
        <v>0</v>
      </c>
      <c r="AH368" s="87">
        <f t="shared" si="259"/>
        <v>0</v>
      </c>
      <c r="AI368" s="87">
        <f t="shared" si="260"/>
        <v>0</v>
      </c>
      <c r="AJ368" s="87">
        <f t="shared" si="261"/>
        <v>0</v>
      </c>
      <c r="AK368" s="87">
        <f t="shared" si="262"/>
        <v>14</v>
      </c>
      <c r="AL368" s="87">
        <f t="shared" si="263"/>
        <v>0</v>
      </c>
      <c r="AM368" s="87">
        <f t="shared" si="264"/>
        <v>0</v>
      </c>
      <c r="AN368" s="87">
        <f t="shared" si="265"/>
        <v>0</v>
      </c>
      <c r="AO368" s="87">
        <f t="shared" si="266"/>
        <v>0</v>
      </c>
      <c r="AP368" s="87">
        <f t="shared" si="267"/>
        <v>0</v>
      </c>
      <c r="AQ368" s="87">
        <f t="shared" si="268"/>
        <v>15</v>
      </c>
      <c r="AR368" s="81"/>
      <c r="AS368" s="85">
        <f t="shared" si="269"/>
        <v>0</v>
      </c>
      <c r="AT368" s="85">
        <f t="shared" si="270"/>
        <v>0</v>
      </c>
      <c r="AU368" s="85">
        <f t="shared" si="271"/>
        <v>0</v>
      </c>
      <c r="AV368" s="85">
        <f t="shared" si="272"/>
        <v>33</v>
      </c>
      <c r="AW368" s="85">
        <f t="shared" si="273"/>
        <v>0</v>
      </c>
      <c r="AX368" s="85">
        <f t="shared" si="274"/>
        <v>0</v>
      </c>
      <c r="AY368" s="85">
        <f t="shared" si="275"/>
        <v>0</v>
      </c>
      <c r="AZ368" s="85">
        <f t="shared" si="276"/>
        <v>16</v>
      </c>
      <c r="BA368" s="85">
        <f t="shared" si="277"/>
        <v>16</v>
      </c>
      <c r="BB368" s="85">
        <f t="shared" si="278"/>
        <v>0</v>
      </c>
      <c r="BC368" s="85">
        <f t="shared" si="279"/>
        <v>0</v>
      </c>
      <c r="BD368" s="85">
        <f t="shared" si="280"/>
        <v>0</v>
      </c>
      <c r="BE368" s="85">
        <f t="shared" si="281"/>
        <v>0</v>
      </c>
      <c r="BF368" s="85">
        <f t="shared" si="282"/>
        <v>0</v>
      </c>
      <c r="BG368" s="85">
        <f t="shared" si="283"/>
        <v>0</v>
      </c>
      <c r="BH368" s="85">
        <f t="shared" si="284"/>
        <v>0</v>
      </c>
      <c r="BI368" s="85">
        <f t="shared" si="285"/>
        <v>0</v>
      </c>
      <c r="BJ368" s="85">
        <f t="shared" si="286"/>
        <v>0</v>
      </c>
      <c r="BK368" s="85">
        <f t="shared" si="287"/>
        <v>0</v>
      </c>
      <c r="BL368" s="85">
        <f t="shared" si="288"/>
        <v>0</v>
      </c>
      <c r="BM368" s="85">
        <f t="shared" si="289"/>
        <v>15</v>
      </c>
      <c r="BN368" s="85">
        <f t="shared" si="290"/>
        <v>0</v>
      </c>
      <c r="BO368" s="85">
        <f t="shared" si="291"/>
        <v>0</v>
      </c>
      <c r="BP368" s="85">
        <f t="shared" si="292"/>
        <v>0</v>
      </c>
      <c r="BQ368" s="85">
        <f t="shared" si="293"/>
        <v>0</v>
      </c>
      <c r="BR368" s="85">
        <f t="shared" si="294"/>
        <v>0</v>
      </c>
      <c r="BT368" s="63"/>
      <c r="BU368" s="63"/>
      <c r="BV368" s="63"/>
      <c r="BW368" s="63"/>
      <c r="BX368" s="63"/>
      <c r="BY368" s="63"/>
      <c r="BZ368" s="63"/>
      <c r="CA368" s="63"/>
      <c r="CB368" s="63"/>
      <c r="CC368" s="63"/>
      <c r="CD368" s="63"/>
      <c r="CE368" s="63"/>
      <c r="CF368" s="63"/>
      <c r="CG368" s="63"/>
      <c r="CH368" s="63"/>
      <c r="CI368" s="63"/>
      <c r="CJ368" s="63"/>
      <c r="CK368" s="63"/>
      <c r="CL368" s="63"/>
      <c r="CM368" s="63"/>
      <c r="CN368" s="63">
        <v>11</v>
      </c>
      <c r="CO368" s="63"/>
      <c r="CP368" s="63"/>
      <c r="CQ368" s="63"/>
      <c r="CR368" s="63"/>
      <c r="CS368" s="63"/>
      <c r="CX368" s="35" t="s">
        <v>12</v>
      </c>
      <c r="CZ368" s="35"/>
      <c r="DC368" s="57" t="str">
        <f t="shared" si="295"/>
        <v/>
      </c>
      <c r="DD368" s="64" t="str">
        <f t="shared" si="296"/>
        <v/>
      </c>
      <c r="DE368" s="65" t="str">
        <f t="shared" si="297"/>
        <v/>
      </c>
      <c r="DF368" s="66" t="str">
        <f t="shared" si="298"/>
        <v/>
      </c>
    </row>
    <row r="369" spans="2:110" hidden="1" outlineLevel="1">
      <c r="B369" s="54">
        <f t="shared" si="299"/>
        <v>45635</v>
      </c>
      <c r="C369" s="55" t="s">
        <v>1</v>
      </c>
      <c r="D369" s="56">
        <f t="shared" si="300"/>
        <v>45641</v>
      </c>
      <c r="E369" s="52">
        <f t="shared" si="301"/>
        <v>12</v>
      </c>
      <c r="F369" s="53">
        <f t="shared" si="302"/>
        <v>2024</v>
      </c>
      <c r="G369" s="62">
        <f t="shared" si="303"/>
        <v>15</v>
      </c>
      <c r="H369" s="63">
        <f t="shared" si="304"/>
        <v>96</v>
      </c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>
        <v>15</v>
      </c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80"/>
      <c r="AG369" s="87">
        <f t="shared" si="258"/>
        <v>0</v>
      </c>
      <c r="AH369" s="87">
        <f t="shared" si="259"/>
        <v>0</v>
      </c>
      <c r="AI369" s="87">
        <f t="shared" si="260"/>
        <v>0</v>
      </c>
      <c r="AJ369" s="87">
        <f t="shared" si="261"/>
        <v>0</v>
      </c>
      <c r="AK369" s="87">
        <f t="shared" si="262"/>
        <v>15</v>
      </c>
      <c r="AL369" s="87">
        <f t="shared" si="263"/>
        <v>0</v>
      </c>
      <c r="AM369" s="87">
        <f t="shared" si="264"/>
        <v>0</v>
      </c>
      <c r="AN369" s="87">
        <f t="shared" si="265"/>
        <v>0</v>
      </c>
      <c r="AO369" s="87">
        <f t="shared" si="266"/>
        <v>0</v>
      </c>
      <c r="AP369" s="87">
        <f t="shared" si="267"/>
        <v>0</v>
      </c>
      <c r="AQ369" s="87">
        <f t="shared" si="268"/>
        <v>15</v>
      </c>
      <c r="AR369" s="81"/>
      <c r="AS369" s="85">
        <f t="shared" si="269"/>
        <v>0</v>
      </c>
      <c r="AT369" s="85">
        <f t="shared" si="270"/>
        <v>0</v>
      </c>
      <c r="AU369" s="85">
        <f t="shared" si="271"/>
        <v>15</v>
      </c>
      <c r="AV369" s="85">
        <f t="shared" si="272"/>
        <v>34</v>
      </c>
      <c r="AW369" s="85">
        <f t="shared" si="273"/>
        <v>0</v>
      </c>
      <c r="AX369" s="85">
        <f t="shared" si="274"/>
        <v>0</v>
      </c>
      <c r="AY369" s="85">
        <f t="shared" si="275"/>
        <v>0</v>
      </c>
      <c r="AZ369" s="85">
        <f t="shared" si="276"/>
        <v>17</v>
      </c>
      <c r="BA369" s="85">
        <f t="shared" si="277"/>
        <v>17</v>
      </c>
      <c r="BB369" s="85">
        <f t="shared" si="278"/>
        <v>0</v>
      </c>
      <c r="BC369" s="85">
        <f t="shared" si="279"/>
        <v>0</v>
      </c>
      <c r="BD369" s="85">
        <f t="shared" si="280"/>
        <v>0</v>
      </c>
      <c r="BE369" s="85">
        <f t="shared" si="281"/>
        <v>0</v>
      </c>
      <c r="BF369" s="85">
        <f t="shared" si="282"/>
        <v>0</v>
      </c>
      <c r="BG369" s="85">
        <f t="shared" si="283"/>
        <v>0</v>
      </c>
      <c r="BH369" s="85">
        <f t="shared" si="284"/>
        <v>0</v>
      </c>
      <c r="BI369" s="85">
        <f t="shared" si="285"/>
        <v>0</v>
      </c>
      <c r="BJ369" s="85">
        <f t="shared" si="286"/>
        <v>0</v>
      </c>
      <c r="BK369" s="85">
        <f t="shared" si="287"/>
        <v>15</v>
      </c>
      <c r="BL369" s="85">
        <f t="shared" si="288"/>
        <v>15</v>
      </c>
      <c r="BM369" s="85">
        <f t="shared" si="289"/>
        <v>16</v>
      </c>
      <c r="BN369" s="85">
        <f t="shared" si="290"/>
        <v>0</v>
      </c>
      <c r="BO369" s="85">
        <f t="shared" si="291"/>
        <v>0</v>
      </c>
      <c r="BP369" s="85">
        <f t="shared" si="292"/>
        <v>0</v>
      </c>
      <c r="BQ369" s="85">
        <f t="shared" si="293"/>
        <v>0</v>
      </c>
      <c r="BR369" s="85">
        <f t="shared" si="294"/>
        <v>0</v>
      </c>
      <c r="BT369" s="63"/>
      <c r="BU369" s="63"/>
      <c r="BV369" s="63">
        <v>5</v>
      </c>
      <c r="BW369" s="63"/>
      <c r="BX369" s="63"/>
      <c r="BY369" s="63"/>
      <c r="BZ369" s="63"/>
      <c r="CA369" s="63"/>
      <c r="CB369" s="63"/>
      <c r="CC369" s="63"/>
      <c r="CD369" s="63"/>
      <c r="CE369" s="63"/>
      <c r="CF369" s="63"/>
      <c r="CG369" s="63"/>
      <c r="CH369" s="63"/>
      <c r="CI369" s="63"/>
      <c r="CJ369" s="63"/>
      <c r="CK369" s="63"/>
      <c r="CL369" s="63">
        <v>11</v>
      </c>
      <c r="CM369" s="63">
        <v>11</v>
      </c>
      <c r="CN369" s="63"/>
      <c r="CO369" s="63"/>
      <c r="CP369" s="63"/>
      <c r="CQ369" s="63"/>
      <c r="CR369" s="63"/>
      <c r="CS369" s="63"/>
      <c r="CX369" s="35" t="s">
        <v>12</v>
      </c>
      <c r="CZ369" s="35"/>
      <c r="DC369" s="57" t="str">
        <f t="shared" si="295"/>
        <v/>
      </c>
      <c r="DD369" s="64" t="str">
        <f t="shared" si="296"/>
        <v/>
      </c>
      <c r="DE369" s="65" t="str">
        <f t="shared" si="297"/>
        <v/>
      </c>
      <c r="DF369" s="66" t="str">
        <f t="shared" si="298"/>
        <v/>
      </c>
    </row>
    <row r="370" spans="2:110" hidden="1" outlineLevel="1">
      <c r="B370" s="54">
        <f t="shared" si="299"/>
        <v>45642</v>
      </c>
      <c r="C370" s="55" t="s">
        <v>1</v>
      </c>
      <c r="D370" s="56">
        <f t="shared" si="300"/>
        <v>45648</v>
      </c>
      <c r="E370" s="52">
        <f t="shared" si="301"/>
        <v>12</v>
      </c>
      <c r="F370" s="53">
        <f t="shared" si="302"/>
        <v>2024</v>
      </c>
      <c r="G370" s="62">
        <f t="shared" si="303"/>
        <v>15</v>
      </c>
      <c r="H370" s="63">
        <f t="shared" si="304"/>
        <v>96</v>
      </c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>
        <v>15</v>
      </c>
      <c r="U370" s="79">
        <v>1</v>
      </c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80"/>
      <c r="AG370" s="87">
        <f t="shared" si="258"/>
        <v>45644</v>
      </c>
      <c r="AH370" s="87">
        <f t="shared" si="259"/>
        <v>0</v>
      </c>
      <c r="AI370" s="87">
        <f t="shared" si="260"/>
        <v>0</v>
      </c>
      <c r="AJ370" s="87">
        <f t="shared" si="261"/>
        <v>0</v>
      </c>
      <c r="AK370" s="87">
        <f t="shared" si="262"/>
        <v>0</v>
      </c>
      <c r="AL370" s="87">
        <f t="shared" si="263"/>
        <v>0</v>
      </c>
      <c r="AM370" s="87">
        <f t="shared" si="264"/>
        <v>0</v>
      </c>
      <c r="AN370" s="87">
        <f t="shared" si="265"/>
        <v>0</v>
      </c>
      <c r="AO370" s="87">
        <f t="shared" si="266"/>
        <v>0</v>
      </c>
      <c r="AP370" s="87">
        <f t="shared" si="267"/>
        <v>0</v>
      </c>
      <c r="AQ370" s="87">
        <f t="shared" si="268"/>
        <v>15</v>
      </c>
      <c r="AR370" s="81"/>
      <c r="AS370" s="85">
        <f t="shared" si="269"/>
        <v>0</v>
      </c>
      <c r="AT370" s="85">
        <f t="shared" si="270"/>
        <v>0</v>
      </c>
      <c r="AU370" s="85">
        <f t="shared" si="271"/>
        <v>16</v>
      </c>
      <c r="AV370" s="85">
        <f t="shared" si="272"/>
        <v>35</v>
      </c>
      <c r="AW370" s="85">
        <f t="shared" si="273"/>
        <v>0</v>
      </c>
      <c r="AX370" s="85">
        <f t="shared" si="274"/>
        <v>0</v>
      </c>
      <c r="AY370" s="85">
        <f t="shared" si="275"/>
        <v>0</v>
      </c>
      <c r="AZ370" s="85">
        <f t="shared" si="276"/>
        <v>18</v>
      </c>
      <c r="BA370" s="85">
        <f t="shared" si="277"/>
        <v>18</v>
      </c>
      <c r="BB370" s="85">
        <f t="shared" si="278"/>
        <v>0</v>
      </c>
      <c r="BC370" s="85">
        <f t="shared" si="279"/>
        <v>0</v>
      </c>
      <c r="BD370" s="85">
        <f t="shared" si="280"/>
        <v>0</v>
      </c>
      <c r="BE370" s="85">
        <f t="shared" si="281"/>
        <v>0</v>
      </c>
      <c r="BF370" s="85">
        <f t="shared" si="282"/>
        <v>0</v>
      </c>
      <c r="BG370" s="85">
        <f t="shared" si="283"/>
        <v>0</v>
      </c>
      <c r="BH370" s="85">
        <f t="shared" si="284"/>
        <v>0</v>
      </c>
      <c r="BI370" s="85">
        <f t="shared" si="285"/>
        <v>0</v>
      </c>
      <c r="BJ370" s="85">
        <f t="shared" si="286"/>
        <v>0</v>
      </c>
      <c r="BK370" s="85">
        <f t="shared" si="287"/>
        <v>16</v>
      </c>
      <c r="BL370" s="85">
        <f t="shared" si="288"/>
        <v>16</v>
      </c>
      <c r="BM370" s="85">
        <f t="shared" si="289"/>
        <v>17</v>
      </c>
      <c r="BN370" s="85">
        <f t="shared" si="290"/>
        <v>0</v>
      </c>
      <c r="BO370" s="85">
        <f t="shared" si="291"/>
        <v>0</v>
      </c>
      <c r="BP370" s="85">
        <f t="shared" si="292"/>
        <v>0</v>
      </c>
      <c r="BQ370" s="85">
        <f t="shared" si="293"/>
        <v>0</v>
      </c>
      <c r="BR370" s="85">
        <f t="shared" si="294"/>
        <v>0</v>
      </c>
      <c r="BT370" s="63"/>
      <c r="BU370" s="63"/>
      <c r="BV370" s="63"/>
      <c r="BW370" s="63"/>
      <c r="BX370" s="63"/>
      <c r="BY370" s="63"/>
      <c r="BZ370" s="63"/>
      <c r="CA370" s="63"/>
      <c r="CB370" s="63"/>
      <c r="CC370" s="63"/>
      <c r="CD370" s="63"/>
      <c r="CE370" s="63"/>
      <c r="CF370" s="63"/>
      <c r="CG370" s="63"/>
      <c r="CH370" s="63"/>
      <c r="CI370" s="63"/>
      <c r="CJ370" s="63"/>
      <c r="CK370" s="63"/>
      <c r="CL370" s="63"/>
      <c r="CM370" s="63"/>
      <c r="CN370" s="63"/>
      <c r="CO370" s="63"/>
      <c r="CP370" s="63"/>
      <c r="CQ370" s="63"/>
      <c r="CR370" s="63"/>
      <c r="CS370" s="63"/>
      <c r="CX370" s="35" t="s">
        <v>12</v>
      </c>
      <c r="CZ370" s="35"/>
      <c r="DC370" s="57">
        <f t="shared" si="295"/>
        <v>1</v>
      </c>
      <c r="DD370" s="64">
        <f t="shared" si="296"/>
        <v>45644</v>
      </c>
      <c r="DE370" s="65">
        <f t="shared" si="297"/>
        <v>45749</v>
      </c>
      <c r="DF370" s="66" t="str">
        <f t="shared" si="298"/>
        <v>VNI</v>
      </c>
    </row>
    <row r="371" spans="2:110" hidden="1" outlineLevel="1">
      <c r="B371" s="54">
        <f t="shared" si="299"/>
        <v>45649</v>
      </c>
      <c r="C371" s="55" t="s">
        <v>1</v>
      </c>
      <c r="D371" s="56">
        <f t="shared" si="300"/>
        <v>45655</v>
      </c>
      <c r="E371" s="52">
        <f t="shared" si="301"/>
        <v>12</v>
      </c>
      <c r="F371" s="53">
        <f t="shared" si="302"/>
        <v>2024</v>
      </c>
      <c r="G371" s="62">
        <f t="shared" si="303"/>
        <v>15</v>
      </c>
      <c r="H371" s="63">
        <f t="shared" si="304"/>
        <v>96</v>
      </c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>
        <v>15</v>
      </c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80"/>
      <c r="AG371" s="87">
        <f t="shared" si="258"/>
        <v>1</v>
      </c>
      <c r="AH371" s="87">
        <f t="shared" si="259"/>
        <v>0</v>
      </c>
      <c r="AI371" s="87">
        <f t="shared" si="260"/>
        <v>0</v>
      </c>
      <c r="AJ371" s="87">
        <f t="shared" si="261"/>
        <v>0</v>
      </c>
      <c r="AK371" s="87">
        <f t="shared" si="262"/>
        <v>0</v>
      </c>
      <c r="AL371" s="87">
        <f t="shared" si="263"/>
        <v>0</v>
      </c>
      <c r="AM371" s="87">
        <f t="shared" si="264"/>
        <v>0</v>
      </c>
      <c r="AN371" s="87">
        <f t="shared" si="265"/>
        <v>0</v>
      </c>
      <c r="AO371" s="87">
        <f t="shared" si="266"/>
        <v>0</v>
      </c>
      <c r="AP371" s="87">
        <f t="shared" si="267"/>
        <v>0</v>
      </c>
      <c r="AQ371" s="87">
        <f t="shared" si="268"/>
        <v>15</v>
      </c>
      <c r="AR371" s="81"/>
      <c r="AS371" s="85">
        <f t="shared" si="269"/>
        <v>0</v>
      </c>
      <c r="AT371" s="85">
        <f t="shared" si="270"/>
        <v>0</v>
      </c>
      <c r="AU371" s="85">
        <f t="shared" si="271"/>
        <v>17</v>
      </c>
      <c r="AV371" s="85">
        <f t="shared" si="272"/>
        <v>36</v>
      </c>
      <c r="AW371" s="85">
        <f t="shared" si="273"/>
        <v>0</v>
      </c>
      <c r="AX371" s="85">
        <f t="shared" si="274"/>
        <v>0</v>
      </c>
      <c r="AY371" s="85">
        <f t="shared" si="275"/>
        <v>0</v>
      </c>
      <c r="AZ371" s="85">
        <f t="shared" si="276"/>
        <v>19</v>
      </c>
      <c r="BA371" s="85">
        <f t="shared" si="277"/>
        <v>19</v>
      </c>
      <c r="BB371" s="85">
        <f t="shared" si="278"/>
        <v>0</v>
      </c>
      <c r="BC371" s="85">
        <f t="shared" si="279"/>
        <v>0</v>
      </c>
      <c r="BD371" s="85">
        <f t="shared" si="280"/>
        <v>0</v>
      </c>
      <c r="BE371" s="85">
        <f t="shared" si="281"/>
        <v>0</v>
      </c>
      <c r="BF371" s="85">
        <f t="shared" si="282"/>
        <v>0</v>
      </c>
      <c r="BG371" s="85">
        <f t="shared" si="283"/>
        <v>0</v>
      </c>
      <c r="BH371" s="85">
        <f t="shared" si="284"/>
        <v>0</v>
      </c>
      <c r="BI371" s="85">
        <f t="shared" si="285"/>
        <v>0</v>
      </c>
      <c r="BJ371" s="85">
        <f t="shared" si="286"/>
        <v>0</v>
      </c>
      <c r="BK371" s="85">
        <f t="shared" si="287"/>
        <v>17</v>
      </c>
      <c r="BL371" s="85">
        <f t="shared" si="288"/>
        <v>17</v>
      </c>
      <c r="BM371" s="85">
        <f t="shared" si="289"/>
        <v>18</v>
      </c>
      <c r="BN371" s="85">
        <f t="shared" si="290"/>
        <v>0</v>
      </c>
      <c r="BO371" s="85">
        <f t="shared" si="291"/>
        <v>0</v>
      </c>
      <c r="BP371" s="85">
        <f t="shared" si="292"/>
        <v>0</v>
      </c>
      <c r="BQ371" s="85">
        <f t="shared" si="293"/>
        <v>0</v>
      </c>
      <c r="BR371" s="85">
        <f t="shared" si="294"/>
        <v>0</v>
      </c>
      <c r="BT371" s="63"/>
      <c r="BU371" s="63"/>
      <c r="BV371" s="63"/>
      <c r="BW371" s="63"/>
      <c r="BX371" s="63"/>
      <c r="BY371" s="63"/>
      <c r="BZ371" s="63"/>
      <c r="CA371" s="63"/>
      <c r="CB371" s="63"/>
      <c r="CC371" s="63"/>
      <c r="CD371" s="63"/>
      <c r="CE371" s="63"/>
      <c r="CF371" s="63"/>
      <c r="CG371" s="63"/>
      <c r="CH371" s="63"/>
      <c r="CI371" s="63"/>
      <c r="CJ371" s="63"/>
      <c r="CK371" s="63"/>
      <c r="CL371" s="63"/>
      <c r="CM371" s="63"/>
      <c r="CN371" s="63"/>
      <c r="CO371" s="63"/>
      <c r="CP371" s="63"/>
      <c r="CQ371" s="63"/>
      <c r="CR371" s="63"/>
      <c r="CS371" s="63"/>
      <c r="CX371" s="35" t="s">
        <v>12</v>
      </c>
      <c r="CZ371" s="35"/>
      <c r="DC371" s="57" t="str">
        <f t="shared" si="295"/>
        <v/>
      </c>
      <c r="DD371" s="64" t="str">
        <f t="shared" si="296"/>
        <v/>
      </c>
      <c r="DE371" s="65" t="str">
        <f t="shared" si="297"/>
        <v/>
      </c>
      <c r="DF371" s="66" t="str">
        <f t="shared" si="298"/>
        <v/>
      </c>
    </row>
    <row r="372" spans="2:110" collapsed="1">
      <c r="B372" s="54">
        <f t="shared" si="299"/>
        <v>45656</v>
      </c>
      <c r="C372" s="55" t="s">
        <v>1</v>
      </c>
      <c r="D372" s="56">
        <f t="shared" si="300"/>
        <v>45662</v>
      </c>
      <c r="E372" s="52">
        <f t="shared" si="301"/>
        <v>12</v>
      </c>
      <c r="F372" s="53">
        <f t="shared" si="302"/>
        <v>2025</v>
      </c>
      <c r="G372" s="62">
        <f t="shared" si="303"/>
        <v>15</v>
      </c>
      <c r="H372" s="63">
        <f t="shared" si="304"/>
        <v>96</v>
      </c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>
        <v>15</v>
      </c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80"/>
      <c r="AG372" s="87">
        <f t="shared" si="258"/>
        <v>2</v>
      </c>
      <c r="AH372" s="87">
        <f t="shared" si="259"/>
        <v>0</v>
      </c>
      <c r="AI372" s="87">
        <f t="shared" si="260"/>
        <v>0</v>
      </c>
      <c r="AJ372" s="87">
        <f t="shared" si="261"/>
        <v>0</v>
      </c>
      <c r="AK372" s="87">
        <f t="shared" si="262"/>
        <v>0</v>
      </c>
      <c r="AL372" s="87">
        <f t="shared" si="263"/>
        <v>0</v>
      </c>
      <c r="AM372" s="87">
        <f t="shared" si="264"/>
        <v>0</v>
      </c>
      <c r="AN372" s="87">
        <f t="shared" si="265"/>
        <v>0</v>
      </c>
      <c r="AO372" s="87">
        <f t="shared" si="266"/>
        <v>0</v>
      </c>
      <c r="AP372" s="87">
        <f t="shared" si="267"/>
        <v>0</v>
      </c>
      <c r="AQ372" s="87">
        <f t="shared" si="268"/>
        <v>15</v>
      </c>
      <c r="AR372" s="81"/>
      <c r="AS372" s="85">
        <f t="shared" si="269"/>
        <v>0</v>
      </c>
      <c r="AT372" s="85">
        <f t="shared" si="270"/>
        <v>0</v>
      </c>
      <c r="AU372" s="85">
        <f t="shared" si="271"/>
        <v>18</v>
      </c>
      <c r="AV372" s="85">
        <f t="shared" si="272"/>
        <v>37</v>
      </c>
      <c r="AW372" s="85">
        <f t="shared" si="273"/>
        <v>0</v>
      </c>
      <c r="AX372" s="85">
        <f t="shared" si="274"/>
        <v>0</v>
      </c>
      <c r="AY372" s="85">
        <f t="shared" si="275"/>
        <v>0</v>
      </c>
      <c r="AZ372" s="85">
        <f t="shared" si="276"/>
        <v>20</v>
      </c>
      <c r="BA372" s="85">
        <f t="shared" si="277"/>
        <v>20</v>
      </c>
      <c r="BB372" s="85">
        <f t="shared" si="278"/>
        <v>0</v>
      </c>
      <c r="BC372" s="85">
        <f t="shared" si="279"/>
        <v>0</v>
      </c>
      <c r="BD372" s="85">
        <f t="shared" si="280"/>
        <v>0</v>
      </c>
      <c r="BE372" s="85">
        <f t="shared" si="281"/>
        <v>0</v>
      </c>
      <c r="BF372" s="85">
        <f t="shared" si="282"/>
        <v>0</v>
      </c>
      <c r="BG372" s="85">
        <f t="shared" si="283"/>
        <v>0</v>
      </c>
      <c r="BH372" s="85">
        <f t="shared" si="284"/>
        <v>0</v>
      </c>
      <c r="BI372" s="85">
        <f t="shared" si="285"/>
        <v>0</v>
      </c>
      <c r="BJ372" s="85">
        <f t="shared" si="286"/>
        <v>0</v>
      </c>
      <c r="BK372" s="85">
        <f t="shared" si="287"/>
        <v>18</v>
      </c>
      <c r="BL372" s="85">
        <f t="shared" si="288"/>
        <v>18</v>
      </c>
      <c r="BM372" s="85">
        <f t="shared" si="289"/>
        <v>19</v>
      </c>
      <c r="BN372" s="85">
        <f t="shared" si="290"/>
        <v>0</v>
      </c>
      <c r="BO372" s="85">
        <f t="shared" si="291"/>
        <v>0</v>
      </c>
      <c r="BP372" s="85">
        <f t="shared" si="292"/>
        <v>0</v>
      </c>
      <c r="BQ372" s="85">
        <f t="shared" si="293"/>
        <v>0</v>
      </c>
      <c r="BR372" s="85">
        <f t="shared" si="294"/>
        <v>0</v>
      </c>
      <c r="BT372" s="63"/>
      <c r="BU372" s="63"/>
      <c r="BV372" s="63"/>
      <c r="BW372" s="63"/>
      <c r="BX372" s="63"/>
      <c r="BY372" s="63"/>
      <c r="BZ372" s="63"/>
      <c r="CA372" s="63"/>
      <c r="CB372" s="63"/>
      <c r="CC372" s="63"/>
      <c r="CD372" s="63"/>
      <c r="CE372" s="63"/>
      <c r="CF372" s="63"/>
      <c r="CG372" s="63"/>
      <c r="CH372" s="63"/>
      <c r="CI372" s="63"/>
      <c r="CJ372" s="63"/>
      <c r="CK372" s="63"/>
      <c r="CL372" s="63"/>
      <c r="CM372" s="63"/>
      <c r="CN372" s="63"/>
      <c r="CO372" s="63"/>
      <c r="CP372" s="63"/>
      <c r="CQ372" s="63"/>
      <c r="CR372" s="63"/>
      <c r="CS372" s="63"/>
      <c r="CX372" s="35" t="s">
        <v>12</v>
      </c>
      <c r="CZ372" s="35"/>
      <c r="DC372" s="57" t="str">
        <f t="shared" si="295"/>
        <v/>
      </c>
      <c r="DD372" s="64" t="str">
        <f t="shared" si="296"/>
        <v/>
      </c>
      <c r="DE372" s="65" t="str">
        <f t="shared" si="297"/>
        <v/>
      </c>
      <c r="DF372" s="66" t="str">
        <f t="shared" si="298"/>
        <v/>
      </c>
    </row>
    <row r="373" spans="2:110" outlineLevel="1">
      <c r="B373" s="54">
        <f t="shared" si="299"/>
        <v>45663</v>
      </c>
      <c r="C373" s="55" t="s">
        <v>1</v>
      </c>
      <c r="D373" s="56">
        <f t="shared" si="300"/>
        <v>45669</v>
      </c>
      <c r="E373" s="52">
        <f t="shared" si="301"/>
        <v>1</v>
      </c>
      <c r="F373" s="53">
        <f t="shared" si="302"/>
        <v>2025</v>
      </c>
      <c r="G373" s="62">
        <f t="shared" si="303"/>
        <v>15</v>
      </c>
      <c r="H373" s="63">
        <f t="shared" si="304"/>
        <v>96</v>
      </c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>
        <v>15</v>
      </c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80"/>
      <c r="AG373" s="87">
        <f t="shared" si="258"/>
        <v>3</v>
      </c>
      <c r="AH373" s="87">
        <f t="shared" si="259"/>
        <v>0</v>
      </c>
      <c r="AI373" s="87">
        <f t="shared" si="260"/>
        <v>0</v>
      </c>
      <c r="AJ373" s="87">
        <f t="shared" si="261"/>
        <v>0</v>
      </c>
      <c r="AK373" s="87">
        <f t="shared" si="262"/>
        <v>0</v>
      </c>
      <c r="AL373" s="87">
        <f t="shared" si="263"/>
        <v>0</v>
      </c>
      <c r="AM373" s="87">
        <f t="shared" si="264"/>
        <v>0</v>
      </c>
      <c r="AN373" s="87">
        <f t="shared" si="265"/>
        <v>0</v>
      </c>
      <c r="AO373" s="87">
        <f t="shared" si="266"/>
        <v>0</v>
      </c>
      <c r="AP373" s="87">
        <f t="shared" si="267"/>
        <v>0</v>
      </c>
      <c r="AQ373" s="87">
        <f t="shared" si="268"/>
        <v>15</v>
      </c>
      <c r="AR373" s="81"/>
      <c r="AS373" s="85">
        <f t="shared" si="269"/>
        <v>0</v>
      </c>
      <c r="AT373" s="85">
        <f t="shared" si="270"/>
        <v>0</v>
      </c>
      <c r="AU373" s="85">
        <f t="shared" si="271"/>
        <v>19</v>
      </c>
      <c r="AV373" s="85">
        <f t="shared" si="272"/>
        <v>38</v>
      </c>
      <c r="AW373" s="85">
        <f t="shared" si="273"/>
        <v>0</v>
      </c>
      <c r="AX373" s="85">
        <f t="shared" si="274"/>
        <v>0</v>
      </c>
      <c r="AY373" s="85">
        <f t="shared" si="275"/>
        <v>0</v>
      </c>
      <c r="AZ373" s="85">
        <f t="shared" si="276"/>
        <v>21</v>
      </c>
      <c r="BA373" s="85">
        <f t="shared" si="277"/>
        <v>21</v>
      </c>
      <c r="BB373" s="85">
        <f t="shared" si="278"/>
        <v>0</v>
      </c>
      <c r="BC373" s="85">
        <f t="shared" si="279"/>
        <v>0</v>
      </c>
      <c r="BD373" s="85">
        <f t="shared" si="280"/>
        <v>0</v>
      </c>
      <c r="BE373" s="85">
        <f t="shared" si="281"/>
        <v>0</v>
      </c>
      <c r="BF373" s="85">
        <f t="shared" si="282"/>
        <v>0</v>
      </c>
      <c r="BG373" s="85">
        <f t="shared" si="283"/>
        <v>0</v>
      </c>
      <c r="BH373" s="85">
        <f t="shared" si="284"/>
        <v>0</v>
      </c>
      <c r="BI373" s="85">
        <f t="shared" si="285"/>
        <v>0</v>
      </c>
      <c r="BJ373" s="85">
        <f t="shared" si="286"/>
        <v>0</v>
      </c>
      <c r="BK373" s="85">
        <f t="shared" si="287"/>
        <v>19</v>
      </c>
      <c r="BL373" s="85">
        <f t="shared" si="288"/>
        <v>19</v>
      </c>
      <c r="BM373" s="85">
        <f t="shared" si="289"/>
        <v>20</v>
      </c>
      <c r="BN373" s="85">
        <f t="shared" si="290"/>
        <v>0</v>
      </c>
      <c r="BO373" s="85">
        <f t="shared" si="291"/>
        <v>0</v>
      </c>
      <c r="BP373" s="85">
        <f t="shared" si="292"/>
        <v>0</v>
      </c>
      <c r="BQ373" s="85">
        <f t="shared" si="293"/>
        <v>0</v>
      </c>
      <c r="BR373" s="85">
        <f t="shared" si="294"/>
        <v>0</v>
      </c>
      <c r="BT373" s="63"/>
      <c r="BU373" s="63"/>
      <c r="BV373" s="63"/>
      <c r="BW373" s="63"/>
      <c r="BX373" s="63"/>
      <c r="BY373" s="63"/>
      <c r="BZ373" s="63"/>
      <c r="CA373" s="63"/>
      <c r="CB373" s="63"/>
      <c r="CC373" s="63"/>
      <c r="CD373" s="63"/>
      <c r="CE373" s="63"/>
      <c r="CF373" s="63"/>
      <c r="CG373" s="63"/>
      <c r="CH373" s="63"/>
      <c r="CI373" s="63"/>
      <c r="CJ373" s="63"/>
      <c r="CK373" s="63"/>
      <c r="CL373" s="63"/>
      <c r="CM373" s="63"/>
      <c r="CN373" s="63"/>
      <c r="CO373" s="63"/>
      <c r="CP373" s="63"/>
      <c r="CQ373" s="63"/>
      <c r="CR373" s="63"/>
      <c r="CS373" s="63"/>
      <c r="CX373" s="35" t="s">
        <v>12</v>
      </c>
      <c r="CZ373" s="35"/>
      <c r="DC373" s="57" t="str">
        <f t="shared" si="295"/>
        <v/>
      </c>
      <c r="DD373" s="64" t="str">
        <f t="shared" si="296"/>
        <v/>
      </c>
      <c r="DE373" s="65" t="str">
        <f t="shared" si="297"/>
        <v/>
      </c>
      <c r="DF373" s="66" t="str">
        <f t="shared" si="298"/>
        <v>PAT</v>
      </c>
    </row>
    <row r="374" spans="2:110" outlineLevel="1">
      <c r="B374" s="54">
        <f t="shared" si="299"/>
        <v>45670</v>
      </c>
      <c r="C374" s="55" t="s">
        <v>1</v>
      </c>
      <c r="D374" s="56">
        <f t="shared" si="300"/>
        <v>45676</v>
      </c>
      <c r="E374" s="52">
        <f t="shared" si="301"/>
        <v>1</v>
      </c>
      <c r="F374" s="53">
        <f t="shared" si="302"/>
        <v>2025</v>
      </c>
      <c r="G374" s="62">
        <f t="shared" si="303"/>
        <v>15</v>
      </c>
      <c r="H374" s="63">
        <f t="shared" si="304"/>
        <v>96</v>
      </c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>
        <v>15</v>
      </c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80"/>
      <c r="AG374" s="87">
        <f t="shared" si="258"/>
        <v>4</v>
      </c>
      <c r="AH374" s="87">
        <f t="shared" si="259"/>
        <v>0</v>
      </c>
      <c r="AI374" s="87">
        <f t="shared" si="260"/>
        <v>0</v>
      </c>
      <c r="AJ374" s="87">
        <f t="shared" si="261"/>
        <v>0</v>
      </c>
      <c r="AK374" s="87">
        <f t="shared" si="262"/>
        <v>0</v>
      </c>
      <c r="AL374" s="87">
        <f t="shared" si="263"/>
        <v>0</v>
      </c>
      <c r="AM374" s="87">
        <f t="shared" si="264"/>
        <v>0</v>
      </c>
      <c r="AN374" s="87">
        <f t="shared" si="265"/>
        <v>0</v>
      </c>
      <c r="AO374" s="87">
        <f t="shared" si="266"/>
        <v>0</v>
      </c>
      <c r="AP374" s="87">
        <f t="shared" si="267"/>
        <v>0</v>
      </c>
      <c r="AQ374" s="87">
        <f t="shared" si="268"/>
        <v>15</v>
      </c>
      <c r="AR374" s="81"/>
      <c r="AS374" s="85">
        <f t="shared" si="269"/>
        <v>0</v>
      </c>
      <c r="AT374" s="85">
        <f t="shared" si="270"/>
        <v>0</v>
      </c>
      <c r="AU374" s="85">
        <f t="shared" si="271"/>
        <v>20</v>
      </c>
      <c r="AV374" s="85">
        <f t="shared" si="272"/>
        <v>39</v>
      </c>
      <c r="AW374" s="85">
        <f t="shared" si="273"/>
        <v>0</v>
      </c>
      <c r="AX374" s="85">
        <f t="shared" si="274"/>
        <v>0</v>
      </c>
      <c r="AY374" s="85">
        <f t="shared" si="275"/>
        <v>0</v>
      </c>
      <c r="AZ374" s="85">
        <f t="shared" si="276"/>
        <v>22</v>
      </c>
      <c r="BA374" s="85">
        <f t="shared" si="277"/>
        <v>22</v>
      </c>
      <c r="BB374" s="85">
        <f t="shared" si="278"/>
        <v>0</v>
      </c>
      <c r="BC374" s="85">
        <f t="shared" si="279"/>
        <v>0</v>
      </c>
      <c r="BD374" s="85">
        <f t="shared" si="280"/>
        <v>0</v>
      </c>
      <c r="BE374" s="85">
        <f t="shared" si="281"/>
        <v>0</v>
      </c>
      <c r="BF374" s="85">
        <f t="shared" si="282"/>
        <v>0</v>
      </c>
      <c r="BG374" s="85">
        <f t="shared" si="283"/>
        <v>0</v>
      </c>
      <c r="BH374" s="85">
        <f t="shared" si="284"/>
        <v>0</v>
      </c>
      <c r="BI374" s="85">
        <f t="shared" si="285"/>
        <v>0</v>
      </c>
      <c r="BJ374" s="85">
        <f t="shared" si="286"/>
        <v>0</v>
      </c>
      <c r="BK374" s="85">
        <f t="shared" si="287"/>
        <v>20</v>
      </c>
      <c r="BL374" s="85">
        <f t="shared" si="288"/>
        <v>20</v>
      </c>
      <c r="BM374" s="85">
        <f t="shared" si="289"/>
        <v>21</v>
      </c>
      <c r="BN374" s="85">
        <f t="shared" si="290"/>
        <v>0</v>
      </c>
      <c r="BO374" s="85">
        <f t="shared" si="291"/>
        <v>0</v>
      </c>
      <c r="BP374" s="85">
        <f t="shared" si="292"/>
        <v>0</v>
      </c>
      <c r="BQ374" s="85">
        <f t="shared" si="293"/>
        <v>0</v>
      </c>
      <c r="BR374" s="85">
        <f t="shared" si="294"/>
        <v>0</v>
      </c>
      <c r="BT374" s="63"/>
      <c r="BU374" s="63"/>
      <c r="BV374" s="63"/>
      <c r="BW374" s="63"/>
      <c r="BX374" s="63"/>
      <c r="BY374" s="63"/>
      <c r="BZ374" s="63"/>
      <c r="CA374" s="63"/>
      <c r="CB374" s="63"/>
      <c r="CC374" s="63"/>
      <c r="CD374" s="63"/>
      <c r="CE374" s="63"/>
      <c r="CF374" s="63"/>
      <c r="CG374" s="63"/>
      <c r="CH374" s="63"/>
      <c r="CI374" s="63"/>
      <c r="CJ374" s="63"/>
      <c r="CK374" s="63"/>
      <c r="CL374" s="63"/>
      <c r="CM374" s="63"/>
      <c r="CN374" s="63"/>
      <c r="CO374" s="63"/>
      <c r="CP374" s="63"/>
      <c r="CQ374" s="63"/>
      <c r="CR374" s="63"/>
      <c r="CS374" s="63"/>
      <c r="CX374" s="35" t="s">
        <v>12</v>
      </c>
      <c r="CZ374" s="35"/>
      <c r="DC374" s="57" t="str">
        <f t="shared" si="295"/>
        <v/>
      </c>
      <c r="DD374" s="64" t="str">
        <f t="shared" si="296"/>
        <v/>
      </c>
      <c r="DE374" s="65" t="str">
        <f t="shared" si="297"/>
        <v/>
      </c>
      <c r="DF374" s="66" t="str">
        <f t="shared" si="298"/>
        <v/>
      </c>
    </row>
    <row r="375" spans="2:110" outlineLevel="1">
      <c r="B375" s="54">
        <f t="shared" si="299"/>
        <v>45677</v>
      </c>
      <c r="C375" s="55" t="s">
        <v>1</v>
      </c>
      <c r="D375" s="56">
        <f t="shared" si="300"/>
        <v>45683</v>
      </c>
      <c r="E375" s="52">
        <f t="shared" si="301"/>
        <v>1</v>
      </c>
      <c r="F375" s="53">
        <f t="shared" si="302"/>
        <v>2025</v>
      </c>
      <c r="G375" s="62">
        <f t="shared" si="303"/>
        <v>15</v>
      </c>
      <c r="H375" s="63">
        <f t="shared" si="304"/>
        <v>96</v>
      </c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>
        <v>15</v>
      </c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80"/>
      <c r="AG375" s="87">
        <f t="shared" si="258"/>
        <v>5</v>
      </c>
      <c r="AH375" s="87">
        <f t="shared" si="259"/>
        <v>0</v>
      </c>
      <c r="AI375" s="87">
        <f t="shared" si="260"/>
        <v>0</v>
      </c>
      <c r="AJ375" s="87">
        <f t="shared" si="261"/>
        <v>0</v>
      </c>
      <c r="AK375" s="87">
        <f t="shared" si="262"/>
        <v>0</v>
      </c>
      <c r="AL375" s="87">
        <f t="shared" si="263"/>
        <v>0</v>
      </c>
      <c r="AM375" s="87">
        <f t="shared" si="264"/>
        <v>0</v>
      </c>
      <c r="AN375" s="87">
        <f t="shared" si="265"/>
        <v>0</v>
      </c>
      <c r="AO375" s="87">
        <f t="shared" si="266"/>
        <v>0</v>
      </c>
      <c r="AP375" s="87">
        <f t="shared" si="267"/>
        <v>0</v>
      </c>
      <c r="AQ375" s="87">
        <f t="shared" si="268"/>
        <v>15</v>
      </c>
      <c r="AR375" s="81"/>
      <c r="AS375" s="85">
        <f t="shared" si="269"/>
        <v>0</v>
      </c>
      <c r="AT375" s="85">
        <f t="shared" si="270"/>
        <v>0</v>
      </c>
      <c r="AU375" s="85">
        <f t="shared" si="271"/>
        <v>21</v>
      </c>
      <c r="AV375" s="85">
        <f t="shared" si="272"/>
        <v>40</v>
      </c>
      <c r="AW375" s="85">
        <f t="shared" si="273"/>
        <v>0</v>
      </c>
      <c r="AX375" s="85">
        <f t="shared" si="274"/>
        <v>0</v>
      </c>
      <c r="AY375" s="85">
        <f t="shared" si="275"/>
        <v>0</v>
      </c>
      <c r="AZ375" s="85">
        <f t="shared" si="276"/>
        <v>23</v>
      </c>
      <c r="BA375" s="85">
        <f t="shared" si="277"/>
        <v>23</v>
      </c>
      <c r="BB375" s="85">
        <f t="shared" si="278"/>
        <v>0</v>
      </c>
      <c r="BC375" s="85">
        <f t="shared" si="279"/>
        <v>0</v>
      </c>
      <c r="BD375" s="85">
        <f t="shared" si="280"/>
        <v>0</v>
      </c>
      <c r="BE375" s="85">
        <f t="shared" si="281"/>
        <v>0</v>
      </c>
      <c r="BF375" s="85">
        <f t="shared" si="282"/>
        <v>0</v>
      </c>
      <c r="BG375" s="85">
        <f t="shared" si="283"/>
        <v>0</v>
      </c>
      <c r="BH375" s="85">
        <f t="shared" si="284"/>
        <v>0</v>
      </c>
      <c r="BI375" s="85">
        <f t="shared" si="285"/>
        <v>0</v>
      </c>
      <c r="BJ375" s="85">
        <f t="shared" si="286"/>
        <v>0</v>
      </c>
      <c r="BK375" s="85">
        <f t="shared" si="287"/>
        <v>21</v>
      </c>
      <c r="BL375" s="85">
        <f t="shared" si="288"/>
        <v>21</v>
      </c>
      <c r="BM375" s="85">
        <f t="shared" si="289"/>
        <v>22</v>
      </c>
      <c r="BN375" s="85">
        <f t="shared" si="290"/>
        <v>0</v>
      </c>
      <c r="BO375" s="85">
        <f t="shared" si="291"/>
        <v>0</v>
      </c>
      <c r="BP375" s="85">
        <f t="shared" si="292"/>
        <v>0</v>
      </c>
      <c r="BQ375" s="85">
        <f t="shared" si="293"/>
        <v>0</v>
      </c>
      <c r="BR375" s="85">
        <f t="shared" si="294"/>
        <v>0</v>
      </c>
      <c r="BT375" s="63"/>
      <c r="BU375" s="63"/>
      <c r="BV375" s="63"/>
      <c r="BW375" s="63"/>
      <c r="BX375" s="63"/>
      <c r="BY375" s="63"/>
      <c r="BZ375" s="63"/>
      <c r="CA375" s="63"/>
      <c r="CB375" s="63"/>
      <c r="CC375" s="63"/>
      <c r="CD375" s="63"/>
      <c r="CE375" s="63"/>
      <c r="CF375" s="63"/>
      <c r="CG375" s="63"/>
      <c r="CH375" s="63"/>
      <c r="CI375" s="63"/>
      <c r="CJ375" s="63"/>
      <c r="CK375" s="63"/>
      <c r="CL375" s="63"/>
      <c r="CM375" s="63"/>
      <c r="CN375" s="63"/>
      <c r="CO375" s="63"/>
      <c r="CP375" s="63"/>
      <c r="CQ375" s="63"/>
      <c r="CR375" s="63"/>
      <c r="CS375" s="63"/>
      <c r="CX375" s="35" t="s">
        <v>12</v>
      </c>
      <c r="CZ375" s="35"/>
      <c r="DC375" s="57" t="str">
        <f t="shared" si="295"/>
        <v/>
      </c>
      <c r="DD375" s="64" t="str">
        <f t="shared" si="296"/>
        <v/>
      </c>
      <c r="DE375" s="65" t="str">
        <f t="shared" si="297"/>
        <v/>
      </c>
      <c r="DF375" s="66" t="str">
        <f t="shared" si="298"/>
        <v/>
      </c>
    </row>
    <row r="376" spans="2:110" outlineLevel="1">
      <c r="B376" s="54">
        <f t="shared" si="299"/>
        <v>45684</v>
      </c>
      <c r="C376" s="55" t="s">
        <v>1</v>
      </c>
      <c r="D376" s="56">
        <f t="shared" si="300"/>
        <v>45690</v>
      </c>
      <c r="E376" s="52">
        <f t="shared" si="301"/>
        <v>1</v>
      </c>
      <c r="F376" s="53">
        <f t="shared" si="302"/>
        <v>2025</v>
      </c>
      <c r="G376" s="62">
        <f t="shared" si="303"/>
        <v>15</v>
      </c>
      <c r="H376" s="63">
        <f t="shared" si="304"/>
        <v>96</v>
      </c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>
        <v>15</v>
      </c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80"/>
      <c r="AG376" s="87">
        <f t="shared" si="258"/>
        <v>6</v>
      </c>
      <c r="AH376" s="87">
        <f t="shared" si="259"/>
        <v>0</v>
      </c>
      <c r="AI376" s="87">
        <f t="shared" si="260"/>
        <v>0</v>
      </c>
      <c r="AJ376" s="87">
        <f t="shared" si="261"/>
        <v>0</v>
      </c>
      <c r="AK376" s="87">
        <f t="shared" si="262"/>
        <v>0</v>
      </c>
      <c r="AL376" s="87">
        <f t="shared" si="263"/>
        <v>0</v>
      </c>
      <c r="AM376" s="87">
        <f t="shared" si="264"/>
        <v>0</v>
      </c>
      <c r="AN376" s="87">
        <f t="shared" si="265"/>
        <v>0</v>
      </c>
      <c r="AO376" s="87">
        <f t="shared" si="266"/>
        <v>0</v>
      </c>
      <c r="AP376" s="87">
        <f t="shared" si="267"/>
        <v>0</v>
      </c>
      <c r="AQ376" s="87">
        <f t="shared" si="268"/>
        <v>15</v>
      </c>
      <c r="AR376" s="81"/>
      <c r="AS376" s="85">
        <f t="shared" si="269"/>
        <v>0</v>
      </c>
      <c r="AT376" s="85">
        <f t="shared" si="270"/>
        <v>0</v>
      </c>
      <c r="AU376" s="85">
        <f t="shared" si="271"/>
        <v>22</v>
      </c>
      <c r="AV376" s="85">
        <f t="shared" si="272"/>
        <v>41</v>
      </c>
      <c r="AW376" s="85">
        <f t="shared" si="273"/>
        <v>0</v>
      </c>
      <c r="AX376" s="85">
        <f t="shared" si="274"/>
        <v>0</v>
      </c>
      <c r="AY376" s="85">
        <f t="shared" si="275"/>
        <v>0</v>
      </c>
      <c r="AZ376" s="85">
        <f t="shared" si="276"/>
        <v>24</v>
      </c>
      <c r="BA376" s="85">
        <f t="shared" si="277"/>
        <v>24</v>
      </c>
      <c r="BB376" s="85">
        <f t="shared" si="278"/>
        <v>0</v>
      </c>
      <c r="BC376" s="85">
        <f t="shared" si="279"/>
        <v>0</v>
      </c>
      <c r="BD376" s="85">
        <f t="shared" si="280"/>
        <v>0</v>
      </c>
      <c r="BE376" s="85">
        <f t="shared" si="281"/>
        <v>0</v>
      </c>
      <c r="BF376" s="85">
        <f t="shared" si="282"/>
        <v>0</v>
      </c>
      <c r="BG376" s="85">
        <f t="shared" si="283"/>
        <v>0</v>
      </c>
      <c r="BH376" s="85">
        <f t="shared" si="284"/>
        <v>0</v>
      </c>
      <c r="BI376" s="85">
        <f t="shared" si="285"/>
        <v>0</v>
      </c>
      <c r="BJ376" s="85">
        <f t="shared" si="286"/>
        <v>0</v>
      </c>
      <c r="BK376" s="85">
        <f t="shared" si="287"/>
        <v>22</v>
      </c>
      <c r="BL376" s="85">
        <f t="shared" si="288"/>
        <v>22</v>
      </c>
      <c r="BM376" s="85">
        <f t="shared" si="289"/>
        <v>23</v>
      </c>
      <c r="BN376" s="85">
        <f t="shared" si="290"/>
        <v>0</v>
      </c>
      <c r="BO376" s="85">
        <f t="shared" si="291"/>
        <v>15</v>
      </c>
      <c r="BP376" s="85">
        <f t="shared" si="292"/>
        <v>0</v>
      </c>
      <c r="BQ376" s="85">
        <f t="shared" si="293"/>
        <v>0</v>
      </c>
      <c r="BR376" s="85">
        <f t="shared" si="294"/>
        <v>0</v>
      </c>
      <c r="BT376" s="63"/>
      <c r="BU376" s="63"/>
      <c r="BV376" s="63"/>
      <c r="BW376" s="63"/>
      <c r="BX376" s="63"/>
      <c r="BY376" s="63"/>
      <c r="BZ376" s="63"/>
      <c r="CA376" s="63"/>
      <c r="CB376" s="63"/>
      <c r="CC376" s="63"/>
      <c r="CD376" s="63"/>
      <c r="CE376" s="63"/>
      <c r="CF376" s="63"/>
      <c r="CG376" s="63"/>
      <c r="CH376" s="63"/>
      <c r="CI376" s="63"/>
      <c r="CJ376" s="63"/>
      <c r="CK376" s="63"/>
      <c r="CL376" s="63"/>
      <c r="CM376" s="63"/>
      <c r="CN376" s="63"/>
      <c r="CO376" s="63"/>
      <c r="CP376" s="63">
        <v>11</v>
      </c>
      <c r="CQ376" s="63"/>
      <c r="CR376" s="63"/>
      <c r="CS376" s="63"/>
      <c r="CX376" s="35" t="s">
        <v>12</v>
      </c>
      <c r="CZ376" s="35"/>
      <c r="DC376" s="57" t="str">
        <f t="shared" si="295"/>
        <v/>
      </c>
      <c r="DD376" s="64" t="str">
        <f t="shared" si="296"/>
        <v/>
      </c>
      <c r="DE376" s="65" t="str">
        <f t="shared" si="297"/>
        <v/>
      </c>
      <c r="DF376" s="66" t="str">
        <f t="shared" si="298"/>
        <v/>
      </c>
    </row>
    <row r="377" spans="2:110" outlineLevel="1">
      <c r="B377" s="54">
        <f t="shared" si="299"/>
        <v>45691</v>
      </c>
      <c r="C377" s="55" t="s">
        <v>1</v>
      </c>
      <c r="D377" s="56">
        <f t="shared" si="300"/>
        <v>45697</v>
      </c>
      <c r="E377" s="52">
        <f t="shared" si="301"/>
        <v>2</v>
      </c>
      <c r="F377" s="53">
        <f t="shared" si="302"/>
        <v>2025</v>
      </c>
      <c r="G377" s="62">
        <f t="shared" si="303"/>
        <v>15</v>
      </c>
      <c r="H377" s="63">
        <f t="shared" si="304"/>
        <v>96</v>
      </c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>
        <v>15</v>
      </c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80"/>
      <c r="AG377" s="87">
        <f t="shared" si="258"/>
        <v>7</v>
      </c>
      <c r="AH377" s="87">
        <f t="shared" si="259"/>
        <v>0</v>
      </c>
      <c r="AI377" s="87">
        <f t="shared" si="260"/>
        <v>0</v>
      </c>
      <c r="AJ377" s="87">
        <f t="shared" si="261"/>
        <v>0</v>
      </c>
      <c r="AK377" s="87">
        <f t="shared" si="262"/>
        <v>0</v>
      </c>
      <c r="AL377" s="87">
        <f t="shared" si="263"/>
        <v>0</v>
      </c>
      <c r="AM377" s="87">
        <f t="shared" si="264"/>
        <v>0</v>
      </c>
      <c r="AN377" s="87">
        <f t="shared" si="265"/>
        <v>0</v>
      </c>
      <c r="AO377" s="87">
        <f t="shared" si="266"/>
        <v>0</v>
      </c>
      <c r="AP377" s="87">
        <f t="shared" si="267"/>
        <v>0</v>
      </c>
      <c r="AQ377" s="87">
        <f t="shared" si="268"/>
        <v>15</v>
      </c>
      <c r="AR377" s="81"/>
      <c r="AS377" s="85">
        <f t="shared" si="269"/>
        <v>0</v>
      </c>
      <c r="AT377" s="85">
        <f t="shared" si="270"/>
        <v>0</v>
      </c>
      <c r="AU377" s="85">
        <f t="shared" si="271"/>
        <v>23</v>
      </c>
      <c r="AV377" s="85">
        <f t="shared" si="272"/>
        <v>42</v>
      </c>
      <c r="AW377" s="85">
        <f t="shared" si="273"/>
        <v>0</v>
      </c>
      <c r="AX377" s="85">
        <f t="shared" si="274"/>
        <v>0</v>
      </c>
      <c r="AY377" s="85">
        <f t="shared" si="275"/>
        <v>0</v>
      </c>
      <c r="AZ377" s="85">
        <f t="shared" si="276"/>
        <v>25</v>
      </c>
      <c r="BA377" s="85">
        <f t="shared" si="277"/>
        <v>25</v>
      </c>
      <c r="BB377" s="85">
        <f t="shared" si="278"/>
        <v>0</v>
      </c>
      <c r="BC377" s="85">
        <f t="shared" si="279"/>
        <v>0</v>
      </c>
      <c r="BD377" s="85">
        <f t="shared" si="280"/>
        <v>0</v>
      </c>
      <c r="BE377" s="85">
        <f t="shared" si="281"/>
        <v>0</v>
      </c>
      <c r="BF377" s="85">
        <f t="shared" si="282"/>
        <v>0</v>
      </c>
      <c r="BG377" s="85">
        <f t="shared" si="283"/>
        <v>0</v>
      </c>
      <c r="BH377" s="85">
        <f t="shared" si="284"/>
        <v>0</v>
      </c>
      <c r="BI377" s="85">
        <f t="shared" si="285"/>
        <v>0</v>
      </c>
      <c r="BJ377" s="85">
        <f t="shared" si="286"/>
        <v>0</v>
      </c>
      <c r="BK377" s="85">
        <f t="shared" si="287"/>
        <v>23</v>
      </c>
      <c r="BL377" s="85">
        <f t="shared" si="288"/>
        <v>23</v>
      </c>
      <c r="BM377" s="85">
        <f t="shared" si="289"/>
        <v>24</v>
      </c>
      <c r="BN377" s="85">
        <f t="shared" si="290"/>
        <v>0</v>
      </c>
      <c r="BO377" s="85">
        <f t="shared" si="291"/>
        <v>16</v>
      </c>
      <c r="BP377" s="85">
        <f t="shared" si="292"/>
        <v>0</v>
      </c>
      <c r="BQ377" s="85">
        <f t="shared" si="293"/>
        <v>15</v>
      </c>
      <c r="BR377" s="85">
        <f t="shared" si="294"/>
        <v>15</v>
      </c>
      <c r="BT377" s="63"/>
      <c r="BU377" s="63"/>
      <c r="BV377" s="63"/>
      <c r="BW377" s="63"/>
      <c r="BX377" s="63"/>
      <c r="BY377" s="63"/>
      <c r="BZ377" s="63"/>
      <c r="CA377" s="63"/>
      <c r="CB377" s="63"/>
      <c r="CC377" s="63"/>
      <c r="CD377" s="63"/>
      <c r="CE377" s="63"/>
      <c r="CF377" s="63"/>
      <c r="CG377" s="63"/>
      <c r="CH377" s="63"/>
      <c r="CI377" s="63"/>
      <c r="CJ377" s="63"/>
      <c r="CK377" s="63"/>
      <c r="CL377" s="63"/>
      <c r="CM377" s="63"/>
      <c r="CN377" s="63"/>
      <c r="CO377" s="63"/>
      <c r="CP377" s="63"/>
      <c r="CQ377" s="63"/>
      <c r="CR377" s="63">
        <v>11</v>
      </c>
      <c r="CS377" s="63">
        <v>11</v>
      </c>
      <c r="CX377" s="35" t="s">
        <v>12</v>
      </c>
      <c r="CZ377" s="35"/>
      <c r="DC377" s="57" t="str">
        <f t="shared" si="295"/>
        <v/>
      </c>
      <c r="DD377" s="64" t="str">
        <f t="shared" si="296"/>
        <v/>
      </c>
      <c r="DE377" s="65" t="str">
        <f t="shared" si="297"/>
        <v/>
      </c>
      <c r="DF377" s="66" t="str">
        <f t="shared" si="298"/>
        <v/>
      </c>
    </row>
    <row r="378" spans="2:110" outlineLevel="1">
      <c r="B378" s="54">
        <f t="shared" si="299"/>
        <v>45698</v>
      </c>
      <c r="C378" s="55" t="s">
        <v>1</v>
      </c>
      <c r="D378" s="56">
        <f t="shared" si="300"/>
        <v>45704</v>
      </c>
      <c r="E378" s="52">
        <f t="shared" si="301"/>
        <v>2</v>
      </c>
      <c r="F378" s="53">
        <f t="shared" si="302"/>
        <v>2025</v>
      </c>
      <c r="G378" s="62">
        <f t="shared" si="303"/>
        <v>15</v>
      </c>
      <c r="H378" s="63">
        <f t="shared" si="304"/>
        <v>96</v>
      </c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>
        <v>15</v>
      </c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80"/>
      <c r="AG378" s="87">
        <f t="shared" si="258"/>
        <v>8</v>
      </c>
      <c r="AH378" s="87">
        <f t="shared" si="259"/>
        <v>0</v>
      </c>
      <c r="AI378" s="87">
        <f t="shared" si="260"/>
        <v>0</v>
      </c>
      <c r="AJ378" s="87">
        <f t="shared" si="261"/>
        <v>0</v>
      </c>
      <c r="AK378" s="87">
        <f t="shared" si="262"/>
        <v>0</v>
      </c>
      <c r="AL378" s="87">
        <f t="shared" si="263"/>
        <v>0</v>
      </c>
      <c r="AM378" s="87">
        <f t="shared" si="264"/>
        <v>0</v>
      </c>
      <c r="AN378" s="87">
        <f t="shared" si="265"/>
        <v>0</v>
      </c>
      <c r="AO378" s="87">
        <f t="shared" si="266"/>
        <v>0</v>
      </c>
      <c r="AP378" s="87">
        <f t="shared" si="267"/>
        <v>0</v>
      </c>
      <c r="AQ378" s="87">
        <f t="shared" si="268"/>
        <v>15</v>
      </c>
      <c r="AR378" s="81"/>
      <c r="AS378" s="85">
        <f t="shared" si="269"/>
        <v>0</v>
      </c>
      <c r="AT378" s="85">
        <f t="shared" si="270"/>
        <v>0</v>
      </c>
      <c r="AU378" s="85">
        <f t="shared" si="271"/>
        <v>24</v>
      </c>
      <c r="AV378" s="85">
        <f t="shared" si="272"/>
        <v>43</v>
      </c>
      <c r="AW378" s="85">
        <f t="shared" si="273"/>
        <v>0</v>
      </c>
      <c r="AX378" s="85">
        <f t="shared" si="274"/>
        <v>0</v>
      </c>
      <c r="AY378" s="85">
        <f t="shared" si="275"/>
        <v>0</v>
      </c>
      <c r="AZ378" s="85">
        <f t="shared" si="276"/>
        <v>26</v>
      </c>
      <c r="BA378" s="85">
        <f t="shared" si="277"/>
        <v>26</v>
      </c>
      <c r="BB378" s="85">
        <f t="shared" si="278"/>
        <v>0</v>
      </c>
      <c r="BC378" s="85">
        <f t="shared" si="279"/>
        <v>0</v>
      </c>
      <c r="BD378" s="85">
        <f t="shared" si="280"/>
        <v>0</v>
      </c>
      <c r="BE378" s="85">
        <f t="shared" si="281"/>
        <v>0</v>
      </c>
      <c r="BF378" s="85">
        <f t="shared" si="282"/>
        <v>0</v>
      </c>
      <c r="BG378" s="85">
        <f t="shared" si="283"/>
        <v>0</v>
      </c>
      <c r="BH378" s="85">
        <f t="shared" si="284"/>
        <v>0</v>
      </c>
      <c r="BI378" s="85">
        <f t="shared" si="285"/>
        <v>0</v>
      </c>
      <c r="BJ378" s="85">
        <f t="shared" si="286"/>
        <v>0</v>
      </c>
      <c r="BK378" s="85">
        <f t="shared" si="287"/>
        <v>24</v>
      </c>
      <c r="BL378" s="85">
        <f t="shared" si="288"/>
        <v>24</v>
      </c>
      <c r="BM378" s="85">
        <f t="shared" si="289"/>
        <v>25</v>
      </c>
      <c r="BN378" s="85">
        <f t="shared" si="290"/>
        <v>0</v>
      </c>
      <c r="BO378" s="85">
        <f t="shared" si="291"/>
        <v>17</v>
      </c>
      <c r="BP378" s="85">
        <f t="shared" si="292"/>
        <v>0</v>
      </c>
      <c r="BQ378" s="85">
        <f t="shared" si="293"/>
        <v>16</v>
      </c>
      <c r="BR378" s="85">
        <f t="shared" si="294"/>
        <v>16</v>
      </c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  <c r="CG378" s="63"/>
      <c r="CH378" s="63"/>
      <c r="CI378" s="63"/>
      <c r="CJ378" s="63"/>
      <c r="CK378" s="63"/>
      <c r="CL378" s="63"/>
      <c r="CM378" s="63"/>
      <c r="CN378" s="63"/>
      <c r="CO378" s="63"/>
      <c r="CP378" s="63"/>
      <c r="CQ378" s="63"/>
      <c r="CR378" s="63"/>
      <c r="CS378" s="63"/>
      <c r="CX378" s="35" t="s">
        <v>12</v>
      </c>
      <c r="CZ378" s="35"/>
      <c r="DC378" s="57" t="str">
        <f t="shared" si="295"/>
        <v/>
      </c>
      <c r="DD378" s="64" t="str">
        <f t="shared" si="296"/>
        <v/>
      </c>
      <c r="DE378" s="65" t="str">
        <f t="shared" si="297"/>
        <v/>
      </c>
      <c r="DF378" s="66" t="str">
        <f t="shared" si="298"/>
        <v/>
      </c>
    </row>
    <row r="379" spans="2:110" outlineLevel="1">
      <c r="B379" s="54">
        <f t="shared" si="299"/>
        <v>45705</v>
      </c>
      <c r="C379" s="55" t="s">
        <v>1</v>
      </c>
      <c r="D379" s="56">
        <f t="shared" si="300"/>
        <v>45711</v>
      </c>
      <c r="E379" s="52">
        <f t="shared" si="301"/>
        <v>2</v>
      </c>
      <c r="F379" s="53">
        <f t="shared" si="302"/>
        <v>2025</v>
      </c>
      <c r="G379" s="62">
        <f t="shared" si="303"/>
        <v>15</v>
      </c>
      <c r="H379" s="63">
        <f t="shared" si="304"/>
        <v>96</v>
      </c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>
        <v>15</v>
      </c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80"/>
      <c r="AG379" s="87">
        <f t="shared" si="258"/>
        <v>9</v>
      </c>
      <c r="AH379" s="87">
        <f t="shared" si="259"/>
        <v>0</v>
      </c>
      <c r="AI379" s="87">
        <f t="shared" si="260"/>
        <v>0</v>
      </c>
      <c r="AJ379" s="87">
        <f t="shared" si="261"/>
        <v>0</v>
      </c>
      <c r="AK379" s="87">
        <f t="shared" si="262"/>
        <v>0</v>
      </c>
      <c r="AL379" s="87">
        <f t="shared" si="263"/>
        <v>0</v>
      </c>
      <c r="AM379" s="87">
        <f t="shared" si="264"/>
        <v>0</v>
      </c>
      <c r="AN379" s="87">
        <f t="shared" si="265"/>
        <v>0</v>
      </c>
      <c r="AO379" s="87">
        <f t="shared" si="266"/>
        <v>0</v>
      </c>
      <c r="AP379" s="87">
        <f t="shared" si="267"/>
        <v>0</v>
      </c>
      <c r="AQ379" s="87">
        <f t="shared" si="268"/>
        <v>15</v>
      </c>
      <c r="AR379" s="81"/>
      <c r="AS379" s="85">
        <f t="shared" si="269"/>
        <v>0</v>
      </c>
      <c r="AT379" s="85">
        <f t="shared" si="270"/>
        <v>0</v>
      </c>
      <c r="AU379" s="85">
        <f t="shared" si="271"/>
        <v>25</v>
      </c>
      <c r="AV379" s="85">
        <f t="shared" si="272"/>
        <v>44</v>
      </c>
      <c r="AW379" s="85">
        <f t="shared" si="273"/>
        <v>0</v>
      </c>
      <c r="AX379" s="85">
        <f t="shared" si="274"/>
        <v>0</v>
      </c>
      <c r="AY379" s="85">
        <f t="shared" si="275"/>
        <v>0</v>
      </c>
      <c r="AZ379" s="85">
        <f t="shared" si="276"/>
        <v>27</v>
      </c>
      <c r="BA379" s="85">
        <f t="shared" si="277"/>
        <v>27</v>
      </c>
      <c r="BB379" s="85">
        <f t="shared" si="278"/>
        <v>0</v>
      </c>
      <c r="BC379" s="85">
        <f t="shared" si="279"/>
        <v>0</v>
      </c>
      <c r="BD379" s="85">
        <f t="shared" si="280"/>
        <v>0</v>
      </c>
      <c r="BE379" s="85">
        <f t="shared" si="281"/>
        <v>0</v>
      </c>
      <c r="BF379" s="85">
        <f t="shared" si="282"/>
        <v>0</v>
      </c>
      <c r="BG379" s="85">
        <f t="shared" si="283"/>
        <v>0</v>
      </c>
      <c r="BH379" s="85">
        <f t="shared" si="284"/>
        <v>0</v>
      </c>
      <c r="BI379" s="85">
        <f t="shared" si="285"/>
        <v>0</v>
      </c>
      <c r="BJ379" s="85">
        <f t="shared" si="286"/>
        <v>0</v>
      </c>
      <c r="BK379" s="85">
        <f t="shared" si="287"/>
        <v>25</v>
      </c>
      <c r="BL379" s="85">
        <f t="shared" si="288"/>
        <v>25</v>
      </c>
      <c r="BM379" s="85">
        <f t="shared" si="289"/>
        <v>26</v>
      </c>
      <c r="BN379" s="85">
        <f t="shared" si="290"/>
        <v>0</v>
      </c>
      <c r="BO379" s="85">
        <f t="shared" si="291"/>
        <v>18</v>
      </c>
      <c r="BP379" s="85">
        <f t="shared" si="292"/>
        <v>0</v>
      </c>
      <c r="BQ379" s="85">
        <f t="shared" si="293"/>
        <v>17</v>
      </c>
      <c r="BR379" s="85">
        <f t="shared" si="294"/>
        <v>17</v>
      </c>
      <c r="BT379" s="63"/>
      <c r="BU379" s="63"/>
      <c r="BV379" s="63"/>
      <c r="BW379" s="63"/>
      <c r="BX379" s="63"/>
      <c r="BY379" s="63"/>
      <c r="BZ379" s="63"/>
      <c r="CA379" s="63"/>
      <c r="CB379" s="63"/>
      <c r="CC379" s="63"/>
      <c r="CD379" s="63"/>
      <c r="CE379" s="63"/>
      <c r="CF379" s="63"/>
      <c r="CG379" s="63"/>
      <c r="CH379" s="63"/>
      <c r="CI379" s="63"/>
      <c r="CJ379" s="63"/>
      <c r="CK379" s="63"/>
      <c r="CL379" s="63"/>
      <c r="CM379" s="63"/>
      <c r="CN379" s="63"/>
      <c r="CO379" s="63"/>
      <c r="CP379" s="63"/>
      <c r="CQ379" s="63"/>
      <c r="CR379" s="63"/>
      <c r="CS379" s="63"/>
      <c r="CX379" s="35" t="s">
        <v>12</v>
      </c>
      <c r="CZ379" s="35"/>
      <c r="DC379" s="57" t="str">
        <f t="shared" si="295"/>
        <v/>
      </c>
      <c r="DD379" s="64" t="str">
        <f t="shared" si="296"/>
        <v/>
      </c>
      <c r="DE379" s="65" t="str">
        <f t="shared" si="297"/>
        <v/>
      </c>
      <c r="DF379" s="66" t="str">
        <f t="shared" si="298"/>
        <v/>
      </c>
    </row>
    <row r="380" spans="2:110" outlineLevel="1">
      <c r="B380" s="54">
        <f t="shared" si="299"/>
        <v>45712</v>
      </c>
      <c r="C380" s="55" t="s">
        <v>1</v>
      </c>
      <c r="D380" s="56">
        <f t="shared" si="300"/>
        <v>45718</v>
      </c>
      <c r="E380" s="52">
        <f t="shared" si="301"/>
        <v>2</v>
      </c>
      <c r="F380" s="53">
        <f t="shared" si="302"/>
        <v>2025</v>
      </c>
      <c r="G380" s="62">
        <f t="shared" si="303"/>
        <v>15</v>
      </c>
      <c r="H380" s="63">
        <f t="shared" si="304"/>
        <v>96</v>
      </c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>
        <v>15</v>
      </c>
      <c r="U380" s="79"/>
      <c r="V380" s="79"/>
      <c r="W380" s="79"/>
      <c r="X380" s="79"/>
      <c r="Y380" s="79">
        <v>1</v>
      </c>
      <c r="Z380" s="79"/>
      <c r="AA380" s="79"/>
      <c r="AB380" s="79"/>
      <c r="AC380" s="79"/>
      <c r="AD380" s="79"/>
      <c r="AE380" s="79"/>
      <c r="AF380" s="80"/>
      <c r="AG380" s="87">
        <f t="shared" si="258"/>
        <v>10</v>
      </c>
      <c r="AH380" s="87">
        <f t="shared" si="259"/>
        <v>0</v>
      </c>
      <c r="AI380" s="87">
        <f t="shared" si="260"/>
        <v>0</v>
      </c>
      <c r="AJ380" s="87">
        <f t="shared" si="261"/>
        <v>0</v>
      </c>
      <c r="AK380" s="87">
        <f t="shared" si="262"/>
        <v>45714</v>
      </c>
      <c r="AL380" s="87">
        <f t="shared" si="263"/>
        <v>0</v>
      </c>
      <c r="AM380" s="87">
        <f t="shared" si="264"/>
        <v>0</v>
      </c>
      <c r="AN380" s="87">
        <f t="shared" si="265"/>
        <v>0</v>
      </c>
      <c r="AO380" s="87">
        <f t="shared" si="266"/>
        <v>0</v>
      </c>
      <c r="AP380" s="87">
        <f t="shared" si="267"/>
        <v>0</v>
      </c>
      <c r="AQ380" s="87">
        <f t="shared" si="268"/>
        <v>15</v>
      </c>
      <c r="AR380" s="81"/>
      <c r="AS380" s="85">
        <f t="shared" si="269"/>
        <v>0</v>
      </c>
      <c r="AT380" s="85">
        <f t="shared" si="270"/>
        <v>0</v>
      </c>
      <c r="AU380" s="85">
        <f t="shared" si="271"/>
        <v>26</v>
      </c>
      <c r="AV380" s="85">
        <f t="shared" si="272"/>
        <v>45</v>
      </c>
      <c r="AW380" s="85">
        <f t="shared" si="273"/>
        <v>0</v>
      </c>
      <c r="AX380" s="85">
        <f t="shared" si="274"/>
        <v>0</v>
      </c>
      <c r="AY380" s="85">
        <f t="shared" si="275"/>
        <v>0</v>
      </c>
      <c r="AZ380" s="85">
        <f t="shared" si="276"/>
        <v>28</v>
      </c>
      <c r="BA380" s="85">
        <f t="shared" si="277"/>
        <v>28</v>
      </c>
      <c r="BB380" s="85">
        <f t="shared" si="278"/>
        <v>0</v>
      </c>
      <c r="BC380" s="85">
        <f t="shared" si="279"/>
        <v>0</v>
      </c>
      <c r="BD380" s="85">
        <f t="shared" si="280"/>
        <v>0</v>
      </c>
      <c r="BE380" s="85">
        <f t="shared" si="281"/>
        <v>0</v>
      </c>
      <c r="BF380" s="85">
        <f t="shared" si="282"/>
        <v>0</v>
      </c>
      <c r="BG380" s="85">
        <f t="shared" si="283"/>
        <v>0</v>
      </c>
      <c r="BH380" s="85">
        <f t="shared" si="284"/>
        <v>0</v>
      </c>
      <c r="BI380" s="85">
        <f t="shared" si="285"/>
        <v>0</v>
      </c>
      <c r="BJ380" s="85">
        <f t="shared" si="286"/>
        <v>0</v>
      </c>
      <c r="BK380" s="85">
        <f t="shared" si="287"/>
        <v>26</v>
      </c>
      <c r="BL380" s="85">
        <f t="shared" si="288"/>
        <v>26</v>
      </c>
      <c r="BM380" s="85">
        <f t="shared" si="289"/>
        <v>27</v>
      </c>
      <c r="BN380" s="85">
        <f t="shared" si="290"/>
        <v>0</v>
      </c>
      <c r="BO380" s="85">
        <f t="shared" si="291"/>
        <v>19</v>
      </c>
      <c r="BP380" s="85">
        <f t="shared" si="292"/>
        <v>0</v>
      </c>
      <c r="BQ380" s="85">
        <f t="shared" si="293"/>
        <v>18</v>
      </c>
      <c r="BR380" s="85">
        <f t="shared" si="294"/>
        <v>18</v>
      </c>
      <c r="BT380" s="63"/>
      <c r="BU380" s="63"/>
      <c r="BV380" s="63"/>
      <c r="BW380" s="63"/>
      <c r="BX380" s="63"/>
      <c r="BY380" s="63"/>
      <c r="BZ380" s="63"/>
      <c r="CA380" s="63"/>
      <c r="CB380" s="63"/>
      <c r="CC380" s="63"/>
      <c r="CD380" s="63"/>
      <c r="CE380" s="63"/>
      <c r="CF380" s="63"/>
      <c r="CG380" s="63"/>
      <c r="CH380" s="63"/>
      <c r="CI380" s="63"/>
      <c r="CJ380" s="63"/>
      <c r="CK380" s="63"/>
      <c r="CL380" s="63"/>
      <c r="CM380" s="63"/>
      <c r="CN380" s="63"/>
      <c r="CO380" s="63"/>
      <c r="CP380" s="63"/>
      <c r="CQ380" s="63"/>
      <c r="CR380" s="63"/>
      <c r="CS380" s="63"/>
      <c r="CX380" s="35" t="s">
        <v>12</v>
      </c>
      <c r="CZ380" s="35"/>
      <c r="DC380" s="57">
        <f t="shared" si="295"/>
        <v>5</v>
      </c>
      <c r="DD380" s="64">
        <f t="shared" si="296"/>
        <v>45714</v>
      </c>
      <c r="DE380" s="65">
        <f t="shared" si="297"/>
        <v>45819</v>
      </c>
      <c r="DF380" s="66" t="str">
        <f t="shared" si="298"/>
        <v>VNI</v>
      </c>
    </row>
    <row r="381" spans="2:110" outlineLevel="1">
      <c r="B381" s="54">
        <f t="shared" si="299"/>
        <v>45719</v>
      </c>
      <c r="C381" s="55" t="s">
        <v>1</v>
      </c>
      <c r="D381" s="56">
        <f t="shared" si="300"/>
        <v>45725</v>
      </c>
      <c r="E381" s="52">
        <f t="shared" si="301"/>
        <v>3</v>
      </c>
      <c r="F381" s="53">
        <f t="shared" si="302"/>
        <v>2025</v>
      </c>
      <c r="G381" s="62">
        <f t="shared" si="303"/>
        <v>15</v>
      </c>
      <c r="H381" s="63">
        <f t="shared" si="304"/>
        <v>96</v>
      </c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>
        <v>15</v>
      </c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80"/>
      <c r="AG381" s="87">
        <f t="shared" si="258"/>
        <v>11</v>
      </c>
      <c r="AH381" s="87">
        <f t="shared" si="259"/>
        <v>0</v>
      </c>
      <c r="AI381" s="87">
        <f t="shared" si="260"/>
        <v>0</v>
      </c>
      <c r="AJ381" s="87">
        <f t="shared" si="261"/>
        <v>0</v>
      </c>
      <c r="AK381" s="87">
        <f t="shared" si="262"/>
        <v>1</v>
      </c>
      <c r="AL381" s="87">
        <f t="shared" si="263"/>
        <v>0</v>
      </c>
      <c r="AM381" s="87">
        <f t="shared" si="264"/>
        <v>0</v>
      </c>
      <c r="AN381" s="87">
        <f t="shared" si="265"/>
        <v>0</v>
      </c>
      <c r="AO381" s="87">
        <f t="shared" si="266"/>
        <v>0</v>
      </c>
      <c r="AP381" s="87">
        <f t="shared" si="267"/>
        <v>0</v>
      </c>
      <c r="AQ381" s="87">
        <f t="shared" si="268"/>
        <v>15</v>
      </c>
      <c r="AR381" s="81"/>
      <c r="AS381" s="85">
        <f t="shared" si="269"/>
        <v>0</v>
      </c>
      <c r="AT381" s="85">
        <f t="shared" si="270"/>
        <v>0</v>
      </c>
      <c r="AU381" s="85">
        <f t="shared" si="271"/>
        <v>27</v>
      </c>
      <c r="AV381" s="85">
        <f t="shared" si="272"/>
        <v>46</v>
      </c>
      <c r="AW381" s="85">
        <f t="shared" si="273"/>
        <v>0</v>
      </c>
      <c r="AX381" s="85">
        <f t="shared" si="274"/>
        <v>0</v>
      </c>
      <c r="AY381" s="85">
        <f t="shared" si="275"/>
        <v>0</v>
      </c>
      <c r="AZ381" s="85">
        <f t="shared" si="276"/>
        <v>29</v>
      </c>
      <c r="BA381" s="85">
        <f t="shared" si="277"/>
        <v>29</v>
      </c>
      <c r="BB381" s="85">
        <f t="shared" si="278"/>
        <v>0</v>
      </c>
      <c r="BC381" s="85">
        <f t="shared" si="279"/>
        <v>0</v>
      </c>
      <c r="BD381" s="85">
        <f t="shared" si="280"/>
        <v>0</v>
      </c>
      <c r="BE381" s="85">
        <f t="shared" si="281"/>
        <v>0</v>
      </c>
      <c r="BF381" s="85">
        <f t="shared" si="282"/>
        <v>0</v>
      </c>
      <c r="BG381" s="85">
        <f t="shared" si="283"/>
        <v>0</v>
      </c>
      <c r="BH381" s="85">
        <f t="shared" si="284"/>
        <v>0</v>
      </c>
      <c r="BI381" s="85">
        <f t="shared" si="285"/>
        <v>0</v>
      </c>
      <c r="BJ381" s="85">
        <f t="shared" si="286"/>
        <v>0</v>
      </c>
      <c r="BK381" s="85">
        <f t="shared" si="287"/>
        <v>27</v>
      </c>
      <c r="BL381" s="85">
        <f t="shared" si="288"/>
        <v>27</v>
      </c>
      <c r="BM381" s="85">
        <f t="shared" si="289"/>
        <v>28</v>
      </c>
      <c r="BN381" s="85">
        <f t="shared" si="290"/>
        <v>0</v>
      </c>
      <c r="BO381" s="85">
        <f t="shared" si="291"/>
        <v>20</v>
      </c>
      <c r="BP381" s="85">
        <f t="shared" si="292"/>
        <v>0</v>
      </c>
      <c r="BQ381" s="85">
        <f t="shared" si="293"/>
        <v>19</v>
      </c>
      <c r="BR381" s="85">
        <f t="shared" si="294"/>
        <v>19</v>
      </c>
      <c r="BT381" s="63"/>
      <c r="BU381" s="63"/>
      <c r="BV381" s="63"/>
      <c r="BW381" s="63"/>
      <c r="BX381" s="63"/>
      <c r="BY381" s="63"/>
      <c r="BZ381" s="63"/>
      <c r="CA381" s="63"/>
      <c r="CB381" s="63"/>
      <c r="CC381" s="63"/>
      <c r="CD381" s="63"/>
      <c r="CE381" s="63"/>
      <c r="CF381" s="63"/>
      <c r="CG381" s="63"/>
      <c r="CH381" s="63"/>
      <c r="CI381" s="63"/>
      <c r="CJ381" s="63"/>
      <c r="CK381" s="63"/>
      <c r="CL381" s="63"/>
      <c r="CM381" s="63"/>
      <c r="CN381" s="63"/>
      <c r="CO381" s="63"/>
      <c r="CP381" s="63"/>
      <c r="CQ381" s="63"/>
      <c r="CR381" s="63"/>
      <c r="CS381" s="63"/>
      <c r="CX381" s="35" t="s">
        <v>12</v>
      </c>
      <c r="CZ381" s="35"/>
      <c r="DC381" s="57" t="str">
        <f t="shared" si="295"/>
        <v/>
      </c>
      <c r="DD381" s="64" t="str">
        <f t="shared" si="296"/>
        <v/>
      </c>
      <c r="DE381" s="65" t="str">
        <f t="shared" si="297"/>
        <v/>
      </c>
      <c r="DF381" s="66" t="str">
        <f t="shared" si="298"/>
        <v/>
      </c>
    </row>
    <row r="382" spans="2:110" outlineLevel="1">
      <c r="B382" s="54">
        <f t="shared" si="299"/>
        <v>45726</v>
      </c>
      <c r="C382" s="55" t="s">
        <v>1</v>
      </c>
      <c r="D382" s="56">
        <f t="shared" si="300"/>
        <v>45732</v>
      </c>
      <c r="E382" s="52">
        <f t="shared" si="301"/>
        <v>3</v>
      </c>
      <c r="F382" s="53">
        <f t="shared" si="302"/>
        <v>2025</v>
      </c>
      <c r="G382" s="62">
        <f t="shared" si="303"/>
        <v>15</v>
      </c>
      <c r="H382" s="63">
        <f t="shared" si="304"/>
        <v>96</v>
      </c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>
        <v>15</v>
      </c>
      <c r="U382" s="79"/>
      <c r="V382" s="79"/>
      <c r="W382" s="79"/>
      <c r="X382" s="79"/>
      <c r="Y382" s="79"/>
      <c r="Z382" s="79"/>
      <c r="AA382" s="79"/>
      <c r="AB382" s="79"/>
      <c r="AC382" s="79">
        <v>1</v>
      </c>
      <c r="AD382" s="79"/>
      <c r="AE382" s="79"/>
      <c r="AF382" s="80"/>
      <c r="AG382" s="87">
        <f t="shared" si="258"/>
        <v>12</v>
      </c>
      <c r="AH382" s="87">
        <f t="shared" si="259"/>
        <v>0</v>
      </c>
      <c r="AI382" s="87">
        <f t="shared" si="260"/>
        <v>0</v>
      </c>
      <c r="AJ382" s="87">
        <f t="shared" si="261"/>
        <v>0</v>
      </c>
      <c r="AK382" s="87">
        <f t="shared" si="262"/>
        <v>2</v>
      </c>
      <c r="AL382" s="87">
        <f t="shared" si="263"/>
        <v>0</v>
      </c>
      <c r="AM382" s="87">
        <f t="shared" si="264"/>
        <v>0</v>
      </c>
      <c r="AN382" s="87">
        <f t="shared" si="265"/>
        <v>0</v>
      </c>
      <c r="AO382" s="87">
        <f t="shared" si="266"/>
        <v>45728</v>
      </c>
      <c r="AP382" s="87">
        <f t="shared" si="267"/>
        <v>0</v>
      </c>
      <c r="AQ382" s="87">
        <f t="shared" si="268"/>
        <v>15</v>
      </c>
      <c r="AR382" s="81"/>
      <c r="AS382" s="85">
        <f t="shared" si="269"/>
        <v>0</v>
      </c>
      <c r="AT382" s="85">
        <f t="shared" si="270"/>
        <v>0</v>
      </c>
      <c r="AU382" s="85">
        <f t="shared" si="271"/>
        <v>28</v>
      </c>
      <c r="AV382" s="85">
        <f t="shared" si="272"/>
        <v>47</v>
      </c>
      <c r="AW382" s="85">
        <f t="shared" si="273"/>
        <v>0</v>
      </c>
      <c r="AX382" s="85">
        <f t="shared" si="274"/>
        <v>0</v>
      </c>
      <c r="AY382" s="85">
        <f t="shared" si="275"/>
        <v>0</v>
      </c>
      <c r="AZ382" s="85">
        <f t="shared" si="276"/>
        <v>30</v>
      </c>
      <c r="BA382" s="85">
        <f t="shared" si="277"/>
        <v>30</v>
      </c>
      <c r="BB382" s="85">
        <f t="shared" si="278"/>
        <v>0</v>
      </c>
      <c r="BC382" s="85">
        <f t="shared" si="279"/>
        <v>0</v>
      </c>
      <c r="BD382" s="85">
        <f t="shared" si="280"/>
        <v>0</v>
      </c>
      <c r="BE382" s="85">
        <f t="shared" si="281"/>
        <v>0</v>
      </c>
      <c r="BF382" s="85">
        <f t="shared" si="282"/>
        <v>0</v>
      </c>
      <c r="BG382" s="85">
        <f t="shared" si="283"/>
        <v>0</v>
      </c>
      <c r="BH382" s="85">
        <f t="shared" si="284"/>
        <v>0</v>
      </c>
      <c r="BI382" s="85">
        <f t="shared" si="285"/>
        <v>0</v>
      </c>
      <c r="BJ382" s="85">
        <f t="shared" si="286"/>
        <v>0</v>
      </c>
      <c r="BK382" s="85">
        <f t="shared" si="287"/>
        <v>28</v>
      </c>
      <c r="BL382" s="85">
        <f t="shared" si="288"/>
        <v>28</v>
      </c>
      <c r="BM382" s="85">
        <f t="shared" si="289"/>
        <v>29</v>
      </c>
      <c r="BN382" s="85">
        <f t="shared" si="290"/>
        <v>0</v>
      </c>
      <c r="BO382" s="85">
        <f t="shared" si="291"/>
        <v>21</v>
      </c>
      <c r="BP382" s="85">
        <f t="shared" si="292"/>
        <v>0</v>
      </c>
      <c r="BQ382" s="85">
        <f t="shared" si="293"/>
        <v>20</v>
      </c>
      <c r="BR382" s="85">
        <f t="shared" si="294"/>
        <v>20</v>
      </c>
      <c r="BT382" s="63"/>
      <c r="BU382" s="63"/>
      <c r="BV382" s="63"/>
      <c r="BW382" s="63"/>
      <c r="BX382" s="63"/>
      <c r="BY382" s="63"/>
      <c r="BZ382" s="63"/>
      <c r="CA382" s="63"/>
      <c r="CB382" s="63"/>
      <c r="CC382" s="63"/>
      <c r="CD382" s="63"/>
      <c r="CE382" s="63"/>
      <c r="CF382" s="63"/>
      <c r="CG382" s="63"/>
      <c r="CH382" s="63"/>
      <c r="CI382" s="63"/>
      <c r="CJ382" s="63"/>
      <c r="CK382" s="63"/>
      <c r="CL382" s="63"/>
      <c r="CM382" s="63"/>
      <c r="CN382" s="63"/>
      <c r="CO382" s="63"/>
      <c r="CP382" s="63"/>
      <c r="CQ382" s="63"/>
      <c r="CR382" s="63"/>
      <c r="CS382" s="63"/>
      <c r="CX382" s="35" t="s">
        <v>12</v>
      </c>
      <c r="CZ382" s="35"/>
      <c r="DC382" s="57">
        <f>IF(AND(AG382&gt;0,AG381=0),$AG$5,IF(AND(AK382&gt;0,AK381=0),$AK$5,IF(AND(AO382&gt;0,AO381=0),$AO$5,IF(AND(AI382&gt;0,AI381=0),$AI$5,IF(AND(AJ382&gt;0,AJ381=0),$AJ$5,IF(AND(AQ382&gt;0,AQ381=0),$AQ$5,IF(AND(AL382&gt;0,AL381=0),$AL$5,IF(AND(AM382&gt;0,AM381=0),$AM$5,IF(AND(AN382&gt;0,AN381=0),$AN$5,"")))))))))</f>
        <v>9</v>
      </c>
      <c r="DD382" s="64">
        <f>IF(OR(AND($AG383=1,$AG384=2),OR(AND($AK383=1,$AK384=2),OR(AND($AO383=1,$AO384=2),OR(AND($AI383=1,$AI384=2),OR(AND($AJ383=1,$AJ384),OR(AND($AQ383=1,$AQ384=2,OR(AND($AL383=1,$AL384=2,OR(AND($AM383=1,$AM384=2,OR(AND($AN383=1,$AN384=2))))))))))))),$B382+2,"")</f>
        <v>45728</v>
      </c>
      <c r="DE382" s="65">
        <f>IF(DD382="","",DD382+(15*7))</f>
        <v>45833</v>
      </c>
      <c r="DF382" s="66" t="str">
        <f>IF(AND(AS397&gt;0,AS396=0),$AS$1,IF(AND(AT397&gt;0,AT396=0),$AT$1,IF(AND(AU397&gt;0,AU396=0),$AU$1,IF(AND(AV397&gt;0,AV396=0),$AV$1,IF(AND(AW397&gt;0,AW396=0),$AW$1,IF(AND(AX397&gt;0,AX396=0),$AX$1,IF(AND(AY397&gt;0,AY396=0),$AY$1,IF(AND(AZ397&gt;0,AZ396=0),$AZ$1,IF(AND(BA397&gt;0,BA396=0),$BA$1,IF(AND(BB397&gt;0,BB396=0),$BB$1,IF(AND(BC397&gt;0,BC396=0),$BC$1,IF(AND(BD397&gt;0,BD396=0),$BD$1,IF(AND(BE397&gt;0,BE396=0),$BE$1,IF(AND(BF397&gt;0,BF396=0),$BF$1,IF(AND(BG397&gt;0,BG396=0),$BG$1,IF(AND(BH397&gt;0,BH396=0),$BH$1,IF(AND(BI397&gt;0,BI396=0),$BI$1,IF(AND(BJ397&gt;0,BJ396=0),$BJ$1,IF(AND(BK397&gt;0,BK396=0),$BK$1,IF(AND(BL397&gt;0,BL396=0),$BL$1,IF(AND(BM397&gt;0,BM396=0),$BM$1,IF(AND(BN397&gt;0,BN396=0),$BN$1,IF(AND(BO397&gt;0,BO396=0),$BO$1,IF(AND(BP397&gt;0,BP396=0),$BP$1,IF(AND(BQ397&gt;0,BQ396=0),$BQ$1,IF(AND(BR397&gt;0,BR396=0),$BQ$1,""))))))))))))))))&amp;(IF(COUNTA(BT397:CS397)&gt;1," ["&amp;COUNTA(BT397:CS397)&amp;"]",""))))))))))))</f>
        <v>PAT</v>
      </c>
    </row>
    <row r="383" spans="2:110" outlineLevel="1">
      <c r="B383" s="54">
        <f t="shared" si="299"/>
        <v>45733</v>
      </c>
      <c r="C383" s="55" t="s">
        <v>1</v>
      </c>
      <c r="D383" s="56">
        <f t="shared" si="300"/>
        <v>45739</v>
      </c>
      <c r="E383" s="52">
        <f t="shared" si="301"/>
        <v>3</v>
      </c>
      <c r="F383" s="53">
        <f t="shared" si="302"/>
        <v>2025</v>
      </c>
      <c r="G383" s="62">
        <f t="shared" si="303"/>
        <v>15</v>
      </c>
      <c r="H383" s="63">
        <f t="shared" si="304"/>
        <v>96</v>
      </c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>
        <v>15</v>
      </c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80"/>
      <c r="AG383" s="87">
        <f t="shared" si="258"/>
        <v>13</v>
      </c>
      <c r="AH383" s="87">
        <f t="shared" si="259"/>
        <v>0</v>
      </c>
      <c r="AI383" s="87">
        <f t="shared" si="260"/>
        <v>0</v>
      </c>
      <c r="AJ383" s="87">
        <f t="shared" si="261"/>
        <v>0</v>
      </c>
      <c r="AK383" s="87">
        <f t="shared" si="262"/>
        <v>3</v>
      </c>
      <c r="AL383" s="87">
        <f t="shared" si="263"/>
        <v>0</v>
      </c>
      <c r="AM383" s="87">
        <f t="shared" si="264"/>
        <v>0</v>
      </c>
      <c r="AN383" s="87">
        <f t="shared" si="265"/>
        <v>0</v>
      </c>
      <c r="AO383" s="87">
        <f t="shared" si="266"/>
        <v>1</v>
      </c>
      <c r="AP383" s="87">
        <f t="shared" si="267"/>
        <v>0</v>
      </c>
      <c r="AQ383" s="87">
        <f t="shared" si="268"/>
        <v>15</v>
      </c>
      <c r="AR383" s="81"/>
      <c r="AS383" s="85">
        <f t="shared" si="269"/>
        <v>0</v>
      </c>
      <c r="AT383" s="85">
        <f t="shared" si="270"/>
        <v>0</v>
      </c>
      <c r="AU383" s="85">
        <f t="shared" si="271"/>
        <v>29</v>
      </c>
      <c r="AV383" s="85">
        <f t="shared" si="272"/>
        <v>48</v>
      </c>
      <c r="AW383" s="85">
        <f t="shared" si="273"/>
        <v>0</v>
      </c>
      <c r="AX383" s="85">
        <f t="shared" si="274"/>
        <v>0</v>
      </c>
      <c r="AY383" s="85">
        <f t="shared" si="275"/>
        <v>0</v>
      </c>
      <c r="AZ383" s="85">
        <f t="shared" si="276"/>
        <v>31</v>
      </c>
      <c r="BA383" s="85">
        <f t="shared" si="277"/>
        <v>31</v>
      </c>
      <c r="BB383" s="85">
        <f t="shared" si="278"/>
        <v>0</v>
      </c>
      <c r="BC383" s="85">
        <f t="shared" si="279"/>
        <v>0</v>
      </c>
      <c r="BD383" s="85">
        <f t="shared" si="280"/>
        <v>0</v>
      </c>
      <c r="BE383" s="85">
        <f t="shared" si="281"/>
        <v>0</v>
      </c>
      <c r="BF383" s="85">
        <f t="shared" si="282"/>
        <v>0</v>
      </c>
      <c r="BG383" s="85">
        <f t="shared" si="283"/>
        <v>0</v>
      </c>
      <c r="BH383" s="85">
        <f t="shared" si="284"/>
        <v>0</v>
      </c>
      <c r="BI383" s="85">
        <f t="shared" si="285"/>
        <v>0</v>
      </c>
      <c r="BJ383" s="85">
        <f t="shared" si="286"/>
        <v>0</v>
      </c>
      <c r="BK383" s="85">
        <f t="shared" si="287"/>
        <v>29</v>
      </c>
      <c r="BL383" s="85">
        <f t="shared" si="288"/>
        <v>29</v>
      </c>
      <c r="BM383" s="85">
        <f t="shared" si="289"/>
        <v>30</v>
      </c>
      <c r="BN383" s="85">
        <f t="shared" si="290"/>
        <v>0</v>
      </c>
      <c r="BO383" s="85">
        <f t="shared" si="291"/>
        <v>22</v>
      </c>
      <c r="BP383" s="85">
        <f t="shared" si="292"/>
        <v>0</v>
      </c>
      <c r="BQ383" s="85">
        <f t="shared" si="293"/>
        <v>21</v>
      </c>
      <c r="BR383" s="85">
        <f t="shared" si="294"/>
        <v>21</v>
      </c>
      <c r="BT383" s="63"/>
      <c r="BU383" s="63"/>
      <c r="BV383" s="63"/>
      <c r="BW383" s="63"/>
      <c r="BX383" s="63"/>
      <c r="BY383" s="63"/>
      <c r="BZ383" s="63"/>
      <c r="CA383" s="63"/>
      <c r="CB383" s="63"/>
      <c r="CC383" s="63"/>
      <c r="CD383" s="63"/>
      <c r="CE383" s="63"/>
      <c r="CF383" s="63"/>
      <c r="CG383" s="63"/>
      <c r="CH383" s="63"/>
      <c r="CI383" s="63"/>
      <c r="CJ383" s="63"/>
      <c r="CK383" s="63"/>
      <c r="CL383" s="63"/>
      <c r="CM383" s="63"/>
      <c r="CN383" s="63"/>
      <c r="CO383" s="63"/>
      <c r="CP383" s="63"/>
      <c r="CQ383" s="63"/>
      <c r="CR383" s="63"/>
      <c r="CS383" s="63"/>
      <c r="CX383" s="35" t="s">
        <v>12</v>
      </c>
      <c r="CZ383" s="35"/>
      <c r="DC383" s="57" t="str">
        <f t="shared" si="295"/>
        <v/>
      </c>
      <c r="DD383" s="64" t="str">
        <f t="shared" si="296"/>
        <v/>
      </c>
      <c r="DE383" s="65" t="str">
        <f t="shared" si="297"/>
        <v/>
      </c>
      <c r="DF383" s="66" t="str">
        <f t="shared" si="298"/>
        <v/>
      </c>
    </row>
    <row r="384" spans="2:110" outlineLevel="1">
      <c r="B384" s="54">
        <f t="shared" si="299"/>
        <v>45740</v>
      </c>
      <c r="C384" s="55" t="s">
        <v>1</v>
      </c>
      <c r="D384" s="56">
        <f t="shared" si="300"/>
        <v>45746</v>
      </c>
      <c r="E384" s="52">
        <f t="shared" si="301"/>
        <v>3</v>
      </c>
      <c r="F384" s="53">
        <f t="shared" si="302"/>
        <v>2025</v>
      </c>
      <c r="G384" s="62">
        <f t="shared" si="303"/>
        <v>15</v>
      </c>
      <c r="H384" s="63">
        <f t="shared" si="304"/>
        <v>96</v>
      </c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>
        <v>15</v>
      </c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80"/>
      <c r="AG384" s="87">
        <f t="shared" si="258"/>
        <v>14</v>
      </c>
      <c r="AH384" s="87">
        <f t="shared" si="259"/>
        <v>0</v>
      </c>
      <c r="AI384" s="87">
        <f t="shared" si="260"/>
        <v>0</v>
      </c>
      <c r="AJ384" s="87">
        <f t="shared" si="261"/>
        <v>0</v>
      </c>
      <c r="AK384" s="87">
        <f t="shared" si="262"/>
        <v>4</v>
      </c>
      <c r="AL384" s="87">
        <f t="shared" si="263"/>
        <v>0</v>
      </c>
      <c r="AM384" s="87">
        <f t="shared" si="264"/>
        <v>0</v>
      </c>
      <c r="AN384" s="87">
        <f t="shared" si="265"/>
        <v>0</v>
      </c>
      <c r="AO384" s="87">
        <f t="shared" si="266"/>
        <v>2</v>
      </c>
      <c r="AP384" s="87">
        <f t="shared" si="267"/>
        <v>0</v>
      </c>
      <c r="AQ384" s="87">
        <f t="shared" si="268"/>
        <v>15</v>
      </c>
      <c r="AR384" s="81"/>
      <c r="AS384" s="85">
        <f t="shared" si="269"/>
        <v>0</v>
      </c>
      <c r="AT384" s="85">
        <f t="shared" si="270"/>
        <v>0</v>
      </c>
      <c r="AU384" s="85">
        <f t="shared" si="271"/>
        <v>30</v>
      </c>
      <c r="AV384" s="85">
        <f t="shared" si="272"/>
        <v>49</v>
      </c>
      <c r="AW384" s="85">
        <f t="shared" si="273"/>
        <v>0</v>
      </c>
      <c r="AX384" s="85">
        <f t="shared" si="274"/>
        <v>0</v>
      </c>
      <c r="AY384" s="85">
        <f t="shared" si="275"/>
        <v>0</v>
      </c>
      <c r="AZ384" s="85">
        <f t="shared" si="276"/>
        <v>32</v>
      </c>
      <c r="BA384" s="85">
        <f t="shared" si="277"/>
        <v>32</v>
      </c>
      <c r="BB384" s="85">
        <f t="shared" si="278"/>
        <v>0</v>
      </c>
      <c r="BC384" s="85">
        <f t="shared" si="279"/>
        <v>0</v>
      </c>
      <c r="BD384" s="85">
        <f t="shared" si="280"/>
        <v>0</v>
      </c>
      <c r="BE384" s="85">
        <f t="shared" si="281"/>
        <v>0</v>
      </c>
      <c r="BF384" s="85">
        <f t="shared" si="282"/>
        <v>0</v>
      </c>
      <c r="BG384" s="85">
        <f t="shared" si="283"/>
        <v>0</v>
      </c>
      <c r="BH384" s="85">
        <f t="shared" si="284"/>
        <v>0</v>
      </c>
      <c r="BI384" s="85">
        <f t="shared" si="285"/>
        <v>0</v>
      </c>
      <c r="BJ384" s="85">
        <f t="shared" si="286"/>
        <v>0</v>
      </c>
      <c r="BK384" s="85">
        <f t="shared" si="287"/>
        <v>30</v>
      </c>
      <c r="BL384" s="85">
        <f t="shared" si="288"/>
        <v>30</v>
      </c>
      <c r="BM384" s="85">
        <f t="shared" si="289"/>
        <v>31</v>
      </c>
      <c r="BN384" s="85">
        <f t="shared" si="290"/>
        <v>0</v>
      </c>
      <c r="BO384" s="85">
        <f t="shared" si="291"/>
        <v>23</v>
      </c>
      <c r="BP384" s="85">
        <f t="shared" si="292"/>
        <v>0</v>
      </c>
      <c r="BQ384" s="85">
        <f t="shared" si="293"/>
        <v>22</v>
      </c>
      <c r="BR384" s="85">
        <f t="shared" si="294"/>
        <v>22</v>
      </c>
      <c r="BT384" s="63"/>
      <c r="BU384" s="63"/>
      <c r="BV384" s="63"/>
      <c r="BW384" s="63"/>
      <c r="BX384" s="63"/>
      <c r="BY384" s="63"/>
      <c r="BZ384" s="63"/>
      <c r="CA384" s="63"/>
      <c r="CB384" s="63"/>
      <c r="CC384" s="63"/>
      <c r="CD384" s="63"/>
      <c r="CE384" s="63"/>
      <c r="CF384" s="63"/>
      <c r="CG384" s="63"/>
      <c r="CH384" s="63"/>
      <c r="CI384" s="63"/>
      <c r="CJ384" s="63"/>
      <c r="CK384" s="63"/>
      <c r="CL384" s="63"/>
      <c r="CM384" s="63"/>
      <c r="CN384" s="63"/>
      <c r="CO384" s="63"/>
      <c r="CP384" s="63"/>
      <c r="CQ384" s="63"/>
      <c r="CR384" s="63"/>
      <c r="CS384" s="63"/>
      <c r="CX384" s="35" t="s">
        <v>12</v>
      </c>
      <c r="CZ384" s="35"/>
      <c r="DC384" s="57" t="str">
        <f t="shared" si="295"/>
        <v/>
      </c>
      <c r="DD384" s="64" t="str">
        <f t="shared" si="296"/>
        <v/>
      </c>
      <c r="DE384" s="65" t="str">
        <f t="shared" si="297"/>
        <v/>
      </c>
      <c r="DF384" s="66" t="str">
        <f>IF(AND(AS399&gt;0,AS398=0),$AS$1,IF(AND(AT399&gt;0,AT398=0),$AT$1,IF(AND(AU399&gt;0,AU398=0),$AU$1,IF(AND(AV399&gt;0,AV398=0),$AV$1,IF(AND(AW399&gt;0,AW398=0),$AW$1,IF(AND(AX399&gt;0,AX398=0),$AX$1,IF(AND(AY399&gt;0,AY398=0),$AY$1,IF(AND(AZ399&gt;0,AZ398=0),$AZ$1,IF(AND(BA399&gt;0,BA398=0),$BA$1,IF(AND(BB399&gt;0,BB398=0),$BB$1,IF(AND(BC399&gt;0,BC398=0),$BC$1,IF(AND(BD399&gt;0,BD398=0),$BD$1,IF(AND(BE399&gt;0,BE398=0),$BE$1,IF(AND(BF399&gt;0,BF398=0),$BF$1,IF(AND(BG399&gt;0,BG398=0),$BG$1,IF(AND(BH399&gt;0,BH398=0),$BH$1,IF(AND(BI399&gt;0,BI398=0),$BI$1,IF(AND(BJ399&gt;0,BJ398=0),$BJ$1,IF(AND(BK399&gt;0,BK398=0),$BK$1,IF(AND(BL399&gt;0,BL398=0),$BL$1,IF(AND(BM399&gt;0,BM398=0),$BM$1,IF(AND(BN399&gt;0,BN398=0),$BN$1,IF(AND(BO399&gt;0,BO398=0),$BO$1,IF(AND(BP399&gt;0,BP398=0),$BP$1,IF(AND(BQ399&gt;0,BQ398=0),$BQ$1,IF(AND(BR399&gt;0,BR398=0),$BQ$1,""))))))))))))))))&amp;(IF(COUNTA(BT399:CS399)&gt;1," ["&amp;COUNTA(BT399:CS399)&amp;"]",""))))))))))))</f>
        <v>ZET [2]</v>
      </c>
    </row>
    <row r="385" spans="2:110" outlineLevel="1">
      <c r="B385" s="54">
        <f t="shared" si="299"/>
        <v>45747</v>
      </c>
      <c r="C385" s="55" t="s">
        <v>1</v>
      </c>
      <c r="D385" s="56">
        <f t="shared" si="300"/>
        <v>45753</v>
      </c>
      <c r="E385" s="52">
        <f t="shared" si="301"/>
        <v>3</v>
      </c>
      <c r="F385" s="53">
        <f t="shared" si="302"/>
        <v>2025</v>
      </c>
      <c r="G385" s="62">
        <f t="shared" si="303"/>
        <v>15</v>
      </c>
      <c r="H385" s="63">
        <f t="shared" si="304"/>
        <v>96</v>
      </c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>
        <v>15</v>
      </c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80"/>
      <c r="AG385" s="87">
        <f t="shared" si="258"/>
        <v>15</v>
      </c>
      <c r="AH385" s="87">
        <f t="shared" si="259"/>
        <v>0</v>
      </c>
      <c r="AI385" s="87">
        <f t="shared" si="260"/>
        <v>0</v>
      </c>
      <c r="AJ385" s="87">
        <f t="shared" si="261"/>
        <v>0</v>
      </c>
      <c r="AK385" s="87">
        <f t="shared" si="262"/>
        <v>5</v>
      </c>
      <c r="AL385" s="87">
        <f t="shared" si="263"/>
        <v>0</v>
      </c>
      <c r="AM385" s="87">
        <f t="shared" si="264"/>
        <v>0</v>
      </c>
      <c r="AN385" s="87">
        <f t="shared" si="265"/>
        <v>0</v>
      </c>
      <c r="AO385" s="87">
        <f t="shared" si="266"/>
        <v>3</v>
      </c>
      <c r="AP385" s="87">
        <f t="shared" si="267"/>
        <v>0</v>
      </c>
      <c r="AQ385" s="87">
        <f t="shared" si="268"/>
        <v>15</v>
      </c>
      <c r="AR385" s="81"/>
      <c r="AS385" s="85">
        <f t="shared" si="269"/>
        <v>0</v>
      </c>
      <c r="AT385" s="85">
        <f t="shared" si="270"/>
        <v>0</v>
      </c>
      <c r="AU385" s="85">
        <f t="shared" si="271"/>
        <v>31</v>
      </c>
      <c r="AV385" s="85">
        <f t="shared" si="272"/>
        <v>50</v>
      </c>
      <c r="AW385" s="85">
        <f t="shared" si="273"/>
        <v>15</v>
      </c>
      <c r="AX385" s="85">
        <f t="shared" si="274"/>
        <v>0</v>
      </c>
      <c r="AY385" s="85">
        <f t="shared" si="275"/>
        <v>0</v>
      </c>
      <c r="AZ385" s="85">
        <f t="shared" si="276"/>
        <v>33</v>
      </c>
      <c r="BA385" s="85">
        <f t="shared" si="277"/>
        <v>33</v>
      </c>
      <c r="BB385" s="85">
        <f t="shared" si="278"/>
        <v>0</v>
      </c>
      <c r="BC385" s="85">
        <f t="shared" si="279"/>
        <v>0</v>
      </c>
      <c r="BD385" s="85">
        <f t="shared" si="280"/>
        <v>0</v>
      </c>
      <c r="BE385" s="85">
        <f t="shared" si="281"/>
        <v>0</v>
      </c>
      <c r="BF385" s="85">
        <f t="shared" si="282"/>
        <v>0</v>
      </c>
      <c r="BG385" s="85">
        <f t="shared" si="283"/>
        <v>0</v>
      </c>
      <c r="BH385" s="85">
        <f t="shared" si="284"/>
        <v>0</v>
      </c>
      <c r="BI385" s="85">
        <f t="shared" si="285"/>
        <v>0</v>
      </c>
      <c r="BJ385" s="85">
        <f t="shared" si="286"/>
        <v>0</v>
      </c>
      <c r="BK385" s="85">
        <f t="shared" si="287"/>
        <v>31</v>
      </c>
      <c r="BL385" s="85">
        <f t="shared" si="288"/>
        <v>31</v>
      </c>
      <c r="BM385" s="85">
        <f t="shared" si="289"/>
        <v>32</v>
      </c>
      <c r="BN385" s="85">
        <f t="shared" si="290"/>
        <v>0</v>
      </c>
      <c r="BO385" s="85">
        <f t="shared" si="291"/>
        <v>24</v>
      </c>
      <c r="BP385" s="85">
        <f t="shared" si="292"/>
        <v>0</v>
      </c>
      <c r="BQ385" s="85">
        <f t="shared" si="293"/>
        <v>23</v>
      </c>
      <c r="BR385" s="85">
        <f t="shared" si="294"/>
        <v>23</v>
      </c>
      <c r="BT385" s="63"/>
      <c r="BU385" s="63"/>
      <c r="BV385" s="63"/>
      <c r="BW385" s="63"/>
      <c r="BX385" s="63">
        <v>1</v>
      </c>
      <c r="BY385" s="63"/>
      <c r="BZ385" s="63"/>
      <c r="CA385" s="63"/>
      <c r="CB385" s="63"/>
      <c r="CC385" s="63"/>
      <c r="CD385" s="63"/>
      <c r="CE385" s="63"/>
      <c r="CF385" s="63"/>
      <c r="CG385" s="63"/>
      <c r="CH385" s="63"/>
      <c r="CI385" s="63"/>
      <c r="CJ385" s="63"/>
      <c r="CK385" s="63"/>
      <c r="CL385" s="63"/>
      <c r="CM385" s="63"/>
      <c r="CN385" s="63"/>
      <c r="CO385" s="63"/>
      <c r="CP385" s="63"/>
      <c r="CQ385" s="63"/>
      <c r="CR385" s="63"/>
      <c r="CS385" s="63"/>
      <c r="CX385" s="35" t="s">
        <v>12</v>
      </c>
      <c r="CZ385" s="35"/>
      <c r="DC385" s="57" t="str">
        <f t="shared" si="295"/>
        <v/>
      </c>
      <c r="DD385" s="64" t="str">
        <f t="shared" si="296"/>
        <v/>
      </c>
      <c r="DE385" s="65" t="str">
        <f t="shared" si="297"/>
        <v/>
      </c>
      <c r="DF385" s="66" t="str">
        <f t="shared" si="298"/>
        <v>ZET [2]</v>
      </c>
    </row>
    <row r="386" spans="2:110" outlineLevel="1">
      <c r="B386" s="54">
        <f t="shared" si="299"/>
        <v>45754</v>
      </c>
      <c r="C386" s="55" t="s">
        <v>1</v>
      </c>
      <c r="D386" s="56">
        <f t="shared" si="300"/>
        <v>45760</v>
      </c>
      <c r="E386" s="52">
        <f t="shared" si="301"/>
        <v>4</v>
      </c>
      <c r="F386" s="53">
        <f t="shared" si="302"/>
        <v>2025</v>
      </c>
      <c r="G386" s="62">
        <f t="shared" si="303"/>
        <v>15</v>
      </c>
      <c r="H386" s="63">
        <f t="shared" si="304"/>
        <v>96</v>
      </c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>
        <v>15</v>
      </c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80"/>
      <c r="AG386" s="87">
        <f t="shared" si="258"/>
        <v>0</v>
      </c>
      <c r="AH386" s="87">
        <f t="shared" si="259"/>
        <v>0</v>
      </c>
      <c r="AI386" s="87">
        <f t="shared" si="260"/>
        <v>0</v>
      </c>
      <c r="AJ386" s="87">
        <f t="shared" si="261"/>
        <v>0</v>
      </c>
      <c r="AK386" s="87">
        <f t="shared" si="262"/>
        <v>6</v>
      </c>
      <c r="AL386" s="87">
        <f t="shared" si="263"/>
        <v>0</v>
      </c>
      <c r="AM386" s="87">
        <f t="shared" si="264"/>
        <v>0</v>
      </c>
      <c r="AN386" s="87">
        <f t="shared" si="265"/>
        <v>0</v>
      </c>
      <c r="AO386" s="87">
        <f t="shared" si="266"/>
        <v>4</v>
      </c>
      <c r="AP386" s="87">
        <f t="shared" si="267"/>
        <v>0</v>
      </c>
      <c r="AQ386" s="87">
        <f t="shared" si="268"/>
        <v>15</v>
      </c>
      <c r="AR386" s="81"/>
      <c r="AS386" s="85">
        <f t="shared" si="269"/>
        <v>0</v>
      </c>
      <c r="AT386" s="85">
        <f t="shared" si="270"/>
        <v>0</v>
      </c>
      <c r="AU386" s="85">
        <f t="shared" si="271"/>
        <v>32</v>
      </c>
      <c r="AV386" s="85">
        <f t="shared" si="272"/>
        <v>51</v>
      </c>
      <c r="AW386" s="85">
        <f t="shared" si="273"/>
        <v>16</v>
      </c>
      <c r="AX386" s="85">
        <f t="shared" si="274"/>
        <v>0</v>
      </c>
      <c r="AY386" s="85">
        <f t="shared" si="275"/>
        <v>0</v>
      </c>
      <c r="AZ386" s="85">
        <f t="shared" si="276"/>
        <v>34</v>
      </c>
      <c r="BA386" s="85">
        <f t="shared" si="277"/>
        <v>34</v>
      </c>
      <c r="BB386" s="85">
        <f t="shared" si="278"/>
        <v>0</v>
      </c>
      <c r="BC386" s="85">
        <f t="shared" si="279"/>
        <v>0</v>
      </c>
      <c r="BD386" s="85">
        <f t="shared" si="280"/>
        <v>0</v>
      </c>
      <c r="BE386" s="85">
        <f t="shared" si="281"/>
        <v>0</v>
      </c>
      <c r="BF386" s="85">
        <f t="shared" si="282"/>
        <v>0</v>
      </c>
      <c r="BG386" s="85">
        <f t="shared" si="283"/>
        <v>0</v>
      </c>
      <c r="BH386" s="85">
        <f t="shared" si="284"/>
        <v>0</v>
      </c>
      <c r="BI386" s="85">
        <f t="shared" si="285"/>
        <v>0</v>
      </c>
      <c r="BJ386" s="85">
        <f t="shared" si="286"/>
        <v>0</v>
      </c>
      <c r="BK386" s="85">
        <f t="shared" si="287"/>
        <v>32</v>
      </c>
      <c r="BL386" s="85">
        <f t="shared" si="288"/>
        <v>32</v>
      </c>
      <c r="BM386" s="85">
        <f t="shared" si="289"/>
        <v>33</v>
      </c>
      <c r="BN386" s="85">
        <f t="shared" si="290"/>
        <v>0</v>
      </c>
      <c r="BO386" s="85">
        <f t="shared" si="291"/>
        <v>25</v>
      </c>
      <c r="BP386" s="85">
        <f t="shared" si="292"/>
        <v>0</v>
      </c>
      <c r="BQ386" s="85">
        <f t="shared" si="293"/>
        <v>24</v>
      </c>
      <c r="BR386" s="85">
        <f t="shared" si="294"/>
        <v>24</v>
      </c>
      <c r="BT386" s="63"/>
      <c r="BU386" s="63"/>
      <c r="BV386" s="63"/>
      <c r="BW386" s="63"/>
      <c r="BX386" s="63"/>
      <c r="BY386" s="63"/>
      <c r="BZ386" s="63"/>
      <c r="CA386" s="63"/>
      <c r="CB386" s="63"/>
      <c r="CC386" s="63"/>
      <c r="CD386" s="63"/>
      <c r="CE386" s="63"/>
      <c r="CF386" s="63"/>
      <c r="CG386" s="63"/>
      <c r="CH386" s="63"/>
      <c r="CI386" s="63"/>
      <c r="CJ386" s="63"/>
      <c r="CK386" s="63"/>
      <c r="CL386" s="63"/>
      <c r="CM386" s="63"/>
      <c r="CN386" s="63"/>
      <c r="CO386" s="63"/>
      <c r="CP386" s="63"/>
      <c r="CQ386" s="63"/>
      <c r="CR386" s="63"/>
      <c r="CS386" s="63"/>
      <c r="CX386" s="35" t="s">
        <v>12</v>
      </c>
      <c r="CZ386" s="35"/>
      <c r="DC386" s="57" t="str">
        <f t="shared" si="295"/>
        <v/>
      </c>
      <c r="DD386" s="64" t="str">
        <f t="shared" si="296"/>
        <v/>
      </c>
      <c r="DE386" s="65" t="str">
        <f t="shared" si="297"/>
        <v/>
      </c>
      <c r="DF386" s="66" t="str">
        <f t="shared" si="298"/>
        <v/>
      </c>
    </row>
    <row r="387" spans="2:110" outlineLevel="1">
      <c r="B387" s="54">
        <f t="shared" si="299"/>
        <v>45761</v>
      </c>
      <c r="C387" s="55" t="s">
        <v>1</v>
      </c>
      <c r="D387" s="56">
        <f t="shared" si="300"/>
        <v>45767</v>
      </c>
      <c r="E387" s="52">
        <f t="shared" si="301"/>
        <v>4</v>
      </c>
      <c r="F387" s="53">
        <f t="shared" si="302"/>
        <v>2025</v>
      </c>
      <c r="G387" s="62">
        <f t="shared" si="303"/>
        <v>15</v>
      </c>
      <c r="H387" s="63">
        <f t="shared" si="304"/>
        <v>96</v>
      </c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>
        <v>15</v>
      </c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80"/>
      <c r="AG387" s="87">
        <f t="shared" si="258"/>
        <v>0</v>
      </c>
      <c r="AH387" s="87">
        <f t="shared" si="259"/>
        <v>0</v>
      </c>
      <c r="AI387" s="87">
        <f t="shared" si="260"/>
        <v>0</v>
      </c>
      <c r="AJ387" s="87">
        <f t="shared" si="261"/>
        <v>0</v>
      </c>
      <c r="AK387" s="87">
        <f t="shared" si="262"/>
        <v>7</v>
      </c>
      <c r="AL387" s="87">
        <f t="shared" si="263"/>
        <v>0</v>
      </c>
      <c r="AM387" s="87">
        <f t="shared" si="264"/>
        <v>0</v>
      </c>
      <c r="AN387" s="87">
        <f t="shared" si="265"/>
        <v>0</v>
      </c>
      <c r="AO387" s="87">
        <f t="shared" si="266"/>
        <v>5</v>
      </c>
      <c r="AP387" s="87">
        <f t="shared" si="267"/>
        <v>0</v>
      </c>
      <c r="AQ387" s="87">
        <f t="shared" si="268"/>
        <v>15</v>
      </c>
      <c r="AR387" s="81"/>
      <c r="AS387" s="85">
        <f t="shared" si="269"/>
        <v>0</v>
      </c>
      <c r="AT387" s="85">
        <f t="shared" si="270"/>
        <v>0</v>
      </c>
      <c r="AU387" s="85">
        <f t="shared" si="271"/>
        <v>33</v>
      </c>
      <c r="AV387" s="85">
        <f t="shared" si="272"/>
        <v>52</v>
      </c>
      <c r="AW387" s="85">
        <f t="shared" si="273"/>
        <v>17</v>
      </c>
      <c r="AX387" s="85">
        <f t="shared" si="274"/>
        <v>0</v>
      </c>
      <c r="AY387" s="85">
        <f t="shared" si="275"/>
        <v>0</v>
      </c>
      <c r="AZ387" s="85">
        <f t="shared" si="276"/>
        <v>35</v>
      </c>
      <c r="BA387" s="85">
        <f t="shared" si="277"/>
        <v>35</v>
      </c>
      <c r="BB387" s="85">
        <f t="shared" si="278"/>
        <v>0</v>
      </c>
      <c r="BC387" s="85">
        <f t="shared" si="279"/>
        <v>0</v>
      </c>
      <c r="BD387" s="85">
        <f t="shared" si="280"/>
        <v>0</v>
      </c>
      <c r="BE387" s="85">
        <f t="shared" si="281"/>
        <v>0</v>
      </c>
      <c r="BF387" s="85">
        <f t="shared" si="282"/>
        <v>0</v>
      </c>
      <c r="BG387" s="85">
        <f t="shared" si="283"/>
        <v>0</v>
      </c>
      <c r="BH387" s="85">
        <f t="shared" si="284"/>
        <v>0</v>
      </c>
      <c r="BI387" s="85">
        <f t="shared" si="285"/>
        <v>0</v>
      </c>
      <c r="BJ387" s="85">
        <f t="shared" si="286"/>
        <v>0</v>
      </c>
      <c r="BK387" s="85">
        <f t="shared" si="287"/>
        <v>33</v>
      </c>
      <c r="BL387" s="85">
        <f t="shared" si="288"/>
        <v>33</v>
      </c>
      <c r="BM387" s="85">
        <f t="shared" si="289"/>
        <v>34</v>
      </c>
      <c r="BN387" s="85">
        <f t="shared" si="290"/>
        <v>0</v>
      </c>
      <c r="BO387" s="85">
        <f t="shared" si="291"/>
        <v>26</v>
      </c>
      <c r="BP387" s="85">
        <f t="shared" si="292"/>
        <v>0</v>
      </c>
      <c r="BQ387" s="85">
        <f t="shared" si="293"/>
        <v>25</v>
      </c>
      <c r="BR387" s="85">
        <f t="shared" si="294"/>
        <v>25</v>
      </c>
      <c r="BT387" s="63"/>
      <c r="BU387" s="63"/>
      <c r="BV387" s="63"/>
      <c r="BW387" s="63"/>
      <c r="BX387" s="63"/>
      <c r="BY387" s="63"/>
      <c r="BZ387" s="63"/>
      <c r="CA387" s="63"/>
      <c r="CB387" s="63"/>
      <c r="CC387" s="63"/>
      <c r="CD387" s="63"/>
      <c r="CE387" s="63"/>
      <c r="CF387" s="63"/>
      <c r="CG387" s="63"/>
      <c r="CH387" s="63"/>
      <c r="CI387" s="63"/>
      <c r="CJ387" s="63"/>
      <c r="CK387" s="63"/>
      <c r="CL387" s="63"/>
      <c r="CM387" s="63"/>
      <c r="CN387" s="63"/>
      <c r="CO387" s="63"/>
      <c r="CP387" s="63"/>
      <c r="CQ387" s="63"/>
      <c r="CR387" s="63"/>
      <c r="CS387" s="63"/>
      <c r="CX387" s="35" t="s">
        <v>12</v>
      </c>
      <c r="CZ387" s="35"/>
      <c r="DC387" s="57" t="str">
        <f t="shared" si="295"/>
        <v/>
      </c>
      <c r="DD387" s="64" t="str">
        <f t="shared" si="296"/>
        <v/>
      </c>
      <c r="DE387" s="65" t="str">
        <f t="shared" si="297"/>
        <v/>
      </c>
      <c r="DF387" s="66" t="str">
        <f t="shared" si="298"/>
        <v/>
      </c>
    </row>
    <row r="388" spans="2:110" outlineLevel="1">
      <c r="B388" s="54">
        <f t="shared" si="299"/>
        <v>45768</v>
      </c>
      <c r="C388" s="55" t="s">
        <v>1</v>
      </c>
      <c r="D388" s="56">
        <f t="shared" si="300"/>
        <v>45774</v>
      </c>
      <c r="E388" s="52">
        <f t="shared" si="301"/>
        <v>4</v>
      </c>
      <c r="F388" s="53">
        <f t="shared" si="302"/>
        <v>2025</v>
      </c>
      <c r="G388" s="62">
        <f t="shared" si="303"/>
        <v>15</v>
      </c>
      <c r="H388" s="63">
        <f t="shared" si="304"/>
        <v>96</v>
      </c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>
        <v>15</v>
      </c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80"/>
      <c r="AG388" s="87">
        <f t="shared" si="258"/>
        <v>0</v>
      </c>
      <c r="AH388" s="87">
        <f t="shared" si="259"/>
        <v>0</v>
      </c>
      <c r="AI388" s="87">
        <f t="shared" si="260"/>
        <v>0</v>
      </c>
      <c r="AJ388" s="87">
        <f t="shared" si="261"/>
        <v>0</v>
      </c>
      <c r="AK388" s="87">
        <f t="shared" si="262"/>
        <v>8</v>
      </c>
      <c r="AL388" s="87">
        <f t="shared" si="263"/>
        <v>0</v>
      </c>
      <c r="AM388" s="87">
        <f t="shared" si="264"/>
        <v>0</v>
      </c>
      <c r="AN388" s="87">
        <f t="shared" si="265"/>
        <v>0</v>
      </c>
      <c r="AO388" s="87">
        <f t="shared" si="266"/>
        <v>6</v>
      </c>
      <c r="AP388" s="87">
        <f t="shared" si="267"/>
        <v>0</v>
      </c>
      <c r="AQ388" s="87">
        <f t="shared" si="268"/>
        <v>15</v>
      </c>
      <c r="AR388" s="81"/>
      <c r="AS388" s="85">
        <f t="shared" si="269"/>
        <v>0</v>
      </c>
      <c r="AT388" s="85">
        <f t="shared" si="270"/>
        <v>0</v>
      </c>
      <c r="AU388" s="85">
        <f t="shared" si="271"/>
        <v>34</v>
      </c>
      <c r="AV388" s="85">
        <f t="shared" si="272"/>
        <v>53</v>
      </c>
      <c r="AW388" s="85">
        <f t="shared" si="273"/>
        <v>18</v>
      </c>
      <c r="AX388" s="85">
        <f t="shared" si="274"/>
        <v>0</v>
      </c>
      <c r="AY388" s="85">
        <f t="shared" si="275"/>
        <v>15</v>
      </c>
      <c r="AZ388" s="85">
        <f t="shared" si="276"/>
        <v>36</v>
      </c>
      <c r="BA388" s="85">
        <f t="shared" si="277"/>
        <v>36</v>
      </c>
      <c r="BB388" s="85">
        <f t="shared" si="278"/>
        <v>0</v>
      </c>
      <c r="BC388" s="85">
        <f t="shared" si="279"/>
        <v>0</v>
      </c>
      <c r="BD388" s="85">
        <f t="shared" si="280"/>
        <v>0</v>
      </c>
      <c r="BE388" s="85">
        <f t="shared" si="281"/>
        <v>0</v>
      </c>
      <c r="BF388" s="85">
        <f t="shared" si="282"/>
        <v>0</v>
      </c>
      <c r="BG388" s="85">
        <f t="shared" si="283"/>
        <v>0</v>
      </c>
      <c r="BH388" s="85">
        <f t="shared" si="284"/>
        <v>0</v>
      </c>
      <c r="BI388" s="85">
        <f t="shared" si="285"/>
        <v>0</v>
      </c>
      <c r="BJ388" s="85">
        <f t="shared" si="286"/>
        <v>0</v>
      </c>
      <c r="BK388" s="85">
        <f t="shared" si="287"/>
        <v>34</v>
      </c>
      <c r="BL388" s="85">
        <f t="shared" si="288"/>
        <v>34</v>
      </c>
      <c r="BM388" s="85">
        <f t="shared" si="289"/>
        <v>35</v>
      </c>
      <c r="BN388" s="85">
        <f t="shared" si="290"/>
        <v>0</v>
      </c>
      <c r="BO388" s="85">
        <f t="shared" si="291"/>
        <v>27</v>
      </c>
      <c r="BP388" s="85">
        <f t="shared" si="292"/>
        <v>0</v>
      </c>
      <c r="BQ388" s="85">
        <f t="shared" si="293"/>
        <v>26</v>
      </c>
      <c r="BR388" s="85">
        <f t="shared" si="294"/>
        <v>26</v>
      </c>
      <c r="BT388" s="63"/>
      <c r="BU388" s="63"/>
      <c r="BV388" s="63"/>
      <c r="BW388" s="63"/>
      <c r="BX388" s="63"/>
      <c r="BY388" s="63"/>
      <c r="BZ388" s="63">
        <v>11</v>
      </c>
      <c r="CA388" s="63"/>
      <c r="CB388" s="63"/>
      <c r="CC388" s="63"/>
      <c r="CD388" s="63"/>
      <c r="CE388" s="63"/>
      <c r="CF388" s="63"/>
      <c r="CG388" s="63"/>
      <c r="CH388" s="63"/>
      <c r="CI388" s="63"/>
      <c r="CJ388" s="63"/>
      <c r="CK388" s="63"/>
      <c r="CL388" s="63"/>
      <c r="CM388" s="63"/>
      <c r="CN388" s="63"/>
      <c r="CO388" s="63"/>
      <c r="CP388" s="63"/>
      <c r="CQ388" s="63"/>
      <c r="CR388" s="63"/>
      <c r="CS388" s="63"/>
      <c r="CX388" s="35" t="s">
        <v>12</v>
      </c>
      <c r="CZ388" s="35"/>
      <c r="DC388" s="57" t="str">
        <f t="shared" si="295"/>
        <v/>
      </c>
      <c r="DD388" s="64" t="str">
        <f t="shared" si="296"/>
        <v/>
      </c>
      <c r="DE388" s="65" t="str">
        <f t="shared" si="297"/>
        <v/>
      </c>
      <c r="DF388" s="66" t="str">
        <f t="shared" si="298"/>
        <v/>
      </c>
    </row>
    <row r="389" spans="2:110" outlineLevel="1">
      <c r="B389" s="54">
        <f t="shared" si="299"/>
        <v>45775</v>
      </c>
      <c r="C389" s="55" t="s">
        <v>1</v>
      </c>
      <c r="D389" s="56">
        <f t="shared" si="300"/>
        <v>45781</v>
      </c>
      <c r="E389" s="52">
        <f t="shared" si="301"/>
        <v>4</v>
      </c>
      <c r="F389" s="53">
        <f t="shared" si="302"/>
        <v>2025</v>
      </c>
      <c r="G389" s="62">
        <f t="shared" si="303"/>
        <v>15</v>
      </c>
      <c r="H389" s="63">
        <f t="shared" si="304"/>
        <v>96</v>
      </c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>
        <v>15</v>
      </c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80"/>
      <c r="AG389" s="87">
        <f t="shared" si="258"/>
        <v>0</v>
      </c>
      <c r="AH389" s="87">
        <f t="shared" si="259"/>
        <v>0</v>
      </c>
      <c r="AI389" s="87">
        <f t="shared" si="260"/>
        <v>0</v>
      </c>
      <c r="AJ389" s="87">
        <f t="shared" si="261"/>
        <v>0</v>
      </c>
      <c r="AK389" s="87">
        <f t="shared" si="262"/>
        <v>9</v>
      </c>
      <c r="AL389" s="87">
        <f t="shared" si="263"/>
        <v>0</v>
      </c>
      <c r="AM389" s="87">
        <f t="shared" si="264"/>
        <v>0</v>
      </c>
      <c r="AN389" s="87">
        <f t="shared" si="265"/>
        <v>0</v>
      </c>
      <c r="AO389" s="87">
        <f t="shared" si="266"/>
        <v>7</v>
      </c>
      <c r="AP389" s="87">
        <f t="shared" si="267"/>
        <v>0</v>
      </c>
      <c r="AQ389" s="87">
        <f t="shared" si="268"/>
        <v>15</v>
      </c>
      <c r="AR389" s="81"/>
      <c r="AS389" s="85">
        <f t="shared" si="269"/>
        <v>0</v>
      </c>
      <c r="AT389" s="85">
        <f t="shared" si="270"/>
        <v>0</v>
      </c>
      <c r="AU389" s="85">
        <f t="shared" si="271"/>
        <v>35</v>
      </c>
      <c r="AV389" s="85">
        <f t="shared" si="272"/>
        <v>54</v>
      </c>
      <c r="AW389" s="85">
        <f t="shared" si="273"/>
        <v>19</v>
      </c>
      <c r="AX389" s="85">
        <f t="shared" si="274"/>
        <v>0</v>
      </c>
      <c r="AY389" s="85">
        <f t="shared" si="275"/>
        <v>16</v>
      </c>
      <c r="AZ389" s="85">
        <f t="shared" si="276"/>
        <v>37</v>
      </c>
      <c r="BA389" s="85">
        <f t="shared" si="277"/>
        <v>37</v>
      </c>
      <c r="BB389" s="85">
        <f t="shared" si="278"/>
        <v>0</v>
      </c>
      <c r="BC389" s="85">
        <f t="shared" si="279"/>
        <v>0</v>
      </c>
      <c r="BD389" s="85">
        <f t="shared" si="280"/>
        <v>0</v>
      </c>
      <c r="BE389" s="85">
        <f t="shared" si="281"/>
        <v>0</v>
      </c>
      <c r="BF389" s="85">
        <f t="shared" si="282"/>
        <v>0</v>
      </c>
      <c r="BG389" s="85">
        <f t="shared" si="283"/>
        <v>0</v>
      </c>
      <c r="BH389" s="85">
        <f t="shared" si="284"/>
        <v>0</v>
      </c>
      <c r="BI389" s="85">
        <f t="shared" si="285"/>
        <v>0</v>
      </c>
      <c r="BJ389" s="85">
        <f t="shared" si="286"/>
        <v>0</v>
      </c>
      <c r="BK389" s="85">
        <f t="shared" si="287"/>
        <v>35</v>
      </c>
      <c r="BL389" s="85">
        <f t="shared" si="288"/>
        <v>35</v>
      </c>
      <c r="BM389" s="85">
        <f t="shared" si="289"/>
        <v>36</v>
      </c>
      <c r="BN389" s="85">
        <f t="shared" si="290"/>
        <v>0</v>
      </c>
      <c r="BO389" s="85">
        <f t="shared" si="291"/>
        <v>28</v>
      </c>
      <c r="BP389" s="85">
        <f t="shared" si="292"/>
        <v>0</v>
      </c>
      <c r="BQ389" s="85">
        <f t="shared" si="293"/>
        <v>27</v>
      </c>
      <c r="BR389" s="85">
        <f t="shared" si="294"/>
        <v>27</v>
      </c>
      <c r="BT389" s="63"/>
      <c r="BU389" s="63"/>
      <c r="BV389" s="63"/>
      <c r="BW389" s="63"/>
      <c r="BX389" s="63"/>
      <c r="BY389" s="63"/>
      <c r="BZ389" s="63"/>
      <c r="CA389" s="63"/>
      <c r="CB389" s="63"/>
      <c r="CC389" s="63"/>
      <c r="CD389" s="63"/>
      <c r="CE389" s="63"/>
      <c r="CF389" s="63"/>
      <c r="CG389" s="63"/>
      <c r="CH389" s="63"/>
      <c r="CI389" s="63"/>
      <c r="CJ389" s="63"/>
      <c r="CK389" s="63"/>
      <c r="CL389" s="63"/>
      <c r="CM389" s="63"/>
      <c r="CN389" s="63"/>
      <c r="CO389" s="63"/>
      <c r="CP389" s="63"/>
      <c r="CQ389" s="63"/>
      <c r="CR389" s="63"/>
      <c r="CS389" s="63"/>
      <c r="CX389" s="35" t="s">
        <v>12</v>
      </c>
      <c r="CZ389" s="35"/>
      <c r="DC389" s="57" t="str">
        <f t="shared" si="295"/>
        <v/>
      </c>
      <c r="DD389" s="64" t="str">
        <f t="shared" si="296"/>
        <v/>
      </c>
      <c r="DE389" s="65" t="str">
        <f t="shared" si="297"/>
        <v/>
      </c>
      <c r="DF389" s="66" t="str">
        <f>IF(AND(AS404&gt;0,AS403=0),$AS$1,IF(AND(AT404&gt;0,AT403=0),$AT$1,IF(AND(AU404&gt;0,AU403=0),$AU$1,IF(AND(AV404&gt;0,AV403=0),$AV$1,IF(AND(AW404&gt;0,AW403=0),$AW$1,IF(AND(AX404&gt;0,AX403=0),$AX$1,IF(AND(AY404&gt;0,AY403=0),$AY$1,IF(AND(AZ404&gt;0,AZ403=0),$AZ$1,IF(AND(BA404&gt;0,BA403=0),$BA$1,IF(AND(BB404&gt;0,BB403=0),$BB$1,IF(AND(BC404&gt;0,BC403=0),$BC$1,IF(AND(BD404&gt;0,BD403=0),$BD$1,IF(AND(BE404&gt;0,BE403=0),$BE$1,IF(AND(BF404&gt;0,BF403=0),$BF$1,IF(AND(BG404&gt;0,BG403=0),$BG$1,IF(AND(BH404&gt;0,BH403=0),$BH$1,IF(AND(BI404&gt;0,BI403=0),$BI$1,IF(AND(BJ404&gt;0,BJ403=0),$BJ$1,IF(AND(BK404&gt;0,BK403=0),$BK$1,IF(AND(BL404&gt;0,BL403=0),$BL$1,IF(AND(BM404&gt;0,BM403=0),$BM$1,IF(AND(BN404&gt;0,BN403=0),$BN$1,IF(AND(BO404&gt;0,BO403=0),$BO$1,IF(AND(BP404&gt;0,BP403=0),$BP$1,IF(AND(BQ404&gt;0,BQ403=0),$BQ$1,IF(AND(BR404&gt;0,BR403=0),$BQ$1,""))))))))))))))))&amp;(IF(COUNTA(BT404:CS404)&gt;1," ["&amp;COUNTA(BT404:CS404)&amp;"]",""))))))))))))</f>
        <v>ZET [2]</v>
      </c>
    </row>
    <row r="390" spans="2:110" outlineLevel="1">
      <c r="B390" s="54">
        <f t="shared" si="299"/>
        <v>45782</v>
      </c>
      <c r="C390" s="55" t="s">
        <v>1</v>
      </c>
      <c r="D390" s="56">
        <f t="shared" si="300"/>
        <v>45788</v>
      </c>
      <c r="E390" s="52">
        <f t="shared" si="301"/>
        <v>5</v>
      </c>
      <c r="F390" s="53">
        <f t="shared" si="302"/>
        <v>2025</v>
      </c>
      <c r="G390" s="62">
        <f t="shared" si="303"/>
        <v>15</v>
      </c>
      <c r="H390" s="63">
        <f t="shared" si="304"/>
        <v>96</v>
      </c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>
        <v>15</v>
      </c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80"/>
      <c r="AG390" s="87">
        <f t="shared" si="258"/>
        <v>0</v>
      </c>
      <c r="AH390" s="87">
        <f t="shared" si="259"/>
        <v>0</v>
      </c>
      <c r="AI390" s="87">
        <f t="shared" si="260"/>
        <v>0</v>
      </c>
      <c r="AJ390" s="87">
        <f t="shared" si="261"/>
        <v>0</v>
      </c>
      <c r="AK390" s="87">
        <f t="shared" si="262"/>
        <v>10</v>
      </c>
      <c r="AL390" s="87">
        <f t="shared" si="263"/>
        <v>0</v>
      </c>
      <c r="AM390" s="87">
        <f t="shared" si="264"/>
        <v>0</v>
      </c>
      <c r="AN390" s="87">
        <f t="shared" si="265"/>
        <v>0</v>
      </c>
      <c r="AO390" s="87">
        <f t="shared" si="266"/>
        <v>8</v>
      </c>
      <c r="AP390" s="87">
        <f t="shared" si="267"/>
        <v>0</v>
      </c>
      <c r="AQ390" s="87">
        <f t="shared" si="268"/>
        <v>15</v>
      </c>
      <c r="AR390" s="81"/>
      <c r="AS390" s="85">
        <f t="shared" si="269"/>
        <v>0</v>
      </c>
      <c r="AT390" s="85">
        <f t="shared" si="270"/>
        <v>0</v>
      </c>
      <c r="AU390" s="85">
        <f t="shared" si="271"/>
        <v>36</v>
      </c>
      <c r="AV390" s="85">
        <f t="shared" si="272"/>
        <v>55</v>
      </c>
      <c r="AW390" s="85">
        <f t="shared" si="273"/>
        <v>20</v>
      </c>
      <c r="AX390" s="85">
        <f t="shared" si="274"/>
        <v>0</v>
      </c>
      <c r="AY390" s="85">
        <f t="shared" si="275"/>
        <v>17</v>
      </c>
      <c r="AZ390" s="85">
        <f t="shared" si="276"/>
        <v>38</v>
      </c>
      <c r="BA390" s="85">
        <f t="shared" si="277"/>
        <v>38</v>
      </c>
      <c r="BB390" s="85">
        <f t="shared" si="278"/>
        <v>0</v>
      </c>
      <c r="BC390" s="85">
        <f t="shared" si="279"/>
        <v>0</v>
      </c>
      <c r="BD390" s="85">
        <f t="shared" si="280"/>
        <v>0</v>
      </c>
      <c r="BE390" s="85">
        <f t="shared" si="281"/>
        <v>0</v>
      </c>
      <c r="BF390" s="85">
        <f t="shared" si="282"/>
        <v>0</v>
      </c>
      <c r="BG390" s="85">
        <f t="shared" si="283"/>
        <v>0</v>
      </c>
      <c r="BH390" s="85">
        <f t="shared" si="284"/>
        <v>0</v>
      </c>
      <c r="BI390" s="85">
        <f t="shared" si="285"/>
        <v>0</v>
      </c>
      <c r="BJ390" s="85">
        <f t="shared" si="286"/>
        <v>0</v>
      </c>
      <c r="BK390" s="85">
        <f t="shared" si="287"/>
        <v>36</v>
      </c>
      <c r="BL390" s="85">
        <f t="shared" si="288"/>
        <v>36</v>
      </c>
      <c r="BM390" s="85">
        <f t="shared" si="289"/>
        <v>37</v>
      </c>
      <c r="BN390" s="85">
        <f t="shared" si="290"/>
        <v>0</v>
      </c>
      <c r="BO390" s="85">
        <f t="shared" si="291"/>
        <v>29</v>
      </c>
      <c r="BP390" s="85">
        <f t="shared" si="292"/>
        <v>0</v>
      </c>
      <c r="BQ390" s="85">
        <f t="shared" si="293"/>
        <v>28</v>
      </c>
      <c r="BR390" s="85">
        <f t="shared" si="294"/>
        <v>28</v>
      </c>
      <c r="BT390" s="63"/>
      <c r="BU390" s="63"/>
      <c r="BV390" s="63"/>
      <c r="BW390" s="63"/>
      <c r="BX390" s="63"/>
      <c r="BY390" s="63"/>
      <c r="BZ390" s="63"/>
      <c r="CA390" s="63"/>
      <c r="CB390" s="63"/>
      <c r="CC390" s="63"/>
      <c r="CD390" s="63"/>
      <c r="CE390" s="63"/>
      <c r="CF390" s="63"/>
      <c r="CG390" s="63"/>
      <c r="CH390" s="63"/>
      <c r="CI390" s="63"/>
      <c r="CJ390" s="63"/>
      <c r="CK390" s="63"/>
      <c r="CL390" s="63"/>
      <c r="CM390" s="63"/>
      <c r="CN390" s="63"/>
      <c r="CO390" s="63"/>
      <c r="CP390" s="63"/>
      <c r="CQ390" s="63"/>
      <c r="CR390" s="63"/>
      <c r="CS390" s="63"/>
      <c r="CX390" s="35" t="s">
        <v>12</v>
      </c>
      <c r="CZ390" s="35"/>
      <c r="DC390" s="57" t="str">
        <f t="shared" si="295"/>
        <v/>
      </c>
      <c r="DD390" s="64" t="str">
        <f t="shared" si="296"/>
        <v/>
      </c>
      <c r="DE390" s="65" t="str">
        <f t="shared" si="297"/>
        <v/>
      </c>
      <c r="DF390" s="66" t="str">
        <f t="shared" si="298"/>
        <v/>
      </c>
    </row>
    <row r="391" spans="2:110" outlineLevel="1">
      <c r="B391" s="54">
        <f t="shared" si="299"/>
        <v>45789</v>
      </c>
      <c r="C391" s="55" t="s">
        <v>1</v>
      </c>
      <c r="D391" s="56">
        <f t="shared" si="300"/>
        <v>45795</v>
      </c>
      <c r="E391" s="52">
        <f t="shared" si="301"/>
        <v>5</v>
      </c>
      <c r="F391" s="53">
        <f t="shared" si="302"/>
        <v>2025</v>
      </c>
      <c r="G391" s="62">
        <f t="shared" si="303"/>
        <v>15</v>
      </c>
      <c r="H391" s="63">
        <f t="shared" si="304"/>
        <v>96</v>
      </c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>
        <v>15</v>
      </c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80"/>
      <c r="AG391" s="87">
        <f t="shared" ref="AG391:AG454" si="305">IF(I391&gt;0,I391,IF(U391=1,$B391+2,IF(U390=1,1,IF(U390=2,0,IF(AG390=$G390,0,(IF(AG390&gt;=1,AG390+1,0)))))))</f>
        <v>0</v>
      </c>
      <c r="AH391" s="87">
        <f t="shared" ref="AH391:AH454" si="306">IF(J391&gt;0,J391,IF(V391=1,$B391+2,IF(V390=1,1,IF(V390=2,0,IF(AH390=$G390,0,(IF(AH390&gt;=1,AH390+1,0)))))))</f>
        <v>0</v>
      </c>
      <c r="AI391" s="87">
        <f t="shared" ref="AI391:AI454" si="307">IF(K391&gt;0,K391,IF(W391=1,$B391+2,IF(W390=1,1,IF(W390=2,0,IF(AI390=$G390,0,(IF(AI390&gt;=1,AI390+1,0)))))))</f>
        <v>0</v>
      </c>
      <c r="AJ391" s="87">
        <f t="shared" ref="AJ391:AJ454" si="308">IF(L391&gt;0,L391,IF(X391=1,$B391+2,IF(X390=1,1,IF(X390=2,0,IF(AJ390=$G390,0,(IF(AJ390&gt;=1,AJ390+1,0)))))))</f>
        <v>0</v>
      </c>
      <c r="AK391" s="87">
        <f t="shared" ref="AK391:AK454" si="309">IF(M391&gt;0,M391,IF(Y391=1,$B391+2,IF(Y390=1,1,IF(Y390=2,0,IF(AK390=$G390,0,(IF(AK390&gt;=1,AK390+1,0)))))))</f>
        <v>11</v>
      </c>
      <c r="AL391" s="87">
        <f t="shared" ref="AL391:AL454" si="310">IF(N391&gt;0,N391,IF(Z391=1,$B391+2,IF(Z390=1,1,IF(Z390=2,0,IF(AL390=$G390,0,(IF(AL390&gt;=1,AL390+1,0)))))))</f>
        <v>0</v>
      </c>
      <c r="AM391" s="87">
        <f t="shared" ref="AM391:AM454" si="311">IF(O391&gt;0,O391,IF(AA391=1,$B391+2,IF(AA390=1,1,IF(AA390=2,0,IF(AM390=$G390,0,(IF(AM390&gt;=1,AM390+1,0)))))))</f>
        <v>0</v>
      </c>
      <c r="AN391" s="87">
        <f t="shared" ref="AN391:AN454" si="312">IF(P391&gt;0,P391,IF(AB391=1,$B391+2,IF(AB390=1,1,IF(AB390=2,0,IF(AN390=$G390,0,(IF(AN390&gt;=1,AN390+1,0)))))))</f>
        <v>0</v>
      </c>
      <c r="AO391" s="87">
        <f t="shared" ref="AO391:AO454" si="313">IF(Q391&gt;0,Q391,IF(AC391=1,$B391+2,IF(AC390=1,1,IF(AC390=2,0,IF(AO390=$G390,0,(IF(AO390&gt;=1,AO390+1,0)))))))</f>
        <v>9</v>
      </c>
      <c r="AP391" s="87">
        <f t="shared" ref="AP391:AP454" si="314">IF(R391&gt;0,R391,IF(AD391=1,$B391+2,IF(AD390=1,1,IF(AD390=2,0,IF(AP390=$G390,0,(IF(AP390&gt;=1,AP390+1,0)))))))</f>
        <v>0</v>
      </c>
      <c r="AQ391" s="87">
        <f t="shared" ref="AQ391:AQ454" si="315">IF(S391&gt;0,S391,IF(AE391=1,$B391+2,IF(AE390=1,1,IF(AE390=2,0,IF(AQ390=$G390,0,(IF(AQ390&gt;=1,AQ390+1,0)))))))</f>
        <v>15</v>
      </c>
      <c r="AR391" s="81"/>
      <c r="AS391" s="85">
        <f t="shared" ref="AS391:AS454" si="316">IF(AND(BT391&gt;=$AG$5,BT391&lt;=$AQ$5),LOOKUP(BT391,$AG$5:$AQ$5,$AG391:$AQ391),IF(BT390="A",0,IF(AS390=$H391,0,IF(AS390=0,0,AS390+1))))</f>
        <v>0</v>
      </c>
      <c r="AT391" s="85">
        <f t="shared" ref="AT391:AT454" si="317">IF(AND(BU391&gt;=$AG$5,BU391&lt;=$AQ$5),LOOKUP(BU391,$AG$5:$AQ$5,$AG391:$AQ391),IF(BU390="A",0,IF(AT390=$H391,0,IF(AT390=0,0,AT390+1))))</f>
        <v>0</v>
      </c>
      <c r="AU391" s="85">
        <f t="shared" ref="AU391:AU454" si="318">IF(AND(BV391&gt;=$AG$5,BV391&lt;=$AQ$5),LOOKUP(BV391,$AG$5:$AQ$5,$AG391:$AQ391),IF(BV390="A",0,IF(AU390=$H391,0,IF(AU390=0,0,AU390+1))))</f>
        <v>37</v>
      </c>
      <c r="AV391" s="85">
        <f t="shared" ref="AV391:AV454" si="319">IF(AND(BW391&gt;=$AG$5,BW391&lt;=$AQ$5),LOOKUP(BW391,$AG$5:$AQ$5,$AG391:$AQ391),IF(BW390="A",0,IF(AV390=$H391,0,IF(AV390=0,0,AV390+1))))</f>
        <v>56</v>
      </c>
      <c r="AW391" s="85">
        <f t="shared" ref="AW391:AW454" si="320">IF(AND(BX391&gt;=$AG$5,BX391&lt;=$AQ$5),LOOKUP(BX391,$AG$5:$AQ$5,$AG391:$AQ391),IF(BX390="A",0,IF(AW390=$H391,0,IF(AW390=0,0,AW390+1))))</f>
        <v>21</v>
      </c>
      <c r="AX391" s="85">
        <f t="shared" ref="AX391:AX454" si="321">IF(AND(BY391&gt;=$AG$5,BY391&lt;=$AQ$5),LOOKUP(BY391,$AG$5:$AQ$5,$AG391:$AQ391),IF(BY390="A",0,IF(AX390=$H391,0,IF(AX390=0,0,AX390+1))))</f>
        <v>0</v>
      </c>
      <c r="AY391" s="85">
        <f t="shared" ref="AY391:AY454" si="322">IF(AND(BZ391&gt;=$AG$5,BZ391&lt;=$AQ$5),LOOKUP(BZ391,$AG$5:$AQ$5,$AG391:$AQ391),IF(BZ390="A",0,IF(AY390=$H391,0,IF(AY390=0,0,AY390+1))))</f>
        <v>18</v>
      </c>
      <c r="AZ391" s="85">
        <f t="shared" ref="AZ391:AZ454" si="323">IF(AND(CA391&gt;=$AG$5,CA391&lt;=$AQ$5),LOOKUP(CA391,$AG$5:$AQ$5,$AG391:$AQ391),IF(CA390="A",0,IF(AZ390=$H391,0,IF(AZ390=0,0,AZ390+1))))</f>
        <v>39</v>
      </c>
      <c r="BA391" s="85">
        <f t="shared" ref="BA391:BA454" si="324">IF(AND(CB391&gt;=$AG$5,CB391&lt;=$AQ$5),LOOKUP(CB391,$AG$5:$AQ$5,$AG391:$AQ391),IF(CB390="A",0,IF(BA390=$H391,0,IF(BA390=0,0,BA390+1))))</f>
        <v>39</v>
      </c>
      <c r="BB391" s="85">
        <f t="shared" ref="BB391:BB454" si="325">IF(AND(CC391&gt;=$AG$5,CC391&lt;=$AQ$5),LOOKUP(CC391,$AG$5:$AQ$5,$AG391:$AQ391),IF(CC390="A",0,IF(BB390=$H391,0,IF(BB390=0,0,BB390+1))))</f>
        <v>0</v>
      </c>
      <c r="BC391" s="85">
        <f t="shared" ref="BC391:BC454" si="326">IF(AND(CD391&gt;=$AG$5,CD391&lt;=$AQ$5),LOOKUP(CD391,$AG$5:$AQ$5,$AG391:$AQ391),IF(CD390="A",0,IF(BC390=$H391,0,IF(BC390=0,0,BC390+1))))</f>
        <v>0</v>
      </c>
      <c r="BD391" s="85">
        <f t="shared" ref="BD391:BD454" si="327">IF(AND(CE391&gt;=$AG$5,CE391&lt;=$AQ$5),LOOKUP(CE391,$AG$5:$AQ$5,$AG391:$AQ391),IF(CE390="A",0,IF(BD390=$H391,0,IF(BD390=0,0,BD390+1))))</f>
        <v>0</v>
      </c>
      <c r="BE391" s="85">
        <f t="shared" ref="BE391:BE454" si="328">IF(AND(CF391&gt;=$AG$5,CF391&lt;=$AQ$5),LOOKUP(CF391,$AG$5:$AQ$5,$AG391:$AQ391),IF(CF390="A",0,IF(BE390=$H391,0,IF(BE390=0,0,BE390+1))))</f>
        <v>0</v>
      </c>
      <c r="BF391" s="85">
        <f t="shared" ref="BF391:BF454" si="329">IF(AND(CG391&gt;=$AG$5,CG391&lt;=$AQ$5),LOOKUP(CG391,$AG$5:$AQ$5,$AG391:$AQ391),IF(CG390="A",0,IF(BF390=$H391,0,IF(BF390=0,0,BF390+1))))</f>
        <v>0</v>
      </c>
      <c r="BG391" s="85">
        <f t="shared" ref="BG391:BG454" si="330">IF(AND(CH391&gt;=$AG$5,CH391&lt;=$AQ$5),LOOKUP(CH391,$AG$5:$AQ$5,$AG391:$AQ391),IF(CH390="A",0,IF(BG390=$H391,0,IF(BG390=0,0,BG390+1))))</f>
        <v>0</v>
      </c>
      <c r="BH391" s="85">
        <f t="shared" ref="BH391:BH454" si="331">IF(AND(CI391&gt;=$AG$5,CI391&lt;=$AQ$5),LOOKUP(CI391,$AG$5:$AQ$5,$AG391:$AQ391),IF(CI390="A",0,IF(BH390=$H391,0,IF(BH390=0,0,BH390+1))))</f>
        <v>0</v>
      </c>
      <c r="BI391" s="85">
        <f t="shared" ref="BI391:BI454" si="332">IF(AND(CJ391&gt;=$AG$5,CJ391&lt;=$AQ$5),LOOKUP(CJ391,$AG$5:$AQ$5,$AG391:$AQ391),IF(CJ390="A",0,IF(BI390=$H391,0,IF(BI390=0,0,BI390+1))))</f>
        <v>0</v>
      </c>
      <c r="BJ391" s="85">
        <f t="shared" ref="BJ391:BJ454" si="333">IF(AND(CK391&gt;=$AG$5,CK391&lt;=$AQ$5),LOOKUP(CK391,$AG$5:$AQ$5,$AG391:$AQ391),IF(CK390="A",0,IF(BJ390=$H391,0,IF(BJ390=0,0,BJ390+1))))</f>
        <v>0</v>
      </c>
      <c r="BK391" s="85">
        <f t="shared" ref="BK391:BK454" si="334">IF(AND(CL391&gt;=$AG$5,CL391&lt;=$AQ$5),LOOKUP(CL391,$AG$5:$AQ$5,$AG391:$AQ391),IF(CL390="A",0,IF(BK390=$H391,0,IF(BK390=0,0,BK390+1))))</f>
        <v>37</v>
      </c>
      <c r="BL391" s="85">
        <f t="shared" ref="BL391:BL454" si="335">IF(AND(CM391&gt;=$AG$5,CM391&lt;=$AQ$5),LOOKUP(CM391,$AG$5:$AQ$5,$AG391:$AQ391),IF(CM390="A",0,IF(BL390=$H391,0,IF(BL390=0,0,BL390+1))))</f>
        <v>37</v>
      </c>
      <c r="BM391" s="85">
        <f t="shared" ref="BM391:BM454" si="336">IF(AND(CN391&gt;=$AG$5,CN391&lt;=$AQ$5),LOOKUP(CN391,$AG$5:$AQ$5,$AG391:$AQ391),IF(CN390="A",0,IF(BM390=$H391,0,IF(BM390=0,0,BM390+1))))</f>
        <v>38</v>
      </c>
      <c r="BN391" s="85">
        <f t="shared" ref="BN391:BN454" si="337">IF(AND(CO391&gt;=$AG$5,CO391&lt;=$AQ$5),LOOKUP(CO391,$AG$5:$AQ$5,$AG391:$AQ391),IF(CO390="A",0,IF(BN390=$H391,0,IF(BN390=0,0,BN390+1))))</f>
        <v>0</v>
      </c>
      <c r="BO391" s="85">
        <f t="shared" ref="BO391:BO454" si="338">IF(AND(CP391&gt;=$AG$5,CP391&lt;=$AQ$5),LOOKUP(CP391,$AG$5:$AQ$5,$AG391:$AQ391),IF(CP390="A",0,IF(BO390=$H391,0,IF(BO390=0,0,BO390+1))))</f>
        <v>30</v>
      </c>
      <c r="BP391" s="85">
        <f t="shared" ref="BP391:BP454" si="339">IF(AND(CQ391&gt;=$AG$5,CQ391&lt;=$AQ$5),LOOKUP(CQ391,$AG$5:$AQ$5,$AG391:$AQ391),IF(CQ390="A",0,IF(BP390=$H391,0,IF(BP390=0,0,BP390+1))))</f>
        <v>0</v>
      </c>
      <c r="BQ391" s="85">
        <f t="shared" ref="BQ391:BQ454" si="340">IF(AND(CR391&gt;=$AG$5,CR391&lt;=$AQ$5),LOOKUP(CR391,$AG$5:$AQ$5,$AG391:$AQ391),IF(CR390="A",0,IF(BQ390=$H391,0,IF(BQ390=0,0,BQ390+1))))</f>
        <v>29</v>
      </c>
      <c r="BR391" s="85">
        <f t="shared" ref="BR391:BR454" si="341">IF(AND(CS391&gt;=$AG$5,CS391&lt;=$AQ$5),LOOKUP(CS391,$AG$5:$AQ$5,$AG391:$AQ391),IF(CS390="A",0,IF(BR390=$H391,0,IF(BR390=0,0,BR390+1))))</f>
        <v>29</v>
      </c>
      <c r="BT391" s="63"/>
      <c r="BU391" s="63"/>
      <c r="BV391" s="63"/>
      <c r="BW391" s="63"/>
      <c r="BX391" s="63"/>
      <c r="BY391" s="63"/>
      <c r="BZ391" s="63"/>
      <c r="CA391" s="63"/>
      <c r="CB391" s="63"/>
      <c r="CC391" s="63"/>
      <c r="CD391" s="63"/>
      <c r="CE391" s="63"/>
      <c r="CF391" s="63"/>
      <c r="CG391" s="63"/>
      <c r="CH391" s="63"/>
      <c r="CI391" s="63"/>
      <c r="CJ391" s="63"/>
      <c r="CK391" s="63"/>
      <c r="CL391" s="63"/>
      <c r="CM391" s="63"/>
      <c r="CN391" s="63"/>
      <c r="CO391" s="63"/>
      <c r="CP391" s="63"/>
      <c r="CQ391" s="63"/>
      <c r="CR391" s="63"/>
      <c r="CS391" s="63"/>
      <c r="CX391" s="35" t="s">
        <v>12</v>
      </c>
      <c r="CZ391" s="35"/>
      <c r="DC391" s="57" t="str">
        <f t="shared" ref="DC391:DC454" si="342">IF(AND(AG391&gt;0,AG390=0),$AG$5,IF(AND(AK391&gt;0,AK390=0),$AK$5,IF(AND(AO391&gt;0,AO390=0),$AO$5,IF(AND(AI391&gt;0,AI390=0),$AI$5,IF(AND(AJ391&gt;0,AJ390=0),$AJ$5,IF(AND(AQ391&gt;0,AQ390=0),$AQ$5,IF(AND(AL391&gt;0,AL390=0),$AL$5,IF(AND(AM391&gt;0,AM390=0),$AM$5,IF(AND(AN391&gt;0,AN390=0),$AN$5,"")))))))))</f>
        <v/>
      </c>
      <c r="DD391" s="64" t="str">
        <f t="shared" ref="DD391:DD453" si="343">IF(OR(AND($AG392=1,$AG393=2),OR(AND($AK392=1,$AK393=2),OR(AND($AO392=1,$AO393=2),OR(AND($AI392=1,$AI393=2),OR(AND($AJ392=1,$AJ393),OR(AND($AQ392=1,$AQ393=2,OR(AND($AL392=1,$AL393=2,OR(AND($AM392=1,$AM393=2,OR(AND($AN392=1,$AN393=2))))))))))))),$B391+2,"")</f>
        <v/>
      </c>
      <c r="DE391" s="65" t="str">
        <f t="shared" ref="DE391:DE453" si="344">IF(DD391="","",DD391+(15*7))</f>
        <v/>
      </c>
      <c r="DF391" s="66" t="str">
        <f t="shared" ref="DF391:DF430" si="345">IF(AND(AS406&gt;0,AS405=0),$AS$1,IF(AND(AT406&gt;0,AT405=0),$AT$1,IF(AND(AU406&gt;0,AU405=0),$AU$1,IF(AND(AV406&gt;0,AV405=0),$AV$1,IF(AND(AW406&gt;0,AW405=0),$AW$1,IF(AND(AX406&gt;0,AX405=0),$AX$1,IF(AND(AY406&gt;0,AY405=0),$AY$1,IF(AND(AZ406&gt;0,AZ405=0),$AZ$1,IF(AND(BA406&gt;0,BA405=0),$BA$1,IF(AND(BB406&gt;0,BB405=0),$BB$1,IF(AND(BC406&gt;0,BC405=0),$BC$1,IF(AND(BD406&gt;0,BD405=0),$BD$1,IF(AND(BE406&gt;0,BE405=0),$BE$1,IF(AND(BF406&gt;0,BF405=0),$BF$1,IF(AND(BG406&gt;0,BG405=0),$BG$1,IF(AND(BH406&gt;0,BH405=0),$BH$1,IF(AND(BI406&gt;0,BI405=0),$BI$1,IF(AND(BJ406&gt;0,BJ405=0),$BJ$1,IF(AND(BK406&gt;0,BK405=0),$BK$1,IF(AND(BL406&gt;0,BL405=0),$BL$1,IF(AND(BM406&gt;0,BM405=0),$BM$1,IF(AND(BN406&gt;0,BN405=0),$BN$1,IF(AND(BO406&gt;0,BO405=0),$BO$1,IF(AND(BP406&gt;0,BP405=0),$BP$1,IF(AND(BQ406&gt;0,BQ405=0),$BQ$1,IF(AND(BR406&gt;0,BR405=0),$BQ$1,""))))))))))))))))&amp;(IF(COUNTA(BT406:CS406)&gt;1," ["&amp;COUNTA(BT406:CS406)&amp;"]",""))))))))))))</f>
        <v/>
      </c>
    </row>
    <row r="392" spans="2:110" outlineLevel="1">
      <c r="B392" s="54">
        <f t="shared" ref="B392:B422" si="346">D391+1</f>
        <v>45796</v>
      </c>
      <c r="C392" s="55" t="s">
        <v>1</v>
      </c>
      <c r="D392" s="56">
        <f t="shared" ref="D392:D422" si="347">B392+6</f>
        <v>45802</v>
      </c>
      <c r="E392" s="52">
        <f t="shared" ref="E392:E422" si="348">MONTH(B392)</f>
        <v>5</v>
      </c>
      <c r="F392" s="53">
        <f t="shared" ref="F392:F422" si="349">YEAR(D392)</f>
        <v>2025</v>
      </c>
      <c r="G392" s="62">
        <f t="shared" si="303"/>
        <v>15</v>
      </c>
      <c r="H392" s="63">
        <f t="shared" si="304"/>
        <v>96</v>
      </c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>
        <v>15</v>
      </c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80"/>
      <c r="AG392" s="87">
        <f t="shared" si="305"/>
        <v>0</v>
      </c>
      <c r="AH392" s="87">
        <f t="shared" si="306"/>
        <v>0</v>
      </c>
      <c r="AI392" s="87">
        <f t="shared" si="307"/>
        <v>0</v>
      </c>
      <c r="AJ392" s="87">
        <f t="shared" si="308"/>
        <v>0</v>
      </c>
      <c r="AK392" s="87">
        <f t="shared" si="309"/>
        <v>12</v>
      </c>
      <c r="AL392" s="87">
        <f t="shared" si="310"/>
        <v>0</v>
      </c>
      <c r="AM392" s="87">
        <f t="shared" si="311"/>
        <v>0</v>
      </c>
      <c r="AN392" s="87">
        <f t="shared" si="312"/>
        <v>0</v>
      </c>
      <c r="AO392" s="87">
        <f t="shared" si="313"/>
        <v>10</v>
      </c>
      <c r="AP392" s="87">
        <f t="shared" si="314"/>
        <v>0</v>
      </c>
      <c r="AQ392" s="87">
        <f t="shared" si="315"/>
        <v>15</v>
      </c>
      <c r="AR392" s="81"/>
      <c r="AS392" s="85">
        <f t="shared" si="316"/>
        <v>0</v>
      </c>
      <c r="AT392" s="85">
        <f t="shared" si="317"/>
        <v>0</v>
      </c>
      <c r="AU392" s="85">
        <f t="shared" si="318"/>
        <v>38</v>
      </c>
      <c r="AV392" s="85">
        <f t="shared" si="319"/>
        <v>57</v>
      </c>
      <c r="AW392" s="85">
        <f t="shared" si="320"/>
        <v>22</v>
      </c>
      <c r="AX392" s="85">
        <f t="shared" si="321"/>
        <v>0</v>
      </c>
      <c r="AY392" s="85">
        <f t="shared" si="322"/>
        <v>19</v>
      </c>
      <c r="AZ392" s="85">
        <f t="shared" si="323"/>
        <v>40</v>
      </c>
      <c r="BA392" s="85">
        <f t="shared" si="324"/>
        <v>40</v>
      </c>
      <c r="BB392" s="85">
        <f t="shared" si="325"/>
        <v>0</v>
      </c>
      <c r="BC392" s="85">
        <f t="shared" si="326"/>
        <v>0</v>
      </c>
      <c r="BD392" s="85">
        <f t="shared" si="327"/>
        <v>0</v>
      </c>
      <c r="BE392" s="85">
        <f t="shared" si="328"/>
        <v>0</v>
      </c>
      <c r="BF392" s="85">
        <f t="shared" si="329"/>
        <v>0</v>
      </c>
      <c r="BG392" s="85">
        <f t="shared" si="330"/>
        <v>0</v>
      </c>
      <c r="BH392" s="85">
        <f t="shared" si="331"/>
        <v>0</v>
      </c>
      <c r="BI392" s="85">
        <f t="shared" si="332"/>
        <v>0</v>
      </c>
      <c r="BJ392" s="85">
        <f t="shared" si="333"/>
        <v>0</v>
      </c>
      <c r="BK392" s="85">
        <f t="shared" si="334"/>
        <v>38</v>
      </c>
      <c r="BL392" s="85">
        <f t="shared" si="335"/>
        <v>38</v>
      </c>
      <c r="BM392" s="85">
        <f t="shared" si="336"/>
        <v>39</v>
      </c>
      <c r="BN392" s="85">
        <f t="shared" si="337"/>
        <v>0</v>
      </c>
      <c r="BO392" s="85">
        <f t="shared" si="338"/>
        <v>31</v>
      </c>
      <c r="BP392" s="85">
        <f t="shared" si="339"/>
        <v>0</v>
      </c>
      <c r="BQ392" s="85">
        <f t="shared" si="340"/>
        <v>30</v>
      </c>
      <c r="BR392" s="85">
        <f t="shared" si="341"/>
        <v>30</v>
      </c>
      <c r="BT392" s="63"/>
      <c r="BU392" s="63"/>
      <c r="BV392" s="63"/>
      <c r="BW392" s="63"/>
      <c r="BX392" s="63"/>
      <c r="BY392" s="63"/>
      <c r="BZ392" s="63"/>
      <c r="CA392" s="63"/>
      <c r="CB392" s="63"/>
      <c r="CC392" s="63"/>
      <c r="CD392" s="63"/>
      <c r="CE392" s="63"/>
      <c r="CF392" s="63"/>
      <c r="CG392" s="63"/>
      <c r="CH392" s="63"/>
      <c r="CI392" s="63"/>
      <c r="CJ392" s="63"/>
      <c r="CK392" s="63"/>
      <c r="CL392" s="63"/>
      <c r="CM392" s="63"/>
      <c r="CN392" s="63"/>
      <c r="CO392" s="63"/>
      <c r="CP392" s="63"/>
      <c r="CQ392" s="63"/>
      <c r="CR392" s="63"/>
      <c r="CS392" s="63"/>
      <c r="CX392" s="35" t="s">
        <v>12</v>
      </c>
      <c r="CZ392" s="35"/>
      <c r="DC392" s="57" t="str">
        <f t="shared" si="342"/>
        <v/>
      </c>
      <c r="DD392" s="64" t="str">
        <f t="shared" si="343"/>
        <v/>
      </c>
      <c r="DE392" s="65" t="str">
        <f t="shared" si="344"/>
        <v/>
      </c>
      <c r="DF392" s="66" t="str">
        <f t="shared" si="345"/>
        <v/>
      </c>
    </row>
    <row r="393" spans="2:110" outlineLevel="1">
      <c r="B393" s="54">
        <f t="shared" si="346"/>
        <v>45803</v>
      </c>
      <c r="C393" s="55" t="s">
        <v>1</v>
      </c>
      <c r="D393" s="56">
        <f t="shared" si="347"/>
        <v>45809</v>
      </c>
      <c r="E393" s="52">
        <f t="shared" si="348"/>
        <v>5</v>
      </c>
      <c r="F393" s="53">
        <f t="shared" si="349"/>
        <v>2025</v>
      </c>
      <c r="G393" s="62">
        <f t="shared" ref="G393:G456" si="350">G392</f>
        <v>15</v>
      </c>
      <c r="H393" s="63">
        <f t="shared" ref="H393:H456" si="351">H392</f>
        <v>96</v>
      </c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>
        <v>15</v>
      </c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80"/>
      <c r="AG393" s="87">
        <f t="shared" si="305"/>
        <v>0</v>
      </c>
      <c r="AH393" s="87">
        <f t="shared" si="306"/>
        <v>0</v>
      </c>
      <c r="AI393" s="87">
        <f t="shared" si="307"/>
        <v>0</v>
      </c>
      <c r="AJ393" s="87">
        <f t="shared" si="308"/>
        <v>0</v>
      </c>
      <c r="AK393" s="87">
        <f t="shared" si="309"/>
        <v>13</v>
      </c>
      <c r="AL393" s="87">
        <f t="shared" si="310"/>
        <v>0</v>
      </c>
      <c r="AM393" s="87">
        <f t="shared" si="311"/>
        <v>0</v>
      </c>
      <c r="AN393" s="87">
        <f t="shared" si="312"/>
        <v>0</v>
      </c>
      <c r="AO393" s="87">
        <f t="shared" si="313"/>
        <v>11</v>
      </c>
      <c r="AP393" s="87">
        <f t="shared" si="314"/>
        <v>0</v>
      </c>
      <c r="AQ393" s="87">
        <f t="shared" si="315"/>
        <v>15</v>
      </c>
      <c r="AR393" s="81"/>
      <c r="AS393" s="85">
        <f t="shared" si="316"/>
        <v>0</v>
      </c>
      <c r="AT393" s="85">
        <f t="shared" si="317"/>
        <v>0</v>
      </c>
      <c r="AU393" s="85">
        <f t="shared" si="318"/>
        <v>39</v>
      </c>
      <c r="AV393" s="85">
        <f t="shared" si="319"/>
        <v>58</v>
      </c>
      <c r="AW393" s="85">
        <f t="shared" si="320"/>
        <v>23</v>
      </c>
      <c r="AX393" s="85">
        <f t="shared" si="321"/>
        <v>0</v>
      </c>
      <c r="AY393" s="85">
        <f t="shared" si="322"/>
        <v>20</v>
      </c>
      <c r="AZ393" s="85">
        <f t="shared" si="323"/>
        <v>41</v>
      </c>
      <c r="BA393" s="85">
        <f t="shared" si="324"/>
        <v>41</v>
      </c>
      <c r="BB393" s="85">
        <f t="shared" si="325"/>
        <v>0</v>
      </c>
      <c r="BC393" s="85">
        <f t="shared" si="326"/>
        <v>0</v>
      </c>
      <c r="BD393" s="85">
        <f t="shared" si="327"/>
        <v>0</v>
      </c>
      <c r="BE393" s="85">
        <f t="shared" si="328"/>
        <v>0</v>
      </c>
      <c r="BF393" s="85">
        <f t="shared" si="329"/>
        <v>0</v>
      </c>
      <c r="BG393" s="85">
        <f t="shared" si="330"/>
        <v>0</v>
      </c>
      <c r="BH393" s="85">
        <f t="shared" si="331"/>
        <v>0</v>
      </c>
      <c r="BI393" s="85">
        <f t="shared" si="332"/>
        <v>0</v>
      </c>
      <c r="BJ393" s="85">
        <f t="shared" si="333"/>
        <v>0</v>
      </c>
      <c r="BK393" s="85">
        <f t="shared" si="334"/>
        <v>39</v>
      </c>
      <c r="BL393" s="85">
        <f t="shared" si="335"/>
        <v>39</v>
      </c>
      <c r="BM393" s="85">
        <f t="shared" si="336"/>
        <v>40</v>
      </c>
      <c r="BN393" s="85">
        <f t="shared" si="337"/>
        <v>0</v>
      </c>
      <c r="BO393" s="85">
        <f t="shared" si="338"/>
        <v>32</v>
      </c>
      <c r="BP393" s="85">
        <f t="shared" si="339"/>
        <v>0</v>
      </c>
      <c r="BQ393" s="85">
        <f t="shared" si="340"/>
        <v>31</v>
      </c>
      <c r="BR393" s="85">
        <f t="shared" si="341"/>
        <v>31</v>
      </c>
      <c r="BT393" s="63"/>
      <c r="BU393" s="63"/>
      <c r="BV393" s="63"/>
      <c r="BW393" s="63"/>
      <c r="BX393" s="63"/>
      <c r="BY393" s="63"/>
      <c r="BZ393" s="63"/>
      <c r="CA393" s="63"/>
      <c r="CB393" s="63"/>
      <c r="CC393" s="63"/>
      <c r="CD393" s="63"/>
      <c r="CE393" s="63"/>
      <c r="CF393" s="63"/>
      <c r="CG393" s="63"/>
      <c r="CH393" s="63"/>
      <c r="CI393" s="63"/>
      <c r="CJ393" s="63"/>
      <c r="CK393" s="63"/>
      <c r="CL393" s="63"/>
      <c r="CM393" s="63"/>
      <c r="CN393" s="63"/>
      <c r="CO393" s="63"/>
      <c r="CP393" s="63"/>
      <c r="CQ393" s="63"/>
      <c r="CR393" s="63"/>
      <c r="CS393" s="63"/>
      <c r="CX393" s="35" t="s">
        <v>12</v>
      </c>
      <c r="CZ393" s="35"/>
      <c r="DC393" s="57" t="str">
        <f t="shared" si="342"/>
        <v/>
      </c>
      <c r="DD393" s="64" t="str">
        <f t="shared" si="343"/>
        <v/>
      </c>
      <c r="DE393" s="65" t="str">
        <f t="shared" si="344"/>
        <v/>
      </c>
      <c r="DF393" s="66" t="str">
        <f t="shared" si="345"/>
        <v/>
      </c>
    </row>
    <row r="394" spans="2:110" outlineLevel="1">
      <c r="B394" s="54">
        <f t="shared" si="346"/>
        <v>45810</v>
      </c>
      <c r="C394" s="55" t="s">
        <v>1</v>
      </c>
      <c r="D394" s="56">
        <f t="shared" si="347"/>
        <v>45816</v>
      </c>
      <c r="E394" s="52">
        <f t="shared" si="348"/>
        <v>6</v>
      </c>
      <c r="F394" s="53">
        <f t="shared" si="349"/>
        <v>2025</v>
      </c>
      <c r="G394" s="62">
        <f t="shared" si="350"/>
        <v>15</v>
      </c>
      <c r="H394" s="63">
        <f t="shared" si="351"/>
        <v>96</v>
      </c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>
        <v>15</v>
      </c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80"/>
      <c r="AG394" s="87">
        <f t="shared" si="305"/>
        <v>0</v>
      </c>
      <c r="AH394" s="87">
        <f t="shared" si="306"/>
        <v>0</v>
      </c>
      <c r="AI394" s="87">
        <f t="shared" si="307"/>
        <v>0</v>
      </c>
      <c r="AJ394" s="87">
        <f t="shared" si="308"/>
        <v>0</v>
      </c>
      <c r="AK394" s="87">
        <f t="shared" si="309"/>
        <v>14</v>
      </c>
      <c r="AL394" s="87">
        <f t="shared" si="310"/>
        <v>0</v>
      </c>
      <c r="AM394" s="87">
        <f t="shared" si="311"/>
        <v>0</v>
      </c>
      <c r="AN394" s="87">
        <f t="shared" si="312"/>
        <v>0</v>
      </c>
      <c r="AO394" s="87">
        <f t="shared" si="313"/>
        <v>12</v>
      </c>
      <c r="AP394" s="87">
        <f t="shared" si="314"/>
        <v>0</v>
      </c>
      <c r="AQ394" s="87">
        <f t="shared" si="315"/>
        <v>15</v>
      </c>
      <c r="AR394" s="81"/>
      <c r="AS394" s="85">
        <f t="shared" si="316"/>
        <v>0</v>
      </c>
      <c r="AT394" s="85">
        <f t="shared" si="317"/>
        <v>0</v>
      </c>
      <c r="AU394" s="85">
        <f t="shared" si="318"/>
        <v>40</v>
      </c>
      <c r="AV394" s="85">
        <f t="shared" si="319"/>
        <v>59</v>
      </c>
      <c r="AW394" s="85">
        <f t="shared" si="320"/>
        <v>24</v>
      </c>
      <c r="AX394" s="85">
        <f t="shared" si="321"/>
        <v>0</v>
      </c>
      <c r="AY394" s="85">
        <f t="shared" si="322"/>
        <v>21</v>
      </c>
      <c r="AZ394" s="85">
        <f t="shared" si="323"/>
        <v>42</v>
      </c>
      <c r="BA394" s="85">
        <f t="shared" si="324"/>
        <v>42</v>
      </c>
      <c r="BB394" s="85">
        <f t="shared" si="325"/>
        <v>0</v>
      </c>
      <c r="BC394" s="85">
        <f t="shared" si="326"/>
        <v>0</v>
      </c>
      <c r="BD394" s="85">
        <f t="shared" si="327"/>
        <v>0</v>
      </c>
      <c r="BE394" s="85">
        <f t="shared" si="328"/>
        <v>0</v>
      </c>
      <c r="BF394" s="85">
        <f t="shared" si="329"/>
        <v>0</v>
      </c>
      <c r="BG394" s="85">
        <f t="shared" si="330"/>
        <v>0</v>
      </c>
      <c r="BH394" s="85">
        <f t="shared" si="331"/>
        <v>0</v>
      </c>
      <c r="BI394" s="85">
        <f t="shared" si="332"/>
        <v>0</v>
      </c>
      <c r="BJ394" s="85">
        <f t="shared" si="333"/>
        <v>0</v>
      </c>
      <c r="BK394" s="85">
        <f t="shared" si="334"/>
        <v>40</v>
      </c>
      <c r="BL394" s="85">
        <f t="shared" si="335"/>
        <v>40</v>
      </c>
      <c r="BM394" s="85">
        <f t="shared" si="336"/>
        <v>41</v>
      </c>
      <c r="BN394" s="85">
        <f t="shared" si="337"/>
        <v>0</v>
      </c>
      <c r="BO394" s="85">
        <f t="shared" si="338"/>
        <v>33</v>
      </c>
      <c r="BP394" s="85">
        <f t="shared" si="339"/>
        <v>0</v>
      </c>
      <c r="BQ394" s="85">
        <f t="shared" si="340"/>
        <v>32</v>
      </c>
      <c r="BR394" s="85">
        <f t="shared" si="341"/>
        <v>32</v>
      </c>
      <c r="BT394" s="63"/>
      <c r="BU394" s="63"/>
      <c r="BV394" s="63"/>
      <c r="BW394" s="63"/>
      <c r="BX394" s="63"/>
      <c r="BY394" s="63"/>
      <c r="BZ394" s="63"/>
      <c r="CA394" s="63"/>
      <c r="CB394" s="63"/>
      <c r="CC394" s="63"/>
      <c r="CD394" s="63"/>
      <c r="CE394" s="63"/>
      <c r="CF394" s="63"/>
      <c r="CG394" s="63"/>
      <c r="CH394" s="63"/>
      <c r="CI394" s="63"/>
      <c r="CJ394" s="63"/>
      <c r="CK394" s="63"/>
      <c r="CL394" s="63"/>
      <c r="CM394" s="63"/>
      <c r="CN394" s="63"/>
      <c r="CO394" s="63"/>
      <c r="CP394" s="63"/>
      <c r="CQ394" s="63"/>
      <c r="CR394" s="63"/>
      <c r="CS394" s="63"/>
      <c r="CX394" s="35" t="s">
        <v>12</v>
      </c>
      <c r="CZ394" s="35"/>
      <c r="DC394" s="57" t="str">
        <f t="shared" si="342"/>
        <v/>
      </c>
      <c r="DD394" s="64" t="str">
        <f t="shared" si="343"/>
        <v/>
      </c>
      <c r="DE394" s="65" t="str">
        <f t="shared" si="344"/>
        <v/>
      </c>
      <c r="DF394" s="66" t="str">
        <f t="shared" si="345"/>
        <v/>
      </c>
    </row>
    <row r="395" spans="2:110" outlineLevel="1">
      <c r="B395" s="54">
        <f t="shared" si="346"/>
        <v>45817</v>
      </c>
      <c r="C395" s="55" t="s">
        <v>1</v>
      </c>
      <c r="D395" s="56">
        <f t="shared" si="347"/>
        <v>45823</v>
      </c>
      <c r="E395" s="52">
        <f t="shared" si="348"/>
        <v>6</v>
      </c>
      <c r="F395" s="53">
        <f t="shared" si="349"/>
        <v>2025</v>
      </c>
      <c r="G395" s="62">
        <f t="shared" si="350"/>
        <v>15</v>
      </c>
      <c r="H395" s="63">
        <f t="shared" si="351"/>
        <v>96</v>
      </c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>
        <v>15</v>
      </c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80"/>
      <c r="AG395" s="87">
        <f t="shared" si="305"/>
        <v>0</v>
      </c>
      <c r="AH395" s="87">
        <f t="shared" si="306"/>
        <v>0</v>
      </c>
      <c r="AI395" s="87">
        <f t="shared" si="307"/>
        <v>0</v>
      </c>
      <c r="AJ395" s="87">
        <f t="shared" si="308"/>
        <v>0</v>
      </c>
      <c r="AK395" s="87">
        <f t="shared" si="309"/>
        <v>15</v>
      </c>
      <c r="AL395" s="87">
        <f t="shared" si="310"/>
        <v>0</v>
      </c>
      <c r="AM395" s="87">
        <f t="shared" si="311"/>
        <v>0</v>
      </c>
      <c r="AN395" s="87">
        <f t="shared" si="312"/>
        <v>0</v>
      </c>
      <c r="AO395" s="87">
        <f t="shared" si="313"/>
        <v>13</v>
      </c>
      <c r="AP395" s="87">
        <f t="shared" si="314"/>
        <v>0</v>
      </c>
      <c r="AQ395" s="87">
        <f t="shared" si="315"/>
        <v>15</v>
      </c>
      <c r="AR395" s="81"/>
      <c r="AS395" s="85">
        <f t="shared" si="316"/>
        <v>15</v>
      </c>
      <c r="AT395" s="85">
        <f t="shared" si="317"/>
        <v>0</v>
      </c>
      <c r="AU395" s="85">
        <f t="shared" si="318"/>
        <v>41</v>
      </c>
      <c r="AV395" s="85">
        <f t="shared" si="319"/>
        <v>60</v>
      </c>
      <c r="AW395" s="85">
        <f t="shared" si="320"/>
        <v>25</v>
      </c>
      <c r="AX395" s="85">
        <f t="shared" si="321"/>
        <v>0</v>
      </c>
      <c r="AY395" s="85">
        <f t="shared" si="322"/>
        <v>22</v>
      </c>
      <c r="AZ395" s="85">
        <f t="shared" si="323"/>
        <v>43</v>
      </c>
      <c r="BA395" s="85">
        <f t="shared" si="324"/>
        <v>43</v>
      </c>
      <c r="BB395" s="85">
        <f t="shared" si="325"/>
        <v>0</v>
      </c>
      <c r="BC395" s="85">
        <f t="shared" si="326"/>
        <v>0</v>
      </c>
      <c r="BD395" s="85">
        <f t="shared" si="327"/>
        <v>0</v>
      </c>
      <c r="BE395" s="85">
        <f t="shared" si="328"/>
        <v>0</v>
      </c>
      <c r="BF395" s="85">
        <f t="shared" si="329"/>
        <v>0</v>
      </c>
      <c r="BG395" s="85">
        <f t="shared" si="330"/>
        <v>0</v>
      </c>
      <c r="BH395" s="85">
        <f t="shared" si="331"/>
        <v>0</v>
      </c>
      <c r="BI395" s="85">
        <f t="shared" si="332"/>
        <v>0</v>
      </c>
      <c r="BJ395" s="85">
        <f t="shared" si="333"/>
        <v>0</v>
      </c>
      <c r="BK395" s="85">
        <f t="shared" si="334"/>
        <v>41</v>
      </c>
      <c r="BL395" s="85">
        <f t="shared" si="335"/>
        <v>41</v>
      </c>
      <c r="BM395" s="85">
        <f t="shared" si="336"/>
        <v>42</v>
      </c>
      <c r="BN395" s="85">
        <f t="shared" si="337"/>
        <v>0</v>
      </c>
      <c r="BO395" s="85">
        <f t="shared" si="338"/>
        <v>34</v>
      </c>
      <c r="BP395" s="85">
        <f t="shared" si="339"/>
        <v>0</v>
      </c>
      <c r="BQ395" s="85">
        <f t="shared" si="340"/>
        <v>33</v>
      </c>
      <c r="BR395" s="85">
        <f t="shared" si="341"/>
        <v>33</v>
      </c>
      <c r="BT395" s="63">
        <v>5</v>
      </c>
      <c r="BU395" s="63"/>
      <c r="BV395" s="63"/>
      <c r="BW395" s="63"/>
      <c r="BX395" s="63"/>
      <c r="BY395" s="63"/>
      <c r="BZ395" s="63"/>
      <c r="CA395" s="63"/>
      <c r="CB395" s="63"/>
      <c r="CC395" s="63"/>
      <c r="CD395" s="63"/>
      <c r="CE395" s="63"/>
      <c r="CF395" s="63"/>
      <c r="CG395" s="63"/>
      <c r="CH395" s="63"/>
      <c r="CI395" s="63"/>
      <c r="CJ395" s="63"/>
      <c r="CK395" s="63"/>
      <c r="CL395" s="63"/>
      <c r="CM395" s="63"/>
      <c r="CN395" s="63"/>
      <c r="CO395" s="63"/>
      <c r="CP395" s="63"/>
      <c r="CQ395" s="63"/>
      <c r="CR395" s="63"/>
      <c r="CS395" s="63"/>
      <c r="CX395" s="35" t="s">
        <v>12</v>
      </c>
      <c r="CZ395" s="35"/>
      <c r="DC395" s="57" t="str">
        <f t="shared" si="342"/>
        <v/>
      </c>
      <c r="DD395" s="64" t="str">
        <f t="shared" si="343"/>
        <v/>
      </c>
      <c r="DE395" s="65" t="str">
        <f t="shared" si="344"/>
        <v/>
      </c>
      <c r="DF395" s="66" t="str">
        <f t="shared" si="345"/>
        <v/>
      </c>
    </row>
    <row r="396" spans="2:110" outlineLevel="1">
      <c r="B396" s="54">
        <f t="shared" si="346"/>
        <v>45824</v>
      </c>
      <c r="C396" s="55" t="s">
        <v>1</v>
      </c>
      <c r="D396" s="56">
        <f t="shared" si="347"/>
        <v>45830</v>
      </c>
      <c r="E396" s="52">
        <f t="shared" si="348"/>
        <v>6</v>
      </c>
      <c r="F396" s="53">
        <f t="shared" si="349"/>
        <v>2025</v>
      </c>
      <c r="G396" s="62">
        <f t="shared" si="350"/>
        <v>15</v>
      </c>
      <c r="H396" s="63">
        <f t="shared" si="351"/>
        <v>96</v>
      </c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>
        <v>15</v>
      </c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80"/>
      <c r="AG396" s="87">
        <f t="shared" si="305"/>
        <v>0</v>
      </c>
      <c r="AH396" s="87">
        <f t="shared" si="306"/>
        <v>0</v>
      </c>
      <c r="AI396" s="87">
        <f t="shared" si="307"/>
        <v>0</v>
      </c>
      <c r="AJ396" s="87">
        <f t="shared" si="308"/>
        <v>0</v>
      </c>
      <c r="AK396" s="87">
        <f t="shared" si="309"/>
        <v>0</v>
      </c>
      <c r="AL396" s="87">
        <f t="shared" si="310"/>
        <v>0</v>
      </c>
      <c r="AM396" s="87">
        <f t="shared" si="311"/>
        <v>0</v>
      </c>
      <c r="AN396" s="87">
        <f t="shared" si="312"/>
        <v>0</v>
      </c>
      <c r="AO396" s="87">
        <f t="shared" si="313"/>
        <v>14</v>
      </c>
      <c r="AP396" s="87">
        <f t="shared" si="314"/>
        <v>0</v>
      </c>
      <c r="AQ396" s="87">
        <f t="shared" si="315"/>
        <v>15</v>
      </c>
      <c r="AR396" s="81"/>
      <c r="AS396" s="85">
        <f t="shared" si="316"/>
        <v>16</v>
      </c>
      <c r="AT396" s="85">
        <f t="shared" si="317"/>
        <v>0</v>
      </c>
      <c r="AU396" s="85">
        <f t="shared" si="318"/>
        <v>42</v>
      </c>
      <c r="AV396" s="85">
        <f t="shared" si="319"/>
        <v>61</v>
      </c>
      <c r="AW396" s="85">
        <f t="shared" si="320"/>
        <v>26</v>
      </c>
      <c r="AX396" s="85">
        <f t="shared" si="321"/>
        <v>0</v>
      </c>
      <c r="AY396" s="85">
        <f t="shared" si="322"/>
        <v>23</v>
      </c>
      <c r="AZ396" s="85">
        <f t="shared" si="323"/>
        <v>44</v>
      </c>
      <c r="BA396" s="85">
        <f t="shared" si="324"/>
        <v>44</v>
      </c>
      <c r="BB396" s="85">
        <f t="shared" si="325"/>
        <v>0</v>
      </c>
      <c r="BC396" s="85">
        <f t="shared" si="326"/>
        <v>0</v>
      </c>
      <c r="BD396" s="85">
        <f t="shared" si="327"/>
        <v>0</v>
      </c>
      <c r="BE396" s="85">
        <f t="shared" si="328"/>
        <v>0</v>
      </c>
      <c r="BF396" s="85">
        <f t="shared" si="329"/>
        <v>0</v>
      </c>
      <c r="BG396" s="85">
        <f t="shared" si="330"/>
        <v>0</v>
      </c>
      <c r="BH396" s="85">
        <f t="shared" si="331"/>
        <v>0</v>
      </c>
      <c r="BI396" s="85">
        <f t="shared" si="332"/>
        <v>0</v>
      </c>
      <c r="BJ396" s="85">
        <f t="shared" si="333"/>
        <v>0</v>
      </c>
      <c r="BK396" s="85">
        <f t="shared" si="334"/>
        <v>42</v>
      </c>
      <c r="BL396" s="85">
        <f t="shared" si="335"/>
        <v>42</v>
      </c>
      <c r="BM396" s="85">
        <f t="shared" si="336"/>
        <v>43</v>
      </c>
      <c r="BN396" s="85">
        <f t="shared" si="337"/>
        <v>0</v>
      </c>
      <c r="BO396" s="85">
        <f t="shared" si="338"/>
        <v>35</v>
      </c>
      <c r="BP396" s="85">
        <f t="shared" si="339"/>
        <v>0</v>
      </c>
      <c r="BQ396" s="85">
        <f t="shared" si="340"/>
        <v>34</v>
      </c>
      <c r="BR396" s="85">
        <f t="shared" si="341"/>
        <v>34</v>
      </c>
      <c r="BT396" s="63"/>
      <c r="BU396" s="63"/>
      <c r="BV396" s="63"/>
      <c r="BW396" s="63"/>
      <c r="BX396" s="63"/>
      <c r="BY396" s="63"/>
      <c r="BZ396" s="63"/>
      <c r="CA396" s="63"/>
      <c r="CB396" s="63"/>
      <c r="CC396" s="63"/>
      <c r="CD396" s="63"/>
      <c r="CE396" s="63"/>
      <c r="CF396" s="63"/>
      <c r="CG396" s="63"/>
      <c r="CH396" s="63"/>
      <c r="CI396" s="63"/>
      <c r="CJ396" s="63"/>
      <c r="CK396" s="63"/>
      <c r="CL396" s="63"/>
      <c r="CM396" s="63"/>
      <c r="CN396" s="63"/>
      <c r="CO396" s="63"/>
      <c r="CP396" s="63"/>
      <c r="CQ396" s="63"/>
      <c r="CR396" s="63"/>
      <c r="CS396" s="63"/>
      <c r="CX396" s="35" t="s">
        <v>12</v>
      </c>
      <c r="CZ396" s="35"/>
      <c r="DC396" s="57" t="str">
        <f t="shared" si="342"/>
        <v/>
      </c>
      <c r="DD396" s="64" t="str">
        <f t="shared" si="343"/>
        <v/>
      </c>
      <c r="DE396" s="65" t="str">
        <f t="shared" si="344"/>
        <v/>
      </c>
      <c r="DF396" s="66" t="str">
        <f t="shared" si="345"/>
        <v/>
      </c>
    </row>
    <row r="397" spans="2:110" outlineLevel="1">
      <c r="B397" s="54">
        <f t="shared" si="346"/>
        <v>45831</v>
      </c>
      <c r="C397" s="55" t="s">
        <v>1</v>
      </c>
      <c r="D397" s="56">
        <f t="shared" si="347"/>
        <v>45837</v>
      </c>
      <c r="E397" s="52">
        <f t="shared" si="348"/>
        <v>6</v>
      </c>
      <c r="F397" s="53">
        <f t="shared" si="349"/>
        <v>2025</v>
      </c>
      <c r="G397" s="62">
        <f t="shared" si="350"/>
        <v>15</v>
      </c>
      <c r="H397" s="63">
        <f t="shared" si="351"/>
        <v>96</v>
      </c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>
        <v>15</v>
      </c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80"/>
      <c r="AG397" s="87">
        <f t="shared" si="305"/>
        <v>0</v>
      </c>
      <c r="AH397" s="87">
        <f t="shared" si="306"/>
        <v>0</v>
      </c>
      <c r="AI397" s="87">
        <f t="shared" si="307"/>
        <v>0</v>
      </c>
      <c r="AJ397" s="87">
        <f t="shared" si="308"/>
        <v>0</v>
      </c>
      <c r="AK397" s="87">
        <f t="shared" si="309"/>
        <v>0</v>
      </c>
      <c r="AL397" s="87">
        <f t="shared" si="310"/>
        <v>0</v>
      </c>
      <c r="AM397" s="87">
        <f t="shared" si="311"/>
        <v>0</v>
      </c>
      <c r="AN397" s="87">
        <f t="shared" si="312"/>
        <v>0</v>
      </c>
      <c r="AO397" s="87">
        <f t="shared" si="313"/>
        <v>15</v>
      </c>
      <c r="AP397" s="87">
        <f t="shared" si="314"/>
        <v>0</v>
      </c>
      <c r="AQ397" s="87">
        <f t="shared" si="315"/>
        <v>15</v>
      </c>
      <c r="AR397" s="81"/>
      <c r="AS397" s="85">
        <f t="shared" si="316"/>
        <v>17</v>
      </c>
      <c r="AT397" s="85">
        <f t="shared" si="317"/>
        <v>0</v>
      </c>
      <c r="AU397" s="85">
        <f t="shared" si="318"/>
        <v>43</v>
      </c>
      <c r="AV397" s="85">
        <f t="shared" si="319"/>
        <v>62</v>
      </c>
      <c r="AW397" s="85">
        <f t="shared" si="320"/>
        <v>27</v>
      </c>
      <c r="AX397" s="85">
        <f t="shared" si="321"/>
        <v>0</v>
      </c>
      <c r="AY397" s="85">
        <f t="shared" si="322"/>
        <v>24</v>
      </c>
      <c r="AZ397" s="85">
        <f t="shared" si="323"/>
        <v>45</v>
      </c>
      <c r="BA397" s="85">
        <f t="shared" si="324"/>
        <v>45</v>
      </c>
      <c r="BB397" s="85">
        <f t="shared" si="325"/>
        <v>0</v>
      </c>
      <c r="BC397" s="85">
        <f t="shared" si="326"/>
        <v>15</v>
      </c>
      <c r="BD397" s="85">
        <f t="shared" si="327"/>
        <v>0</v>
      </c>
      <c r="BE397" s="85">
        <f t="shared" si="328"/>
        <v>0</v>
      </c>
      <c r="BF397" s="85">
        <f t="shared" si="329"/>
        <v>0</v>
      </c>
      <c r="BG397" s="85">
        <f t="shared" si="330"/>
        <v>0</v>
      </c>
      <c r="BH397" s="85">
        <f t="shared" si="331"/>
        <v>0</v>
      </c>
      <c r="BI397" s="85">
        <f t="shared" si="332"/>
        <v>0</v>
      </c>
      <c r="BJ397" s="85">
        <f t="shared" si="333"/>
        <v>0</v>
      </c>
      <c r="BK397" s="85">
        <f t="shared" si="334"/>
        <v>43</v>
      </c>
      <c r="BL397" s="85">
        <f t="shared" si="335"/>
        <v>43</v>
      </c>
      <c r="BM397" s="85">
        <f t="shared" si="336"/>
        <v>44</v>
      </c>
      <c r="BN397" s="85">
        <f t="shared" si="337"/>
        <v>0</v>
      </c>
      <c r="BO397" s="85">
        <f t="shared" si="338"/>
        <v>36</v>
      </c>
      <c r="BP397" s="85">
        <f t="shared" si="339"/>
        <v>0</v>
      </c>
      <c r="BQ397" s="85">
        <f t="shared" si="340"/>
        <v>35</v>
      </c>
      <c r="BR397" s="85">
        <f t="shared" si="341"/>
        <v>35</v>
      </c>
      <c r="BT397" s="63"/>
      <c r="BU397" s="63"/>
      <c r="BV397" s="63"/>
      <c r="BW397" s="63"/>
      <c r="BX397" s="63"/>
      <c r="BY397" s="63"/>
      <c r="BZ397" s="63"/>
      <c r="CA397" s="63"/>
      <c r="CB397" s="63"/>
      <c r="CC397" s="63"/>
      <c r="CD397" s="63">
        <v>9</v>
      </c>
      <c r="CE397" s="63"/>
      <c r="CF397" s="63"/>
      <c r="CG397" s="63"/>
      <c r="CH397" s="63"/>
      <c r="CI397" s="63"/>
      <c r="CJ397" s="63"/>
      <c r="CK397" s="63"/>
      <c r="CL397" s="63"/>
      <c r="CM397" s="63"/>
      <c r="CN397" s="63"/>
      <c r="CO397" s="63"/>
      <c r="CP397" s="63"/>
      <c r="CQ397" s="63"/>
      <c r="CR397" s="63"/>
      <c r="CS397" s="63"/>
      <c r="CX397" s="35" t="s">
        <v>12</v>
      </c>
      <c r="CZ397" s="35"/>
      <c r="DC397" s="57" t="str">
        <f t="shared" si="342"/>
        <v/>
      </c>
      <c r="DD397" s="64" t="str">
        <f t="shared" si="343"/>
        <v/>
      </c>
      <c r="DE397" s="65" t="str">
        <f t="shared" si="344"/>
        <v/>
      </c>
      <c r="DF397" s="66" t="str">
        <f t="shared" si="345"/>
        <v/>
      </c>
    </row>
    <row r="398" spans="2:110" outlineLevel="1">
      <c r="B398" s="54">
        <f t="shared" si="346"/>
        <v>45838</v>
      </c>
      <c r="C398" s="55" t="s">
        <v>1</v>
      </c>
      <c r="D398" s="56">
        <f t="shared" si="347"/>
        <v>45844</v>
      </c>
      <c r="E398" s="52">
        <f t="shared" si="348"/>
        <v>6</v>
      </c>
      <c r="F398" s="53">
        <f t="shared" si="349"/>
        <v>2025</v>
      </c>
      <c r="G398" s="62">
        <f t="shared" si="350"/>
        <v>15</v>
      </c>
      <c r="H398" s="63">
        <f t="shared" si="351"/>
        <v>96</v>
      </c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>
        <v>15</v>
      </c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80"/>
      <c r="AG398" s="87">
        <f t="shared" si="305"/>
        <v>0</v>
      </c>
      <c r="AH398" s="87">
        <f t="shared" si="306"/>
        <v>0</v>
      </c>
      <c r="AI398" s="87">
        <f t="shared" si="307"/>
        <v>0</v>
      </c>
      <c r="AJ398" s="87">
        <f t="shared" si="308"/>
        <v>0</v>
      </c>
      <c r="AK398" s="87">
        <f t="shared" si="309"/>
        <v>0</v>
      </c>
      <c r="AL398" s="87">
        <f t="shared" si="310"/>
        <v>0</v>
      </c>
      <c r="AM398" s="87">
        <f t="shared" si="311"/>
        <v>0</v>
      </c>
      <c r="AN398" s="87">
        <f t="shared" si="312"/>
        <v>0</v>
      </c>
      <c r="AO398" s="87">
        <f t="shared" si="313"/>
        <v>0</v>
      </c>
      <c r="AP398" s="87">
        <f t="shared" si="314"/>
        <v>0</v>
      </c>
      <c r="AQ398" s="87">
        <f t="shared" si="315"/>
        <v>15</v>
      </c>
      <c r="AR398" s="81"/>
      <c r="AS398" s="85">
        <f t="shared" si="316"/>
        <v>18</v>
      </c>
      <c r="AT398" s="85">
        <f t="shared" si="317"/>
        <v>0</v>
      </c>
      <c r="AU398" s="85">
        <f t="shared" si="318"/>
        <v>44</v>
      </c>
      <c r="AV398" s="85">
        <f t="shared" si="319"/>
        <v>63</v>
      </c>
      <c r="AW398" s="85">
        <f t="shared" si="320"/>
        <v>28</v>
      </c>
      <c r="AX398" s="85">
        <f t="shared" si="321"/>
        <v>0</v>
      </c>
      <c r="AY398" s="85">
        <f t="shared" si="322"/>
        <v>25</v>
      </c>
      <c r="AZ398" s="85">
        <f t="shared" si="323"/>
        <v>46</v>
      </c>
      <c r="BA398" s="85">
        <f t="shared" si="324"/>
        <v>46</v>
      </c>
      <c r="BB398" s="85">
        <f t="shared" si="325"/>
        <v>0</v>
      </c>
      <c r="BC398" s="85">
        <f t="shared" si="326"/>
        <v>16</v>
      </c>
      <c r="BD398" s="85">
        <f t="shared" si="327"/>
        <v>0</v>
      </c>
      <c r="BE398" s="85">
        <f t="shared" si="328"/>
        <v>0</v>
      </c>
      <c r="BF398" s="85">
        <f t="shared" si="329"/>
        <v>0</v>
      </c>
      <c r="BG398" s="85">
        <f t="shared" si="330"/>
        <v>0</v>
      </c>
      <c r="BH398" s="85">
        <f t="shared" si="331"/>
        <v>0</v>
      </c>
      <c r="BI398" s="85">
        <f t="shared" si="332"/>
        <v>0</v>
      </c>
      <c r="BJ398" s="85">
        <f t="shared" si="333"/>
        <v>0</v>
      </c>
      <c r="BK398" s="85">
        <f t="shared" si="334"/>
        <v>44</v>
      </c>
      <c r="BL398" s="85">
        <f t="shared" si="335"/>
        <v>44</v>
      </c>
      <c r="BM398" s="85">
        <f t="shared" si="336"/>
        <v>45</v>
      </c>
      <c r="BN398" s="85">
        <f t="shared" si="337"/>
        <v>0</v>
      </c>
      <c r="BO398" s="85">
        <f t="shared" si="338"/>
        <v>37</v>
      </c>
      <c r="BP398" s="85">
        <f t="shared" si="339"/>
        <v>0</v>
      </c>
      <c r="BQ398" s="85">
        <f t="shared" si="340"/>
        <v>36</v>
      </c>
      <c r="BR398" s="85">
        <f t="shared" si="341"/>
        <v>36</v>
      </c>
      <c r="BT398" s="63"/>
      <c r="BU398" s="63"/>
      <c r="BV398" s="63"/>
      <c r="BW398" s="63"/>
      <c r="BX398" s="63"/>
      <c r="BY398" s="63"/>
      <c r="BZ398" s="63"/>
      <c r="CA398" s="63"/>
      <c r="CB398" s="63"/>
      <c r="CC398" s="63"/>
      <c r="CD398" s="63"/>
      <c r="CE398" s="63"/>
      <c r="CF398" s="63"/>
      <c r="CG398" s="63"/>
      <c r="CH398" s="63"/>
      <c r="CI398" s="63"/>
      <c r="CJ398" s="63"/>
      <c r="CK398" s="63"/>
      <c r="CL398" s="63"/>
      <c r="CM398" s="63"/>
      <c r="CN398" s="63"/>
      <c r="CO398" s="63"/>
      <c r="CP398" s="63"/>
      <c r="CQ398" s="63"/>
      <c r="CR398" s="63"/>
      <c r="CS398" s="63"/>
      <c r="CX398" s="35" t="s">
        <v>12</v>
      </c>
      <c r="CZ398" s="35"/>
      <c r="DC398" s="57" t="str">
        <f t="shared" si="342"/>
        <v/>
      </c>
      <c r="DD398" s="64" t="str">
        <f t="shared" si="343"/>
        <v/>
      </c>
      <c r="DE398" s="65" t="str">
        <f t="shared" si="344"/>
        <v/>
      </c>
      <c r="DF398" s="66" t="str">
        <f t="shared" si="345"/>
        <v/>
      </c>
    </row>
    <row r="399" spans="2:110" outlineLevel="1">
      <c r="B399" s="54">
        <f t="shared" si="346"/>
        <v>45845</v>
      </c>
      <c r="C399" s="55" t="s">
        <v>1</v>
      </c>
      <c r="D399" s="56">
        <f t="shared" si="347"/>
        <v>45851</v>
      </c>
      <c r="E399" s="52">
        <f t="shared" si="348"/>
        <v>7</v>
      </c>
      <c r="F399" s="53">
        <f t="shared" si="349"/>
        <v>2025</v>
      </c>
      <c r="G399" s="62">
        <f t="shared" si="350"/>
        <v>15</v>
      </c>
      <c r="H399" s="63">
        <f t="shared" si="351"/>
        <v>96</v>
      </c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>
        <v>15</v>
      </c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80"/>
      <c r="AG399" s="87">
        <f t="shared" si="305"/>
        <v>0</v>
      </c>
      <c r="AH399" s="87">
        <f t="shared" si="306"/>
        <v>0</v>
      </c>
      <c r="AI399" s="87">
        <f t="shared" si="307"/>
        <v>0</v>
      </c>
      <c r="AJ399" s="87">
        <f t="shared" si="308"/>
        <v>0</v>
      </c>
      <c r="AK399" s="87">
        <f t="shared" si="309"/>
        <v>0</v>
      </c>
      <c r="AL399" s="87">
        <f t="shared" si="310"/>
        <v>0</v>
      </c>
      <c r="AM399" s="87">
        <f t="shared" si="311"/>
        <v>0</v>
      </c>
      <c r="AN399" s="87">
        <f t="shared" si="312"/>
        <v>0</v>
      </c>
      <c r="AO399" s="87">
        <f t="shared" si="313"/>
        <v>0</v>
      </c>
      <c r="AP399" s="87">
        <f t="shared" si="314"/>
        <v>0</v>
      </c>
      <c r="AQ399" s="87">
        <f t="shared" si="315"/>
        <v>15</v>
      </c>
      <c r="AR399" s="81"/>
      <c r="AS399" s="85">
        <f t="shared" si="316"/>
        <v>19</v>
      </c>
      <c r="AT399" s="85">
        <f t="shared" si="317"/>
        <v>0</v>
      </c>
      <c r="AU399" s="85">
        <f t="shared" si="318"/>
        <v>45</v>
      </c>
      <c r="AV399" s="85">
        <f t="shared" si="319"/>
        <v>64</v>
      </c>
      <c r="AW399" s="85">
        <f t="shared" si="320"/>
        <v>29</v>
      </c>
      <c r="AX399" s="85">
        <f t="shared" si="321"/>
        <v>0</v>
      </c>
      <c r="AY399" s="85">
        <f t="shared" si="322"/>
        <v>26</v>
      </c>
      <c r="AZ399" s="85">
        <f t="shared" si="323"/>
        <v>47</v>
      </c>
      <c r="BA399" s="85">
        <f t="shared" si="324"/>
        <v>47</v>
      </c>
      <c r="BB399" s="85">
        <f t="shared" si="325"/>
        <v>0</v>
      </c>
      <c r="BC399" s="85">
        <f t="shared" si="326"/>
        <v>17</v>
      </c>
      <c r="BD399" s="85">
        <f t="shared" si="327"/>
        <v>0</v>
      </c>
      <c r="BE399" s="85">
        <f t="shared" si="328"/>
        <v>0</v>
      </c>
      <c r="BF399" s="85">
        <f t="shared" si="329"/>
        <v>0</v>
      </c>
      <c r="BG399" s="85">
        <f t="shared" si="330"/>
        <v>15</v>
      </c>
      <c r="BH399" s="85">
        <f t="shared" si="331"/>
        <v>15</v>
      </c>
      <c r="BI399" s="85">
        <f t="shared" si="332"/>
        <v>0</v>
      </c>
      <c r="BJ399" s="85">
        <f t="shared" si="333"/>
        <v>0</v>
      </c>
      <c r="BK399" s="85">
        <f t="shared" si="334"/>
        <v>45</v>
      </c>
      <c r="BL399" s="85">
        <f t="shared" si="335"/>
        <v>45</v>
      </c>
      <c r="BM399" s="85">
        <f t="shared" si="336"/>
        <v>46</v>
      </c>
      <c r="BN399" s="85">
        <f t="shared" si="337"/>
        <v>0</v>
      </c>
      <c r="BO399" s="85">
        <f t="shared" si="338"/>
        <v>38</v>
      </c>
      <c r="BP399" s="85">
        <f t="shared" si="339"/>
        <v>0</v>
      </c>
      <c r="BQ399" s="85">
        <f t="shared" si="340"/>
        <v>37</v>
      </c>
      <c r="BR399" s="85">
        <f t="shared" si="341"/>
        <v>37</v>
      </c>
      <c r="BT399" s="63"/>
      <c r="BU399" s="63"/>
      <c r="BV399" s="63"/>
      <c r="BW399" s="63"/>
      <c r="BX399" s="63"/>
      <c r="BY399" s="63"/>
      <c r="BZ399" s="63"/>
      <c r="CA399" s="63"/>
      <c r="CB399" s="63"/>
      <c r="CC399" s="63"/>
      <c r="CD399" s="63"/>
      <c r="CE399" s="63"/>
      <c r="CF399" s="63"/>
      <c r="CG399" s="63"/>
      <c r="CH399" s="63">
        <v>11</v>
      </c>
      <c r="CI399" s="63">
        <v>11</v>
      </c>
      <c r="CJ399" s="63"/>
      <c r="CK399" s="63"/>
      <c r="CL399" s="63"/>
      <c r="CM399" s="63"/>
      <c r="CN399" s="63"/>
      <c r="CO399" s="63"/>
      <c r="CP399" s="63"/>
      <c r="CQ399" s="63"/>
      <c r="CR399" s="63"/>
      <c r="CS399" s="63"/>
      <c r="CX399" s="35" t="s">
        <v>12</v>
      </c>
      <c r="CZ399" s="35"/>
      <c r="DC399" s="57" t="str">
        <f t="shared" si="342"/>
        <v/>
      </c>
      <c r="DD399" s="64" t="str">
        <f t="shared" si="343"/>
        <v/>
      </c>
      <c r="DE399" s="65" t="str">
        <f t="shared" si="344"/>
        <v/>
      </c>
      <c r="DF399" s="66" t="str">
        <f t="shared" si="345"/>
        <v/>
      </c>
    </row>
    <row r="400" spans="2:110" outlineLevel="1">
      <c r="B400" s="54">
        <f t="shared" si="346"/>
        <v>45852</v>
      </c>
      <c r="C400" s="55" t="s">
        <v>1</v>
      </c>
      <c r="D400" s="56">
        <f t="shared" si="347"/>
        <v>45858</v>
      </c>
      <c r="E400" s="52">
        <f t="shared" si="348"/>
        <v>7</v>
      </c>
      <c r="F400" s="53">
        <f t="shared" si="349"/>
        <v>2025</v>
      </c>
      <c r="G400" s="62">
        <f t="shared" si="350"/>
        <v>15</v>
      </c>
      <c r="H400" s="63">
        <f t="shared" si="351"/>
        <v>96</v>
      </c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>
        <v>15</v>
      </c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80"/>
      <c r="AG400" s="87">
        <f t="shared" si="305"/>
        <v>0</v>
      </c>
      <c r="AH400" s="87">
        <f t="shared" si="306"/>
        <v>0</v>
      </c>
      <c r="AI400" s="87">
        <f t="shared" si="307"/>
        <v>0</v>
      </c>
      <c r="AJ400" s="87">
        <f t="shared" si="308"/>
        <v>0</v>
      </c>
      <c r="AK400" s="87">
        <f t="shared" si="309"/>
        <v>0</v>
      </c>
      <c r="AL400" s="87">
        <f t="shared" si="310"/>
        <v>0</v>
      </c>
      <c r="AM400" s="87">
        <f t="shared" si="311"/>
        <v>0</v>
      </c>
      <c r="AN400" s="87">
        <f t="shared" si="312"/>
        <v>0</v>
      </c>
      <c r="AO400" s="87">
        <f t="shared" si="313"/>
        <v>0</v>
      </c>
      <c r="AP400" s="87">
        <f t="shared" si="314"/>
        <v>0</v>
      </c>
      <c r="AQ400" s="87">
        <f t="shared" si="315"/>
        <v>15</v>
      </c>
      <c r="AR400" s="81"/>
      <c r="AS400" s="85">
        <f t="shared" si="316"/>
        <v>20</v>
      </c>
      <c r="AT400" s="85">
        <f t="shared" si="317"/>
        <v>0</v>
      </c>
      <c r="AU400" s="85">
        <f t="shared" si="318"/>
        <v>46</v>
      </c>
      <c r="AV400" s="85">
        <f t="shared" si="319"/>
        <v>65</v>
      </c>
      <c r="AW400" s="85">
        <f t="shared" si="320"/>
        <v>30</v>
      </c>
      <c r="AX400" s="85">
        <f t="shared" si="321"/>
        <v>0</v>
      </c>
      <c r="AY400" s="85">
        <f t="shared" si="322"/>
        <v>27</v>
      </c>
      <c r="AZ400" s="85">
        <f t="shared" si="323"/>
        <v>48</v>
      </c>
      <c r="BA400" s="85">
        <f t="shared" si="324"/>
        <v>48</v>
      </c>
      <c r="BB400" s="85">
        <f t="shared" si="325"/>
        <v>0</v>
      </c>
      <c r="BC400" s="85">
        <f t="shared" si="326"/>
        <v>18</v>
      </c>
      <c r="BD400" s="85">
        <f t="shared" si="327"/>
        <v>0</v>
      </c>
      <c r="BE400" s="85">
        <f t="shared" si="328"/>
        <v>0</v>
      </c>
      <c r="BF400" s="85">
        <f t="shared" si="329"/>
        <v>0</v>
      </c>
      <c r="BG400" s="85">
        <f t="shared" si="330"/>
        <v>16</v>
      </c>
      <c r="BH400" s="85">
        <f t="shared" si="331"/>
        <v>16</v>
      </c>
      <c r="BI400" s="85">
        <f t="shared" si="332"/>
        <v>15</v>
      </c>
      <c r="BJ400" s="85">
        <f t="shared" si="333"/>
        <v>15</v>
      </c>
      <c r="BK400" s="85">
        <f t="shared" si="334"/>
        <v>46</v>
      </c>
      <c r="BL400" s="85">
        <f t="shared" si="335"/>
        <v>46</v>
      </c>
      <c r="BM400" s="85">
        <f t="shared" si="336"/>
        <v>47</v>
      </c>
      <c r="BN400" s="85">
        <f t="shared" si="337"/>
        <v>0</v>
      </c>
      <c r="BO400" s="85">
        <f t="shared" si="338"/>
        <v>39</v>
      </c>
      <c r="BP400" s="85">
        <f t="shared" si="339"/>
        <v>0</v>
      </c>
      <c r="BQ400" s="85">
        <f t="shared" si="340"/>
        <v>38</v>
      </c>
      <c r="BR400" s="85">
        <f t="shared" si="341"/>
        <v>38</v>
      </c>
      <c r="BT400" s="63"/>
      <c r="BU400" s="63"/>
      <c r="BV400" s="63"/>
      <c r="BW400" s="63"/>
      <c r="BX400" s="63"/>
      <c r="BY400" s="63"/>
      <c r="BZ400" s="63"/>
      <c r="CA400" s="63"/>
      <c r="CB400" s="63"/>
      <c r="CC400" s="63"/>
      <c r="CD400" s="63"/>
      <c r="CE400" s="63"/>
      <c r="CF400" s="63"/>
      <c r="CG400" s="63"/>
      <c r="CH400" s="63"/>
      <c r="CI400" s="63"/>
      <c r="CJ400" s="63">
        <v>11</v>
      </c>
      <c r="CK400" s="63">
        <v>11</v>
      </c>
      <c r="CL400" s="63"/>
      <c r="CM400" s="63"/>
      <c r="CN400" s="63"/>
      <c r="CO400" s="63"/>
      <c r="CP400" s="63"/>
      <c r="CQ400" s="63"/>
      <c r="CR400" s="63"/>
      <c r="CS400" s="63"/>
      <c r="CX400" s="35" t="s">
        <v>12</v>
      </c>
      <c r="CZ400" s="35"/>
      <c r="DC400" s="57" t="str">
        <f t="shared" si="342"/>
        <v/>
      </c>
      <c r="DD400" s="64" t="str">
        <f t="shared" si="343"/>
        <v/>
      </c>
      <c r="DE400" s="65" t="str">
        <f t="shared" si="344"/>
        <v/>
      </c>
      <c r="DF400" s="66" t="str">
        <f t="shared" si="345"/>
        <v/>
      </c>
    </row>
    <row r="401" spans="2:115" outlineLevel="1">
      <c r="B401" s="54">
        <f t="shared" si="346"/>
        <v>45859</v>
      </c>
      <c r="C401" s="55" t="s">
        <v>1</v>
      </c>
      <c r="D401" s="56">
        <f t="shared" si="347"/>
        <v>45865</v>
      </c>
      <c r="E401" s="52">
        <f t="shared" si="348"/>
        <v>7</v>
      </c>
      <c r="F401" s="53">
        <f t="shared" si="349"/>
        <v>2025</v>
      </c>
      <c r="G401" s="62">
        <f t="shared" si="350"/>
        <v>15</v>
      </c>
      <c r="H401" s="63">
        <f t="shared" si="351"/>
        <v>96</v>
      </c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>
        <v>15</v>
      </c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80"/>
      <c r="AG401" s="87">
        <f t="shared" si="305"/>
        <v>0</v>
      </c>
      <c r="AH401" s="87">
        <f t="shared" si="306"/>
        <v>0</v>
      </c>
      <c r="AI401" s="87">
        <f t="shared" si="307"/>
        <v>0</v>
      </c>
      <c r="AJ401" s="87">
        <f t="shared" si="308"/>
        <v>0</v>
      </c>
      <c r="AK401" s="87">
        <f t="shared" si="309"/>
        <v>0</v>
      </c>
      <c r="AL401" s="87">
        <f t="shared" si="310"/>
        <v>0</v>
      </c>
      <c r="AM401" s="87">
        <f t="shared" si="311"/>
        <v>0</v>
      </c>
      <c r="AN401" s="87">
        <f t="shared" si="312"/>
        <v>0</v>
      </c>
      <c r="AO401" s="87">
        <f t="shared" si="313"/>
        <v>0</v>
      </c>
      <c r="AP401" s="87">
        <f t="shared" si="314"/>
        <v>0</v>
      </c>
      <c r="AQ401" s="87">
        <f t="shared" si="315"/>
        <v>15</v>
      </c>
      <c r="AR401" s="81"/>
      <c r="AS401" s="85">
        <f t="shared" si="316"/>
        <v>21</v>
      </c>
      <c r="AT401" s="85">
        <f t="shared" si="317"/>
        <v>0</v>
      </c>
      <c r="AU401" s="85">
        <f t="shared" si="318"/>
        <v>47</v>
      </c>
      <c r="AV401" s="85">
        <f t="shared" si="319"/>
        <v>66</v>
      </c>
      <c r="AW401" s="85">
        <f t="shared" si="320"/>
        <v>31</v>
      </c>
      <c r="AX401" s="85">
        <f t="shared" si="321"/>
        <v>0</v>
      </c>
      <c r="AY401" s="85">
        <f t="shared" si="322"/>
        <v>28</v>
      </c>
      <c r="AZ401" s="85">
        <f t="shared" si="323"/>
        <v>49</v>
      </c>
      <c r="BA401" s="85">
        <f t="shared" si="324"/>
        <v>49</v>
      </c>
      <c r="BB401" s="85">
        <f t="shared" si="325"/>
        <v>0</v>
      </c>
      <c r="BC401" s="85">
        <f t="shared" si="326"/>
        <v>19</v>
      </c>
      <c r="BD401" s="85">
        <f t="shared" si="327"/>
        <v>0</v>
      </c>
      <c r="BE401" s="85">
        <f t="shared" si="328"/>
        <v>0</v>
      </c>
      <c r="BF401" s="85">
        <f t="shared" si="329"/>
        <v>0</v>
      </c>
      <c r="BG401" s="85">
        <f t="shared" si="330"/>
        <v>17</v>
      </c>
      <c r="BH401" s="85">
        <f t="shared" si="331"/>
        <v>17</v>
      </c>
      <c r="BI401" s="85">
        <f t="shared" si="332"/>
        <v>16</v>
      </c>
      <c r="BJ401" s="85">
        <f t="shared" si="333"/>
        <v>16</v>
      </c>
      <c r="BK401" s="85">
        <f t="shared" si="334"/>
        <v>47</v>
      </c>
      <c r="BL401" s="85">
        <f t="shared" si="335"/>
        <v>47</v>
      </c>
      <c r="BM401" s="85">
        <f t="shared" si="336"/>
        <v>48</v>
      </c>
      <c r="BN401" s="85">
        <f t="shared" si="337"/>
        <v>0</v>
      </c>
      <c r="BO401" s="85">
        <f t="shared" si="338"/>
        <v>40</v>
      </c>
      <c r="BP401" s="85">
        <f t="shared" si="339"/>
        <v>0</v>
      </c>
      <c r="BQ401" s="85">
        <f t="shared" si="340"/>
        <v>39</v>
      </c>
      <c r="BR401" s="85">
        <f t="shared" si="341"/>
        <v>39</v>
      </c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  <c r="CD401" s="63"/>
      <c r="CE401" s="63"/>
      <c r="CF401" s="63"/>
      <c r="CG401" s="63"/>
      <c r="CH401" s="63"/>
      <c r="CI401" s="63"/>
      <c r="CJ401" s="63"/>
      <c r="CK401" s="63"/>
      <c r="CL401" s="63"/>
      <c r="CM401" s="63"/>
      <c r="CN401" s="63"/>
      <c r="CO401" s="63"/>
      <c r="CP401" s="63"/>
      <c r="CQ401" s="63"/>
      <c r="CR401" s="63"/>
      <c r="CS401" s="63"/>
      <c r="CX401" s="35" t="s">
        <v>12</v>
      </c>
      <c r="CZ401" s="35"/>
      <c r="DC401" s="57" t="str">
        <f t="shared" si="342"/>
        <v/>
      </c>
      <c r="DD401" s="64" t="str">
        <f t="shared" si="343"/>
        <v/>
      </c>
      <c r="DE401" s="65" t="str">
        <f t="shared" si="344"/>
        <v/>
      </c>
      <c r="DF401" s="66" t="str">
        <f t="shared" si="345"/>
        <v/>
      </c>
    </row>
    <row r="402" spans="2:115" outlineLevel="1">
      <c r="B402" s="54">
        <f t="shared" si="346"/>
        <v>45866</v>
      </c>
      <c r="C402" s="55" t="s">
        <v>1</v>
      </c>
      <c r="D402" s="56">
        <f t="shared" si="347"/>
        <v>45872</v>
      </c>
      <c r="E402" s="52">
        <f t="shared" si="348"/>
        <v>7</v>
      </c>
      <c r="F402" s="53">
        <f t="shared" si="349"/>
        <v>2025</v>
      </c>
      <c r="G402" s="62">
        <f t="shared" si="350"/>
        <v>15</v>
      </c>
      <c r="H402" s="63">
        <f t="shared" si="351"/>
        <v>96</v>
      </c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>
        <v>15</v>
      </c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80"/>
      <c r="AG402" s="87">
        <f t="shared" si="305"/>
        <v>0</v>
      </c>
      <c r="AH402" s="87">
        <f t="shared" si="306"/>
        <v>0</v>
      </c>
      <c r="AI402" s="87">
        <f t="shared" si="307"/>
        <v>0</v>
      </c>
      <c r="AJ402" s="87">
        <f t="shared" si="308"/>
        <v>0</v>
      </c>
      <c r="AK402" s="87">
        <f t="shared" si="309"/>
        <v>0</v>
      </c>
      <c r="AL402" s="87">
        <f t="shared" si="310"/>
        <v>0</v>
      </c>
      <c r="AM402" s="87">
        <f t="shared" si="311"/>
        <v>0</v>
      </c>
      <c r="AN402" s="87">
        <f t="shared" si="312"/>
        <v>0</v>
      </c>
      <c r="AO402" s="87">
        <f t="shared" si="313"/>
        <v>0</v>
      </c>
      <c r="AP402" s="87">
        <f t="shared" si="314"/>
        <v>0</v>
      </c>
      <c r="AQ402" s="87">
        <f t="shared" si="315"/>
        <v>15</v>
      </c>
      <c r="AR402" s="81"/>
      <c r="AS402" s="85">
        <f t="shared" si="316"/>
        <v>22</v>
      </c>
      <c r="AT402" s="85">
        <f t="shared" si="317"/>
        <v>0</v>
      </c>
      <c r="AU402" s="85">
        <f t="shared" si="318"/>
        <v>48</v>
      </c>
      <c r="AV402" s="85">
        <f t="shared" si="319"/>
        <v>67</v>
      </c>
      <c r="AW402" s="85">
        <f t="shared" si="320"/>
        <v>32</v>
      </c>
      <c r="AX402" s="85">
        <f t="shared" si="321"/>
        <v>0</v>
      </c>
      <c r="AY402" s="85">
        <f t="shared" si="322"/>
        <v>29</v>
      </c>
      <c r="AZ402" s="85">
        <f t="shared" si="323"/>
        <v>50</v>
      </c>
      <c r="BA402" s="85">
        <f t="shared" si="324"/>
        <v>50</v>
      </c>
      <c r="BB402" s="85">
        <f t="shared" si="325"/>
        <v>0</v>
      </c>
      <c r="BC402" s="85">
        <f t="shared" si="326"/>
        <v>20</v>
      </c>
      <c r="BD402" s="85">
        <f t="shared" si="327"/>
        <v>0</v>
      </c>
      <c r="BE402" s="85">
        <f t="shared" si="328"/>
        <v>0</v>
      </c>
      <c r="BF402" s="85">
        <f t="shared" si="329"/>
        <v>0</v>
      </c>
      <c r="BG402" s="85">
        <f t="shared" si="330"/>
        <v>18</v>
      </c>
      <c r="BH402" s="85">
        <f t="shared" si="331"/>
        <v>18</v>
      </c>
      <c r="BI402" s="85">
        <f t="shared" si="332"/>
        <v>17</v>
      </c>
      <c r="BJ402" s="85">
        <f t="shared" si="333"/>
        <v>17</v>
      </c>
      <c r="BK402" s="85">
        <f t="shared" si="334"/>
        <v>48</v>
      </c>
      <c r="BL402" s="85">
        <f t="shared" si="335"/>
        <v>48</v>
      </c>
      <c r="BM402" s="85">
        <f t="shared" si="336"/>
        <v>49</v>
      </c>
      <c r="BN402" s="85">
        <f t="shared" si="337"/>
        <v>0</v>
      </c>
      <c r="BO402" s="85">
        <f t="shared" si="338"/>
        <v>41</v>
      </c>
      <c r="BP402" s="85">
        <f t="shared" si="339"/>
        <v>0</v>
      </c>
      <c r="BQ402" s="85">
        <f t="shared" si="340"/>
        <v>40</v>
      </c>
      <c r="BR402" s="85">
        <f t="shared" si="341"/>
        <v>40</v>
      </c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  <c r="CG402" s="63"/>
      <c r="CH402" s="63"/>
      <c r="CI402" s="63"/>
      <c r="CJ402" s="63"/>
      <c r="CK402" s="63"/>
      <c r="CL402" s="63"/>
      <c r="CM402" s="63"/>
      <c r="CN402" s="63"/>
      <c r="CO402" s="63"/>
      <c r="CP402" s="63"/>
      <c r="CQ402" s="63"/>
      <c r="CR402" s="63"/>
      <c r="CS402" s="63"/>
      <c r="CX402" s="35" t="s">
        <v>12</v>
      </c>
      <c r="CZ402" s="35"/>
      <c r="DC402" s="57" t="str">
        <f t="shared" si="342"/>
        <v/>
      </c>
      <c r="DD402" s="64" t="str">
        <f t="shared" si="343"/>
        <v/>
      </c>
      <c r="DE402" s="65" t="str">
        <f t="shared" si="344"/>
        <v/>
      </c>
      <c r="DF402" s="66" t="str">
        <f t="shared" si="345"/>
        <v/>
      </c>
    </row>
    <row r="403" spans="2:115" outlineLevel="1">
      <c r="B403" s="54">
        <f t="shared" si="346"/>
        <v>45873</v>
      </c>
      <c r="C403" s="55" t="s">
        <v>1</v>
      </c>
      <c r="D403" s="56">
        <f t="shared" si="347"/>
        <v>45879</v>
      </c>
      <c r="E403" s="52">
        <f t="shared" si="348"/>
        <v>8</v>
      </c>
      <c r="F403" s="53">
        <f t="shared" si="349"/>
        <v>2025</v>
      </c>
      <c r="G403" s="62">
        <f t="shared" si="350"/>
        <v>15</v>
      </c>
      <c r="H403" s="63">
        <f t="shared" si="351"/>
        <v>96</v>
      </c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>
        <v>15</v>
      </c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80"/>
      <c r="AG403" s="87">
        <f t="shared" si="305"/>
        <v>0</v>
      </c>
      <c r="AH403" s="87">
        <f t="shared" si="306"/>
        <v>0</v>
      </c>
      <c r="AI403" s="87">
        <f t="shared" si="307"/>
        <v>0</v>
      </c>
      <c r="AJ403" s="87">
        <f t="shared" si="308"/>
        <v>0</v>
      </c>
      <c r="AK403" s="87">
        <f t="shared" si="309"/>
        <v>0</v>
      </c>
      <c r="AL403" s="87">
        <f t="shared" si="310"/>
        <v>0</v>
      </c>
      <c r="AM403" s="87">
        <f t="shared" si="311"/>
        <v>0</v>
      </c>
      <c r="AN403" s="87">
        <f t="shared" si="312"/>
        <v>0</v>
      </c>
      <c r="AO403" s="87">
        <f t="shared" si="313"/>
        <v>0</v>
      </c>
      <c r="AP403" s="87">
        <f t="shared" si="314"/>
        <v>0</v>
      </c>
      <c r="AQ403" s="87">
        <f t="shared" si="315"/>
        <v>15</v>
      </c>
      <c r="AR403" s="81"/>
      <c r="AS403" s="85">
        <f t="shared" si="316"/>
        <v>23</v>
      </c>
      <c r="AT403" s="85">
        <f t="shared" si="317"/>
        <v>0</v>
      </c>
      <c r="AU403" s="85">
        <f t="shared" si="318"/>
        <v>49</v>
      </c>
      <c r="AV403" s="85">
        <f t="shared" si="319"/>
        <v>68</v>
      </c>
      <c r="AW403" s="85">
        <f t="shared" si="320"/>
        <v>33</v>
      </c>
      <c r="AX403" s="85">
        <f t="shared" si="321"/>
        <v>0</v>
      </c>
      <c r="AY403" s="85">
        <f t="shared" si="322"/>
        <v>30</v>
      </c>
      <c r="AZ403" s="85">
        <f t="shared" si="323"/>
        <v>51</v>
      </c>
      <c r="BA403" s="85">
        <f t="shared" si="324"/>
        <v>51</v>
      </c>
      <c r="BB403" s="85">
        <f t="shared" si="325"/>
        <v>0</v>
      </c>
      <c r="BC403" s="85">
        <f t="shared" si="326"/>
        <v>21</v>
      </c>
      <c r="BD403" s="85">
        <f t="shared" si="327"/>
        <v>0</v>
      </c>
      <c r="BE403" s="85">
        <f t="shared" si="328"/>
        <v>0</v>
      </c>
      <c r="BF403" s="85">
        <f t="shared" si="329"/>
        <v>0</v>
      </c>
      <c r="BG403" s="85">
        <f t="shared" si="330"/>
        <v>19</v>
      </c>
      <c r="BH403" s="85">
        <f t="shared" si="331"/>
        <v>19</v>
      </c>
      <c r="BI403" s="85">
        <f t="shared" si="332"/>
        <v>18</v>
      </c>
      <c r="BJ403" s="85">
        <f t="shared" si="333"/>
        <v>18</v>
      </c>
      <c r="BK403" s="85">
        <f t="shared" si="334"/>
        <v>49</v>
      </c>
      <c r="BL403" s="85">
        <f t="shared" si="335"/>
        <v>49</v>
      </c>
      <c r="BM403" s="85">
        <f t="shared" si="336"/>
        <v>50</v>
      </c>
      <c r="BN403" s="85">
        <f t="shared" si="337"/>
        <v>0</v>
      </c>
      <c r="BO403" s="85">
        <f t="shared" si="338"/>
        <v>42</v>
      </c>
      <c r="BP403" s="85">
        <f t="shared" si="339"/>
        <v>0</v>
      </c>
      <c r="BQ403" s="85">
        <f t="shared" si="340"/>
        <v>41</v>
      </c>
      <c r="BR403" s="85">
        <f t="shared" si="341"/>
        <v>41</v>
      </c>
      <c r="BT403" s="63"/>
      <c r="BU403" s="63"/>
      <c r="BV403" s="63"/>
      <c r="BW403" s="63"/>
      <c r="BX403" s="63"/>
      <c r="BY403" s="63"/>
      <c r="BZ403" s="63"/>
      <c r="CA403" s="63"/>
      <c r="CB403" s="63"/>
      <c r="CC403" s="63"/>
      <c r="CD403" s="63"/>
      <c r="CE403" s="63"/>
      <c r="CF403" s="63"/>
      <c r="CG403" s="63"/>
      <c r="CH403" s="63"/>
      <c r="CI403" s="63"/>
      <c r="CJ403" s="63"/>
      <c r="CK403" s="63"/>
      <c r="CL403" s="63"/>
      <c r="CM403" s="63"/>
      <c r="CN403" s="63"/>
      <c r="CO403" s="63"/>
      <c r="CP403" s="63"/>
      <c r="CQ403" s="63"/>
      <c r="CR403" s="63"/>
      <c r="CS403" s="63"/>
      <c r="CX403" s="35" t="s">
        <v>12</v>
      </c>
      <c r="CZ403" s="35"/>
      <c r="DC403" s="57" t="str">
        <f t="shared" si="342"/>
        <v/>
      </c>
      <c r="DD403" s="64" t="str">
        <f t="shared" si="343"/>
        <v/>
      </c>
      <c r="DE403" s="65" t="str">
        <f t="shared" si="344"/>
        <v/>
      </c>
      <c r="DF403" s="66" t="str">
        <f t="shared" si="345"/>
        <v/>
      </c>
    </row>
    <row r="404" spans="2:115" outlineLevel="1">
      <c r="B404" s="54">
        <f t="shared" si="346"/>
        <v>45880</v>
      </c>
      <c r="C404" s="55" t="s">
        <v>1</v>
      </c>
      <c r="D404" s="56">
        <f t="shared" si="347"/>
        <v>45886</v>
      </c>
      <c r="E404" s="52">
        <f t="shared" si="348"/>
        <v>8</v>
      </c>
      <c r="F404" s="53">
        <f t="shared" si="349"/>
        <v>2025</v>
      </c>
      <c r="G404" s="62">
        <f t="shared" si="350"/>
        <v>15</v>
      </c>
      <c r="H404" s="63">
        <f t="shared" si="351"/>
        <v>96</v>
      </c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>
        <v>15</v>
      </c>
      <c r="U404" s="79"/>
      <c r="V404" s="79"/>
      <c r="W404" s="79"/>
      <c r="X404" s="79"/>
      <c r="Y404" s="79">
        <v>1</v>
      </c>
      <c r="Z404" s="79"/>
      <c r="AA404" s="79"/>
      <c r="AB404" s="79"/>
      <c r="AC404" s="79"/>
      <c r="AD404" s="79"/>
      <c r="AE404" s="79"/>
      <c r="AF404" s="80"/>
      <c r="AG404" s="87">
        <f t="shared" si="305"/>
        <v>0</v>
      </c>
      <c r="AH404" s="87">
        <f t="shared" si="306"/>
        <v>0</v>
      </c>
      <c r="AI404" s="87">
        <f t="shared" si="307"/>
        <v>0</v>
      </c>
      <c r="AJ404" s="87">
        <f t="shared" si="308"/>
        <v>0</v>
      </c>
      <c r="AK404" s="87">
        <f t="shared" si="309"/>
        <v>45882</v>
      </c>
      <c r="AL404" s="87">
        <f t="shared" si="310"/>
        <v>0</v>
      </c>
      <c r="AM404" s="87">
        <f t="shared" si="311"/>
        <v>0</v>
      </c>
      <c r="AN404" s="87">
        <f t="shared" si="312"/>
        <v>0</v>
      </c>
      <c r="AO404" s="87">
        <f t="shared" si="313"/>
        <v>0</v>
      </c>
      <c r="AP404" s="87">
        <f t="shared" si="314"/>
        <v>0</v>
      </c>
      <c r="AQ404" s="87">
        <f t="shared" si="315"/>
        <v>15</v>
      </c>
      <c r="AR404" s="81"/>
      <c r="AS404" s="85">
        <f t="shared" si="316"/>
        <v>24</v>
      </c>
      <c r="AT404" s="85">
        <f t="shared" si="317"/>
        <v>0</v>
      </c>
      <c r="AU404" s="85">
        <f t="shared" si="318"/>
        <v>50</v>
      </c>
      <c r="AV404" s="85">
        <f t="shared" si="319"/>
        <v>69</v>
      </c>
      <c r="AW404" s="85">
        <f t="shared" si="320"/>
        <v>34</v>
      </c>
      <c r="AX404" s="85">
        <f t="shared" si="321"/>
        <v>0</v>
      </c>
      <c r="AY404" s="85">
        <f t="shared" si="322"/>
        <v>31</v>
      </c>
      <c r="AZ404" s="85">
        <f t="shared" si="323"/>
        <v>52</v>
      </c>
      <c r="BA404" s="85">
        <f t="shared" si="324"/>
        <v>52</v>
      </c>
      <c r="BB404" s="85">
        <f t="shared" si="325"/>
        <v>0</v>
      </c>
      <c r="BC404" s="85">
        <f t="shared" si="326"/>
        <v>22</v>
      </c>
      <c r="BD404" s="85">
        <f t="shared" si="327"/>
        <v>0</v>
      </c>
      <c r="BE404" s="85">
        <f t="shared" si="328"/>
        <v>15</v>
      </c>
      <c r="BF404" s="85">
        <f t="shared" si="329"/>
        <v>15</v>
      </c>
      <c r="BG404" s="85">
        <f t="shared" si="330"/>
        <v>20</v>
      </c>
      <c r="BH404" s="85">
        <f t="shared" si="331"/>
        <v>20</v>
      </c>
      <c r="BI404" s="85">
        <f t="shared" si="332"/>
        <v>19</v>
      </c>
      <c r="BJ404" s="85">
        <f t="shared" si="333"/>
        <v>19</v>
      </c>
      <c r="BK404" s="85">
        <f t="shared" si="334"/>
        <v>50</v>
      </c>
      <c r="BL404" s="85">
        <f t="shared" si="335"/>
        <v>50</v>
      </c>
      <c r="BM404" s="85">
        <f t="shared" si="336"/>
        <v>51</v>
      </c>
      <c r="BN404" s="85">
        <f t="shared" si="337"/>
        <v>0</v>
      </c>
      <c r="BO404" s="85">
        <f t="shared" si="338"/>
        <v>43</v>
      </c>
      <c r="BP404" s="85">
        <f t="shared" si="339"/>
        <v>0</v>
      </c>
      <c r="BQ404" s="85">
        <f t="shared" si="340"/>
        <v>42</v>
      </c>
      <c r="BR404" s="85">
        <f t="shared" si="341"/>
        <v>42</v>
      </c>
      <c r="BT404" s="63"/>
      <c r="BU404" s="63"/>
      <c r="BV404" s="63"/>
      <c r="BW404" s="63"/>
      <c r="BX404" s="63"/>
      <c r="BY404" s="63"/>
      <c r="BZ404" s="63"/>
      <c r="CA404" s="63"/>
      <c r="CB404" s="63"/>
      <c r="CC404" s="63"/>
      <c r="CD404" s="63"/>
      <c r="CE404" s="63"/>
      <c r="CF404" s="63">
        <v>11</v>
      </c>
      <c r="CG404" s="63">
        <v>11</v>
      </c>
      <c r="CH404" s="63"/>
      <c r="CI404" s="63"/>
      <c r="CJ404" s="63"/>
      <c r="CK404" s="63"/>
      <c r="CL404" s="63"/>
      <c r="CM404" s="63"/>
      <c r="CN404" s="63"/>
      <c r="CO404" s="63"/>
      <c r="CP404" s="63"/>
      <c r="CQ404" s="63"/>
      <c r="CR404" s="63"/>
      <c r="CS404" s="63"/>
      <c r="CX404" s="35" t="s">
        <v>12</v>
      </c>
      <c r="CZ404" s="35"/>
      <c r="DC404" s="57">
        <f t="shared" si="342"/>
        <v>5</v>
      </c>
      <c r="DD404" s="64">
        <f t="shared" si="343"/>
        <v>45882</v>
      </c>
      <c r="DE404" s="65">
        <f t="shared" si="344"/>
        <v>45987</v>
      </c>
      <c r="DF404" s="66" t="str">
        <f t="shared" si="345"/>
        <v>VNI</v>
      </c>
    </row>
    <row r="405" spans="2:115" outlineLevel="1">
      <c r="B405" s="54">
        <f t="shared" si="346"/>
        <v>45887</v>
      </c>
      <c r="C405" s="55" t="s">
        <v>1</v>
      </c>
      <c r="D405" s="56">
        <f t="shared" si="347"/>
        <v>45893</v>
      </c>
      <c r="E405" s="52">
        <f t="shared" si="348"/>
        <v>8</v>
      </c>
      <c r="F405" s="53">
        <f t="shared" si="349"/>
        <v>2025</v>
      </c>
      <c r="G405" s="62">
        <f t="shared" si="350"/>
        <v>15</v>
      </c>
      <c r="H405" s="63">
        <f t="shared" si="351"/>
        <v>96</v>
      </c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>
        <v>15</v>
      </c>
      <c r="U405" s="79"/>
      <c r="V405" s="79"/>
      <c r="W405" s="79"/>
      <c r="X405" s="79"/>
      <c r="Y405" s="79"/>
      <c r="Z405" s="79"/>
      <c r="AA405" s="79"/>
      <c r="AB405" s="79"/>
      <c r="AC405" s="79">
        <v>1</v>
      </c>
      <c r="AD405" s="79"/>
      <c r="AE405" s="79"/>
      <c r="AF405" s="80"/>
      <c r="AG405" s="87">
        <f t="shared" si="305"/>
        <v>0</v>
      </c>
      <c r="AH405" s="87">
        <f t="shared" si="306"/>
        <v>0</v>
      </c>
      <c r="AI405" s="87">
        <f t="shared" si="307"/>
        <v>0</v>
      </c>
      <c r="AJ405" s="87">
        <f t="shared" si="308"/>
        <v>0</v>
      </c>
      <c r="AK405" s="87">
        <f t="shared" si="309"/>
        <v>1</v>
      </c>
      <c r="AL405" s="87">
        <f t="shared" si="310"/>
        <v>0</v>
      </c>
      <c r="AM405" s="87">
        <f t="shared" si="311"/>
        <v>0</v>
      </c>
      <c r="AN405" s="87">
        <f t="shared" si="312"/>
        <v>0</v>
      </c>
      <c r="AO405" s="87">
        <f t="shared" si="313"/>
        <v>45889</v>
      </c>
      <c r="AP405" s="87">
        <f t="shared" si="314"/>
        <v>0</v>
      </c>
      <c r="AQ405" s="87">
        <f t="shared" si="315"/>
        <v>15</v>
      </c>
      <c r="AR405" s="81"/>
      <c r="AS405" s="85">
        <f t="shared" si="316"/>
        <v>25</v>
      </c>
      <c r="AT405" s="85">
        <f t="shared" si="317"/>
        <v>0</v>
      </c>
      <c r="AU405" s="85">
        <f t="shared" si="318"/>
        <v>51</v>
      </c>
      <c r="AV405" s="85">
        <f t="shared" si="319"/>
        <v>70</v>
      </c>
      <c r="AW405" s="85">
        <f t="shared" si="320"/>
        <v>35</v>
      </c>
      <c r="AX405" s="85">
        <f t="shared" si="321"/>
        <v>0</v>
      </c>
      <c r="AY405" s="85">
        <f t="shared" si="322"/>
        <v>32</v>
      </c>
      <c r="AZ405" s="85">
        <f t="shared" si="323"/>
        <v>53</v>
      </c>
      <c r="BA405" s="85">
        <f t="shared" si="324"/>
        <v>53</v>
      </c>
      <c r="BB405" s="85">
        <f t="shared" si="325"/>
        <v>0</v>
      </c>
      <c r="BC405" s="85">
        <f t="shared" si="326"/>
        <v>23</v>
      </c>
      <c r="BD405" s="85">
        <f t="shared" si="327"/>
        <v>0</v>
      </c>
      <c r="BE405" s="85">
        <f t="shared" si="328"/>
        <v>16</v>
      </c>
      <c r="BF405" s="85">
        <f t="shared" si="329"/>
        <v>16</v>
      </c>
      <c r="BG405" s="85">
        <f t="shared" si="330"/>
        <v>21</v>
      </c>
      <c r="BH405" s="85">
        <f t="shared" si="331"/>
        <v>21</v>
      </c>
      <c r="BI405" s="85">
        <f t="shared" si="332"/>
        <v>20</v>
      </c>
      <c r="BJ405" s="85">
        <f t="shared" si="333"/>
        <v>20</v>
      </c>
      <c r="BK405" s="85">
        <f t="shared" si="334"/>
        <v>51</v>
      </c>
      <c r="BL405" s="85">
        <f t="shared" si="335"/>
        <v>51</v>
      </c>
      <c r="BM405" s="85">
        <f t="shared" si="336"/>
        <v>52</v>
      </c>
      <c r="BN405" s="85">
        <f t="shared" si="337"/>
        <v>0</v>
      </c>
      <c r="BO405" s="85">
        <f t="shared" si="338"/>
        <v>44</v>
      </c>
      <c r="BP405" s="85">
        <f t="shared" si="339"/>
        <v>0</v>
      </c>
      <c r="BQ405" s="85">
        <f t="shared" si="340"/>
        <v>43</v>
      </c>
      <c r="BR405" s="85">
        <f t="shared" si="341"/>
        <v>43</v>
      </c>
      <c r="BT405" s="63"/>
      <c r="BU405" s="63"/>
      <c r="BV405" s="63"/>
      <c r="BW405" s="63"/>
      <c r="BX405" s="63"/>
      <c r="BY405" s="63"/>
      <c r="BZ405" s="63"/>
      <c r="CA405" s="63"/>
      <c r="CB405" s="63"/>
      <c r="CC405" s="63"/>
      <c r="CD405" s="63"/>
      <c r="CE405" s="63"/>
      <c r="CF405" s="63"/>
      <c r="CG405" s="63"/>
      <c r="CH405" s="63"/>
      <c r="CI405" s="63"/>
      <c r="CJ405" s="63"/>
      <c r="CK405" s="63"/>
      <c r="CL405" s="63"/>
      <c r="CM405" s="63"/>
      <c r="CN405" s="63"/>
      <c r="CO405" s="63"/>
      <c r="CP405" s="63"/>
      <c r="CQ405" s="63"/>
      <c r="CR405" s="63"/>
      <c r="CS405" s="63"/>
      <c r="CX405" s="35" t="s">
        <v>12</v>
      </c>
      <c r="CZ405" s="35"/>
      <c r="DC405" s="57">
        <f t="shared" si="342"/>
        <v>9</v>
      </c>
      <c r="DD405" s="64">
        <f t="shared" si="343"/>
        <v>45889</v>
      </c>
      <c r="DE405" s="65">
        <f t="shared" si="344"/>
        <v>45994</v>
      </c>
      <c r="DF405" s="66" t="str">
        <f t="shared" si="345"/>
        <v>PAT</v>
      </c>
    </row>
    <row r="406" spans="2:115" outlineLevel="1">
      <c r="B406" s="54">
        <f t="shared" si="346"/>
        <v>45894</v>
      </c>
      <c r="C406" s="55" t="s">
        <v>1</v>
      </c>
      <c r="D406" s="56">
        <f t="shared" si="347"/>
        <v>45900</v>
      </c>
      <c r="E406" s="52">
        <f t="shared" si="348"/>
        <v>8</v>
      </c>
      <c r="F406" s="53">
        <f t="shared" si="349"/>
        <v>2025</v>
      </c>
      <c r="G406" s="62">
        <f t="shared" si="350"/>
        <v>15</v>
      </c>
      <c r="H406" s="63">
        <f t="shared" si="351"/>
        <v>96</v>
      </c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>
        <v>15</v>
      </c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80"/>
      <c r="AG406" s="87">
        <f t="shared" si="305"/>
        <v>0</v>
      </c>
      <c r="AH406" s="87">
        <f t="shared" si="306"/>
        <v>0</v>
      </c>
      <c r="AI406" s="87">
        <f t="shared" si="307"/>
        <v>0</v>
      </c>
      <c r="AJ406" s="87">
        <f t="shared" si="308"/>
        <v>0</v>
      </c>
      <c r="AK406" s="87">
        <f t="shared" si="309"/>
        <v>2</v>
      </c>
      <c r="AL406" s="87">
        <f t="shared" si="310"/>
        <v>0</v>
      </c>
      <c r="AM406" s="87">
        <f t="shared" si="311"/>
        <v>0</v>
      </c>
      <c r="AN406" s="87">
        <f t="shared" si="312"/>
        <v>0</v>
      </c>
      <c r="AO406" s="87">
        <f t="shared" si="313"/>
        <v>1</v>
      </c>
      <c r="AP406" s="87">
        <f t="shared" si="314"/>
        <v>0</v>
      </c>
      <c r="AQ406" s="87">
        <f t="shared" si="315"/>
        <v>15</v>
      </c>
      <c r="AR406" s="81"/>
      <c r="AS406" s="85">
        <f t="shared" si="316"/>
        <v>26</v>
      </c>
      <c r="AT406" s="85">
        <f t="shared" si="317"/>
        <v>0</v>
      </c>
      <c r="AU406" s="85">
        <f t="shared" si="318"/>
        <v>52</v>
      </c>
      <c r="AV406" s="85">
        <f t="shared" si="319"/>
        <v>71</v>
      </c>
      <c r="AW406" s="85">
        <f t="shared" si="320"/>
        <v>36</v>
      </c>
      <c r="AX406" s="85">
        <f t="shared" si="321"/>
        <v>0</v>
      </c>
      <c r="AY406" s="85">
        <f t="shared" si="322"/>
        <v>33</v>
      </c>
      <c r="AZ406" s="85">
        <f t="shared" si="323"/>
        <v>54</v>
      </c>
      <c r="BA406" s="85">
        <f t="shared" si="324"/>
        <v>54</v>
      </c>
      <c r="BB406" s="85">
        <f t="shared" si="325"/>
        <v>0</v>
      </c>
      <c r="BC406" s="85">
        <f t="shared" si="326"/>
        <v>24</v>
      </c>
      <c r="BD406" s="85">
        <f t="shared" si="327"/>
        <v>0</v>
      </c>
      <c r="BE406" s="85">
        <f t="shared" si="328"/>
        <v>17</v>
      </c>
      <c r="BF406" s="85">
        <f t="shared" si="329"/>
        <v>17</v>
      </c>
      <c r="BG406" s="85">
        <f t="shared" si="330"/>
        <v>22</v>
      </c>
      <c r="BH406" s="85">
        <f t="shared" si="331"/>
        <v>22</v>
      </c>
      <c r="BI406" s="85">
        <f t="shared" si="332"/>
        <v>21</v>
      </c>
      <c r="BJ406" s="85">
        <f t="shared" si="333"/>
        <v>21</v>
      </c>
      <c r="BK406" s="85">
        <f t="shared" si="334"/>
        <v>52</v>
      </c>
      <c r="BL406" s="85">
        <f t="shared" si="335"/>
        <v>52</v>
      </c>
      <c r="BM406" s="85">
        <f t="shared" si="336"/>
        <v>53</v>
      </c>
      <c r="BN406" s="85">
        <f t="shared" si="337"/>
        <v>0</v>
      </c>
      <c r="BO406" s="85">
        <f t="shared" si="338"/>
        <v>45</v>
      </c>
      <c r="BP406" s="85">
        <f t="shared" si="339"/>
        <v>0</v>
      </c>
      <c r="BQ406" s="85">
        <f t="shared" si="340"/>
        <v>44</v>
      </c>
      <c r="BR406" s="85">
        <f t="shared" si="341"/>
        <v>44</v>
      </c>
      <c r="BT406" s="63"/>
      <c r="BU406" s="63"/>
      <c r="BV406" s="63"/>
      <c r="BW406" s="63"/>
      <c r="BX406" s="63"/>
      <c r="BY406" s="63"/>
      <c r="BZ406" s="63"/>
      <c r="CA406" s="63"/>
      <c r="CB406" s="63"/>
      <c r="CC406" s="63"/>
      <c r="CD406" s="63"/>
      <c r="CE406" s="63"/>
      <c r="CF406" s="63"/>
      <c r="CG406" s="63"/>
      <c r="CH406" s="63"/>
      <c r="CI406" s="63"/>
      <c r="CJ406" s="63"/>
      <c r="CK406" s="63"/>
      <c r="CL406" s="63"/>
      <c r="CM406" s="63"/>
      <c r="CN406" s="63"/>
      <c r="CO406" s="63"/>
      <c r="CP406" s="63"/>
      <c r="CQ406" s="63"/>
      <c r="CR406" s="63"/>
      <c r="CS406" s="63"/>
      <c r="CX406" s="35" t="s">
        <v>12</v>
      </c>
      <c r="CZ406" s="35"/>
      <c r="DC406" s="57" t="str">
        <f t="shared" si="342"/>
        <v/>
      </c>
      <c r="DD406" s="64" t="str">
        <f t="shared" si="343"/>
        <v/>
      </c>
      <c r="DE406" s="65" t="str">
        <f t="shared" si="344"/>
        <v/>
      </c>
      <c r="DF406" s="66" t="str">
        <f t="shared" si="345"/>
        <v/>
      </c>
    </row>
    <row r="407" spans="2:115" outlineLevel="1">
      <c r="B407" s="54">
        <f t="shared" si="346"/>
        <v>45901</v>
      </c>
      <c r="C407" s="55" t="s">
        <v>1</v>
      </c>
      <c r="D407" s="56">
        <f t="shared" si="347"/>
        <v>45907</v>
      </c>
      <c r="E407" s="52">
        <f t="shared" si="348"/>
        <v>9</v>
      </c>
      <c r="F407" s="53">
        <f t="shared" si="349"/>
        <v>2025</v>
      </c>
      <c r="G407" s="62">
        <f t="shared" si="350"/>
        <v>15</v>
      </c>
      <c r="H407" s="63">
        <f t="shared" si="351"/>
        <v>96</v>
      </c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>
        <v>15</v>
      </c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80"/>
      <c r="AG407" s="87">
        <f t="shared" si="305"/>
        <v>0</v>
      </c>
      <c r="AH407" s="87">
        <f t="shared" si="306"/>
        <v>0</v>
      </c>
      <c r="AI407" s="87">
        <f t="shared" si="307"/>
        <v>0</v>
      </c>
      <c r="AJ407" s="87">
        <f t="shared" si="308"/>
        <v>0</v>
      </c>
      <c r="AK407" s="87">
        <f t="shared" si="309"/>
        <v>3</v>
      </c>
      <c r="AL407" s="87">
        <f t="shared" si="310"/>
        <v>0</v>
      </c>
      <c r="AM407" s="87">
        <f t="shared" si="311"/>
        <v>0</v>
      </c>
      <c r="AN407" s="87">
        <f t="shared" si="312"/>
        <v>0</v>
      </c>
      <c r="AO407" s="87">
        <f t="shared" si="313"/>
        <v>2</v>
      </c>
      <c r="AP407" s="87">
        <f t="shared" si="314"/>
        <v>0</v>
      </c>
      <c r="AQ407" s="87">
        <f t="shared" si="315"/>
        <v>15</v>
      </c>
      <c r="AR407" s="81"/>
      <c r="AS407" s="85">
        <f t="shared" si="316"/>
        <v>27</v>
      </c>
      <c r="AT407" s="85">
        <f t="shared" si="317"/>
        <v>0</v>
      </c>
      <c r="AU407" s="85">
        <f t="shared" si="318"/>
        <v>53</v>
      </c>
      <c r="AV407" s="85">
        <f t="shared" si="319"/>
        <v>72</v>
      </c>
      <c r="AW407" s="85">
        <f t="shared" si="320"/>
        <v>37</v>
      </c>
      <c r="AX407" s="85">
        <f t="shared" si="321"/>
        <v>0</v>
      </c>
      <c r="AY407" s="85">
        <f t="shared" si="322"/>
        <v>34</v>
      </c>
      <c r="AZ407" s="85">
        <f t="shared" si="323"/>
        <v>55</v>
      </c>
      <c r="BA407" s="85">
        <f t="shared" si="324"/>
        <v>55</v>
      </c>
      <c r="BB407" s="85">
        <f t="shared" si="325"/>
        <v>0</v>
      </c>
      <c r="BC407" s="85">
        <f t="shared" si="326"/>
        <v>25</v>
      </c>
      <c r="BD407" s="85">
        <f t="shared" si="327"/>
        <v>0</v>
      </c>
      <c r="BE407" s="85">
        <f t="shared" si="328"/>
        <v>18</v>
      </c>
      <c r="BF407" s="85">
        <f t="shared" si="329"/>
        <v>18</v>
      </c>
      <c r="BG407" s="85">
        <f t="shared" si="330"/>
        <v>23</v>
      </c>
      <c r="BH407" s="85">
        <f t="shared" si="331"/>
        <v>23</v>
      </c>
      <c r="BI407" s="85">
        <f t="shared" si="332"/>
        <v>22</v>
      </c>
      <c r="BJ407" s="85">
        <f t="shared" si="333"/>
        <v>22</v>
      </c>
      <c r="BK407" s="85">
        <f t="shared" si="334"/>
        <v>53</v>
      </c>
      <c r="BL407" s="85">
        <f t="shared" si="335"/>
        <v>53</v>
      </c>
      <c r="BM407" s="85">
        <f t="shared" si="336"/>
        <v>54</v>
      </c>
      <c r="BN407" s="85">
        <f t="shared" si="337"/>
        <v>0</v>
      </c>
      <c r="BO407" s="85">
        <f t="shared" si="338"/>
        <v>46</v>
      </c>
      <c r="BP407" s="85">
        <f t="shared" si="339"/>
        <v>0</v>
      </c>
      <c r="BQ407" s="85">
        <f t="shared" si="340"/>
        <v>45</v>
      </c>
      <c r="BR407" s="85">
        <f t="shared" si="341"/>
        <v>45</v>
      </c>
      <c r="BT407" s="63"/>
      <c r="BU407" s="63"/>
      <c r="BV407" s="63"/>
      <c r="BW407" s="63"/>
      <c r="BX407" s="63"/>
      <c r="BY407" s="63"/>
      <c r="BZ407" s="63"/>
      <c r="CA407" s="63"/>
      <c r="CB407" s="63"/>
      <c r="CC407" s="63"/>
      <c r="CD407" s="63"/>
      <c r="CE407" s="63"/>
      <c r="CF407" s="63"/>
      <c r="CG407" s="63"/>
      <c r="CH407" s="63"/>
      <c r="CI407" s="63"/>
      <c r="CJ407" s="63"/>
      <c r="CK407" s="63"/>
      <c r="CL407" s="63"/>
      <c r="CM407" s="63"/>
      <c r="CN407" s="63"/>
      <c r="CO407" s="63"/>
      <c r="CP407" s="63"/>
      <c r="CQ407" s="63"/>
      <c r="CR407" s="63"/>
      <c r="CS407" s="63"/>
      <c r="CX407" s="35" t="s">
        <v>12</v>
      </c>
      <c r="CZ407" s="35"/>
      <c r="DC407" s="57" t="str">
        <f t="shared" si="342"/>
        <v/>
      </c>
      <c r="DD407" s="64" t="str">
        <f t="shared" si="343"/>
        <v/>
      </c>
      <c r="DE407" s="65" t="str">
        <f t="shared" si="344"/>
        <v/>
      </c>
      <c r="DF407" s="66" t="str">
        <f t="shared" si="345"/>
        <v/>
      </c>
    </row>
    <row r="408" spans="2:115" outlineLevel="1">
      <c r="B408" s="54">
        <f t="shared" si="346"/>
        <v>45908</v>
      </c>
      <c r="C408" s="55" t="s">
        <v>1</v>
      </c>
      <c r="D408" s="56">
        <f t="shared" si="347"/>
        <v>45914</v>
      </c>
      <c r="E408" s="52">
        <f t="shared" si="348"/>
        <v>9</v>
      </c>
      <c r="F408" s="53">
        <f t="shared" si="349"/>
        <v>2025</v>
      </c>
      <c r="G408" s="62">
        <f t="shared" si="350"/>
        <v>15</v>
      </c>
      <c r="H408" s="63">
        <f t="shared" si="351"/>
        <v>96</v>
      </c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>
        <v>15</v>
      </c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80"/>
      <c r="AG408" s="87">
        <f t="shared" si="305"/>
        <v>0</v>
      </c>
      <c r="AH408" s="87">
        <f t="shared" si="306"/>
        <v>0</v>
      </c>
      <c r="AI408" s="87">
        <f t="shared" si="307"/>
        <v>0</v>
      </c>
      <c r="AJ408" s="87">
        <f t="shared" si="308"/>
        <v>0</v>
      </c>
      <c r="AK408" s="87">
        <f t="shared" si="309"/>
        <v>4</v>
      </c>
      <c r="AL408" s="87">
        <f t="shared" si="310"/>
        <v>0</v>
      </c>
      <c r="AM408" s="87">
        <f t="shared" si="311"/>
        <v>0</v>
      </c>
      <c r="AN408" s="87">
        <f t="shared" si="312"/>
        <v>0</v>
      </c>
      <c r="AO408" s="87">
        <f t="shared" si="313"/>
        <v>3</v>
      </c>
      <c r="AP408" s="87">
        <f t="shared" si="314"/>
        <v>0</v>
      </c>
      <c r="AQ408" s="87">
        <f t="shared" si="315"/>
        <v>15</v>
      </c>
      <c r="AR408" s="81"/>
      <c r="AS408" s="85">
        <f t="shared" si="316"/>
        <v>28</v>
      </c>
      <c r="AT408" s="85">
        <f t="shared" si="317"/>
        <v>0</v>
      </c>
      <c r="AU408" s="85">
        <f t="shared" si="318"/>
        <v>54</v>
      </c>
      <c r="AV408" s="85">
        <f t="shared" si="319"/>
        <v>73</v>
      </c>
      <c r="AW408" s="85">
        <f t="shared" si="320"/>
        <v>38</v>
      </c>
      <c r="AX408" s="85">
        <f t="shared" si="321"/>
        <v>0</v>
      </c>
      <c r="AY408" s="85">
        <f t="shared" si="322"/>
        <v>35</v>
      </c>
      <c r="AZ408" s="85">
        <f t="shared" si="323"/>
        <v>56</v>
      </c>
      <c r="BA408" s="85">
        <f t="shared" si="324"/>
        <v>56</v>
      </c>
      <c r="BB408" s="85">
        <f t="shared" si="325"/>
        <v>0</v>
      </c>
      <c r="BC408" s="85">
        <f t="shared" si="326"/>
        <v>26</v>
      </c>
      <c r="BD408" s="85">
        <f t="shared" si="327"/>
        <v>0</v>
      </c>
      <c r="BE408" s="85">
        <f t="shared" si="328"/>
        <v>19</v>
      </c>
      <c r="BF408" s="85">
        <f t="shared" si="329"/>
        <v>19</v>
      </c>
      <c r="BG408" s="85">
        <f t="shared" si="330"/>
        <v>24</v>
      </c>
      <c r="BH408" s="85">
        <f t="shared" si="331"/>
        <v>24</v>
      </c>
      <c r="BI408" s="85">
        <f t="shared" si="332"/>
        <v>23</v>
      </c>
      <c r="BJ408" s="85">
        <f t="shared" si="333"/>
        <v>23</v>
      </c>
      <c r="BK408" s="85">
        <f t="shared" si="334"/>
        <v>54</v>
      </c>
      <c r="BL408" s="85">
        <f t="shared" si="335"/>
        <v>54</v>
      </c>
      <c r="BM408" s="85">
        <f t="shared" si="336"/>
        <v>55</v>
      </c>
      <c r="BN408" s="85">
        <f t="shared" si="337"/>
        <v>0</v>
      </c>
      <c r="BO408" s="85">
        <f t="shared" si="338"/>
        <v>47</v>
      </c>
      <c r="BP408" s="85">
        <f t="shared" si="339"/>
        <v>0</v>
      </c>
      <c r="BQ408" s="85">
        <f t="shared" si="340"/>
        <v>46</v>
      </c>
      <c r="BR408" s="85">
        <f t="shared" si="341"/>
        <v>46</v>
      </c>
      <c r="BT408" s="63"/>
      <c r="BU408" s="63"/>
      <c r="BV408" s="63"/>
      <c r="BW408" s="63"/>
      <c r="BX408" s="63"/>
      <c r="BY408" s="63"/>
      <c r="BZ408" s="63"/>
      <c r="CA408" s="63"/>
      <c r="CB408" s="63"/>
      <c r="CC408" s="63"/>
      <c r="CD408" s="63"/>
      <c r="CE408" s="63"/>
      <c r="CF408" s="63"/>
      <c r="CG408" s="63"/>
      <c r="CH408" s="63"/>
      <c r="CI408" s="63"/>
      <c r="CJ408" s="63"/>
      <c r="CK408" s="63"/>
      <c r="CL408" s="63"/>
      <c r="CM408" s="63"/>
      <c r="CN408" s="63"/>
      <c r="CO408" s="63"/>
      <c r="CP408" s="63"/>
      <c r="CQ408" s="63"/>
      <c r="CR408" s="63"/>
      <c r="CS408" s="63"/>
      <c r="CX408" s="35" t="s">
        <v>12</v>
      </c>
      <c r="CZ408" s="35"/>
      <c r="DC408" s="57" t="str">
        <f t="shared" si="342"/>
        <v/>
      </c>
      <c r="DD408" s="64" t="str">
        <f t="shared" si="343"/>
        <v/>
      </c>
      <c r="DE408" s="65" t="str">
        <f t="shared" si="344"/>
        <v/>
      </c>
      <c r="DF408" s="66" t="str">
        <f t="shared" si="345"/>
        <v/>
      </c>
    </row>
    <row r="409" spans="2:115" outlineLevel="1">
      <c r="B409" s="54">
        <f t="shared" si="346"/>
        <v>45915</v>
      </c>
      <c r="C409" s="55" t="s">
        <v>1</v>
      </c>
      <c r="D409" s="56">
        <f t="shared" si="347"/>
        <v>45921</v>
      </c>
      <c r="E409" s="52">
        <f t="shared" si="348"/>
        <v>9</v>
      </c>
      <c r="F409" s="53">
        <f t="shared" si="349"/>
        <v>2025</v>
      </c>
      <c r="G409" s="62">
        <f t="shared" si="350"/>
        <v>15</v>
      </c>
      <c r="H409" s="63">
        <f t="shared" si="351"/>
        <v>96</v>
      </c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>
        <v>15</v>
      </c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80"/>
      <c r="AG409" s="87">
        <f t="shared" si="305"/>
        <v>0</v>
      </c>
      <c r="AH409" s="87">
        <f t="shared" si="306"/>
        <v>0</v>
      </c>
      <c r="AI409" s="87">
        <f t="shared" si="307"/>
        <v>0</v>
      </c>
      <c r="AJ409" s="87">
        <f t="shared" si="308"/>
        <v>0</v>
      </c>
      <c r="AK409" s="87">
        <f t="shared" si="309"/>
        <v>5</v>
      </c>
      <c r="AL409" s="87">
        <f t="shared" si="310"/>
        <v>0</v>
      </c>
      <c r="AM409" s="87">
        <f t="shared" si="311"/>
        <v>0</v>
      </c>
      <c r="AN409" s="87">
        <f t="shared" si="312"/>
        <v>0</v>
      </c>
      <c r="AO409" s="87">
        <f t="shared" si="313"/>
        <v>4</v>
      </c>
      <c r="AP409" s="87">
        <f t="shared" si="314"/>
        <v>0</v>
      </c>
      <c r="AQ409" s="87">
        <f t="shared" si="315"/>
        <v>15</v>
      </c>
      <c r="AR409" s="81"/>
      <c r="AS409" s="85">
        <f t="shared" si="316"/>
        <v>29</v>
      </c>
      <c r="AT409" s="85">
        <f t="shared" si="317"/>
        <v>0</v>
      </c>
      <c r="AU409" s="85">
        <f t="shared" si="318"/>
        <v>55</v>
      </c>
      <c r="AV409" s="85">
        <f t="shared" si="319"/>
        <v>74</v>
      </c>
      <c r="AW409" s="85">
        <f t="shared" si="320"/>
        <v>39</v>
      </c>
      <c r="AX409" s="85">
        <f t="shared" si="321"/>
        <v>0</v>
      </c>
      <c r="AY409" s="85">
        <f t="shared" si="322"/>
        <v>36</v>
      </c>
      <c r="AZ409" s="85">
        <f t="shared" si="323"/>
        <v>57</v>
      </c>
      <c r="BA409" s="85">
        <f t="shared" si="324"/>
        <v>57</v>
      </c>
      <c r="BB409" s="85">
        <f t="shared" si="325"/>
        <v>0</v>
      </c>
      <c r="BC409" s="85">
        <f t="shared" si="326"/>
        <v>27</v>
      </c>
      <c r="BD409" s="85">
        <f t="shared" si="327"/>
        <v>0</v>
      </c>
      <c r="BE409" s="85">
        <f t="shared" si="328"/>
        <v>20</v>
      </c>
      <c r="BF409" s="85">
        <f t="shared" si="329"/>
        <v>20</v>
      </c>
      <c r="BG409" s="85">
        <f t="shared" si="330"/>
        <v>25</v>
      </c>
      <c r="BH409" s="85">
        <f t="shared" si="331"/>
        <v>25</v>
      </c>
      <c r="BI409" s="85">
        <f t="shared" si="332"/>
        <v>24</v>
      </c>
      <c r="BJ409" s="85">
        <f t="shared" si="333"/>
        <v>24</v>
      </c>
      <c r="BK409" s="85">
        <f t="shared" si="334"/>
        <v>55</v>
      </c>
      <c r="BL409" s="85">
        <f t="shared" si="335"/>
        <v>55</v>
      </c>
      <c r="BM409" s="85">
        <f t="shared" si="336"/>
        <v>56</v>
      </c>
      <c r="BN409" s="85">
        <f t="shared" si="337"/>
        <v>0</v>
      </c>
      <c r="BO409" s="85">
        <f t="shared" si="338"/>
        <v>48</v>
      </c>
      <c r="BP409" s="85">
        <f t="shared" si="339"/>
        <v>0</v>
      </c>
      <c r="BQ409" s="85">
        <f t="shared" si="340"/>
        <v>47</v>
      </c>
      <c r="BR409" s="85">
        <f t="shared" si="341"/>
        <v>47</v>
      </c>
      <c r="BT409" s="63"/>
      <c r="BU409" s="63"/>
      <c r="BV409" s="63"/>
      <c r="BW409" s="63"/>
      <c r="BX409" s="63"/>
      <c r="BY409" s="63"/>
      <c r="BZ409" s="63"/>
      <c r="CA409" s="63"/>
      <c r="CB409" s="63"/>
      <c r="CC409" s="63"/>
      <c r="CD409" s="63"/>
      <c r="CE409" s="63"/>
      <c r="CF409" s="63"/>
      <c r="CG409" s="63"/>
      <c r="CH409" s="63"/>
      <c r="CI409" s="63"/>
      <c r="CJ409" s="63"/>
      <c r="CK409" s="63"/>
      <c r="CL409" s="63"/>
      <c r="CM409" s="63"/>
      <c r="CN409" s="63"/>
      <c r="CO409" s="63"/>
      <c r="CP409" s="63"/>
      <c r="CQ409" s="63"/>
      <c r="CR409" s="63"/>
      <c r="CS409" s="63"/>
      <c r="CX409" s="35" t="s">
        <v>12</v>
      </c>
      <c r="CZ409" s="35"/>
      <c r="DC409" s="57" t="str">
        <f t="shared" si="342"/>
        <v/>
      </c>
      <c r="DD409" s="64" t="str">
        <f t="shared" si="343"/>
        <v/>
      </c>
      <c r="DE409" s="65" t="str">
        <f t="shared" si="344"/>
        <v/>
      </c>
      <c r="DF409" s="66" t="str">
        <f t="shared" si="345"/>
        <v/>
      </c>
    </row>
    <row r="410" spans="2:115" outlineLevel="1">
      <c r="B410" s="54">
        <f t="shared" si="346"/>
        <v>45922</v>
      </c>
      <c r="C410" s="55" t="s">
        <v>1</v>
      </c>
      <c r="D410" s="56">
        <f t="shared" si="347"/>
        <v>45928</v>
      </c>
      <c r="E410" s="52">
        <f t="shared" si="348"/>
        <v>9</v>
      </c>
      <c r="F410" s="53">
        <f t="shared" si="349"/>
        <v>2025</v>
      </c>
      <c r="G410" s="62">
        <f t="shared" si="350"/>
        <v>15</v>
      </c>
      <c r="H410" s="63">
        <f t="shared" si="351"/>
        <v>96</v>
      </c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>
        <v>15</v>
      </c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80"/>
      <c r="AG410" s="87">
        <f t="shared" si="305"/>
        <v>0</v>
      </c>
      <c r="AH410" s="87">
        <f t="shared" si="306"/>
        <v>0</v>
      </c>
      <c r="AI410" s="87">
        <f t="shared" si="307"/>
        <v>0</v>
      </c>
      <c r="AJ410" s="87">
        <f t="shared" si="308"/>
        <v>0</v>
      </c>
      <c r="AK410" s="87">
        <f t="shared" si="309"/>
        <v>6</v>
      </c>
      <c r="AL410" s="87">
        <f t="shared" si="310"/>
        <v>0</v>
      </c>
      <c r="AM410" s="87">
        <f t="shared" si="311"/>
        <v>0</v>
      </c>
      <c r="AN410" s="87">
        <f t="shared" si="312"/>
        <v>0</v>
      </c>
      <c r="AO410" s="87">
        <f t="shared" si="313"/>
        <v>5</v>
      </c>
      <c r="AP410" s="87">
        <f t="shared" si="314"/>
        <v>0</v>
      </c>
      <c r="AQ410" s="87">
        <f t="shared" si="315"/>
        <v>15</v>
      </c>
      <c r="AR410" s="81"/>
      <c r="AS410" s="85">
        <f t="shared" si="316"/>
        <v>30</v>
      </c>
      <c r="AT410" s="85">
        <f t="shared" si="317"/>
        <v>0</v>
      </c>
      <c r="AU410" s="85">
        <f t="shared" si="318"/>
        <v>56</v>
      </c>
      <c r="AV410" s="85">
        <f t="shared" si="319"/>
        <v>75</v>
      </c>
      <c r="AW410" s="85">
        <f t="shared" si="320"/>
        <v>40</v>
      </c>
      <c r="AX410" s="85">
        <f t="shared" si="321"/>
        <v>0</v>
      </c>
      <c r="AY410" s="85">
        <f t="shared" si="322"/>
        <v>37</v>
      </c>
      <c r="AZ410" s="85">
        <f t="shared" si="323"/>
        <v>58</v>
      </c>
      <c r="BA410" s="85">
        <f t="shared" si="324"/>
        <v>58</v>
      </c>
      <c r="BB410" s="85">
        <f t="shared" si="325"/>
        <v>0</v>
      </c>
      <c r="BC410" s="85">
        <f t="shared" si="326"/>
        <v>28</v>
      </c>
      <c r="BD410" s="85">
        <f t="shared" si="327"/>
        <v>0</v>
      </c>
      <c r="BE410" s="85">
        <f t="shared" si="328"/>
        <v>21</v>
      </c>
      <c r="BF410" s="85">
        <f t="shared" si="329"/>
        <v>21</v>
      </c>
      <c r="BG410" s="85">
        <f t="shared" si="330"/>
        <v>26</v>
      </c>
      <c r="BH410" s="85">
        <f t="shared" si="331"/>
        <v>26</v>
      </c>
      <c r="BI410" s="85">
        <f t="shared" si="332"/>
        <v>25</v>
      </c>
      <c r="BJ410" s="85">
        <f t="shared" si="333"/>
        <v>25</v>
      </c>
      <c r="BK410" s="85">
        <f t="shared" si="334"/>
        <v>56</v>
      </c>
      <c r="BL410" s="85">
        <f t="shared" si="335"/>
        <v>56</v>
      </c>
      <c r="BM410" s="85">
        <f t="shared" si="336"/>
        <v>57</v>
      </c>
      <c r="BN410" s="85">
        <f t="shared" si="337"/>
        <v>0</v>
      </c>
      <c r="BO410" s="85">
        <f t="shared" si="338"/>
        <v>49</v>
      </c>
      <c r="BP410" s="85">
        <f t="shared" si="339"/>
        <v>0</v>
      </c>
      <c r="BQ410" s="85">
        <f t="shared" si="340"/>
        <v>48</v>
      </c>
      <c r="BR410" s="85">
        <f t="shared" si="341"/>
        <v>48</v>
      </c>
      <c r="BT410" s="63"/>
      <c r="BU410" s="63"/>
      <c r="BV410" s="63"/>
      <c r="BW410" s="63"/>
      <c r="BX410" s="63"/>
      <c r="BY410" s="63"/>
      <c r="BZ410" s="63"/>
      <c r="CA410" s="63"/>
      <c r="CB410" s="63"/>
      <c r="CC410" s="63"/>
      <c r="CD410" s="63"/>
      <c r="CE410" s="63"/>
      <c r="CF410" s="63"/>
      <c r="CG410" s="63"/>
      <c r="CH410" s="63"/>
      <c r="CI410" s="63"/>
      <c r="CJ410" s="63"/>
      <c r="CK410" s="63"/>
      <c r="CL410" s="63"/>
      <c r="CM410" s="63"/>
      <c r="CN410" s="63"/>
      <c r="CO410" s="63"/>
      <c r="CP410" s="63"/>
      <c r="CQ410" s="63"/>
      <c r="CR410" s="63"/>
      <c r="CS410" s="63"/>
      <c r="CX410" s="35" t="s">
        <v>12</v>
      </c>
      <c r="CZ410" s="35"/>
      <c r="DC410" s="57" t="str">
        <f t="shared" si="342"/>
        <v/>
      </c>
      <c r="DD410" s="64" t="str">
        <f t="shared" si="343"/>
        <v/>
      </c>
      <c r="DE410" s="65" t="str">
        <f t="shared" si="344"/>
        <v/>
      </c>
      <c r="DF410" s="66" t="str">
        <f t="shared" si="345"/>
        <v/>
      </c>
    </row>
    <row r="411" spans="2:115" outlineLevel="1">
      <c r="B411" s="54">
        <f t="shared" si="346"/>
        <v>45929</v>
      </c>
      <c r="C411" s="55" t="s">
        <v>1</v>
      </c>
      <c r="D411" s="56">
        <f t="shared" si="347"/>
        <v>45935</v>
      </c>
      <c r="E411" s="52">
        <f t="shared" si="348"/>
        <v>9</v>
      </c>
      <c r="F411" s="53">
        <f t="shared" si="349"/>
        <v>2025</v>
      </c>
      <c r="G411" s="62">
        <f t="shared" si="350"/>
        <v>15</v>
      </c>
      <c r="H411" s="63">
        <f t="shared" si="351"/>
        <v>96</v>
      </c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>
        <v>15</v>
      </c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80"/>
      <c r="AG411" s="87">
        <f t="shared" si="305"/>
        <v>0</v>
      </c>
      <c r="AH411" s="87">
        <f t="shared" si="306"/>
        <v>0</v>
      </c>
      <c r="AI411" s="87">
        <f t="shared" si="307"/>
        <v>0</v>
      </c>
      <c r="AJ411" s="87">
        <f t="shared" si="308"/>
        <v>0</v>
      </c>
      <c r="AK411" s="87">
        <f t="shared" si="309"/>
        <v>7</v>
      </c>
      <c r="AL411" s="87">
        <f t="shared" si="310"/>
        <v>0</v>
      </c>
      <c r="AM411" s="87">
        <f t="shared" si="311"/>
        <v>0</v>
      </c>
      <c r="AN411" s="87">
        <f t="shared" si="312"/>
        <v>0</v>
      </c>
      <c r="AO411" s="87">
        <f t="shared" si="313"/>
        <v>6</v>
      </c>
      <c r="AP411" s="87">
        <f t="shared" si="314"/>
        <v>0</v>
      </c>
      <c r="AQ411" s="87">
        <f t="shared" si="315"/>
        <v>15</v>
      </c>
      <c r="AR411" s="81"/>
      <c r="AS411" s="85">
        <f t="shared" si="316"/>
        <v>31</v>
      </c>
      <c r="AT411" s="85">
        <f t="shared" si="317"/>
        <v>0</v>
      </c>
      <c r="AU411" s="85">
        <f t="shared" si="318"/>
        <v>57</v>
      </c>
      <c r="AV411" s="85">
        <f t="shared" si="319"/>
        <v>76</v>
      </c>
      <c r="AW411" s="85">
        <f t="shared" si="320"/>
        <v>41</v>
      </c>
      <c r="AX411" s="85">
        <f t="shared" si="321"/>
        <v>0</v>
      </c>
      <c r="AY411" s="85">
        <f t="shared" si="322"/>
        <v>38</v>
      </c>
      <c r="AZ411" s="85">
        <f t="shared" si="323"/>
        <v>59</v>
      </c>
      <c r="BA411" s="85">
        <f t="shared" si="324"/>
        <v>59</v>
      </c>
      <c r="BB411" s="85">
        <f t="shared" si="325"/>
        <v>0</v>
      </c>
      <c r="BC411" s="85">
        <f t="shared" si="326"/>
        <v>29</v>
      </c>
      <c r="BD411" s="85">
        <f t="shared" si="327"/>
        <v>0</v>
      </c>
      <c r="BE411" s="85">
        <f t="shared" si="328"/>
        <v>22</v>
      </c>
      <c r="BF411" s="85">
        <f t="shared" si="329"/>
        <v>22</v>
      </c>
      <c r="BG411" s="85">
        <f t="shared" si="330"/>
        <v>27</v>
      </c>
      <c r="BH411" s="85">
        <f t="shared" si="331"/>
        <v>27</v>
      </c>
      <c r="BI411" s="85">
        <f t="shared" si="332"/>
        <v>26</v>
      </c>
      <c r="BJ411" s="85">
        <f t="shared" si="333"/>
        <v>26</v>
      </c>
      <c r="BK411" s="85">
        <f t="shared" si="334"/>
        <v>57</v>
      </c>
      <c r="BL411" s="85">
        <f t="shared" si="335"/>
        <v>57</v>
      </c>
      <c r="BM411" s="85">
        <f t="shared" si="336"/>
        <v>58</v>
      </c>
      <c r="BN411" s="85">
        <f t="shared" si="337"/>
        <v>0</v>
      </c>
      <c r="BO411" s="85">
        <f t="shared" si="338"/>
        <v>50</v>
      </c>
      <c r="BP411" s="85">
        <f t="shared" si="339"/>
        <v>0</v>
      </c>
      <c r="BQ411" s="85">
        <f t="shared" si="340"/>
        <v>49</v>
      </c>
      <c r="BR411" s="85">
        <f t="shared" si="341"/>
        <v>49</v>
      </c>
      <c r="BT411" s="63"/>
      <c r="BU411" s="63"/>
      <c r="BV411" s="63"/>
      <c r="BW411" s="63"/>
      <c r="BX411" s="63"/>
      <c r="BY411" s="63"/>
      <c r="BZ411" s="63"/>
      <c r="CA411" s="63"/>
      <c r="CB411" s="63"/>
      <c r="CC411" s="63"/>
      <c r="CD411" s="63"/>
      <c r="CE411" s="63"/>
      <c r="CF411" s="63"/>
      <c r="CG411" s="63"/>
      <c r="CH411" s="63"/>
      <c r="CI411" s="63"/>
      <c r="CJ411" s="63"/>
      <c r="CK411" s="63"/>
      <c r="CL411" s="63"/>
      <c r="CM411" s="63"/>
      <c r="CN411" s="63"/>
      <c r="CO411" s="63"/>
      <c r="CP411" s="63"/>
      <c r="CQ411" s="63"/>
      <c r="CR411" s="63"/>
      <c r="CS411" s="63"/>
      <c r="CX411" s="35" t="s">
        <v>12</v>
      </c>
      <c r="CZ411" s="35"/>
      <c r="DC411" s="57" t="str">
        <f t="shared" si="342"/>
        <v/>
      </c>
      <c r="DD411" s="64" t="str">
        <f t="shared" si="343"/>
        <v/>
      </c>
      <c r="DE411" s="65" t="str">
        <f t="shared" si="344"/>
        <v/>
      </c>
      <c r="DF411" s="66" t="str">
        <f t="shared" si="345"/>
        <v/>
      </c>
    </row>
    <row r="412" spans="2:115" outlineLevel="1">
      <c r="B412" s="54">
        <f t="shared" si="346"/>
        <v>45936</v>
      </c>
      <c r="C412" s="55" t="s">
        <v>1</v>
      </c>
      <c r="D412" s="56">
        <f t="shared" si="347"/>
        <v>45942</v>
      </c>
      <c r="E412" s="52">
        <f t="shared" si="348"/>
        <v>10</v>
      </c>
      <c r="F412" s="53">
        <f t="shared" si="349"/>
        <v>2025</v>
      </c>
      <c r="G412" s="62">
        <f t="shared" si="350"/>
        <v>15</v>
      </c>
      <c r="H412" s="63">
        <f t="shared" si="351"/>
        <v>96</v>
      </c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>
        <v>15</v>
      </c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80"/>
      <c r="AG412" s="87">
        <f t="shared" si="305"/>
        <v>0</v>
      </c>
      <c r="AH412" s="87">
        <f t="shared" si="306"/>
        <v>0</v>
      </c>
      <c r="AI412" s="87">
        <f t="shared" si="307"/>
        <v>0</v>
      </c>
      <c r="AJ412" s="87">
        <f t="shared" si="308"/>
        <v>0</v>
      </c>
      <c r="AK412" s="87">
        <f t="shared" si="309"/>
        <v>8</v>
      </c>
      <c r="AL412" s="87">
        <f t="shared" si="310"/>
        <v>0</v>
      </c>
      <c r="AM412" s="87">
        <f t="shared" si="311"/>
        <v>0</v>
      </c>
      <c r="AN412" s="87">
        <f t="shared" si="312"/>
        <v>0</v>
      </c>
      <c r="AO412" s="87">
        <f t="shared" si="313"/>
        <v>7</v>
      </c>
      <c r="AP412" s="87">
        <f t="shared" si="314"/>
        <v>0</v>
      </c>
      <c r="AQ412" s="87">
        <f t="shared" si="315"/>
        <v>15</v>
      </c>
      <c r="AR412" s="81"/>
      <c r="AS412" s="85">
        <f t="shared" si="316"/>
        <v>32</v>
      </c>
      <c r="AT412" s="85">
        <f t="shared" si="317"/>
        <v>0</v>
      </c>
      <c r="AU412" s="85">
        <f t="shared" si="318"/>
        <v>58</v>
      </c>
      <c r="AV412" s="85">
        <f t="shared" si="319"/>
        <v>77</v>
      </c>
      <c r="AW412" s="85">
        <f t="shared" si="320"/>
        <v>42</v>
      </c>
      <c r="AX412" s="85">
        <f t="shared" si="321"/>
        <v>0</v>
      </c>
      <c r="AY412" s="85">
        <f t="shared" si="322"/>
        <v>39</v>
      </c>
      <c r="AZ412" s="85">
        <f t="shared" si="323"/>
        <v>60</v>
      </c>
      <c r="BA412" s="85">
        <f t="shared" si="324"/>
        <v>60</v>
      </c>
      <c r="BB412" s="85">
        <f t="shared" si="325"/>
        <v>0</v>
      </c>
      <c r="BC412" s="85">
        <f t="shared" si="326"/>
        <v>30</v>
      </c>
      <c r="BD412" s="85">
        <f t="shared" si="327"/>
        <v>0</v>
      </c>
      <c r="BE412" s="85">
        <f t="shared" si="328"/>
        <v>23</v>
      </c>
      <c r="BF412" s="85">
        <f t="shared" si="329"/>
        <v>23</v>
      </c>
      <c r="BG412" s="85">
        <f t="shared" si="330"/>
        <v>28</v>
      </c>
      <c r="BH412" s="85">
        <f t="shared" si="331"/>
        <v>28</v>
      </c>
      <c r="BI412" s="85">
        <f t="shared" si="332"/>
        <v>27</v>
      </c>
      <c r="BJ412" s="85">
        <f t="shared" si="333"/>
        <v>27</v>
      </c>
      <c r="BK412" s="85">
        <f t="shared" si="334"/>
        <v>58</v>
      </c>
      <c r="BL412" s="85">
        <f t="shared" si="335"/>
        <v>58</v>
      </c>
      <c r="BM412" s="85">
        <f t="shared" si="336"/>
        <v>59</v>
      </c>
      <c r="BN412" s="85">
        <f t="shared" si="337"/>
        <v>0</v>
      </c>
      <c r="BO412" s="85">
        <f t="shared" si="338"/>
        <v>51</v>
      </c>
      <c r="BP412" s="85">
        <f t="shared" si="339"/>
        <v>0</v>
      </c>
      <c r="BQ412" s="85">
        <f t="shared" si="340"/>
        <v>50</v>
      </c>
      <c r="BR412" s="85">
        <f t="shared" si="341"/>
        <v>50</v>
      </c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  <c r="CE412" s="63"/>
      <c r="CF412" s="63"/>
      <c r="CG412" s="63"/>
      <c r="CH412" s="63"/>
      <c r="CI412" s="63"/>
      <c r="CJ412" s="63"/>
      <c r="CK412" s="63"/>
      <c r="CL412" s="63"/>
      <c r="CM412" s="63"/>
      <c r="CN412" s="63"/>
      <c r="CO412" s="63"/>
      <c r="CP412" s="63"/>
      <c r="CQ412" s="63"/>
      <c r="CR412" s="63"/>
      <c r="CS412" s="63"/>
      <c r="CX412" s="35" t="s">
        <v>12</v>
      </c>
      <c r="CZ412" s="35"/>
      <c r="DC412" s="57" t="str">
        <f t="shared" si="342"/>
        <v/>
      </c>
      <c r="DD412" s="64" t="str">
        <f t="shared" si="343"/>
        <v/>
      </c>
      <c r="DE412" s="65" t="str">
        <f t="shared" si="344"/>
        <v/>
      </c>
      <c r="DF412" s="66" t="str">
        <f t="shared" si="345"/>
        <v/>
      </c>
    </row>
    <row r="413" spans="2:115" outlineLevel="1">
      <c r="B413" s="54">
        <f t="shared" si="346"/>
        <v>45943</v>
      </c>
      <c r="C413" s="55" t="s">
        <v>1</v>
      </c>
      <c r="D413" s="56">
        <f t="shared" si="347"/>
        <v>45949</v>
      </c>
      <c r="E413" s="52">
        <f t="shared" si="348"/>
        <v>10</v>
      </c>
      <c r="F413" s="53">
        <f t="shared" si="349"/>
        <v>2025</v>
      </c>
      <c r="G413" s="62">
        <f t="shared" si="350"/>
        <v>15</v>
      </c>
      <c r="H413" s="63">
        <f t="shared" si="351"/>
        <v>96</v>
      </c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>
        <v>15</v>
      </c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80"/>
      <c r="AG413" s="87">
        <f t="shared" si="305"/>
        <v>0</v>
      </c>
      <c r="AH413" s="87">
        <f t="shared" si="306"/>
        <v>0</v>
      </c>
      <c r="AI413" s="87">
        <f t="shared" si="307"/>
        <v>0</v>
      </c>
      <c r="AJ413" s="87">
        <f t="shared" si="308"/>
        <v>0</v>
      </c>
      <c r="AK413" s="87">
        <f t="shared" si="309"/>
        <v>9</v>
      </c>
      <c r="AL413" s="87">
        <f t="shared" si="310"/>
        <v>0</v>
      </c>
      <c r="AM413" s="87">
        <f t="shared" si="311"/>
        <v>0</v>
      </c>
      <c r="AN413" s="87">
        <f t="shared" si="312"/>
        <v>0</v>
      </c>
      <c r="AO413" s="87">
        <f t="shared" si="313"/>
        <v>8</v>
      </c>
      <c r="AP413" s="87">
        <f t="shared" si="314"/>
        <v>0</v>
      </c>
      <c r="AQ413" s="87">
        <f t="shared" si="315"/>
        <v>15</v>
      </c>
      <c r="AR413" s="81"/>
      <c r="AS413" s="85">
        <f t="shared" si="316"/>
        <v>33</v>
      </c>
      <c r="AT413" s="85">
        <f t="shared" si="317"/>
        <v>0</v>
      </c>
      <c r="AU413" s="85">
        <f t="shared" si="318"/>
        <v>59</v>
      </c>
      <c r="AV413" s="85">
        <f t="shared" si="319"/>
        <v>78</v>
      </c>
      <c r="AW413" s="85">
        <f t="shared" si="320"/>
        <v>43</v>
      </c>
      <c r="AX413" s="85">
        <f t="shared" si="321"/>
        <v>0</v>
      </c>
      <c r="AY413" s="85">
        <f t="shared" si="322"/>
        <v>40</v>
      </c>
      <c r="AZ413" s="85">
        <f t="shared" si="323"/>
        <v>61</v>
      </c>
      <c r="BA413" s="85">
        <f t="shared" si="324"/>
        <v>61</v>
      </c>
      <c r="BB413" s="85">
        <f t="shared" si="325"/>
        <v>0</v>
      </c>
      <c r="BC413" s="85">
        <f t="shared" si="326"/>
        <v>31</v>
      </c>
      <c r="BD413" s="85">
        <f t="shared" si="327"/>
        <v>0</v>
      </c>
      <c r="BE413" s="85">
        <f t="shared" si="328"/>
        <v>24</v>
      </c>
      <c r="BF413" s="85">
        <f t="shared" si="329"/>
        <v>24</v>
      </c>
      <c r="BG413" s="85">
        <f t="shared" si="330"/>
        <v>29</v>
      </c>
      <c r="BH413" s="85">
        <f t="shared" si="331"/>
        <v>29</v>
      </c>
      <c r="BI413" s="85">
        <f t="shared" si="332"/>
        <v>28</v>
      </c>
      <c r="BJ413" s="85">
        <f t="shared" si="333"/>
        <v>28</v>
      </c>
      <c r="BK413" s="85">
        <f t="shared" si="334"/>
        <v>59</v>
      </c>
      <c r="BL413" s="85">
        <f t="shared" si="335"/>
        <v>59</v>
      </c>
      <c r="BM413" s="85">
        <f t="shared" si="336"/>
        <v>60</v>
      </c>
      <c r="BN413" s="85">
        <f t="shared" si="337"/>
        <v>0</v>
      </c>
      <c r="BO413" s="85">
        <f t="shared" si="338"/>
        <v>52</v>
      </c>
      <c r="BP413" s="85">
        <f t="shared" si="339"/>
        <v>0</v>
      </c>
      <c r="BQ413" s="85">
        <f t="shared" si="340"/>
        <v>51</v>
      </c>
      <c r="BR413" s="85">
        <f t="shared" si="341"/>
        <v>51</v>
      </c>
      <c r="BT413" s="63"/>
      <c r="BU413" s="63"/>
      <c r="BV413" s="63"/>
      <c r="BW413" s="63"/>
      <c r="BX413" s="63"/>
      <c r="BY413" s="63"/>
      <c r="BZ413" s="63"/>
      <c r="CA413" s="63"/>
      <c r="CB413" s="63"/>
      <c r="CC413" s="63"/>
      <c r="CD413" s="63"/>
      <c r="CE413" s="63"/>
      <c r="CF413" s="63"/>
      <c r="CG413" s="63"/>
      <c r="CH413" s="63"/>
      <c r="CI413" s="63"/>
      <c r="CJ413" s="63"/>
      <c r="CK413" s="63"/>
      <c r="CL413" s="63"/>
      <c r="CM413" s="63"/>
      <c r="CN413" s="63"/>
      <c r="CO413" s="63"/>
      <c r="CP413" s="63"/>
      <c r="CQ413" s="63"/>
      <c r="CR413" s="63"/>
      <c r="CS413" s="63"/>
      <c r="CX413" s="35" t="s">
        <v>12</v>
      </c>
      <c r="CZ413" s="35"/>
      <c r="DC413" s="57" t="str">
        <f t="shared" si="342"/>
        <v/>
      </c>
      <c r="DD413" s="64" t="str">
        <f t="shared" si="343"/>
        <v/>
      </c>
      <c r="DE413" s="65" t="str">
        <f t="shared" si="344"/>
        <v/>
      </c>
      <c r="DF413" s="66" t="str">
        <f t="shared" si="345"/>
        <v/>
      </c>
    </row>
    <row r="414" spans="2:115" outlineLevel="1">
      <c r="B414" s="54">
        <f t="shared" si="346"/>
        <v>45950</v>
      </c>
      <c r="C414" s="55" t="s">
        <v>1</v>
      </c>
      <c r="D414" s="56">
        <f t="shared" si="347"/>
        <v>45956</v>
      </c>
      <c r="E414" s="52">
        <f t="shared" si="348"/>
        <v>10</v>
      </c>
      <c r="F414" s="53">
        <f t="shared" si="349"/>
        <v>2025</v>
      </c>
      <c r="G414" s="62">
        <f t="shared" si="350"/>
        <v>15</v>
      </c>
      <c r="H414" s="63">
        <f t="shared" si="351"/>
        <v>96</v>
      </c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>
        <v>15</v>
      </c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80"/>
      <c r="AG414" s="87">
        <f t="shared" si="305"/>
        <v>0</v>
      </c>
      <c r="AH414" s="87">
        <f t="shared" si="306"/>
        <v>0</v>
      </c>
      <c r="AI414" s="87">
        <f t="shared" si="307"/>
        <v>0</v>
      </c>
      <c r="AJ414" s="87">
        <f t="shared" si="308"/>
        <v>0</v>
      </c>
      <c r="AK414" s="87">
        <f t="shared" si="309"/>
        <v>10</v>
      </c>
      <c r="AL414" s="87">
        <f t="shared" si="310"/>
        <v>0</v>
      </c>
      <c r="AM414" s="87">
        <f t="shared" si="311"/>
        <v>0</v>
      </c>
      <c r="AN414" s="87">
        <f t="shared" si="312"/>
        <v>0</v>
      </c>
      <c r="AO414" s="87">
        <f t="shared" si="313"/>
        <v>9</v>
      </c>
      <c r="AP414" s="87">
        <f t="shared" si="314"/>
        <v>0</v>
      </c>
      <c r="AQ414" s="87">
        <f t="shared" si="315"/>
        <v>15</v>
      </c>
      <c r="AR414" s="81"/>
      <c r="AS414" s="85">
        <f t="shared" si="316"/>
        <v>34</v>
      </c>
      <c r="AT414" s="85">
        <f t="shared" si="317"/>
        <v>0</v>
      </c>
      <c r="AU414" s="85">
        <f t="shared" si="318"/>
        <v>60</v>
      </c>
      <c r="AV414" s="85">
        <f t="shared" si="319"/>
        <v>79</v>
      </c>
      <c r="AW414" s="85">
        <f t="shared" si="320"/>
        <v>44</v>
      </c>
      <c r="AX414" s="85">
        <f t="shared" si="321"/>
        <v>0</v>
      </c>
      <c r="AY414" s="85">
        <f t="shared" si="322"/>
        <v>41</v>
      </c>
      <c r="AZ414" s="85">
        <f t="shared" si="323"/>
        <v>62</v>
      </c>
      <c r="BA414" s="85">
        <f t="shared" si="324"/>
        <v>62</v>
      </c>
      <c r="BB414" s="85">
        <f t="shared" si="325"/>
        <v>0</v>
      </c>
      <c r="BC414" s="85">
        <f t="shared" si="326"/>
        <v>32</v>
      </c>
      <c r="BD414" s="85">
        <f t="shared" si="327"/>
        <v>0</v>
      </c>
      <c r="BE414" s="85">
        <f t="shared" si="328"/>
        <v>25</v>
      </c>
      <c r="BF414" s="85">
        <f t="shared" si="329"/>
        <v>25</v>
      </c>
      <c r="BG414" s="85">
        <f t="shared" si="330"/>
        <v>30</v>
      </c>
      <c r="BH414" s="85">
        <f t="shared" si="331"/>
        <v>30</v>
      </c>
      <c r="BI414" s="85">
        <f t="shared" si="332"/>
        <v>29</v>
      </c>
      <c r="BJ414" s="85">
        <f t="shared" si="333"/>
        <v>29</v>
      </c>
      <c r="BK414" s="85">
        <f t="shared" si="334"/>
        <v>60</v>
      </c>
      <c r="BL414" s="85">
        <f t="shared" si="335"/>
        <v>60</v>
      </c>
      <c r="BM414" s="85">
        <f t="shared" si="336"/>
        <v>61</v>
      </c>
      <c r="BN414" s="85">
        <f t="shared" si="337"/>
        <v>0</v>
      </c>
      <c r="BO414" s="85">
        <f t="shared" si="338"/>
        <v>53</v>
      </c>
      <c r="BP414" s="85">
        <f t="shared" si="339"/>
        <v>0</v>
      </c>
      <c r="BQ414" s="85">
        <f t="shared" si="340"/>
        <v>52</v>
      </c>
      <c r="BR414" s="85">
        <f t="shared" si="341"/>
        <v>52</v>
      </c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  <c r="CG414" s="63"/>
      <c r="CH414" s="63"/>
      <c r="CI414" s="63"/>
      <c r="CJ414" s="63"/>
      <c r="CK414" s="63"/>
      <c r="CL414" s="63"/>
      <c r="CM414" s="63"/>
      <c r="CN414" s="63"/>
      <c r="CO414" s="63"/>
      <c r="CP414" s="63"/>
      <c r="CQ414" s="63"/>
      <c r="CR414" s="63"/>
      <c r="CS414" s="63"/>
      <c r="CX414" s="35" t="s">
        <v>12</v>
      </c>
      <c r="CZ414" s="35"/>
      <c r="DC414" s="57" t="str">
        <f t="shared" si="342"/>
        <v/>
      </c>
      <c r="DD414" s="64" t="str">
        <f t="shared" si="343"/>
        <v/>
      </c>
      <c r="DE414" s="65" t="str">
        <f t="shared" si="344"/>
        <v/>
      </c>
      <c r="DF414" s="66" t="str">
        <f t="shared" si="345"/>
        <v/>
      </c>
    </row>
    <row r="415" spans="2:115" outlineLevel="1">
      <c r="B415" s="54">
        <f t="shared" si="346"/>
        <v>45957</v>
      </c>
      <c r="C415" s="55" t="s">
        <v>1</v>
      </c>
      <c r="D415" s="56">
        <f t="shared" si="347"/>
        <v>45963</v>
      </c>
      <c r="E415" s="52">
        <f t="shared" si="348"/>
        <v>10</v>
      </c>
      <c r="F415" s="53">
        <f t="shared" si="349"/>
        <v>2025</v>
      </c>
      <c r="G415" s="62">
        <f t="shared" si="350"/>
        <v>15</v>
      </c>
      <c r="H415" s="63">
        <f t="shared" si="351"/>
        <v>96</v>
      </c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>
        <v>15</v>
      </c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80"/>
      <c r="AG415" s="87">
        <f t="shared" si="305"/>
        <v>0</v>
      </c>
      <c r="AH415" s="87">
        <f t="shared" si="306"/>
        <v>0</v>
      </c>
      <c r="AI415" s="87">
        <f t="shared" si="307"/>
        <v>0</v>
      </c>
      <c r="AJ415" s="87">
        <f t="shared" si="308"/>
        <v>0</v>
      </c>
      <c r="AK415" s="87">
        <f t="shared" si="309"/>
        <v>11</v>
      </c>
      <c r="AL415" s="87">
        <f t="shared" si="310"/>
        <v>0</v>
      </c>
      <c r="AM415" s="87">
        <f t="shared" si="311"/>
        <v>0</v>
      </c>
      <c r="AN415" s="87">
        <f t="shared" si="312"/>
        <v>0</v>
      </c>
      <c r="AO415" s="87">
        <f t="shared" si="313"/>
        <v>10</v>
      </c>
      <c r="AP415" s="87">
        <f t="shared" si="314"/>
        <v>0</v>
      </c>
      <c r="AQ415" s="87">
        <f t="shared" si="315"/>
        <v>15</v>
      </c>
      <c r="AR415" s="81"/>
      <c r="AS415" s="85">
        <f t="shared" si="316"/>
        <v>35</v>
      </c>
      <c r="AT415" s="85">
        <f t="shared" si="317"/>
        <v>0</v>
      </c>
      <c r="AU415" s="85">
        <f t="shared" si="318"/>
        <v>61</v>
      </c>
      <c r="AV415" s="85">
        <f t="shared" si="319"/>
        <v>80</v>
      </c>
      <c r="AW415" s="85">
        <f t="shared" si="320"/>
        <v>45</v>
      </c>
      <c r="AX415" s="85">
        <f t="shared" si="321"/>
        <v>0</v>
      </c>
      <c r="AY415" s="85">
        <f t="shared" si="322"/>
        <v>42</v>
      </c>
      <c r="AZ415" s="85">
        <f t="shared" si="323"/>
        <v>63</v>
      </c>
      <c r="BA415" s="85">
        <f t="shared" si="324"/>
        <v>63</v>
      </c>
      <c r="BB415" s="85">
        <f t="shared" si="325"/>
        <v>0</v>
      </c>
      <c r="BC415" s="85">
        <f t="shared" si="326"/>
        <v>33</v>
      </c>
      <c r="BD415" s="85">
        <f t="shared" si="327"/>
        <v>0</v>
      </c>
      <c r="BE415" s="85">
        <f t="shared" si="328"/>
        <v>26</v>
      </c>
      <c r="BF415" s="85">
        <f t="shared" si="329"/>
        <v>26</v>
      </c>
      <c r="BG415" s="85">
        <f t="shared" si="330"/>
        <v>31</v>
      </c>
      <c r="BH415" s="85">
        <f t="shared" si="331"/>
        <v>31</v>
      </c>
      <c r="BI415" s="85">
        <f t="shared" si="332"/>
        <v>30</v>
      </c>
      <c r="BJ415" s="85">
        <f t="shared" si="333"/>
        <v>30</v>
      </c>
      <c r="BK415" s="85">
        <f t="shared" si="334"/>
        <v>61</v>
      </c>
      <c r="BL415" s="85">
        <f t="shared" si="335"/>
        <v>61</v>
      </c>
      <c r="BM415" s="85">
        <f t="shared" si="336"/>
        <v>62</v>
      </c>
      <c r="BN415" s="85">
        <f t="shared" si="337"/>
        <v>0</v>
      </c>
      <c r="BO415" s="85">
        <f t="shared" si="338"/>
        <v>54</v>
      </c>
      <c r="BP415" s="85">
        <f t="shared" si="339"/>
        <v>0</v>
      </c>
      <c r="BQ415" s="85">
        <f t="shared" si="340"/>
        <v>53</v>
      </c>
      <c r="BR415" s="85">
        <f t="shared" si="341"/>
        <v>53</v>
      </c>
      <c r="BT415" s="63"/>
      <c r="BU415" s="63"/>
      <c r="BV415" s="63"/>
      <c r="BW415" s="63"/>
      <c r="BX415" s="63"/>
      <c r="BY415" s="63"/>
      <c r="BZ415" s="63"/>
      <c r="CA415" s="63"/>
      <c r="CB415" s="63"/>
      <c r="CC415" s="63"/>
      <c r="CD415" s="63"/>
      <c r="CE415" s="63"/>
      <c r="CF415" s="63"/>
      <c r="CG415" s="63"/>
      <c r="CH415" s="63"/>
      <c r="CI415" s="63"/>
      <c r="CJ415" s="63"/>
      <c r="CK415" s="63"/>
      <c r="CL415" s="63"/>
      <c r="CM415" s="63"/>
      <c r="CN415" s="63"/>
      <c r="CO415" s="63"/>
      <c r="CP415" s="63"/>
      <c r="CQ415" s="63"/>
      <c r="CR415" s="63"/>
      <c r="CS415" s="63"/>
      <c r="CX415" s="35" t="s">
        <v>12</v>
      </c>
      <c r="CZ415" s="35"/>
      <c r="DC415" s="57" t="str">
        <f t="shared" si="342"/>
        <v/>
      </c>
      <c r="DD415" s="64" t="str">
        <f t="shared" si="343"/>
        <v/>
      </c>
      <c r="DE415" s="65" t="str">
        <f t="shared" si="344"/>
        <v/>
      </c>
      <c r="DF415" s="66" t="str">
        <f t="shared" si="345"/>
        <v/>
      </c>
      <c r="DK415" s="98"/>
    </row>
    <row r="416" spans="2:115" outlineLevel="1">
      <c r="B416" s="54">
        <f t="shared" si="346"/>
        <v>45964</v>
      </c>
      <c r="C416" s="55" t="s">
        <v>1</v>
      </c>
      <c r="D416" s="56">
        <f t="shared" si="347"/>
        <v>45970</v>
      </c>
      <c r="E416" s="52">
        <f t="shared" si="348"/>
        <v>11</v>
      </c>
      <c r="F416" s="53">
        <f t="shared" si="349"/>
        <v>2025</v>
      </c>
      <c r="G416" s="62">
        <f t="shared" si="350"/>
        <v>15</v>
      </c>
      <c r="H416" s="63">
        <f t="shared" si="351"/>
        <v>96</v>
      </c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>
        <v>15</v>
      </c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80"/>
      <c r="AG416" s="87">
        <f t="shared" si="305"/>
        <v>0</v>
      </c>
      <c r="AH416" s="87">
        <f t="shared" si="306"/>
        <v>0</v>
      </c>
      <c r="AI416" s="87">
        <f t="shared" si="307"/>
        <v>0</v>
      </c>
      <c r="AJ416" s="87">
        <f t="shared" si="308"/>
        <v>0</v>
      </c>
      <c r="AK416" s="87">
        <f t="shared" si="309"/>
        <v>12</v>
      </c>
      <c r="AL416" s="87">
        <f t="shared" si="310"/>
        <v>0</v>
      </c>
      <c r="AM416" s="87">
        <f t="shared" si="311"/>
        <v>0</v>
      </c>
      <c r="AN416" s="87">
        <f t="shared" si="312"/>
        <v>0</v>
      </c>
      <c r="AO416" s="87">
        <f t="shared" si="313"/>
        <v>11</v>
      </c>
      <c r="AP416" s="87">
        <f t="shared" si="314"/>
        <v>0</v>
      </c>
      <c r="AQ416" s="87">
        <f t="shared" si="315"/>
        <v>15</v>
      </c>
      <c r="AR416" s="81"/>
      <c r="AS416" s="85">
        <f t="shared" si="316"/>
        <v>36</v>
      </c>
      <c r="AT416" s="85">
        <f t="shared" si="317"/>
        <v>0</v>
      </c>
      <c r="AU416" s="85">
        <f t="shared" si="318"/>
        <v>62</v>
      </c>
      <c r="AV416" s="85">
        <f t="shared" si="319"/>
        <v>81</v>
      </c>
      <c r="AW416" s="85">
        <f t="shared" si="320"/>
        <v>46</v>
      </c>
      <c r="AX416" s="85">
        <f t="shared" si="321"/>
        <v>0</v>
      </c>
      <c r="AY416" s="85">
        <f t="shared" si="322"/>
        <v>43</v>
      </c>
      <c r="AZ416" s="85">
        <f t="shared" si="323"/>
        <v>64</v>
      </c>
      <c r="BA416" s="85">
        <f t="shared" si="324"/>
        <v>64</v>
      </c>
      <c r="BB416" s="85">
        <f t="shared" si="325"/>
        <v>0</v>
      </c>
      <c r="BC416" s="85">
        <f t="shared" si="326"/>
        <v>34</v>
      </c>
      <c r="BD416" s="85">
        <f t="shared" si="327"/>
        <v>0</v>
      </c>
      <c r="BE416" s="85">
        <f t="shared" si="328"/>
        <v>27</v>
      </c>
      <c r="BF416" s="85">
        <f t="shared" si="329"/>
        <v>27</v>
      </c>
      <c r="BG416" s="85">
        <f t="shared" si="330"/>
        <v>32</v>
      </c>
      <c r="BH416" s="85">
        <f t="shared" si="331"/>
        <v>32</v>
      </c>
      <c r="BI416" s="85">
        <f t="shared" si="332"/>
        <v>31</v>
      </c>
      <c r="BJ416" s="85">
        <f t="shared" si="333"/>
        <v>31</v>
      </c>
      <c r="BK416" s="85">
        <f t="shared" si="334"/>
        <v>62</v>
      </c>
      <c r="BL416" s="85">
        <f t="shared" si="335"/>
        <v>62</v>
      </c>
      <c r="BM416" s="85">
        <f t="shared" si="336"/>
        <v>63</v>
      </c>
      <c r="BN416" s="85">
        <f t="shared" si="337"/>
        <v>0</v>
      </c>
      <c r="BO416" s="85">
        <f t="shared" si="338"/>
        <v>55</v>
      </c>
      <c r="BP416" s="85">
        <f t="shared" si="339"/>
        <v>0</v>
      </c>
      <c r="BQ416" s="85">
        <f t="shared" si="340"/>
        <v>54</v>
      </c>
      <c r="BR416" s="85">
        <f t="shared" si="341"/>
        <v>54</v>
      </c>
      <c r="BT416" s="63"/>
      <c r="BU416" s="63"/>
      <c r="BV416" s="63"/>
      <c r="BW416" s="63"/>
      <c r="BX416" s="63"/>
      <c r="BY416" s="63"/>
      <c r="BZ416" s="63"/>
      <c r="CA416" s="63"/>
      <c r="CB416" s="63"/>
      <c r="CC416" s="63"/>
      <c r="CD416" s="63"/>
      <c r="CE416" s="63"/>
      <c r="CF416" s="63"/>
      <c r="CG416" s="63"/>
      <c r="CH416" s="63"/>
      <c r="CI416" s="63"/>
      <c r="CJ416" s="63"/>
      <c r="CK416" s="63"/>
      <c r="CL416" s="63"/>
      <c r="CM416" s="63"/>
      <c r="CN416" s="63"/>
      <c r="CO416" s="63"/>
      <c r="CP416" s="63"/>
      <c r="CQ416" s="63"/>
      <c r="CR416" s="63"/>
      <c r="CS416" s="63"/>
      <c r="CX416" s="35" t="s">
        <v>12</v>
      </c>
      <c r="CZ416" s="35"/>
      <c r="DC416" s="57" t="str">
        <f t="shared" si="342"/>
        <v/>
      </c>
      <c r="DD416" s="64" t="str">
        <f t="shared" si="343"/>
        <v/>
      </c>
      <c r="DE416" s="65" t="str">
        <f t="shared" si="344"/>
        <v/>
      </c>
      <c r="DF416" s="66" t="str">
        <f t="shared" si="345"/>
        <v/>
      </c>
      <c r="DK416" s="99"/>
    </row>
    <row r="417" spans="1:115" outlineLevel="1">
      <c r="B417" s="54">
        <f t="shared" si="346"/>
        <v>45971</v>
      </c>
      <c r="C417" s="55" t="s">
        <v>1</v>
      </c>
      <c r="D417" s="56">
        <f t="shared" si="347"/>
        <v>45977</v>
      </c>
      <c r="E417" s="52">
        <f t="shared" si="348"/>
        <v>11</v>
      </c>
      <c r="F417" s="53">
        <f t="shared" si="349"/>
        <v>2025</v>
      </c>
      <c r="G417" s="62">
        <f t="shared" si="350"/>
        <v>15</v>
      </c>
      <c r="H417" s="63">
        <f t="shared" si="351"/>
        <v>96</v>
      </c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>
        <v>15</v>
      </c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80"/>
      <c r="AG417" s="87">
        <f t="shared" si="305"/>
        <v>0</v>
      </c>
      <c r="AH417" s="87">
        <f t="shared" si="306"/>
        <v>0</v>
      </c>
      <c r="AI417" s="87">
        <f t="shared" si="307"/>
        <v>0</v>
      </c>
      <c r="AJ417" s="87">
        <f t="shared" si="308"/>
        <v>0</v>
      </c>
      <c r="AK417" s="87">
        <f t="shared" si="309"/>
        <v>13</v>
      </c>
      <c r="AL417" s="87">
        <f t="shared" si="310"/>
        <v>0</v>
      </c>
      <c r="AM417" s="87">
        <f t="shared" si="311"/>
        <v>0</v>
      </c>
      <c r="AN417" s="87">
        <f t="shared" si="312"/>
        <v>0</v>
      </c>
      <c r="AO417" s="87">
        <f t="shared" si="313"/>
        <v>12</v>
      </c>
      <c r="AP417" s="87">
        <f t="shared" si="314"/>
        <v>0</v>
      </c>
      <c r="AQ417" s="87">
        <f t="shared" si="315"/>
        <v>15</v>
      </c>
      <c r="AR417" s="81"/>
      <c r="AS417" s="85">
        <f t="shared" si="316"/>
        <v>37</v>
      </c>
      <c r="AT417" s="85">
        <f t="shared" si="317"/>
        <v>0</v>
      </c>
      <c r="AU417" s="85">
        <f t="shared" si="318"/>
        <v>63</v>
      </c>
      <c r="AV417" s="85">
        <f t="shared" si="319"/>
        <v>82</v>
      </c>
      <c r="AW417" s="85">
        <f t="shared" si="320"/>
        <v>47</v>
      </c>
      <c r="AX417" s="85">
        <f t="shared" si="321"/>
        <v>0</v>
      </c>
      <c r="AY417" s="85">
        <f t="shared" si="322"/>
        <v>44</v>
      </c>
      <c r="AZ417" s="85">
        <f t="shared" si="323"/>
        <v>65</v>
      </c>
      <c r="BA417" s="85">
        <f t="shared" si="324"/>
        <v>65</v>
      </c>
      <c r="BB417" s="85">
        <f t="shared" si="325"/>
        <v>0</v>
      </c>
      <c r="BC417" s="85">
        <f t="shared" si="326"/>
        <v>35</v>
      </c>
      <c r="BD417" s="85">
        <f t="shared" si="327"/>
        <v>0</v>
      </c>
      <c r="BE417" s="85">
        <f t="shared" si="328"/>
        <v>28</v>
      </c>
      <c r="BF417" s="85">
        <f t="shared" si="329"/>
        <v>28</v>
      </c>
      <c r="BG417" s="85">
        <f t="shared" si="330"/>
        <v>33</v>
      </c>
      <c r="BH417" s="85">
        <f t="shared" si="331"/>
        <v>33</v>
      </c>
      <c r="BI417" s="85">
        <f t="shared" si="332"/>
        <v>32</v>
      </c>
      <c r="BJ417" s="85">
        <f t="shared" si="333"/>
        <v>32</v>
      </c>
      <c r="BK417" s="85">
        <f t="shared" si="334"/>
        <v>63</v>
      </c>
      <c r="BL417" s="85">
        <f t="shared" si="335"/>
        <v>63</v>
      </c>
      <c r="BM417" s="85">
        <f t="shared" si="336"/>
        <v>64</v>
      </c>
      <c r="BN417" s="85">
        <f t="shared" si="337"/>
        <v>0</v>
      </c>
      <c r="BO417" s="85">
        <f t="shared" si="338"/>
        <v>56</v>
      </c>
      <c r="BP417" s="85">
        <f t="shared" si="339"/>
        <v>0</v>
      </c>
      <c r="BQ417" s="85">
        <f t="shared" si="340"/>
        <v>55</v>
      </c>
      <c r="BR417" s="85">
        <f t="shared" si="341"/>
        <v>55</v>
      </c>
      <c r="BT417" s="63"/>
      <c r="BU417" s="63"/>
      <c r="BV417" s="63"/>
      <c r="BW417" s="63"/>
      <c r="BX417" s="63"/>
      <c r="BY417" s="63"/>
      <c r="BZ417" s="63"/>
      <c r="CA417" s="63"/>
      <c r="CB417" s="63"/>
      <c r="CC417" s="63"/>
      <c r="CD417" s="63"/>
      <c r="CE417" s="63"/>
      <c r="CF417" s="63"/>
      <c r="CG417" s="63"/>
      <c r="CH417" s="63"/>
      <c r="CI417" s="63"/>
      <c r="CJ417" s="63"/>
      <c r="CK417" s="63"/>
      <c r="CL417" s="63"/>
      <c r="CM417" s="63"/>
      <c r="CN417" s="63"/>
      <c r="CO417" s="63"/>
      <c r="CP417" s="63"/>
      <c r="CQ417" s="63"/>
      <c r="CR417" s="63"/>
      <c r="CS417" s="63"/>
      <c r="CX417" s="35" t="s">
        <v>12</v>
      </c>
      <c r="CZ417" s="35"/>
      <c r="DC417" s="57" t="str">
        <f t="shared" si="342"/>
        <v/>
      </c>
      <c r="DD417" s="64" t="str">
        <f t="shared" si="343"/>
        <v/>
      </c>
      <c r="DE417" s="65" t="str">
        <f t="shared" si="344"/>
        <v/>
      </c>
      <c r="DF417" s="66" t="str">
        <f t="shared" si="345"/>
        <v/>
      </c>
      <c r="DK417" s="99"/>
    </row>
    <row r="418" spans="1:115" outlineLevel="1">
      <c r="B418" s="54">
        <f t="shared" si="346"/>
        <v>45978</v>
      </c>
      <c r="C418" s="55" t="s">
        <v>1</v>
      </c>
      <c r="D418" s="56">
        <f t="shared" si="347"/>
        <v>45984</v>
      </c>
      <c r="E418" s="52">
        <f t="shared" si="348"/>
        <v>11</v>
      </c>
      <c r="F418" s="53">
        <f t="shared" si="349"/>
        <v>2025</v>
      </c>
      <c r="G418" s="62">
        <f t="shared" si="350"/>
        <v>15</v>
      </c>
      <c r="H418" s="63">
        <f t="shared" si="351"/>
        <v>96</v>
      </c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>
        <v>15</v>
      </c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80"/>
      <c r="AG418" s="87">
        <f t="shared" si="305"/>
        <v>0</v>
      </c>
      <c r="AH418" s="87">
        <f t="shared" si="306"/>
        <v>0</v>
      </c>
      <c r="AI418" s="87">
        <f t="shared" si="307"/>
        <v>0</v>
      </c>
      <c r="AJ418" s="87">
        <f t="shared" si="308"/>
        <v>0</v>
      </c>
      <c r="AK418" s="87">
        <f t="shared" si="309"/>
        <v>14</v>
      </c>
      <c r="AL418" s="87">
        <f t="shared" si="310"/>
        <v>0</v>
      </c>
      <c r="AM418" s="87">
        <f t="shared" si="311"/>
        <v>0</v>
      </c>
      <c r="AN418" s="87">
        <f t="shared" si="312"/>
        <v>0</v>
      </c>
      <c r="AO418" s="87">
        <f t="shared" si="313"/>
        <v>13</v>
      </c>
      <c r="AP418" s="87">
        <f t="shared" si="314"/>
        <v>0</v>
      </c>
      <c r="AQ418" s="87">
        <f t="shared" si="315"/>
        <v>15</v>
      </c>
      <c r="AR418" s="81"/>
      <c r="AS418" s="85">
        <f t="shared" si="316"/>
        <v>38</v>
      </c>
      <c r="AT418" s="85">
        <f t="shared" si="317"/>
        <v>0</v>
      </c>
      <c r="AU418" s="85">
        <f t="shared" si="318"/>
        <v>64</v>
      </c>
      <c r="AV418" s="85">
        <f t="shared" si="319"/>
        <v>83</v>
      </c>
      <c r="AW418" s="85">
        <f t="shared" si="320"/>
        <v>48</v>
      </c>
      <c r="AX418" s="85">
        <f t="shared" si="321"/>
        <v>0</v>
      </c>
      <c r="AY418" s="85">
        <f t="shared" si="322"/>
        <v>45</v>
      </c>
      <c r="AZ418" s="85">
        <f t="shared" si="323"/>
        <v>66</v>
      </c>
      <c r="BA418" s="85">
        <f t="shared" si="324"/>
        <v>66</v>
      </c>
      <c r="BB418" s="85">
        <f t="shared" si="325"/>
        <v>0</v>
      </c>
      <c r="BC418" s="85">
        <f t="shared" si="326"/>
        <v>36</v>
      </c>
      <c r="BD418" s="85">
        <f t="shared" si="327"/>
        <v>0</v>
      </c>
      <c r="BE418" s="85">
        <f t="shared" si="328"/>
        <v>29</v>
      </c>
      <c r="BF418" s="85">
        <f t="shared" si="329"/>
        <v>29</v>
      </c>
      <c r="BG418" s="85">
        <f t="shared" si="330"/>
        <v>34</v>
      </c>
      <c r="BH418" s="85">
        <f t="shared" si="331"/>
        <v>34</v>
      </c>
      <c r="BI418" s="85">
        <f t="shared" si="332"/>
        <v>33</v>
      </c>
      <c r="BJ418" s="85">
        <f t="shared" si="333"/>
        <v>33</v>
      </c>
      <c r="BK418" s="85">
        <f t="shared" si="334"/>
        <v>64</v>
      </c>
      <c r="BL418" s="85">
        <f t="shared" si="335"/>
        <v>64</v>
      </c>
      <c r="BM418" s="85">
        <f t="shared" si="336"/>
        <v>65</v>
      </c>
      <c r="BN418" s="85">
        <f t="shared" si="337"/>
        <v>0</v>
      </c>
      <c r="BO418" s="85">
        <f t="shared" si="338"/>
        <v>57</v>
      </c>
      <c r="BP418" s="85">
        <f t="shared" si="339"/>
        <v>0</v>
      </c>
      <c r="BQ418" s="85">
        <f t="shared" si="340"/>
        <v>56</v>
      </c>
      <c r="BR418" s="85">
        <f t="shared" si="341"/>
        <v>56</v>
      </c>
      <c r="BT418" s="63"/>
      <c r="BU418" s="63"/>
      <c r="BV418" s="63"/>
      <c r="BW418" s="63"/>
      <c r="BX418" s="63"/>
      <c r="BY418" s="63"/>
      <c r="BZ418" s="63"/>
      <c r="CA418" s="63"/>
      <c r="CB418" s="63"/>
      <c r="CC418" s="63"/>
      <c r="CD418" s="63"/>
      <c r="CE418" s="63"/>
      <c r="CF418" s="63"/>
      <c r="CG418" s="63"/>
      <c r="CH418" s="63"/>
      <c r="CI418" s="63"/>
      <c r="CJ418" s="63"/>
      <c r="CK418" s="63"/>
      <c r="CL418" s="63"/>
      <c r="CM418" s="63"/>
      <c r="CN418" s="63"/>
      <c r="CO418" s="63"/>
      <c r="CP418" s="63"/>
      <c r="CQ418" s="63"/>
      <c r="CR418" s="63"/>
      <c r="CS418" s="63"/>
      <c r="CX418" s="35" t="s">
        <v>12</v>
      </c>
      <c r="CZ418" s="35"/>
      <c r="DC418" s="57" t="str">
        <f t="shared" si="342"/>
        <v/>
      </c>
      <c r="DD418" s="64" t="str">
        <f t="shared" si="343"/>
        <v/>
      </c>
      <c r="DE418" s="65" t="str">
        <f t="shared" si="344"/>
        <v/>
      </c>
      <c r="DF418" s="66" t="str">
        <f t="shared" si="345"/>
        <v/>
      </c>
      <c r="DK418" s="99"/>
    </row>
    <row r="419" spans="1:115" outlineLevel="1">
      <c r="B419" s="54">
        <f t="shared" si="346"/>
        <v>45985</v>
      </c>
      <c r="C419" s="55" t="s">
        <v>1</v>
      </c>
      <c r="D419" s="56">
        <f t="shared" si="347"/>
        <v>45991</v>
      </c>
      <c r="E419" s="52">
        <f t="shared" si="348"/>
        <v>11</v>
      </c>
      <c r="F419" s="53">
        <f t="shared" si="349"/>
        <v>2025</v>
      </c>
      <c r="G419" s="62">
        <f t="shared" si="350"/>
        <v>15</v>
      </c>
      <c r="H419" s="63">
        <f t="shared" si="351"/>
        <v>96</v>
      </c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>
        <v>15</v>
      </c>
      <c r="U419" s="79">
        <v>1</v>
      </c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80"/>
      <c r="AG419" s="87">
        <f t="shared" si="305"/>
        <v>45987</v>
      </c>
      <c r="AH419" s="87">
        <f t="shared" si="306"/>
        <v>0</v>
      </c>
      <c r="AI419" s="87">
        <f t="shared" si="307"/>
        <v>0</v>
      </c>
      <c r="AJ419" s="87">
        <f t="shared" si="308"/>
        <v>0</v>
      </c>
      <c r="AK419" s="87">
        <f t="shared" si="309"/>
        <v>15</v>
      </c>
      <c r="AL419" s="87">
        <f t="shared" si="310"/>
        <v>0</v>
      </c>
      <c r="AM419" s="87">
        <f t="shared" si="311"/>
        <v>0</v>
      </c>
      <c r="AN419" s="87">
        <f t="shared" si="312"/>
        <v>0</v>
      </c>
      <c r="AO419" s="87">
        <f t="shared" si="313"/>
        <v>14</v>
      </c>
      <c r="AP419" s="87">
        <f t="shared" si="314"/>
        <v>0</v>
      </c>
      <c r="AQ419" s="87">
        <f t="shared" si="315"/>
        <v>15</v>
      </c>
      <c r="AR419" s="81"/>
      <c r="AS419" s="85">
        <f t="shared" si="316"/>
        <v>39</v>
      </c>
      <c r="AT419" s="85">
        <f t="shared" si="317"/>
        <v>15</v>
      </c>
      <c r="AU419" s="85">
        <f t="shared" si="318"/>
        <v>65</v>
      </c>
      <c r="AV419" s="85">
        <f t="shared" si="319"/>
        <v>84</v>
      </c>
      <c r="AW419" s="85">
        <f t="shared" si="320"/>
        <v>49</v>
      </c>
      <c r="AX419" s="85">
        <f t="shared" si="321"/>
        <v>0</v>
      </c>
      <c r="AY419" s="85">
        <f t="shared" si="322"/>
        <v>46</v>
      </c>
      <c r="AZ419" s="85">
        <f t="shared" si="323"/>
        <v>67</v>
      </c>
      <c r="BA419" s="85">
        <f t="shared" si="324"/>
        <v>67</v>
      </c>
      <c r="BB419" s="85">
        <f t="shared" si="325"/>
        <v>0</v>
      </c>
      <c r="BC419" s="85">
        <f t="shared" si="326"/>
        <v>37</v>
      </c>
      <c r="BD419" s="85">
        <f t="shared" si="327"/>
        <v>0</v>
      </c>
      <c r="BE419" s="85">
        <f t="shared" si="328"/>
        <v>30</v>
      </c>
      <c r="BF419" s="85">
        <f t="shared" si="329"/>
        <v>30</v>
      </c>
      <c r="BG419" s="85">
        <f t="shared" si="330"/>
        <v>35</v>
      </c>
      <c r="BH419" s="85">
        <f t="shared" si="331"/>
        <v>35</v>
      </c>
      <c r="BI419" s="85">
        <f t="shared" si="332"/>
        <v>34</v>
      </c>
      <c r="BJ419" s="85">
        <f t="shared" si="333"/>
        <v>34</v>
      </c>
      <c r="BK419" s="85">
        <f t="shared" si="334"/>
        <v>65</v>
      </c>
      <c r="BL419" s="85">
        <f t="shared" si="335"/>
        <v>65</v>
      </c>
      <c r="BM419" s="85">
        <f t="shared" si="336"/>
        <v>66</v>
      </c>
      <c r="BN419" s="85">
        <f t="shared" si="337"/>
        <v>0</v>
      </c>
      <c r="BO419" s="85">
        <f t="shared" si="338"/>
        <v>58</v>
      </c>
      <c r="BP419" s="85">
        <f t="shared" si="339"/>
        <v>0</v>
      </c>
      <c r="BQ419" s="85">
        <f t="shared" si="340"/>
        <v>57</v>
      </c>
      <c r="BR419" s="85">
        <f t="shared" si="341"/>
        <v>57</v>
      </c>
      <c r="BT419" s="63"/>
      <c r="BU419" s="63">
        <v>5</v>
      </c>
      <c r="BV419" s="63"/>
      <c r="BW419" s="63"/>
      <c r="BX419" s="63"/>
      <c r="BY419" s="63"/>
      <c r="BZ419" s="63"/>
      <c r="CA419" s="63"/>
      <c r="CB419" s="63"/>
      <c r="CC419" s="63"/>
      <c r="CD419" s="63"/>
      <c r="CE419" s="63"/>
      <c r="CF419" s="63"/>
      <c r="CG419" s="63"/>
      <c r="CH419" s="63"/>
      <c r="CI419" s="63"/>
      <c r="CJ419" s="63"/>
      <c r="CK419" s="63"/>
      <c r="CL419" s="63"/>
      <c r="CM419" s="63"/>
      <c r="CN419" s="63"/>
      <c r="CO419" s="63"/>
      <c r="CP419" s="63"/>
      <c r="CQ419" s="63"/>
      <c r="CR419" s="63"/>
      <c r="CS419" s="63"/>
      <c r="CX419" s="35" t="s">
        <v>12</v>
      </c>
      <c r="CZ419" s="35"/>
      <c r="DC419" s="57">
        <f>IF(AND(AG419&gt;0,AG418=0),$AG$5,IF(AND(AK419&gt;0,AK418=0),$AK$5,IF(AND(AO419&gt;0,AO418=0),$AO$5,IF(AND(AI419&gt;0,AI418=0),$AI$5,IF(AND(AJ419&gt;0,AJ418=0),$AJ$5,IF(AND(AQ419&gt;0,AQ418=0),$AQ$5,IF(AND(AL419&gt;0,AL418=0),$AL$5,IF(AND(AM419&gt;0,AM418=0),$AM$5,IF(AND(AN419&gt;0,AN418=0),$AN$5,"")))))))))</f>
        <v>1</v>
      </c>
      <c r="DD419" s="64">
        <f t="shared" si="343"/>
        <v>45987</v>
      </c>
      <c r="DE419" s="65">
        <f t="shared" si="344"/>
        <v>46092</v>
      </c>
      <c r="DF419" s="66" t="str">
        <f t="shared" si="345"/>
        <v/>
      </c>
    </row>
    <row r="420" spans="1:115" outlineLevel="1">
      <c r="B420" s="54">
        <f t="shared" si="346"/>
        <v>45992</v>
      </c>
      <c r="C420" s="55" t="s">
        <v>1</v>
      </c>
      <c r="D420" s="56">
        <f t="shared" si="347"/>
        <v>45998</v>
      </c>
      <c r="E420" s="52">
        <f t="shared" si="348"/>
        <v>12</v>
      </c>
      <c r="F420" s="53">
        <f t="shared" si="349"/>
        <v>2025</v>
      </c>
      <c r="G420" s="62">
        <f t="shared" si="350"/>
        <v>15</v>
      </c>
      <c r="H420" s="63">
        <f t="shared" si="351"/>
        <v>96</v>
      </c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>
        <v>15</v>
      </c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80"/>
      <c r="AG420" s="87">
        <f t="shared" si="305"/>
        <v>1</v>
      </c>
      <c r="AH420" s="87">
        <f t="shared" si="306"/>
        <v>0</v>
      </c>
      <c r="AI420" s="87">
        <f t="shared" si="307"/>
        <v>0</v>
      </c>
      <c r="AJ420" s="87">
        <f t="shared" si="308"/>
        <v>0</v>
      </c>
      <c r="AK420" s="87">
        <f t="shared" si="309"/>
        <v>0</v>
      </c>
      <c r="AL420" s="87">
        <f t="shared" si="310"/>
        <v>0</v>
      </c>
      <c r="AM420" s="87">
        <f t="shared" si="311"/>
        <v>0</v>
      </c>
      <c r="AN420" s="87">
        <f t="shared" si="312"/>
        <v>0</v>
      </c>
      <c r="AO420" s="87">
        <f t="shared" si="313"/>
        <v>15</v>
      </c>
      <c r="AP420" s="87">
        <f t="shared" si="314"/>
        <v>0</v>
      </c>
      <c r="AQ420" s="87">
        <f t="shared" si="315"/>
        <v>15</v>
      </c>
      <c r="AR420" s="81"/>
      <c r="AS420" s="85">
        <f t="shared" si="316"/>
        <v>40</v>
      </c>
      <c r="AT420" s="85">
        <f t="shared" si="317"/>
        <v>16</v>
      </c>
      <c r="AU420" s="85">
        <f t="shared" si="318"/>
        <v>66</v>
      </c>
      <c r="AV420" s="85">
        <f t="shared" si="319"/>
        <v>85</v>
      </c>
      <c r="AW420" s="85">
        <f t="shared" si="320"/>
        <v>50</v>
      </c>
      <c r="AX420" s="85">
        <f t="shared" si="321"/>
        <v>0</v>
      </c>
      <c r="AY420" s="85">
        <f t="shared" si="322"/>
        <v>47</v>
      </c>
      <c r="AZ420" s="85">
        <f t="shared" si="323"/>
        <v>68</v>
      </c>
      <c r="BA420" s="85">
        <f t="shared" si="324"/>
        <v>68</v>
      </c>
      <c r="BB420" s="85">
        <f t="shared" si="325"/>
        <v>15</v>
      </c>
      <c r="BC420" s="85">
        <f t="shared" si="326"/>
        <v>38</v>
      </c>
      <c r="BD420" s="85">
        <f t="shared" si="327"/>
        <v>0</v>
      </c>
      <c r="BE420" s="85">
        <f t="shared" si="328"/>
        <v>31</v>
      </c>
      <c r="BF420" s="85">
        <f t="shared" si="329"/>
        <v>31</v>
      </c>
      <c r="BG420" s="85">
        <f t="shared" si="330"/>
        <v>36</v>
      </c>
      <c r="BH420" s="85">
        <f t="shared" si="331"/>
        <v>36</v>
      </c>
      <c r="BI420" s="85">
        <f t="shared" si="332"/>
        <v>35</v>
      </c>
      <c r="BJ420" s="85">
        <f t="shared" si="333"/>
        <v>35</v>
      </c>
      <c r="BK420" s="85">
        <f t="shared" si="334"/>
        <v>66</v>
      </c>
      <c r="BL420" s="85">
        <f t="shared" si="335"/>
        <v>66</v>
      </c>
      <c r="BM420" s="85">
        <f t="shared" si="336"/>
        <v>67</v>
      </c>
      <c r="BN420" s="85">
        <f t="shared" si="337"/>
        <v>0</v>
      </c>
      <c r="BO420" s="85">
        <f t="shared" si="338"/>
        <v>59</v>
      </c>
      <c r="BP420" s="85">
        <f t="shared" si="339"/>
        <v>0</v>
      </c>
      <c r="BQ420" s="85">
        <f t="shared" si="340"/>
        <v>58</v>
      </c>
      <c r="BR420" s="85">
        <f t="shared" si="341"/>
        <v>58</v>
      </c>
      <c r="BT420" s="63"/>
      <c r="BU420" s="63"/>
      <c r="BV420" s="63"/>
      <c r="BW420" s="63"/>
      <c r="BX420" s="63"/>
      <c r="BY420" s="63"/>
      <c r="BZ420" s="63"/>
      <c r="CA420" s="63"/>
      <c r="CB420" s="63"/>
      <c r="CC420" s="63">
        <v>9</v>
      </c>
      <c r="CD420" s="63"/>
      <c r="CE420" s="63"/>
      <c r="CF420" s="63"/>
      <c r="CG420" s="63"/>
      <c r="CH420" s="63"/>
      <c r="CI420" s="63"/>
      <c r="CJ420" s="63"/>
      <c r="CK420" s="63"/>
      <c r="CL420" s="63"/>
      <c r="CM420" s="63"/>
      <c r="CN420" s="63"/>
      <c r="CO420" s="63"/>
      <c r="CP420" s="63"/>
      <c r="CQ420" s="63"/>
      <c r="CR420" s="63"/>
      <c r="CS420" s="63"/>
      <c r="CX420" s="35" t="s">
        <v>12</v>
      </c>
      <c r="CZ420" s="35"/>
      <c r="DC420" s="57" t="str">
        <f t="shared" si="342"/>
        <v/>
      </c>
      <c r="DD420" s="64" t="str">
        <f t="shared" si="343"/>
        <v/>
      </c>
      <c r="DE420" s="65" t="str">
        <f t="shared" si="344"/>
        <v/>
      </c>
      <c r="DF420" s="66" t="str">
        <f t="shared" si="345"/>
        <v/>
      </c>
    </row>
    <row r="421" spans="1:115" outlineLevel="1">
      <c r="B421" s="54">
        <f t="shared" si="346"/>
        <v>45999</v>
      </c>
      <c r="C421" s="55" t="s">
        <v>1</v>
      </c>
      <c r="D421" s="56">
        <f t="shared" si="347"/>
        <v>46005</v>
      </c>
      <c r="E421" s="52">
        <f t="shared" si="348"/>
        <v>12</v>
      </c>
      <c r="F421" s="53">
        <f t="shared" si="349"/>
        <v>2025</v>
      </c>
      <c r="G421" s="62">
        <f t="shared" si="350"/>
        <v>15</v>
      </c>
      <c r="H421" s="63">
        <f t="shared" si="351"/>
        <v>96</v>
      </c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>
        <v>15</v>
      </c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80"/>
      <c r="AG421" s="87">
        <f t="shared" si="305"/>
        <v>2</v>
      </c>
      <c r="AH421" s="87">
        <f t="shared" si="306"/>
        <v>0</v>
      </c>
      <c r="AI421" s="87">
        <f t="shared" si="307"/>
        <v>0</v>
      </c>
      <c r="AJ421" s="87">
        <f t="shared" si="308"/>
        <v>0</v>
      </c>
      <c r="AK421" s="87">
        <f t="shared" si="309"/>
        <v>0</v>
      </c>
      <c r="AL421" s="87">
        <f t="shared" si="310"/>
        <v>0</v>
      </c>
      <c r="AM421" s="87">
        <f t="shared" si="311"/>
        <v>0</v>
      </c>
      <c r="AN421" s="87">
        <f t="shared" si="312"/>
        <v>0</v>
      </c>
      <c r="AO421" s="87">
        <f t="shared" si="313"/>
        <v>0</v>
      </c>
      <c r="AP421" s="87">
        <f t="shared" si="314"/>
        <v>0</v>
      </c>
      <c r="AQ421" s="87">
        <f t="shared" si="315"/>
        <v>15</v>
      </c>
      <c r="AR421" s="81"/>
      <c r="AS421" s="85">
        <f t="shared" si="316"/>
        <v>41</v>
      </c>
      <c r="AT421" s="85">
        <f t="shared" si="317"/>
        <v>17</v>
      </c>
      <c r="AU421" s="85">
        <f t="shared" si="318"/>
        <v>67</v>
      </c>
      <c r="AV421" s="85">
        <f t="shared" si="319"/>
        <v>86</v>
      </c>
      <c r="AW421" s="85">
        <f t="shared" si="320"/>
        <v>51</v>
      </c>
      <c r="AX421" s="85">
        <f t="shared" si="321"/>
        <v>0</v>
      </c>
      <c r="AY421" s="85">
        <f t="shared" si="322"/>
        <v>48</v>
      </c>
      <c r="AZ421" s="85">
        <f t="shared" si="323"/>
        <v>69</v>
      </c>
      <c r="BA421" s="85">
        <f t="shared" si="324"/>
        <v>69</v>
      </c>
      <c r="BB421" s="85">
        <f t="shared" si="325"/>
        <v>16</v>
      </c>
      <c r="BC421" s="85">
        <f t="shared" si="326"/>
        <v>39</v>
      </c>
      <c r="BD421" s="85">
        <f t="shared" si="327"/>
        <v>0</v>
      </c>
      <c r="BE421" s="85">
        <f t="shared" si="328"/>
        <v>32</v>
      </c>
      <c r="BF421" s="85">
        <f t="shared" si="329"/>
        <v>32</v>
      </c>
      <c r="BG421" s="85">
        <f t="shared" si="330"/>
        <v>37</v>
      </c>
      <c r="BH421" s="85">
        <f t="shared" si="331"/>
        <v>37</v>
      </c>
      <c r="BI421" s="85">
        <f t="shared" si="332"/>
        <v>36</v>
      </c>
      <c r="BJ421" s="85">
        <f t="shared" si="333"/>
        <v>36</v>
      </c>
      <c r="BK421" s="85">
        <f t="shared" si="334"/>
        <v>67</v>
      </c>
      <c r="BL421" s="85">
        <f t="shared" si="335"/>
        <v>67</v>
      </c>
      <c r="BM421" s="85">
        <f t="shared" si="336"/>
        <v>68</v>
      </c>
      <c r="BN421" s="85">
        <f t="shared" si="337"/>
        <v>0</v>
      </c>
      <c r="BO421" s="85">
        <f t="shared" si="338"/>
        <v>60</v>
      </c>
      <c r="BP421" s="85">
        <f t="shared" si="339"/>
        <v>0</v>
      </c>
      <c r="BQ421" s="85">
        <f t="shared" si="340"/>
        <v>59</v>
      </c>
      <c r="BR421" s="85">
        <f t="shared" si="341"/>
        <v>59</v>
      </c>
      <c r="BT421" s="63"/>
      <c r="BU421" s="63"/>
      <c r="BV421" s="63"/>
      <c r="BW421" s="63"/>
      <c r="BX421" s="63"/>
      <c r="BY421" s="63"/>
      <c r="BZ421" s="63"/>
      <c r="CA421" s="63"/>
      <c r="CB421" s="63"/>
      <c r="CC421" s="63"/>
      <c r="CD421" s="63"/>
      <c r="CE421" s="63"/>
      <c r="CF421" s="63"/>
      <c r="CG421" s="63"/>
      <c r="CH421" s="63"/>
      <c r="CI421" s="63"/>
      <c r="CJ421" s="63"/>
      <c r="CK421" s="63"/>
      <c r="CL421" s="63"/>
      <c r="CM421" s="63"/>
      <c r="CN421" s="63"/>
      <c r="CO421" s="63"/>
      <c r="CP421" s="63"/>
      <c r="CQ421" s="63"/>
      <c r="CR421" s="63"/>
      <c r="CS421" s="63"/>
      <c r="CX421" s="35" t="s">
        <v>12</v>
      </c>
      <c r="CZ421" s="35"/>
      <c r="DC421" s="57" t="str">
        <f t="shared" si="342"/>
        <v/>
      </c>
      <c r="DD421" s="64" t="str">
        <f t="shared" si="343"/>
        <v/>
      </c>
      <c r="DE421" s="65" t="str">
        <f t="shared" si="344"/>
        <v/>
      </c>
      <c r="DF421" s="66" t="str">
        <f t="shared" si="345"/>
        <v/>
      </c>
    </row>
    <row r="422" spans="1:115" outlineLevel="1">
      <c r="B422" s="54">
        <f t="shared" si="346"/>
        <v>46006</v>
      </c>
      <c r="C422" s="55" t="s">
        <v>1</v>
      </c>
      <c r="D422" s="56">
        <f t="shared" si="347"/>
        <v>46012</v>
      </c>
      <c r="E422" s="52">
        <f t="shared" si="348"/>
        <v>12</v>
      </c>
      <c r="F422" s="53">
        <f t="shared" si="349"/>
        <v>2025</v>
      </c>
      <c r="G422" s="62">
        <f t="shared" si="350"/>
        <v>15</v>
      </c>
      <c r="H422" s="63">
        <f t="shared" si="351"/>
        <v>96</v>
      </c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>
        <v>15</v>
      </c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80"/>
      <c r="AG422" s="87">
        <f t="shared" si="305"/>
        <v>3</v>
      </c>
      <c r="AH422" s="87">
        <f t="shared" si="306"/>
        <v>0</v>
      </c>
      <c r="AI422" s="87">
        <f t="shared" si="307"/>
        <v>0</v>
      </c>
      <c r="AJ422" s="87">
        <f t="shared" si="308"/>
        <v>0</v>
      </c>
      <c r="AK422" s="87">
        <f t="shared" si="309"/>
        <v>0</v>
      </c>
      <c r="AL422" s="87">
        <f t="shared" si="310"/>
        <v>0</v>
      </c>
      <c r="AM422" s="87">
        <f t="shared" si="311"/>
        <v>0</v>
      </c>
      <c r="AN422" s="87">
        <f t="shared" si="312"/>
        <v>0</v>
      </c>
      <c r="AO422" s="87">
        <f t="shared" si="313"/>
        <v>0</v>
      </c>
      <c r="AP422" s="87">
        <f t="shared" si="314"/>
        <v>0</v>
      </c>
      <c r="AQ422" s="87">
        <f t="shared" si="315"/>
        <v>15</v>
      </c>
      <c r="AR422" s="81"/>
      <c r="AS422" s="85">
        <f t="shared" si="316"/>
        <v>42</v>
      </c>
      <c r="AT422" s="85">
        <f t="shared" si="317"/>
        <v>18</v>
      </c>
      <c r="AU422" s="85">
        <f t="shared" si="318"/>
        <v>68</v>
      </c>
      <c r="AV422" s="85">
        <f t="shared" si="319"/>
        <v>87</v>
      </c>
      <c r="AW422" s="85">
        <f t="shared" si="320"/>
        <v>52</v>
      </c>
      <c r="AX422" s="85">
        <f t="shared" si="321"/>
        <v>0</v>
      </c>
      <c r="AY422" s="85">
        <f t="shared" si="322"/>
        <v>49</v>
      </c>
      <c r="AZ422" s="85">
        <f t="shared" si="323"/>
        <v>70</v>
      </c>
      <c r="BA422" s="85">
        <f t="shared" si="324"/>
        <v>70</v>
      </c>
      <c r="BB422" s="85">
        <f t="shared" si="325"/>
        <v>17</v>
      </c>
      <c r="BC422" s="85">
        <f t="shared" si="326"/>
        <v>40</v>
      </c>
      <c r="BD422" s="85">
        <f t="shared" si="327"/>
        <v>0</v>
      </c>
      <c r="BE422" s="85">
        <f t="shared" si="328"/>
        <v>33</v>
      </c>
      <c r="BF422" s="85">
        <f t="shared" si="329"/>
        <v>33</v>
      </c>
      <c r="BG422" s="85">
        <f t="shared" si="330"/>
        <v>38</v>
      </c>
      <c r="BH422" s="85">
        <f t="shared" si="331"/>
        <v>38</v>
      </c>
      <c r="BI422" s="85">
        <f t="shared" si="332"/>
        <v>37</v>
      </c>
      <c r="BJ422" s="85">
        <f t="shared" si="333"/>
        <v>37</v>
      </c>
      <c r="BK422" s="85">
        <f t="shared" si="334"/>
        <v>68</v>
      </c>
      <c r="BL422" s="85">
        <f t="shared" si="335"/>
        <v>68</v>
      </c>
      <c r="BM422" s="85">
        <f t="shared" si="336"/>
        <v>69</v>
      </c>
      <c r="BN422" s="85">
        <f t="shared" si="337"/>
        <v>0</v>
      </c>
      <c r="BO422" s="85">
        <f t="shared" si="338"/>
        <v>61</v>
      </c>
      <c r="BP422" s="85">
        <f t="shared" si="339"/>
        <v>0</v>
      </c>
      <c r="BQ422" s="85">
        <f t="shared" si="340"/>
        <v>60</v>
      </c>
      <c r="BR422" s="85">
        <f t="shared" si="341"/>
        <v>60</v>
      </c>
      <c r="BT422" s="63"/>
      <c r="BU422" s="63"/>
      <c r="BV422" s="63"/>
      <c r="BW422" s="63"/>
      <c r="BX422" s="63"/>
      <c r="BY422" s="63"/>
      <c r="BZ422" s="63"/>
      <c r="CA422" s="63"/>
      <c r="CB422" s="63"/>
      <c r="CC422" s="63"/>
      <c r="CD422" s="63"/>
      <c r="CE422" s="63"/>
      <c r="CF422" s="63"/>
      <c r="CG422" s="63"/>
      <c r="CH422" s="63"/>
      <c r="CI422" s="63"/>
      <c r="CJ422" s="63"/>
      <c r="CK422" s="63"/>
      <c r="CL422" s="63"/>
      <c r="CM422" s="63"/>
      <c r="CN422" s="63"/>
      <c r="CO422" s="63"/>
      <c r="CP422" s="63"/>
      <c r="CQ422" s="63"/>
      <c r="CR422" s="63"/>
      <c r="CS422" s="63"/>
      <c r="CX422" s="35" t="s">
        <v>12</v>
      </c>
      <c r="CZ422" s="35"/>
      <c r="DC422" s="57" t="str">
        <f t="shared" si="342"/>
        <v/>
      </c>
      <c r="DD422" s="64" t="str">
        <f t="shared" si="343"/>
        <v/>
      </c>
      <c r="DE422" s="65" t="str">
        <f t="shared" si="344"/>
        <v/>
      </c>
      <c r="DF422" s="66" t="str">
        <f t="shared" si="345"/>
        <v/>
      </c>
    </row>
    <row r="423" spans="1:115" outlineLevel="1">
      <c r="B423" s="54">
        <f t="shared" ref="B423:B486" si="352">D422+1</f>
        <v>46013</v>
      </c>
      <c r="C423" s="55" t="s">
        <v>1</v>
      </c>
      <c r="D423" s="56">
        <f t="shared" ref="D423:D486" si="353">B423+6</f>
        <v>46019</v>
      </c>
      <c r="E423" s="52">
        <f t="shared" ref="E423:E486" si="354">MONTH(B423)</f>
        <v>12</v>
      </c>
      <c r="F423" s="53">
        <f t="shared" ref="F423:F486" si="355">YEAR(D423)</f>
        <v>2025</v>
      </c>
      <c r="G423" s="62">
        <f t="shared" si="350"/>
        <v>15</v>
      </c>
      <c r="H423" s="63">
        <f t="shared" si="351"/>
        <v>96</v>
      </c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>
        <v>15</v>
      </c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80"/>
      <c r="AG423" s="87">
        <f t="shared" si="305"/>
        <v>4</v>
      </c>
      <c r="AH423" s="87">
        <f t="shared" si="306"/>
        <v>0</v>
      </c>
      <c r="AI423" s="87">
        <f t="shared" si="307"/>
        <v>0</v>
      </c>
      <c r="AJ423" s="87">
        <f t="shared" si="308"/>
        <v>0</v>
      </c>
      <c r="AK423" s="87">
        <f t="shared" si="309"/>
        <v>0</v>
      </c>
      <c r="AL423" s="87">
        <f t="shared" si="310"/>
        <v>0</v>
      </c>
      <c r="AM423" s="87">
        <f t="shared" si="311"/>
        <v>0</v>
      </c>
      <c r="AN423" s="87">
        <f t="shared" si="312"/>
        <v>0</v>
      </c>
      <c r="AO423" s="87">
        <f t="shared" si="313"/>
        <v>0</v>
      </c>
      <c r="AP423" s="87">
        <f t="shared" si="314"/>
        <v>0</v>
      </c>
      <c r="AQ423" s="87">
        <f t="shared" si="315"/>
        <v>15</v>
      </c>
      <c r="AR423" s="81"/>
      <c r="AS423" s="85">
        <f t="shared" si="316"/>
        <v>43</v>
      </c>
      <c r="AT423" s="85">
        <f t="shared" si="317"/>
        <v>19</v>
      </c>
      <c r="AU423" s="85">
        <f t="shared" si="318"/>
        <v>69</v>
      </c>
      <c r="AV423" s="85">
        <f t="shared" si="319"/>
        <v>88</v>
      </c>
      <c r="AW423" s="85">
        <f t="shared" si="320"/>
        <v>53</v>
      </c>
      <c r="AX423" s="85">
        <f t="shared" si="321"/>
        <v>0</v>
      </c>
      <c r="AY423" s="85">
        <f t="shared" si="322"/>
        <v>50</v>
      </c>
      <c r="AZ423" s="85">
        <f t="shared" si="323"/>
        <v>71</v>
      </c>
      <c r="BA423" s="85">
        <f t="shared" si="324"/>
        <v>71</v>
      </c>
      <c r="BB423" s="85">
        <f t="shared" si="325"/>
        <v>18</v>
      </c>
      <c r="BC423" s="85">
        <f t="shared" si="326"/>
        <v>41</v>
      </c>
      <c r="BD423" s="85">
        <f t="shared" si="327"/>
        <v>0</v>
      </c>
      <c r="BE423" s="85">
        <f t="shared" si="328"/>
        <v>34</v>
      </c>
      <c r="BF423" s="85">
        <f t="shared" si="329"/>
        <v>34</v>
      </c>
      <c r="BG423" s="85">
        <f t="shared" si="330"/>
        <v>39</v>
      </c>
      <c r="BH423" s="85">
        <f t="shared" si="331"/>
        <v>39</v>
      </c>
      <c r="BI423" s="85">
        <f t="shared" si="332"/>
        <v>38</v>
      </c>
      <c r="BJ423" s="85">
        <f t="shared" si="333"/>
        <v>38</v>
      </c>
      <c r="BK423" s="85">
        <f t="shared" si="334"/>
        <v>69</v>
      </c>
      <c r="BL423" s="85">
        <f t="shared" si="335"/>
        <v>69</v>
      </c>
      <c r="BM423" s="85">
        <f t="shared" si="336"/>
        <v>70</v>
      </c>
      <c r="BN423" s="85">
        <f t="shared" si="337"/>
        <v>0</v>
      </c>
      <c r="BO423" s="85">
        <f t="shared" si="338"/>
        <v>62</v>
      </c>
      <c r="BP423" s="85">
        <f t="shared" si="339"/>
        <v>0</v>
      </c>
      <c r="BQ423" s="85">
        <f t="shared" si="340"/>
        <v>61</v>
      </c>
      <c r="BR423" s="85">
        <f t="shared" si="341"/>
        <v>61</v>
      </c>
      <c r="BT423" s="63"/>
      <c r="BU423" s="63"/>
      <c r="BV423" s="63"/>
      <c r="BW423" s="63"/>
      <c r="BX423" s="63"/>
      <c r="BY423" s="63"/>
      <c r="BZ423" s="63"/>
      <c r="CA423" s="63"/>
      <c r="CB423" s="63"/>
      <c r="CC423" s="63"/>
      <c r="CD423" s="63"/>
      <c r="CE423" s="63"/>
      <c r="CF423" s="63"/>
      <c r="CG423" s="63"/>
      <c r="CH423" s="63"/>
      <c r="CI423" s="63"/>
      <c r="CJ423" s="63"/>
      <c r="CK423" s="63"/>
      <c r="CL423" s="63"/>
      <c r="CM423" s="63"/>
      <c r="CN423" s="63"/>
      <c r="CO423" s="63"/>
      <c r="CP423" s="63"/>
      <c r="CQ423" s="63"/>
      <c r="CR423" s="63"/>
      <c r="CS423" s="63"/>
      <c r="CX423" s="35" t="s">
        <v>12</v>
      </c>
      <c r="CZ423" s="35"/>
      <c r="DC423" s="57" t="str">
        <f t="shared" si="342"/>
        <v/>
      </c>
      <c r="DD423" s="64" t="str">
        <f t="shared" si="343"/>
        <v/>
      </c>
      <c r="DE423" s="65" t="str">
        <f t="shared" si="344"/>
        <v/>
      </c>
      <c r="DF423" s="66" t="str">
        <f t="shared" si="345"/>
        <v/>
      </c>
    </row>
    <row r="424" spans="1:115">
      <c r="B424" s="54">
        <f t="shared" si="352"/>
        <v>46020</v>
      </c>
      <c r="C424" s="55" t="s">
        <v>1</v>
      </c>
      <c r="D424" s="56">
        <f t="shared" si="353"/>
        <v>46026</v>
      </c>
      <c r="E424" s="52">
        <f t="shared" si="354"/>
        <v>12</v>
      </c>
      <c r="F424" s="53">
        <f t="shared" si="355"/>
        <v>2026</v>
      </c>
      <c r="G424" s="62">
        <f t="shared" si="350"/>
        <v>15</v>
      </c>
      <c r="H424" s="63">
        <f t="shared" si="351"/>
        <v>96</v>
      </c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>
        <v>15</v>
      </c>
      <c r="U424" s="79"/>
      <c r="V424" s="79"/>
      <c r="W424" s="79"/>
      <c r="X424" s="79"/>
      <c r="Y424" s="79"/>
      <c r="Z424" s="79"/>
      <c r="AA424" s="79"/>
      <c r="AB424" s="79"/>
      <c r="AC424" s="79">
        <v>1</v>
      </c>
      <c r="AD424" s="79"/>
      <c r="AE424" s="79"/>
      <c r="AF424" s="80"/>
      <c r="AG424" s="87">
        <f t="shared" si="305"/>
        <v>5</v>
      </c>
      <c r="AH424" s="87">
        <f t="shared" si="306"/>
        <v>0</v>
      </c>
      <c r="AI424" s="87">
        <f t="shared" si="307"/>
        <v>0</v>
      </c>
      <c r="AJ424" s="87">
        <f t="shared" si="308"/>
        <v>0</v>
      </c>
      <c r="AK424" s="87">
        <f t="shared" si="309"/>
        <v>0</v>
      </c>
      <c r="AL424" s="87">
        <f t="shared" si="310"/>
        <v>0</v>
      </c>
      <c r="AM424" s="87">
        <f t="shared" si="311"/>
        <v>0</v>
      </c>
      <c r="AN424" s="87">
        <f t="shared" si="312"/>
        <v>0</v>
      </c>
      <c r="AO424" s="87">
        <f t="shared" si="313"/>
        <v>46022</v>
      </c>
      <c r="AP424" s="87">
        <f t="shared" si="314"/>
        <v>0</v>
      </c>
      <c r="AQ424" s="87">
        <f t="shared" si="315"/>
        <v>15</v>
      </c>
      <c r="AR424" s="81"/>
      <c r="AS424" s="85">
        <f t="shared" si="316"/>
        <v>44</v>
      </c>
      <c r="AT424" s="85">
        <f t="shared" si="317"/>
        <v>20</v>
      </c>
      <c r="AU424" s="85">
        <f t="shared" si="318"/>
        <v>70</v>
      </c>
      <c r="AV424" s="85">
        <f t="shared" si="319"/>
        <v>89</v>
      </c>
      <c r="AW424" s="85">
        <f t="shared" si="320"/>
        <v>54</v>
      </c>
      <c r="AX424" s="85">
        <f t="shared" si="321"/>
        <v>0</v>
      </c>
      <c r="AY424" s="85">
        <f t="shared" si="322"/>
        <v>51</v>
      </c>
      <c r="AZ424" s="85">
        <f t="shared" si="323"/>
        <v>72</v>
      </c>
      <c r="BA424" s="85">
        <f t="shared" si="324"/>
        <v>72</v>
      </c>
      <c r="BB424" s="85">
        <f t="shared" si="325"/>
        <v>19</v>
      </c>
      <c r="BC424" s="85">
        <f t="shared" si="326"/>
        <v>42</v>
      </c>
      <c r="BD424" s="85">
        <f t="shared" si="327"/>
        <v>0</v>
      </c>
      <c r="BE424" s="85">
        <f t="shared" si="328"/>
        <v>35</v>
      </c>
      <c r="BF424" s="85">
        <f t="shared" si="329"/>
        <v>35</v>
      </c>
      <c r="BG424" s="85">
        <f t="shared" si="330"/>
        <v>40</v>
      </c>
      <c r="BH424" s="85">
        <f t="shared" si="331"/>
        <v>40</v>
      </c>
      <c r="BI424" s="85">
        <f t="shared" si="332"/>
        <v>39</v>
      </c>
      <c r="BJ424" s="85">
        <f t="shared" si="333"/>
        <v>39</v>
      </c>
      <c r="BK424" s="85">
        <f t="shared" si="334"/>
        <v>70</v>
      </c>
      <c r="BL424" s="85">
        <f t="shared" si="335"/>
        <v>70</v>
      </c>
      <c r="BM424" s="85">
        <f t="shared" si="336"/>
        <v>71</v>
      </c>
      <c r="BN424" s="85">
        <f t="shared" si="337"/>
        <v>0</v>
      </c>
      <c r="BO424" s="85">
        <f t="shared" si="338"/>
        <v>63</v>
      </c>
      <c r="BP424" s="85">
        <f t="shared" si="339"/>
        <v>0</v>
      </c>
      <c r="BQ424" s="85">
        <f t="shared" si="340"/>
        <v>62</v>
      </c>
      <c r="BR424" s="85">
        <f t="shared" si="341"/>
        <v>62</v>
      </c>
      <c r="BT424" s="63"/>
      <c r="BU424" s="63"/>
      <c r="BV424" s="63"/>
      <c r="BW424" s="63"/>
      <c r="BX424" s="63"/>
      <c r="BY424" s="63"/>
      <c r="BZ424" s="63"/>
      <c r="CA424" s="63"/>
      <c r="CB424" s="63"/>
      <c r="CC424" s="63"/>
      <c r="CD424" s="63"/>
      <c r="CE424" s="63"/>
      <c r="CF424" s="63"/>
      <c r="CG424" s="63"/>
      <c r="CH424" s="63"/>
      <c r="CI424" s="63"/>
      <c r="CJ424" s="63"/>
      <c r="CK424" s="63"/>
      <c r="CL424" s="63"/>
      <c r="CM424" s="63"/>
      <c r="CN424" s="63"/>
      <c r="CO424" s="63"/>
      <c r="CP424" s="63"/>
      <c r="CQ424" s="63"/>
      <c r="CR424" s="63"/>
      <c r="CS424" s="63"/>
      <c r="CX424" s="35" t="s">
        <v>12</v>
      </c>
      <c r="CZ424" s="35"/>
      <c r="DC424" s="57">
        <f t="shared" si="342"/>
        <v>9</v>
      </c>
      <c r="DD424" s="64">
        <f t="shared" si="343"/>
        <v>46022</v>
      </c>
      <c r="DE424" s="65">
        <f t="shared" si="344"/>
        <v>46127</v>
      </c>
      <c r="DF424" s="66" t="str">
        <f t="shared" si="345"/>
        <v/>
      </c>
    </row>
    <row r="425" spans="1:115">
      <c r="B425" s="54">
        <f t="shared" si="352"/>
        <v>46027</v>
      </c>
      <c r="C425" s="55" t="s">
        <v>1</v>
      </c>
      <c r="D425" s="56">
        <f t="shared" si="353"/>
        <v>46033</v>
      </c>
      <c r="E425" s="52">
        <f t="shared" si="354"/>
        <v>1</v>
      </c>
      <c r="F425" s="53">
        <f t="shared" si="355"/>
        <v>2026</v>
      </c>
      <c r="G425" s="62">
        <f t="shared" si="350"/>
        <v>15</v>
      </c>
      <c r="H425" s="63">
        <f t="shared" si="351"/>
        <v>96</v>
      </c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>
        <v>15</v>
      </c>
      <c r="U425" s="79">
        <v>2</v>
      </c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80"/>
      <c r="AG425" s="87">
        <f t="shared" si="305"/>
        <v>6</v>
      </c>
      <c r="AH425" s="87">
        <f t="shared" si="306"/>
        <v>0</v>
      </c>
      <c r="AI425" s="87">
        <f t="shared" si="307"/>
        <v>0</v>
      </c>
      <c r="AJ425" s="87">
        <f t="shared" si="308"/>
        <v>0</v>
      </c>
      <c r="AK425" s="87">
        <f t="shared" si="309"/>
        <v>0</v>
      </c>
      <c r="AL425" s="87">
        <f t="shared" si="310"/>
        <v>0</v>
      </c>
      <c r="AM425" s="87">
        <f t="shared" si="311"/>
        <v>0</v>
      </c>
      <c r="AN425" s="87">
        <f t="shared" si="312"/>
        <v>0</v>
      </c>
      <c r="AO425" s="87">
        <f t="shared" si="313"/>
        <v>1</v>
      </c>
      <c r="AP425" s="87">
        <f t="shared" si="314"/>
        <v>0</v>
      </c>
      <c r="AQ425" s="87">
        <f t="shared" si="315"/>
        <v>15</v>
      </c>
      <c r="AR425" s="81"/>
      <c r="AS425" s="85">
        <f t="shared" si="316"/>
        <v>45</v>
      </c>
      <c r="AT425" s="85">
        <f t="shared" si="317"/>
        <v>21</v>
      </c>
      <c r="AU425" s="85">
        <f t="shared" si="318"/>
        <v>71</v>
      </c>
      <c r="AV425" s="85">
        <f t="shared" si="319"/>
        <v>90</v>
      </c>
      <c r="AW425" s="85">
        <f t="shared" si="320"/>
        <v>55</v>
      </c>
      <c r="AX425" s="85">
        <f t="shared" si="321"/>
        <v>0</v>
      </c>
      <c r="AY425" s="85">
        <f t="shared" si="322"/>
        <v>52</v>
      </c>
      <c r="AZ425" s="85">
        <f t="shared" si="323"/>
        <v>73</v>
      </c>
      <c r="BA425" s="85">
        <f t="shared" si="324"/>
        <v>73</v>
      </c>
      <c r="BB425" s="85">
        <f t="shared" si="325"/>
        <v>20</v>
      </c>
      <c r="BC425" s="85">
        <f t="shared" si="326"/>
        <v>43</v>
      </c>
      <c r="BD425" s="85">
        <f t="shared" si="327"/>
        <v>0</v>
      </c>
      <c r="BE425" s="85">
        <f t="shared" si="328"/>
        <v>36</v>
      </c>
      <c r="BF425" s="85">
        <f t="shared" si="329"/>
        <v>36</v>
      </c>
      <c r="BG425" s="85">
        <f t="shared" si="330"/>
        <v>41</v>
      </c>
      <c r="BH425" s="85">
        <f t="shared" si="331"/>
        <v>41</v>
      </c>
      <c r="BI425" s="85">
        <f t="shared" si="332"/>
        <v>40</v>
      </c>
      <c r="BJ425" s="85">
        <f t="shared" si="333"/>
        <v>40</v>
      </c>
      <c r="BK425" s="85">
        <f t="shared" si="334"/>
        <v>71</v>
      </c>
      <c r="BL425" s="85">
        <f t="shared" si="335"/>
        <v>71</v>
      </c>
      <c r="BM425" s="85">
        <f t="shared" si="336"/>
        <v>72</v>
      </c>
      <c r="BN425" s="85">
        <f t="shared" si="337"/>
        <v>0</v>
      </c>
      <c r="BO425" s="85">
        <f t="shared" si="338"/>
        <v>64</v>
      </c>
      <c r="BP425" s="85">
        <f t="shared" si="339"/>
        <v>0</v>
      </c>
      <c r="BQ425" s="85">
        <f t="shared" si="340"/>
        <v>63</v>
      </c>
      <c r="BR425" s="85">
        <f t="shared" si="341"/>
        <v>63</v>
      </c>
      <c r="BT425" s="63"/>
      <c r="BU425" s="63"/>
      <c r="BV425" s="63"/>
      <c r="BW425" s="63"/>
      <c r="BX425" s="63"/>
      <c r="BY425" s="63"/>
      <c r="BZ425" s="63"/>
      <c r="CA425" s="63"/>
      <c r="CB425" s="63"/>
      <c r="CC425" s="63"/>
      <c r="CD425" s="63"/>
      <c r="CE425" s="63"/>
      <c r="CF425" s="63"/>
      <c r="CG425" s="63"/>
      <c r="CH425" s="63"/>
      <c r="CI425" s="63"/>
      <c r="CJ425" s="63"/>
      <c r="CK425" s="63"/>
      <c r="CL425" s="63"/>
      <c r="CM425" s="63"/>
      <c r="CN425" s="63"/>
      <c r="CO425" s="63"/>
      <c r="CP425" s="63"/>
      <c r="CQ425" s="63"/>
      <c r="CR425" s="63"/>
      <c r="CS425" s="63"/>
      <c r="CX425" s="35" t="s">
        <v>12</v>
      </c>
      <c r="CZ425" s="35"/>
      <c r="DC425" s="57" t="str">
        <f t="shared" si="342"/>
        <v/>
      </c>
      <c r="DD425" s="64" t="str">
        <f t="shared" si="343"/>
        <v/>
      </c>
      <c r="DE425" s="65" t="str">
        <f t="shared" si="344"/>
        <v/>
      </c>
      <c r="DF425" s="66" t="str">
        <f t="shared" si="345"/>
        <v/>
      </c>
    </row>
    <row r="426" spans="1:115">
      <c r="B426" s="54">
        <f t="shared" si="352"/>
        <v>46034</v>
      </c>
      <c r="C426" s="55" t="s">
        <v>1</v>
      </c>
      <c r="D426" s="56">
        <f t="shared" si="353"/>
        <v>46040</v>
      </c>
      <c r="E426" s="52">
        <f t="shared" si="354"/>
        <v>1</v>
      </c>
      <c r="F426" s="53">
        <f t="shared" si="355"/>
        <v>2026</v>
      </c>
      <c r="G426" s="62">
        <f t="shared" si="350"/>
        <v>15</v>
      </c>
      <c r="H426" s="63">
        <f t="shared" si="351"/>
        <v>96</v>
      </c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>
        <v>15</v>
      </c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80"/>
      <c r="AG426" s="87">
        <f t="shared" si="305"/>
        <v>0</v>
      </c>
      <c r="AH426" s="87">
        <f t="shared" si="306"/>
        <v>0</v>
      </c>
      <c r="AI426" s="87">
        <f t="shared" si="307"/>
        <v>0</v>
      </c>
      <c r="AJ426" s="87">
        <f t="shared" si="308"/>
        <v>0</v>
      </c>
      <c r="AK426" s="87">
        <f t="shared" si="309"/>
        <v>0</v>
      </c>
      <c r="AL426" s="87">
        <f t="shared" si="310"/>
        <v>0</v>
      </c>
      <c r="AM426" s="87">
        <f t="shared" si="311"/>
        <v>0</v>
      </c>
      <c r="AN426" s="87">
        <f t="shared" si="312"/>
        <v>0</v>
      </c>
      <c r="AO426" s="87">
        <f t="shared" si="313"/>
        <v>2</v>
      </c>
      <c r="AP426" s="87">
        <f t="shared" si="314"/>
        <v>0</v>
      </c>
      <c r="AQ426" s="87">
        <f t="shared" si="315"/>
        <v>15</v>
      </c>
      <c r="AR426" s="81"/>
      <c r="AS426" s="85">
        <f t="shared" si="316"/>
        <v>46</v>
      </c>
      <c r="AT426" s="85">
        <f t="shared" si="317"/>
        <v>22</v>
      </c>
      <c r="AU426" s="85">
        <f t="shared" si="318"/>
        <v>72</v>
      </c>
      <c r="AV426" s="85">
        <f t="shared" si="319"/>
        <v>91</v>
      </c>
      <c r="AW426" s="85">
        <f t="shared" si="320"/>
        <v>56</v>
      </c>
      <c r="AX426" s="85">
        <f t="shared" si="321"/>
        <v>0</v>
      </c>
      <c r="AY426" s="85">
        <f t="shared" si="322"/>
        <v>53</v>
      </c>
      <c r="AZ426" s="85">
        <f t="shared" si="323"/>
        <v>74</v>
      </c>
      <c r="BA426" s="85">
        <f t="shared" si="324"/>
        <v>74</v>
      </c>
      <c r="BB426" s="85">
        <f t="shared" si="325"/>
        <v>21</v>
      </c>
      <c r="BC426" s="85">
        <f t="shared" si="326"/>
        <v>44</v>
      </c>
      <c r="BD426" s="85">
        <f t="shared" si="327"/>
        <v>0</v>
      </c>
      <c r="BE426" s="85">
        <f t="shared" si="328"/>
        <v>37</v>
      </c>
      <c r="BF426" s="85">
        <f t="shared" si="329"/>
        <v>37</v>
      </c>
      <c r="BG426" s="85">
        <f t="shared" si="330"/>
        <v>42</v>
      </c>
      <c r="BH426" s="85">
        <f t="shared" si="331"/>
        <v>42</v>
      </c>
      <c r="BI426" s="85">
        <f t="shared" si="332"/>
        <v>41</v>
      </c>
      <c r="BJ426" s="85">
        <f t="shared" si="333"/>
        <v>41</v>
      </c>
      <c r="BK426" s="85">
        <f t="shared" si="334"/>
        <v>72</v>
      </c>
      <c r="BL426" s="85">
        <f t="shared" si="335"/>
        <v>72</v>
      </c>
      <c r="BM426" s="85">
        <f t="shared" si="336"/>
        <v>73</v>
      </c>
      <c r="BN426" s="85">
        <f t="shared" si="337"/>
        <v>0</v>
      </c>
      <c r="BO426" s="85">
        <f t="shared" si="338"/>
        <v>65</v>
      </c>
      <c r="BP426" s="85">
        <f t="shared" si="339"/>
        <v>0</v>
      </c>
      <c r="BQ426" s="85">
        <f t="shared" si="340"/>
        <v>64</v>
      </c>
      <c r="BR426" s="85">
        <f t="shared" si="341"/>
        <v>64</v>
      </c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  <c r="CG426" s="63"/>
      <c r="CH426" s="63"/>
      <c r="CI426" s="63"/>
      <c r="CJ426" s="63"/>
      <c r="CK426" s="63"/>
      <c r="CL426" s="63"/>
      <c r="CM426" s="63"/>
      <c r="CN426" s="63"/>
      <c r="CO426" s="63"/>
      <c r="CP426" s="63"/>
      <c r="CQ426" s="63"/>
      <c r="CR426" s="63"/>
      <c r="CS426" s="63"/>
      <c r="CX426" s="35" t="s">
        <v>12</v>
      </c>
      <c r="CZ426" s="35"/>
      <c r="DC426" s="57" t="str">
        <f t="shared" si="342"/>
        <v/>
      </c>
      <c r="DD426" s="64" t="str">
        <f t="shared" si="343"/>
        <v/>
      </c>
      <c r="DE426" s="65" t="str">
        <f t="shared" si="344"/>
        <v/>
      </c>
      <c r="DF426" s="66" t="str">
        <f t="shared" si="345"/>
        <v xml:space="preserve"> [2]</v>
      </c>
    </row>
    <row r="427" spans="1:115">
      <c r="B427" s="54">
        <f t="shared" si="352"/>
        <v>46041</v>
      </c>
      <c r="C427" s="55" t="s">
        <v>1</v>
      </c>
      <c r="D427" s="56">
        <f t="shared" si="353"/>
        <v>46047</v>
      </c>
      <c r="E427" s="52">
        <f t="shared" si="354"/>
        <v>1</v>
      </c>
      <c r="F427" s="53">
        <f t="shared" si="355"/>
        <v>2026</v>
      </c>
      <c r="G427" s="62">
        <f t="shared" si="350"/>
        <v>15</v>
      </c>
      <c r="H427" s="63">
        <f t="shared" si="351"/>
        <v>96</v>
      </c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>
        <v>15</v>
      </c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80"/>
      <c r="AG427" s="87">
        <f t="shared" si="305"/>
        <v>0</v>
      </c>
      <c r="AH427" s="87">
        <f t="shared" si="306"/>
        <v>0</v>
      </c>
      <c r="AI427" s="87">
        <f t="shared" si="307"/>
        <v>0</v>
      </c>
      <c r="AJ427" s="87">
        <f t="shared" si="308"/>
        <v>0</v>
      </c>
      <c r="AK427" s="87">
        <f t="shared" si="309"/>
        <v>0</v>
      </c>
      <c r="AL427" s="87">
        <f t="shared" si="310"/>
        <v>0</v>
      </c>
      <c r="AM427" s="87">
        <f t="shared" si="311"/>
        <v>0</v>
      </c>
      <c r="AN427" s="87">
        <f t="shared" si="312"/>
        <v>0</v>
      </c>
      <c r="AO427" s="87">
        <f t="shared" si="313"/>
        <v>3</v>
      </c>
      <c r="AP427" s="87">
        <f t="shared" si="314"/>
        <v>0</v>
      </c>
      <c r="AQ427" s="87">
        <f t="shared" si="315"/>
        <v>15</v>
      </c>
      <c r="AR427" s="81"/>
      <c r="AS427" s="85">
        <f t="shared" si="316"/>
        <v>47</v>
      </c>
      <c r="AT427" s="85">
        <f t="shared" si="317"/>
        <v>23</v>
      </c>
      <c r="AU427" s="85">
        <f t="shared" si="318"/>
        <v>73</v>
      </c>
      <c r="AV427" s="85">
        <f t="shared" si="319"/>
        <v>92</v>
      </c>
      <c r="AW427" s="85">
        <f t="shared" si="320"/>
        <v>57</v>
      </c>
      <c r="AX427" s="85">
        <f t="shared" si="321"/>
        <v>0</v>
      </c>
      <c r="AY427" s="85">
        <f t="shared" si="322"/>
        <v>54</v>
      </c>
      <c r="AZ427" s="85">
        <f t="shared" si="323"/>
        <v>75</v>
      </c>
      <c r="BA427" s="85">
        <f t="shared" si="324"/>
        <v>75</v>
      </c>
      <c r="BB427" s="85">
        <f t="shared" si="325"/>
        <v>22</v>
      </c>
      <c r="BC427" s="85">
        <f t="shared" si="326"/>
        <v>45</v>
      </c>
      <c r="BD427" s="85">
        <f t="shared" si="327"/>
        <v>0</v>
      </c>
      <c r="BE427" s="85">
        <f t="shared" si="328"/>
        <v>38</v>
      </c>
      <c r="BF427" s="85">
        <f t="shared" si="329"/>
        <v>38</v>
      </c>
      <c r="BG427" s="85">
        <f t="shared" si="330"/>
        <v>43</v>
      </c>
      <c r="BH427" s="85">
        <f t="shared" si="331"/>
        <v>43</v>
      </c>
      <c r="BI427" s="85">
        <f t="shared" si="332"/>
        <v>42</v>
      </c>
      <c r="BJ427" s="85">
        <f t="shared" si="333"/>
        <v>42</v>
      </c>
      <c r="BK427" s="85">
        <f t="shared" si="334"/>
        <v>73</v>
      </c>
      <c r="BL427" s="85">
        <f t="shared" si="335"/>
        <v>73</v>
      </c>
      <c r="BM427" s="85">
        <f t="shared" si="336"/>
        <v>74</v>
      </c>
      <c r="BN427" s="85">
        <f t="shared" si="337"/>
        <v>0</v>
      </c>
      <c r="BO427" s="85">
        <f t="shared" si="338"/>
        <v>66</v>
      </c>
      <c r="BP427" s="85">
        <f t="shared" si="339"/>
        <v>0</v>
      </c>
      <c r="BQ427" s="85">
        <f t="shared" si="340"/>
        <v>65</v>
      </c>
      <c r="BR427" s="85">
        <f t="shared" si="341"/>
        <v>65</v>
      </c>
      <c r="BT427" s="63"/>
      <c r="BU427" s="63"/>
      <c r="BV427" s="63"/>
      <c r="BW427" s="63"/>
      <c r="BX427" s="63"/>
      <c r="BY427" s="63"/>
      <c r="BZ427" s="63"/>
      <c r="CA427" s="63"/>
      <c r="CB427" s="63"/>
      <c r="CC427" s="63"/>
      <c r="CD427" s="63"/>
      <c r="CE427" s="63"/>
      <c r="CF427" s="63"/>
      <c r="CG427" s="63"/>
      <c r="CH427" s="63"/>
      <c r="CI427" s="63"/>
      <c r="CJ427" s="63"/>
      <c r="CK427" s="63"/>
      <c r="CL427" s="63"/>
      <c r="CM427" s="63"/>
      <c r="CN427" s="63"/>
      <c r="CO427" s="63"/>
      <c r="CP427" s="63"/>
      <c r="CQ427" s="63"/>
      <c r="CR427" s="63"/>
      <c r="CS427" s="63"/>
      <c r="CX427" s="35" t="s">
        <v>12</v>
      </c>
      <c r="CZ427" s="35"/>
      <c r="DC427" s="57" t="str">
        <f t="shared" si="342"/>
        <v/>
      </c>
      <c r="DD427" s="64" t="str">
        <f t="shared" si="343"/>
        <v/>
      </c>
      <c r="DE427" s="65" t="str">
        <f t="shared" si="344"/>
        <v/>
      </c>
      <c r="DF427" s="66" t="str">
        <f t="shared" si="345"/>
        <v>VNI</v>
      </c>
    </row>
    <row r="428" spans="1:115">
      <c r="B428" s="54">
        <f t="shared" si="352"/>
        <v>46048</v>
      </c>
      <c r="C428" s="55" t="s">
        <v>1</v>
      </c>
      <c r="D428" s="56">
        <f t="shared" si="353"/>
        <v>46054</v>
      </c>
      <c r="E428" s="52">
        <f t="shared" si="354"/>
        <v>1</v>
      </c>
      <c r="F428" s="53">
        <f t="shared" si="355"/>
        <v>2026</v>
      </c>
      <c r="G428" s="62">
        <f t="shared" si="350"/>
        <v>15</v>
      </c>
      <c r="H428" s="63">
        <f t="shared" si="351"/>
        <v>96</v>
      </c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>
        <v>15</v>
      </c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80"/>
      <c r="AG428" s="87">
        <f t="shared" si="305"/>
        <v>0</v>
      </c>
      <c r="AH428" s="87">
        <f t="shared" si="306"/>
        <v>0</v>
      </c>
      <c r="AI428" s="87">
        <f t="shared" si="307"/>
        <v>0</v>
      </c>
      <c r="AJ428" s="87">
        <f t="shared" si="308"/>
        <v>0</v>
      </c>
      <c r="AK428" s="87">
        <f t="shared" si="309"/>
        <v>0</v>
      </c>
      <c r="AL428" s="87">
        <f t="shared" si="310"/>
        <v>0</v>
      </c>
      <c r="AM428" s="87">
        <f t="shared" si="311"/>
        <v>0</v>
      </c>
      <c r="AN428" s="87">
        <f t="shared" si="312"/>
        <v>0</v>
      </c>
      <c r="AO428" s="87">
        <f t="shared" si="313"/>
        <v>4</v>
      </c>
      <c r="AP428" s="87">
        <f t="shared" si="314"/>
        <v>0</v>
      </c>
      <c r="AQ428" s="87">
        <f t="shared" si="315"/>
        <v>15</v>
      </c>
      <c r="AR428" s="81"/>
      <c r="AS428" s="85">
        <f t="shared" si="316"/>
        <v>48</v>
      </c>
      <c r="AT428" s="85">
        <f t="shared" si="317"/>
        <v>24</v>
      </c>
      <c r="AU428" s="85">
        <f t="shared" si="318"/>
        <v>74</v>
      </c>
      <c r="AV428" s="85">
        <f t="shared" si="319"/>
        <v>93</v>
      </c>
      <c r="AW428" s="85">
        <f t="shared" si="320"/>
        <v>58</v>
      </c>
      <c r="AX428" s="85">
        <f t="shared" si="321"/>
        <v>0</v>
      </c>
      <c r="AY428" s="85">
        <f t="shared" si="322"/>
        <v>55</v>
      </c>
      <c r="AZ428" s="85">
        <f t="shared" si="323"/>
        <v>76</v>
      </c>
      <c r="BA428" s="85">
        <f t="shared" si="324"/>
        <v>76</v>
      </c>
      <c r="BB428" s="85">
        <f t="shared" si="325"/>
        <v>23</v>
      </c>
      <c r="BC428" s="85">
        <f t="shared" si="326"/>
        <v>46</v>
      </c>
      <c r="BD428" s="85">
        <f t="shared" si="327"/>
        <v>0</v>
      </c>
      <c r="BE428" s="85">
        <f t="shared" si="328"/>
        <v>39</v>
      </c>
      <c r="BF428" s="85">
        <f t="shared" si="329"/>
        <v>39</v>
      </c>
      <c r="BG428" s="85">
        <f t="shared" si="330"/>
        <v>44</v>
      </c>
      <c r="BH428" s="85">
        <f t="shared" si="331"/>
        <v>44</v>
      </c>
      <c r="BI428" s="85">
        <f t="shared" si="332"/>
        <v>43</v>
      </c>
      <c r="BJ428" s="85">
        <f t="shared" si="333"/>
        <v>43</v>
      </c>
      <c r="BK428" s="85">
        <f t="shared" si="334"/>
        <v>74</v>
      </c>
      <c r="BL428" s="85">
        <f t="shared" si="335"/>
        <v>74</v>
      </c>
      <c r="BM428" s="85">
        <f t="shared" si="336"/>
        <v>75</v>
      </c>
      <c r="BN428" s="85">
        <f t="shared" si="337"/>
        <v>0</v>
      </c>
      <c r="BO428" s="85">
        <f t="shared" si="338"/>
        <v>67</v>
      </c>
      <c r="BP428" s="85">
        <f t="shared" si="339"/>
        <v>0</v>
      </c>
      <c r="BQ428" s="85">
        <f t="shared" si="340"/>
        <v>66</v>
      </c>
      <c r="BR428" s="85">
        <f t="shared" si="341"/>
        <v>66</v>
      </c>
      <c r="BT428" s="63"/>
      <c r="BU428" s="63"/>
      <c r="BV428" s="63"/>
      <c r="BW428" s="63"/>
      <c r="BX428" s="63"/>
      <c r="BY428" s="63"/>
      <c r="BZ428" s="63"/>
      <c r="CA428" s="63"/>
      <c r="CB428" s="63"/>
      <c r="CC428" s="63"/>
      <c r="CD428" s="63"/>
      <c r="CE428" s="63"/>
      <c r="CF428" s="63"/>
      <c r="CG428" s="63"/>
      <c r="CH428" s="63"/>
      <c r="CI428" s="63"/>
      <c r="CJ428" s="63"/>
      <c r="CK428" s="63"/>
      <c r="CL428" s="63"/>
      <c r="CM428" s="63"/>
      <c r="CN428" s="63"/>
      <c r="CO428" s="63"/>
      <c r="CP428" s="63"/>
      <c r="CQ428" s="63"/>
      <c r="CR428" s="63"/>
      <c r="CS428" s="63"/>
      <c r="CX428" s="35" t="s">
        <v>12</v>
      </c>
      <c r="CZ428" s="35"/>
      <c r="DC428" s="57" t="str">
        <f t="shared" si="342"/>
        <v/>
      </c>
      <c r="DD428" s="64" t="str">
        <f t="shared" si="343"/>
        <v/>
      </c>
      <c r="DE428" s="65" t="str">
        <f t="shared" si="344"/>
        <v/>
      </c>
      <c r="DF428" s="66" t="str">
        <f t="shared" si="345"/>
        <v/>
      </c>
    </row>
    <row r="429" spans="1:115">
      <c r="B429" s="54">
        <f t="shared" si="352"/>
        <v>46055</v>
      </c>
      <c r="C429" s="55" t="s">
        <v>1</v>
      </c>
      <c r="D429" s="56">
        <f t="shared" si="353"/>
        <v>46061</v>
      </c>
      <c r="E429" s="52">
        <f t="shared" si="354"/>
        <v>2</v>
      </c>
      <c r="F429" s="53">
        <f t="shared" si="355"/>
        <v>2026</v>
      </c>
      <c r="G429" s="62">
        <f t="shared" si="350"/>
        <v>15</v>
      </c>
      <c r="H429" s="63">
        <f t="shared" si="351"/>
        <v>96</v>
      </c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>
        <v>15</v>
      </c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80"/>
      <c r="AG429" s="87">
        <f t="shared" si="305"/>
        <v>0</v>
      </c>
      <c r="AH429" s="87">
        <f t="shared" si="306"/>
        <v>0</v>
      </c>
      <c r="AI429" s="87">
        <f t="shared" si="307"/>
        <v>0</v>
      </c>
      <c r="AJ429" s="87">
        <f t="shared" si="308"/>
        <v>0</v>
      </c>
      <c r="AK429" s="87">
        <f t="shared" si="309"/>
        <v>0</v>
      </c>
      <c r="AL429" s="87">
        <f t="shared" si="310"/>
        <v>0</v>
      </c>
      <c r="AM429" s="87">
        <f t="shared" si="311"/>
        <v>0</v>
      </c>
      <c r="AN429" s="87">
        <f t="shared" si="312"/>
        <v>0</v>
      </c>
      <c r="AO429" s="87">
        <f t="shared" si="313"/>
        <v>5</v>
      </c>
      <c r="AP429" s="87">
        <f t="shared" si="314"/>
        <v>0</v>
      </c>
      <c r="AQ429" s="87">
        <f t="shared" si="315"/>
        <v>15</v>
      </c>
      <c r="AR429" s="81"/>
      <c r="AS429" s="85">
        <f t="shared" si="316"/>
        <v>49</v>
      </c>
      <c r="AT429" s="85">
        <f t="shared" si="317"/>
        <v>25</v>
      </c>
      <c r="AU429" s="85">
        <f t="shared" si="318"/>
        <v>75</v>
      </c>
      <c r="AV429" s="85">
        <f t="shared" si="319"/>
        <v>94</v>
      </c>
      <c r="AW429" s="85">
        <f t="shared" si="320"/>
        <v>59</v>
      </c>
      <c r="AX429" s="85">
        <f t="shared" si="321"/>
        <v>0</v>
      </c>
      <c r="AY429" s="85">
        <f t="shared" si="322"/>
        <v>56</v>
      </c>
      <c r="AZ429" s="85">
        <f t="shared" si="323"/>
        <v>77</v>
      </c>
      <c r="BA429" s="85">
        <f t="shared" si="324"/>
        <v>77</v>
      </c>
      <c r="BB429" s="85">
        <f t="shared" si="325"/>
        <v>24</v>
      </c>
      <c r="BC429" s="85">
        <f t="shared" si="326"/>
        <v>47</v>
      </c>
      <c r="BD429" s="85">
        <f t="shared" si="327"/>
        <v>0</v>
      </c>
      <c r="BE429" s="85">
        <f t="shared" si="328"/>
        <v>40</v>
      </c>
      <c r="BF429" s="85">
        <f t="shared" si="329"/>
        <v>40</v>
      </c>
      <c r="BG429" s="85">
        <f t="shared" si="330"/>
        <v>45</v>
      </c>
      <c r="BH429" s="85">
        <f t="shared" si="331"/>
        <v>45</v>
      </c>
      <c r="BI429" s="85">
        <f t="shared" si="332"/>
        <v>44</v>
      </c>
      <c r="BJ429" s="85">
        <f t="shared" si="333"/>
        <v>44</v>
      </c>
      <c r="BK429" s="85">
        <f t="shared" si="334"/>
        <v>75</v>
      </c>
      <c r="BL429" s="85">
        <f t="shared" si="335"/>
        <v>75</v>
      </c>
      <c r="BM429" s="85">
        <f t="shared" si="336"/>
        <v>76</v>
      </c>
      <c r="BN429" s="85">
        <f t="shared" si="337"/>
        <v>0</v>
      </c>
      <c r="BO429" s="85">
        <f t="shared" si="338"/>
        <v>68</v>
      </c>
      <c r="BP429" s="85">
        <f t="shared" si="339"/>
        <v>0</v>
      </c>
      <c r="BQ429" s="85">
        <f t="shared" si="340"/>
        <v>67</v>
      </c>
      <c r="BR429" s="85">
        <f t="shared" si="341"/>
        <v>67</v>
      </c>
      <c r="BT429" s="63"/>
      <c r="BU429" s="63"/>
      <c r="BV429" s="63"/>
      <c r="BW429" s="63"/>
      <c r="BX429" s="63"/>
      <c r="BY429" s="63"/>
      <c r="BZ429" s="63"/>
      <c r="CA429" s="63"/>
      <c r="CB429" s="63"/>
      <c r="CC429" s="63"/>
      <c r="CD429" s="63"/>
      <c r="CE429" s="63"/>
      <c r="CF429" s="63"/>
      <c r="CG429" s="63"/>
      <c r="CH429" s="63"/>
      <c r="CI429" s="63"/>
      <c r="CJ429" s="63"/>
      <c r="CK429" s="63"/>
      <c r="CL429" s="63"/>
      <c r="CM429" s="63"/>
      <c r="CN429" s="63"/>
      <c r="CO429" s="63"/>
      <c r="CP429" s="63"/>
      <c r="CQ429" s="63"/>
      <c r="CR429" s="63"/>
      <c r="CS429" s="63"/>
      <c r="CX429" s="35" t="s">
        <v>12</v>
      </c>
      <c r="CZ429" s="35"/>
      <c r="DC429" s="57" t="str">
        <f t="shared" si="342"/>
        <v/>
      </c>
      <c r="DD429" s="64" t="str">
        <f t="shared" si="343"/>
        <v/>
      </c>
      <c r="DE429" s="65" t="str">
        <f t="shared" si="344"/>
        <v/>
      </c>
      <c r="DF429" s="66" t="str">
        <f t="shared" si="345"/>
        <v/>
      </c>
    </row>
    <row r="430" spans="1:115">
      <c r="B430" s="54">
        <f t="shared" si="352"/>
        <v>46062</v>
      </c>
      <c r="C430" s="55" t="s">
        <v>1</v>
      </c>
      <c r="D430" s="56">
        <f t="shared" si="353"/>
        <v>46068</v>
      </c>
      <c r="E430" s="52">
        <f t="shared" si="354"/>
        <v>2</v>
      </c>
      <c r="F430" s="53">
        <f t="shared" si="355"/>
        <v>2026</v>
      </c>
      <c r="G430" s="62">
        <f t="shared" si="350"/>
        <v>15</v>
      </c>
      <c r="H430" s="63">
        <f t="shared" si="351"/>
        <v>96</v>
      </c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>
        <v>15</v>
      </c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80"/>
      <c r="AG430" s="87">
        <f t="shared" si="305"/>
        <v>0</v>
      </c>
      <c r="AH430" s="87">
        <f t="shared" si="306"/>
        <v>0</v>
      </c>
      <c r="AI430" s="87">
        <f t="shared" si="307"/>
        <v>0</v>
      </c>
      <c r="AJ430" s="87">
        <f t="shared" si="308"/>
        <v>0</v>
      </c>
      <c r="AK430" s="87">
        <f t="shared" si="309"/>
        <v>0</v>
      </c>
      <c r="AL430" s="87">
        <f t="shared" si="310"/>
        <v>0</v>
      </c>
      <c r="AM430" s="87">
        <f t="shared" si="311"/>
        <v>0</v>
      </c>
      <c r="AN430" s="87">
        <f t="shared" si="312"/>
        <v>0</v>
      </c>
      <c r="AO430" s="87">
        <f t="shared" si="313"/>
        <v>6</v>
      </c>
      <c r="AP430" s="87">
        <f t="shared" si="314"/>
        <v>0</v>
      </c>
      <c r="AQ430" s="87">
        <f t="shared" si="315"/>
        <v>15</v>
      </c>
      <c r="AR430" s="81"/>
      <c r="AS430" s="85">
        <f t="shared" si="316"/>
        <v>50</v>
      </c>
      <c r="AT430" s="85">
        <f t="shared" si="317"/>
        <v>26</v>
      </c>
      <c r="AU430" s="85">
        <f t="shared" si="318"/>
        <v>76</v>
      </c>
      <c r="AV430" s="85">
        <f t="shared" si="319"/>
        <v>95</v>
      </c>
      <c r="AW430" s="85">
        <f t="shared" si="320"/>
        <v>60</v>
      </c>
      <c r="AX430" s="85">
        <f t="shared" si="321"/>
        <v>0</v>
      </c>
      <c r="AY430" s="85">
        <f t="shared" si="322"/>
        <v>57</v>
      </c>
      <c r="AZ430" s="85">
        <f t="shared" si="323"/>
        <v>78</v>
      </c>
      <c r="BA430" s="85">
        <f t="shared" si="324"/>
        <v>78</v>
      </c>
      <c r="BB430" s="85">
        <f t="shared" si="325"/>
        <v>25</v>
      </c>
      <c r="BC430" s="85">
        <f t="shared" si="326"/>
        <v>48</v>
      </c>
      <c r="BD430" s="85">
        <f t="shared" si="327"/>
        <v>0</v>
      </c>
      <c r="BE430" s="85">
        <f t="shared" si="328"/>
        <v>41</v>
      </c>
      <c r="BF430" s="85">
        <f t="shared" si="329"/>
        <v>41</v>
      </c>
      <c r="BG430" s="85">
        <f t="shared" si="330"/>
        <v>46</v>
      </c>
      <c r="BH430" s="85">
        <f t="shared" si="331"/>
        <v>46</v>
      </c>
      <c r="BI430" s="85">
        <f t="shared" si="332"/>
        <v>45</v>
      </c>
      <c r="BJ430" s="85">
        <f t="shared" si="333"/>
        <v>45</v>
      </c>
      <c r="BK430" s="85">
        <f t="shared" si="334"/>
        <v>76</v>
      </c>
      <c r="BL430" s="85">
        <f t="shared" si="335"/>
        <v>76</v>
      </c>
      <c r="BM430" s="85">
        <f t="shared" si="336"/>
        <v>77</v>
      </c>
      <c r="BN430" s="85">
        <f t="shared" si="337"/>
        <v>0</v>
      </c>
      <c r="BO430" s="85">
        <f t="shared" si="338"/>
        <v>69</v>
      </c>
      <c r="BP430" s="85">
        <f t="shared" si="339"/>
        <v>0</v>
      </c>
      <c r="BQ430" s="85">
        <f t="shared" si="340"/>
        <v>68</v>
      </c>
      <c r="BR430" s="85">
        <f t="shared" si="341"/>
        <v>68</v>
      </c>
      <c r="BT430" s="63"/>
      <c r="BU430" s="63"/>
      <c r="BV430" s="63"/>
      <c r="BW430" s="63"/>
      <c r="BX430" s="63"/>
      <c r="BY430" s="63"/>
      <c r="BZ430" s="63"/>
      <c r="CA430" s="63"/>
      <c r="CB430" s="63"/>
      <c r="CC430" s="63"/>
      <c r="CD430" s="63"/>
      <c r="CE430" s="63"/>
      <c r="CF430" s="63"/>
      <c r="CG430" s="63"/>
      <c r="CH430" s="63"/>
      <c r="CI430" s="63"/>
      <c r="CJ430" s="63"/>
      <c r="CK430" s="63"/>
      <c r="CL430" s="63"/>
      <c r="CM430" s="63"/>
      <c r="CN430" s="63"/>
      <c r="CO430" s="63"/>
      <c r="CP430" s="63"/>
      <c r="CQ430" s="63"/>
      <c r="CR430" s="63"/>
      <c r="CS430" s="63"/>
      <c r="CX430" s="35" t="s">
        <v>12</v>
      </c>
      <c r="CZ430" s="35"/>
      <c r="DC430" s="57" t="str">
        <f t="shared" si="342"/>
        <v/>
      </c>
      <c r="DD430" s="64" t="str">
        <f t="shared" si="343"/>
        <v/>
      </c>
      <c r="DE430" s="65" t="str">
        <f t="shared" si="344"/>
        <v/>
      </c>
      <c r="DF430" s="66" t="str">
        <f t="shared" si="345"/>
        <v/>
      </c>
    </row>
    <row r="431" spans="1:115">
      <c r="A431" s="48"/>
      <c r="B431" s="67">
        <f t="shared" si="352"/>
        <v>46069</v>
      </c>
      <c r="C431" s="68" t="s">
        <v>1</v>
      </c>
      <c r="D431" s="69">
        <f t="shared" si="353"/>
        <v>46075</v>
      </c>
      <c r="E431" s="70">
        <f t="shared" si="354"/>
        <v>2</v>
      </c>
      <c r="F431" s="71">
        <f t="shared" si="355"/>
        <v>2026</v>
      </c>
      <c r="G431" s="72">
        <f t="shared" si="350"/>
        <v>15</v>
      </c>
      <c r="H431" s="73">
        <f t="shared" si="351"/>
        <v>96</v>
      </c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>
        <v>15</v>
      </c>
      <c r="T431" s="140"/>
      <c r="U431" s="82"/>
      <c r="V431" s="82"/>
      <c r="W431" s="82"/>
      <c r="X431" s="82"/>
      <c r="Y431" s="82"/>
      <c r="Z431" s="82"/>
      <c r="AA431" s="82"/>
      <c r="AB431" s="82"/>
      <c r="AC431" s="82">
        <v>2</v>
      </c>
      <c r="AD431" s="82"/>
      <c r="AE431" s="82"/>
      <c r="AF431" s="83"/>
      <c r="AG431" s="88">
        <f t="shared" si="305"/>
        <v>0</v>
      </c>
      <c r="AH431" s="88">
        <f t="shared" si="306"/>
        <v>0</v>
      </c>
      <c r="AI431" s="88">
        <f t="shared" si="307"/>
        <v>0</v>
      </c>
      <c r="AJ431" s="88">
        <f t="shared" si="308"/>
        <v>0</v>
      </c>
      <c r="AK431" s="88">
        <f t="shared" si="309"/>
        <v>0</v>
      </c>
      <c r="AL431" s="88">
        <f t="shared" si="310"/>
        <v>0</v>
      </c>
      <c r="AM431" s="88">
        <f t="shared" si="311"/>
        <v>0</v>
      </c>
      <c r="AN431" s="88">
        <f t="shared" si="312"/>
        <v>0</v>
      </c>
      <c r="AO431" s="88">
        <f t="shared" si="313"/>
        <v>7</v>
      </c>
      <c r="AP431" s="88">
        <f t="shared" si="314"/>
        <v>0</v>
      </c>
      <c r="AQ431" s="88">
        <f t="shared" si="315"/>
        <v>15</v>
      </c>
      <c r="AR431" s="84"/>
      <c r="AS431" s="86">
        <f t="shared" si="316"/>
        <v>51</v>
      </c>
      <c r="AT431" s="86">
        <f t="shared" si="317"/>
        <v>27</v>
      </c>
      <c r="AU431" s="86">
        <f t="shared" si="318"/>
        <v>77</v>
      </c>
      <c r="AV431" s="86">
        <f t="shared" si="319"/>
        <v>96</v>
      </c>
      <c r="AW431" s="86">
        <f t="shared" si="320"/>
        <v>61</v>
      </c>
      <c r="AX431" s="86">
        <f t="shared" si="321"/>
        <v>0</v>
      </c>
      <c r="AY431" s="86">
        <f t="shared" si="322"/>
        <v>58</v>
      </c>
      <c r="AZ431" s="86">
        <f t="shared" si="323"/>
        <v>79</v>
      </c>
      <c r="BA431" s="86">
        <f t="shared" si="324"/>
        <v>79</v>
      </c>
      <c r="BB431" s="86">
        <f t="shared" si="325"/>
        <v>26</v>
      </c>
      <c r="BC431" s="86">
        <f t="shared" si="326"/>
        <v>49</v>
      </c>
      <c r="BD431" s="86">
        <f t="shared" si="327"/>
        <v>0</v>
      </c>
      <c r="BE431" s="86">
        <f t="shared" si="328"/>
        <v>42</v>
      </c>
      <c r="BF431" s="86">
        <f t="shared" si="329"/>
        <v>42</v>
      </c>
      <c r="BG431" s="86">
        <f t="shared" si="330"/>
        <v>47</v>
      </c>
      <c r="BH431" s="86">
        <f t="shared" si="331"/>
        <v>47</v>
      </c>
      <c r="BI431" s="86">
        <f t="shared" si="332"/>
        <v>46</v>
      </c>
      <c r="BJ431" s="86">
        <f t="shared" si="333"/>
        <v>46</v>
      </c>
      <c r="BK431" s="86">
        <f t="shared" si="334"/>
        <v>77</v>
      </c>
      <c r="BL431" s="86">
        <f t="shared" si="335"/>
        <v>77</v>
      </c>
      <c r="BM431" s="86">
        <f t="shared" si="336"/>
        <v>78</v>
      </c>
      <c r="BN431" s="86">
        <f t="shared" si="337"/>
        <v>0</v>
      </c>
      <c r="BO431" s="86">
        <f t="shared" si="338"/>
        <v>70</v>
      </c>
      <c r="BP431" s="86">
        <f t="shared" si="339"/>
        <v>0</v>
      </c>
      <c r="BQ431" s="86">
        <f t="shared" si="340"/>
        <v>69</v>
      </c>
      <c r="BR431" s="86">
        <f t="shared" si="341"/>
        <v>69</v>
      </c>
      <c r="BS431" s="141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  <c r="CI431" s="73"/>
      <c r="CJ431" s="73"/>
      <c r="CK431" s="73"/>
      <c r="CL431" s="73"/>
      <c r="CM431" s="73"/>
      <c r="CN431" s="73"/>
      <c r="CO431" s="73"/>
      <c r="CP431" s="73"/>
      <c r="CQ431" s="73"/>
      <c r="CR431" s="73"/>
      <c r="CS431" s="73"/>
      <c r="CT431" s="48"/>
      <c r="CU431" s="49"/>
      <c r="CV431" s="48"/>
      <c r="CW431" s="48"/>
      <c r="CX431" s="50" t="s">
        <v>12</v>
      </c>
      <c r="CY431" s="48"/>
      <c r="CZ431" s="50"/>
      <c r="DA431" s="48"/>
      <c r="DB431" s="51"/>
      <c r="DC431" s="74" t="str">
        <f t="shared" si="342"/>
        <v/>
      </c>
      <c r="DD431" s="75" t="str">
        <f t="shared" si="343"/>
        <v/>
      </c>
      <c r="DE431" s="76" t="str">
        <f t="shared" si="344"/>
        <v/>
      </c>
      <c r="DF431" s="77" t="str">
        <f t="shared" ref="DF379:DF437" si="356">IF(AND(AS446&gt;0,AS445=0),$AS$1,IF(AND(AT446&gt;0,AT445=0),$AT$1,IF(AND(AU446&gt;0,AU445=0),$AU$1,IF(AND(AV446&gt;0,AV445=0),$AV$1,IF(AND(AW446&gt;0,AW445=0),$AW$1,IF(AND(AX446&gt;0,AX445=0),$AX$1,IF(AND(AY446&gt;0,AY445=0),$AY$1,IF(AND(AZ446&gt;0,AZ445=0),$AZ$1,IF(AND(BA446&gt;0,BA445=0),$BA$1,IF(AND(BB446&gt;0,BB445=0),$BB$1,IF(AND(BC446&gt;0,BC445=0),$BC$1,IF(AND(BD446&gt;0,BD445=0),$BD$1,IF(AND(BE446&gt;0,BE445=0),$BE$1,IF(AND(BF446&gt;0,BF445=0),$BF$1,IF(AND(BG446&gt;0,BG445=0),$BG$1,IF(AND(BH446&gt;0,BH445=0),$BH$1,IF(AND(BI446&gt;0,BI445=0),$BI$1,IF(AND(BJ446&gt;0,BJ445=0),$BJ$1,IF(AND(BK446&gt;0,BK445=0),$BK$1,IF(AND(BL446&gt;0,BL445=0),$BL$1,IF(AND(BM446&gt;0,BM445=0),$BM$1,IF(AND(BN446&gt;0,BN445=0),$BN$1,IF(AND(BO446&gt;0,BO445=0),$BO$1,IF(AND(BP446&gt;0,BP445=0),$BP$1,IF(AND(BQ446&gt;0,BQ445=0),$BQ$1,IF(AND(BR446&gt;0,BR445=0),$BQ$1,""))))))))))))))))&amp;(IF(COUNTA(BT446:CS446)&gt;1," ["&amp;COUNTA(BT446:CS446)&amp;"]",""))))))))))))</f>
        <v/>
      </c>
      <c r="DG431" s="48"/>
    </row>
    <row r="432" spans="1:115">
      <c r="B432" s="54">
        <f t="shared" si="352"/>
        <v>46076</v>
      </c>
      <c r="C432" s="55" t="s">
        <v>1</v>
      </c>
      <c r="D432" s="56">
        <f t="shared" si="353"/>
        <v>46082</v>
      </c>
      <c r="E432" s="52">
        <f t="shared" si="354"/>
        <v>2</v>
      </c>
      <c r="F432" s="53">
        <f t="shared" si="355"/>
        <v>2026</v>
      </c>
      <c r="G432" s="62">
        <f t="shared" si="350"/>
        <v>15</v>
      </c>
      <c r="H432" s="89">
        <v>106</v>
      </c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>
        <v>15</v>
      </c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80"/>
      <c r="AG432" s="87">
        <f t="shared" si="305"/>
        <v>0</v>
      </c>
      <c r="AH432" s="87">
        <f t="shared" si="306"/>
        <v>0</v>
      </c>
      <c r="AI432" s="87">
        <f t="shared" si="307"/>
        <v>0</v>
      </c>
      <c r="AJ432" s="87">
        <f t="shared" si="308"/>
        <v>0</v>
      </c>
      <c r="AK432" s="87">
        <f t="shared" si="309"/>
        <v>0</v>
      </c>
      <c r="AL432" s="87">
        <f t="shared" si="310"/>
        <v>0</v>
      </c>
      <c r="AM432" s="87">
        <f t="shared" si="311"/>
        <v>0</v>
      </c>
      <c r="AN432" s="87">
        <f t="shared" si="312"/>
        <v>0</v>
      </c>
      <c r="AO432" s="87">
        <f t="shared" si="313"/>
        <v>0</v>
      </c>
      <c r="AP432" s="87">
        <f t="shared" si="314"/>
        <v>0</v>
      </c>
      <c r="AQ432" s="87">
        <f t="shared" si="315"/>
        <v>15</v>
      </c>
      <c r="AR432" s="81"/>
      <c r="AS432" s="85">
        <f t="shared" si="316"/>
        <v>52</v>
      </c>
      <c r="AT432" s="85">
        <f t="shared" si="317"/>
        <v>28</v>
      </c>
      <c r="AU432" s="85">
        <f t="shared" si="318"/>
        <v>78</v>
      </c>
      <c r="AV432" s="85">
        <f t="shared" si="319"/>
        <v>97</v>
      </c>
      <c r="AW432" s="85">
        <f t="shared" si="320"/>
        <v>62</v>
      </c>
      <c r="AX432" s="85">
        <f t="shared" si="321"/>
        <v>0</v>
      </c>
      <c r="AY432" s="85">
        <f t="shared" si="322"/>
        <v>59</v>
      </c>
      <c r="AZ432" s="85">
        <f t="shared" si="323"/>
        <v>80</v>
      </c>
      <c r="BA432" s="85">
        <f t="shared" si="324"/>
        <v>80</v>
      </c>
      <c r="BB432" s="85">
        <f t="shared" si="325"/>
        <v>27</v>
      </c>
      <c r="BC432" s="85">
        <f t="shared" si="326"/>
        <v>50</v>
      </c>
      <c r="BD432" s="85">
        <f t="shared" si="327"/>
        <v>0</v>
      </c>
      <c r="BE432" s="85">
        <f t="shared" si="328"/>
        <v>43</v>
      </c>
      <c r="BF432" s="85">
        <f t="shared" si="329"/>
        <v>43</v>
      </c>
      <c r="BG432" s="85">
        <f t="shared" si="330"/>
        <v>48</v>
      </c>
      <c r="BH432" s="85">
        <f t="shared" si="331"/>
        <v>48</v>
      </c>
      <c r="BI432" s="85">
        <f t="shared" si="332"/>
        <v>47</v>
      </c>
      <c r="BJ432" s="85">
        <f t="shared" si="333"/>
        <v>47</v>
      </c>
      <c r="BK432" s="85">
        <f t="shared" si="334"/>
        <v>78</v>
      </c>
      <c r="BL432" s="85">
        <f t="shared" si="335"/>
        <v>78</v>
      </c>
      <c r="BM432" s="85">
        <f t="shared" si="336"/>
        <v>79</v>
      </c>
      <c r="BN432" s="85">
        <f t="shared" si="337"/>
        <v>0</v>
      </c>
      <c r="BO432" s="85">
        <f t="shared" si="338"/>
        <v>71</v>
      </c>
      <c r="BP432" s="85">
        <f t="shared" si="339"/>
        <v>0</v>
      </c>
      <c r="BQ432" s="85">
        <f t="shared" si="340"/>
        <v>70</v>
      </c>
      <c r="BR432" s="85">
        <f t="shared" si="341"/>
        <v>70</v>
      </c>
      <c r="BT432" s="63"/>
      <c r="BU432" s="63"/>
      <c r="BV432" s="63"/>
      <c r="BW432" s="63"/>
      <c r="BX432" s="63"/>
      <c r="BY432" s="63"/>
      <c r="BZ432" s="63"/>
      <c r="CA432" s="63"/>
      <c r="CB432" s="63"/>
      <c r="CC432" s="63"/>
      <c r="CD432" s="63"/>
      <c r="CE432" s="63"/>
      <c r="CF432" s="63"/>
      <c r="CG432" s="63"/>
      <c r="CH432" s="63"/>
      <c r="CI432" s="63"/>
      <c r="CJ432" s="63"/>
      <c r="CK432" s="63"/>
      <c r="CL432" s="63"/>
      <c r="CM432" s="63"/>
      <c r="CN432" s="63"/>
      <c r="CO432" s="63"/>
      <c r="CP432" s="63"/>
      <c r="CQ432" s="63"/>
      <c r="CR432" s="63"/>
      <c r="CS432" s="63"/>
      <c r="CX432" s="35" t="s">
        <v>12</v>
      </c>
      <c r="CZ432" s="35"/>
      <c r="DC432" s="57" t="str">
        <f t="shared" si="342"/>
        <v/>
      </c>
      <c r="DD432" s="64" t="str">
        <f t="shared" si="343"/>
        <v/>
      </c>
      <c r="DE432" s="65" t="str">
        <f t="shared" si="344"/>
        <v/>
      </c>
      <c r="DF432" s="66" t="str">
        <f t="shared" si="356"/>
        <v/>
      </c>
    </row>
    <row r="433" spans="2:110">
      <c r="B433" s="54">
        <f t="shared" si="352"/>
        <v>46083</v>
      </c>
      <c r="C433" s="55" t="s">
        <v>1</v>
      </c>
      <c r="D433" s="56">
        <f t="shared" si="353"/>
        <v>46089</v>
      </c>
      <c r="E433" s="52">
        <f t="shared" si="354"/>
        <v>3</v>
      </c>
      <c r="F433" s="53">
        <f t="shared" si="355"/>
        <v>2026</v>
      </c>
      <c r="G433" s="62">
        <f t="shared" si="350"/>
        <v>15</v>
      </c>
      <c r="H433" s="63">
        <f t="shared" si="351"/>
        <v>106</v>
      </c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>
        <v>15</v>
      </c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80"/>
      <c r="AG433" s="87">
        <f t="shared" si="305"/>
        <v>0</v>
      </c>
      <c r="AH433" s="87">
        <f t="shared" si="306"/>
        <v>0</v>
      </c>
      <c r="AI433" s="87">
        <f t="shared" si="307"/>
        <v>0</v>
      </c>
      <c r="AJ433" s="87">
        <f t="shared" si="308"/>
        <v>0</v>
      </c>
      <c r="AK433" s="87">
        <f t="shared" si="309"/>
        <v>0</v>
      </c>
      <c r="AL433" s="87">
        <f t="shared" si="310"/>
        <v>0</v>
      </c>
      <c r="AM433" s="87">
        <f t="shared" si="311"/>
        <v>0</v>
      </c>
      <c r="AN433" s="87">
        <f t="shared" si="312"/>
        <v>0</v>
      </c>
      <c r="AO433" s="87">
        <f t="shared" si="313"/>
        <v>0</v>
      </c>
      <c r="AP433" s="87">
        <f t="shared" si="314"/>
        <v>0</v>
      </c>
      <c r="AQ433" s="87">
        <f t="shared" si="315"/>
        <v>15</v>
      </c>
      <c r="AR433" s="81"/>
      <c r="AS433" s="85">
        <f t="shared" si="316"/>
        <v>53</v>
      </c>
      <c r="AT433" s="85">
        <f t="shared" si="317"/>
        <v>29</v>
      </c>
      <c r="AU433" s="85">
        <f t="shared" si="318"/>
        <v>79</v>
      </c>
      <c r="AV433" s="85">
        <f t="shared" si="319"/>
        <v>98</v>
      </c>
      <c r="AW433" s="85">
        <f t="shared" si="320"/>
        <v>63</v>
      </c>
      <c r="AX433" s="85">
        <f t="shared" si="321"/>
        <v>0</v>
      </c>
      <c r="AY433" s="85">
        <f t="shared" si="322"/>
        <v>60</v>
      </c>
      <c r="AZ433" s="85">
        <f t="shared" si="323"/>
        <v>81</v>
      </c>
      <c r="BA433" s="85">
        <f t="shared" si="324"/>
        <v>81</v>
      </c>
      <c r="BB433" s="85">
        <f t="shared" si="325"/>
        <v>28</v>
      </c>
      <c r="BC433" s="85">
        <f t="shared" si="326"/>
        <v>51</v>
      </c>
      <c r="BD433" s="85">
        <f t="shared" si="327"/>
        <v>0</v>
      </c>
      <c r="BE433" s="85">
        <f t="shared" si="328"/>
        <v>44</v>
      </c>
      <c r="BF433" s="85">
        <f t="shared" si="329"/>
        <v>44</v>
      </c>
      <c r="BG433" s="85">
        <f t="shared" si="330"/>
        <v>49</v>
      </c>
      <c r="BH433" s="85">
        <f t="shared" si="331"/>
        <v>49</v>
      </c>
      <c r="BI433" s="85">
        <f t="shared" si="332"/>
        <v>48</v>
      </c>
      <c r="BJ433" s="85">
        <f t="shared" si="333"/>
        <v>48</v>
      </c>
      <c r="BK433" s="85">
        <f t="shared" si="334"/>
        <v>79</v>
      </c>
      <c r="BL433" s="85">
        <f t="shared" si="335"/>
        <v>79</v>
      </c>
      <c r="BM433" s="85">
        <f t="shared" si="336"/>
        <v>80</v>
      </c>
      <c r="BN433" s="85">
        <f t="shared" si="337"/>
        <v>0</v>
      </c>
      <c r="BO433" s="85">
        <f t="shared" si="338"/>
        <v>72</v>
      </c>
      <c r="BP433" s="85">
        <f t="shared" si="339"/>
        <v>0</v>
      </c>
      <c r="BQ433" s="85">
        <f t="shared" si="340"/>
        <v>71</v>
      </c>
      <c r="BR433" s="85">
        <f t="shared" si="341"/>
        <v>71</v>
      </c>
      <c r="BT433" s="63"/>
      <c r="BU433" s="63"/>
      <c r="BV433" s="63"/>
      <c r="BW433" s="63"/>
      <c r="BX433" s="63"/>
      <c r="BY433" s="63"/>
      <c r="BZ433" s="63"/>
      <c r="CA433" s="63"/>
      <c r="CB433" s="63"/>
      <c r="CC433" s="63"/>
      <c r="CD433" s="63"/>
      <c r="CE433" s="63"/>
      <c r="CF433" s="63"/>
      <c r="CG433" s="63"/>
      <c r="CH433" s="63"/>
      <c r="CI433" s="63"/>
      <c r="CJ433" s="63"/>
      <c r="CK433" s="63"/>
      <c r="CL433" s="63"/>
      <c r="CM433" s="63"/>
      <c r="CN433" s="63"/>
      <c r="CO433" s="63"/>
      <c r="CP433" s="63"/>
      <c r="CQ433" s="63"/>
      <c r="CR433" s="63"/>
      <c r="CS433" s="63"/>
      <c r="CX433" s="35" t="s">
        <v>12</v>
      </c>
      <c r="CZ433" s="35"/>
      <c r="DC433" s="57" t="str">
        <f t="shared" si="342"/>
        <v/>
      </c>
      <c r="DD433" s="64" t="str">
        <f t="shared" si="343"/>
        <v/>
      </c>
      <c r="DE433" s="65" t="str">
        <f t="shared" si="344"/>
        <v/>
      </c>
      <c r="DF433" s="66" t="str">
        <f t="shared" si="356"/>
        <v>AME [2]</v>
      </c>
    </row>
    <row r="434" spans="2:110">
      <c r="B434" s="54">
        <f t="shared" si="352"/>
        <v>46090</v>
      </c>
      <c r="C434" s="55" t="s">
        <v>1</v>
      </c>
      <c r="D434" s="56">
        <f t="shared" si="353"/>
        <v>46096</v>
      </c>
      <c r="E434" s="52">
        <f t="shared" si="354"/>
        <v>3</v>
      </c>
      <c r="F434" s="53">
        <f t="shared" si="355"/>
        <v>2026</v>
      </c>
      <c r="G434" s="62">
        <f t="shared" si="350"/>
        <v>15</v>
      </c>
      <c r="H434" s="63">
        <f t="shared" si="351"/>
        <v>106</v>
      </c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>
        <v>15</v>
      </c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80"/>
      <c r="AG434" s="87">
        <f t="shared" si="305"/>
        <v>0</v>
      </c>
      <c r="AH434" s="87">
        <f t="shared" si="306"/>
        <v>0</v>
      </c>
      <c r="AI434" s="87">
        <f t="shared" si="307"/>
        <v>0</v>
      </c>
      <c r="AJ434" s="87">
        <f t="shared" si="308"/>
        <v>0</v>
      </c>
      <c r="AK434" s="87">
        <f t="shared" si="309"/>
        <v>0</v>
      </c>
      <c r="AL434" s="87">
        <f t="shared" si="310"/>
        <v>0</v>
      </c>
      <c r="AM434" s="87">
        <f t="shared" si="311"/>
        <v>0</v>
      </c>
      <c r="AN434" s="87">
        <f t="shared" si="312"/>
        <v>0</v>
      </c>
      <c r="AO434" s="87">
        <f t="shared" si="313"/>
        <v>0</v>
      </c>
      <c r="AP434" s="87">
        <f t="shared" si="314"/>
        <v>0</v>
      </c>
      <c r="AQ434" s="87">
        <f t="shared" si="315"/>
        <v>15</v>
      </c>
      <c r="AR434" s="81"/>
      <c r="AS434" s="85">
        <f t="shared" si="316"/>
        <v>54</v>
      </c>
      <c r="AT434" s="85">
        <f t="shared" si="317"/>
        <v>30</v>
      </c>
      <c r="AU434" s="85">
        <f t="shared" si="318"/>
        <v>80</v>
      </c>
      <c r="AV434" s="85">
        <f t="shared" si="319"/>
        <v>99</v>
      </c>
      <c r="AW434" s="85">
        <f t="shared" si="320"/>
        <v>64</v>
      </c>
      <c r="AX434" s="85">
        <f t="shared" si="321"/>
        <v>0</v>
      </c>
      <c r="AY434" s="85">
        <f t="shared" si="322"/>
        <v>61</v>
      </c>
      <c r="AZ434" s="85">
        <f t="shared" si="323"/>
        <v>82</v>
      </c>
      <c r="BA434" s="85">
        <f t="shared" si="324"/>
        <v>82</v>
      </c>
      <c r="BB434" s="85">
        <f t="shared" si="325"/>
        <v>29</v>
      </c>
      <c r="BC434" s="85">
        <f t="shared" si="326"/>
        <v>52</v>
      </c>
      <c r="BD434" s="85">
        <f t="shared" si="327"/>
        <v>0</v>
      </c>
      <c r="BE434" s="85">
        <f t="shared" si="328"/>
        <v>45</v>
      </c>
      <c r="BF434" s="85">
        <f t="shared" si="329"/>
        <v>45</v>
      </c>
      <c r="BG434" s="85">
        <f t="shared" si="330"/>
        <v>50</v>
      </c>
      <c r="BH434" s="85">
        <f t="shared" si="331"/>
        <v>50</v>
      </c>
      <c r="BI434" s="85">
        <f t="shared" si="332"/>
        <v>49</v>
      </c>
      <c r="BJ434" s="85">
        <f t="shared" si="333"/>
        <v>49</v>
      </c>
      <c r="BK434" s="85">
        <f t="shared" si="334"/>
        <v>80</v>
      </c>
      <c r="BL434" s="85">
        <f t="shared" si="335"/>
        <v>80</v>
      </c>
      <c r="BM434" s="85">
        <f t="shared" si="336"/>
        <v>81</v>
      </c>
      <c r="BN434" s="85">
        <f t="shared" si="337"/>
        <v>0</v>
      </c>
      <c r="BO434" s="85">
        <f t="shared" si="338"/>
        <v>73</v>
      </c>
      <c r="BP434" s="85">
        <f t="shared" si="339"/>
        <v>0</v>
      </c>
      <c r="BQ434" s="85">
        <f t="shared" si="340"/>
        <v>72</v>
      </c>
      <c r="BR434" s="85">
        <f t="shared" si="341"/>
        <v>72</v>
      </c>
      <c r="BT434" s="63"/>
      <c r="BU434" s="63"/>
      <c r="BV434" s="63"/>
      <c r="BW434" s="63"/>
      <c r="BX434" s="63"/>
      <c r="BY434" s="63"/>
      <c r="BZ434" s="63"/>
      <c r="CA434" s="63"/>
      <c r="CB434" s="63"/>
      <c r="CC434" s="63"/>
      <c r="CD434" s="63"/>
      <c r="CE434" s="63"/>
      <c r="CF434" s="63"/>
      <c r="CG434" s="63"/>
      <c r="CH434" s="63"/>
      <c r="CI434" s="63"/>
      <c r="CJ434" s="63"/>
      <c r="CK434" s="63"/>
      <c r="CL434" s="63"/>
      <c r="CM434" s="63"/>
      <c r="CN434" s="63"/>
      <c r="CO434" s="63"/>
      <c r="CP434" s="63"/>
      <c r="CQ434" s="63"/>
      <c r="CR434" s="63"/>
      <c r="CS434" s="63"/>
      <c r="CX434" s="35" t="s">
        <v>12</v>
      </c>
      <c r="CZ434" s="35"/>
      <c r="DC434" s="57" t="str">
        <f t="shared" si="342"/>
        <v/>
      </c>
      <c r="DD434" s="64" t="str">
        <f t="shared" si="343"/>
        <v/>
      </c>
      <c r="DE434" s="65" t="str">
        <f t="shared" si="344"/>
        <v/>
      </c>
      <c r="DF434" s="66" t="str">
        <f t="shared" si="356"/>
        <v/>
      </c>
    </row>
    <row r="435" spans="2:110">
      <c r="B435" s="54">
        <f t="shared" si="352"/>
        <v>46097</v>
      </c>
      <c r="C435" s="55" t="s">
        <v>1</v>
      </c>
      <c r="D435" s="56">
        <f t="shared" si="353"/>
        <v>46103</v>
      </c>
      <c r="E435" s="52">
        <f t="shared" si="354"/>
        <v>3</v>
      </c>
      <c r="F435" s="53">
        <f t="shared" si="355"/>
        <v>2026</v>
      </c>
      <c r="G435" s="62">
        <f t="shared" si="350"/>
        <v>15</v>
      </c>
      <c r="H435" s="63">
        <f t="shared" si="351"/>
        <v>106</v>
      </c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>
        <v>15</v>
      </c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80"/>
      <c r="AG435" s="87">
        <f t="shared" si="305"/>
        <v>0</v>
      </c>
      <c r="AH435" s="87">
        <f t="shared" si="306"/>
        <v>0</v>
      </c>
      <c r="AI435" s="87">
        <f t="shared" si="307"/>
        <v>0</v>
      </c>
      <c r="AJ435" s="87">
        <f t="shared" si="308"/>
        <v>0</v>
      </c>
      <c r="AK435" s="87">
        <f t="shared" si="309"/>
        <v>0</v>
      </c>
      <c r="AL435" s="87">
        <f t="shared" si="310"/>
        <v>0</v>
      </c>
      <c r="AM435" s="87">
        <f t="shared" si="311"/>
        <v>0</v>
      </c>
      <c r="AN435" s="87">
        <f t="shared" si="312"/>
        <v>0</v>
      </c>
      <c r="AO435" s="87">
        <f t="shared" si="313"/>
        <v>0</v>
      </c>
      <c r="AP435" s="87">
        <f t="shared" si="314"/>
        <v>0</v>
      </c>
      <c r="AQ435" s="87">
        <f t="shared" si="315"/>
        <v>15</v>
      </c>
      <c r="AR435" s="81"/>
      <c r="AS435" s="85">
        <f t="shared" si="316"/>
        <v>55</v>
      </c>
      <c r="AT435" s="85">
        <f t="shared" si="317"/>
        <v>31</v>
      </c>
      <c r="AU435" s="85">
        <f t="shared" si="318"/>
        <v>81</v>
      </c>
      <c r="AV435" s="85">
        <f t="shared" si="319"/>
        <v>100</v>
      </c>
      <c r="AW435" s="85">
        <f t="shared" si="320"/>
        <v>65</v>
      </c>
      <c r="AX435" s="85">
        <f t="shared" si="321"/>
        <v>0</v>
      </c>
      <c r="AY435" s="85">
        <f t="shared" si="322"/>
        <v>62</v>
      </c>
      <c r="AZ435" s="85">
        <f t="shared" si="323"/>
        <v>83</v>
      </c>
      <c r="BA435" s="85">
        <f t="shared" si="324"/>
        <v>83</v>
      </c>
      <c r="BB435" s="85">
        <f t="shared" si="325"/>
        <v>30</v>
      </c>
      <c r="BC435" s="85">
        <f t="shared" si="326"/>
        <v>53</v>
      </c>
      <c r="BD435" s="85">
        <f t="shared" si="327"/>
        <v>0</v>
      </c>
      <c r="BE435" s="85">
        <f t="shared" si="328"/>
        <v>46</v>
      </c>
      <c r="BF435" s="85">
        <f t="shared" si="329"/>
        <v>46</v>
      </c>
      <c r="BG435" s="85">
        <f t="shared" si="330"/>
        <v>51</v>
      </c>
      <c r="BH435" s="85">
        <f t="shared" si="331"/>
        <v>51</v>
      </c>
      <c r="BI435" s="85">
        <f t="shared" si="332"/>
        <v>50</v>
      </c>
      <c r="BJ435" s="85">
        <f t="shared" si="333"/>
        <v>50</v>
      </c>
      <c r="BK435" s="85">
        <f t="shared" si="334"/>
        <v>81</v>
      </c>
      <c r="BL435" s="85">
        <f t="shared" si="335"/>
        <v>81</v>
      </c>
      <c r="BM435" s="85">
        <f t="shared" si="336"/>
        <v>82</v>
      </c>
      <c r="BN435" s="85">
        <f t="shared" si="337"/>
        <v>0</v>
      </c>
      <c r="BO435" s="85">
        <f t="shared" si="338"/>
        <v>74</v>
      </c>
      <c r="BP435" s="85">
        <f t="shared" si="339"/>
        <v>0</v>
      </c>
      <c r="BQ435" s="85">
        <f t="shared" si="340"/>
        <v>73</v>
      </c>
      <c r="BR435" s="85">
        <f t="shared" si="341"/>
        <v>73</v>
      </c>
      <c r="BT435" s="63"/>
      <c r="BU435" s="63"/>
      <c r="BV435" s="63"/>
      <c r="BW435" s="63"/>
      <c r="BX435" s="63"/>
      <c r="BY435" s="63"/>
      <c r="BZ435" s="63"/>
      <c r="CA435" s="63"/>
      <c r="CB435" s="63"/>
      <c r="CC435" s="63"/>
      <c r="CD435" s="63"/>
      <c r="CE435" s="63"/>
      <c r="CF435" s="63"/>
      <c r="CG435" s="63"/>
      <c r="CH435" s="63"/>
      <c r="CI435" s="63"/>
      <c r="CJ435" s="63"/>
      <c r="CK435" s="63"/>
      <c r="CL435" s="63"/>
      <c r="CM435" s="63"/>
      <c r="CN435" s="63"/>
      <c r="CO435" s="63"/>
      <c r="CP435" s="63"/>
      <c r="CQ435" s="63"/>
      <c r="CR435" s="63"/>
      <c r="CS435" s="63"/>
      <c r="CX435" s="35" t="s">
        <v>12</v>
      </c>
      <c r="CZ435" s="35"/>
      <c r="DC435" s="57" t="str">
        <f t="shared" si="342"/>
        <v/>
      </c>
      <c r="DD435" s="64" t="str">
        <f t="shared" si="343"/>
        <v/>
      </c>
      <c r="DE435" s="65" t="str">
        <f t="shared" si="344"/>
        <v/>
      </c>
      <c r="DF435" s="66" t="str">
        <f t="shared" si="356"/>
        <v>AME</v>
      </c>
    </row>
    <row r="436" spans="2:110">
      <c r="B436" s="54">
        <f t="shared" si="352"/>
        <v>46104</v>
      </c>
      <c r="C436" s="55" t="s">
        <v>1</v>
      </c>
      <c r="D436" s="56">
        <f t="shared" si="353"/>
        <v>46110</v>
      </c>
      <c r="E436" s="52">
        <f t="shared" si="354"/>
        <v>3</v>
      </c>
      <c r="F436" s="53">
        <f t="shared" si="355"/>
        <v>2026</v>
      </c>
      <c r="G436" s="62">
        <f t="shared" si="350"/>
        <v>15</v>
      </c>
      <c r="H436" s="63">
        <f t="shared" si="351"/>
        <v>106</v>
      </c>
      <c r="I436" s="62">
        <v>24</v>
      </c>
      <c r="J436" s="62"/>
      <c r="K436" s="62"/>
      <c r="L436" s="62"/>
      <c r="M436" s="62"/>
      <c r="N436" s="62"/>
      <c r="O436" s="62"/>
      <c r="P436" s="62"/>
      <c r="Q436" s="62"/>
      <c r="R436" s="62"/>
      <c r="S436" s="62">
        <v>15</v>
      </c>
      <c r="U436" s="79">
        <v>1</v>
      </c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80"/>
      <c r="AG436" s="87">
        <f t="shared" si="305"/>
        <v>24</v>
      </c>
      <c r="AH436" s="87">
        <f t="shared" si="306"/>
        <v>0</v>
      </c>
      <c r="AI436" s="87">
        <f t="shared" si="307"/>
        <v>0</v>
      </c>
      <c r="AJ436" s="87">
        <f t="shared" si="308"/>
        <v>0</v>
      </c>
      <c r="AK436" s="87">
        <f t="shared" si="309"/>
        <v>0</v>
      </c>
      <c r="AL436" s="87">
        <f t="shared" si="310"/>
        <v>0</v>
      </c>
      <c r="AM436" s="87">
        <f t="shared" si="311"/>
        <v>0</v>
      </c>
      <c r="AN436" s="87">
        <f t="shared" si="312"/>
        <v>0</v>
      </c>
      <c r="AO436" s="87">
        <f t="shared" si="313"/>
        <v>0</v>
      </c>
      <c r="AP436" s="87">
        <f t="shared" si="314"/>
        <v>0</v>
      </c>
      <c r="AQ436" s="87">
        <f t="shared" si="315"/>
        <v>15</v>
      </c>
      <c r="AR436" s="81"/>
      <c r="AS436" s="85">
        <f t="shared" si="316"/>
        <v>56</v>
      </c>
      <c r="AT436" s="85">
        <f t="shared" si="317"/>
        <v>32</v>
      </c>
      <c r="AU436" s="85">
        <f t="shared" si="318"/>
        <v>82</v>
      </c>
      <c r="AV436" s="85">
        <f t="shared" si="319"/>
        <v>101</v>
      </c>
      <c r="AW436" s="85">
        <f t="shared" si="320"/>
        <v>66</v>
      </c>
      <c r="AX436" s="85">
        <f t="shared" si="321"/>
        <v>0</v>
      </c>
      <c r="AY436" s="85">
        <f t="shared" si="322"/>
        <v>63</v>
      </c>
      <c r="AZ436" s="85">
        <f t="shared" si="323"/>
        <v>84</v>
      </c>
      <c r="BA436" s="85">
        <f t="shared" si="324"/>
        <v>84</v>
      </c>
      <c r="BB436" s="85">
        <f t="shared" si="325"/>
        <v>31</v>
      </c>
      <c r="BC436" s="85">
        <f t="shared" si="326"/>
        <v>54</v>
      </c>
      <c r="BD436" s="85">
        <f t="shared" si="327"/>
        <v>0</v>
      </c>
      <c r="BE436" s="85">
        <f t="shared" si="328"/>
        <v>47</v>
      </c>
      <c r="BF436" s="85">
        <f t="shared" si="329"/>
        <v>47</v>
      </c>
      <c r="BG436" s="85">
        <f t="shared" si="330"/>
        <v>52</v>
      </c>
      <c r="BH436" s="85">
        <f t="shared" si="331"/>
        <v>52</v>
      </c>
      <c r="BI436" s="85">
        <f t="shared" si="332"/>
        <v>51</v>
      </c>
      <c r="BJ436" s="85">
        <f t="shared" si="333"/>
        <v>51</v>
      </c>
      <c r="BK436" s="85">
        <f t="shared" si="334"/>
        <v>82</v>
      </c>
      <c r="BL436" s="85">
        <f t="shared" si="335"/>
        <v>82</v>
      </c>
      <c r="BM436" s="85">
        <f t="shared" si="336"/>
        <v>83</v>
      </c>
      <c r="BN436" s="85">
        <f t="shared" si="337"/>
        <v>0</v>
      </c>
      <c r="BO436" s="85">
        <f t="shared" si="338"/>
        <v>75</v>
      </c>
      <c r="BP436" s="85">
        <f t="shared" si="339"/>
        <v>0</v>
      </c>
      <c r="BQ436" s="85">
        <f t="shared" si="340"/>
        <v>74</v>
      </c>
      <c r="BR436" s="85">
        <f t="shared" si="341"/>
        <v>74</v>
      </c>
      <c r="BT436" s="63"/>
      <c r="BU436" s="63"/>
      <c r="BV436" s="63"/>
      <c r="BW436" s="63"/>
      <c r="BX436" s="63"/>
      <c r="BY436" s="63"/>
      <c r="BZ436" s="63"/>
      <c r="CA436" s="63"/>
      <c r="CB436" s="63"/>
      <c r="CC436" s="63"/>
      <c r="CD436" s="63"/>
      <c r="CE436" s="63"/>
      <c r="CF436" s="63"/>
      <c r="CG436" s="63"/>
      <c r="CH436" s="63"/>
      <c r="CI436" s="63"/>
      <c r="CJ436" s="63"/>
      <c r="CK436" s="63"/>
      <c r="CL436" s="63"/>
      <c r="CM436" s="63"/>
      <c r="CN436" s="63"/>
      <c r="CO436" s="63"/>
      <c r="CP436" s="63"/>
      <c r="CQ436" s="63"/>
      <c r="CR436" s="63"/>
      <c r="CS436" s="63"/>
      <c r="CX436" s="35" t="s">
        <v>12</v>
      </c>
      <c r="CZ436" s="35"/>
      <c r="DC436" s="57">
        <f t="shared" si="342"/>
        <v>1</v>
      </c>
      <c r="DD436" s="64">
        <f t="shared" si="343"/>
        <v>46106</v>
      </c>
      <c r="DE436" s="65">
        <f t="shared" si="344"/>
        <v>46211</v>
      </c>
      <c r="DF436" s="66" t="str">
        <f t="shared" si="356"/>
        <v>VNI</v>
      </c>
    </row>
    <row r="437" spans="2:110">
      <c r="B437" s="54">
        <f t="shared" si="352"/>
        <v>46111</v>
      </c>
      <c r="C437" s="55" t="s">
        <v>1</v>
      </c>
      <c r="D437" s="56">
        <f t="shared" si="353"/>
        <v>46117</v>
      </c>
      <c r="E437" s="52">
        <f t="shared" si="354"/>
        <v>3</v>
      </c>
      <c r="F437" s="53">
        <f t="shared" si="355"/>
        <v>2026</v>
      </c>
      <c r="G437" s="62">
        <f t="shared" si="350"/>
        <v>15</v>
      </c>
      <c r="H437" s="63">
        <f t="shared" si="351"/>
        <v>106</v>
      </c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>
        <v>15</v>
      </c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80"/>
      <c r="AG437" s="87">
        <f t="shared" si="305"/>
        <v>1</v>
      </c>
      <c r="AH437" s="87">
        <f t="shared" si="306"/>
        <v>0</v>
      </c>
      <c r="AI437" s="87">
        <f t="shared" si="307"/>
        <v>0</v>
      </c>
      <c r="AJ437" s="87">
        <f t="shared" si="308"/>
        <v>0</v>
      </c>
      <c r="AK437" s="87">
        <f t="shared" si="309"/>
        <v>0</v>
      </c>
      <c r="AL437" s="87">
        <f t="shared" si="310"/>
        <v>0</v>
      </c>
      <c r="AM437" s="87">
        <f t="shared" si="311"/>
        <v>0</v>
      </c>
      <c r="AN437" s="87">
        <f t="shared" si="312"/>
        <v>0</v>
      </c>
      <c r="AO437" s="87">
        <f t="shared" si="313"/>
        <v>0</v>
      </c>
      <c r="AP437" s="87">
        <f t="shared" si="314"/>
        <v>0</v>
      </c>
      <c r="AQ437" s="87">
        <f t="shared" si="315"/>
        <v>15</v>
      </c>
      <c r="AR437" s="81"/>
      <c r="AS437" s="85">
        <f t="shared" si="316"/>
        <v>57</v>
      </c>
      <c r="AT437" s="85">
        <f t="shared" si="317"/>
        <v>33</v>
      </c>
      <c r="AU437" s="85">
        <f t="shared" si="318"/>
        <v>83</v>
      </c>
      <c r="AV437" s="85">
        <f t="shared" si="319"/>
        <v>102</v>
      </c>
      <c r="AW437" s="85">
        <f t="shared" si="320"/>
        <v>67</v>
      </c>
      <c r="AX437" s="85">
        <f t="shared" si="321"/>
        <v>0</v>
      </c>
      <c r="AY437" s="85">
        <f t="shared" si="322"/>
        <v>64</v>
      </c>
      <c r="AZ437" s="85">
        <f t="shared" si="323"/>
        <v>85</v>
      </c>
      <c r="BA437" s="85">
        <f t="shared" si="324"/>
        <v>85</v>
      </c>
      <c r="BB437" s="85">
        <f t="shared" si="325"/>
        <v>32</v>
      </c>
      <c r="BC437" s="85">
        <f t="shared" si="326"/>
        <v>55</v>
      </c>
      <c r="BD437" s="85">
        <f t="shared" si="327"/>
        <v>0</v>
      </c>
      <c r="BE437" s="85">
        <f t="shared" si="328"/>
        <v>48</v>
      </c>
      <c r="BF437" s="85">
        <f t="shared" si="329"/>
        <v>48</v>
      </c>
      <c r="BG437" s="85">
        <f t="shared" si="330"/>
        <v>53</v>
      </c>
      <c r="BH437" s="85">
        <f t="shared" si="331"/>
        <v>53</v>
      </c>
      <c r="BI437" s="85">
        <f t="shared" si="332"/>
        <v>52</v>
      </c>
      <c r="BJ437" s="85">
        <f t="shared" si="333"/>
        <v>52</v>
      </c>
      <c r="BK437" s="85">
        <f t="shared" si="334"/>
        <v>83</v>
      </c>
      <c r="BL437" s="85">
        <f t="shared" si="335"/>
        <v>83</v>
      </c>
      <c r="BM437" s="85">
        <f t="shared" si="336"/>
        <v>84</v>
      </c>
      <c r="BN437" s="85">
        <f t="shared" si="337"/>
        <v>0</v>
      </c>
      <c r="BO437" s="85">
        <f t="shared" si="338"/>
        <v>76</v>
      </c>
      <c r="BP437" s="85">
        <f t="shared" si="339"/>
        <v>0</v>
      </c>
      <c r="BQ437" s="85">
        <f t="shared" si="340"/>
        <v>75</v>
      </c>
      <c r="BR437" s="85">
        <f t="shared" si="341"/>
        <v>75</v>
      </c>
      <c r="BT437" s="63"/>
      <c r="BU437" s="63"/>
      <c r="BV437" s="63"/>
      <c r="BW437" s="63"/>
      <c r="BX437" s="63"/>
      <c r="BY437" s="63"/>
      <c r="BZ437" s="63"/>
      <c r="CA437" s="63"/>
      <c r="CB437" s="63"/>
      <c r="CC437" s="63"/>
      <c r="CD437" s="63"/>
      <c r="CE437" s="63"/>
      <c r="CF437" s="63"/>
      <c r="CG437" s="63"/>
      <c r="CH437" s="63"/>
      <c r="CI437" s="63"/>
      <c r="CJ437" s="63"/>
      <c r="CK437" s="63"/>
      <c r="CL437" s="63"/>
      <c r="CM437" s="63"/>
      <c r="CN437" s="63"/>
      <c r="CO437" s="63"/>
      <c r="CP437" s="63"/>
      <c r="CQ437" s="63"/>
      <c r="CR437" s="63"/>
      <c r="CS437" s="63"/>
      <c r="CX437" s="35" t="s">
        <v>12</v>
      </c>
      <c r="CZ437" s="35"/>
      <c r="DC437" s="57" t="str">
        <f t="shared" si="342"/>
        <v/>
      </c>
      <c r="DD437" s="64" t="str">
        <f t="shared" si="343"/>
        <v/>
      </c>
      <c r="DE437" s="65" t="str">
        <f t="shared" si="344"/>
        <v/>
      </c>
      <c r="DF437" s="66" t="str">
        <f t="shared" si="356"/>
        <v xml:space="preserve"> [2]</v>
      </c>
    </row>
    <row r="438" spans="2:110">
      <c r="B438" s="54">
        <f t="shared" si="352"/>
        <v>46118</v>
      </c>
      <c r="C438" s="55" t="s">
        <v>1</v>
      </c>
      <c r="D438" s="56">
        <f t="shared" si="353"/>
        <v>46124</v>
      </c>
      <c r="E438" s="52">
        <f t="shared" si="354"/>
        <v>4</v>
      </c>
      <c r="F438" s="53">
        <f t="shared" si="355"/>
        <v>2026</v>
      </c>
      <c r="G438" s="62">
        <f t="shared" si="350"/>
        <v>15</v>
      </c>
      <c r="H438" s="63">
        <f t="shared" si="351"/>
        <v>106</v>
      </c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>
        <v>15</v>
      </c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80"/>
      <c r="AG438" s="87">
        <f t="shared" si="305"/>
        <v>2</v>
      </c>
      <c r="AH438" s="87">
        <f t="shared" si="306"/>
        <v>0</v>
      </c>
      <c r="AI438" s="87">
        <f t="shared" si="307"/>
        <v>0</v>
      </c>
      <c r="AJ438" s="87">
        <f t="shared" si="308"/>
        <v>0</v>
      </c>
      <c r="AK438" s="87">
        <f t="shared" si="309"/>
        <v>0</v>
      </c>
      <c r="AL438" s="87">
        <f t="shared" si="310"/>
        <v>0</v>
      </c>
      <c r="AM438" s="87">
        <f t="shared" si="311"/>
        <v>0</v>
      </c>
      <c r="AN438" s="87">
        <f t="shared" si="312"/>
        <v>0</v>
      </c>
      <c r="AO438" s="87">
        <f t="shared" si="313"/>
        <v>0</v>
      </c>
      <c r="AP438" s="87">
        <f t="shared" si="314"/>
        <v>0</v>
      </c>
      <c r="AQ438" s="87">
        <f t="shared" si="315"/>
        <v>15</v>
      </c>
      <c r="AR438" s="81"/>
      <c r="AS438" s="85">
        <f t="shared" si="316"/>
        <v>58</v>
      </c>
      <c r="AT438" s="85">
        <f t="shared" si="317"/>
        <v>34</v>
      </c>
      <c r="AU438" s="85">
        <f t="shared" si="318"/>
        <v>84</v>
      </c>
      <c r="AV438" s="85">
        <f t="shared" si="319"/>
        <v>103</v>
      </c>
      <c r="AW438" s="85">
        <f t="shared" si="320"/>
        <v>68</v>
      </c>
      <c r="AX438" s="85">
        <f t="shared" si="321"/>
        <v>0</v>
      </c>
      <c r="AY438" s="85">
        <f t="shared" si="322"/>
        <v>65</v>
      </c>
      <c r="AZ438" s="85">
        <f t="shared" si="323"/>
        <v>86</v>
      </c>
      <c r="BA438" s="85">
        <f t="shared" si="324"/>
        <v>86</v>
      </c>
      <c r="BB438" s="85">
        <f t="shared" si="325"/>
        <v>33</v>
      </c>
      <c r="BC438" s="85">
        <f t="shared" si="326"/>
        <v>56</v>
      </c>
      <c r="BD438" s="85">
        <f t="shared" si="327"/>
        <v>0</v>
      </c>
      <c r="BE438" s="85">
        <f t="shared" si="328"/>
        <v>49</v>
      </c>
      <c r="BF438" s="85">
        <f t="shared" si="329"/>
        <v>49</v>
      </c>
      <c r="BG438" s="85">
        <f t="shared" si="330"/>
        <v>54</v>
      </c>
      <c r="BH438" s="85">
        <f t="shared" si="331"/>
        <v>54</v>
      </c>
      <c r="BI438" s="85">
        <f t="shared" si="332"/>
        <v>53</v>
      </c>
      <c r="BJ438" s="85">
        <f t="shared" si="333"/>
        <v>53</v>
      </c>
      <c r="BK438" s="85">
        <f t="shared" si="334"/>
        <v>84</v>
      </c>
      <c r="BL438" s="85">
        <f t="shared" si="335"/>
        <v>84</v>
      </c>
      <c r="BM438" s="85">
        <f t="shared" si="336"/>
        <v>85</v>
      </c>
      <c r="BN438" s="85">
        <f t="shared" si="337"/>
        <v>0</v>
      </c>
      <c r="BO438" s="85">
        <f t="shared" si="338"/>
        <v>77</v>
      </c>
      <c r="BP438" s="85">
        <f t="shared" si="339"/>
        <v>0</v>
      </c>
      <c r="BQ438" s="85">
        <f t="shared" si="340"/>
        <v>76</v>
      </c>
      <c r="BR438" s="85">
        <f t="shared" si="341"/>
        <v>76</v>
      </c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3"/>
      <c r="CH438" s="63"/>
      <c r="CI438" s="63"/>
      <c r="CJ438" s="63"/>
      <c r="CK438" s="63"/>
      <c r="CL438" s="63"/>
      <c r="CM438" s="63"/>
      <c r="CN438" s="63"/>
      <c r="CO438" s="63"/>
      <c r="CP438" s="63"/>
      <c r="CQ438" s="63"/>
      <c r="CR438" s="63"/>
      <c r="CS438" s="63"/>
      <c r="CX438" s="35" t="s">
        <v>12</v>
      </c>
      <c r="CZ438" s="35"/>
      <c r="DC438" s="57" t="str">
        <f t="shared" si="342"/>
        <v/>
      </c>
      <c r="DD438" s="64" t="str">
        <f t="shared" si="343"/>
        <v/>
      </c>
      <c r="DE438" s="65" t="str">
        <f t="shared" si="344"/>
        <v/>
      </c>
      <c r="DF438" s="66" t="str">
        <f>IF(AND(AS453&gt;0,AS452=0),$AS$1,IF(AND(AT453&gt;0,AT452=0),$AT$1,IF(AND(AU453&gt;0,AU452=0),$AU$1,IF(AND(AV453&gt;0,AV452=0),$AV$1,IF(AND(AW453&gt;0,AW452=0),$AW$1,IF(AND(AX453&gt;0,AX452=0),$AX$1,IF(AND(AY453&gt;0,AY452=0),$AY$1,IF(AND(AZ453&gt;0,AZ452=0),$AZ$1,IF(AND(BA453&gt;0,BA452=0),$BA$1,IF(AND(BB453&gt;0,BB452=0),$BB$1,IF(AND(BC453&gt;0,BC452=0),$BC$1,IF(AND(BD453&gt;0,BD452=0),$BD$1,IF(AND(BE453&gt;0,BE452=0),$BE$1,IF(AND(BF453&gt;0,BF452=0),$BF$1,IF(AND(BG453&gt;0,BG452=0),$BG$1,IF(AND(BH453&gt;0,BH452=0),$BH$1,IF(AND(BI453&gt;0,BI452=0),$BI$1,IF(AND(BJ453&gt;0,BJ452=0),$BJ$1,IF(AND(BK453&gt;0,BK452=0),$BK$1,IF(AND(BL453&gt;0,BL452=0),$BL$1,IF(AND(BM453&gt;0,BM452=0),$BM$1,IF(AND(BN453&gt;0,BN452=0),$BN$1,IF(AND(BO453&gt;0,BO452=0),$BO$1,IF(AND(BP453&gt;0,BP452=0),$BP$1,IF(AND(BQ453&gt;0,BQ452=0),$BQ$1,IF(AND(BR453&gt;0,BR452=0),$BQ$1,""))))))))))))))))&amp;(IF(COUNTA(BT453:CS453)&gt;1," ["&amp;COUNTA(BT453:CS453)&amp;"]",""))))))))))))</f>
        <v/>
      </c>
    </row>
    <row r="439" spans="2:110">
      <c r="B439" s="54">
        <f t="shared" si="352"/>
        <v>46125</v>
      </c>
      <c r="C439" s="55" t="s">
        <v>1</v>
      </c>
      <c r="D439" s="56">
        <f t="shared" si="353"/>
        <v>46131</v>
      </c>
      <c r="E439" s="52">
        <f t="shared" si="354"/>
        <v>4</v>
      </c>
      <c r="F439" s="53">
        <f t="shared" si="355"/>
        <v>2026</v>
      </c>
      <c r="G439" s="62">
        <f t="shared" si="350"/>
        <v>15</v>
      </c>
      <c r="H439" s="63">
        <f t="shared" si="351"/>
        <v>106</v>
      </c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>
        <v>15</v>
      </c>
      <c r="U439" s="79"/>
      <c r="V439" s="79"/>
      <c r="W439" s="79"/>
      <c r="X439" s="79"/>
      <c r="Y439" s="79"/>
      <c r="Z439" s="79"/>
      <c r="AA439" s="79"/>
      <c r="AB439" s="79"/>
      <c r="AC439" s="79">
        <v>1</v>
      </c>
      <c r="AD439" s="79"/>
      <c r="AE439" s="79"/>
      <c r="AF439" s="80"/>
      <c r="AG439" s="87">
        <f t="shared" si="305"/>
        <v>3</v>
      </c>
      <c r="AH439" s="87">
        <f t="shared" si="306"/>
        <v>0</v>
      </c>
      <c r="AI439" s="87">
        <f t="shared" si="307"/>
        <v>0</v>
      </c>
      <c r="AJ439" s="87">
        <f t="shared" si="308"/>
        <v>0</v>
      </c>
      <c r="AK439" s="87">
        <f t="shared" si="309"/>
        <v>0</v>
      </c>
      <c r="AL439" s="87">
        <f t="shared" si="310"/>
        <v>0</v>
      </c>
      <c r="AM439" s="87">
        <f t="shared" si="311"/>
        <v>0</v>
      </c>
      <c r="AN439" s="87">
        <f t="shared" si="312"/>
        <v>0</v>
      </c>
      <c r="AO439" s="87">
        <f t="shared" si="313"/>
        <v>46127</v>
      </c>
      <c r="AP439" s="87">
        <f t="shared" si="314"/>
        <v>0</v>
      </c>
      <c r="AQ439" s="87">
        <f t="shared" si="315"/>
        <v>15</v>
      </c>
      <c r="AR439" s="81"/>
      <c r="AS439" s="85">
        <f t="shared" si="316"/>
        <v>59</v>
      </c>
      <c r="AT439" s="85">
        <f t="shared" si="317"/>
        <v>35</v>
      </c>
      <c r="AU439" s="85">
        <f t="shared" si="318"/>
        <v>85</v>
      </c>
      <c r="AV439" s="85">
        <f t="shared" si="319"/>
        <v>104</v>
      </c>
      <c r="AW439" s="85">
        <f t="shared" si="320"/>
        <v>69</v>
      </c>
      <c r="AX439" s="85">
        <f t="shared" si="321"/>
        <v>0</v>
      </c>
      <c r="AY439" s="85">
        <f t="shared" si="322"/>
        <v>66</v>
      </c>
      <c r="AZ439" s="85">
        <f t="shared" si="323"/>
        <v>87</v>
      </c>
      <c r="BA439" s="85">
        <f t="shared" si="324"/>
        <v>87</v>
      </c>
      <c r="BB439" s="85">
        <f t="shared" si="325"/>
        <v>34</v>
      </c>
      <c r="BC439" s="85">
        <f t="shared" si="326"/>
        <v>57</v>
      </c>
      <c r="BD439" s="85">
        <f t="shared" si="327"/>
        <v>0</v>
      </c>
      <c r="BE439" s="85">
        <f t="shared" si="328"/>
        <v>50</v>
      </c>
      <c r="BF439" s="85">
        <f t="shared" si="329"/>
        <v>50</v>
      </c>
      <c r="BG439" s="85">
        <f t="shared" si="330"/>
        <v>55</v>
      </c>
      <c r="BH439" s="85">
        <f t="shared" si="331"/>
        <v>55</v>
      </c>
      <c r="BI439" s="85">
        <f t="shared" si="332"/>
        <v>54</v>
      </c>
      <c r="BJ439" s="85">
        <f t="shared" si="333"/>
        <v>54</v>
      </c>
      <c r="BK439" s="85">
        <f t="shared" si="334"/>
        <v>85</v>
      </c>
      <c r="BL439" s="85">
        <f t="shared" si="335"/>
        <v>85</v>
      </c>
      <c r="BM439" s="85">
        <f t="shared" si="336"/>
        <v>86</v>
      </c>
      <c r="BN439" s="85">
        <f t="shared" si="337"/>
        <v>0</v>
      </c>
      <c r="BO439" s="85">
        <f t="shared" si="338"/>
        <v>78</v>
      </c>
      <c r="BP439" s="85">
        <f t="shared" si="339"/>
        <v>0</v>
      </c>
      <c r="BQ439" s="85">
        <f t="shared" si="340"/>
        <v>77</v>
      </c>
      <c r="BR439" s="85">
        <f t="shared" si="341"/>
        <v>77</v>
      </c>
      <c r="BT439" s="63"/>
      <c r="BU439" s="63"/>
      <c r="BV439" s="63"/>
      <c r="BW439" s="63"/>
      <c r="BX439" s="63"/>
      <c r="BY439" s="63"/>
      <c r="BZ439" s="63"/>
      <c r="CA439" s="63"/>
      <c r="CB439" s="63"/>
      <c r="CC439" s="63"/>
      <c r="CD439" s="63"/>
      <c r="CE439" s="63"/>
      <c r="CF439" s="63"/>
      <c r="CG439" s="63"/>
      <c r="CH439" s="63"/>
      <c r="CI439" s="63"/>
      <c r="CJ439" s="63"/>
      <c r="CK439" s="63"/>
      <c r="CL439" s="63"/>
      <c r="CM439" s="63"/>
      <c r="CN439" s="63"/>
      <c r="CO439" s="63"/>
      <c r="CP439" s="63"/>
      <c r="CQ439" s="63"/>
      <c r="CR439" s="63"/>
      <c r="CS439" s="63"/>
      <c r="CX439" s="35" t="s">
        <v>12</v>
      </c>
      <c r="CZ439" s="35"/>
      <c r="DC439" s="57">
        <f t="shared" si="342"/>
        <v>9</v>
      </c>
      <c r="DD439" s="64">
        <f t="shared" si="343"/>
        <v>46127</v>
      </c>
      <c r="DE439" s="65">
        <f t="shared" si="344"/>
        <v>46232</v>
      </c>
      <c r="DF439" s="66" t="str">
        <f t="shared" ref="DF439:DF502" si="357">IF(AND(AS454&gt;0,AS453=0),$AS$1,IF(AND(AT454&gt;0,AT453=0),$AT$1,IF(AND(AU454&gt;0,AU453=0),$AU$1,IF(AND(AV454&gt;0,AV453=0),$AV$1,IF(AND(AW454&gt;0,AW453=0),$AW$1,IF(AND(AX454&gt;0,AX453=0),$AX$1,IF(AND(AY454&gt;0,AY453=0),$AY$1,IF(AND(AZ454&gt;0,AZ453=0),$AZ$1,IF(AND(BA454&gt;0,BA453=0),$BA$1,IF(AND(BB454&gt;0,BB453=0),$BB$1,IF(AND(BC454&gt;0,BC453=0),$BC$1,IF(AND(BD454&gt;0,BD453=0),$BD$1,IF(AND(BE454&gt;0,BE453=0),$BE$1,IF(AND(BF454&gt;0,BF453=0),$BF$1,IF(AND(BG454&gt;0,BG453=0),$BG$1,IF(AND(BH454&gt;0,BH453=0),$BH$1,IF(AND(BI454&gt;0,BI453=0),$BI$1,IF(AND(BJ454&gt;0,BJ453=0),$BJ$1,IF(AND(BK454&gt;0,BK453=0),$BK$1,IF(AND(BL454&gt;0,BL453=0),$BL$1,IF(AND(BM454&gt;0,BM453=0),$BM$1,IF(AND(BN454&gt;0,BN453=0),$BN$1,IF(AND(BO454&gt;0,BO453=0),$BO$1,IF(AND(BP454&gt;0,BP453=0),$BP$1,IF(AND(BQ454&gt;0,BQ453=0),$BQ$1,IF(AND(BR454&gt;0,BR453=0),$BQ$1,""))))))))))))))))&amp;(IF(COUNTA(BT454:CS454)&gt;1," ["&amp;COUNTA(BT454:CS454)&amp;"]",""))))))))))))</f>
        <v>PAT</v>
      </c>
    </row>
    <row r="440" spans="2:110">
      <c r="B440" s="54">
        <f t="shared" si="352"/>
        <v>46132</v>
      </c>
      <c r="C440" s="55" t="s">
        <v>1</v>
      </c>
      <c r="D440" s="56">
        <f t="shared" si="353"/>
        <v>46138</v>
      </c>
      <c r="E440" s="52">
        <f t="shared" si="354"/>
        <v>4</v>
      </c>
      <c r="F440" s="53">
        <f t="shared" si="355"/>
        <v>2026</v>
      </c>
      <c r="G440" s="62">
        <f t="shared" si="350"/>
        <v>15</v>
      </c>
      <c r="H440" s="63">
        <f t="shared" si="351"/>
        <v>106</v>
      </c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>
        <v>15</v>
      </c>
      <c r="U440" s="79"/>
      <c r="V440" s="79"/>
      <c r="W440" s="79"/>
      <c r="X440" s="79"/>
      <c r="Y440" s="79">
        <v>1</v>
      </c>
      <c r="Z440" s="79">
        <v>1</v>
      </c>
      <c r="AA440" s="79"/>
      <c r="AB440" s="79"/>
      <c r="AC440" s="79"/>
      <c r="AD440" s="79"/>
      <c r="AE440" s="79"/>
      <c r="AF440" s="80"/>
      <c r="AG440" s="87">
        <f t="shared" si="305"/>
        <v>4</v>
      </c>
      <c r="AH440" s="87">
        <f t="shared" si="306"/>
        <v>0</v>
      </c>
      <c r="AI440" s="87">
        <f t="shared" si="307"/>
        <v>0</v>
      </c>
      <c r="AJ440" s="87">
        <f t="shared" si="308"/>
        <v>0</v>
      </c>
      <c r="AK440" s="87">
        <f t="shared" si="309"/>
        <v>46134</v>
      </c>
      <c r="AL440" s="87">
        <f t="shared" si="310"/>
        <v>46134</v>
      </c>
      <c r="AM440" s="87">
        <f t="shared" si="311"/>
        <v>0</v>
      </c>
      <c r="AN440" s="87">
        <f t="shared" si="312"/>
        <v>0</v>
      </c>
      <c r="AO440" s="87">
        <f t="shared" si="313"/>
        <v>1</v>
      </c>
      <c r="AP440" s="87">
        <f t="shared" si="314"/>
        <v>0</v>
      </c>
      <c r="AQ440" s="87">
        <f t="shared" si="315"/>
        <v>15</v>
      </c>
      <c r="AR440" s="81"/>
      <c r="AS440" s="85">
        <f t="shared" si="316"/>
        <v>60</v>
      </c>
      <c r="AT440" s="85">
        <f t="shared" si="317"/>
        <v>36</v>
      </c>
      <c r="AU440" s="85">
        <f t="shared" si="318"/>
        <v>86</v>
      </c>
      <c r="AV440" s="85">
        <f t="shared" si="319"/>
        <v>105</v>
      </c>
      <c r="AW440" s="85">
        <f t="shared" si="320"/>
        <v>70</v>
      </c>
      <c r="AX440" s="85">
        <f t="shared" si="321"/>
        <v>0</v>
      </c>
      <c r="AY440" s="85">
        <f t="shared" si="322"/>
        <v>67</v>
      </c>
      <c r="AZ440" s="85">
        <f t="shared" si="323"/>
        <v>88</v>
      </c>
      <c r="BA440" s="85">
        <f t="shared" si="324"/>
        <v>88</v>
      </c>
      <c r="BB440" s="85">
        <f t="shared" si="325"/>
        <v>35</v>
      </c>
      <c r="BC440" s="85">
        <f t="shared" si="326"/>
        <v>58</v>
      </c>
      <c r="BD440" s="85">
        <f t="shared" si="327"/>
        <v>0</v>
      </c>
      <c r="BE440" s="85">
        <f t="shared" si="328"/>
        <v>51</v>
      </c>
      <c r="BF440" s="85">
        <f t="shared" si="329"/>
        <v>51</v>
      </c>
      <c r="BG440" s="85">
        <f t="shared" si="330"/>
        <v>56</v>
      </c>
      <c r="BH440" s="85">
        <f t="shared" si="331"/>
        <v>56</v>
      </c>
      <c r="BI440" s="85">
        <f t="shared" si="332"/>
        <v>55</v>
      </c>
      <c r="BJ440" s="85">
        <f t="shared" si="333"/>
        <v>55</v>
      </c>
      <c r="BK440" s="85">
        <f t="shared" si="334"/>
        <v>86</v>
      </c>
      <c r="BL440" s="85">
        <f t="shared" si="335"/>
        <v>86</v>
      </c>
      <c r="BM440" s="85">
        <f t="shared" si="336"/>
        <v>87</v>
      </c>
      <c r="BN440" s="85">
        <f t="shared" si="337"/>
        <v>0</v>
      </c>
      <c r="BO440" s="85">
        <f t="shared" si="338"/>
        <v>79</v>
      </c>
      <c r="BP440" s="85">
        <f t="shared" si="339"/>
        <v>0</v>
      </c>
      <c r="BQ440" s="85">
        <f t="shared" si="340"/>
        <v>78</v>
      </c>
      <c r="BR440" s="85">
        <f t="shared" si="341"/>
        <v>78</v>
      </c>
      <c r="BT440" s="63"/>
      <c r="BU440" s="63"/>
      <c r="BV440" s="63"/>
      <c r="BW440" s="63"/>
      <c r="BX440" s="63"/>
      <c r="BY440" s="63"/>
      <c r="BZ440" s="63"/>
      <c r="CA440" s="63"/>
      <c r="CB440" s="63"/>
      <c r="CC440" s="63"/>
      <c r="CD440" s="63"/>
      <c r="CE440" s="63"/>
      <c r="CF440" s="63"/>
      <c r="CG440" s="63"/>
      <c r="CH440" s="63"/>
      <c r="CI440" s="63"/>
      <c r="CJ440" s="63"/>
      <c r="CK440" s="63"/>
      <c r="CL440" s="63"/>
      <c r="CM440" s="63"/>
      <c r="CN440" s="63"/>
      <c r="CO440" s="63"/>
      <c r="CP440" s="63"/>
      <c r="CQ440" s="63"/>
      <c r="CR440" s="63"/>
      <c r="CS440" s="63"/>
      <c r="CX440" s="35" t="s">
        <v>12</v>
      </c>
      <c r="CZ440" s="35"/>
      <c r="DC440" s="57">
        <f t="shared" si="342"/>
        <v>5</v>
      </c>
      <c r="DD440" s="64">
        <f t="shared" si="343"/>
        <v>46134</v>
      </c>
      <c r="DE440" s="65">
        <f t="shared" si="344"/>
        <v>46239</v>
      </c>
      <c r="DF440" s="66" t="str">
        <f t="shared" si="357"/>
        <v>PAT</v>
      </c>
    </row>
    <row r="441" spans="2:110">
      <c r="B441" s="54">
        <f t="shared" si="352"/>
        <v>46139</v>
      </c>
      <c r="C441" s="55" t="s">
        <v>1</v>
      </c>
      <c r="D441" s="56">
        <f t="shared" si="353"/>
        <v>46145</v>
      </c>
      <c r="E441" s="52">
        <f t="shared" si="354"/>
        <v>4</v>
      </c>
      <c r="F441" s="53">
        <f t="shared" si="355"/>
        <v>2026</v>
      </c>
      <c r="G441" s="62">
        <f t="shared" si="350"/>
        <v>15</v>
      </c>
      <c r="H441" s="63">
        <f t="shared" si="351"/>
        <v>106</v>
      </c>
      <c r="I441" s="62"/>
      <c r="J441" s="62"/>
      <c r="K441" s="62">
        <v>5</v>
      </c>
      <c r="L441" s="62">
        <v>5</v>
      </c>
      <c r="M441" s="62"/>
      <c r="N441" s="62"/>
      <c r="O441" s="62"/>
      <c r="P441" s="62"/>
      <c r="Q441" s="62"/>
      <c r="R441" s="62"/>
      <c r="S441" s="62">
        <v>15</v>
      </c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80"/>
      <c r="AG441" s="87">
        <f t="shared" si="305"/>
        <v>5</v>
      </c>
      <c r="AH441" s="87">
        <f t="shared" si="306"/>
        <v>0</v>
      </c>
      <c r="AI441" s="87">
        <f t="shared" si="307"/>
        <v>5</v>
      </c>
      <c r="AJ441" s="87">
        <f t="shared" si="308"/>
        <v>5</v>
      </c>
      <c r="AK441" s="87">
        <f t="shared" si="309"/>
        <v>1</v>
      </c>
      <c r="AL441" s="87">
        <f t="shared" si="310"/>
        <v>1</v>
      </c>
      <c r="AM441" s="87">
        <f t="shared" si="311"/>
        <v>0</v>
      </c>
      <c r="AN441" s="87">
        <f t="shared" si="312"/>
        <v>0</v>
      </c>
      <c r="AO441" s="87">
        <f t="shared" si="313"/>
        <v>2</v>
      </c>
      <c r="AP441" s="87">
        <f t="shared" si="314"/>
        <v>0</v>
      </c>
      <c r="AQ441" s="87">
        <f t="shared" si="315"/>
        <v>15</v>
      </c>
      <c r="AR441" s="81"/>
      <c r="AS441" s="85">
        <f t="shared" si="316"/>
        <v>61</v>
      </c>
      <c r="AT441" s="85">
        <f t="shared" si="317"/>
        <v>37</v>
      </c>
      <c r="AU441" s="85">
        <f t="shared" si="318"/>
        <v>87</v>
      </c>
      <c r="AV441" s="85">
        <f t="shared" si="319"/>
        <v>106</v>
      </c>
      <c r="AW441" s="85">
        <f t="shared" si="320"/>
        <v>71</v>
      </c>
      <c r="AX441" s="85">
        <f t="shared" si="321"/>
        <v>0</v>
      </c>
      <c r="AY441" s="85">
        <f t="shared" si="322"/>
        <v>68</v>
      </c>
      <c r="AZ441" s="85">
        <f t="shared" si="323"/>
        <v>89</v>
      </c>
      <c r="BA441" s="85">
        <f t="shared" si="324"/>
        <v>89</v>
      </c>
      <c r="BB441" s="85">
        <f t="shared" si="325"/>
        <v>36</v>
      </c>
      <c r="BC441" s="85">
        <f t="shared" si="326"/>
        <v>59</v>
      </c>
      <c r="BD441" s="85">
        <f t="shared" si="327"/>
        <v>0</v>
      </c>
      <c r="BE441" s="85">
        <f t="shared" si="328"/>
        <v>52</v>
      </c>
      <c r="BF441" s="85">
        <f t="shared" si="329"/>
        <v>52</v>
      </c>
      <c r="BG441" s="85">
        <f t="shared" si="330"/>
        <v>57</v>
      </c>
      <c r="BH441" s="85">
        <f t="shared" si="331"/>
        <v>57</v>
      </c>
      <c r="BI441" s="85">
        <f t="shared" si="332"/>
        <v>56</v>
      </c>
      <c r="BJ441" s="85">
        <f t="shared" si="333"/>
        <v>56</v>
      </c>
      <c r="BK441" s="85">
        <f t="shared" si="334"/>
        <v>87</v>
      </c>
      <c r="BL441" s="85">
        <f t="shared" si="335"/>
        <v>87</v>
      </c>
      <c r="BM441" s="85">
        <f t="shared" si="336"/>
        <v>88</v>
      </c>
      <c r="BN441" s="85">
        <f t="shared" si="337"/>
        <v>0</v>
      </c>
      <c r="BO441" s="85">
        <f t="shared" si="338"/>
        <v>80</v>
      </c>
      <c r="BP441" s="85">
        <f t="shared" si="339"/>
        <v>0</v>
      </c>
      <c r="BQ441" s="85">
        <f t="shared" si="340"/>
        <v>79</v>
      </c>
      <c r="BR441" s="85">
        <f t="shared" si="341"/>
        <v>79</v>
      </c>
      <c r="BT441" s="63"/>
      <c r="BU441" s="63"/>
      <c r="BV441" s="63"/>
      <c r="BW441" s="63"/>
      <c r="BX441" s="63"/>
      <c r="BY441" s="63"/>
      <c r="BZ441" s="63"/>
      <c r="CA441" s="63"/>
      <c r="CB441" s="63"/>
      <c r="CC441" s="63"/>
      <c r="CD441" s="63"/>
      <c r="CE441" s="63"/>
      <c r="CF441" s="63"/>
      <c r="CG441" s="63"/>
      <c r="CH441" s="63"/>
      <c r="CI441" s="63"/>
      <c r="CJ441" s="63"/>
      <c r="CK441" s="63"/>
      <c r="CL441" s="63" t="s">
        <v>5</v>
      </c>
      <c r="CM441" s="63" t="s">
        <v>5</v>
      </c>
      <c r="CN441" s="63"/>
      <c r="CO441" s="63"/>
      <c r="CP441" s="63"/>
      <c r="CQ441" s="63"/>
      <c r="CR441" s="63"/>
      <c r="CS441" s="63"/>
      <c r="CX441" s="35" t="s">
        <v>12</v>
      </c>
      <c r="CZ441" s="35"/>
      <c r="DC441" s="57">
        <f t="shared" si="342"/>
        <v>3</v>
      </c>
      <c r="DD441" s="64" t="str">
        <f t="shared" si="343"/>
        <v/>
      </c>
      <c r="DE441" s="65" t="str">
        <f t="shared" si="344"/>
        <v/>
      </c>
      <c r="DF441" s="66" t="str">
        <f t="shared" si="357"/>
        <v/>
      </c>
    </row>
    <row r="442" spans="2:110">
      <c r="B442" s="54">
        <f t="shared" si="352"/>
        <v>46146</v>
      </c>
      <c r="C442" s="55" t="s">
        <v>1</v>
      </c>
      <c r="D442" s="56">
        <f t="shared" si="353"/>
        <v>46152</v>
      </c>
      <c r="E442" s="52">
        <f t="shared" si="354"/>
        <v>5</v>
      </c>
      <c r="F442" s="53">
        <f t="shared" si="355"/>
        <v>2026</v>
      </c>
      <c r="G442" s="62">
        <f t="shared" si="350"/>
        <v>15</v>
      </c>
      <c r="H442" s="63">
        <f t="shared" si="351"/>
        <v>106</v>
      </c>
      <c r="I442" s="62"/>
      <c r="J442" s="62"/>
      <c r="K442" s="62">
        <v>6</v>
      </c>
      <c r="L442" s="62">
        <v>6</v>
      </c>
      <c r="M442" s="62"/>
      <c r="N442" s="62"/>
      <c r="O442" s="62"/>
      <c r="P442" s="62"/>
      <c r="Q442" s="62"/>
      <c r="R442" s="62"/>
      <c r="S442" s="62">
        <v>15</v>
      </c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80"/>
      <c r="AG442" s="87">
        <f t="shared" si="305"/>
        <v>6</v>
      </c>
      <c r="AH442" s="87">
        <f t="shared" si="306"/>
        <v>0</v>
      </c>
      <c r="AI442" s="87">
        <f t="shared" si="307"/>
        <v>6</v>
      </c>
      <c r="AJ442" s="87">
        <f t="shared" si="308"/>
        <v>6</v>
      </c>
      <c r="AK442" s="87">
        <f t="shared" si="309"/>
        <v>2</v>
      </c>
      <c r="AL442" s="87">
        <f t="shared" si="310"/>
        <v>2</v>
      </c>
      <c r="AM442" s="87">
        <f t="shared" si="311"/>
        <v>0</v>
      </c>
      <c r="AN442" s="87">
        <f t="shared" si="312"/>
        <v>0</v>
      </c>
      <c r="AO442" s="87">
        <f t="shared" si="313"/>
        <v>3</v>
      </c>
      <c r="AP442" s="87">
        <f t="shared" si="314"/>
        <v>0</v>
      </c>
      <c r="AQ442" s="87">
        <f t="shared" si="315"/>
        <v>15</v>
      </c>
      <c r="AR442" s="81"/>
      <c r="AS442" s="85">
        <f t="shared" si="316"/>
        <v>62</v>
      </c>
      <c r="AT442" s="85">
        <f t="shared" si="317"/>
        <v>38</v>
      </c>
      <c r="AU442" s="85">
        <f t="shared" si="318"/>
        <v>88</v>
      </c>
      <c r="AV442" s="85">
        <f t="shared" si="319"/>
        <v>0</v>
      </c>
      <c r="AW442" s="85">
        <f t="shared" si="320"/>
        <v>72</v>
      </c>
      <c r="AX442" s="85">
        <f t="shared" si="321"/>
        <v>15</v>
      </c>
      <c r="AY442" s="85">
        <f t="shared" si="322"/>
        <v>69</v>
      </c>
      <c r="AZ442" s="85">
        <f t="shared" si="323"/>
        <v>90</v>
      </c>
      <c r="BA442" s="85">
        <f t="shared" si="324"/>
        <v>90</v>
      </c>
      <c r="BB442" s="85">
        <f t="shared" si="325"/>
        <v>37</v>
      </c>
      <c r="BC442" s="85">
        <f t="shared" si="326"/>
        <v>60</v>
      </c>
      <c r="BD442" s="85">
        <f t="shared" si="327"/>
        <v>0</v>
      </c>
      <c r="BE442" s="85">
        <f t="shared" si="328"/>
        <v>53</v>
      </c>
      <c r="BF442" s="85">
        <f t="shared" si="329"/>
        <v>53</v>
      </c>
      <c r="BG442" s="85">
        <f t="shared" si="330"/>
        <v>58</v>
      </c>
      <c r="BH442" s="85">
        <f t="shared" si="331"/>
        <v>58</v>
      </c>
      <c r="BI442" s="85">
        <f t="shared" si="332"/>
        <v>57</v>
      </c>
      <c r="BJ442" s="85">
        <f t="shared" si="333"/>
        <v>57</v>
      </c>
      <c r="BK442" s="85">
        <f t="shared" si="334"/>
        <v>0</v>
      </c>
      <c r="BL442" s="85">
        <f t="shared" si="335"/>
        <v>0</v>
      </c>
      <c r="BM442" s="85">
        <f t="shared" si="336"/>
        <v>89</v>
      </c>
      <c r="BN442" s="85">
        <f t="shared" si="337"/>
        <v>0</v>
      </c>
      <c r="BO442" s="85">
        <f t="shared" si="338"/>
        <v>81</v>
      </c>
      <c r="BP442" s="85">
        <f t="shared" si="339"/>
        <v>0</v>
      </c>
      <c r="BQ442" s="85">
        <f t="shared" si="340"/>
        <v>80</v>
      </c>
      <c r="BR442" s="85">
        <f t="shared" si="341"/>
        <v>80</v>
      </c>
      <c r="BT442" s="63"/>
      <c r="BU442" s="63"/>
      <c r="BV442" s="63"/>
      <c r="BW442" s="63"/>
      <c r="BX442" s="63"/>
      <c r="BY442" s="63">
        <v>11</v>
      </c>
      <c r="BZ442" s="63"/>
      <c r="CA442" s="63"/>
      <c r="CB442" s="63"/>
      <c r="CC442" s="63"/>
      <c r="CD442" s="63"/>
      <c r="CE442" s="63"/>
      <c r="CF442" s="63"/>
      <c r="CG442" s="63"/>
      <c r="CH442" s="63"/>
      <c r="CI442" s="63"/>
      <c r="CJ442" s="63"/>
      <c r="CK442" s="63"/>
      <c r="CL442" s="63"/>
      <c r="CM442" s="63"/>
      <c r="CN442" s="63"/>
      <c r="CO442" s="63"/>
      <c r="CP442" s="63"/>
      <c r="CQ442" s="63"/>
      <c r="CR442" s="63"/>
      <c r="CS442" s="63"/>
      <c r="CX442" s="35" t="s">
        <v>12</v>
      </c>
      <c r="CZ442" s="35"/>
      <c r="DC442" s="57" t="str">
        <f t="shared" si="342"/>
        <v/>
      </c>
      <c r="DD442" s="64" t="str">
        <f t="shared" si="343"/>
        <v/>
      </c>
      <c r="DE442" s="65" t="str">
        <f t="shared" si="344"/>
        <v/>
      </c>
      <c r="DF442" s="66" t="str">
        <f t="shared" si="357"/>
        <v/>
      </c>
    </row>
    <row r="443" spans="2:110">
      <c r="B443" s="54">
        <f t="shared" si="352"/>
        <v>46153</v>
      </c>
      <c r="C443" s="55" t="s">
        <v>1</v>
      </c>
      <c r="D443" s="56">
        <f t="shared" si="353"/>
        <v>46159</v>
      </c>
      <c r="E443" s="52">
        <f t="shared" si="354"/>
        <v>5</v>
      </c>
      <c r="F443" s="53">
        <f t="shared" si="355"/>
        <v>2026</v>
      </c>
      <c r="G443" s="62">
        <f t="shared" si="350"/>
        <v>15</v>
      </c>
      <c r="H443" s="89">
        <v>96</v>
      </c>
      <c r="I443" s="62"/>
      <c r="J443" s="62"/>
      <c r="K443" s="62">
        <v>7</v>
      </c>
      <c r="L443" s="62">
        <v>7</v>
      </c>
      <c r="M443" s="62"/>
      <c r="N443" s="62"/>
      <c r="O443" s="62"/>
      <c r="P443" s="62"/>
      <c r="Q443" s="62"/>
      <c r="R443" s="62"/>
      <c r="S443" s="62">
        <v>15</v>
      </c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80"/>
      <c r="AG443" s="87">
        <f t="shared" si="305"/>
        <v>7</v>
      </c>
      <c r="AH443" s="87">
        <f t="shared" si="306"/>
        <v>0</v>
      </c>
      <c r="AI443" s="87">
        <f t="shared" si="307"/>
        <v>7</v>
      </c>
      <c r="AJ443" s="87">
        <f t="shared" si="308"/>
        <v>7</v>
      </c>
      <c r="AK443" s="87">
        <f t="shared" si="309"/>
        <v>3</v>
      </c>
      <c r="AL443" s="87">
        <f t="shared" si="310"/>
        <v>3</v>
      </c>
      <c r="AM443" s="87">
        <f t="shared" si="311"/>
        <v>0</v>
      </c>
      <c r="AN443" s="87">
        <f t="shared" si="312"/>
        <v>0</v>
      </c>
      <c r="AO443" s="87">
        <f t="shared" si="313"/>
        <v>4</v>
      </c>
      <c r="AP443" s="87">
        <f t="shared" si="314"/>
        <v>0</v>
      </c>
      <c r="AQ443" s="87">
        <f t="shared" si="315"/>
        <v>15</v>
      </c>
      <c r="AR443" s="81"/>
      <c r="AS443" s="85">
        <f t="shared" si="316"/>
        <v>63</v>
      </c>
      <c r="AT443" s="85">
        <f t="shared" si="317"/>
        <v>39</v>
      </c>
      <c r="AU443" s="85">
        <f t="shared" si="318"/>
        <v>89</v>
      </c>
      <c r="AV443" s="85">
        <f t="shared" si="319"/>
        <v>0</v>
      </c>
      <c r="AW443" s="85">
        <f t="shared" si="320"/>
        <v>73</v>
      </c>
      <c r="AX443" s="85">
        <f t="shared" si="321"/>
        <v>16</v>
      </c>
      <c r="AY443" s="85">
        <f t="shared" si="322"/>
        <v>70</v>
      </c>
      <c r="AZ443" s="85">
        <f t="shared" si="323"/>
        <v>91</v>
      </c>
      <c r="BA443" s="85">
        <f t="shared" si="324"/>
        <v>91</v>
      </c>
      <c r="BB443" s="85">
        <f t="shared" si="325"/>
        <v>38</v>
      </c>
      <c r="BC443" s="85">
        <f t="shared" si="326"/>
        <v>61</v>
      </c>
      <c r="BD443" s="85">
        <f t="shared" si="327"/>
        <v>0</v>
      </c>
      <c r="BE443" s="85">
        <f t="shared" si="328"/>
        <v>54</v>
      </c>
      <c r="BF443" s="85">
        <f t="shared" si="329"/>
        <v>54</v>
      </c>
      <c r="BG443" s="85">
        <f t="shared" si="330"/>
        <v>59</v>
      </c>
      <c r="BH443" s="85">
        <f t="shared" si="331"/>
        <v>59</v>
      </c>
      <c r="BI443" s="85">
        <f t="shared" si="332"/>
        <v>58</v>
      </c>
      <c r="BJ443" s="85">
        <f t="shared" si="333"/>
        <v>58</v>
      </c>
      <c r="BK443" s="85">
        <f t="shared" si="334"/>
        <v>0</v>
      </c>
      <c r="BL443" s="85">
        <f t="shared" si="335"/>
        <v>0</v>
      </c>
      <c r="BM443" s="85">
        <f t="shared" si="336"/>
        <v>90</v>
      </c>
      <c r="BN443" s="85">
        <f t="shared" si="337"/>
        <v>0</v>
      </c>
      <c r="BO443" s="85">
        <f t="shared" si="338"/>
        <v>82</v>
      </c>
      <c r="BP443" s="85">
        <f t="shared" si="339"/>
        <v>0</v>
      </c>
      <c r="BQ443" s="85">
        <f t="shared" si="340"/>
        <v>81</v>
      </c>
      <c r="BR443" s="85">
        <f t="shared" si="341"/>
        <v>81</v>
      </c>
      <c r="BT443" s="63"/>
      <c r="BU443" s="63"/>
      <c r="BV443" s="63"/>
      <c r="BW443" s="63"/>
      <c r="BX443" s="63"/>
      <c r="BY443" s="63"/>
      <c r="BZ443" s="63"/>
      <c r="CA443" s="63"/>
      <c r="CB443" s="63"/>
      <c r="CC443" s="63"/>
      <c r="CD443" s="63"/>
      <c r="CE443" s="63"/>
      <c r="CF443" s="63"/>
      <c r="CG443" s="63"/>
      <c r="CH443" s="63"/>
      <c r="CI443" s="63"/>
      <c r="CJ443" s="63"/>
      <c r="CK443" s="63"/>
      <c r="CL443" s="63"/>
      <c r="CM443" s="63"/>
      <c r="CN443" s="63" t="s">
        <v>5</v>
      </c>
      <c r="CO443" s="63"/>
      <c r="CP443" s="63"/>
      <c r="CQ443" s="63"/>
      <c r="CR443" s="63"/>
      <c r="CS443" s="63"/>
      <c r="CX443" s="35" t="s">
        <v>12</v>
      </c>
      <c r="CZ443" s="35"/>
      <c r="DC443" s="57" t="str">
        <f t="shared" si="342"/>
        <v/>
      </c>
      <c r="DD443" s="64" t="str">
        <f t="shared" si="343"/>
        <v/>
      </c>
      <c r="DE443" s="65" t="str">
        <f t="shared" si="344"/>
        <v/>
      </c>
      <c r="DF443" s="66" t="str">
        <f t="shared" si="357"/>
        <v>SPE</v>
      </c>
    </row>
    <row r="444" spans="2:110">
      <c r="B444" s="54">
        <f t="shared" si="352"/>
        <v>46160</v>
      </c>
      <c r="C444" s="55" t="s">
        <v>1</v>
      </c>
      <c r="D444" s="56">
        <f t="shared" si="353"/>
        <v>46166</v>
      </c>
      <c r="E444" s="52">
        <f t="shared" si="354"/>
        <v>5</v>
      </c>
      <c r="F444" s="53">
        <f t="shared" si="355"/>
        <v>2026</v>
      </c>
      <c r="G444" s="62">
        <f t="shared" si="350"/>
        <v>15</v>
      </c>
      <c r="H444" s="63">
        <f t="shared" si="351"/>
        <v>96</v>
      </c>
      <c r="I444" s="62"/>
      <c r="J444" s="62"/>
      <c r="K444" s="62">
        <v>8</v>
      </c>
      <c r="L444" s="62">
        <v>8</v>
      </c>
      <c r="M444" s="62"/>
      <c r="N444" s="62"/>
      <c r="O444" s="62"/>
      <c r="P444" s="62"/>
      <c r="Q444" s="62"/>
      <c r="R444" s="62"/>
      <c r="S444" s="62">
        <v>15</v>
      </c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80"/>
      <c r="AG444" s="87">
        <f t="shared" si="305"/>
        <v>8</v>
      </c>
      <c r="AH444" s="87">
        <f t="shared" si="306"/>
        <v>0</v>
      </c>
      <c r="AI444" s="87">
        <f t="shared" si="307"/>
        <v>8</v>
      </c>
      <c r="AJ444" s="87">
        <f t="shared" si="308"/>
        <v>8</v>
      </c>
      <c r="AK444" s="87">
        <f t="shared" si="309"/>
        <v>4</v>
      </c>
      <c r="AL444" s="87">
        <f t="shared" si="310"/>
        <v>4</v>
      </c>
      <c r="AM444" s="87">
        <f t="shared" si="311"/>
        <v>0</v>
      </c>
      <c r="AN444" s="87">
        <f t="shared" si="312"/>
        <v>0</v>
      </c>
      <c r="AO444" s="87">
        <f t="shared" si="313"/>
        <v>5</v>
      </c>
      <c r="AP444" s="87">
        <f t="shared" si="314"/>
        <v>0</v>
      </c>
      <c r="AQ444" s="87">
        <f t="shared" si="315"/>
        <v>15</v>
      </c>
      <c r="AR444" s="81"/>
      <c r="AS444" s="85">
        <f t="shared" si="316"/>
        <v>64</v>
      </c>
      <c r="AT444" s="85">
        <f t="shared" si="317"/>
        <v>40</v>
      </c>
      <c r="AU444" s="85">
        <f t="shared" si="318"/>
        <v>90</v>
      </c>
      <c r="AV444" s="85">
        <f t="shared" si="319"/>
        <v>0</v>
      </c>
      <c r="AW444" s="85">
        <f t="shared" si="320"/>
        <v>74</v>
      </c>
      <c r="AX444" s="85">
        <f t="shared" si="321"/>
        <v>17</v>
      </c>
      <c r="AY444" s="85">
        <f t="shared" si="322"/>
        <v>71</v>
      </c>
      <c r="AZ444" s="85">
        <f t="shared" si="323"/>
        <v>92</v>
      </c>
      <c r="BA444" s="85">
        <f t="shared" si="324"/>
        <v>92</v>
      </c>
      <c r="BB444" s="85">
        <f t="shared" si="325"/>
        <v>39</v>
      </c>
      <c r="BC444" s="85">
        <f t="shared" si="326"/>
        <v>62</v>
      </c>
      <c r="BD444" s="85">
        <f t="shared" si="327"/>
        <v>0</v>
      </c>
      <c r="BE444" s="85">
        <f t="shared" si="328"/>
        <v>55</v>
      </c>
      <c r="BF444" s="85">
        <f t="shared" si="329"/>
        <v>55</v>
      </c>
      <c r="BG444" s="85">
        <f t="shared" si="330"/>
        <v>60</v>
      </c>
      <c r="BH444" s="85">
        <f t="shared" si="331"/>
        <v>60</v>
      </c>
      <c r="BI444" s="85">
        <f t="shared" si="332"/>
        <v>59</v>
      </c>
      <c r="BJ444" s="85">
        <f t="shared" si="333"/>
        <v>59</v>
      </c>
      <c r="BK444" s="85">
        <f t="shared" si="334"/>
        <v>0</v>
      </c>
      <c r="BL444" s="85">
        <f t="shared" si="335"/>
        <v>0</v>
      </c>
      <c r="BM444" s="85">
        <f t="shared" si="336"/>
        <v>0</v>
      </c>
      <c r="BN444" s="85">
        <f t="shared" si="337"/>
        <v>0</v>
      </c>
      <c r="BO444" s="85">
        <f t="shared" si="338"/>
        <v>83</v>
      </c>
      <c r="BP444" s="85">
        <f t="shared" si="339"/>
        <v>0</v>
      </c>
      <c r="BQ444" s="85">
        <f t="shared" si="340"/>
        <v>82</v>
      </c>
      <c r="BR444" s="85">
        <f t="shared" si="341"/>
        <v>82</v>
      </c>
      <c r="BT444" s="63"/>
      <c r="BU444" s="63"/>
      <c r="BV444" s="63"/>
      <c r="BW444" s="63"/>
      <c r="BX444" s="63"/>
      <c r="BY444" s="63"/>
      <c r="BZ444" s="63"/>
      <c r="CA444" s="63"/>
      <c r="CB444" s="63"/>
      <c r="CC444" s="63"/>
      <c r="CD444" s="63"/>
      <c r="CE444" s="63"/>
      <c r="CF444" s="63"/>
      <c r="CG444" s="63"/>
      <c r="CH444" s="63"/>
      <c r="CI444" s="63"/>
      <c r="CJ444" s="63"/>
      <c r="CK444" s="63"/>
      <c r="CL444" s="63"/>
      <c r="CM444" s="63"/>
      <c r="CN444" s="63"/>
      <c r="CO444" s="63"/>
      <c r="CP444" s="63"/>
      <c r="CQ444" s="63"/>
      <c r="CR444" s="63"/>
      <c r="CS444" s="63"/>
      <c r="CX444" s="35" t="s">
        <v>12</v>
      </c>
      <c r="CZ444" s="35"/>
      <c r="DC444" s="57" t="str">
        <f t="shared" si="342"/>
        <v/>
      </c>
      <c r="DD444" s="64" t="str">
        <f t="shared" si="343"/>
        <v/>
      </c>
      <c r="DE444" s="65" t="str">
        <f t="shared" si="344"/>
        <v/>
      </c>
      <c r="DF444" s="66" t="str">
        <f>IF(AND(AS459&gt;0,AS458=0),$AS$1,IF(AND(AT459&gt;0,AT458=0),$AT$1,IF(AND(AU459&gt;0,AU458=0),$AU$1,IF(AND(AV459&gt;0,AV458=0),$AV$1,IF(AND(AW459&gt;0,AW458=0),$AW$1,IF(AND(AX459&gt;0,AX458=0),$AX$1,IF(AND(AY459&gt;0,AY458=0),$AY$1,IF(AND(AZ459&gt;0,AZ458=0),$AZ$1,IF(AND(BA459&gt;0,BA458=0),$BA$1,IF(AND(BB459&gt;0,BB458=0),$BB$1,IF(AND(BC459&gt;0,BC458=0),$BC$1,IF(AND(BD459&gt;0,BD458=0),$BD$1,IF(AND(BE459&gt;0,BE458=0),$BE$1,IF(AND(BF459&gt;0,BF458=0),$BF$1,IF(AND(BG459&gt;0,BG458=0),$BG$1,IF(AND(BH459&gt;0,BH458=0),$BH$1,IF(AND(BI459&gt;0,BI458=0),$BI$1,IF(AND(BJ459&gt;0,BJ458=0),$BJ$1,IF(AND(BK459&gt;0,BK458=0),$BK$1,IF(AND(BL459&gt;0,BL458=0),$BL$1,IF(AND(BM459&gt;0,BM458=0),$BM$1,IF(AND(BN459&gt;0,BN458=0),$BN$1,IF(AND(BO459&gt;0,BO458=0),$BO$1,IF(AND(BP459&gt;0,BP458=0),$BP$1,IF(AND(BQ459&gt;0,BQ458=0),$BQ$1,IF(AND(BR459&gt;0,BR458=0),$BQ$1,""))))))))))))))))&amp;(IF(COUNTA(BT459:CS459)&gt;1," ["&amp;COUNTA(BT459:CS459)&amp;"]",""))))))))))))</f>
        <v>SPE [2]</v>
      </c>
    </row>
    <row r="445" spans="2:110">
      <c r="B445" s="54">
        <f t="shared" si="352"/>
        <v>46167</v>
      </c>
      <c r="C445" s="55" t="s">
        <v>1</v>
      </c>
      <c r="D445" s="56">
        <f t="shared" si="353"/>
        <v>46173</v>
      </c>
      <c r="E445" s="52">
        <f t="shared" si="354"/>
        <v>5</v>
      </c>
      <c r="F445" s="53">
        <f t="shared" si="355"/>
        <v>2026</v>
      </c>
      <c r="G445" s="62">
        <f t="shared" si="350"/>
        <v>15</v>
      </c>
      <c r="H445" s="63">
        <f t="shared" si="351"/>
        <v>96</v>
      </c>
      <c r="I445" s="62"/>
      <c r="J445" s="62"/>
      <c r="K445" s="62">
        <v>9</v>
      </c>
      <c r="L445" s="62">
        <v>9</v>
      </c>
      <c r="M445" s="62"/>
      <c r="N445" s="62"/>
      <c r="O445" s="62"/>
      <c r="P445" s="62"/>
      <c r="Q445" s="62"/>
      <c r="R445" s="62"/>
      <c r="S445" s="62">
        <v>15</v>
      </c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80"/>
      <c r="AG445" s="87">
        <f t="shared" si="305"/>
        <v>9</v>
      </c>
      <c r="AH445" s="87">
        <f t="shared" si="306"/>
        <v>0</v>
      </c>
      <c r="AI445" s="87">
        <f t="shared" si="307"/>
        <v>9</v>
      </c>
      <c r="AJ445" s="87">
        <f t="shared" si="308"/>
        <v>9</v>
      </c>
      <c r="AK445" s="87">
        <f t="shared" si="309"/>
        <v>5</v>
      </c>
      <c r="AL445" s="87">
        <f t="shared" si="310"/>
        <v>5</v>
      </c>
      <c r="AM445" s="87">
        <f t="shared" si="311"/>
        <v>0</v>
      </c>
      <c r="AN445" s="87">
        <f t="shared" si="312"/>
        <v>0</v>
      </c>
      <c r="AO445" s="87">
        <f t="shared" si="313"/>
        <v>6</v>
      </c>
      <c r="AP445" s="87">
        <f t="shared" si="314"/>
        <v>0</v>
      </c>
      <c r="AQ445" s="87">
        <f t="shared" si="315"/>
        <v>15</v>
      </c>
      <c r="AR445" s="81"/>
      <c r="AS445" s="85">
        <f t="shared" si="316"/>
        <v>65</v>
      </c>
      <c r="AT445" s="85">
        <f t="shared" si="317"/>
        <v>41</v>
      </c>
      <c r="AU445" s="85">
        <f t="shared" si="318"/>
        <v>91</v>
      </c>
      <c r="AV445" s="85">
        <f t="shared" si="319"/>
        <v>0</v>
      </c>
      <c r="AW445" s="85">
        <f t="shared" si="320"/>
        <v>75</v>
      </c>
      <c r="AX445" s="85">
        <f t="shared" si="321"/>
        <v>18</v>
      </c>
      <c r="AY445" s="85">
        <f t="shared" si="322"/>
        <v>72</v>
      </c>
      <c r="AZ445" s="85">
        <f t="shared" si="323"/>
        <v>93</v>
      </c>
      <c r="BA445" s="85">
        <f t="shared" si="324"/>
        <v>93</v>
      </c>
      <c r="BB445" s="85">
        <f t="shared" si="325"/>
        <v>40</v>
      </c>
      <c r="BC445" s="85">
        <f t="shared" si="326"/>
        <v>63</v>
      </c>
      <c r="BD445" s="85">
        <f t="shared" si="327"/>
        <v>0</v>
      </c>
      <c r="BE445" s="85">
        <f t="shared" si="328"/>
        <v>56</v>
      </c>
      <c r="BF445" s="85">
        <f t="shared" si="329"/>
        <v>56</v>
      </c>
      <c r="BG445" s="85">
        <f t="shared" si="330"/>
        <v>61</v>
      </c>
      <c r="BH445" s="85">
        <f t="shared" si="331"/>
        <v>61</v>
      </c>
      <c r="BI445" s="85">
        <f t="shared" si="332"/>
        <v>60</v>
      </c>
      <c r="BJ445" s="85">
        <f t="shared" si="333"/>
        <v>60</v>
      </c>
      <c r="BK445" s="85">
        <f t="shared" si="334"/>
        <v>0</v>
      </c>
      <c r="BL445" s="85">
        <f t="shared" si="335"/>
        <v>0</v>
      </c>
      <c r="BM445" s="85">
        <f t="shared" si="336"/>
        <v>0</v>
      </c>
      <c r="BN445" s="85">
        <f t="shared" si="337"/>
        <v>0</v>
      </c>
      <c r="BO445" s="85">
        <f t="shared" si="338"/>
        <v>84</v>
      </c>
      <c r="BP445" s="85">
        <f t="shared" si="339"/>
        <v>0</v>
      </c>
      <c r="BQ445" s="85">
        <f t="shared" si="340"/>
        <v>83</v>
      </c>
      <c r="BR445" s="85">
        <f t="shared" si="341"/>
        <v>83</v>
      </c>
      <c r="BT445" s="63"/>
      <c r="BU445" s="63"/>
      <c r="BV445" s="63"/>
      <c r="BW445" s="63"/>
      <c r="BX445" s="63"/>
      <c r="BY445" s="63"/>
      <c r="BZ445" s="63"/>
      <c r="CA445" s="63"/>
      <c r="CB445" s="63"/>
      <c r="CC445" s="63"/>
      <c r="CD445" s="63"/>
      <c r="CE445" s="63"/>
      <c r="CF445" s="63"/>
      <c r="CG445" s="63"/>
      <c r="CH445" s="63"/>
      <c r="CI445" s="63"/>
      <c r="CJ445" s="63"/>
      <c r="CK445" s="63"/>
      <c r="CL445" s="63"/>
      <c r="CM445" s="63"/>
      <c r="CN445" s="63"/>
      <c r="CO445" s="63"/>
      <c r="CP445" s="63"/>
      <c r="CQ445" s="63"/>
      <c r="CR445" s="63"/>
      <c r="CS445" s="63"/>
      <c r="CX445" s="35" t="s">
        <v>12</v>
      </c>
      <c r="CZ445" s="35"/>
      <c r="DC445" s="57" t="str">
        <f t="shared" si="342"/>
        <v/>
      </c>
      <c r="DD445" s="64" t="str">
        <f t="shared" si="343"/>
        <v/>
      </c>
      <c r="DE445" s="65" t="str">
        <f t="shared" si="344"/>
        <v/>
      </c>
      <c r="DF445" s="66" t="str">
        <f t="shared" si="357"/>
        <v/>
      </c>
    </row>
    <row r="446" spans="2:110">
      <c r="B446" s="54">
        <f t="shared" si="352"/>
        <v>46174</v>
      </c>
      <c r="C446" s="55" t="s">
        <v>1</v>
      </c>
      <c r="D446" s="56">
        <f t="shared" si="353"/>
        <v>46180</v>
      </c>
      <c r="E446" s="52">
        <f t="shared" si="354"/>
        <v>6</v>
      </c>
      <c r="F446" s="53">
        <f t="shared" si="355"/>
        <v>2026</v>
      </c>
      <c r="G446" s="62">
        <f t="shared" si="350"/>
        <v>15</v>
      </c>
      <c r="H446" s="63">
        <f t="shared" si="351"/>
        <v>96</v>
      </c>
      <c r="I446" s="62"/>
      <c r="J446" s="62"/>
      <c r="K446" s="62">
        <v>10</v>
      </c>
      <c r="L446" s="62">
        <v>10</v>
      </c>
      <c r="M446" s="62"/>
      <c r="N446" s="62"/>
      <c r="O446" s="62"/>
      <c r="P446" s="62"/>
      <c r="Q446" s="62"/>
      <c r="R446" s="62"/>
      <c r="S446" s="62">
        <v>15</v>
      </c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80"/>
      <c r="AG446" s="87">
        <f t="shared" si="305"/>
        <v>10</v>
      </c>
      <c r="AH446" s="87">
        <f t="shared" si="306"/>
        <v>0</v>
      </c>
      <c r="AI446" s="87">
        <f t="shared" si="307"/>
        <v>10</v>
      </c>
      <c r="AJ446" s="87">
        <f t="shared" si="308"/>
        <v>10</v>
      </c>
      <c r="AK446" s="87">
        <f t="shared" si="309"/>
        <v>6</v>
      </c>
      <c r="AL446" s="87">
        <f t="shared" si="310"/>
        <v>6</v>
      </c>
      <c r="AM446" s="87">
        <f t="shared" si="311"/>
        <v>0</v>
      </c>
      <c r="AN446" s="87">
        <f t="shared" si="312"/>
        <v>0</v>
      </c>
      <c r="AO446" s="87">
        <f t="shared" si="313"/>
        <v>7</v>
      </c>
      <c r="AP446" s="87">
        <f t="shared" si="314"/>
        <v>0</v>
      </c>
      <c r="AQ446" s="87">
        <f t="shared" si="315"/>
        <v>15</v>
      </c>
      <c r="AR446" s="81"/>
      <c r="AS446" s="85">
        <f t="shared" si="316"/>
        <v>66</v>
      </c>
      <c r="AT446" s="85">
        <f t="shared" si="317"/>
        <v>42</v>
      </c>
      <c r="AU446" s="85">
        <f t="shared" si="318"/>
        <v>92</v>
      </c>
      <c r="AV446" s="85">
        <f t="shared" si="319"/>
        <v>0</v>
      </c>
      <c r="AW446" s="85">
        <f t="shared" si="320"/>
        <v>76</v>
      </c>
      <c r="AX446" s="85">
        <f t="shared" si="321"/>
        <v>19</v>
      </c>
      <c r="AY446" s="85">
        <f t="shared" si="322"/>
        <v>73</v>
      </c>
      <c r="AZ446" s="85">
        <f t="shared" si="323"/>
        <v>94</v>
      </c>
      <c r="BA446" s="85">
        <f t="shared" si="324"/>
        <v>94</v>
      </c>
      <c r="BB446" s="85">
        <f t="shared" si="325"/>
        <v>41</v>
      </c>
      <c r="BC446" s="85">
        <f t="shared" si="326"/>
        <v>64</v>
      </c>
      <c r="BD446" s="85">
        <f t="shared" si="327"/>
        <v>0</v>
      </c>
      <c r="BE446" s="85">
        <f t="shared" si="328"/>
        <v>57</v>
      </c>
      <c r="BF446" s="85">
        <f t="shared" si="329"/>
        <v>57</v>
      </c>
      <c r="BG446" s="85">
        <f t="shared" si="330"/>
        <v>62</v>
      </c>
      <c r="BH446" s="85">
        <f t="shared" si="331"/>
        <v>62</v>
      </c>
      <c r="BI446" s="85">
        <f t="shared" si="332"/>
        <v>61</v>
      </c>
      <c r="BJ446" s="85">
        <f t="shared" si="333"/>
        <v>61</v>
      </c>
      <c r="BK446" s="85">
        <f t="shared" si="334"/>
        <v>0</v>
      </c>
      <c r="BL446" s="85">
        <f t="shared" si="335"/>
        <v>0</v>
      </c>
      <c r="BM446" s="85">
        <f t="shared" si="336"/>
        <v>0</v>
      </c>
      <c r="BN446" s="85">
        <f t="shared" si="337"/>
        <v>0</v>
      </c>
      <c r="BO446" s="85">
        <f t="shared" si="338"/>
        <v>85</v>
      </c>
      <c r="BP446" s="85">
        <f t="shared" si="339"/>
        <v>0</v>
      </c>
      <c r="BQ446" s="85">
        <f t="shared" si="340"/>
        <v>84</v>
      </c>
      <c r="BR446" s="85">
        <f t="shared" si="341"/>
        <v>84</v>
      </c>
      <c r="BT446" s="63"/>
      <c r="BU446" s="63"/>
      <c r="BV446" s="63"/>
      <c r="BW446" s="63"/>
      <c r="BX446" s="63"/>
      <c r="BY446" s="63"/>
      <c r="BZ446" s="63"/>
      <c r="CA446" s="63"/>
      <c r="CB446" s="63"/>
      <c r="CC446" s="63"/>
      <c r="CD446" s="63"/>
      <c r="CE446" s="63"/>
      <c r="CF446" s="63"/>
      <c r="CG446" s="63"/>
      <c r="CH446" s="63"/>
      <c r="CI446" s="63"/>
      <c r="CJ446" s="63"/>
      <c r="CK446" s="63"/>
      <c r="CL446" s="63"/>
      <c r="CM446" s="63"/>
      <c r="CN446" s="63"/>
      <c r="CO446" s="63"/>
      <c r="CP446" s="63"/>
      <c r="CQ446" s="63"/>
      <c r="CR446" s="63"/>
      <c r="CS446" s="63"/>
      <c r="CX446" s="35" t="s">
        <v>12</v>
      </c>
      <c r="CZ446" s="35"/>
      <c r="DC446" s="57" t="str">
        <f t="shared" si="342"/>
        <v/>
      </c>
      <c r="DD446" s="64" t="str">
        <f t="shared" si="343"/>
        <v/>
      </c>
      <c r="DE446" s="65" t="str">
        <f t="shared" si="344"/>
        <v/>
      </c>
      <c r="DF446" s="66" t="str">
        <f t="shared" si="357"/>
        <v/>
      </c>
    </row>
    <row r="447" spans="2:110">
      <c r="B447" s="54">
        <f t="shared" si="352"/>
        <v>46181</v>
      </c>
      <c r="C447" s="55" t="s">
        <v>1</v>
      </c>
      <c r="D447" s="56">
        <f t="shared" si="353"/>
        <v>46187</v>
      </c>
      <c r="E447" s="52">
        <f t="shared" si="354"/>
        <v>6</v>
      </c>
      <c r="F447" s="53">
        <f t="shared" si="355"/>
        <v>2026</v>
      </c>
      <c r="G447" s="62">
        <f t="shared" si="350"/>
        <v>15</v>
      </c>
      <c r="H447" s="63">
        <f t="shared" si="351"/>
        <v>96</v>
      </c>
      <c r="I447" s="62"/>
      <c r="J447" s="62"/>
      <c r="K447" s="62">
        <v>11</v>
      </c>
      <c r="L447" s="62">
        <v>11</v>
      </c>
      <c r="M447" s="62"/>
      <c r="N447" s="62"/>
      <c r="O447" s="62"/>
      <c r="P447" s="62"/>
      <c r="Q447" s="62"/>
      <c r="R447" s="62"/>
      <c r="S447" s="62">
        <v>15</v>
      </c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80"/>
      <c r="AG447" s="87">
        <f t="shared" si="305"/>
        <v>11</v>
      </c>
      <c r="AH447" s="87">
        <f t="shared" si="306"/>
        <v>0</v>
      </c>
      <c r="AI447" s="87">
        <f t="shared" si="307"/>
        <v>11</v>
      </c>
      <c r="AJ447" s="87">
        <f t="shared" si="308"/>
        <v>11</v>
      </c>
      <c r="AK447" s="87">
        <f t="shared" si="309"/>
        <v>7</v>
      </c>
      <c r="AL447" s="87">
        <f t="shared" si="310"/>
        <v>7</v>
      </c>
      <c r="AM447" s="87">
        <f t="shared" si="311"/>
        <v>0</v>
      </c>
      <c r="AN447" s="87">
        <f t="shared" si="312"/>
        <v>0</v>
      </c>
      <c r="AO447" s="87">
        <f t="shared" si="313"/>
        <v>8</v>
      </c>
      <c r="AP447" s="87">
        <f t="shared" si="314"/>
        <v>0</v>
      </c>
      <c r="AQ447" s="87">
        <f t="shared" si="315"/>
        <v>15</v>
      </c>
      <c r="AR447" s="81"/>
      <c r="AS447" s="85">
        <f t="shared" si="316"/>
        <v>67</v>
      </c>
      <c r="AT447" s="85">
        <f t="shared" si="317"/>
        <v>43</v>
      </c>
      <c r="AU447" s="85">
        <f t="shared" si="318"/>
        <v>93</v>
      </c>
      <c r="AV447" s="85">
        <f t="shared" si="319"/>
        <v>0</v>
      </c>
      <c r="AW447" s="85">
        <f t="shared" si="320"/>
        <v>77</v>
      </c>
      <c r="AX447" s="85">
        <f t="shared" si="321"/>
        <v>20</v>
      </c>
      <c r="AY447" s="85">
        <f t="shared" si="322"/>
        <v>74</v>
      </c>
      <c r="AZ447" s="85">
        <f t="shared" si="323"/>
        <v>95</v>
      </c>
      <c r="BA447" s="85">
        <f t="shared" si="324"/>
        <v>95</v>
      </c>
      <c r="BB447" s="85">
        <f t="shared" si="325"/>
        <v>42</v>
      </c>
      <c r="BC447" s="85">
        <f t="shared" si="326"/>
        <v>65</v>
      </c>
      <c r="BD447" s="85">
        <f t="shared" si="327"/>
        <v>0</v>
      </c>
      <c r="BE447" s="85">
        <f t="shared" si="328"/>
        <v>58</v>
      </c>
      <c r="BF447" s="85">
        <f t="shared" si="329"/>
        <v>58</v>
      </c>
      <c r="BG447" s="85">
        <f t="shared" si="330"/>
        <v>63</v>
      </c>
      <c r="BH447" s="85">
        <f t="shared" si="331"/>
        <v>63</v>
      </c>
      <c r="BI447" s="85">
        <f t="shared" si="332"/>
        <v>62</v>
      </c>
      <c r="BJ447" s="85">
        <f t="shared" si="333"/>
        <v>62</v>
      </c>
      <c r="BK447" s="85">
        <f t="shared" si="334"/>
        <v>0</v>
      </c>
      <c r="BL447" s="85">
        <f t="shared" si="335"/>
        <v>0</v>
      </c>
      <c r="BM447" s="85">
        <f t="shared" si="336"/>
        <v>0</v>
      </c>
      <c r="BN447" s="85">
        <f t="shared" si="337"/>
        <v>0</v>
      </c>
      <c r="BO447" s="85">
        <f t="shared" si="338"/>
        <v>86</v>
      </c>
      <c r="BP447" s="85">
        <f t="shared" si="339"/>
        <v>0</v>
      </c>
      <c r="BQ447" s="85">
        <f t="shared" si="340"/>
        <v>85</v>
      </c>
      <c r="BR447" s="85">
        <f t="shared" si="341"/>
        <v>85</v>
      </c>
      <c r="BT447" s="63"/>
      <c r="BU447" s="63"/>
      <c r="BV447" s="63"/>
      <c r="BW447" s="63"/>
      <c r="BX447" s="63"/>
      <c r="BY447" s="63"/>
      <c r="BZ447" s="63"/>
      <c r="CA447" s="63"/>
      <c r="CB447" s="63"/>
      <c r="CC447" s="63"/>
      <c r="CD447" s="63"/>
      <c r="CE447" s="63"/>
      <c r="CF447" s="63"/>
      <c r="CG447" s="63"/>
      <c r="CH447" s="63"/>
      <c r="CI447" s="63"/>
      <c r="CJ447" s="63"/>
      <c r="CK447" s="63"/>
      <c r="CL447" s="63"/>
      <c r="CM447" s="63"/>
      <c r="CN447" s="63"/>
      <c r="CO447" s="63"/>
      <c r="CP447" s="63"/>
      <c r="CQ447" s="63"/>
      <c r="CR447" s="63"/>
      <c r="CS447" s="63"/>
      <c r="CX447" s="35" t="s">
        <v>12</v>
      </c>
      <c r="CZ447" s="35"/>
      <c r="DC447" s="57" t="str">
        <f t="shared" si="342"/>
        <v/>
      </c>
      <c r="DD447" s="64" t="str">
        <f t="shared" si="343"/>
        <v/>
      </c>
      <c r="DE447" s="65" t="str">
        <f t="shared" si="344"/>
        <v/>
      </c>
      <c r="DF447" s="66" t="str">
        <f t="shared" si="357"/>
        <v/>
      </c>
    </row>
    <row r="448" spans="2:110">
      <c r="B448" s="54">
        <f t="shared" si="352"/>
        <v>46188</v>
      </c>
      <c r="C448" s="55" t="s">
        <v>1</v>
      </c>
      <c r="D448" s="56">
        <f t="shared" si="353"/>
        <v>46194</v>
      </c>
      <c r="E448" s="52">
        <f t="shared" si="354"/>
        <v>6</v>
      </c>
      <c r="F448" s="53">
        <f t="shared" si="355"/>
        <v>2026</v>
      </c>
      <c r="G448" s="62">
        <f t="shared" si="350"/>
        <v>15</v>
      </c>
      <c r="H448" s="63">
        <f t="shared" si="351"/>
        <v>96</v>
      </c>
      <c r="I448" s="62"/>
      <c r="J448" s="62"/>
      <c r="K448" s="62">
        <v>12</v>
      </c>
      <c r="L448" s="62">
        <v>12</v>
      </c>
      <c r="M448" s="62"/>
      <c r="N448" s="62"/>
      <c r="O448" s="62"/>
      <c r="P448" s="62"/>
      <c r="Q448" s="62"/>
      <c r="R448" s="62"/>
      <c r="S448" s="62">
        <v>15</v>
      </c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80"/>
      <c r="AG448" s="87">
        <f t="shared" si="305"/>
        <v>12</v>
      </c>
      <c r="AH448" s="87">
        <f t="shared" si="306"/>
        <v>0</v>
      </c>
      <c r="AI448" s="87">
        <f t="shared" si="307"/>
        <v>12</v>
      </c>
      <c r="AJ448" s="87">
        <f t="shared" si="308"/>
        <v>12</v>
      </c>
      <c r="AK448" s="87">
        <f t="shared" si="309"/>
        <v>8</v>
      </c>
      <c r="AL448" s="87">
        <f t="shared" si="310"/>
        <v>8</v>
      </c>
      <c r="AM448" s="87">
        <f t="shared" si="311"/>
        <v>0</v>
      </c>
      <c r="AN448" s="87">
        <f t="shared" si="312"/>
        <v>0</v>
      </c>
      <c r="AO448" s="87">
        <f t="shared" si="313"/>
        <v>9</v>
      </c>
      <c r="AP448" s="87">
        <f t="shared" si="314"/>
        <v>0</v>
      </c>
      <c r="AQ448" s="87">
        <f t="shared" si="315"/>
        <v>15</v>
      </c>
      <c r="AR448" s="81"/>
      <c r="AS448" s="85">
        <f t="shared" si="316"/>
        <v>68</v>
      </c>
      <c r="AT448" s="85">
        <f t="shared" si="317"/>
        <v>44</v>
      </c>
      <c r="AU448" s="85">
        <f t="shared" si="318"/>
        <v>94</v>
      </c>
      <c r="AV448" s="85">
        <f t="shared" si="319"/>
        <v>0</v>
      </c>
      <c r="AW448" s="85">
        <f t="shared" si="320"/>
        <v>78</v>
      </c>
      <c r="AX448" s="85">
        <f t="shared" si="321"/>
        <v>21</v>
      </c>
      <c r="AY448" s="85">
        <f t="shared" si="322"/>
        <v>75</v>
      </c>
      <c r="AZ448" s="85">
        <f t="shared" si="323"/>
        <v>96</v>
      </c>
      <c r="BA448" s="85">
        <f t="shared" si="324"/>
        <v>96</v>
      </c>
      <c r="BB448" s="85">
        <f t="shared" si="325"/>
        <v>43</v>
      </c>
      <c r="BC448" s="85">
        <f t="shared" si="326"/>
        <v>66</v>
      </c>
      <c r="BD448" s="85">
        <f t="shared" si="327"/>
        <v>0</v>
      </c>
      <c r="BE448" s="85">
        <f t="shared" si="328"/>
        <v>59</v>
      </c>
      <c r="BF448" s="85">
        <f t="shared" si="329"/>
        <v>59</v>
      </c>
      <c r="BG448" s="85">
        <f t="shared" si="330"/>
        <v>64</v>
      </c>
      <c r="BH448" s="85">
        <f t="shared" si="331"/>
        <v>64</v>
      </c>
      <c r="BI448" s="85">
        <f t="shared" si="332"/>
        <v>63</v>
      </c>
      <c r="BJ448" s="85">
        <f t="shared" si="333"/>
        <v>63</v>
      </c>
      <c r="BK448" s="85">
        <f t="shared" si="334"/>
        <v>15</v>
      </c>
      <c r="BL448" s="85">
        <f t="shared" si="335"/>
        <v>15</v>
      </c>
      <c r="BM448" s="85">
        <f t="shared" si="336"/>
        <v>0</v>
      </c>
      <c r="BN448" s="85">
        <f t="shared" si="337"/>
        <v>0</v>
      </c>
      <c r="BO448" s="85">
        <f t="shared" si="338"/>
        <v>87</v>
      </c>
      <c r="BP448" s="85">
        <f t="shared" si="339"/>
        <v>0</v>
      </c>
      <c r="BQ448" s="85">
        <f t="shared" si="340"/>
        <v>86</v>
      </c>
      <c r="BR448" s="85">
        <f t="shared" si="341"/>
        <v>86</v>
      </c>
      <c r="BT448" s="63"/>
      <c r="BU448" s="63"/>
      <c r="BV448" s="63"/>
      <c r="BW448" s="63"/>
      <c r="BX448" s="63"/>
      <c r="BY448" s="63"/>
      <c r="BZ448" s="63"/>
      <c r="CA448" s="63"/>
      <c r="CB448" s="63"/>
      <c r="CC448" s="63"/>
      <c r="CD448" s="63"/>
      <c r="CE448" s="63"/>
      <c r="CF448" s="63"/>
      <c r="CG448" s="63"/>
      <c r="CH448" s="63"/>
      <c r="CI448" s="63"/>
      <c r="CJ448" s="63"/>
      <c r="CK448" s="63"/>
      <c r="CL448" s="63">
        <v>11</v>
      </c>
      <c r="CM448" s="63">
        <v>11</v>
      </c>
      <c r="CN448" s="63"/>
      <c r="CO448" s="63"/>
      <c r="CP448" s="63"/>
      <c r="CQ448" s="63"/>
      <c r="CR448" s="63"/>
      <c r="CS448" s="63"/>
      <c r="CX448" s="35" t="s">
        <v>12</v>
      </c>
      <c r="CZ448" s="35"/>
      <c r="DC448" s="57" t="str">
        <f t="shared" si="342"/>
        <v/>
      </c>
      <c r="DD448" s="64" t="str">
        <f t="shared" si="343"/>
        <v/>
      </c>
      <c r="DE448" s="65" t="str">
        <f t="shared" si="344"/>
        <v/>
      </c>
      <c r="DF448" s="66" t="str">
        <f t="shared" si="357"/>
        <v/>
      </c>
    </row>
    <row r="449" spans="2:110">
      <c r="B449" s="54">
        <f t="shared" si="352"/>
        <v>46195</v>
      </c>
      <c r="C449" s="55" t="s">
        <v>1</v>
      </c>
      <c r="D449" s="56">
        <f t="shared" si="353"/>
        <v>46201</v>
      </c>
      <c r="E449" s="52">
        <f t="shared" si="354"/>
        <v>6</v>
      </c>
      <c r="F449" s="53">
        <f t="shared" si="355"/>
        <v>2026</v>
      </c>
      <c r="G449" s="62">
        <f t="shared" si="350"/>
        <v>15</v>
      </c>
      <c r="H449" s="63">
        <f t="shared" si="351"/>
        <v>96</v>
      </c>
      <c r="I449" s="62"/>
      <c r="J449" s="62"/>
      <c r="K449" s="62">
        <v>13</v>
      </c>
      <c r="L449" s="62">
        <v>13</v>
      </c>
      <c r="M449" s="62"/>
      <c r="N449" s="62"/>
      <c r="O449" s="62"/>
      <c r="P449" s="62"/>
      <c r="Q449" s="62"/>
      <c r="R449" s="62"/>
      <c r="S449" s="62">
        <v>15</v>
      </c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80"/>
      <c r="AG449" s="87">
        <f t="shared" si="305"/>
        <v>13</v>
      </c>
      <c r="AH449" s="87">
        <f t="shared" si="306"/>
        <v>0</v>
      </c>
      <c r="AI449" s="87">
        <f t="shared" si="307"/>
        <v>13</v>
      </c>
      <c r="AJ449" s="87">
        <f t="shared" si="308"/>
        <v>13</v>
      </c>
      <c r="AK449" s="87">
        <f t="shared" si="309"/>
        <v>9</v>
      </c>
      <c r="AL449" s="87">
        <f t="shared" si="310"/>
        <v>9</v>
      </c>
      <c r="AM449" s="87">
        <f t="shared" si="311"/>
        <v>0</v>
      </c>
      <c r="AN449" s="87">
        <f t="shared" si="312"/>
        <v>0</v>
      </c>
      <c r="AO449" s="87">
        <f t="shared" si="313"/>
        <v>10</v>
      </c>
      <c r="AP449" s="87">
        <f t="shared" si="314"/>
        <v>0</v>
      </c>
      <c r="AQ449" s="87">
        <f t="shared" si="315"/>
        <v>15</v>
      </c>
      <c r="AR449" s="81"/>
      <c r="AS449" s="85">
        <f t="shared" si="316"/>
        <v>69</v>
      </c>
      <c r="AT449" s="85">
        <f t="shared" si="317"/>
        <v>45</v>
      </c>
      <c r="AU449" s="85">
        <f t="shared" si="318"/>
        <v>95</v>
      </c>
      <c r="AV449" s="85">
        <f t="shared" si="319"/>
        <v>0</v>
      </c>
      <c r="AW449" s="85">
        <f t="shared" si="320"/>
        <v>79</v>
      </c>
      <c r="AX449" s="85">
        <f t="shared" si="321"/>
        <v>22</v>
      </c>
      <c r="AY449" s="85">
        <f t="shared" si="322"/>
        <v>76</v>
      </c>
      <c r="AZ449" s="85">
        <f t="shared" si="323"/>
        <v>0</v>
      </c>
      <c r="BA449" s="85">
        <f t="shared" si="324"/>
        <v>0</v>
      </c>
      <c r="BB449" s="85">
        <f t="shared" si="325"/>
        <v>44</v>
      </c>
      <c r="BC449" s="85">
        <f t="shared" si="326"/>
        <v>67</v>
      </c>
      <c r="BD449" s="85">
        <f t="shared" si="327"/>
        <v>0</v>
      </c>
      <c r="BE449" s="85">
        <f t="shared" si="328"/>
        <v>60</v>
      </c>
      <c r="BF449" s="85">
        <f t="shared" si="329"/>
        <v>60</v>
      </c>
      <c r="BG449" s="85">
        <f t="shared" si="330"/>
        <v>65</v>
      </c>
      <c r="BH449" s="85">
        <f t="shared" si="331"/>
        <v>65</v>
      </c>
      <c r="BI449" s="85">
        <f t="shared" si="332"/>
        <v>64</v>
      </c>
      <c r="BJ449" s="85">
        <f t="shared" si="333"/>
        <v>64</v>
      </c>
      <c r="BK449" s="85">
        <f t="shared" si="334"/>
        <v>16</v>
      </c>
      <c r="BL449" s="85">
        <f t="shared" si="335"/>
        <v>16</v>
      </c>
      <c r="BM449" s="85">
        <f t="shared" si="336"/>
        <v>0</v>
      </c>
      <c r="BN449" s="85">
        <f t="shared" si="337"/>
        <v>0</v>
      </c>
      <c r="BO449" s="85">
        <f t="shared" si="338"/>
        <v>88</v>
      </c>
      <c r="BP449" s="85">
        <f t="shared" si="339"/>
        <v>0</v>
      </c>
      <c r="BQ449" s="85">
        <f t="shared" si="340"/>
        <v>87</v>
      </c>
      <c r="BR449" s="85">
        <f t="shared" si="341"/>
        <v>87</v>
      </c>
      <c r="BT449" s="63"/>
      <c r="BU449" s="63"/>
      <c r="BV449" s="63"/>
      <c r="BW449" s="63"/>
      <c r="BX449" s="63"/>
      <c r="BY449" s="63"/>
      <c r="BZ449" s="63"/>
      <c r="CA449" s="63"/>
      <c r="CB449" s="63"/>
      <c r="CC449" s="63"/>
      <c r="CD449" s="63"/>
      <c r="CE449" s="63"/>
      <c r="CF449" s="63"/>
      <c r="CG449" s="63"/>
      <c r="CH449" s="63"/>
      <c r="CI449" s="63"/>
      <c r="CJ449" s="63"/>
      <c r="CK449" s="63"/>
      <c r="CL449" s="63"/>
      <c r="CM449" s="63"/>
      <c r="CN449" s="63"/>
      <c r="CO449" s="63"/>
      <c r="CP449" s="63"/>
      <c r="CQ449" s="63"/>
      <c r="CR449" s="63"/>
      <c r="CS449" s="63"/>
      <c r="CX449" s="35" t="s">
        <v>12</v>
      </c>
      <c r="CZ449" s="35"/>
      <c r="DC449" s="57" t="str">
        <f t="shared" si="342"/>
        <v/>
      </c>
      <c r="DD449" s="64" t="str">
        <f t="shared" si="343"/>
        <v/>
      </c>
      <c r="DE449" s="65" t="str">
        <f t="shared" si="344"/>
        <v/>
      </c>
      <c r="DF449" s="66" t="str">
        <f t="shared" si="357"/>
        <v/>
      </c>
    </row>
    <row r="450" spans="2:110">
      <c r="B450" s="54">
        <f t="shared" si="352"/>
        <v>46202</v>
      </c>
      <c r="C450" s="55" t="s">
        <v>1</v>
      </c>
      <c r="D450" s="56">
        <f t="shared" si="353"/>
        <v>46208</v>
      </c>
      <c r="E450" s="52">
        <f t="shared" si="354"/>
        <v>6</v>
      </c>
      <c r="F450" s="53">
        <f t="shared" si="355"/>
        <v>2026</v>
      </c>
      <c r="G450" s="62">
        <f t="shared" si="350"/>
        <v>15</v>
      </c>
      <c r="H450" s="89">
        <v>106</v>
      </c>
      <c r="I450" s="62"/>
      <c r="J450" s="62"/>
      <c r="K450" s="62">
        <v>14</v>
      </c>
      <c r="L450" s="62">
        <v>14</v>
      </c>
      <c r="M450" s="62"/>
      <c r="N450" s="62"/>
      <c r="O450" s="62"/>
      <c r="P450" s="62"/>
      <c r="Q450" s="62"/>
      <c r="R450" s="62"/>
      <c r="S450" s="62">
        <v>15</v>
      </c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80"/>
      <c r="AG450" s="87">
        <f t="shared" si="305"/>
        <v>14</v>
      </c>
      <c r="AH450" s="87">
        <f t="shared" si="306"/>
        <v>0</v>
      </c>
      <c r="AI450" s="87">
        <f t="shared" si="307"/>
        <v>14</v>
      </c>
      <c r="AJ450" s="87">
        <f t="shared" si="308"/>
        <v>14</v>
      </c>
      <c r="AK450" s="87">
        <f t="shared" si="309"/>
        <v>10</v>
      </c>
      <c r="AL450" s="87">
        <f t="shared" si="310"/>
        <v>10</v>
      </c>
      <c r="AM450" s="87">
        <f t="shared" si="311"/>
        <v>0</v>
      </c>
      <c r="AN450" s="87">
        <f t="shared" si="312"/>
        <v>0</v>
      </c>
      <c r="AO450" s="87">
        <f t="shared" si="313"/>
        <v>11</v>
      </c>
      <c r="AP450" s="87">
        <f t="shared" si="314"/>
        <v>0</v>
      </c>
      <c r="AQ450" s="87">
        <f t="shared" si="315"/>
        <v>15</v>
      </c>
      <c r="AR450" s="81"/>
      <c r="AS450" s="85">
        <f t="shared" si="316"/>
        <v>70</v>
      </c>
      <c r="AT450" s="85">
        <f t="shared" si="317"/>
        <v>46</v>
      </c>
      <c r="AU450" s="85">
        <f t="shared" si="318"/>
        <v>96</v>
      </c>
      <c r="AV450" s="85">
        <f t="shared" si="319"/>
        <v>0</v>
      </c>
      <c r="AW450" s="85">
        <f t="shared" si="320"/>
        <v>80</v>
      </c>
      <c r="AX450" s="85">
        <f t="shared" si="321"/>
        <v>23</v>
      </c>
      <c r="AY450" s="85">
        <f t="shared" si="322"/>
        <v>77</v>
      </c>
      <c r="AZ450" s="85">
        <f t="shared" si="323"/>
        <v>0</v>
      </c>
      <c r="BA450" s="85">
        <f t="shared" si="324"/>
        <v>0</v>
      </c>
      <c r="BB450" s="85">
        <f t="shared" si="325"/>
        <v>45</v>
      </c>
      <c r="BC450" s="85">
        <f t="shared" si="326"/>
        <v>68</v>
      </c>
      <c r="BD450" s="85">
        <f t="shared" si="327"/>
        <v>0</v>
      </c>
      <c r="BE450" s="85">
        <f t="shared" si="328"/>
        <v>61</v>
      </c>
      <c r="BF450" s="85">
        <f t="shared" si="329"/>
        <v>61</v>
      </c>
      <c r="BG450" s="85">
        <f t="shared" si="330"/>
        <v>66</v>
      </c>
      <c r="BH450" s="85">
        <f t="shared" si="331"/>
        <v>66</v>
      </c>
      <c r="BI450" s="85">
        <f t="shared" si="332"/>
        <v>65</v>
      </c>
      <c r="BJ450" s="85">
        <f t="shared" si="333"/>
        <v>65</v>
      </c>
      <c r="BK450" s="85">
        <f t="shared" si="334"/>
        <v>17</v>
      </c>
      <c r="BL450" s="85">
        <f t="shared" si="335"/>
        <v>17</v>
      </c>
      <c r="BM450" s="85">
        <f t="shared" si="336"/>
        <v>15</v>
      </c>
      <c r="BN450" s="85">
        <f t="shared" si="337"/>
        <v>0</v>
      </c>
      <c r="BO450" s="85">
        <f t="shared" si="338"/>
        <v>89</v>
      </c>
      <c r="BP450" s="85">
        <f t="shared" si="339"/>
        <v>0</v>
      </c>
      <c r="BQ450" s="85">
        <f t="shared" si="340"/>
        <v>88</v>
      </c>
      <c r="BR450" s="85">
        <f t="shared" si="341"/>
        <v>88</v>
      </c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  <c r="CG450" s="63"/>
      <c r="CH450" s="63"/>
      <c r="CI450" s="63"/>
      <c r="CJ450" s="63"/>
      <c r="CK450" s="63"/>
      <c r="CL450" s="63"/>
      <c r="CM450" s="63"/>
      <c r="CN450" s="63">
        <v>11</v>
      </c>
      <c r="CO450" s="63"/>
      <c r="CP450" s="63"/>
      <c r="CQ450" s="63"/>
      <c r="CR450" s="63"/>
      <c r="CS450" s="63"/>
      <c r="CX450" s="35" t="s">
        <v>12</v>
      </c>
      <c r="CZ450" s="35"/>
      <c r="DC450" s="57" t="str">
        <f t="shared" si="342"/>
        <v/>
      </c>
      <c r="DD450" s="64" t="str">
        <f t="shared" si="343"/>
        <v/>
      </c>
      <c r="DE450" s="65" t="str">
        <f t="shared" si="344"/>
        <v/>
      </c>
      <c r="DF450" s="66" t="str">
        <f t="shared" si="357"/>
        <v/>
      </c>
    </row>
    <row r="451" spans="2:110">
      <c r="B451" s="54">
        <f t="shared" si="352"/>
        <v>46209</v>
      </c>
      <c r="C451" s="55" t="s">
        <v>1</v>
      </c>
      <c r="D451" s="56">
        <f t="shared" si="353"/>
        <v>46215</v>
      </c>
      <c r="E451" s="52">
        <f t="shared" si="354"/>
        <v>7</v>
      </c>
      <c r="F451" s="53">
        <f t="shared" si="355"/>
        <v>2026</v>
      </c>
      <c r="G451" s="62">
        <f t="shared" si="350"/>
        <v>15</v>
      </c>
      <c r="H451" s="63">
        <f t="shared" si="351"/>
        <v>106</v>
      </c>
      <c r="I451" s="62"/>
      <c r="J451" s="62"/>
      <c r="K451" s="62">
        <v>15</v>
      </c>
      <c r="L451" s="62">
        <v>15</v>
      </c>
      <c r="M451" s="62"/>
      <c r="N451" s="62"/>
      <c r="O451" s="62"/>
      <c r="P451" s="62"/>
      <c r="Q451" s="62"/>
      <c r="R451" s="62"/>
      <c r="S451" s="62">
        <v>15</v>
      </c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80"/>
      <c r="AG451" s="87">
        <f t="shared" si="305"/>
        <v>15</v>
      </c>
      <c r="AH451" s="87">
        <f t="shared" si="306"/>
        <v>0</v>
      </c>
      <c r="AI451" s="87">
        <f t="shared" si="307"/>
        <v>15</v>
      </c>
      <c r="AJ451" s="87">
        <f t="shared" si="308"/>
        <v>15</v>
      </c>
      <c r="AK451" s="87">
        <f t="shared" si="309"/>
        <v>11</v>
      </c>
      <c r="AL451" s="87">
        <f t="shared" si="310"/>
        <v>11</v>
      </c>
      <c r="AM451" s="87">
        <f t="shared" si="311"/>
        <v>0</v>
      </c>
      <c r="AN451" s="87">
        <f t="shared" si="312"/>
        <v>0</v>
      </c>
      <c r="AO451" s="87">
        <f t="shared" si="313"/>
        <v>12</v>
      </c>
      <c r="AP451" s="87">
        <f t="shared" si="314"/>
        <v>0</v>
      </c>
      <c r="AQ451" s="87">
        <f t="shared" si="315"/>
        <v>15</v>
      </c>
      <c r="AR451" s="81"/>
      <c r="AS451" s="85">
        <f t="shared" si="316"/>
        <v>71</v>
      </c>
      <c r="AT451" s="85">
        <f t="shared" si="317"/>
        <v>47</v>
      </c>
      <c r="AU451" s="85">
        <f t="shared" si="318"/>
        <v>97</v>
      </c>
      <c r="AV451" s="85">
        <f t="shared" si="319"/>
        <v>15</v>
      </c>
      <c r="AW451" s="85">
        <f t="shared" si="320"/>
        <v>81</v>
      </c>
      <c r="AX451" s="85">
        <f t="shared" si="321"/>
        <v>24</v>
      </c>
      <c r="AY451" s="85">
        <f t="shared" si="322"/>
        <v>78</v>
      </c>
      <c r="AZ451" s="85">
        <f t="shared" si="323"/>
        <v>0</v>
      </c>
      <c r="BA451" s="85">
        <f t="shared" si="324"/>
        <v>0</v>
      </c>
      <c r="BB451" s="85">
        <f t="shared" si="325"/>
        <v>46</v>
      </c>
      <c r="BC451" s="85">
        <f t="shared" si="326"/>
        <v>69</v>
      </c>
      <c r="BD451" s="85">
        <f t="shared" si="327"/>
        <v>0</v>
      </c>
      <c r="BE451" s="85">
        <f t="shared" si="328"/>
        <v>62</v>
      </c>
      <c r="BF451" s="85">
        <f t="shared" si="329"/>
        <v>62</v>
      </c>
      <c r="BG451" s="85">
        <f t="shared" si="330"/>
        <v>67</v>
      </c>
      <c r="BH451" s="85">
        <f t="shared" si="331"/>
        <v>67</v>
      </c>
      <c r="BI451" s="85">
        <f t="shared" si="332"/>
        <v>66</v>
      </c>
      <c r="BJ451" s="85">
        <f t="shared" si="333"/>
        <v>66</v>
      </c>
      <c r="BK451" s="85">
        <f t="shared" si="334"/>
        <v>18</v>
      </c>
      <c r="BL451" s="85">
        <f t="shared" si="335"/>
        <v>18</v>
      </c>
      <c r="BM451" s="85">
        <f t="shared" si="336"/>
        <v>16</v>
      </c>
      <c r="BN451" s="85">
        <f t="shared" si="337"/>
        <v>0</v>
      </c>
      <c r="BO451" s="85">
        <f t="shared" si="338"/>
        <v>90</v>
      </c>
      <c r="BP451" s="85">
        <f t="shared" si="339"/>
        <v>0</v>
      </c>
      <c r="BQ451" s="85">
        <f t="shared" si="340"/>
        <v>89</v>
      </c>
      <c r="BR451" s="85">
        <f t="shared" si="341"/>
        <v>89</v>
      </c>
      <c r="BT451" s="63"/>
      <c r="BU451" s="63"/>
      <c r="BV451" s="63"/>
      <c r="BW451" s="63">
        <v>1</v>
      </c>
      <c r="BX451" s="63"/>
      <c r="BY451" s="63"/>
      <c r="BZ451" s="63"/>
      <c r="CA451" s="63"/>
      <c r="CB451" s="63"/>
      <c r="CC451" s="63"/>
      <c r="CD451" s="63"/>
      <c r="CE451" s="63"/>
      <c r="CF451" s="63"/>
      <c r="CG451" s="63"/>
      <c r="CH451" s="63"/>
      <c r="CI451" s="63"/>
      <c r="CJ451" s="63"/>
      <c r="CK451" s="63"/>
      <c r="CL451" s="63"/>
      <c r="CM451" s="63"/>
      <c r="CN451" s="63"/>
      <c r="CO451" s="63"/>
      <c r="CP451" s="63" t="s">
        <v>5</v>
      </c>
      <c r="CQ451" s="63"/>
      <c r="CR451" s="63"/>
      <c r="CS451" s="63"/>
      <c r="CX451" s="35" t="s">
        <v>12</v>
      </c>
      <c r="CZ451" s="35"/>
      <c r="DC451" s="57" t="str">
        <f t="shared" si="342"/>
        <v/>
      </c>
      <c r="DD451" s="64" t="str">
        <f t="shared" si="343"/>
        <v/>
      </c>
      <c r="DE451" s="65" t="str">
        <f t="shared" si="344"/>
        <v/>
      </c>
      <c r="DF451" s="66" t="str">
        <f t="shared" si="357"/>
        <v/>
      </c>
    </row>
    <row r="452" spans="2:110">
      <c r="B452" s="54">
        <f t="shared" si="352"/>
        <v>46216</v>
      </c>
      <c r="C452" s="55" t="s">
        <v>1</v>
      </c>
      <c r="D452" s="56">
        <f t="shared" si="353"/>
        <v>46222</v>
      </c>
      <c r="E452" s="52">
        <f t="shared" si="354"/>
        <v>7</v>
      </c>
      <c r="F452" s="53">
        <f t="shared" si="355"/>
        <v>2026</v>
      </c>
      <c r="G452" s="62">
        <f t="shared" si="350"/>
        <v>15</v>
      </c>
      <c r="H452" s="63">
        <f t="shared" si="351"/>
        <v>106</v>
      </c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>
        <v>15</v>
      </c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80"/>
      <c r="AG452" s="87">
        <f t="shared" si="305"/>
        <v>0</v>
      </c>
      <c r="AH452" s="87">
        <f t="shared" si="306"/>
        <v>0</v>
      </c>
      <c r="AI452" s="87">
        <f t="shared" si="307"/>
        <v>0</v>
      </c>
      <c r="AJ452" s="87">
        <f t="shared" si="308"/>
        <v>0</v>
      </c>
      <c r="AK452" s="87">
        <f t="shared" si="309"/>
        <v>12</v>
      </c>
      <c r="AL452" s="87">
        <f t="shared" si="310"/>
        <v>12</v>
      </c>
      <c r="AM452" s="87">
        <f t="shared" si="311"/>
        <v>0</v>
      </c>
      <c r="AN452" s="87">
        <f t="shared" si="312"/>
        <v>0</v>
      </c>
      <c r="AO452" s="87">
        <f t="shared" si="313"/>
        <v>13</v>
      </c>
      <c r="AP452" s="87">
        <f t="shared" si="314"/>
        <v>0</v>
      </c>
      <c r="AQ452" s="87">
        <f t="shared" si="315"/>
        <v>15</v>
      </c>
      <c r="AR452" s="81"/>
      <c r="AS452" s="85">
        <f t="shared" si="316"/>
        <v>72</v>
      </c>
      <c r="AT452" s="85">
        <f t="shared" si="317"/>
        <v>48</v>
      </c>
      <c r="AU452" s="85">
        <f t="shared" si="318"/>
        <v>98</v>
      </c>
      <c r="AV452" s="85">
        <f t="shared" si="319"/>
        <v>16</v>
      </c>
      <c r="AW452" s="85">
        <f t="shared" si="320"/>
        <v>82</v>
      </c>
      <c r="AX452" s="85">
        <f t="shared" si="321"/>
        <v>25</v>
      </c>
      <c r="AY452" s="85">
        <f t="shared" si="322"/>
        <v>79</v>
      </c>
      <c r="AZ452" s="85">
        <f t="shared" si="323"/>
        <v>0</v>
      </c>
      <c r="BA452" s="85">
        <f t="shared" si="324"/>
        <v>0</v>
      </c>
      <c r="BB452" s="85">
        <f t="shared" si="325"/>
        <v>47</v>
      </c>
      <c r="BC452" s="85">
        <f t="shared" si="326"/>
        <v>70</v>
      </c>
      <c r="BD452" s="85">
        <f t="shared" si="327"/>
        <v>0</v>
      </c>
      <c r="BE452" s="85">
        <f t="shared" si="328"/>
        <v>63</v>
      </c>
      <c r="BF452" s="85">
        <f t="shared" si="329"/>
        <v>63</v>
      </c>
      <c r="BG452" s="85">
        <f t="shared" si="330"/>
        <v>68</v>
      </c>
      <c r="BH452" s="85">
        <f t="shared" si="331"/>
        <v>68</v>
      </c>
      <c r="BI452" s="85">
        <f t="shared" si="332"/>
        <v>67</v>
      </c>
      <c r="BJ452" s="85">
        <f t="shared" si="333"/>
        <v>67</v>
      </c>
      <c r="BK452" s="85">
        <f t="shared" si="334"/>
        <v>19</v>
      </c>
      <c r="BL452" s="85">
        <f t="shared" si="335"/>
        <v>19</v>
      </c>
      <c r="BM452" s="85">
        <f t="shared" si="336"/>
        <v>17</v>
      </c>
      <c r="BN452" s="85">
        <f t="shared" si="337"/>
        <v>0</v>
      </c>
      <c r="BO452" s="85">
        <f t="shared" si="338"/>
        <v>0</v>
      </c>
      <c r="BP452" s="85">
        <f t="shared" si="339"/>
        <v>0</v>
      </c>
      <c r="BQ452" s="85">
        <f t="shared" si="340"/>
        <v>90</v>
      </c>
      <c r="BR452" s="85">
        <f t="shared" si="341"/>
        <v>90</v>
      </c>
      <c r="BT452" s="63"/>
      <c r="BU452" s="63"/>
      <c r="BV452" s="63"/>
      <c r="BW452" s="63"/>
      <c r="BX452" s="63"/>
      <c r="BY452" s="63"/>
      <c r="BZ452" s="63"/>
      <c r="CA452" s="63"/>
      <c r="CB452" s="63"/>
      <c r="CC452" s="63"/>
      <c r="CD452" s="63"/>
      <c r="CE452" s="63"/>
      <c r="CF452" s="63"/>
      <c r="CG452" s="63"/>
      <c r="CH452" s="63"/>
      <c r="CI452" s="63"/>
      <c r="CJ452" s="63"/>
      <c r="CK452" s="63"/>
      <c r="CL452" s="63"/>
      <c r="CM452" s="63"/>
      <c r="CN452" s="63"/>
      <c r="CO452" s="63"/>
      <c r="CP452" s="63"/>
      <c r="CQ452" s="63"/>
      <c r="CR452" s="63" t="s">
        <v>5</v>
      </c>
      <c r="CS452" s="63" t="s">
        <v>5</v>
      </c>
      <c r="CX452" s="35" t="s">
        <v>12</v>
      </c>
      <c r="CZ452" s="35"/>
      <c r="DC452" s="57" t="str">
        <f t="shared" si="342"/>
        <v/>
      </c>
      <c r="DD452" s="64" t="str">
        <f t="shared" si="343"/>
        <v/>
      </c>
      <c r="DE452" s="65" t="str">
        <f t="shared" si="344"/>
        <v/>
      </c>
      <c r="DF452" s="66" t="str">
        <f t="shared" si="357"/>
        <v/>
      </c>
    </row>
    <row r="453" spans="2:110">
      <c r="B453" s="54">
        <f t="shared" si="352"/>
        <v>46223</v>
      </c>
      <c r="C453" s="55" t="s">
        <v>1</v>
      </c>
      <c r="D453" s="56">
        <f t="shared" si="353"/>
        <v>46229</v>
      </c>
      <c r="E453" s="52">
        <f t="shared" si="354"/>
        <v>7</v>
      </c>
      <c r="F453" s="53">
        <f t="shared" si="355"/>
        <v>2026</v>
      </c>
      <c r="G453" s="62">
        <f t="shared" si="350"/>
        <v>15</v>
      </c>
      <c r="H453" s="63">
        <f t="shared" si="351"/>
        <v>106</v>
      </c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>
        <v>15</v>
      </c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80"/>
      <c r="AG453" s="87">
        <f t="shared" si="305"/>
        <v>0</v>
      </c>
      <c r="AH453" s="87">
        <f t="shared" si="306"/>
        <v>0</v>
      </c>
      <c r="AI453" s="87">
        <f t="shared" si="307"/>
        <v>0</v>
      </c>
      <c r="AJ453" s="87">
        <f t="shared" si="308"/>
        <v>0</v>
      </c>
      <c r="AK453" s="87">
        <f t="shared" si="309"/>
        <v>13</v>
      </c>
      <c r="AL453" s="87">
        <f t="shared" si="310"/>
        <v>13</v>
      </c>
      <c r="AM453" s="87">
        <f t="shared" si="311"/>
        <v>0</v>
      </c>
      <c r="AN453" s="87">
        <f t="shared" si="312"/>
        <v>0</v>
      </c>
      <c r="AO453" s="87">
        <f t="shared" si="313"/>
        <v>14</v>
      </c>
      <c r="AP453" s="87">
        <f t="shared" si="314"/>
        <v>0</v>
      </c>
      <c r="AQ453" s="87">
        <f t="shared" si="315"/>
        <v>15</v>
      </c>
      <c r="AR453" s="81"/>
      <c r="AS453" s="85">
        <f t="shared" si="316"/>
        <v>73</v>
      </c>
      <c r="AT453" s="85">
        <f t="shared" si="317"/>
        <v>49</v>
      </c>
      <c r="AU453" s="85">
        <f t="shared" si="318"/>
        <v>99</v>
      </c>
      <c r="AV453" s="85">
        <f t="shared" si="319"/>
        <v>17</v>
      </c>
      <c r="AW453" s="85">
        <f t="shared" si="320"/>
        <v>83</v>
      </c>
      <c r="AX453" s="85">
        <f t="shared" si="321"/>
        <v>26</v>
      </c>
      <c r="AY453" s="85">
        <f t="shared" si="322"/>
        <v>80</v>
      </c>
      <c r="AZ453" s="85">
        <f t="shared" si="323"/>
        <v>0</v>
      </c>
      <c r="BA453" s="85">
        <f t="shared" si="324"/>
        <v>0</v>
      </c>
      <c r="BB453" s="85">
        <f t="shared" si="325"/>
        <v>48</v>
      </c>
      <c r="BC453" s="85">
        <f t="shared" si="326"/>
        <v>71</v>
      </c>
      <c r="BD453" s="85">
        <f t="shared" si="327"/>
        <v>0</v>
      </c>
      <c r="BE453" s="85">
        <f t="shared" si="328"/>
        <v>64</v>
      </c>
      <c r="BF453" s="85">
        <f t="shared" si="329"/>
        <v>64</v>
      </c>
      <c r="BG453" s="85">
        <f t="shared" si="330"/>
        <v>69</v>
      </c>
      <c r="BH453" s="85">
        <f t="shared" si="331"/>
        <v>69</v>
      </c>
      <c r="BI453" s="85">
        <f t="shared" si="332"/>
        <v>68</v>
      </c>
      <c r="BJ453" s="85">
        <f t="shared" si="333"/>
        <v>68</v>
      </c>
      <c r="BK453" s="85">
        <f t="shared" si="334"/>
        <v>20</v>
      </c>
      <c r="BL453" s="85">
        <f t="shared" si="335"/>
        <v>20</v>
      </c>
      <c r="BM453" s="85">
        <f t="shared" si="336"/>
        <v>18</v>
      </c>
      <c r="BN453" s="85">
        <f t="shared" si="337"/>
        <v>0</v>
      </c>
      <c r="BO453" s="85">
        <f t="shared" si="338"/>
        <v>0</v>
      </c>
      <c r="BP453" s="85">
        <f t="shared" si="339"/>
        <v>0</v>
      </c>
      <c r="BQ453" s="85">
        <f t="shared" si="340"/>
        <v>0</v>
      </c>
      <c r="BR453" s="85">
        <f t="shared" si="341"/>
        <v>0</v>
      </c>
      <c r="BT453" s="63"/>
      <c r="BU453" s="63"/>
      <c r="BV453" s="63"/>
      <c r="BW453" s="63"/>
      <c r="BX453" s="63"/>
      <c r="BY453" s="63"/>
      <c r="BZ453" s="63"/>
      <c r="CA453" s="63"/>
      <c r="CB453" s="63"/>
      <c r="CC453" s="63"/>
      <c r="CD453" s="63"/>
      <c r="CE453" s="63"/>
      <c r="CF453" s="63"/>
      <c r="CG453" s="63"/>
      <c r="CH453" s="63"/>
      <c r="CI453" s="63"/>
      <c r="CJ453" s="63"/>
      <c r="CK453" s="63"/>
      <c r="CL453" s="63"/>
      <c r="CM453" s="63"/>
      <c r="CN453" s="63"/>
      <c r="CO453" s="63"/>
      <c r="CP453" s="63"/>
      <c r="CQ453" s="63"/>
      <c r="CR453" s="63"/>
      <c r="CS453" s="63"/>
      <c r="CX453" s="35" t="s">
        <v>12</v>
      </c>
      <c r="CZ453" s="35"/>
      <c r="DC453" s="57" t="str">
        <f t="shared" si="342"/>
        <v/>
      </c>
      <c r="DD453" s="64" t="str">
        <f t="shared" si="343"/>
        <v/>
      </c>
      <c r="DE453" s="65" t="str">
        <f t="shared" si="344"/>
        <v/>
      </c>
      <c r="DF453" s="66" t="str">
        <f t="shared" si="357"/>
        <v/>
      </c>
    </row>
    <row r="454" spans="2:110">
      <c r="B454" s="54">
        <f t="shared" si="352"/>
        <v>46230</v>
      </c>
      <c r="C454" s="55" t="s">
        <v>1</v>
      </c>
      <c r="D454" s="56">
        <f t="shared" si="353"/>
        <v>46236</v>
      </c>
      <c r="E454" s="52">
        <f t="shared" si="354"/>
        <v>7</v>
      </c>
      <c r="F454" s="53">
        <f t="shared" si="355"/>
        <v>2026</v>
      </c>
      <c r="G454" s="62">
        <f t="shared" si="350"/>
        <v>15</v>
      </c>
      <c r="H454" s="63">
        <f t="shared" si="351"/>
        <v>106</v>
      </c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>
        <v>15</v>
      </c>
      <c r="U454" s="79">
        <v>1</v>
      </c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80"/>
      <c r="AG454" s="87">
        <f t="shared" si="305"/>
        <v>46232</v>
      </c>
      <c r="AH454" s="87">
        <f t="shared" si="306"/>
        <v>0</v>
      </c>
      <c r="AI454" s="87">
        <f t="shared" si="307"/>
        <v>0</v>
      </c>
      <c r="AJ454" s="87">
        <f t="shared" si="308"/>
        <v>0</v>
      </c>
      <c r="AK454" s="87">
        <f t="shared" si="309"/>
        <v>14</v>
      </c>
      <c r="AL454" s="87">
        <f t="shared" si="310"/>
        <v>14</v>
      </c>
      <c r="AM454" s="87">
        <f t="shared" si="311"/>
        <v>0</v>
      </c>
      <c r="AN454" s="87">
        <f t="shared" si="312"/>
        <v>0</v>
      </c>
      <c r="AO454" s="87">
        <f t="shared" si="313"/>
        <v>15</v>
      </c>
      <c r="AP454" s="87">
        <f t="shared" si="314"/>
        <v>0</v>
      </c>
      <c r="AQ454" s="87">
        <f t="shared" si="315"/>
        <v>15</v>
      </c>
      <c r="AR454" s="81"/>
      <c r="AS454" s="85">
        <f t="shared" si="316"/>
        <v>74</v>
      </c>
      <c r="AT454" s="85">
        <f t="shared" si="317"/>
        <v>50</v>
      </c>
      <c r="AU454" s="85">
        <f t="shared" si="318"/>
        <v>100</v>
      </c>
      <c r="AV454" s="85">
        <f t="shared" si="319"/>
        <v>18</v>
      </c>
      <c r="AW454" s="85">
        <f t="shared" si="320"/>
        <v>84</v>
      </c>
      <c r="AX454" s="85">
        <f t="shared" si="321"/>
        <v>27</v>
      </c>
      <c r="AY454" s="85">
        <f t="shared" si="322"/>
        <v>81</v>
      </c>
      <c r="AZ454" s="85">
        <f t="shared" si="323"/>
        <v>0</v>
      </c>
      <c r="BA454" s="85">
        <f t="shared" si="324"/>
        <v>0</v>
      </c>
      <c r="BB454" s="85">
        <f t="shared" si="325"/>
        <v>49</v>
      </c>
      <c r="BC454" s="85">
        <f t="shared" si="326"/>
        <v>72</v>
      </c>
      <c r="BD454" s="85">
        <f t="shared" si="327"/>
        <v>15</v>
      </c>
      <c r="BE454" s="85">
        <f t="shared" si="328"/>
        <v>65</v>
      </c>
      <c r="BF454" s="85">
        <f t="shared" si="329"/>
        <v>65</v>
      </c>
      <c r="BG454" s="85">
        <f t="shared" si="330"/>
        <v>70</v>
      </c>
      <c r="BH454" s="85">
        <f t="shared" si="331"/>
        <v>70</v>
      </c>
      <c r="BI454" s="85">
        <f t="shared" si="332"/>
        <v>69</v>
      </c>
      <c r="BJ454" s="85">
        <f t="shared" si="333"/>
        <v>69</v>
      </c>
      <c r="BK454" s="85">
        <f t="shared" si="334"/>
        <v>21</v>
      </c>
      <c r="BL454" s="85">
        <f t="shared" si="335"/>
        <v>21</v>
      </c>
      <c r="BM454" s="85">
        <f t="shared" si="336"/>
        <v>19</v>
      </c>
      <c r="BN454" s="85">
        <f t="shared" si="337"/>
        <v>0</v>
      </c>
      <c r="BO454" s="85">
        <f t="shared" si="338"/>
        <v>0</v>
      </c>
      <c r="BP454" s="85">
        <f t="shared" si="339"/>
        <v>0</v>
      </c>
      <c r="BQ454" s="85">
        <f t="shared" si="340"/>
        <v>0</v>
      </c>
      <c r="BR454" s="85">
        <f t="shared" si="341"/>
        <v>0</v>
      </c>
      <c r="BT454" s="63"/>
      <c r="BU454" s="63"/>
      <c r="BV454" s="63"/>
      <c r="BW454" s="63"/>
      <c r="BX454" s="63"/>
      <c r="BY454" s="63"/>
      <c r="BZ454" s="63"/>
      <c r="CA454" s="63"/>
      <c r="CB454" s="63"/>
      <c r="CC454" s="63"/>
      <c r="CD454" s="63"/>
      <c r="CE454" s="63">
        <v>9</v>
      </c>
      <c r="CF454" s="63"/>
      <c r="CG454" s="63"/>
      <c r="CH454" s="63"/>
      <c r="CI454" s="63"/>
      <c r="CJ454" s="63"/>
      <c r="CK454" s="63"/>
      <c r="CL454" s="63"/>
      <c r="CM454" s="63"/>
      <c r="CN454" s="63"/>
      <c r="CO454" s="63"/>
      <c r="CP454" s="63"/>
      <c r="CQ454" s="63"/>
      <c r="CR454" s="63"/>
      <c r="CS454" s="63"/>
      <c r="CX454" s="35" t="s">
        <v>12</v>
      </c>
      <c r="CZ454" s="35"/>
      <c r="DC454" s="57">
        <f t="shared" si="342"/>
        <v>1</v>
      </c>
      <c r="DD454" s="64">
        <f>IF(OR(AND($AG455=1,$AG456=2),OR(AND($AK455=1,$AK456=2),OR(AND($AO455=1,$AO456=2),OR(AND($AI455=1,$AI456=2),OR(AND($AJ455=1,$AJ456),OR(AND($AQ455=1,$AQ456=2,OR(AND($AL455=1,$AL456=2,OR(AND($AM455=1,$AM456=2,OR(AND($AN455=1,$AN456=2))))))))))))),$B454+2,"")</f>
        <v>46232</v>
      </c>
      <c r="DE454" s="65">
        <f>IF(DD454="","",DD454+(15*7))</f>
        <v>46337</v>
      </c>
      <c r="DF454" s="66" t="str">
        <f>IF(AND(AS469&gt;0,AS468=0),$AS$1,IF(AND(AT469&gt;0,AT468=0),$AT$1,IF(AND(AU469&gt;0,AU468=0),$AU$1,IF(AND(AV469&gt;0,AV468=0),$AV$1,IF(AND(AW469&gt;0,AW468=0),$AW$1,IF(AND(AX469&gt;0,AX468=0),$AX$1,IF(AND(AY469&gt;0,AY468=0),$AY$1,IF(AND(AZ469&gt;0,AZ468=0),$AZ$1,IF(AND(BA469&gt;0,BA468=0),$BA$1,IF(AND(BB469&gt;0,BB468=0),$BB$1,IF(AND(BC469&gt;0,BC468=0),$BC$1,IF(AND(BD469&gt;0,BD468=0),$BD$1,IF(AND(BE469&gt;0,BE468=0),$BE$1,IF(AND(BF469&gt;0,BF468=0),$BF$1,IF(AND(BG469&gt;0,BG468=0),$BG$1,IF(AND(BH469&gt;0,BH468=0),$BH$1,IF(AND(BI469&gt;0,BI468=0),$BI$1,IF(AND(BJ469&gt;0,BJ468=0),$BJ$1,IF(AND(BK469&gt;0,BK468=0),$BK$1,IF(AND(BL469&gt;0,BL468=0),$BL$1,IF(AND(BM469&gt;0,BM468=0),$BM$1,IF(AND(BN469&gt;0,BN468=0),$BN$1,IF(AND(BO469&gt;0,BO468=0),$BO$1,IF(AND(BP469&gt;0,BP468=0),$BP$1,IF(AND(BQ469&gt;0,BQ468=0),$BQ$1,IF(AND(BR469&gt;0,BR468=0),$BQ$1,""))))))))))))))))&amp;(IF(COUNTA(BT469:CS469)&gt;1," ["&amp;COUNTA(BT469:CS469)&amp;"]",""))))))))))))</f>
        <v>VNI</v>
      </c>
    </row>
    <row r="455" spans="2:110">
      <c r="B455" s="54">
        <f t="shared" si="352"/>
        <v>46237</v>
      </c>
      <c r="C455" s="55" t="s">
        <v>1</v>
      </c>
      <c r="D455" s="56">
        <f t="shared" si="353"/>
        <v>46243</v>
      </c>
      <c r="E455" s="52">
        <f t="shared" si="354"/>
        <v>8</v>
      </c>
      <c r="F455" s="53">
        <f t="shared" si="355"/>
        <v>2026</v>
      </c>
      <c r="G455" s="62">
        <f t="shared" si="350"/>
        <v>15</v>
      </c>
      <c r="H455" s="63">
        <f t="shared" si="351"/>
        <v>106</v>
      </c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>
        <v>15</v>
      </c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80"/>
      <c r="AG455" s="87">
        <f t="shared" ref="AG455:AG518" si="358">IF(I455&gt;0,I455,IF(U455=1,$B455+2,IF(U454=1,1,IF(U454=2,0,IF(AG454=$G454,0,(IF(AG454&gt;=1,AG454+1,0)))))))</f>
        <v>1</v>
      </c>
      <c r="AH455" s="87">
        <f t="shared" ref="AH455:AH518" si="359">IF(J455&gt;0,J455,IF(V455=1,$B455+2,IF(V454=1,1,IF(V454=2,0,IF(AH454=$G454,0,(IF(AH454&gt;=1,AH454+1,0)))))))</f>
        <v>0</v>
      </c>
      <c r="AI455" s="87">
        <f t="shared" ref="AI455:AI518" si="360">IF(K455&gt;0,K455,IF(W455=1,$B455+2,IF(W454=1,1,IF(W454=2,0,IF(AI454=$G454,0,(IF(AI454&gt;=1,AI454+1,0)))))))</f>
        <v>0</v>
      </c>
      <c r="AJ455" s="87">
        <f t="shared" ref="AJ455:AJ518" si="361">IF(L455&gt;0,L455,IF(X455=1,$B455+2,IF(X454=1,1,IF(X454=2,0,IF(AJ454=$G454,0,(IF(AJ454&gt;=1,AJ454+1,0)))))))</f>
        <v>0</v>
      </c>
      <c r="AK455" s="87">
        <f t="shared" ref="AK455:AK518" si="362">IF(M455&gt;0,M455,IF(Y455=1,$B455+2,IF(Y454=1,1,IF(Y454=2,0,IF(AK454=$G454,0,(IF(AK454&gt;=1,AK454+1,0)))))))</f>
        <v>15</v>
      </c>
      <c r="AL455" s="87">
        <f t="shared" ref="AL455:AL518" si="363">IF(N455&gt;0,N455,IF(Z455=1,$B455+2,IF(Z454=1,1,IF(Z454=2,0,IF(AL454=$G454,0,(IF(AL454&gt;=1,AL454+1,0)))))))</f>
        <v>15</v>
      </c>
      <c r="AM455" s="87">
        <f t="shared" ref="AM455:AM518" si="364">IF(O455&gt;0,O455,IF(AA455=1,$B455+2,IF(AA454=1,1,IF(AA454=2,0,IF(AM454=$G454,0,(IF(AM454&gt;=1,AM454+1,0)))))))</f>
        <v>0</v>
      </c>
      <c r="AN455" s="87">
        <f t="shared" ref="AN455:AN518" si="365">IF(P455&gt;0,P455,IF(AB455=1,$B455+2,IF(AB454=1,1,IF(AB454=2,0,IF(AN454=$G454,0,(IF(AN454&gt;=1,AN454+1,0)))))))</f>
        <v>0</v>
      </c>
      <c r="AO455" s="87">
        <f t="shared" ref="AO455:AO518" si="366">IF(Q455&gt;0,Q455,IF(AC455=1,$B455+2,IF(AC454=1,1,IF(AC454=2,0,IF(AO454=$G454,0,(IF(AO454&gt;=1,AO454+1,0)))))))</f>
        <v>0</v>
      </c>
      <c r="AP455" s="87">
        <f t="shared" ref="AP455:AP518" si="367">IF(R455&gt;0,R455,IF(AD455=1,$B455+2,IF(AD454=1,1,IF(AD454=2,0,IF(AP454=$G454,0,(IF(AP454&gt;=1,AP454+1,0)))))))</f>
        <v>0</v>
      </c>
      <c r="AQ455" s="87">
        <f t="shared" ref="AQ455:AQ518" si="368">IF(S455&gt;0,S455,IF(AE455=1,$B455+2,IF(AE454=1,1,IF(AE454=2,0,IF(AQ454=$G454,0,(IF(AQ454&gt;=1,AQ454+1,0)))))))</f>
        <v>15</v>
      </c>
      <c r="AR455" s="81"/>
      <c r="AS455" s="85">
        <f t="shared" ref="AS455:AS518" si="369">IF(AND(BT455&gt;=$AG$5,BT455&lt;=$AQ$5),LOOKUP(BT455,$AG$5:$AQ$5,$AG455:$AQ455),IF(BT454="A",0,IF(AS454=$H455,0,IF(AS454=0,0,AS454+1))))</f>
        <v>75</v>
      </c>
      <c r="AT455" s="85">
        <f t="shared" ref="AT455:AT518" si="370">IF(AND(BU455&gt;=$AG$5,BU455&lt;=$AQ$5),LOOKUP(BU455,$AG$5:$AQ$5,$AG455:$AQ455),IF(BU454="A",0,IF(AT454=$H455,0,IF(AT454=0,0,AT454+1))))</f>
        <v>51</v>
      </c>
      <c r="AU455" s="85">
        <f t="shared" ref="AU455:AU518" si="371">IF(AND(BV455&gt;=$AG$5,BV455&lt;=$AQ$5),LOOKUP(BV455,$AG$5:$AQ$5,$AG455:$AQ455),IF(BV454="A",0,IF(AU454=$H455,0,IF(AU454=0,0,AU454+1))))</f>
        <v>101</v>
      </c>
      <c r="AV455" s="85">
        <f t="shared" ref="AV455:AV518" si="372">IF(AND(BW455&gt;=$AG$5,BW455&lt;=$AQ$5),LOOKUP(BW455,$AG$5:$AQ$5,$AG455:$AQ455),IF(BW454="A",0,IF(AV454=$H455,0,IF(AV454=0,0,AV454+1))))</f>
        <v>19</v>
      </c>
      <c r="AW455" s="85">
        <f t="shared" ref="AW455:AW518" si="373">IF(AND(BX455&gt;=$AG$5,BX455&lt;=$AQ$5),LOOKUP(BX455,$AG$5:$AQ$5,$AG455:$AQ455),IF(BX454="A",0,IF(AW454=$H455,0,IF(AW454=0,0,AW454+1))))</f>
        <v>85</v>
      </c>
      <c r="AX455" s="85">
        <f t="shared" ref="AX455:AX518" si="374">IF(AND(BY455&gt;=$AG$5,BY455&lt;=$AQ$5),LOOKUP(BY455,$AG$5:$AQ$5,$AG455:$AQ455),IF(BY454="A",0,IF(AX454=$H455,0,IF(AX454=0,0,AX454+1))))</f>
        <v>28</v>
      </c>
      <c r="AY455" s="85">
        <f t="shared" ref="AY455:AY518" si="375">IF(AND(BZ455&gt;=$AG$5,BZ455&lt;=$AQ$5),LOOKUP(BZ455,$AG$5:$AQ$5,$AG455:$AQ455),IF(BZ454="A",0,IF(AY454=$H455,0,IF(AY454=0,0,AY454+1))))</f>
        <v>82</v>
      </c>
      <c r="AZ455" s="85">
        <f t="shared" ref="AZ455:AZ518" si="376">IF(AND(CA455&gt;=$AG$5,CA455&lt;=$AQ$5),LOOKUP(CA455,$AG$5:$AQ$5,$AG455:$AQ455),IF(CA454="A",0,IF(AZ454=$H455,0,IF(AZ454=0,0,AZ454+1))))</f>
        <v>15</v>
      </c>
      <c r="BA455" s="85">
        <f t="shared" ref="BA455:BA518" si="377">IF(AND(CB455&gt;=$AG$5,CB455&lt;=$AQ$5),LOOKUP(CB455,$AG$5:$AQ$5,$AG455:$AQ455),IF(CB454="A",0,IF(BA454=$H455,0,IF(BA454=0,0,BA454+1))))</f>
        <v>15</v>
      </c>
      <c r="BB455" s="85">
        <f t="shared" ref="BB455:BB518" si="378">IF(AND(CC455&gt;=$AG$5,CC455&lt;=$AQ$5),LOOKUP(CC455,$AG$5:$AQ$5,$AG455:$AQ455),IF(CC454="A",0,IF(BB454=$H455,0,IF(BB454=0,0,BB454+1))))</f>
        <v>50</v>
      </c>
      <c r="BC455" s="85">
        <f t="shared" ref="BC455:BC518" si="379">IF(AND(CD455&gt;=$AG$5,CD455&lt;=$AQ$5),LOOKUP(CD455,$AG$5:$AQ$5,$AG455:$AQ455),IF(CD454="A",0,IF(BC454=$H455,0,IF(BC454=0,0,BC454+1))))</f>
        <v>73</v>
      </c>
      <c r="BD455" s="85">
        <f t="shared" ref="BD455:BD518" si="380">IF(AND(CE455&gt;=$AG$5,CE455&lt;=$AQ$5),LOOKUP(CE455,$AG$5:$AQ$5,$AG455:$AQ455),IF(CE454="A",0,IF(BD454=$H455,0,IF(BD454=0,0,BD454+1))))</f>
        <v>16</v>
      </c>
      <c r="BE455" s="85">
        <f t="shared" ref="BE455:BE518" si="381">IF(AND(CF455&gt;=$AG$5,CF455&lt;=$AQ$5),LOOKUP(CF455,$AG$5:$AQ$5,$AG455:$AQ455),IF(CF454="A",0,IF(BE454=$H455,0,IF(BE454=0,0,BE454+1))))</f>
        <v>66</v>
      </c>
      <c r="BF455" s="85">
        <f t="shared" ref="BF455:BF518" si="382">IF(AND(CG455&gt;=$AG$5,CG455&lt;=$AQ$5),LOOKUP(CG455,$AG$5:$AQ$5,$AG455:$AQ455),IF(CG454="A",0,IF(BF454=$H455,0,IF(BF454=0,0,BF454+1))))</f>
        <v>66</v>
      </c>
      <c r="BG455" s="85">
        <f t="shared" ref="BG455:BG518" si="383">IF(AND(CH455&gt;=$AG$5,CH455&lt;=$AQ$5),LOOKUP(CH455,$AG$5:$AQ$5,$AG455:$AQ455),IF(CH454="A",0,IF(BG454=$H455,0,IF(BG454=0,0,BG454+1))))</f>
        <v>71</v>
      </c>
      <c r="BH455" s="85">
        <f t="shared" ref="BH455:BH518" si="384">IF(AND(CI455&gt;=$AG$5,CI455&lt;=$AQ$5),LOOKUP(CI455,$AG$5:$AQ$5,$AG455:$AQ455),IF(CI454="A",0,IF(BH454=$H455,0,IF(BH454=0,0,BH454+1))))</f>
        <v>71</v>
      </c>
      <c r="BI455" s="85">
        <f t="shared" ref="BI455:BI518" si="385">IF(AND(CJ455&gt;=$AG$5,CJ455&lt;=$AQ$5),LOOKUP(CJ455,$AG$5:$AQ$5,$AG455:$AQ455),IF(CJ454="A",0,IF(BI454=$H455,0,IF(BI454=0,0,BI454+1))))</f>
        <v>70</v>
      </c>
      <c r="BJ455" s="85">
        <f t="shared" ref="BJ455:BJ518" si="386">IF(AND(CK455&gt;=$AG$5,CK455&lt;=$AQ$5),LOOKUP(CK455,$AG$5:$AQ$5,$AG455:$AQ455),IF(CK454="A",0,IF(BJ454=$H455,0,IF(BJ454=0,0,BJ454+1))))</f>
        <v>70</v>
      </c>
      <c r="BK455" s="85">
        <f t="shared" ref="BK455:BK518" si="387">IF(AND(CL455&gt;=$AG$5,CL455&lt;=$AQ$5),LOOKUP(CL455,$AG$5:$AQ$5,$AG455:$AQ455),IF(CL454="A",0,IF(BK454=$H455,0,IF(BK454=0,0,BK454+1))))</f>
        <v>22</v>
      </c>
      <c r="BL455" s="85">
        <f t="shared" ref="BL455:BL518" si="388">IF(AND(CM455&gt;=$AG$5,CM455&lt;=$AQ$5),LOOKUP(CM455,$AG$5:$AQ$5,$AG455:$AQ455),IF(CM454="A",0,IF(BL454=$H455,0,IF(BL454=0,0,BL454+1))))</f>
        <v>22</v>
      </c>
      <c r="BM455" s="85">
        <f t="shared" ref="BM455:BM518" si="389">IF(AND(CN455&gt;=$AG$5,CN455&lt;=$AQ$5),LOOKUP(CN455,$AG$5:$AQ$5,$AG455:$AQ455),IF(CN454="A",0,IF(BM454=$H455,0,IF(BM454=0,0,BM454+1))))</f>
        <v>20</v>
      </c>
      <c r="BN455" s="85">
        <f t="shared" ref="BN455:BN518" si="390">IF(AND(CO455&gt;=$AG$5,CO455&lt;=$AQ$5),LOOKUP(CO455,$AG$5:$AQ$5,$AG455:$AQ455),IF(CO454="A",0,IF(BN454=$H455,0,IF(BN454=0,0,BN454+1))))</f>
        <v>0</v>
      </c>
      <c r="BO455" s="85">
        <f t="shared" ref="BO455:BO518" si="391">IF(AND(CP455&gt;=$AG$5,CP455&lt;=$AQ$5),LOOKUP(CP455,$AG$5:$AQ$5,$AG455:$AQ455),IF(CP454="A",0,IF(BO454=$H455,0,IF(BO454=0,0,BO454+1))))</f>
        <v>0</v>
      </c>
      <c r="BP455" s="85">
        <f t="shared" ref="BP455:BP518" si="392">IF(AND(CQ455&gt;=$AG$5,CQ455&lt;=$AQ$5),LOOKUP(CQ455,$AG$5:$AQ$5,$AG455:$AQ455),IF(CQ454="A",0,IF(BP454=$H455,0,IF(BP454=0,0,BP454+1))))</f>
        <v>0</v>
      </c>
      <c r="BQ455" s="85">
        <f t="shared" ref="BQ455:BQ518" si="393">IF(AND(CR455&gt;=$AG$5,CR455&lt;=$AQ$5),LOOKUP(CR455,$AG$5:$AQ$5,$AG455:$AQ455),IF(CR454="A",0,IF(BQ454=$H455,0,IF(BQ454=0,0,BQ454+1))))</f>
        <v>0</v>
      </c>
      <c r="BR455" s="85">
        <f t="shared" ref="BR455:BR518" si="394">IF(AND(CS455&gt;=$AG$5,CS455&lt;=$AQ$5),LOOKUP(CS455,$AG$5:$AQ$5,$AG455:$AQ455),IF(CS454="A",0,IF(BR454=$H455,0,IF(BR454=0,0,BR454+1))))</f>
        <v>0</v>
      </c>
      <c r="BT455" s="63"/>
      <c r="BU455" s="63"/>
      <c r="BV455" s="63"/>
      <c r="BW455" s="63"/>
      <c r="BX455" s="63"/>
      <c r="BY455" s="63"/>
      <c r="BZ455" s="63"/>
      <c r="CA455" s="63">
        <v>5</v>
      </c>
      <c r="CB455" s="63">
        <v>6</v>
      </c>
      <c r="CC455" s="63"/>
      <c r="CD455" s="63"/>
      <c r="CE455" s="63"/>
      <c r="CF455" s="63"/>
      <c r="CG455" s="63"/>
      <c r="CH455" s="63"/>
      <c r="CI455" s="63"/>
      <c r="CJ455" s="63"/>
      <c r="CK455" s="63"/>
      <c r="CL455" s="63"/>
      <c r="CM455" s="63"/>
      <c r="CN455" s="63"/>
      <c r="CO455" s="63"/>
      <c r="CP455" s="63"/>
      <c r="CQ455" s="63"/>
      <c r="CR455" s="63"/>
      <c r="CS455" s="63"/>
      <c r="CX455" s="35" t="s">
        <v>12</v>
      </c>
      <c r="CZ455" s="35"/>
      <c r="DC455" s="57" t="str">
        <f t="shared" ref="DC455:DC518" si="395">IF(AND(AG455&gt;0,AG454=0),$AG$5,IF(AND(AK455&gt;0,AK454=0),$AK$5,IF(AND(AO455&gt;0,AO454=0),$AO$5,IF(AND(AI455&gt;0,AI454=0),$AI$5,IF(AND(AJ455&gt;0,AJ454=0),$AJ$5,IF(AND(AQ455&gt;0,AQ454=0),$AQ$5,IF(AND(AL455&gt;0,AL454=0),$AL$5,IF(AND(AM455&gt;0,AM454=0),$AM$5,IF(AND(AN455&gt;0,AN454=0),$AN$5,"")))))))))</f>
        <v/>
      </c>
      <c r="DD455" s="64" t="str">
        <f t="shared" ref="DD455:DD518" si="396">IF(OR(AND($AG456=1,$AG457=2),OR(AND($AK456=1,$AK457=2),OR(AND($AO456=1,$AO457=2),OR(AND($AI456=1,$AI457=2),OR(AND($AJ456=1,$AJ457),OR(AND($AQ456=1,$AQ457=2,OR(AND($AL456=1,$AL457=2,OR(AND($AM456=1,$AM457=2,OR(AND($AN456=1,$AN457=2))))))))))))),$B455+2,"")</f>
        <v/>
      </c>
      <c r="DE455" s="65" t="str">
        <f t="shared" ref="DE455:DE518" si="397">IF(DD455="","",DD455+(15*7))</f>
        <v/>
      </c>
      <c r="DF455" s="66" t="str">
        <f t="shared" si="357"/>
        <v/>
      </c>
    </row>
    <row r="456" spans="2:110">
      <c r="B456" s="54">
        <f t="shared" si="352"/>
        <v>46244</v>
      </c>
      <c r="C456" s="55" t="s">
        <v>1</v>
      </c>
      <c r="D456" s="56">
        <f t="shared" si="353"/>
        <v>46250</v>
      </c>
      <c r="E456" s="52">
        <f t="shared" si="354"/>
        <v>8</v>
      </c>
      <c r="F456" s="53">
        <f t="shared" si="355"/>
        <v>2026</v>
      </c>
      <c r="G456" s="62">
        <f t="shared" si="350"/>
        <v>15</v>
      </c>
      <c r="H456" s="63">
        <f t="shared" si="351"/>
        <v>106</v>
      </c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>
        <v>15</v>
      </c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80"/>
      <c r="AG456" s="87">
        <f t="shared" si="358"/>
        <v>2</v>
      </c>
      <c r="AH456" s="87">
        <f t="shared" si="359"/>
        <v>0</v>
      </c>
      <c r="AI456" s="87">
        <f t="shared" si="360"/>
        <v>0</v>
      </c>
      <c r="AJ456" s="87">
        <f t="shared" si="361"/>
        <v>0</v>
      </c>
      <c r="AK456" s="87">
        <f t="shared" si="362"/>
        <v>0</v>
      </c>
      <c r="AL456" s="87">
        <f t="shared" si="363"/>
        <v>0</v>
      </c>
      <c r="AM456" s="87">
        <f t="shared" si="364"/>
        <v>0</v>
      </c>
      <c r="AN456" s="87">
        <f t="shared" si="365"/>
        <v>0</v>
      </c>
      <c r="AO456" s="87">
        <f t="shared" si="366"/>
        <v>0</v>
      </c>
      <c r="AP456" s="87">
        <f t="shared" si="367"/>
        <v>0</v>
      </c>
      <c r="AQ456" s="87">
        <f t="shared" si="368"/>
        <v>15</v>
      </c>
      <c r="AR456" s="81"/>
      <c r="AS456" s="85">
        <f t="shared" si="369"/>
        <v>76</v>
      </c>
      <c r="AT456" s="85">
        <f t="shared" si="370"/>
        <v>52</v>
      </c>
      <c r="AU456" s="85">
        <f t="shared" si="371"/>
        <v>102</v>
      </c>
      <c r="AV456" s="85">
        <f t="shared" si="372"/>
        <v>20</v>
      </c>
      <c r="AW456" s="85">
        <f t="shared" si="373"/>
        <v>86</v>
      </c>
      <c r="AX456" s="85">
        <f t="shared" si="374"/>
        <v>29</v>
      </c>
      <c r="AY456" s="85">
        <f t="shared" si="375"/>
        <v>83</v>
      </c>
      <c r="AZ456" s="85">
        <f t="shared" si="376"/>
        <v>16</v>
      </c>
      <c r="BA456" s="85">
        <f t="shared" si="377"/>
        <v>16</v>
      </c>
      <c r="BB456" s="85">
        <f t="shared" si="378"/>
        <v>51</v>
      </c>
      <c r="BC456" s="85">
        <f t="shared" si="379"/>
        <v>74</v>
      </c>
      <c r="BD456" s="85">
        <f t="shared" si="380"/>
        <v>17</v>
      </c>
      <c r="BE456" s="85">
        <f t="shared" si="381"/>
        <v>67</v>
      </c>
      <c r="BF456" s="85">
        <f t="shared" si="382"/>
        <v>67</v>
      </c>
      <c r="BG456" s="85">
        <f t="shared" si="383"/>
        <v>72</v>
      </c>
      <c r="BH456" s="85">
        <f t="shared" si="384"/>
        <v>72</v>
      </c>
      <c r="BI456" s="85">
        <f t="shared" si="385"/>
        <v>71</v>
      </c>
      <c r="BJ456" s="85">
        <f t="shared" si="386"/>
        <v>71</v>
      </c>
      <c r="BK456" s="85">
        <f t="shared" si="387"/>
        <v>23</v>
      </c>
      <c r="BL456" s="85">
        <f t="shared" si="388"/>
        <v>23</v>
      </c>
      <c r="BM456" s="85">
        <f t="shared" si="389"/>
        <v>21</v>
      </c>
      <c r="BN456" s="85">
        <f t="shared" si="390"/>
        <v>0</v>
      </c>
      <c r="BO456" s="85">
        <f t="shared" si="391"/>
        <v>0</v>
      </c>
      <c r="BP456" s="85">
        <f t="shared" si="392"/>
        <v>0</v>
      </c>
      <c r="BQ456" s="85">
        <f t="shared" si="393"/>
        <v>0</v>
      </c>
      <c r="BR456" s="85">
        <f t="shared" si="394"/>
        <v>0</v>
      </c>
      <c r="BT456" s="63"/>
      <c r="BU456" s="63"/>
      <c r="BV456" s="63"/>
      <c r="BW456" s="63"/>
      <c r="BX456" s="63"/>
      <c r="BY456" s="63"/>
      <c r="BZ456" s="63"/>
      <c r="CA456" s="63"/>
      <c r="CB456" s="63"/>
      <c r="CC456" s="63"/>
      <c r="CD456" s="63"/>
      <c r="CE456" s="63"/>
      <c r="CF456" s="63"/>
      <c r="CG456" s="63"/>
      <c r="CH456" s="63"/>
      <c r="CI456" s="63"/>
      <c r="CJ456" s="63"/>
      <c r="CK456" s="63"/>
      <c r="CL456" s="63"/>
      <c r="CM456" s="63"/>
      <c r="CN456" s="63"/>
      <c r="CO456" s="63"/>
      <c r="CP456" s="63"/>
      <c r="CQ456" s="63"/>
      <c r="CR456" s="63"/>
      <c r="CS456" s="63"/>
      <c r="CX456" s="35" t="s">
        <v>12</v>
      </c>
      <c r="CZ456" s="35"/>
      <c r="DC456" s="57" t="str">
        <f t="shared" si="395"/>
        <v/>
      </c>
      <c r="DD456" s="64" t="str">
        <f t="shared" si="396"/>
        <v/>
      </c>
      <c r="DE456" s="65" t="str">
        <f t="shared" si="397"/>
        <v/>
      </c>
      <c r="DF456" s="66" t="str">
        <f t="shared" si="357"/>
        <v/>
      </c>
    </row>
    <row r="457" spans="2:110">
      <c r="B457" s="54">
        <f t="shared" si="352"/>
        <v>46251</v>
      </c>
      <c r="C457" s="55" t="s">
        <v>1</v>
      </c>
      <c r="D457" s="56">
        <f t="shared" si="353"/>
        <v>46257</v>
      </c>
      <c r="E457" s="52">
        <f t="shared" si="354"/>
        <v>8</v>
      </c>
      <c r="F457" s="53">
        <f t="shared" si="355"/>
        <v>2026</v>
      </c>
      <c r="G457" s="62">
        <f t="shared" ref="G457:H520" si="398">G456</f>
        <v>15</v>
      </c>
      <c r="H457" s="63">
        <f t="shared" si="398"/>
        <v>106</v>
      </c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>
        <v>15</v>
      </c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80"/>
      <c r="AG457" s="87">
        <f t="shared" si="358"/>
        <v>3</v>
      </c>
      <c r="AH457" s="87">
        <f t="shared" si="359"/>
        <v>0</v>
      </c>
      <c r="AI457" s="87">
        <f t="shared" si="360"/>
        <v>0</v>
      </c>
      <c r="AJ457" s="87">
        <f t="shared" si="361"/>
        <v>0</v>
      </c>
      <c r="AK457" s="87">
        <f t="shared" si="362"/>
        <v>0</v>
      </c>
      <c r="AL457" s="87">
        <f t="shared" si="363"/>
        <v>0</v>
      </c>
      <c r="AM457" s="87">
        <f t="shared" si="364"/>
        <v>0</v>
      </c>
      <c r="AN457" s="87">
        <f t="shared" si="365"/>
        <v>0</v>
      </c>
      <c r="AO457" s="87">
        <f t="shared" si="366"/>
        <v>0</v>
      </c>
      <c r="AP457" s="87">
        <f t="shared" si="367"/>
        <v>0</v>
      </c>
      <c r="AQ457" s="87">
        <f t="shared" si="368"/>
        <v>15</v>
      </c>
      <c r="AR457" s="81"/>
      <c r="AS457" s="85">
        <f t="shared" si="369"/>
        <v>77</v>
      </c>
      <c r="AT457" s="85">
        <f t="shared" si="370"/>
        <v>53</v>
      </c>
      <c r="AU457" s="85">
        <f t="shared" si="371"/>
        <v>103</v>
      </c>
      <c r="AV457" s="85">
        <f t="shared" si="372"/>
        <v>21</v>
      </c>
      <c r="AW457" s="85">
        <f t="shared" si="373"/>
        <v>87</v>
      </c>
      <c r="AX457" s="85">
        <f t="shared" si="374"/>
        <v>30</v>
      </c>
      <c r="AY457" s="85">
        <f t="shared" si="375"/>
        <v>84</v>
      </c>
      <c r="AZ457" s="85">
        <f t="shared" si="376"/>
        <v>17</v>
      </c>
      <c r="BA457" s="85">
        <f t="shared" si="377"/>
        <v>17</v>
      </c>
      <c r="BB457" s="85">
        <f t="shared" si="378"/>
        <v>52</v>
      </c>
      <c r="BC457" s="85">
        <f t="shared" si="379"/>
        <v>75</v>
      </c>
      <c r="BD457" s="85">
        <f t="shared" si="380"/>
        <v>18</v>
      </c>
      <c r="BE457" s="85">
        <f t="shared" si="381"/>
        <v>68</v>
      </c>
      <c r="BF457" s="85">
        <f t="shared" si="382"/>
        <v>68</v>
      </c>
      <c r="BG457" s="85">
        <f t="shared" si="383"/>
        <v>73</v>
      </c>
      <c r="BH457" s="85">
        <f t="shared" si="384"/>
        <v>73</v>
      </c>
      <c r="BI457" s="85">
        <f t="shared" si="385"/>
        <v>72</v>
      </c>
      <c r="BJ457" s="85">
        <f t="shared" si="386"/>
        <v>72</v>
      </c>
      <c r="BK457" s="85">
        <f t="shared" si="387"/>
        <v>24</v>
      </c>
      <c r="BL457" s="85">
        <f t="shared" si="388"/>
        <v>24</v>
      </c>
      <c r="BM457" s="85">
        <f t="shared" si="389"/>
        <v>22</v>
      </c>
      <c r="BN457" s="85">
        <f t="shared" si="390"/>
        <v>0</v>
      </c>
      <c r="BO457" s="85">
        <f t="shared" si="391"/>
        <v>0</v>
      </c>
      <c r="BP457" s="85">
        <f t="shared" si="392"/>
        <v>0</v>
      </c>
      <c r="BQ457" s="85">
        <f t="shared" si="393"/>
        <v>0</v>
      </c>
      <c r="BR457" s="85">
        <f t="shared" si="394"/>
        <v>0</v>
      </c>
      <c r="BT457" s="63"/>
      <c r="BU457" s="63"/>
      <c r="BV457" s="63"/>
      <c r="BW457" s="63"/>
      <c r="BX457" s="63"/>
      <c r="BY457" s="63"/>
      <c r="BZ457" s="63"/>
      <c r="CA457" s="63"/>
      <c r="CB457" s="63"/>
      <c r="CC457" s="63"/>
      <c r="CD457" s="63"/>
      <c r="CE457" s="63"/>
      <c r="CF457" s="63"/>
      <c r="CG457" s="63"/>
      <c r="CH457" s="63"/>
      <c r="CI457" s="63"/>
      <c r="CJ457" s="63"/>
      <c r="CK457" s="63"/>
      <c r="CL457" s="63"/>
      <c r="CM457" s="63"/>
      <c r="CN457" s="63"/>
      <c r="CO457" s="63"/>
      <c r="CP457" s="63"/>
      <c r="CQ457" s="63"/>
      <c r="CR457" s="63"/>
      <c r="CS457" s="63"/>
      <c r="CX457" s="35" t="s">
        <v>12</v>
      </c>
      <c r="CZ457" s="35"/>
      <c r="DC457" s="57" t="str">
        <f>IF(AND(AG457&gt;0,AG456=0),$AG$5,IF(AND(AK457&gt;0,AK456=0),$AK$5,IF(AND(AO457&gt;0,AO456=0),$AO$5,IF(AND(AI457&gt;0,AI456=0),$AI$5,IF(AND(AJ457&gt;0,AJ456=0),$AJ$5,IF(AND(AQ457&gt;0,AQ456=0),$AQ$5,IF(AND(AL457&gt;0,AL456=0),$AL$5,IF(AND(AM457&gt;0,AM456=0),$AM$5,IF(AND(AN457&gt;0,AN456=0),$AN$5,"")))))))))</f>
        <v/>
      </c>
      <c r="DD457" s="64" t="str">
        <f>IF(OR(AND($AG458=1,$AG459=2),OR(AND($AK458=1,$AK459=2),OR(AND($AO458=1,$AO459=2),OR(AND($AI458=1,$AI459=2),OR(AND($AJ458=1,$AJ459),OR(AND($AQ458=1,$AQ459=2,OR(AND($AL458=1,$AL459=2,OR(AND($AM458=1,$AM459=2,OR(AND($AN458=1,$AN459=2))))))))))))),$B457+2,"")</f>
        <v/>
      </c>
      <c r="DE457" s="65" t="str">
        <f t="shared" si="397"/>
        <v/>
      </c>
      <c r="DF457" s="66" t="str">
        <f t="shared" si="357"/>
        <v/>
      </c>
    </row>
    <row r="458" spans="2:110">
      <c r="B458" s="54">
        <f t="shared" si="352"/>
        <v>46258</v>
      </c>
      <c r="C458" s="55" t="s">
        <v>1</v>
      </c>
      <c r="D458" s="56">
        <f t="shared" si="353"/>
        <v>46264</v>
      </c>
      <c r="E458" s="52">
        <f t="shared" si="354"/>
        <v>8</v>
      </c>
      <c r="F458" s="53">
        <f t="shared" si="355"/>
        <v>2026</v>
      </c>
      <c r="G458" s="62">
        <f t="shared" si="398"/>
        <v>15</v>
      </c>
      <c r="H458" s="63">
        <f t="shared" si="398"/>
        <v>106</v>
      </c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>
        <v>15</v>
      </c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80"/>
      <c r="AG458" s="87">
        <f t="shared" si="358"/>
        <v>4</v>
      </c>
      <c r="AH458" s="87">
        <f t="shared" si="359"/>
        <v>0</v>
      </c>
      <c r="AI458" s="87">
        <f t="shared" si="360"/>
        <v>0</v>
      </c>
      <c r="AJ458" s="87">
        <f t="shared" si="361"/>
        <v>0</v>
      </c>
      <c r="AK458" s="87">
        <f t="shared" si="362"/>
        <v>0</v>
      </c>
      <c r="AL458" s="87">
        <f t="shared" si="363"/>
        <v>0</v>
      </c>
      <c r="AM458" s="87">
        <f t="shared" si="364"/>
        <v>0</v>
      </c>
      <c r="AN458" s="87">
        <f t="shared" si="365"/>
        <v>0</v>
      </c>
      <c r="AO458" s="87">
        <f t="shared" si="366"/>
        <v>0</v>
      </c>
      <c r="AP458" s="87">
        <f t="shared" si="367"/>
        <v>0</v>
      </c>
      <c r="AQ458" s="87">
        <f t="shared" si="368"/>
        <v>15</v>
      </c>
      <c r="AR458" s="81"/>
      <c r="AS458" s="85">
        <f t="shared" si="369"/>
        <v>78</v>
      </c>
      <c r="AT458" s="85">
        <f t="shared" si="370"/>
        <v>54</v>
      </c>
      <c r="AU458" s="85">
        <f t="shared" si="371"/>
        <v>104</v>
      </c>
      <c r="AV458" s="85">
        <f t="shared" si="372"/>
        <v>22</v>
      </c>
      <c r="AW458" s="85">
        <f t="shared" si="373"/>
        <v>88</v>
      </c>
      <c r="AX458" s="85">
        <f t="shared" si="374"/>
        <v>31</v>
      </c>
      <c r="AY458" s="85">
        <f t="shared" si="375"/>
        <v>85</v>
      </c>
      <c r="AZ458" s="85">
        <f t="shared" si="376"/>
        <v>18</v>
      </c>
      <c r="BA458" s="85">
        <f t="shared" si="377"/>
        <v>18</v>
      </c>
      <c r="BB458" s="85">
        <f t="shared" si="378"/>
        <v>53</v>
      </c>
      <c r="BC458" s="85">
        <f t="shared" si="379"/>
        <v>76</v>
      </c>
      <c r="BD458" s="85">
        <f t="shared" si="380"/>
        <v>19</v>
      </c>
      <c r="BE458" s="85">
        <f t="shared" si="381"/>
        <v>69</v>
      </c>
      <c r="BF458" s="85">
        <f t="shared" si="382"/>
        <v>69</v>
      </c>
      <c r="BG458" s="85">
        <f t="shared" si="383"/>
        <v>74</v>
      </c>
      <c r="BH458" s="85">
        <f t="shared" si="384"/>
        <v>74</v>
      </c>
      <c r="BI458" s="85">
        <f t="shared" si="385"/>
        <v>73</v>
      </c>
      <c r="BJ458" s="85">
        <f t="shared" si="386"/>
        <v>73</v>
      </c>
      <c r="BK458" s="85">
        <f t="shared" si="387"/>
        <v>25</v>
      </c>
      <c r="BL458" s="85">
        <f t="shared" si="388"/>
        <v>25</v>
      </c>
      <c r="BM458" s="85">
        <f t="shared" si="389"/>
        <v>23</v>
      </c>
      <c r="BN458" s="85">
        <f t="shared" si="390"/>
        <v>0</v>
      </c>
      <c r="BO458" s="85">
        <f t="shared" si="391"/>
        <v>15</v>
      </c>
      <c r="BP458" s="85">
        <f t="shared" si="392"/>
        <v>0</v>
      </c>
      <c r="BQ458" s="85">
        <f t="shared" si="393"/>
        <v>0</v>
      </c>
      <c r="BR458" s="85">
        <f t="shared" si="394"/>
        <v>0</v>
      </c>
      <c r="BT458" s="63"/>
      <c r="BU458" s="63"/>
      <c r="BV458" s="63"/>
      <c r="BW458" s="63"/>
      <c r="BX458" s="63"/>
      <c r="BY458" s="63"/>
      <c r="BZ458" s="63"/>
      <c r="CA458" s="63"/>
      <c r="CB458" s="63"/>
      <c r="CC458" s="63"/>
      <c r="CD458" s="63"/>
      <c r="CE458" s="63"/>
      <c r="CF458" s="63"/>
      <c r="CG458" s="63"/>
      <c r="CH458" s="63"/>
      <c r="CI458" s="63"/>
      <c r="CJ458" s="63"/>
      <c r="CK458" s="63"/>
      <c r="CL458" s="63"/>
      <c r="CM458" s="63"/>
      <c r="CN458" s="63"/>
      <c r="CO458" s="63"/>
      <c r="CP458" s="63">
        <v>11</v>
      </c>
      <c r="CQ458" s="63"/>
      <c r="CR458" s="63"/>
      <c r="CS458" s="63"/>
      <c r="CX458" s="35" t="s">
        <v>12</v>
      </c>
      <c r="CZ458" s="35"/>
      <c r="DC458" s="57" t="str">
        <f t="shared" ref="DC458:DC521" si="399">IF(AND(AG458&gt;0,AG457=0),$AG$5,IF(AND(AK458&gt;0,AK457=0),$AK$5,IF(AND(AO458&gt;0,AO457=0),$AO$5,IF(AND(AI458&gt;0,AI457=0),$AI$5,IF(AND(AJ458&gt;0,AJ457=0),$AJ$5,IF(AND(AQ458&gt;0,AQ457=0),$AQ$5,IF(AND(AL458&gt;0,AL457=0),$AL$5,IF(AND(AM458&gt;0,AM457=0),$AM$5,IF(AND(AN458&gt;0,AN457=0),$AN$5,"")))))))))</f>
        <v/>
      </c>
      <c r="DD458" s="64" t="str">
        <f t="shared" si="396"/>
        <v/>
      </c>
      <c r="DE458" s="65" t="str">
        <f t="shared" si="397"/>
        <v/>
      </c>
      <c r="DF458" s="66" t="str">
        <f t="shared" si="357"/>
        <v/>
      </c>
    </row>
    <row r="459" spans="2:110">
      <c r="B459" s="54">
        <f t="shared" si="352"/>
        <v>46265</v>
      </c>
      <c r="C459" s="55" t="s">
        <v>1</v>
      </c>
      <c r="D459" s="56">
        <f t="shared" si="353"/>
        <v>46271</v>
      </c>
      <c r="E459" s="52">
        <f t="shared" si="354"/>
        <v>8</v>
      </c>
      <c r="F459" s="53">
        <f t="shared" si="355"/>
        <v>2026</v>
      </c>
      <c r="G459" s="62">
        <f t="shared" si="398"/>
        <v>15</v>
      </c>
      <c r="H459" s="63">
        <f t="shared" si="398"/>
        <v>106</v>
      </c>
      <c r="I459" s="62"/>
      <c r="J459" s="62"/>
      <c r="K459" s="62">
        <v>5</v>
      </c>
      <c r="L459" s="62"/>
      <c r="M459" s="62"/>
      <c r="N459" s="62"/>
      <c r="O459" s="62"/>
      <c r="P459" s="62"/>
      <c r="Q459" s="62"/>
      <c r="R459" s="62"/>
      <c r="S459" s="62">
        <v>15</v>
      </c>
      <c r="U459" s="79"/>
      <c r="V459" s="79"/>
      <c r="W459" s="79"/>
      <c r="X459" s="79"/>
      <c r="Y459" s="79">
        <v>1</v>
      </c>
      <c r="Z459" s="79"/>
      <c r="AA459" s="79"/>
      <c r="AB459" s="79"/>
      <c r="AC459" s="79">
        <v>1</v>
      </c>
      <c r="AD459" s="79"/>
      <c r="AE459" s="79"/>
      <c r="AF459" s="80"/>
      <c r="AG459" s="87">
        <f t="shared" si="358"/>
        <v>5</v>
      </c>
      <c r="AH459" s="87">
        <f t="shared" si="359"/>
        <v>0</v>
      </c>
      <c r="AI459" s="87">
        <f t="shared" si="360"/>
        <v>5</v>
      </c>
      <c r="AJ459" s="87">
        <f t="shared" si="361"/>
        <v>0</v>
      </c>
      <c r="AK459" s="87">
        <f t="shared" si="362"/>
        <v>46267</v>
      </c>
      <c r="AL459" s="87">
        <f t="shared" si="363"/>
        <v>0</v>
      </c>
      <c r="AM459" s="87">
        <f t="shared" si="364"/>
        <v>0</v>
      </c>
      <c r="AN459" s="87">
        <f t="shared" si="365"/>
        <v>0</v>
      </c>
      <c r="AO459" s="87">
        <f t="shared" si="366"/>
        <v>46267</v>
      </c>
      <c r="AP459" s="87">
        <f t="shared" si="367"/>
        <v>0</v>
      </c>
      <c r="AQ459" s="87">
        <f t="shared" si="368"/>
        <v>15</v>
      </c>
      <c r="AR459" s="81"/>
      <c r="AS459" s="85">
        <f t="shared" si="369"/>
        <v>79</v>
      </c>
      <c r="AT459" s="85">
        <f t="shared" si="370"/>
        <v>55</v>
      </c>
      <c r="AU459" s="85">
        <f t="shared" si="371"/>
        <v>105</v>
      </c>
      <c r="AV459" s="85">
        <f t="shared" si="372"/>
        <v>23</v>
      </c>
      <c r="AW459" s="85">
        <f t="shared" si="373"/>
        <v>89</v>
      </c>
      <c r="AX459" s="85">
        <f t="shared" si="374"/>
        <v>32</v>
      </c>
      <c r="AY459" s="85">
        <f t="shared" si="375"/>
        <v>86</v>
      </c>
      <c r="AZ459" s="85">
        <f t="shared" si="376"/>
        <v>19</v>
      </c>
      <c r="BA459" s="85">
        <f t="shared" si="377"/>
        <v>19</v>
      </c>
      <c r="BB459" s="85">
        <f t="shared" si="378"/>
        <v>54</v>
      </c>
      <c r="BC459" s="85">
        <f t="shared" si="379"/>
        <v>77</v>
      </c>
      <c r="BD459" s="85">
        <f t="shared" si="380"/>
        <v>20</v>
      </c>
      <c r="BE459" s="85">
        <f t="shared" si="381"/>
        <v>70</v>
      </c>
      <c r="BF459" s="85">
        <f t="shared" si="382"/>
        <v>70</v>
      </c>
      <c r="BG459" s="85">
        <f t="shared" si="383"/>
        <v>75</v>
      </c>
      <c r="BH459" s="85">
        <f t="shared" si="384"/>
        <v>75</v>
      </c>
      <c r="BI459" s="85">
        <f t="shared" si="385"/>
        <v>74</v>
      </c>
      <c r="BJ459" s="85">
        <f t="shared" si="386"/>
        <v>74</v>
      </c>
      <c r="BK459" s="85">
        <f t="shared" si="387"/>
        <v>26</v>
      </c>
      <c r="BL459" s="85">
        <f t="shared" si="388"/>
        <v>26</v>
      </c>
      <c r="BM459" s="85">
        <f t="shared" si="389"/>
        <v>24</v>
      </c>
      <c r="BN459" s="85">
        <f t="shared" si="390"/>
        <v>0</v>
      </c>
      <c r="BO459" s="85">
        <f t="shared" si="391"/>
        <v>16</v>
      </c>
      <c r="BP459" s="85">
        <f t="shared" si="392"/>
        <v>0</v>
      </c>
      <c r="BQ459" s="85">
        <f t="shared" si="393"/>
        <v>15</v>
      </c>
      <c r="BR459" s="85">
        <f t="shared" si="394"/>
        <v>15</v>
      </c>
      <c r="BT459" s="63"/>
      <c r="BU459" s="63"/>
      <c r="BV459" s="63"/>
      <c r="BW459" s="63"/>
      <c r="BX459" s="63"/>
      <c r="BY459" s="63"/>
      <c r="BZ459" s="63"/>
      <c r="CA459" s="63"/>
      <c r="CB459" s="63"/>
      <c r="CC459" s="63"/>
      <c r="CD459" s="63"/>
      <c r="CE459" s="63"/>
      <c r="CF459" s="63"/>
      <c r="CG459" s="63"/>
      <c r="CH459" s="63"/>
      <c r="CI459" s="63"/>
      <c r="CJ459" s="63"/>
      <c r="CK459" s="63"/>
      <c r="CL459" s="63"/>
      <c r="CM459" s="63"/>
      <c r="CN459" s="63"/>
      <c r="CO459" s="63"/>
      <c r="CP459" s="63"/>
      <c r="CQ459" s="63"/>
      <c r="CR459" s="63">
        <v>11</v>
      </c>
      <c r="CS459" s="63">
        <v>11</v>
      </c>
      <c r="CX459" s="35" t="s">
        <v>12</v>
      </c>
      <c r="CZ459" s="35"/>
      <c r="DC459" s="57">
        <f t="shared" si="399"/>
        <v>5</v>
      </c>
      <c r="DD459" s="64">
        <f t="shared" si="396"/>
        <v>46267</v>
      </c>
      <c r="DE459" s="65">
        <f>IF(DD459="","",DD459+(15*7))</f>
        <v>46372</v>
      </c>
      <c r="DF459" s="66" t="str">
        <f>IF(AND(AS474&gt;0,AS473=0),$AS$1,IF(AND(AT474&gt;0,AT473=0),$AT$1,IF(AND(AU474&gt;0,AU473=0),$AU$1,IF(AND(AV474&gt;0,AV473=0),$AV$1,IF(AND(AW474&gt;0,AW473=0),$AW$1,IF(AND(AX474&gt;0,AX473=0),$AX$1,IF(AND(AY474&gt;0,AY473=0),$AY$1,IF(AND(AZ474&gt;0,AZ473=0),$AZ$1,IF(AND(BA474&gt;0,BA473=0),$BA$1,IF(AND(BB474&gt;0,BB473=0),$BB$1,IF(AND(BC474&gt;0,BC473=0),$BC$1,IF(AND(BD474&gt;0,BD473=0),$BD$1,IF(AND(BE474&gt;0,BE473=0),$BE$1,IF(AND(BF474&gt;0,BF473=0),$BF$1,IF(AND(BG474&gt;0,BG473=0),$BG$1,IF(AND(BH474&gt;0,BH473=0),$BH$1,IF(AND(BI474&gt;0,BI473=0),$BI$1,IF(AND(BJ474&gt;0,BJ473=0),$BJ$1,IF(AND(BK474&gt;0,BK473=0),$BK$1,IF(AND(BL474&gt;0,BL473=0),$BL$1,IF(AND(BM474&gt;0,BM473=0),$BM$1,IF(AND(BN474&gt;0,BN473=0),$BN$1,IF(AND(BO474&gt;0,BO473=0),$BO$1,IF(AND(BP474&gt;0,BP473=0),$BP$1,IF(AND(BQ474&gt;0,BQ473=0),$BQ$1,IF(AND(BR474&gt;0,BR473=0),$BQ$1,""))))))))))))))))&amp;(IF(COUNTA(BT474:CS474)&gt;1," ["&amp;COUNTA(BT474:CS474)&amp;"]",""))))))))))))</f>
        <v>VNI</v>
      </c>
    </row>
    <row r="460" spans="2:110">
      <c r="B460" s="54">
        <f t="shared" si="352"/>
        <v>46272</v>
      </c>
      <c r="C460" s="55" t="s">
        <v>1</v>
      </c>
      <c r="D460" s="56">
        <f t="shared" si="353"/>
        <v>46278</v>
      </c>
      <c r="E460" s="52">
        <f t="shared" si="354"/>
        <v>9</v>
      </c>
      <c r="F460" s="53">
        <f t="shared" si="355"/>
        <v>2026</v>
      </c>
      <c r="G460" s="62">
        <f t="shared" si="398"/>
        <v>15</v>
      </c>
      <c r="H460" s="63">
        <f t="shared" ref="H460:H520" si="400">H459</f>
        <v>106</v>
      </c>
      <c r="I460" s="62"/>
      <c r="J460" s="62"/>
      <c r="K460" s="62">
        <v>6</v>
      </c>
      <c r="L460" s="62"/>
      <c r="M460" s="62"/>
      <c r="N460" s="62"/>
      <c r="O460" s="62"/>
      <c r="P460" s="62"/>
      <c r="Q460" s="62"/>
      <c r="R460" s="62"/>
      <c r="S460" s="62">
        <v>15</v>
      </c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80"/>
      <c r="AG460" s="87">
        <f t="shared" si="358"/>
        <v>6</v>
      </c>
      <c r="AH460" s="87">
        <f t="shared" si="359"/>
        <v>0</v>
      </c>
      <c r="AI460" s="87">
        <f t="shared" si="360"/>
        <v>6</v>
      </c>
      <c r="AJ460" s="87">
        <f t="shared" si="361"/>
        <v>0</v>
      </c>
      <c r="AK460" s="87">
        <f t="shared" si="362"/>
        <v>1</v>
      </c>
      <c r="AL460" s="87">
        <f t="shared" si="363"/>
        <v>0</v>
      </c>
      <c r="AM460" s="87">
        <f t="shared" si="364"/>
        <v>0</v>
      </c>
      <c r="AN460" s="87">
        <f t="shared" si="365"/>
        <v>0</v>
      </c>
      <c r="AO460" s="87">
        <f t="shared" si="366"/>
        <v>1</v>
      </c>
      <c r="AP460" s="87">
        <f t="shared" si="367"/>
        <v>0</v>
      </c>
      <c r="AQ460" s="87">
        <f t="shared" si="368"/>
        <v>15</v>
      </c>
      <c r="AR460" s="81"/>
      <c r="AS460" s="85">
        <f t="shared" si="369"/>
        <v>80</v>
      </c>
      <c r="AT460" s="85">
        <f t="shared" si="370"/>
        <v>56</v>
      </c>
      <c r="AU460" s="85">
        <f t="shared" si="371"/>
        <v>106</v>
      </c>
      <c r="AV460" s="85">
        <f t="shared" si="372"/>
        <v>24</v>
      </c>
      <c r="AW460" s="85">
        <f t="shared" si="373"/>
        <v>90</v>
      </c>
      <c r="AX460" s="85">
        <f t="shared" si="374"/>
        <v>33</v>
      </c>
      <c r="AY460" s="85">
        <f t="shared" si="375"/>
        <v>87</v>
      </c>
      <c r="AZ460" s="85">
        <f t="shared" si="376"/>
        <v>20</v>
      </c>
      <c r="BA460" s="85">
        <f t="shared" si="377"/>
        <v>20</v>
      </c>
      <c r="BB460" s="85">
        <f t="shared" si="378"/>
        <v>55</v>
      </c>
      <c r="BC460" s="85">
        <f t="shared" si="379"/>
        <v>78</v>
      </c>
      <c r="BD460" s="85">
        <f t="shared" si="380"/>
        <v>21</v>
      </c>
      <c r="BE460" s="85">
        <f t="shared" si="381"/>
        <v>71</v>
      </c>
      <c r="BF460" s="85">
        <f t="shared" si="382"/>
        <v>71</v>
      </c>
      <c r="BG460" s="85">
        <f t="shared" si="383"/>
        <v>76</v>
      </c>
      <c r="BH460" s="85">
        <f t="shared" si="384"/>
        <v>76</v>
      </c>
      <c r="BI460" s="85">
        <f t="shared" si="385"/>
        <v>75</v>
      </c>
      <c r="BJ460" s="85">
        <f t="shared" si="386"/>
        <v>75</v>
      </c>
      <c r="BK460" s="85">
        <f t="shared" si="387"/>
        <v>27</v>
      </c>
      <c r="BL460" s="85">
        <f t="shared" si="388"/>
        <v>27</v>
      </c>
      <c r="BM460" s="85">
        <f t="shared" si="389"/>
        <v>25</v>
      </c>
      <c r="BN460" s="85">
        <f t="shared" si="390"/>
        <v>0</v>
      </c>
      <c r="BO460" s="85">
        <f t="shared" si="391"/>
        <v>17</v>
      </c>
      <c r="BP460" s="85">
        <f t="shared" si="392"/>
        <v>0</v>
      </c>
      <c r="BQ460" s="85">
        <f t="shared" si="393"/>
        <v>16</v>
      </c>
      <c r="BR460" s="85">
        <f t="shared" si="394"/>
        <v>16</v>
      </c>
      <c r="BT460" s="63"/>
      <c r="BU460" s="63"/>
      <c r="BV460" s="63"/>
      <c r="BW460" s="63"/>
      <c r="BX460" s="63"/>
      <c r="BY460" s="63"/>
      <c r="BZ460" s="63"/>
      <c r="CA460" s="63"/>
      <c r="CB460" s="63"/>
      <c r="CC460" s="63"/>
      <c r="CD460" s="63"/>
      <c r="CE460" s="63"/>
      <c r="CF460" s="63"/>
      <c r="CG460" s="63"/>
      <c r="CH460" s="63"/>
      <c r="CI460" s="63"/>
      <c r="CJ460" s="63"/>
      <c r="CK460" s="63"/>
      <c r="CL460" s="63"/>
      <c r="CM460" s="63"/>
      <c r="CN460" s="63"/>
      <c r="CO460" s="63"/>
      <c r="CP460" s="63"/>
      <c r="CQ460" s="63"/>
      <c r="CR460" s="63"/>
      <c r="CS460" s="63"/>
      <c r="CX460" s="35" t="s">
        <v>12</v>
      </c>
      <c r="CZ460" s="35"/>
      <c r="DC460" s="57" t="str">
        <f t="shared" si="399"/>
        <v/>
      </c>
      <c r="DD460" s="64" t="str">
        <f t="shared" si="396"/>
        <v/>
      </c>
      <c r="DE460" s="65" t="str">
        <f t="shared" si="397"/>
        <v/>
      </c>
      <c r="DF460" s="66" t="str">
        <f t="shared" si="357"/>
        <v/>
      </c>
    </row>
    <row r="461" spans="2:110">
      <c r="B461" s="54">
        <f t="shared" si="352"/>
        <v>46279</v>
      </c>
      <c r="C461" s="55" t="s">
        <v>1</v>
      </c>
      <c r="D461" s="56">
        <f t="shared" si="353"/>
        <v>46285</v>
      </c>
      <c r="E461" s="52">
        <f t="shared" si="354"/>
        <v>9</v>
      </c>
      <c r="F461" s="53">
        <f t="shared" si="355"/>
        <v>2026</v>
      </c>
      <c r="G461" s="62">
        <f t="shared" si="398"/>
        <v>15</v>
      </c>
      <c r="H461" s="63">
        <f t="shared" si="400"/>
        <v>106</v>
      </c>
      <c r="I461" s="62"/>
      <c r="J461" s="62"/>
      <c r="K461" s="62">
        <v>7</v>
      </c>
      <c r="L461" s="62"/>
      <c r="M461" s="62"/>
      <c r="N461" s="62"/>
      <c r="O461" s="62"/>
      <c r="P461" s="62"/>
      <c r="Q461" s="62"/>
      <c r="R461" s="62"/>
      <c r="S461" s="62">
        <v>15</v>
      </c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80"/>
      <c r="AG461" s="87">
        <f t="shared" si="358"/>
        <v>7</v>
      </c>
      <c r="AH461" s="87">
        <f t="shared" si="359"/>
        <v>0</v>
      </c>
      <c r="AI461" s="87">
        <f t="shared" si="360"/>
        <v>7</v>
      </c>
      <c r="AJ461" s="87">
        <f t="shared" si="361"/>
        <v>0</v>
      </c>
      <c r="AK461" s="87">
        <f t="shared" si="362"/>
        <v>2</v>
      </c>
      <c r="AL461" s="87">
        <f t="shared" si="363"/>
        <v>0</v>
      </c>
      <c r="AM461" s="87">
        <f t="shared" si="364"/>
        <v>0</v>
      </c>
      <c r="AN461" s="87">
        <f t="shared" si="365"/>
        <v>0</v>
      </c>
      <c r="AO461" s="87">
        <f t="shared" si="366"/>
        <v>2</v>
      </c>
      <c r="AP461" s="87">
        <f t="shared" si="367"/>
        <v>0</v>
      </c>
      <c r="AQ461" s="87">
        <f t="shared" si="368"/>
        <v>15</v>
      </c>
      <c r="AR461" s="81"/>
      <c r="AS461" s="85">
        <f t="shared" si="369"/>
        <v>81</v>
      </c>
      <c r="AT461" s="85">
        <f t="shared" si="370"/>
        <v>57</v>
      </c>
      <c r="AU461" s="85">
        <f t="shared" si="371"/>
        <v>0</v>
      </c>
      <c r="AV461" s="85">
        <f t="shared" si="372"/>
        <v>25</v>
      </c>
      <c r="AW461" s="85">
        <f t="shared" si="373"/>
        <v>91</v>
      </c>
      <c r="AX461" s="85">
        <f t="shared" si="374"/>
        <v>34</v>
      </c>
      <c r="AY461" s="85">
        <f t="shared" si="375"/>
        <v>88</v>
      </c>
      <c r="AZ461" s="85">
        <f t="shared" si="376"/>
        <v>21</v>
      </c>
      <c r="BA461" s="85">
        <f t="shared" si="377"/>
        <v>21</v>
      </c>
      <c r="BB461" s="85">
        <f t="shared" si="378"/>
        <v>56</v>
      </c>
      <c r="BC461" s="85">
        <f t="shared" si="379"/>
        <v>79</v>
      </c>
      <c r="BD461" s="85">
        <f t="shared" si="380"/>
        <v>22</v>
      </c>
      <c r="BE461" s="85">
        <f t="shared" si="381"/>
        <v>72</v>
      </c>
      <c r="BF461" s="85">
        <f t="shared" si="382"/>
        <v>72</v>
      </c>
      <c r="BG461" s="85">
        <f t="shared" si="383"/>
        <v>77</v>
      </c>
      <c r="BH461" s="85">
        <f t="shared" si="384"/>
        <v>77</v>
      </c>
      <c r="BI461" s="85">
        <f t="shared" si="385"/>
        <v>76</v>
      </c>
      <c r="BJ461" s="85">
        <f t="shared" si="386"/>
        <v>76</v>
      </c>
      <c r="BK461" s="85">
        <f t="shared" si="387"/>
        <v>28</v>
      </c>
      <c r="BL461" s="85">
        <f t="shared" si="388"/>
        <v>28</v>
      </c>
      <c r="BM461" s="85">
        <f t="shared" si="389"/>
        <v>26</v>
      </c>
      <c r="BN461" s="85">
        <f t="shared" si="390"/>
        <v>0</v>
      </c>
      <c r="BO461" s="85">
        <f t="shared" si="391"/>
        <v>18</v>
      </c>
      <c r="BP461" s="85">
        <f t="shared" si="392"/>
        <v>0</v>
      </c>
      <c r="BQ461" s="85">
        <f t="shared" si="393"/>
        <v>17</v>
      </c>
      <c r="BR461" s="85">
        <f t="shared" si="394"/>
        <v>17</v>
      </c>
      <c r="BT461" s="63"/>
      <c r="BU461" s="63"/>
      <c r="BV461" s="63"/>
      <c r="BW461" s="63"/>
      <c r="BX461" s="63"/>
      <c r="BY461" s="63"/>
      <c r="BZ461" s="63"/>
      <c r="CA461" s="63"/>
      <c r="CB461" s="63"/>
      <c r="CC461" s="63"/>
      <c r="CD461" s="63"/>
      <c r="CE461" s="63"/>
      <c r="CF461" s="63"/>
      <c r="CG461" s="63"/>
      <c r="CH461" s="63"/>
      <c r="CI461" s="63"/>
      <c r="CJ461" s="63"/>
      <c r="CK461" s="63"/>
      <c r="CL461" s="63"/>
      <c r="CM461" s="63"/>
      <c r="CN461" s="63"/>
      <c r="CO461" s="63"/>
      <c r="CP461" s="63"/>
      <c r="CQ461" s="63"/>
      <c r="CR461" s="63"/>
      <c r="CS461" s="63"/>
      <c r="CX461" s="35" t="s">
        <v>12</v>
      </c>
      <c r="CZ461" s="35"/>
      <c r="DC461" s="57" t="str">
        <f t="shared" si="399"/>
        <v/>
      </c>
      <c r="DD461" s="64" t="str">
        <f t="shared" si="396"/>
        <v/>
      </c>
      <c r="DE461" s="65" t="str">
        <f t="shared" si="397"/>
        <v/>
      </c>
      <c r="DF461" s="66" t="str">
        <f t="shared" si="357"/>
        <v/>
      </c>
    </row>
    <row r="462" spans="2:110">
      <c r="B462" s="54">
        <f t="shared" si="352"/>
        <v>46286</v>
      </c>
      <c r="C462" s="55" t="s">
        <v>1</v>
      </c>
      <c r="D462" s="56">
        <f t="shared" si="353"/>
        <v>46292</v>
      </c>
      <c r="E462" s="52">
        <f t="shared" si="354"/>
        <v>9</v>
      </c>
      <c r="F462" s="53">
        <f t="shared" si="355"/>
        <v>2026</v>
      </c>
      <c r="G462" s="62">
        <f t="shared" si="398"/>
        <v>15</v>
      </c>
      <c r="H462" s="89">
        <v>96</v>
      </c>
      <c r="I462" s="62"/>
      <c r="J462" s="62"/>
      <c r="K462" s="62">
        <v>8</v>
      </c>
      <c r="L462" s="62"/>
      <c r="M462" s="62"/>
      <c r="N462" s="62"/>
      <c r="O462" s="62"/>
      <c r="P462" s="62"/>
      <c r="Q462" s="62"/>
      <c r="R462" s="62"/>
      <c r="S462" s="62">
        <v>15</v>
      </c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80"/>
      <c r="AG462" s="87">
        <f t="shared" si="358"/>
        <v>8</v>
      </c>
      <c r="AH462" s="87">
        <f t="shared" si="359"/>
        <v>0</v>
      </c>
      <c r="AI462" s="87">
        <f t="shared" si="360"/>
        <v>8</v>
      </c>
      <c r="AJ462" s="87">
        <f t="shared" si="361"/>
        <v>0</v>
      </c>
      <c r="AK462" s="87">
        <f t="shared" si="362"/>
        <v>3</v>
      </c>
      <c r="AL462" s="87">
        <f t="shared" si="363"/>
        <v>0</v>
      </c>
      <c r="AM462" s="87">
        <f t="shared" si="364"/>
        <v>0</v>
      </c>
      <c r="AN462" s="87">
        <f t="shared" si="365"/>
        <v>0</v>
      </c>
      <c r="AO462" s="87">
        <f t="shared" si="366"/>
        <v>3</v>
      </c>
      <c r="AP462" s="87">
        <f t="shared" si="367"/>
        <v>0</v>
      </c>
      <c r="AQ462" s="87">
        <f t="shared" si="368"/>
        <v>15</v>
      </c>
      <c r="AR462" s="81"/>
      <c r="AS462" s="85">
        <f t="shared" si="369"/>
        <v>82</v>
      </c>
      <c r="AT462" s="85">
        <f t="shared" si="370"/>
        <v>58</v>
      </c>
      <c r="AU462" s="85">
        <f t="shared" si="371"/>
        <v>0</v>
      </c>
      <c r="AV462" s="85">
        <f t="shared" si="372"/>
        <v>26</v>
      </c>
      <c r="AW462" s="85">
        <f t="shared" si="373"/>
        <v>92</v>
      </c>
      <c r="AX462" s="85">
        <f t="shared" si="374"/>
        <v>35</v>
      </c>
      <c r="AY462" s="85">
        <f t="shared" si="375"/>
        <v>89</v>
      </c>
      <c r="AZ462" s="85">
        <f t="shared" si="376"/>
        <v>22</v>
      </c>
      <c r="BA462" s="85">
        <f t="shared" si="377"/>
        <v>22</v>
      </c>
      <c r="BB462" s="85">
        <f t="shared" si="378"/>
        <v>57</v>
      </c>
      <c r="BC462" s="85">
        <f t="shared" si="379"/>
        <v>80</v>
      </c>
      <c r="BD462" s="85">
        <f t="shared" si="380"/>
        <v>23</v>
      </c>
      <c r="BE462" s="85">
        <f t="shared" si="381"/>
        <v>73</v>
      </c>
      <c r="BF462" s="85">
        <f t="shared" si="382"/>
        <v>73</v>
      </c>
      <c r="BG462" s="85">
        <f t="shared" si="383"/>
        <v>78</v>
      </c>
      <c r="BH462" s="85">
        <f t="shared" si="384"/>
        <v>78</v>
      </c>
      <c r="BI462" s="85">
        <f t="shared" si="385"/>
        <v>77</v>
      </c>
      <c r="BJ462" s="85">
        <f t="shared" si="386"/>
        <v>77</v>
      </c>
      <c r="BK462" s="85">
        <f t="shared" si="387"/>
        <v>29</v>
      </c>
      <c r="BL462" s="85">
        <f t="shared" si="388"/>
        <v>29</v>
      </c>
      <c r="BM462" s="85">
        <f t="shared" si="389"/>
        <v>27</v>
      </c>
      <c r="BN462" s="85">
        <f t="shared" si="390"/>
        <v>0</v>
      </c>
      <c r="BO462" s="85">
        <f t="shared" si="391"/>
        <v>19</v>
      </c>
      <c r="BP462" s="85">
        <f t="shared" si="392"/>
        <v>0</v>
      </c>
      <c r="BQ462" s="85">
        <f t="shared" si="393"/>
        <v>18</v>
      </c>
      <c r="BR462" s="85">
        <f t="shared" si="394"/>
        <v>18</v>
      </c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  <c r="CG462" s="63"/>
      <c r="CH462" s="63"/>
      <c r="CI462" s="63"/>
      <c r="CJ462" s="63"/>
      <c r="CK462" s="63"/>
      <c r="CL462" s="63"/>
      <c r="CM462" s="63"/>
      <c r="CN462" s="63"/>
      <c r="CO462" s="63"/>
      <c r="CP462" s="63"/>
      <c r="CQ462" s="63"/>
      <c r="CR462" s="63"/>
      <c r="CS462" s="63"/>
      <c r="CX462" s="35" t="s">
        <v>12</v>
      </c>
      <c r="CZ462" s="35"/>
      <c r="DC462" s="57" t="str">
        <f t="shared" si="399"/>
        <v/>
      </c>
      <c r="DD462" s="64" t="str">
        <f t="shared" si="396"/>
        <v/>
      </c>
      <c r="DE462" s="65" t="str">
        <f t="shared" si="397"/>
        <v/>
      </c>
      <c r="DF462" s="66" t="str">
        <f t="shared" si="357"/>
        <v/>
      </c>
    </row>
    <row r="463" spans="2:110">
      <c r="B463" s="54">
        <f t="shared" si="352"/>
        <v>46293</v>
      </c>
      <c r="C463" s="55" t="s">
        <v>1</v>
      </c>
      <c r="D463" s="56">
        <f t="shared" si="353"/>
        <v>46299</v>
      </c>
      <c r="E463" s="52">
        <f t="shared" si="354"/>
        <v>9</v>
      </c>
      <c r="F463" s="53">
        <f t="shared" si="355"/>
        <v>2026</v>
      </c>
      <c r="G463" s="62">
        <f t="shared" si="398"/>
        <v>15</v>
      </c>
      <c r="H463" s="63">
        <f t="shared" si="400"/>
        <v>96</v>
      </c>
      <c r="I463" s="62"/>
      <c r="J463" s="62"/>
      <c r="K463" s="62">
        <v>9</v>
      </c>
      <c r="L463" s="62"/>
      <c r="M463" s="62"/>
      <c r="N463" s="62"/>
      <c r="O463" s="62"/>
      <c r="P463" s="62"/>
      <c r="Q463" s="62"/>
      <c r="R463" s="62"/>
      <c r="S463" s="62">
        <v>15</v>
      </c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80"/>
      <c r="AG463" s="87">
        <f t="shared" si="358"/>
        <v>9</v>
      </c>
      <c r="AH463" s="87">
        <f t="shared" si="359"/>
        <v>0</v>
      </c>
      <c r="AI463" s="87">
        <f t="shared" si="360"/>
        <v>9</v>
      </c>
      <c r="AJ463" s="87">
        <f t="shared" si="361"/>
        <v>0</v>
      </c>
      <c r="AK463" s="87">
        <f t="shared" si="362"/>
        <v>4</v>
      </c>
      <c r="AL463" s="87">
        <f t="shared" si="363"/>
        <v>0</v>
      </c>
      <c r="AM463" s="87">
        <f t="shared" si="364"/>
        <v>0</v>
      </c>
      <c r="AN463" s="87">
        <f t="shared" si="365"/>
        <v>0</v>
      </c>
      <c r="AO463" s="87">
        <f t="shared" si="366"/>
        <v>4</v>
      </c>
      <c r="AP463" s="87">
        <f t="shared" si="367"/>
        <v>0</v>
      </c>
      <c r="AQ463" s="87">
        <f t="shared" si="368"/>
        <v>15</v>
      </c>
      <c r="AR463" s="81"/>
      <c r="AS463" s="85">
        <f t="shared" si="369"/>
        <v>83</v>
      </c>
      <c r="AT463" s="85">
        <f t="shared" si="370"/>
        <v>59</v>
      </c>
      <c r="AU463" s="85">
        <f t="shared" si="371"/>
        <v>0</v>
      </c>
      <c r="AV463" s="85">
        <f t="shared" si="372"/>
        <v>27</v>
      </c>
      <c r="AW463" s="85">
        <f t="shared" si="373"/>
        <v>93</v>
      </c>
      <c r="AX463" s="85">
        <f t="shared" si="374"/>
        <v>36</v>
      </c>
      <c r="AY463" s="85">
        <f t="shared" si="375"/>
        <v>90</v>
      </c>
      <c r="AZ463" s="85">
        <f t="shared" si="376"/>
        <v>23</v>
      </c>
      <c r="BA463" s="85">
        <f t="shared" si="377"/>
        <v>23</v>
      </c>
      <c r="BB463" s="85">
        <f t="shared" si="378"/>
        <v>58</v>
      </c>
      <c r="BC463" s="85">
        <f t="shared" si="379"/>
        <v>81</v>
      </c>
      <c r="BD463" s="85">
        <f t="shared" si="380"/>
        <v>24</v>
      </c>
      <c r="BE463" s="85">
        <f t="shared" si="381"/>
        <v>74</v>
      </c>
      <c r="BF463" s="85">
        <f t="shared" si="382"/>
        <v>74</v>
      </c>
      <c r="BG463" s="85">
        <f t="shared" si="383"/>
        <v>79</v>
      </c>
      <c r="BH463" s="85">
        <f t="shared" si="384"/>
        <v>79</v>
      </c>
      <c r="BI463" s="85">
        <f t="shared" si="385"/>
        <v>78</v>
      </c>
      <c r="BJ463" s="85">
        <f t="shared" si="386"/>
        <v>78</v>
      </c>
      <c r="BK463" s="85">
        <f t="shared" si="387"/>
        <v>30</v>
      </c>
      <c r="BL463" s="85">
        <f t="shared" si="388"/>
        <v>30</v>
      </c>
      <c r="BM463" s="85">
        <f t="shared" si="389"/>
        <v>28</v>
      </c>
      <c r="BN463" s="85">
        <f t="shared" si="390"/>
        <v>0</v>
      </c>
      <c r="BO463" s="85">
        <f t="shared" si="391"/>
        <v>20</v>
      </c>
      <c r="BP463" s="85">
        <f t="shared" si="392"/>
        <v>0</v>
      </c>
      <c r="BQ463" s="85">
        <f t="shared" si="393"/>
        <v>19</v>
      </c>
      <c r="BR463" s="85">
        <f t="shared" si="394"/>
        <v>19</v>
      </c>
      <c r="BT463" s="63"/>
      <c r="BU463" s="63"/>
      <c r="BV463" s="63"/>
      <c r="BW463" s="63"/>
      <c r="BX463" s="63"/>
      <c r="BY463" s="63"/>
      <c r="BZ463" s="63"/>
      <c r="CA463" s="63"/>
      <c r="CB463" s="63"/>
      <c r="CC463" s="63"/>
      <c r="CD463" s="63"/>
      <c r="CE463" s="63"/>
      <c r="CF463" s="63"/>
      <c r="CG463" s="63"/>
      <c r="CH463" s="63"/>
      <c r="CI463" s="63"/>
      <c r="CJ463" s="63"/>
      <c r="CK463" s="63"/>
      <c r="CL463" s="63"/>
      <c r="CM463" s="63"/>
      <c r="CN463" s="63"/>
      <c r="CO463" s="63"/>
      <c r="CP463" s="63"/>
      <c r="CQ463" s="63"/>
      <c r="CR463" s="63"/>
      <c r="CS463" s="63"/>
      <c r="CX463" s="35" t="s">
        <v>12</v>
      </c>
      <c r="CZ463" s="35"/>
      <c r="DC463" s="57" t="str">
        <f t="shared" si="399"/>
        <v/>
      </c>
      <c r="DD463" s="64" t="str">
        <f t="shared" si="396"/>
        <v/>
      </c>
      <c r="DE463" s="65" t="str">
        <f t="shared" si="397"/>
        <v/>
      </c>
      <c r="DF463" s="66" t="str">
        <f t="shared" si="357"/>
        <v/>
      </c>
    </row>
    <row r="464" spans="2:110">
      <c r="B464" s="54">
        <f t="shared" si="352"/>
        <v>46300</v>
      </c>
      <c r="C464" s="55" t="s">
        <v>1</v>
      </c>
      <c r="D464" s="56">
        <f t="shared" si="353"/>
        <v>46306</v>
      </c>
      <c r="E464" s="52">
        <f t="shared" si="354"/>
        <v>10</v>
      </c>
      <c r="F464" s="53">
        <f t="shared" si="355"/>
        <v>2026</v>
      </c>
      <c r="G464" s="62">
        <f t="shared" si="398"/>
        <v>15</v>
      </c>
      <c r="H464" s="63">
        <f t="shared" si="400"/>
        <v>96</v>
      </c>
      <c r="I464" s="62"/>
      <c r="J464" s="62"/>
      <c r="K464" s="62">
        <v>10</v>
      </c>
      <c r="L464" s="62">
        <v>5</v>
      </c>
      <c r="M464" s="62"/>
      <c r="N464" s="62"/>
      <c r="O464" s="62">
        <v>5</v>
      </c>
      <c r="P464" s="62">
        <v>5</v>
      </c>
      <c r="Q464" s="62"/>
      <c r="R464" s="62"/>
      <c r="S464" s="62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80"/>
      <c r="AG464" s="87">
        <f t="shared" si="358"/>
        <v>10</v>
      </c>
      <c r="AH464" s="87">
        <f t="shared" si="359"/>
        <v>0</v>
      </c>
      <c r="AI464" s="87">
        <f t="shared" si="360"/>
        <v>10</v>
      </c>
      <c r="AJ464" s="87">
        <f t="shared" si="361"/>
        <v>5</v>
      </c>
      <c r="AK464" s="87">
        <f t="shared" si="362"/>
        <v>5</v>
      </c>
      <c r="AL464" s="87">
        <f t="shared" si="363"/>
        <v>0</v>
      </c>
      <c r="AM464" s="87">
        <f t="shared" si="364"/>
        <v>5</v>
      </c>
      <c r="AN464" s="87">
        <f t="shared" si="365"/>
        <v>5</v>
      </c>
      <c r="AO464" s="87">
        <f t="shared" si="366"/>
        <v>5</v>
      </c>
      <c r="AP464" s="87">
        <f t="shared" si="367"/>
        <v>0</v>
      </c>
      <c r="AQ464" s="87">
        <f t="shared" si="368"/>
        <v>0</v>
      </c>
      <c r="AR464" s="81"/>
      <c r="AS464" s="85">
        <f t="shared" si="369"/>
        <v>84</v>
      </c>
      <c r="AT464" s="85">
        <f t="shared" si="370"/>
        <v>60</v>
      </c>
      <c r="AU464" s="85">
        <f t="shared" si="371"/>
        <v>0</v>
      </c>
      <c r="AV464" s="85">
        <f t="shared" si="372"/>
        <v>28</v>
      </c>
      <c r="AW464" s="85">
        <f t="shared" si="373"/>
        <v>94</v>
      </c>
      <c r="AX464" s="85">
        <f t="shared" si="374"/>
        <v>37</v>
      </c>
      <c r="AY464" s="85">
        <f t="shared" si="375"/>
        <v>91</v>
      </c>
      <c r="AZ464" s="85">
        <f t="shared" si="376"/>
        <v>24</v>
      </c>
      <c r="BA464" s="85">
        <f t="shared" si="377"/>
        <v>24</v>
      </c>
      <c r="BB464" s="85">
        <f t="shared" si="378"/>
        <v>59</v>
      </c>
      <c r="BC464" s="85">
        <f t="shared" si="379"/>
        <v>82</v>
      </c>
      <c r="BD464" s="85">
        <f t="shared" si="380"/>
        <v>25</v>
      </c>
      <c r="BE464" s="85">
        <f t="shared" si="381"/>
        <v>75</v>
      </c>
      <c r="BF464" s="85">
        <f t="shared" si="382"/>
        <v>75</v>
      </c>
      <c r="BG464" s="85">
        <f t="shared" si="383"/>
        <v>80</v>
      </c>
      <c r="BH464" s="85">
        <f t="shared" si="384"/>
        <v>80</v>
      </c>
      <c r="BI464" s="85">
        <f t="shared" si="385"/>
        <v>79</v>
      </c>
      <c r="BJ464" s="85">
        <f t="shared" si="386"/>
        <v>79</v>
      </c>
      <c r="BK464" s="85">
        <f t="shared" si="387"/>
        <v>31</v>
      </c>
      <c r="BL464" s="85">
        <f t="shared" si="388"/>
        <v>31</v>
      </c>
      <c r="BM464" s="85">
        <f t="shared" si="389"/>
        <v>29</v>
      </c>
      <c r="BN464" s="85">
        <f t="shared" si="390"/>
        <v>0</v>
      </c>
      <c r="BO464" s="85">
        <f t="shared" si="391"/>
        <v>21</v>
      </c>
      <c r="BP464" s="85">
        <f t="shared" si="392"/>
        <v>0</v>
      </c>
      <c r="BQ464" s="85">
        <f t="shared" si="393"/>
        <v>20</v>
      </c>
      <c r="BR464" s="85">
        <f t="shared" si="394"/>
        <v>20</v>
      </c>
      <c r="BT464" s="63"/>
      <c r="BU464" s="63"/>
      <c r="BV464" s="63"/>
      <c r="BW464" s="63"/>
      <c r="BX464" s="63"/>
      <c r="BY464" s="63"/>
      <c r="BZ464" s="63"/>
      <c r="CA464" s="63"/>
      <c r="CB464" s="63"/>
      <c r="CC464" s="63"/>
      <c r="CD464" s="63"/>
      <c r="CE464" s="63"/>
      <c r="CF464" s="63"/>
      <c r="CG464" s="63"/>
      <c r="CH464" s="63"/>
      <c r="CI464" s="63"/>
      <c r="CJ464" s="63"/>
      <c r="CK464" s="63"/>
      <c r="CL464" s="63"/>
      <c r="CM464" s="63"/>
      <c r="CN464" s="63"/>
      <c r="CO464" s="63"/>
      <c r="CP464" s="63"/>
      <c r="CQ464" s="63"/>
      <c r="CR464" s="63"/>
      <c r="CS464" s="63"/>
      <c r="CX464" s="35" t="s">
        <v>12</v>
      </c>
      <c r="CZ464" s="35"/>
      <c r="DC464" s="57">
        <f t="shared" si="399"/>
        <v>4</v>
      </c>
      <c r="DD464" s="64" t="str">
        <f>IF(OR(AND($AG465=1,$AG466=2),OR(AND($AK465=1,$AK466=2),OR(AND($AO465=1,$AO466=2),OR(AND($AI465=1,$AI466=2),OR(AND($AJ465=1,$AJ466),OR(AND($AQ465=1,$AQ466=2,OR(AND($AL465=1,$AL466=2,OR(AND($AM465=1,$AM466=2,OR(AND($AN465=1,$AN466=2))))))))))))),$B464+2,"")</f>
        <v/>
      </c>
      <c r="DE464" s="65" t="str">
        <f t="shared" si="397"/>
        <v/>
      </c>
      <c r="DF464" s="66" t="str">
        <f t="shared" si="357"/>
        <v/>
      </c>
    </row>
    <row r="465" spans="2:110">
      <c r="B465" s="54">
        <f t="shared" si="352"/>
        <v>46307</v>
      </c>
      <c r="C465" s="55" t="s">
        <v>1</v>
      </c>
      <c r="D465" s="56">
        <f t="shared" si="353"/>
        <v>46313</v>
      </c>
      <c r="E465" s="52">
        <f t="shared" si="354"/>
        <v>10</v>
      </c>
      <c r="F465" s="53">
        <f t="shared" si="355"/>
        <v>2026</v>
      </c>
      <c r="G465" s="62">
        <f t="shared" si="398"/>
        <v>15</v>
      </c>
      <c r="H465" s="63">
        <f t="shared" si="400"/>
        <v>96</v>
      </c>
      <c r="I465" s="62"/>
      <c r="J465" s="62"/>
      <c r="K465" s="62">
        <v>11</v>
      </c>
      <c r="L465" s="62">
        <v>6</v>
      </c>
      <c r="M465" s="62"/>
      <c r="N465" s="62"/>
      <c r="O465" s="62">
        <v>6</v>
      </c>
      <c r="P465" s="62">
        <v>6</v>
      </c>
      <c r="Q465" s="62"/>
      <c r="R465" s="62"/>
      <c r="S465" s="62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80"/>
      <c r="AG465" s="87">
        <f t="shared" si="358"/>
        <v>11</v>
      </c>
      <c r="AH465" s="87">
        <f t="shared" si="359"/>
        <v>0</v>
      </c>
      <c r="AI465" s="87">
        <f t="shared" si="360"/>
        <v>11</v>
      </c>
      <c r="AJ465" s="87">
        <f t="shared" si="361"/>
        <v>6</v>
      </c>
      <c r="AK465" s="87">
        <f t="shared" si="362"/>
        <v>6</v>
      </c>
      <c r="AL465" s="87">
        <f t="shared" si="363"/>
        <v>0</v>
      </c>
      <c r="AM465" s="87">
        <f t="shared" si="364"/>
        <v>6</v>
      </c>
      <c r="AN465" s="87">
        <f t="shared" si="365"/>
        <v>6</v>
      </c>
      <c r="AO465" s="87">
        <f t="shared" si="366"/>
        <v>6</v>
      </c>
      <c r="AP465" s="87">
        <f t="shared" si="367"/>
        <v>0</v>
      </c>
      <c r="AQ465" s="87">
        <f t="shared" si="368"/>
        <v>0</v>
      </c>
      <c r="AR465" s="81"/>
      <c r="AS465" s="85">
        <f t="shared" si="369"/>
        <v>85</v>
      </c>
      <c r="AT465" s="85">
        <f t="shared" si="370"/>
        <v>61</v>
      </c>
      <c r="AU465" s="85">
        <f t="shared" si="371"/>
        <v>0</v>
      </c>
      <c r="AV465" s="85">
        <f t="shared" si="372"/>
        <v>29</v>
      </c>
      <c r="AW465" s="85">
        <f t="shared" si="373"/>
        <v>95</v>
      </c>
      <c r="AX465" s="85">
        <f t="shared" si="374"/>
        <v>38</v>
      </c>
      <c r="AY465" s="85">
        <f t="shared" si="375"/>
        <v>92</v>
      </c>
      <c r="AZ465" s="85">
        <f t="shared" si="376"/>
        <v>25</v>
      </c>
      <c r="BA465" s="85">
        <f t="shared" si="377"/>
        <v>25</v>
      </c>
      <c r="BB465" s="85">
        <f t="shared" si="378"/>
        <v>60</v>
      </c>
      <c r="BC465" s="85">
        <f t="shared" si="379"/>
        <v>83</v>
      </c>
      <c r="BD465" s="85">
        <f t="shared" si="380"/>
        <v>26</v>
      </c>
      <c r="BE465" s="85">
        <f t="shared" si="381"/>
        <v>76</v>
      </c>
      <c r="BF465" s="85">
        <f t="shared" si="382"/>
        <v>76</v>
      </c>
      <c r="BG465" s="85">
        <f t="shared" si="383"/>
        <v>81</v>
      </c>
      <c r="BH465" s="85">
        <f t="shared" si="384"/>
        <v>81</v>
      </c>
      <c r="BI465" s="85">
        <f t="shared" si="385"/>
        <v>80</v>
      </c>
      <c r="BJ465" s="85">
        <f t="shared" si="386"/>
        <v>80</v>
      </c>
      <c r="BK465" s="85">
        <f t="shared" si="387"/>
        <v>32</v>
      </c>
      <c r="BL465" s="85">
        <f t="shared" si="388"/>
        <v>32</v>
      </c>
      <c r="BM465" s="85">
        <f t="shared" si="389"/>
        <v>30</v>
      </c>
      <c r="BN465" s="85">
        <f t="shared" si="390"/>
        <v>0</v>
      </c>
      <c r="BO465" s="85">
        <f t="shared" si="391"/>
        <v>22</v>
      </c>
      <c r="BP465" s="85">
        <f t="shared" si="392"/>
        <v>0</v>
      </c>
      <c r="BQ465" s="85">
        <f t="shared" si="393"/>
        <v>21</v>
      </c>
      <c r="BR465" s="85">
        <f t="shared" si="394"/>
        <v>21</v>
      </c>
      <c r="BT465" s="63"/>
      <c r="BU465" s="63"/>
      <c r="BV465" s="63"/>
      <c r="BW465" s="63"/>
      <c r="BX465" s="63"/>
      <c r="BY465" s="63"/>
      <c r="BZ465" s="63"/>
      <c r="CA465" s="63"/>
      <c r="CB465" s="63"/>
      <c r="CC465" s="63"/>
      <c r="CD465" s="63"/>
      <c r="CE465" s="63"/>
      <c r="CF465" s="63"/>
      <c r="CG465" s="63"/>
      <c r="CH465" s="63"/>
      <c r="CI465" s="63"/>
      <c r="CJ465" s="63"/>
      <c r="CK465" s="63"/>
      <c r="CL465" s="63"/>
      <c r="CM465" s="63"/>
      <c r="CN465" s="63"/>
      <c r="CO465" s="63"/>
      <c r="CP465" s="63"/>
      <c r="CQ465" s="63"/>
      <c r="CR465" s="63"/>
      <c r="CS465" s="63"/>
      <c r="CX465" s="35" t="s">
        <v>12</v>
      </c>
      <c r="CZ465" s="35"/>
      <c r="DC465" s="57" t="str">
        <f t="shared" si="399"/>
        <v/>
      </c>
      <c r="DD465" s="64" t="str">
        <f t="shared" si="396"/>
        <v/>
      </c>
      <c r="DE465" s="65" t="str">
        <f t="shared" si="397"/>
        <v/>
      </c>
      <c r="DF465" s="66" t="str">
        <f t="shared" si="357"/>
        <v/>
      </c>
    </row>
    <row r="466" spans="2:110">
      <c r="B466" s="54">
        <f t="shared" si="352"/>
        <v>46314</v>
      </c>
      <c r="C466" s="55" t="s">
        <v>1</v>
      </c>
      <c r="D466" s="56">
        <f t="shared" si="353"/>
        <v>46320</v>
      </c>
      <c r="E466" s="52">
        <f t="shared" si="354"/>
        <v>10</v>
      </c>
      <c r="F466" s="53">
        <f t="shared" si="355"/>
        <v>2026</v>
      </c>
      <c r="G466" s="62">
        <f t="shared" si="398"/>
        <v>15</v>
      </c>
      <c r="H466" s="63">
        <f t="shared" si="400"/>
        <v>96</v>
      </c>
      <c r="I466" s="62"/>
      <c r="J466" s="62"/>
      <c r="K466" s="62">
        <v>12</v>
      </c>
      <c r="L466" s="62">
        <v>7</v>
      </c>
      <c r="M466" s="62"/>
      <c r="N466" s="62"/>
      <c r="O466" s="62">
        <v>7</v>
      </c>
      <c r="P466" s="62">
        <v>7</v>
      </c>
      <c r="Q466" s="62"/>
      <c r="R466" s="62"/>
      <c r="S466" s="62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80"/>
      <c r="AG466" s="87">
        <f t="shared" si="358"/>
        <v>12</v>
      </c>
      <c r="AH466" s="87">
        <f t="shared" si="359"/>
        <v>0</v>
      </c>
      <c r="AI466" s="87">
        <f t="shared" si="360"/>
        <v>12</v>
      </c>
      <c r="AJ466" s="87">
        <f t="shared" si="361"/>
        <v>7</v>
      </c>
      <c r="AK466" s="87">
        <f t="shared" si="362"/>
        <v>7</v>
      </c>
      <c r="AL466" s="87">
        <f t="shared" si="363"/>
        <v>0</v>
      </c>
      <c r="AM466" s="87">
        <f t="shared" si="364"/>
        <v>7</v>
      </c>
      <c r="AN466" s="87">
        <f t="shared" si="365"/>
        <v>7</v>
      </c>
      <c r="AO466" s="87">
        <f t="shared" si="366"/>
        <v>7</v>
      </c>
      <c r="AP466" s="87">
        <f t="shared" si="367"/>
        <v>0</v>
      </c>
      <c r="AQ466" s="87">
        <f t="shared" si="368"/>
        <v>0</v>
      </c>
      <c r="AR466" s="81"/>
      <c r="AS466" s="85">
        <f t="shared" si="369"/>
        <v>86</v>
      </c>
      <c r="AT466" s="85">
        <f t="shared" si="370"/>
        <v>62</v>
      </c>
      <c r="AU466" s="85">
        <f t="shared" si="371"/>
        <v>0</v>
      </c>
      <c r="AV466" s="85">
        <f t="shared" si="372"/>
        <v>30</v>
      </c>
      <c r="AW466" s="85">
        <f t="shared" si="373"/>
        <v>96</v>
      </c>
      <c r="AX466" s="85">
        <f t="shared" si="374"/>
        <v>39</v>
      </c>
      <c r="AY466" s="85">
        <f t="shared" si="375"/>
        <v>93</v>
      </c>
      <c r="AZ466" s="85">
        <f t="shared" si="376"/>
        <v>26</v>
      </c>
      <c r="BA466" s="85">
        <f t="shared" si="377"/>
        <v>26</v>
      </c>
      <c r="BB466" s="85">
        <f t="shared" si="378"/>
        <v>61</v>
      </c>
      <c r="BC466" s="85">
        <f t="shared" si="379"/>
        <v>84</v>
      </c>
      <c r="BD466" s="85">
        <f t="shared" si="380"/>
        <v>27</v>
      </c>
      <c r="BE466" s="85">
        <f t="shared" si="381"/>
        <v>77</v>
      </c>
      <c r="BF466" s="85">
        <f t="shared" si="382"/>
        <v>77</v>
      </c>
      <c r="BG466" s="85">
        <f t="shared" si="383"/>
        <v>82</v>
      </c>
      <c r="BH466" s="85">
        <f t="shared" si="384"/>
        <v>82</v>
      </c>
      <c r="BI466" s="85">
        <f t="shared" si="385"/>
        <v>81</v>
      </c>
      <c r="BJ466" s="85">
        <f t="shared" si="386"/>
        <v>81</v>
      </c>
      <c r="BK466" s="85">
        <f t="shared" si="387"/>
        <v>33</v>
      </c>
      <c r="BL466" s="85">
        <f t="shared" si="388"/>
        <v>33</v>
      </c>
      <c r="BM466" s="85">
        <f t="shared" si="389"/>
        <v>31</v>
      </c>
      <c r="BN466" s="85">
        <f t="shared" si="390"/>
        <v>0</v>
      </c>
      <c r="BO466" s="85">
        <f t="shared" si="391"/>
        <v>23</v>
      </c>
      <c r="BP466" s="85">
        <f t="shared" si="392"/>
        <v>0</v>
      </c>
      <c r="BQ466" s="85">
        <f t="shared" si="393"/>
        <v>22</v>
      </c>
      <c r="BR466" s="85">
        <f t="shared" si="394"/>
        <v>22</v>
      </c>
      <c r="BT466" s="63"/>
      <c r="BU466" s="63"/>
      <c r="BV466" s="63"/>
      <c r="BW466" s="63"/>
      <c r="BX466" s="63"/>
      <c r="BY466" s="63"/>
      <c r="BZ466" s="63"/>
      <c r="CA466" s="63"/>
      <c r="CB466" s="63"/>
      <c r="CC466" s="63"/>
      <c r="CD466" s="63"/>
      <c r="CE466" s="63"/>
      <c r="CF466" s="63"/>
      <c r="CG466" s="63"/>
      <c r="CH466" s="63"/>
      <c r="CI466" s="63"/>
      <c r="CJ466" s="63"/>
      <c r="CK466" s="63"/>
      <c r="CL466" s="63"/>
      <c r="CM466" s="63"/>
      <c r="CN466" s="63"/>
      <c r="CO466" s="63"/>
      <c r="CP466" s="63"/>
      <c r="CQ466" s="63"/>
      <c r="CR466" s="63"/>
      <c r="CS466" s="63"/>
      <c r="CX466" s="35" t="s">
        <v>12</v>
      </c>
      <c r="CZ466" s="35"/>
      <c r="DC466" s="57" t="str">
        <f t="shared" si="399"/>
        <v/>
      </c>
      <c r="DD466" s="64" t="str">
        <f t="shared" si="396"/>
        <v/>
      </c>
      <c r="DE466" s="65" t="str">
        <f t="shared" si="397"/>
        <v/>
      </c>
      <c r="DF466" s="66" t="str">
        <f t="shared" si="357"/>
        <v/>
      </c>
    </row>
    <row r="467" spans="2:110">
      <c r="B467" s="54">
        <f t="shared" si="352"/>
        <v>46321</v>
      </c>
      <c r="C467" s="55" t="s">
        <v>1</v>
      </c>
      <c r="D467" s="56">
        <f t="shared" si="353"/>
        <v>46327</v>
      </c>
      <c r="E467" s="52">
        <f t="shared" si="354"/>
        <v>10</v>
      </c>
      <c r="F467" s="53">
        <f t="shared" si="355"/>
        <v>2026</v>
      </c>
      <c r="G467" s="62">
        <f t="shared" si="398"/>
        <v>15</v>
      </c>
      <c r="H467" s="63">
        <f t="shared" si="400"/>
        <v>96</v>
      </c>
      <c r="I467" s="62"/>
      <c r="J467" s="62"/>
      <c r="K467" s="62">
        <v>13</v>
      </c>
      <c r="L467" s="62">
        <v>8</v>
      </c>
      <c r="M467" s="62"/>
      <c r="N467" s="62"/>
      <c r="O467" s="62">
        <v>8</v>
      </c>
      <c r="P467" s="62">
        <v>8</v>
      </c>
      <c r="Q467" s="62"/>
      <c r="R467" s="62"/>
      <c r="S467" s="62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80"/>
      <c r="AG467" s="87">
        <f t="shared" si="358"/>
        <v>13</v>
      </c>
      <c r="AH467" s="87">
        <f t="shared" si="359"/>
        <v>0</v>
      </c>
      <c r="AI467" s="87">
        <f t="shared" si="360"/>
        <v>13</v>
      </c>
      <c r="AJ467" s="87">
        <f t="shared" si="361"/>
        <v>8</v>
      </c>
      <c r="AK467" s="87">
        <f t="shared" si="362"/>
        <v>8</v>
      </c>
      <c r="AL467" s="87">
        <f t="shared" si="363"/>
        <v>0</v>
      </c>
      <c r="AM467" s="87">
        <f t="shared" si="364"/>
        <v>8</v>
      </c>
      <c r="AN467" s="87">
        <f t="shared" si="365"/>
        <v>8</v>
      </c>
      <c r="AO467" s="87">
        <f t="shared" si="366"/>
        <v>8</v>
      </c>
      <c r="AP467" s="87">
        <f t="shared" si="367"/>
        <v>0</v>
      </c>
      <c r="AQ467" s="87">
        <f t="shared" si="368"/>
        <v>0</v>
      </c>
      <c r="AR467" s="81"/>
      <c r="AS467" s="85">
        <f t="shared" si="369"/>
        <v>87</v>
      </c>
      <c r="AT467" s="85">
        <f t="shared" si="370"/>
        <v>63</v>
      </c>
      <c r="AU467" s="85">
        <f t="shared" si="371"/>
        <v>0</v>
      </c>
      <c r="AV467" s="85">
        <f t="shared" si="372"/>
        <v>31</v>
      </c>
      <c r="AW467" s="85">
        <f t="shared" si="373"/>
        <v>0</v>
      </c>
      <c r="AX467" s="85">
        <f t="shared" si="374"/>
        <v>40</v>
      </c>
      <c r="AY467" s="85">
        <f t="shared" si="375"/>
        <v>94</v>
      </c>
      <c r="AZ467" s="85">
        <f t="shared" si="376"/>
        <v>27</v>
      </c>
      <c r="BA467" s="85">
        <f t="shared" si="377"/>
        <v>27</v>
      </c>
      <c r="BB467" s="85">
        <f t="shared" si="378"/>
        <v>62</v>
      </c>
      <c r="BC467" s="85">
        <f t="shared" si="379"/>
        <v>85</v>
      </c>
      <c r="BD467" s="85">
        <f t="shared" si="380"/>
        <v>28</v>
      </c>
      <c r="BE467" s="85">
        <f t="shared" si="381"/>
        <v>78</v>
      </c>
      <c r="BF467" s="85">
        <f t="shared" si="382"/>
        <v>78</v>
      </c>
      <c r="BG467" s="85">
        <f t="shared" si="383"/>
        <v>83</v>
      </c>
      <c r="BH467" s="85">
        <f t="shared" si="384"/>
        <v>83</v>
      </c>
      <c r="BI467" s="85">
        <f t="shared" si="385"/>
        <v>82</v>
      </c>
      <c r="BJ467" s="85">
        <f t="shared" si="386"/>
        <v>82</v>
      </c>
      <c r="BK467" s="85">
        <f t="shared" si="387"/>
        <v>34</v>
      </c>
      <c r="BL467" s="85">
        <f t="shared" si="388"/>
        <v>34</v>
      </c>
      <c r="BM467" s="85">
        <f t="shared" si="389"/>
        <v>32</v>
      </c>
      <c r="BN467" s="85">
        <f t="shared" si="390"/>
        <v>0</v>
      </c>
      <c r="BO467" s="85">
        <f t="shared" si="391"/>
        <v>24</v>
      </c>
      <c r="BP467" s="85">
        <f t="shared" si="392"/>
        <v>0</v>
      </c>
      <c r="BQ467" s="85">
        <f t="shared" si="393"/>
        <v>23</v>
      </c>
      <c r="BR467" s="85">
        <f t="shared" si="394"/>
        <v>23</v>
      </c>
      <c r="BT467" s="63"/>
      <c r="BU467" s="63"/>
      <c r="BV467" s="63"/>
      <c r="BW467" s="63"/>
      <c r="BX467" s="63"/>
      <c r="BY467" s="63"/>
      <c r="BZ467" s="63"/>
      <c r="CA467" s="63"/>
      <c r="CB467" s="63"/>
      <c r="CC467" s="63"/>
      <c r="CD467" s="63"/>
      <c r="CE467" s="63"/>
      <c r="CF467" s="63"/>
      <c r="CG467" s="63"/>
      <c r="CH467" s="63"/>
      <c r="CI467" s="63"/>
      <c r="CJ467" s="63"/>
      <c r="CK467" s="63"/>
      <c r="CL467" s="63"/>
      <c r="CM467" s="63"/>
      <c r="CN467" s="63"/>
      <c r="CO467" s="63"/>
      <c r="CP467" s="63"/>
      <c r="CQ467" s="63"/>
      <c r="CR467" s="63"/>
      <c r="CS467" s="63"/>
      <c r="CX467" s="35" t="s">
        <v>12</v>
      </c>
      <c r="CZ467" s="35"/>
      <c r="DC467" s="57" t="str">
        <f t="shared" si="399"/>
        <v/>
      </c>
      <c r="DD467" s="64" t="str">
        <f t="shared" si="396"/>
        <v/>
      </c>
      <c r="DE467" s="65" t="str">
        <f t="shared" si="397"/>
        <v/>
      </c>
      <c r="DF467" s="66" t="str">
        <f t="shared" si="357"/>
        <v/>
      </c>
    </row>
    <row r="468" spans="2:110">
      <c r="B468" s="54">
        <f t="shared" si="352"/>
        <v>46328</v>
      </c>
      <c r="C468" s="55" t="s">
        <v>1</v>
      </c>
      <c r="D468" s="56">
        <f t="shared" si="353"/>
        <v>46334</v>
      </c>
      <c r="E468" s="52">
        <f t="shared" si="354"/>
        <v>11</v>
      </c>
      <c r="F468" s="53">
        <f t="shared" si="355"/>
        <v>2026</v>
      </c>
      <c r="G468" s="62">
        <f t="shared" si="398"/>
        <v>15</v>
      </c>
      <c r="H468" s="63">
        <f t="shared" si="400"/>
        <v>96</v>
      </c>
      <c r="I468" s="62"/>
      <c r="J468" s="62"/>
      <c r="K468" s="62">
        <v>14</v>
      </c>
      <c r="L468" s="62">
        <v>9</v>
      </c>
      <c r="M468" s="62"/>
      <c r="N468" s="62"/>
      <c r="O468" s="62">
        <v>9</v>
      </c>
      <c r="P468" s="62">
        <v>9</v>
      </c>
      <c r="Q468" s="62"/>
      <c r="R468" s="62"/>
      <c r="S468" s="62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80"/>
      <c r="AG468" s="87">
        <f t="shared" si="358"/>
        <v>14</v>
      </c>
      <c r="AH468" s="87">
        <f t="shared" si="359"/>
        <v>0</v>
      </c>
      <c r="AI468" s="87">
        <f t="shared" si="360"/>
        <v>14</v>
      </c>
      <c r="AJ468" s="87">
        <f t="shared" si="361"/>
        <v>9</v>
      </c>
      <c r="AK468" s="87">
        <f t="shared" si="362"/>
        <v>9</v>
      </c>
      <c r="AL468" s="87">
        <f t="shared" si="363"/>
        <v>0</v>
      </c>
      <c r="AM468" s="87">
        <f t="shared" si="364"/>
        <v>9</v>
      </c>
      <c r="AN468" s="87">
        <f t="shared" si="365"/>
        <v>9</v>
      </c>
      <c r="AO468" s="87">
        <f t="shared" si="366"/>
        <v>9</v>
      </c>
      <c r="AP468" s="87">
        <f t="shared" si="367"/>
        <v>0</v>
      </c>
      <c r="AQ468" s="87">
        <f t="shared" si="368"/>
        <v>0</v>
      </c>
      <c r="AR468" s="81"/>
      <c r="AS468" s="85">
        <f t="shared" si="369"/>
        <v>88</v>
      </c>
      <c r="AT468" s="85">
        <f t="shared" si="370"/>
        <v>64</v>
      </c>
      <c r="AU468" s="85">
        <f t="shared" si="371"/>
        <v>0</v>
      </c>
      <c r="AV468" s="85">
        <f t="shared" si="372"/>
        <v>32</v>
      </c>
      <c r="AW468" s="85">
        <f t="shared" si="373"/>
        <v>0</v>
      </c>
      <c r="AX468" s="85">
        <f t="shared" si="374"/>
        <v>41</v>
      </c>
      <c r="AY468" s="85">
        <f t="shared" si="375"/>
        <v>95</v>
      </c>
      <c r="AZ468" s="85">
        <f t="shared" si="376"/>
        <v>28</v>
      </c>
      <c r="BA468" s="85">
        <f t="shared" si="377"/>
        <v>28</v>
      </c>
      <c r="BB468" s="85">
        <f t="shared" si="378"/>
        <v>63</v>
      </c>
      <c r="BC468" s="85">
        <f t="shared" si="379"/>
        <v>86</v>
      </c>
      <c r="BD468" s="85">
        <f t="shared" si="380"/>
        <v>29</v>
      </c>
      <c r="BE468" s="85">
        <f t="shared" si="381"/>
        <v>79</v>
      </c>
      <c r="BF468" s="85">
        <f t="shared" si="382"/>
        <v>79</v>
      </c>
      <c r="BG468" s="85">
        <f t="shared" si="383"/>
        <v>84</v>
      </c>
      <c r="BH468" s="85">
        <f t="shared" si="384"/>
        <v>84</v>
      </c>
      <c r="BI468" s="85">
        <f t="shared" si="385"/>
        <v>83</v>
      </c>
      <c r="BJ468" s="85">
        <f t="shared" si="386"/>
        <v>83</v>
      </c>
      <c r="BK468" s="85">
        <f t="shared" si="387"/>
        <v>35</v>
      </c>
      <c r="BL468" s="85">
        <f t="shared" si="388"/>
        <v>35</v>
      </c>
      <c r="BM468" s="85">
        <f t="shared" si="389"/>
        <v>33</v>
      </c>
      <c r="BN468" s="85">
        <f t="shared" si="390"/>
        <v>0</v>
      </c>
      <c r="BO468" s="85">
        <f t="shared" si="391"/>
        <v>25</v>
      </c>
      <c r="BP468" s="85">
        <f t="shared" si="392"/>
        <v>0</v>
      </c>
      <c r="BQ468" s="85">
        <f t="shared" si="393"/>
        <v>24</v>
      </c>
      <c r="BR468" s="85">
        <f t="shared" si="394"/>
        <v>24</v>
      </c>
      <c r="BT468" s="63"/>
      <c r="BU468" s="63"/>
      <c r="BV468" s="63"/>
      <c r="BW468" s="63"/>
      <c r="BX468" s="63"/>
      <c r="BY468" s="63"/>
      <c r="BZ468" s="63"/>
      <c r="CA468" s="63"/>
      <c r="CB468" s="63"/>
      <c r="CC468" s="63"/>
      <c r="CD468" s="63"/>
      <c r="CE468" s="63"/>
      <c r="CF468" s="63"/>
      <c r="CG468" s="63"/>
      <c r="CH468" s="63"/>
      <c r="CI468" s="63"/>
      <c r="CJ468" s="63"/>
      <c r="CK468" s="63"/>
      <c r="CL468" s="63"/>
      <c r="CM468" s="63"/>
      <c r="CN468" s="63"/>
      <c r="CO468" s="63"/>
      <c r="CP468" s="63"/>
      <c r="CQ468" s="63"/>
      <c r="CR468" s="63"/>
      <c r="CS468" s="63"/>
      <c r="CX468" s="35" t="s">
        <v>12</v>
      </c>
      <c r="CZ468" s="35"/>
      <c r="DC468" s="57" t="str">
        <f t="shared" si="399"/>
        <v/>
      </c>
      <c r="DD468" s="64" t="str">
        <f t="shared" si="396"/>
        <v/>
      </c>
      <c r="DE468" s="65" t="str">
        <f t="shared" si="397"/>
        <v/>
      </c>
      <c r="DF468" s="66" t="str">
        <f t="shared" si="357"/>
        <v/>
      </c>
    </row>
    <row r="469" spans="2:110">
      <c r="B469" s="54">
        <f t="shared" si="352"/>
        <v>46335</v>
      </c>
      <c r="C469" s="55" t="s">
        <v>1</v>
      </c>
      <c r="D469" s="56">
        <f t="shared" si="353"/>
        <v>46341</v>
      </c>
      <c r="E469" s="52">
        <f t="shared" si="354"/>
        <v>11</v>
      </c>
      <c r="F469" s="53">
        <f t="shared" si="355"/>
        <v>2026</v>
      </c>
      <c r="G469" s="62">
        <f t="shared" si="398"/>
        <v>15</v>
      </c>
      <c r="H469" s="63">
        <f t="shared" si="400"/>
        <v>96</v>
      </c>
      <c r="I469" s="62"/>
      <c r="J469" s="62"/>
      <c r="K469" s="62">
        <v>15</v>
      </c>
      <c r="L469" s="62">
        <v>10</v>
      </c>
      <c r="M469" s="62"/>
      <c r="N469" s="62"/>
      <c r="O469" s="62">
        <v>10</v>
      </c>
      <c r="P469" s="62">
        <v>10</v>
      </c>
      <c r="Q469" s="62"/>
      <c r="R469" s="62"/>
      <c r="S469" s="62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80"/>
      <c r="AG469" s="87">
        <f t="shared" si="358"/>
        <v>15</v>
      </c>
      <c r="AH469" s="87">
        <f t="shared" si="359"/>
        <v>0</v>
      </c>
      <c r="AI469" s="87">
        <f t="shared" si="360"/>
        <v>15</v>
      </c>
      <c r="AJ469" s="87">
        <f t="shared" si="361"/>
        <v>10</v>
      </c>
      <c r="AK469" s="87">
        <f t="shared" si="362"/>
        <v>10</v>
      </c>
      <c r="AL469" s="87">
        <f t="shared" si="363"/>
        <v>0</v>
      </c>
      <c r="AM469" s="87">
        <f t="shared" si="364"/>
        <v>10</v>
      </c>
      <c r="AN469" s="87">
        <f t="shared" si="365"/>
        <v>10</v>
      </c>
      <c r="AO469" s="87">
        <f t="shared" si="366"/>
        <v>10</v>
      </c>
      <c r="AP469" s="87">
        <f t="shared" si="367"/>
        <v>0</v>
      </c>
      <c r="AQ469" s="87">
        <f t="shared" si="368"/>
        <v>0</v>
      </c>
      <c r="AR469" s="81"/>
      <c r="AS469" s="85">
        <f t="shared" si="369"/>
        <v>89</v>
      </c>
      <c r="AT469" s="85">
        <f t="shared" si="370"/>
        <v>65</v>
      </c>
      <c r="AU469" s="85">
        <f t="shared" si="371"/>
        <v>15</v>
      </c>
      <c r="AV469" s="85">
        <f t="shared" si="372"/>
        <v>33</v>
      </c>
      <c r="AW469" s="85">
        <f t="shared" si="373"/>
        <v>0</v>
      </c>
      <c r="AX469" s="85">
        <f t="shared" si="374"/>
        <v>42</v>
      </c>
      <c r="AY469" s="85">
        <f t="shared" si="375"/>
        <v>96</v>
      </c>
      <c r="AZ469" s="85">
        <f t="shared" si="376"/>
        <v>29</v>
      </c>
      <c r="BA469" s="85">
        <f t="shared" si="377"/>
        <v>29</v>
      </c>
      <c r="BB469" s="85">
        <f t="shared" si="378"/>
        <v>64</v>
      </c>
      <c r="BC469" s="85">
        <f t="shared" si="379"/>
        <v>87</v>
      </c>
      <c r="BD469" s="85">
        <f t="shared" si="380"/>
        <v>30</v>
      </c>
      <c r="BE469" s="85">
        <f t="shared" si="381"/>
        <v>80</v>
      </c>
      <c r="BF469" s="85">
        <f t="shared" si="382"/>
        <v>80</v>
      </c>
      <c r="BG469" s="85">
        <f t="shared" si="383"/>
        <v>85</v>
      </c>
      <c r="BH469" s="85">
        <f t="shared" si="384"/>
        <v>85</v>
      </c>
      <c r="BI469" s="85">
        <f t="shared" si="385"/>
        <v>84</v>
      </c>
      <c r="BJ469" s="85">
        <f t="shared" si="386"/>
        <v>84</v>
      </c>
      <c r="BK469" s="85">
        <f t="shared" si="387"/>
        <v>36</v>
      </c>
      <c r="BL469" s="85">
        <f t="shared" si="388"/>
        <v>36</v>
      </c>
      <c r="BM469" s="85">
        <f t="shared" si="389"/>
        <v>34</v>
      </c>
      <c r="BN469" s="85">
        <f t="shared" si="390"/>
        <v>0</v>
      </c>
      <c r="BO469" s="85">
        <f t="shared" si="391"/>
        <v>26</v>
      </c>
      <c r="BP469" s="85">
        <f t="shared" si="392"/>
        <v>0</v>
      </c>
      <c r="BQ469" s="85">
        <f t="shared" si="393"/>
        <v>25</v>
      </c>
      <c r="BR469" s="85">
        <f t="shared" si="394"/>
        <v>25</v>
      </c>
      <c r="BT469" s="63"/>
      <c r="BU469" s="63"/>
      <c r="BV469" s="63">
        <v>1</v>
      </c>
      <c r="BW469" s="63"/>
      <c r="BX469" s="63"/>
      <c r="BY469" s="63"/>
      <c r="BZ469" s="63"/>
      <c r="CA469" s="63"/>
      <c r="CB469" s="63"/>
      <c r="CC469" s="63"/>
      <c r="CD469" s="63"/>
      <c r="CE469" s="63"/>
      <c r="CF469" s="63"/>
      <c r="CG469" s="63"/>
      <c r="CH469" s="63"/>
      <c r="CI469" s="63"/>
      <c r="CJ469" s="63"/>
      <c r="CK469" s="63"/>
      <c r="CL469" s="63"/>
      <c r="CM469" s="63"/>
      <c r="CN469" s="63"/>
      <c r="CO469" s="63"/>
      <c r="CP469" s="63"/>
      <c r="CQ469" s="63"/>
      <c r="CR469" s="63"/>
      <c r="CS469" s="63"/>
      <c r="CX469" s="35" t="s">
        <v>12</v>
      </c>
      <c r="CZ469" s="35"/>
      <c r="DC469" s="57" t="str">
        <f t="shared" si="399"/>
        <v/>
      </c>
      <c r="DD469" s="64" t="str">
        <f t="shared" si="396"/>
        <v/>
      </c>
      <c r="DE469" s="65" t="str">
        <f t="shared" si="397"/>
        <v/>
      </c>
      <c r="DF469" s="66" t="str">
        <f t="shared" si="357"/>
        <v/>
      </c>
    </row>
    <row r="470" spans="2:110">
      <c r="B470" s="54">
        <f t="shared" si="352"/>
        <v>46342</v>
      </c>
      <c r="C470" s="55" t="s">
        <v>1</v>
      </c>
      <c r="D470" s="56">
        <f t="shared" si="353"/>
        <v>46348</v>
      </c>
      <c r="E470" s="52">
        <f t="shared" si="354"/>
        <v>11</v>
      </c>
      <c r="F470" s="53">
        <f t="shared" si="355"/>
        <v>2026</v>
      </c>
      <c r="G470" s="62">
        <f t="shared" si="398"/>
        <v>15</v>
      </c>
      <c r="H470" s="63">
        <f t="shared" si="400"/>
        <v>96</v>
      </c>
      <c r="I470" s="62"/>
      <c r="J470" s="62"/>
      <c r="K470" s="62"/>
      <c r="L470" s="62">
        <v>11</v>
      </c>
      <c r="M470" s="62"/>
      <c r="N470" s="62"/>
      <c r="O470" s="62">
        <v>11</v>
      </c>
      <c r="P470" s="62">
        <v>11</v>
      </c>
      <c r="Q470" s="62"/>
      <c r="R470" s="62"/>
      <c r="S470" s="62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80"/>
      <c r="AG470" s="87">
        <f t="shared" si="358"/>
        <v>0</v>
      </c>
      <c r="AH470" s="87">
        <f t="shared" si="359"/>
        <v>0</v>
      </c>
      <c r="AI470" s="87">
        <f t="shared" si="360"/>
        <v>0</v>
      </c>
      <c r="AJ470" s="87">
        <f t="shared" si="361"/>
        <v>11</v>
      </c>
      <c r="AK470" s="87">
        <f t="shared" si="362"/>
        <v>11</v>
      </c>
      <c r="AL470" s="87">
        <f t="shared" si="363"/>
        <v>0</v>
      </c>
      <c r="AM470" s="87">
        <f t="shared" si="364"/>
        <v>11</v>
      </c>
      <c r="AN470" s="87">
        <f t="shared" si="365"/>
        <v>11</v>
      </c>
      <c r="AO470" s="87">
        <f t="shared" si="366"/>
        <v>11</v>
      </c>
      <c r="AP470" s="87">
        <f t="shared" si="367"/>
        <v>0</v>
      </c>
      <c r="AQ470" s="87">
        <f t="shared" si="368"/>
        <v>0</v>
      </c>
      <c r="AR470" s="81"/>
      <c r="AS470" s="85">
        <f t="shared" si="369"/>
        <v>90</v>
      </c>
      <c r="AT470" s="85">
        <f t="shared" si="370"/>
        <v>66</v>
      </c>
      <c r="AU470" s="85">
        <f t="shared" si="371"/>
        <v>16</v>
      </c>
      <c r="AV470" s="85">
        <f t="shared" si="372"/>
        <v>34</v>
      </c>
      <c r="AW470" s="85">
        <f t="shared" si="373"/>
        <v>0</v>
      </c>
      <c r="AX470" s="85">
        <f t="shared" si="374"/>
        <v>43</v>
      </c>
      <c r="AY470" s="85">
        <f t="shared" si="375"/>
        <v>0</v>
      </c>
      <c r="AZ470" s="85">
        <f t="shared" si="376"/>
        <v>30</v>
      </c>
      <c r="BA470" s="85">
        <f t="shared" si="377"/>
        <v>30</v>
      </c>
      <c r="BB470" s="85">
        <f t="shared" si="378"/>
        <v>65</v>
      </c>
      <c r="BC470" s="85">
        <f t="shared" si="379"/>
        <v>88</v>
      </c>
      <c r="BD470" s="85">
        <f t="shared" si="380"/>
        <v>31</v>
      </c>
      <c r="BE470" s="85">
        <f t="shared" si="381"/>
        <v>81</v>
      </c>
      <c r="BF470" s="85">
        <f t="shared" si="382"/>
        <v>81</v>
      </c>
      <c r="BG470" s="85">
        <f t="shared" si="383"/>
        <v>86</v>
      </c>
      <c r="BH470" s="85">
        <f t="shared" si="384"/>
        <v>86</v>
      </c>
      <c r="BI470" s="85">
        <f t="shared" si="385"/>
        <v>85</v>
      </c>
      <c r="BJ470" s="85">
        <f t="shared" si="386"/>
        <v>85</v>
      </c>
      <c r="BK470" s="85">
        <f t="shared" si="387"/>
        <v>37</v>
      </c>
      <c r="BL470" s="85">
        <f t="shared" si="388"/>
        <v>37</v>
      </c>
      <c r="BM470" s="85">
        <f t="shared" si="389"/>
        <v>35</v>
      </c>
      <c r="BN470" s="85">
        <f t="shared" si="390"/>
        <v>0</v>
      </c>
      <c r="BO470" s="85">
        <f t="shared" si="391"/>
        <v>27</v>
      </c>
      <c r="BP470" s="85">
        <f t="shared" si="392"/>
        <v>0</v>
      </c>
      <c r="BQ470" s="85">
        <f t="shared" si="393"/>
        <v>26</v>
      </c>
      <c r="BR470" s="85">
        <f t="shared" si="394"/>
        <v>26</v>
      </c>
      <c r="BT470" s="63"/>
      <c r="BU470" s="63"/>
      <c r="BV470" s="63"/>
      <c r="BW470" s="63"/>
      <c r="BX470" s="63"/>
      <c r="BY470" s="63"/>
      <c r="BZ470" s="63"/>
      <c r="CA470" s="63"/>
      <c r="CB470" s="63"/>
      <c r="CC470" s="63"/>
      <c r="CD470" s="63"/>
      <c r="CE470" s="63"/>
      <c r="CF470" s="63"/>
      <c r="CG470" s="63"/>
      <c r="CH470" s="63"/>
      <c r="CI470" s="63"/>
      <c r="CJ470" s="63"/>
      <c r="CK470" s="63"/>
      <c r="CL470" s="63"/>
      <c r="CM470" s="63"/>
      <c r="CN470" s="63"/>
      <c r="CO470" s="63"/>
      <c r="CP470" s="63"/>
      <c r="CQ470" s="63"/>
      <c r="CR470" s="63"/>
      <c r="CS470" s="63"/>
      <c r="CX470" s="35" t="s">
        <v>12</v>
      </c>
      <c r="CZ470" s="35"/>
      <c r="DC470" s="57" t="str">
        <f t="shared" si="399"/>
        <v/>
      </c>
      <c r="DD470" s="64" t="str">
        <f t="shared" si="396"/>
        <v/>
      </c>
      <c r="DE470" s="65" t="str">
        <f t="shared" si="397"/>
        <v/>
      </c>
      <c r="DF470" s="66" t="str">
        <f t="shared" si="357"/>
        <v/>
      </c>
    </row>
    <row r="471" spans="2:110">
      <c r="B471" s="54">
        <f t="shared" si="352"/>
        <v>46349</v>
      </c>
      <c r="C471" s="55" t="s">
        <v>1</v>
      </c>
      <c r="D471" s="56">
        <f t="shared" si="353"/>
        <v>46355</v>
      </c>
      <c r="E471" s="52">
        <f t="shared" si="354"/>
        <v>11</v>
      </c>
      <c r="F471" s="53">
        <f t="shared" si="355"/>
        <v>2026</v>
      </c>
      <c r="G471" s="62">
        <f t="shared" si="398"/>
        <v>15</v>
      </c>
      <c r="H471" s="63">
        <f t="shared" si="400"/>
        <v>96</v>
      </c>
      <c r="I471" s="62"/>
      <c r="J471" s="62"/>
      <c r="K471" s="62"/>
      <c r="L471" s="62">
        <v>12</v>
      </c>
      <c r="M471" s="62"/>
      <c r="N471" s="62"/>
      <c r="O471" s="62">
        <v>12</v>
      </c>
      <c r="P471" s="62">
        <v>12</v>
      </c>
      <c r="Q471" s="62"/>
      <c r="R471" s="62"/>
      <c r="S471" s="62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80"/>
      <c r="AG471" s="87">
        <f t="shared" si="358"/>
        <v>0</v>
      </c>
      <c r="AH471" s="87">
        <f t="shared" si="359"/>
        <v>0</v>
      </c>
      <c r="AI471" s="87">
        <f t="shared" si="360"/>
        <v>0</v>
      </c>
      <c r="AJ471" s="87">
        <f t="shared" si="361"/>
        <v>12</v>
      </c>
      <c r="AK471" s="87">
        <f t="shared" si="362"/>
        <v>12</v>
      </c>
      <c r="AL471" s="87">
        <f t="shared" si="363"/>
        <v>0</v>
      </c>
      <c r="AM471" s="87">
        <f t="shared" si="364"/>
        <v>12</v>
      </c>
      <c r="AN471" s="87">
        <f t="shared" si="365"/>
        <v>12</v>
      </c>
      <c r="AO471" s="87">
        <f t="shared" si="366"/>
        <v>12</v>
      </c>
      <c r="AP471" s="87">
        <f t="shared" si="367"/>
        <v>0</v>
      </c>
      <c r="AQ471" s="87">
        <f t="shared" si="368"/>
        <v>0</v>
      </c>
      <c r="AR471" s="81"/>
      <c r="AS471" s="85">
        <f t="shared" si="369"/>
        <v>91</v>
      </c>
      <c r="AT471" s="85">
        <f t="shared" si="370"/>
        <v>67</v>
      </c>
      <c r="AU471" s="85">
        <f t="shared" si="371"/>
        <v>17</v>
      </c>
      <c r="AV471" s="85">
        <f t="shared" si="372"/>
        <v>35</v>
      </c>
      <c r="AW471" s="85">
        <f t="shared" si="373"/>
        <v>0</v>
      </c>
      <c r="AX471" s="85">
        <f t="shared" si="374"/>
        <v>44</v>
      </c>
      <c r="AY471" s="85">
        <f t="shared" si="375"/>
        <v>0</v>
      </c>
      <c r="AZ471" s="85">
        <f t="shared" si="376"/>
        <v>31</v>
      </c>
      <c r="BA471" s="85">
        <f t="shared" si="377"/>
        <v>31</v>
      </c>
      <c r="BB471" s="85">
        <f t="shared" si="378"/>
        <v>66</v>
      </c>
      <c r="BC471" s="85">
        <f t="shared" si="379"/>
        <v>89</v>
      </c>
      <c r="BD471" s="85">
        <f t="shared" si="380"/>
        <v>32</v>
      </c>
      <c r="BE471" s="85">
        <f t="shared" si="381"/>
        <v>82</v>
      </c>
      <c r="BF471" s="85">
        <f t="shared" si="382"/>
        <v>82</v>
      </c>
      <c r="BG471" s="85">
        <f t="shared" si="383"/>
        <v>87</v>
      </c>
      <c r="BH471" s="85">
        <f t="shared" si="384"/>
        <v>87</v>
      </c>
      <c r="BI471" s="85">
        <f t="shared" si="385"/>
        <v>86</v>
      </c>
      <c r="BJ471" s="85">
        <f t="shared" si="386"/>
        <v>86</v>
      </c>
      <c r="BK471" s="85">
        <f t="shared" si="387"/>
        <v>38</v>
      </c>
      <c r="BL471" s="85">
        <f t="shared" si="388"/>
        <v>38</v>
      </c>
      <c r="BM471" s="85">
        <f t="shared" si="389"/>
        <v>36</v>
      </c>
      <c r="BN471" s="85">
        <f t="shared" si="390"/>
        <v>0</v>
      </c>
      <c r="BO471" s="85">
        <f t="shared" si="391"/>
        <v>28</v>
      </c>
      <c r="BP471" s="85">
        <f t="shared" si="392"/>
        <v>0</v>
      </c>
      <c r="BQ471" s="85">
        <f t="shared" si="393"/>
        <v>27</v>
      </c>
      <c r="BR471" s="85">
        <f t="shared" si="394"/>
        <v>27</v>
      </c>
      <c r="BT471" s="63"/>
      <c r="BU471" s="63"/>
      <c r="BV471" s="63"/>
      <c r="BW471" s="63"/>
      <c r="BX471" s="63"/>
      <c r="BY471" s="63"/>
      <c r="BZ471" s="63"/>
      <c r="CA471" s="63"/>
      <c r="CB471" s="63"/>
      <c r="CC471" s="63"/>
      <c r="CD471" s="63"/>
      <c r="CE471" s="63"/>
      <c r="CF471" s="63"/>
      <c r="CG471" s="63"/>
      <c r="CH471" s="63"/>
      <c r="CI471" s="63"/>
      <c r="CJ471" s="63"/>
      <c r="CK471" s="63"/>
      <c r="CL471" s="63"/>
      <c r="CM471" s="63"/>
      <c r="CN471" s="63"/>
      <c r="CO471" s="63"/>
      <c r="CP471" s="63"/>
      <c r="CQ471" s="63"/>
      <c r="CR471" s="63"/>
      <c r="CS471" s="63"/>
      <c r="CX471" s="35" t="s">
        <v>12</v>
      </c>
      <c r="CZ471" s="35"/>
      <c r="DC471" s="57" t="str">
        <f t="shared" si="399"/>
        <v/>
      </c>
      <c r="DD471" s="64" t="str">
        <f t="shared" si="396"/>
        <v/>
      </c>
      <c r="DE471" s="65" t="str">
        <f t="shared" si="397"/>
        <v/>
      </c>
      <c r="DF471" s="66" t="str">
        <f t="shared" si="357"/>
        <v/>
      </c>
    </row>
    <row r="472" spans="2:110">
      <c r="B472" s="54">
        <f t="shared" si="352"/>
        <v>46356</v>
      </c>
      <c r="C472" s="55" t="s">
        <v>1</v>
      </c>
      <c r="D472" s="56">
        <f t="shared" si="353"/>
        <v>46362</v>
      </c>
      <c r="E472" s="52">
        <f t="shared" si="354"/>
        <v>11</v>
      </c>
      <c r="F472" s="53">
        <f t="shared" si="355"/>
        <v>2026</v>
      </c>
      <c r="G472" s="62">
        <f t="shared" si="398"/>
        <v>15</v>
      </c>
      <c r="H472" s="63">
        <f t="shared" si="400"/>
        <v>96</v>
      </c>
      <c r="I472" s="62"/>
      <c r="J472" s="62"/>
      <c r="K472" s="62"/>
      <c r="L472" s="62">
        <v>13</v>
      </c>
      <c r="M472" s="62"/>
      <c r="N472" s="62"/>
      <c r="O472" s="62">
        <v>13</v>
      </c>
      <c r="P472" s="62">
        <v>13</v>
      </c>
      <c r="Q472" s="62"/>
      <c r="R472" s="62"/>
      <c r="S472" s="62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80"/>
      <c r="AG472" s="87">
        <f t="shared" si="358"/>
        <v>0</v>
      </c>
      <c r="AH472" s="87">
        <f t="shared" si="359"/>
        <v>0</v>
      </c>
      <c r="AI472" s="87">
        <f t="shared" si="360"/>
        <v>0</v>
      </c>
      <c r="AJ472" s="87">
        <f t="shared" si="361"/>
        <v>13</v>
      </c>
      <c r="AK472" s="87">
        <f t="shared" si="362"/>
        <v>13</v>
      </c>
      <c r="AL472" s="87">
        <f t="shared" si="363"/>
        <v>0</v>
      </c>
      <c r="AM472" s="87">
        <f t="shared" si="364"/>
        <v>13</v>
      </c>
      <c r="AN472" s="87">
        <f t="shared" si="365"/>
        <v>13</v>
      </c>
      <c r="AO472" s="87">
        <f t="shared" si="366"/>
        <v>13</v>
      </c>
      <c r="AP472" s="87">
        <f t="shared" si="367"/>
        <v>0</v>
      </c>
      <c r="AQ472" s="87">
        <f t="shared" si="368"/>
        <v>0</v>
      </c>
      <c r="AR472" s="81"/>
      <c r="AS472" s="85">
        <f t="shared" si="369"/>
        <v>92</v>
      </c>
      <c r="AT472" s="85">
        <f t="shared" si="370"/>
        <v>68</v>
      </c>
      <c r="AU472" s="85">
        <f t="shared" si="371"/>
        <v>18</v>
      </c>
      <c r="AV472" s="85">
        <f t="shared" si="372"/>
        <v>36</v>
      </c>
      <c r="AW472" s="85">
        <f t="shared" si="373"/>
        <v>0</v>
      </c>
      <c r="AX472" s="85">
        <f t="shared" si="374"/>
        <v>45</v>
      </c>
      <c r="AY472" s="85">
        <f t="shared" si="375"/>
        <v>0</v>
      </c>
      <c r="AZ472" s="85">
        <f t="shared" si="376"/>
        <v>32</v>
      </c>
      <c r="BA472" s="85">
        <f t="shared" si="377"/>
        <v>32</v>
      </c>
      <c r="BB472" s="85">
        <f t="shared" si="378"/>
        <v>67</v>
      </c>
      <c r="BC472" s="85">
        <f t="shared" si="379"/>
        <v>90</v>
      </c>
      <c r="BD472" s="85">
        <f t="shared" si="380"/>
        <v>33</v>
      </c>
      <c r="BE472" s="85">
        <f t="shared" si="381"/>
        <v>83</v>
      </c>
      <c r="BF472" s="85">
        <f t="shared" si="382"/>
        <v>83</v>
      </c>
      <c r="BG472" s="85">
        <f t="shared" si="383"/>
        <v>88</v>
      </c>
      <c r="BH472" s="85">
        <f t="shared" si="384"/>
        <v>88</v>
      </c>
      <c r="BI472" s="85">
        <f t="shared" si="385"/>
        <v>87</v>
      </c>
      <c r="BJ472" s="85">
        <f t="shared" si="386"/>
        <v>87</v>
      </c>
      <c r="BK472" s="85">
        <f t="shared" si="387"/>
        <v>39</v>
      </c>
      <c r="BL472" s="85">
        <f t="shared" si="388"/>
        <v>39</v>
      </c>
      <c r="BM472" s="85">
        <f t="shared" si="389"/>
        <v>37</v>
      </c>
      <c r="BN472" s="85">
        <f t="shared" si="390"/>
        <v>0</v>
      </c>
      <c r="BO472" s="85">
        <f t="shared" si="391"/>
        <v>29</v>
      </c>
      <c r="BP472" s="85">
        <f t="shared" si="392"/>
        <v>0</v>
      </c>
      <c r="BQ472" s="85">
        <f t="shared" si="393"/>
        <v>28</v>
      </c>
      <c r="BR472" s="85">
        <f t="shared" si="394"/>
        <v>28</v>
      </c>
      <c r="BT472" s="63"/>
      <c r="BU472" s="63"/>
      <c r="BV472" s="63"/>
      <c r="BW472" s="63"/>
      <c r="BX472" s="63"/>
      <c r="BY472" s="63"/>
      <c r="BZ472" s="63"/>
      <c r="CA472" s="63"/>
      <c r="CB472" s="63"/>
      <c r="CC472" s="63"/>
      <c r="CD472" s="63"/>
      <c r="CE472" s="63"/>
      <c r="CF472" s="63"/>
      <c r="CG472" s="63"/>
      <c r="CH472" s="63"/>
      <c r="CI472" s="63"/>
      <c r="CJ472" s="63"/>
      <c r="CK472" s="63"/>
      <c r="CL472" s="63"/>
      <c r="CM472" s="63"/>
      <c r="CN472" s="63"/>
      <c r="CO472" s="63"/>
      <c r="CP472" s="63"/>
      <c r="CQ472" s="63"/>
      <c r="CR472" s="63"/>
      <c r="CS472" s="63"/>
      <c r="CX472" s="35" t="s">
        <v>12</v>
      </c>
      <c r="CZ472" s="35"/>
      <c r="DC472" s="57" t="str">
        <f t="shared" si="399"/>
        <v/>
      </c>
      <c r="DD472" s="64" t="str">
        <f t="shared" si="396"/>
        <v/>
      </c>
      <c r="DE472" s="65" t="str">
        <f t="shared" si="397"/>
        <v/>
      </c>
      <c r="DF472" s="66" t="str">
        <f t="shared" si="357"/>
        <v/>
      </c>
    </row>
    <row r="473" spans="2:110">
      <c r="B473" s="54">
        <f t="shared" si="352"/>
        <v>46363</v>
      </c>
      <c r="C473" s="55" t="s">
        <v>1</v>
      </c>
      <c r="D473" s="56">
        <f t="shared" si="353"/>
        <v>46369</v>
      </c>
      <c r="E473" s="52">
        <f t="shared" si="354"/>
        <v>12</v>
      </c>
      <c r="F473" s="53">
        <f t="shared" si="355"/>
        <v>2026</v>
      </c>
      <c r="G473" s="62">
        <f t="shared" si="398"/>
        <v>15</v>
      </c>
      <c r="H473" s="63">
        <f t="shared" si="400"/>
        <v>96</v>
      </c>
      <c r="I473" s="62"/>
      <c r="J473" s="62"/>
      <c r="K473" s="62"/>
      <c r="L473" s="62">
        <v>14</v>
      </c>
      <c r="M473" s="62"/>
      <c r="N473" s="62"/>
      <c r="O473" s="62">
        <v>14</v>
      </c>
      <c r="P473" s="62">
        <v>14</v>
      </c>
      <c r="Q473" s="62"/>
      <c r="R473" s="62"/>
      <c r="S473" s="62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80"/>
      <c r="AG473" s="87">
        <f t="shared" si="358"/>
        <v>0</v>
      </c>
      <c r="AH473" s="87">
        <f t="shared" si="359"/>
        <v>0</v>
      </c>
      <c r="AI473" s="87">
        <f t="shared" si="360"/>
        <v>0</v>
      </c>
      <c r="AJ473" s="87">
        <f t="shared" si="361"/>
        <v>14</v>
      </c>
      <c r="AK473" s="87">
        <f t="shared" si="362"/>
        <v>14</v>
      </c>
      <c r="AL473" s="87">
        <f t="shared" si="363"/>
        <v>0</v>
      </c>
      <c r="AM473" s="87">
        <f t="shared" si="364"/>
        <v>14</v>
      </c>
      <c r="AN473" s="87">
        <f t="shared" si="365"/>
        <v>14</v>
      </c>
      <c r="AO473" s="87">
        <f t="shared" si="366"/>
        <v>14</v>
      </c>
      <c r="AP473" s="87">
        <f t="shared" si="367"/>
        <v>0</v>
      </c>
      <c r="AQ473" s="87">
        <f t="shared" si="368"/>
        <v>0</v>
      </c>
      <c r="AR473" s="81"/>
      <c r="AS473" s="85">
        <f t="shared" si="369"/>
        <v>93</v>
      </c>
      <c r="AT473" s="85">
        <f t="shared" si="370"/>
        <v>69</v>
      </c>
      <c r="AU473" s="85">
        <f t="shared" si="371"/>
        <v>19</v>
      </c>
      <c r="AV473" s="85">
        <f t="shared" si="372"/>
        <v>37</v>
      </c>
      <c r="AW473" s="85">
        <f t="shared" si="373"/>
        <v>0</v>
      </c>
      <c r="AX473" s="85">
        <f t="shared" si="374"/>
        <v>46</v>
      </c>
      <c r="AY473" s="85">
        <f t="shared" si="375"/>
        <v>0</v>
      </c>
      <c r="AZ473" s="85">
        <f t="shared" si="376"/>
        <v>33</v>
      </c>
      <c r="BA473" s="85">
        <f t="shared" si="377"/>
        <v>33</v>
      </c>
      <c r="BB473" s="85">
        <f t="shared" si="378"/>
        <v>68</v>
      </c>
      <c r="BC473" s="85">
        <f t="shared" si="379"/>
        <v>91</v>
      </c>
      <c r="BD473" s="85">
        <f t="shared" si="380"/>
        <v>34</v>
      </c>
      <c r="BE473" s="85">
        <f t="shared" si="381"/>
        <v>84</v>
      </c>
      <c r="BF473" s="85">
        <f t="shared" si="382"/>
        <v>84</v>
      </c>
      <c r="BG473" s="85">
        <f t="shared" si="383"/>
        <v>89</v>
      </c>
      <c r="BH473" s="85">
        <f t="shared" si="384"/>
        <v>89</v>
      </c>
      <c r="BI473" s="85">
        <f t="shared" si="385"/>
        <v>88</v>
      </c>
      <c r="BJ473" s="85">
        <f t="shared" si="386"/>
        <v>88</v>
      </c>
      <c r="BK473" s="85">
        <f t="shared" si="387"/>
        <v>40</v>
      </c>
      <c r="BL473" s="85">
        <f t="shared" si="388"/>
        <v>40</v>
      </c>
      <c r="BM473" s="85">
        <f t="shared" si="389"/>
        <v>38</v>
      </c>
      <c r="BN473" s="85">
        <f t="shared" si="390"/>
        <v>0</v>
      </c>
      <c r="BO473" s="85">
        <f t="shared" si="391"/>
        <v>30</v>
      </c>
      <c r="BP473" s="85">
        <f t="shared" si="392"/>
        <v>0</v>
      </c>
      <c r="BQ473" s="85">
        <f t="shared" si="393"/>
        <v>29</v>
      </c>
      <c r="BR473" s="85">
        <f t="shared" si="394"/>
        <v>29</v>
      </c>
      <c r="BT473" s="63"/>
      <c r="BU473" s="63"/>
      <c r="BV473" s="63"/>
      <c r="BW473" s="63"/>
      <c r="BX473" s="63"/>
      <c r="BY473" s="63"/>
      <c r="BZ473" s="63"/>
      <c r="CA473" s="63"/>
      <c r="CB473" s="63"/>
      <c r="CC473" s="63"/>
      <c r="CD473" s="63"/>
      <c r="CE473" s="63"/>
      <c r="CF473" s="63"/>
      <c r="CG473" s="63"/>
      <c r="CH473" s="63"/>
      <c r="CI473" s="63"/>
      <c r="CJ473" s="63"/>
      <c r="CK473" s="63"/>
      <c r="CL473" s="63"/>
      <c r="CM473" s="63"/>
      <c r="CN473" s="63"/>
      <c r="CO473" s="63"/>
      <c r="CP473" s="63"/>
      <c r="CQ473" s="63"/>
      <c r="CR473" s="63"/>
      <c r="CS473" s="63"/>
      <c r="CX473" s="35" t="s">
        <v>12</v>
      </c>
      <c r="CZ473" s="35"/>
      <c r="DC473" s="57" t="str">
        <f t="shared" si="399"/>
        <v/>
      </c>
      <c r="DD473" s="64" t="str">
        <f t="shared" si="396"/>
        <v/>
      </c>
      <c r="DE473" s="65" t="str">
        <f t="shared" si="397"/>
        <v/>
      </c>
      <c r="DF473" s="66" t="str">
        <f t="shared" si="357"/>
        <v/>
      </c>
    </row>
    <row r="474" spans="2:110">
      <c r="B474" s="54">
        <f t="shared" si="352"/>
        <v>46370</v>
      </c>
      <c r="C474" s="55" t="s">
        <v>1</v>
      </c>
      <c r="D474" s="56">
        <f t="shared" si="353"/>
        <v>46376</v>
      </c>
      <c r="E474" s="52">
        <f t="shared" si="354"/>
        <v>12</v>
      </c>
      <c r="F474" s="53">
        <f t="shared" si="355"/>
        <v>2026</v>
      </c>
      <c r="G474" s="62">
        <f t="shared" si="398"/>
        <v>15</v>
      </c>
      <c r="H474" s="63">
        <f t="shared" si="400"/>
        <v>96</v>
      </c>
      <c r="I474" s="62"/>
      <c r="J474" s="62"/>
      <c r="K474" s="62"/>
      <c r="L474" s="62">
        <v>15</v>
      </c>
      <c r="M474" s="62"/>
      <c r="N474" s="62"/>
      <c r="O474" s="62">
        <v>15</v>
      </c>
      <c r="P474" s="62">
        <v>15</v>
      </c>
      <c r="Q474" s="62"/>
      <c r="R474" s="62"/>
      <c r="S474" s="62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80"/>
      <c r="AG474" s="87">
        <f t="shared" si="358"/>
        <v>0</v>
      </c>
      <c r="AH474" s="87">
        <f t="shared" si="359"/>
        <v>0</v>
      </c>
      <c r="AI474" s="87">
        <f t="shared" si="360"/>
        <v>0</v>
      </c>
      <c r="AJ474" s="87">
        <f t="shared" si="361"/>
        <v>15</v>
      </c>
      <c r="AK474" s="87">
        <f t="shared" si="362"/>
        <v>15</v>
      </c>
      <c r="AL474" s="87">
        <f t="shared" si="363"/>
        <v>0</v>
      </c>
      <c r="AM474" s="87">
        <f t="shared" si="364"/>
        <v>15</v>
      </c>
      <c r="AN474" s="87">
        <f t="shared" si="365"/>
        <v>15</v>
      </c>
      <c r="AO474" s="87">
        <f t="shared" si="366"/>
        <v>15</v>
      </c>
      <c r="AP474" s="87">
        <f t="shared" si="367"/>
        <v>0</v>
      </c>
      <c r="AQ474" s="87">
        <f t="shared" si="368"/>
        <v>0</v>
      </c>
      <c r="AR474" s="81"/>
      <c r="AS474" s="85">
        <f t="shared" si="369"/>
        <v>94</v>
      </c>
      <c r="AT474" s="85">
        <f t="shared" si="370"/>
        <v>70</v>
      </c>
      <c r="AU474" s="85">
        <f t="shared" si="371"/>
        <v>20</v>
      </c>
      <c r="AV474" s="85">
        <f t="shared" si="372"/>
        <v>38</v>
      </c>
      <c r="AW474" s="85">
        <f t="shared" si="373"/>
        <v>15</v>
      </c>
      <c r="AX474" s="85">
        <f t="shared" si="374"/>
        <v>47</v>
      </c>
      <c r="AY474" s="85">
        <f t="shared" si="375"/>
        <v>15</v>
      </c>
      <c r="AZ474" s="85">
        <f t="shared" si="376"/>
        <v>34</v>
      </c>
      <c r="BA474" s="85">
        <f t="shared" si="377"/>
        <v>34</v>
      </c>
      <c r="BB474" s="85">
        <f t="shared" si="378"/>
        <v>69</v>
      </c>
      <c r="BC474" s="85">
        <f t="shared" si="379"/>
        <v>92</v>
      </c>
      <c r="BD474" s="85">
        <f t="shared" si="380"/>
        <v>35</v>
      </c>
      <c r="BE474" s="85">
        <f t="shared" si="381"/>
        <v>85</v>
      </c>
      <c r="BF474" s="85">
        <f t="shared" si="382"/>
        <v>85</v>
      </c>
      <c r="BG474" s="85">
        <f t="shared" si="383"/>
        <v>90</v>
      </c>
      <c r="BH474" s="85">
        <f t="shared" si="384"/>
        <v>90</v>
      </c>
      <c r="BI474" s="85">
        <f t="shared" si="385"/>
        <v>89</v>
      </c>
      <c r="BJ474" s="85">
        <f t="shared" si="386"/>
        <v>89</v>
      </c>
      <c r="BK474" s="85">
        <f t="shared" si="387"/>
        <v>41</v>
      </c>
      <c r="BL474" s="85">
        <f t="shared" si="388"/>
        <v>41</v>
      </c>
      <c r="BM474" s="85">
        <f t="shared" si="389"/>
        <v>39</v>
      </c>
      <c r="BN474" s="85">
        <f t="shared" si="390"/>
        <v>0</v>
      </c>
      <c r="BO474" s="85">
        <f t="shared" si="391"/>
        <v>31</v>
      </c>
      <c r="BP474" s="85">
        <f t="shared" si="392"/>
        <v>0</v>
      </c>
      <c r="BQ474" s="85">
        <f t="shared" si="393"/>
        <v>30</v>
      </c>
      <c r="BR474" s="85">
        <f t="shared" si="394"/>
        <v>30</v>
      </c>
      <c r="BT474" s="63"/>
      <c r="BU474" s="63"/>
      <c r="BV474" s="63"/>
      <c r="BW474" s="63"/>
      <c r="BX474" s="63">
        <v>5</v>
      </c>
      <c r="BY474" s="63"/>
      <c r="BZ474" s="63">
        <v>9</v>
      </c>
      <c r="CA474" s="63"/>
      <c r="CB474" s="63"/>
      <c r="CC474" s="63"/>
      <c r="CD474" s="63"/>
      <c r="CE474" s="63"/>
      <c r="CF474" s="63"/>
      <c r="CG474" s="63"/>
      <c r="CH474" s="63"/>
      <c r="CI474" s="63"/>
      <c r="CJ474" s="63"/>
      <c r="CK474" s="63"/>
      <c r="CL474" s="63"/>
      <c r="CM474" s="63"/>
      <c r="CN474" s="63"/>
      <c r="CO474" s="63"/>
      <c r="CP474" s="63"/>
      <c r="CQ474" s="63"/>
      <c r="CR474" s="63"/>
      <c r="CS474" s="63"/>
      <c r="CX474" s="35" t="s">
        <v>12</v>
      </c>
      <c r="CZ474" s="35"/>
      <c r="DC474" s="57" t="str">
        <f t="shared" si="399"/>
        <v/>
      </c>
      <c r="DD474" s="64" t="str">
        <f t="shared" si="396"/>
        <v/>
      </c>
      <c r="DE474" s="65" t="str">
        <f t="shared" si="397"/>
        <v/>
      </c>
      <c r="DF474" s="66" t="str">
        <f t="shared" si="357"/>
        <v/>
      </c>
    </row>
    <row r="475" spans="2:110">
      <c r="B475" s="54">
        <f t="shared" si="352"/>
        <v>46377</v>
      </c>
      <c r="C475" s="55" t="s">
        <v>1</v>
      </c>
      <c r="D475" s="56">
        <f t="shared" si="353"/>
        <v>46383</v>
      </c>
      <c r="E475" s="52">
        <f t="shared" si="354"/>
        <v>12</v>
      </c>
      <c r="F475" s="53">
        <f t="shared" si="355"/>
        <v>2026</v>
      </c>
      <c r="G475" s="62">
        <f t="shared" si="398"/>
        <v>15</v>
      </c>
      <c r="H475" s="63">
        <f t="shared" si="400"/>
        <v>96</v>
      </c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80"/>
      <c r="AG475" s="87">
        <f t="shared" si="358"/>
        <v>0</v>
      </c>
      <c r="AH475" s="87">
        <f t="shared" si="359"/>
        <v>0</v>
      </c>
      <c r="AI475" s="87">
        <f t="shared" si="360"/>
        <v>0</v>
      </c>
      <c r="AJ475" s="87">
        <f t="shared" si="361"/>
        <v>0</v>
      </c>
      <c r="AK475" s="87">
        <f t="shared" si="362"/>
        <v>0</v>
      </c>
      <c r="AL475" s="87">
        <f t="shared" si="363"/>
        <v>0</v>
      </c>
      <c r="AM475" s="87">
        <f t="shared" si="364"/>
        <v>0</v>
      </c>
      <c r="AN475" s="87">
        <f t="shared" si="365"/>
        <v>0</v>
      </c>
      <c r="AO475" s="87">
        <f t="shared" si="366"/>
        <v>0</v>
      </c>
      <c r="AP475" s="87">
        <f t="shared" si="367"/>
        <v>0</v>
      </c>
      <c r="AQ475" s="87">
        <f t="shared" si="368"/>
        <v>0</v>
      </c>
      <c r="AR475" s="81"/>
      <c r="AS475" s="85">
        <f t="shared" si="369"/>
        <v>95</v>
      </c>
      <c r="AT475" s="85">
        <f t="shared" si="370"/>
        <v>71</v>
      </c>
      <c r="AU475" s="85">
        <f t="shared" si="371"/>
        <v>21</v>
      </c>
      <c r="AV475" s="85">
        <f t="shared" si="372"/>
        <v>39</v>
      </c>
      <c r="AW475" s="85">
        <f t="shared" si="373"/>
        <v>16</v>
      </c>
      <c r="AX475" s="85">
        <f t="shared" si="374"/>
        <v>48</v>
      </c>
      <c r="AY475" s="85">
        <f t="shared" si="375"/>
        <v>16</v>
      </c>
      <c r="AZ475" s="85">
        <f t="shared" si="376"/>
        <v>35</v>
      </c>
      <c r="BA475" s="85">
        <f t="shared" si="377"/>
        <v>35</v>
      </c>
      <c r="BB475" s="85">
        <f t="shared" si="378"/>
        <v>70</v>
      </c>
      <c r="BC475" s="85">
        <f t="shared" si="379"/>
        <v>93</v>
      </c>
      <c r="BD475" s="85">
        <f t="shared" si="380"/>
        <v>36</v>
      </c>
      <c r="BE475" s="85">
        <f t="shared" si="381"/>
        <v>86</v>
      </c>
      <c r="BF475" s="85">
        <f t="shared" si="382"/>
        <v>86</v>
      </c>
      <c r="BG475" s="85">
        <f t="shared" si="383"/>
        <v>91</v>
      </c>
      <c r="BH475" s="85">
        <f t="shared" si="384"/>
        <v>91</v>
      </c>
      <c r="BI475" s="85">
        <f t="shared" si="385"/>
        <v>90</v>
      </c>
      <c r="BJ475" s="85">
        <f t="shared" si="386"/>
        <v>90</v>
      </c>
      <c r="BK475" s="85">
        <f t="shared" si="387"/>
        <v>42</v>
      </c>
      <c r="BL475" s="85">
        <f t="shared" si="388"/>
        <v>42</v>
      </c>
      <c r="BM475" s="85">
        <f t="shared" si="389"/>
        <v>40</v>
      </c>
      <c r="BN475" s="85">
        <f t="shared" si="390"/>
        <v>0</v>
      </c>
      <c r="BO475" s="85">
        <f t="shared" si="391"/>
        <v>32</v>
      </c>
      <c r="BP475" s="85">
        <f t="shared" si="392"/>
        <v>0</v>
      </c>
      <c r="BQ475" s="85">
        <f t="shared" si="393"/>
        <v>31</v>
      </c>
      <c r="BR475" s="85">
        <f t="shared" si="394"/>
        <v>31</v>
      </c>
      <c r="BT475" s="63"/>
      <c r="BU475" s="63"/>
      <c r="BV475" s="63"/>
      <c r="BW475" s="63"/>
      <c r="BX475" s="63"/>
      <c r="BY475" s="63"/>
      <c r="BZ475" s="63"/>
      <c r="CA475" s="63"/>
      <c r="CB475" s="63"/>
      <c r="CC475" s="63"/>
      <c r="CD475" s="63"/>
      <c r="CE475" s="63"/>
      <c r="CF475" s="63"/>
      <c r="CG475" s="63"/>
      <c r="CH475" s="63"/>
      <c r="CI475" s="63"/>
      <c r="CJ475" s="63"/>
      <c r="CK475" s="63"/>
      <c r="CL475" s="63"/>
      <c r="CM475" s="63"/>
      <c r="CN475" s="63"/>
      <c r="CO475" s="63"/>
      <c r="CP475" s="63"/>
      <c r="CQ475" s="63"/>
      <c r="CR475" s="63"/>
      <c r="CS475" s="63"/>
      <c r="CX475" s="35" t="s">
        <v>12</v>
      </c>
      <c r="CZ475" s="35"/>
      <c r="DC475" s="57" t="str">
        <f t="shared" si="399"/>
        <v/>
      </c>
      <c r="DD475" s="64" t="str">
        <f t="shared" si="396"/>
        <v/>
      </c>
      <c r="DE475" s="65" t="str">
        <f t="shared" si="397"/>
        <v/>
      </c>
      <c r="DF475" s="66" t="str">
        <f t="shared" si="357"/>
        <v/>
      </c>
    </row>
    <row r="476" spans="2:110">
      <c r="B476" s="54">
        <f t="shared" si="352"/>
        <v>46384</v>
      </c>
      <c r="C476" s="55" t="s">
        <v>1</v>
      </c>
      <c r="D476" s="56">
        <f t="shared" si="353"/>
        <v>46390</v>
      </c>
      <c r="E476" s="52">
        <f t="shared" si="354"/>
        <v>12</v>
      </c>
      <c r="F476" s="53">
        <f t="shared" si="355"/>
        <v>2027</v>
      </c>
      <c r="G476" s="62">
        <f t="shared" si="398"/>
        <v>15</v>
      </c>
      <c r="H476" s="63">
        <f t="shared" si="400"/>
        <v>96</v>
      </c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80"/>
      <c r="AG476" s="87">
        <f t="shared" si="358"/>
        <v>0</v>
      </c>
      <c r="AH476" s="87">
        <f t="shared" si="359"/>
        <v>0</v>
      </c>
      <c r="AI476" s="87">
        <f t="shared" si="360"/>
        <v>0</v>
      </c>
      <c r="AJ476" s="87">
        <f t="shared" si="361"/>
        <v>0</v>
      </c>
      <c r="AK476" s="87">
        <f t="shared" si="362"/>
        <v>0</v>
      </c>
      <c r="AL476" s="87">
        <f t="shared" si="363"/>
        <v>0</v>
      </c>
      <c r="AM476" s="87">
        <f t="shared" si="364"/>
        <v>0</v>
      </c>
      <c r="AN476" s="87">
        <f t="shared" si="365"/>
        <v>0</v>
      </c>
      <c r="AO476" s="87">
        <f t="shared" si="366"/>
        <v>0</v>
      </c>
      <c r="AP476" s="87">
        <f t="shared" si="367"/>
        <v>0</v>
      </c>
      <c r="AQ476" s="87">
        <f t="shared" si="368"/>
        <v>0</v>
      </c>
      <c r="AR476" s="81"/>
      <c r="AS476" s="85">
        <f t="shared" si="369"/>
        <v>96</v>
      </c>
      <c r="AT476" s="85">
        <f t="shared" si="370"/>
        <v>72</v>
      </c>
      <c r="AU476" s="85">
        <f t="shared" si="371"/>
        <v>22</v>
      </c>
      <c r="AV476" s="85">
        <f t="shared" si="372"/>
        <v>40</v>
      </c>
      <c r="AW476" s="85">
        <f t="shared" si="373"/>
        <v>17</v>
      </c>
      <c r="AX476" s="85">
        <f t="shared" si="374"/>
        <v>49</v>
      </c>
      <c r="AY476" s="85">
        <f t="shared" si="375"/>
        <v>17</v>
      </c>
      <c r="AZ476" s="85">
        <f t="shared" si="376"/>
        <v>36</v>
      </c>
      <c r="BA476" s="85">
        <f t="shared" si="377"/>
        <v>36</v>
      </c>
      <c r="BB476" s="85">
        <f t="shared" si="378"/>
        <v>71</v>
      </c>
      <c r="BC476" s="85">
        <f t="shared" si="379"/>
        <v>94</v>
      </c>
      <c r="BD476" s="85">
        <f t="shared" si="380"/>
        <v>37</v>
      </c>
      <c r="BE476" s="85">
        <f t="shared" si="381"/>
        <v>87</v>
      </c>
      <c r="BF476" s="85">
        <f t="shared" si="382"/>
        <v>87</v>
      </c>
      <c r="BG476" s="85">
        <f t="shared" si="383"/>
        <v>92</v>
      </c>
      <c r="BH476" s="85">
        <f t="shared" si="384"/>
        <v>92</v>
      </c>
      <c r="BI476" s="85">
        <f t="shared" si="385"/>
        <v>91</v>
      </c>
      <c r="BJ476" s="85">
        <f t="shared" si="386"/>
        <v>91</v>
      </c>
      <c r="BK476" s="85">
        <f t="shared" si="387"/>
        <v>43</v>
      </c>
      <c r="BL476" s="85">
        <f t="shared" si="388"/>
        <v>43</v>
      </c>
      <c r="BM476" s="85">
        <f t="shared" si="389"/>
        <v>41</v>
      </c>
      <c r="BN476" s="85">
        <f t="shared" si="390"/>
        <v>0</v>
      </c>
      <c r="BO476" s="85">
        <f t="shared" si="391"/>
        <v>33</v>
      </c>
      <c r="BP476" s="85">
        <f t="shared" si="392"/>
        <v>0</v>
      </c>
      <c r="BQ476" s="85">
        <f t="shared" si="393"/>
        <v>32</v>
      </c>
      <c r="BR476" s="85">
        <f t="shared" si="394"/>
        <v>32</v>
      </c>
      <c r="BT476" s="63"/>
      <c r="BU476" s="63"/>
      <c r="BV476" s="63"/>
      <c r="BW476" s="63"/>
      <c r="BX476" s="63"/>
      <c r="BY476" s="63"/>
      <c r="BZ476" s="63"/>
      <c r="CA476" s="63"/>
      <c r="CB476" s="63"/>
      <c r="CC476" s="63"/>
      <c r="CD476" s="63"/>
      <c r="CE476" s="63"/>
      <c r="CF476" s="63"/>
      <c r="CG476" s="63"/>
      <c r="CH476" s="63"/>
      <c r="CI476" s="63"/>
      <c r="CJ476" s="63"/>
      <c r="CK476" s="63"/>
      <c r="CL476" s="63"/>
      <c r="CM476" s="63"/>
      <c r="CN476" s="63"/>
      <c r="CO476" s="63"/>
      <c r="CP476" s="63"/>
      <c r="CQ476" s="63"/>
      <c r="CR476" s="63"/>
      <c r="CS476" s="63"/>
      <c r="CX476" s="35" t="s">
        <v>12</v>
      </c>
      <c r="CZ476" s="35"/>
      <c r="DC476" s="57" t="str">
        <f t="shared" si="399"/>
        <v/>
      </c>
      <c r="DD476" s="64" t="str">
        <f t="shared" si="396"/>
        <v/>
      </c>
      <c r="DE476" s="65" t="str">
        <f t="shared" si="397"/>
        <v/>
      </c>
      <c r="DF476" s="66" t="str">
        <f t="shared" si="357"/>
        <v/>
      </c>
    </row>
    <row r="477" spans="2:110">
      <c r="B477" s="54">
        <f t="shared" si="352"/>
        <v>46391</v>
      </c>
      <c r="C477" s="55" t="s">
        <v>1</v>
      </c>
      <c r="D477" s="56">
        <f t="shared" si="353"/>
        <v>46397</v>
      </c>
      <c r="E477" s="52">
        <f t="shared" si="354"/>
        <v>1</v>
      </c>
      <c r="F477" s="53">
        <f t="shared" si="355"/>
        <v>2027</v>
      </c>
      <c r="G477" s="62">
        <f t="shared" si="398"/>
        <v>15</v>
      </c>
      <c r="H477" s="63">
        <f t="shared" si="400"/>
        <v>96</v>
      </c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80"/>
      <c r="AG477" s="87">
        <f t="shared" si="358"/>
        <v>0</v>
      </c>
      <c r="AH477" s="87">
        <f t="shared" si="359"/>
        <v>0</v>
      </c>
      <c r="AI477" s="87">
        <f t="shared" si="360"/>
        <v>0</v>
      </c>
      <c r="AJ477" s="87">
        <f t="shared" si="361"/>
        <v>0</v>
      </c>
      <c r="AK477" s="87">
        <f t="shared" si="362"/>
        <v>0</v>
      </c>
      <c r="AL477" s="87">
        <f t="shared" si="363"/>
        <v>0</v>
      </c>
      <c r="AM477" s="87">
        <f t="shared" si="364"/>
        <v>0</v>
      </c>
      <c r="AN477" s="87">
        <f t="shared" si="365"/>
        <v>0</v>
      </c>
      <c r="AO477" s="87">
        <f t="shared" si="366"/>
        <v>0</v>
      </c>
      <c r="AP477" s="87">
        <f t="shared" si="367"/>
        <v>0</v>
      </c>
      <c r="AQ477" s="87">
        <f t="shared" si="368"/>
        <v>0</v>
      </c>
      <c r="AR477" s="81"/>
      <c r="AS477" s="85">
        <f t="shared" si="369"/>
        <v>0</v>
      </c>
      <c r="AT477" s="85">
        <f t="shared" si="370"/>
        <v>73</v>
      </c>
      <c r="AU477" s="85">
        <f t="shared" si="371"/>
        <v>23</v>
      </c>
      <c r="AV477" s="85">
        <f t="shared" si="372"/>
        <v>41</v>
      </c>
      <c r="AW477" s="85">
        <f t="shared" si="373"/>
        <v>18</v>
      </c>
      <c r="AX477" s="85">
        <f t="shared" si="374"/>
        <v>50</v>
      </c>
      <c r="AY477" s="85">
        <f t="shared" si="375"/>
        <v>18</v>
      </c>
      <c r="AZ477" s="85">
        <f t="shared" si="376"/>
        <v>37</v>
      </c>
      <c r="BA477" s="85">
        <f t="shared" si="377"/>
        <v>37</v>
      </c>
      <c r="BB477" s="85">
        <f t="shared" si="378"/>
        <v>72</v>
      </c>
      <c r="BC477" s="85">
        <f t="shared" si="379"/>
        <v>95</v>
      </c>
      <c r="BD477" s="85">
        <f t="shared" si="380"/>
        <v>38</v>
      </c>
      <c r="BE477" s="85">
        <f t="shared" si="381"/>
        <v>88</v>
      </c>
      <c r="BF477" s="85">
        <f t="shared" si="382"/>
        <v>88</v>
      </c>
      <c r="BG477" s="85">
        <f t="shared" si="383"/>
        <v>93</v>
      </c>
      <c r="BH477" s="85">
        <f t="shared" si="384"/>
        <v>93</v>
      </c>
      <c r="BI477" s="85">
        <f t="shared" si="385"/>
        <v>92</v>
      </c>
      <c r="BJ477" s="85">
        <f t="shared" si="386"/>
        <v>92</v>
      </c>
      <c r="BK477" s="85">
        <f t="shared" si="387"/>
        <v>44</v>
      </c>
      <c r="BL477" s="85">
        <f t="shared" si="388"/>
        <v>44</v>
      </c>
      <c r="BM477" s="85">
        <f t="shared" si="389"/>
        <v>42</v>
      </c>
      <c r="BN477" s="85">
        <f t="shared" si="390"/>
        <v>0</v>
      </c>
      <c r="BO477" s="85">
        <f t="shared" si="391"/>
        <v>34</v>
      </c>
      <c r="BP477" s="85">
        <f t="shared" si="392"/>
        <v>0</v>
      </c>
      <c r="BQ477" s="85">
        <f t="shared" si="393"/>
        <v>33</v>
      </c>
      <c r="BR477" s="85">
        <f t="shared" si="394"/>
        <v>33</v>
      </c>
      <c r="BT477" s="63"/>
      <c r="BU477" s="63"/>
      <c r="BV477" s="63"/>
      <c r="BW477" s="63"/>
      <c r="BX477" s="63"/>
      <c r="BY477" s="63"/>
      <c r="BZ477" s="63"/>
      <c r="CA477" s="63"/>
      <c r="CB477" s="63"/>
      <c r="CC477" s="63"/>
      <c r="CD477" s="63"/>
      <c r="CE477" s="63"/>
      <c r="CF477" s="63"/>
      <c r="CG477" s="63"/>
      <c r="CH477" s="63"/>
      <c r="CI477" s="63"/>
      <c r="CJ477" s="63"/>
      <c r="CK477" s="63"/>
      <c r="CL477" s="63"/>
      <c r="CM477" s="63"/>
      <c r="CN477" s="63"/>
      <c r="CO477" s="63"/>
      <c r="CP477" s="63"/>
      <c r="CQ477" s="63"/>
      <c r="CR477" s="63"/>
      <c r="CS477" s="63"/>
      <c r="CX477" s="35" t="s">
        <v>12</v>
      </c>
      <c r="CZ477" s="35"/>
      <c r="DC477" s="57" t="str">
        <f t="shared" si="399"/>
        <v/>
      </c>
      <c r="DD477" s="64" t="str">
        <f t="shared" si="396"/>
        <v/>
      </c>
      <c r="DE477" s="65" t="str">
        <f t="shared" si="397"/>
        <v/>
      </c>
      <c r="DF477" s="66" t="str">
        <f t="shared" si="357"/>
        <v/>
      </c>
    </row>
    <row r="478" spans="2:110">
      <c r="B478" s="54">
        <f t="shared" si="352"/>
        <v>46398</v>
      </c>
      <c r="C478" s="55" t="s">
        <v>1</v>
      </c>
      <c r="D478" s="56">
        <f t="shared" si="353"/>
        <v>46404</v>
      </c>
      <c r="E478" s="52">
        <f t="shared" si="354"/>
        <v>1</v>
      </c>
      <c r="F478" s="53">
        <f t="shared" si="355"/>
        <v>2027</v>
      </c>
      <c r="G478" s="62">
        <f t="shared" si="398"/>
        <v>15</v>
      </c>
      <c r="H478" s="63">
        <f t="shared" si="400"/>
        <v>96</v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80"/>
      <c r="AG478" s="87">
        <f t="shared" si="358"/>
        <v>0</v>
      </c>
      <c r="AH478" s="87">
        <f t="shared" si="359"/>
        <v>0</v>
      </c>
      <c r="AI478" s="87">
        <f t="shared" si="360"/>
        <v>0</v>
      </c>
      <c r="AJ478" s="87">
        <f t="shared" si="361"/>
        <v>0</v>
      </c>
      <c r="AK478" s="87">
        <f t="shared" si="362"/>
        <v>0</v>
      </c>
      <c r="AL478" s="87">
        <f t="shared" si="363"/>
        <v>0</v>
      </c>
      <c r="AM478" s="87">
        <f t="shared" si="364"/>
        <v>0</v>
      </c>
      <c r="AN478" s="87">
        <f t="shared" si="365"/>
        <v>0</v>
      </c>
      <c r="AO478" s="87">
        <f t="shared" si="366"/>
        <v>0</v>
      </c>
      <c r="AP478" s="87">
        <f t="shared" si="367"/>
        <v>0</v>
      </c>
      <c r="AQ478" s="87">
        <f t="shared" si="368"/>
        <v>0</v>
      </c>
      <c r="AR478" s="81"/>
      <c r="AS478" s="85">
        <f t="shared" si="369"/>
        <v>0</v>
      </c>
      <c r="AT478" s="85">
        <f t="shared" si="370"/>
        <v>74</v>
      </c>
      <c r="AU478" s="85">
        <f t="shared" si="371"/>
        <v>24</v>
      </c>
      <c r="AV478" s="85">
        <f t="shared" si="372"/>
        <v>42</v>
      </c>
      <c r="AW478" s="85">
        <f t="shared" si="373"/>
        <v>19</v>
      </c>
      <c r="AX478" s="85">
        <f t="shared" si="374"/>
        <v>51</v>
      </c>
      <c r="AY478" s="85">
        <f t="shared" si="375"/>
        <v>19</v>
      </c>
      <c r="AZ478" s="85">
        <f t="shared" si="376"/>
        <v>38</v>
      </c>
      <c r="BA478" s="85">
        <f t="shared" si="377"/>
        <v>38</v>
      </c>
      <c r="BB478" s="85">
        <f t="shared" si="378"/>
        <v>73</v>
      </c>
      <c r="BC478" s="85">
        <f t="shared" si="379"/>
        <v>96</v>
      </c>
      <c r="BD478" s="85">
        <f t="shared" si="380"/>
        <v>39</v>
      </c>
      <c r="BE478" s="85">
        <f t="shared" si="381"/>
        <v>89</v>
      </c>
      <c r="BF478" s="85">
        <f t="shared" si="382"/>
        <v>89</v>
      </c>
      <c r="BG478" s="85">
        <f t="shared" si="383"/>
        <v>94</v>
      </c>
      <c r="BH478" s="85">
        <f t="shared" si="384"/>
        <v>94</v>
      </c>
      <c r="BI478" s="85">
        <f t="shared" si="385"/>
        <v>93</v>
      </c>
      <c r="BJ478" s="85">
        <f t="shared" si="386"/>
        <v>93</v>
      </c>
      <c r="BK478" s="85">
        <f t="shared" si="387"/>
        <v>45</v>
      </c>
      <c r="BL478" s="85">
        <f t="shared" si="388"/>
        <v>45</v>
      </c>
      <c r="BM478" s="85">
        <f t="shared" si="389"/>
        <v>43</v>
      </c>
      <c r="BN478" s="85">
        <f t="shared" si="390"/>
        <v>0</v>
      </c>
      <c r="BO478" s="85">
        <f t="shared" si="391"/>
        <v>35</v>
      </c>
      <c r="BP478" s="85">
        <f t="shared" si="392"/>
        <v>0</v>
      </c>
      <c r="BQ478" s="85">
        <f t="shared" si="393"/>
        <v>34</v>
      </c>
      <c r="BR478" s="85">
        <f t="shared" si="394"/>
        <v>34</v>
      </c>
      <c r="BT478" s="63"/>
      <c r="BU478" s="63"/>
      <c r="BV478" s="63"/>
      <c r="BW478" s="63"/>
      <c r="BX478" s="63"/>
      <c r="BY478" s="63"/>
      <c r="BZ478" s="63"/>
      <c r="CA478" s="63"/>
      <c r="CB478" s="63"/>
      <c r="CC478" s="63"/>
      <c r="CD478" s="63"/>
      <c r="CE478" s="63"/>
      <c r="CF478" s="63"/>
      <c r="CG478" s="63"/>
      <c r="CH478" s="63"/>
      <c r="CI478" s="63"/>
      <c r="CJ478" s="63"/>
      <c r="CK478" s="63"/>
      <c r="CL478" s="63"/>
      <c r="CM478" s="63"/>
      <c r="CN478" s="63"/>
      <c r="CO478" s="63"/>
      <c r="CP478" s="63"/>
      <c r="CQ478" s="63"/>
      <c r="CR478" s="63"/>
      <c r="CS478" s="63"/>
      <c r="CX478" s="35" t="s">
        <v>12</v>
      </c>
      <c r="CZ478" s="35"/>
      <c r="DC478" s="57" t="str">
        <f t="shared" si="399"/>
        <v/>
      </c>
      <c r="DD478" s="64" t="str">
        <f t="shared" si="396"/>
        <v/>
      </c>
      <c r="DE478" s="65" t="str">
        <f t="shared" si="397"/>
        <v/>
      </c>
      <c r="DF478" s="66" t="str">
        <f t="shared" si="357"/>
        <v/>
      </c>
    </row>
    <row r="479" spans="2:110">
      <c r="B479" s="54">
        <f t="shared" si="352"/>
        <v>46405</v>
      </c>
      <c r="C479" s="55" t="s">
        <v>1</v>
      </c>
      <c r="D479" s="56">
        <f t="shared" si="353"/>
        <v>46411</v>
      </c>
      <c r="E479" s="52">
        <f t="shared" si="354"/>
        <v>1</v>
      </c>
      <c r="F479" s="53">
        <f t="shared" si="355"/>
        <v>2027</v>
      </c>
      <c r="G479" s="62">
        <f t="shared" si="398"/>
        <v>15</v>
      </c>
      <c r="H479" s="63">
        <f t="shared" si="400"/>
        <v>96</v>
      </c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80"/>
      <c r="AG479" s="87">
        <f t="shared" si="358"/>
        <v>0</v>
      </c>
      <c r="AH479" s="87">
        <f t="shared" si="359"/>
        <v>0</v>
      </c>
      <c r="AI479" s="87">
        <f t="shared" si="360"/>
        <v>0</v>
      </c>
      <c r="AJ479" s="87">
        <f t="shared" si="361"/>
        <v>0</v>
      </c>
      <c r="AK479" s="87">
        <f t="shared" si="362"/>
        <v>0</v>
      </c>
      <c r="AL479" s="87">
        <f t="shared" si="363"/>
        <v>0</v>
      </c>
      <c r="AM479" s="87">
        <f t="shared" si="364"/>
        <v>0</v>
      </c>
      <c r="AN479" s="87">
        <f t="shared" si="365"/>
        <v>0</v>
      </c>
      <c r="AO479" s="87">
        <f t="shared" si="366"/>
        <v>0</v>
      </c>
      <c r="AP479" s="87">
        <f t="shared" si="367"/>
        <v>0</v>
      </c>
      <c r="AQ479" s="87">
        <f t="shared" si="368"/>
        <v>0</v>
      </c>
      <c r="AR479" s="81"/>
      <c r="AS479" s="85">
        <f t="shared" si="369"/>
        <v>0</v>
      </c>
      <c r="AT479" s="85">
        <f t="shared" si="370"/>
        <v>75</v>
      </c>
      <c r="AU479" s="85">
        <f t="shared" si="371"/>
        <v>25</v>
      </c>
      <c r="AV479" s="85">
        <f t="shared" si="372"/>
        <v>43</v>
      </c>
      <c r="AW479" s="85">
        <f t="shared" si="373"/>
        <v>20</v>
      </c>
      <c r="AX479" s="85">
        <f t="shared" si="374"/>
        <v>52</v>
      </c>
      <c r="AY479" s="85">
        <f t="shared" si="375"/>
        <v>20</v>
      </c>
      <c r="AZ479" s="85">
        <f t="shared" si="376"/>
        <v>39</v>
      </c>
      <c r="BA479" s="85">
        <f t="shared" si="377"/>
        <v>39</v>
      </c>
      <c r="BB479" s="85">
        <f t="shared" si="378"/>
        <v>74</v>
      </c>
      <c r="BC479" s="85">
        <f t="shared" si="379"/>
        <v>0</v>
      </c>
      <c r="BD479" s="85">
        <f t="shared" si="380"/>
        <v>40</v>
      </c>
      <c r="BE479" s="85">
        <f t="shared" si="381"/>
        <v>90</v>
      </c>
      <c r="BF479" s="85">
        <f t="shared" si="382"/>
        <v>90</v>
      </c>
      <c r="BG479" s="85">
        <f t="shared" si="383"/>
        <v>95</v>
      </c>
      <c r="BH479" s="85">
        <f t="shared" si="384"/>
        <v>95</v>
      </c>
      <c r="BI479" s="85">
        <f t="shared" si="385"/>
        <v>94</v>
      </c>
      <c r="BJ479" s="85">
        <f t="shared" si="386"/>
        <v>94</v>
      </c>
      <c r="BK479" s="85">
        <f t="shared" si="387"/>
        <v>46</v>
      </c>
      <c r="BL479" s="85">
        <f t="shared" si="388"/>
        <v>46</v>
      </c>
      <c r="BM479" s="85">
        <f t="shared" si="389"/>
        <v>44</v>
      </c>
      <c r="BN479" s="85">
        <f t="shared" si="390"/>
        <v>0</v>
      </c>
      <c r="BO479" s="85">
        <f t="shared" si="391"/>
        <v>36</v>
      </c>
      <c r="BP479" s="85">
        <f t="shared" si="392"/>
        <v>0</v>
      </c>
      <c r="BQ479" s="85">
        <f t="shared" si="393"/>
        <v>35</v>
      </c>
      <c r="BR479" s="85">
        <f t="shared" si="394"/>
        <v>35</v>
      </c>
      <c r="BT479" s="63"/>
      <c r="BU479" s="63"/>
      <c r="BV479" s="63"/>
      <c r="BW479" s="63"/>
      <c r="BX479" s="63"/>
      <c r="BY479" s="63"/>
      <c r="BZ479" s="63"/>
      <c r="CA479" s="63"/>
      <c r="CB479" s="63"/>
      <c r="CC479" s="63"/>
      <c r="CD479" s="63"/>
      <c r="CE479" s="63"/>
      <c r="CF479" s="63"/>
      <c r="CG479" s="63"/>
      <c r="CH479" s="63"/>
      <c r="CI479" s="63"/>
      <c r="CJ479" s="63"/>
      <c r="CK479" s="63"/>
      <c r="CL479" s="63"/>
      <c r="CM479" s="63"/>
      <c r="CN479" s="63"/>
      <c r="CO479" s="63"/>
      <c r="CP479" s="63"/>
      <c r="CQ479" s="63"/>
      <c r="CR479" s="63"/>
      <c r="CS479" s="63"/>
      <c r="CX479" s="35" t="s">
        <v>12</v>
      </c>
      <c r="CZ479" s="35"/>
      <c r="DC479" s="57" t="str">
        <f t="shared" si="399"/>
        <v/>
      </c>
      <c r="DD479" s="64" t="str">
        <f t="shared" si="396"/>
        <v/>
      </c>
      <c r="DE479" s="65" t="str">
        <f t="shared" si="397"/>
        <v/>
      </c>
      <c r="DF479" s="66" t="str">
        <f t="shared" si="357"/>
        <v/>
      </c>
    </row>
    <row r="480" spans="2:110">
      <c r="B480" s="54">
        <f t="shared" si="352"/>
        <v>46412</v>
      </c>
      <c r="C480" s="55" t="s">
        <v>1</v>
      </c>
      <c r="D480" s="56">
        <f t="shared" si="353"/>
        <v>46418</v>
      </c>
      <c r="E480" s="52">
        <f t="shared" si="354"/>
        <v>1</v>
      </c>
      <c r="F480" s="53">
        <f t="shared" si="355"/>
        <v>2027</v>
      </c>
      <c r="G480" s="62">
        <f t="shared" si="398"/>
        <v>15</v>
      </c>
      <c r="H480" s="63">
        <f t="shared" si="400"/>
        <v>96</v>
      </c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80"/>
      <c r="AG480" s="87">
        <f t="shared" si="358"/>
        <v>0</v>
      </c>
      <c r="AH480" s="87">
        <f t="shared" si="359"/>
        <v>0</v>
      </c>
      <c r="AI480" s="87">
        <f t="shared" si="360"/>
        <v>0</v>
      </c>
      <c r="AJ480" s="87">
        <f t="shared" si="361"/>
        <v>0</v>
      </c>
      <c r="AK480" s="87">
        <f t="shared" si="362"/>
        <v>0</v>
      </c>
      <c r="AL480" s="87">
        <f t="shared" si="363"/>
        <v>0</v>
      </c>
      <c r="AM480" s="87">
        <f t="shared" si="364"/>
        <v>0</v>
      </c>
      <c r="AN480" s="87">
        <f t="shared" si="365"/>
        <v>0</v>
      </c>
      <c r="AO480" s="87">
        <f t="shared" si="366"/>
        <v>0</v>
      </c>
      <c r="AP480" s="87">
        <f t="shared" si="367"/>
        <v>0</v>
      </c>
      <c r="AQ480" s="87">
        <f t="shared" si="368"/>
        <v>0</v>
      </c>
      <c r="AR480" s="81"/>
      <c r="AS480" s="85">
        <f t="shared" si="369"/>
        <v>0</v>
      </c>
      <c r="AT480" s="85">
        <f t="shared" si="370"/>
        <v>76</v>
      </c>
      <c r="AU480" s="85">
        <f t="shared" si="371"/>
        <v>26</v>
      </c>
      <c r="AV480" s="85">
        <f t="shared" si="372"/>
        <v>44</v>
      </c>
      <c r="AW480" s="85">
        <f t="shared" si="373"/>
        <v>21</v>
      </c>
      <c r="AX480" s="85">
        <f t="shared" si="374"/>
        <v>53</v>
      </c>
      <c r="AY480" s="85">
        <f t="shared" si="375"/>
        <v>21</v>
      </c>
      <c r="AZ480" s="85">
        <f t="shared" si="376"/>
        <v>40</v>
      </c>
      <c r="BA480" s="85">
        <f t="shared" si="377"/>
        <v>40</v>
      </c>
      <c r="BB480" s="85">
        <f t="shared" si="378"/>
        <v>75</v>
      </c>
      <c r="BC480" s="85">
        <f t="shared" si="379"/>
        <v>0</v>
      </c>
      <c r="BD480" s="85">
        <f t="shared" si="380"/>
        <v>41</v>
      </c>
      <c r="BE480" s="85">
        <f t="shared" si="381"/>
        <v>91</v>
      </c>
      <c r="BF480" s="85">
        <f t="shared" si="382"/>
        <v>91</v>
      </c>
      <c r="BG480" s="85">
        <f t="shared" si="383"/>
        <v>96</v>
      </c>
      <c r="BH480" s="85">
        <f t="shared" si="384"/>
        <v>96</v>
      </c>
      <c r="BI480" s="85">
        <f t="shared" si="385"/>
        <v>95</v>
      </c>
      <c r="BJ480" s="85">
        <f t="shared" si="386"/>
        <v>95</v>
      </c>
      <c r="BK480" s="85">
        <f t="shared" si="387"/>
        <v>47</v>
      </c>
      <c r="BL480" s="85">
        <f t="shared" si="388"/>
        <v>47</v>
      </c>
      <c r="BM480" s="85">
        <f t="shared" si="389"/>
        <v>45</v>
      </c>
      <c r="BN480" s="85">
        <f t="shared" si="390"/>
        <v>0</v>
      </c>
      <c r="BO480" s="85">
        <f t="shared" si="391"/>
        <v>37</v>
      </c>
      <c r="BP480" s="85">
        <f t="shared" si="392"/>
        <v>0</v>
      </c>
      <c r="BQ480" s="85">
        <f t="shared" si="393"/>
        <v>36</v>
      </c>
      <c r="BR480" s="85">
        <f t="shared" si="394"/>
        <v>36</v>
      </c>
      <c r="BT480" s="63"/>
      <c r="BU480" s="63"/>
      <c r="BV480" s="63"/>
      <c r="BW480" s="63"/>
      <c r="BX480" s="63"/>
      <c r="BY480" s="63"/>
      <c r="BZ480" s="63"/>
      <c r="CA480" s="63"/>
      <c r="CB480" s="63"/>
      <c r="CC480" s="63"/>
      <c r="CD480" s="63"/>
      <c r="CE480" s="63"/>
      <c r="CF480" s="63"/>
      <c r="CG480" s="63"/>
      <c r="CH480" s="63"/>
      <c r="CI480" s="63"/>
      <c r="CJ480" s="63"/>
      <c r="CK480" s="63"/>
      <c r="CL480" s="63"/>
      <c r="CM480" s="63"/>
      <c r="CN480" s="63"/>
      <c r="CO480" s="63"/>
      <c r="CP480" s="63"/>
      <c r="CQ480" s="63"/>
      <c r="CR480" s="63"/>
      <c r="CS480" s="63"/>
      <c r="CX480" s="35" t="s">
        <v>12</v>
      </c>
      <c r="CZ480" s="35"/>
      <c r="DC480" s="57" t="str">
        <f t="shared" si="399"/>
        <v/>
      </c>
      <c r="DD480" s="64" t="str">
        <f t="shared" si="396"/>
        <v/>
      </c>
      <c r="DE480" s="65" t="str">
        <f t="shared" si="397"/>
        <v/>
      </c>
      <c r="DF480" s="66" t="str">
        <f t="shared" si="357"/>
        <v/>
      </c>
    </row>
    <row r="481" spans="2:110">
      <c r="B481" s="54">
        <f t="shared" si="352"/>
        <v>46419</v>
      </c>
      <c r="C481" s="55" t="s">
        <v>1</v>
      </c>
      <c r="D481" s="56">
        <f t="shared" si="353"/>
        <v>46425</v>
      </c>
      <c r="E481" s="52">
        <f t="shared" si="354"/>
        <v>2</v>
      </c>
      <c r="F481" s="53">
        <f t="shared" si="355"/>
        <v>2027</v>
      </c>
      <c r="G481" s="62">
        <f t="shared" si="398"/>
        <v>15</v>
      </c>
      <c r="H481" s="63">
        <f t="shared" si="400"/>
        <v>96</v>
      </c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80"/>
      <c r="AG481" s="87">
        <f t="shared" si="358"/>
        <v>0</v>
      </c>
      <c r="AH481" s="87">
        <f t="shared" si="359"/>
        <v>0</v>
      </c>
      <c r="AI481" s="87">
        <f t="shared" si="360"/>
        <v>0</v>
      </c>
      <c r="AJ481" s="87">
        <f t="shared" si="361"/>
        <v>0</v>
      </c>
      <c r="AK481" s="87">
        <f t="shared" si="362"/>
        <v>0</v>
      </c>
      <c r="AL481" s="87">
        <f t="shared" si="363"/>
        <v>0</v>
      </c>
      <c r="AM481" s="87">
        <f t="shared" si="364"/>
        <v>0</v>
      </c>
      <c r="AN481" s="87">
        <f t="shared" si="365"/>
        <v>0</v>
      </c>
      <c r="AO481" s="87">
        <f t="shared" si="366"/>
        <v>0</v>
      </c>
      <c r="AP481" s="87">
        <f t="shared" si="367"/>
        <v>0</v>
      </c>
      <c r="AQ481" s="87">
        <f t="shared" si="368"/>
        <v>0</v>
      </c>
      <c r="AR481" s="81"/>
      <c r="AS481" s="85">
        <f t="shared" si="369"/>
        <v>0</v>
      </c>
      <c r="AT481" s="85">
        <f t="shared" si="370"/>
        <v>77</v>
      </c>
      <c r="AU481" s="85">
        <f t="shared" si="371"/>
        <v>27</v>
      </c>
      <c r="AV481" s="85">
        <f t="shared" si="372"/>
        <v>45</v>
      </c>
      <c r="AW481" s="85">
        <f t="shared" si="373"/>
        <v>22</v>
      </c>
      <c r="AX481" s="85">
        <f t="shared" si="374"/>
        <v>54</v>
      </c>
      <c r="AY481" s="85">
        <f t="shared" si="375"/>
        <v>22</v>
      </c>
      <c r="AZ481" s="85">
        <f t="shared" si="376"/>
        <v>41</v>
      </c>
      <c r="BA481" s="85">
        <f t="shared" si="377"/>
        <v>41</v>
      </c>
      <c r="BB481" s="85">
        <f t="shared" si="378"/>
        <v>76</v>
      </c>
      <c r="BC481" s="85">
        <f t="shared" si="379"/>
        <v>0</v>
      </c>
      <c r="BD481" s="85">
        <f t="shared" si="380"/>
        <v>42</v>
      </c>
      <c r="BE481" s="85">
        <f t="shared" si="381"/>
        <v>92</v>
      </c>
      <c r="BF481" s="85">
        <f t="shared" si="382"/>
        <v>92</v>
      </c>
      <c r="BG481" s="85">
        <f t="shared" si="383"/>
        <v>0</v>
      </c>
      <c r="BH481" s="85">
        <f t="shared" si="384"/>
        <v>0</v>
      </c>
      <c r="BI481" s="85">
        <f t="shared" si="385"/>
        <v>96</v>
      </c>
      <c r="BJ481" s="85">
        <f t="shared" si="386"/>
        <v>96</v>
      </c>
      <c r="BK481" s="85">
        <f t="shared" si="387"/>
        <v>48</v>
      </c>
      <c r="BL481" s="85">
        <f t="shared" si="388"/>
        <v>48</v>
      </c>
      <c r="BM481" s="85">
        <f t="shared" si="389"/>
        <v>46</v>
      </c>
      <c r="BN481" s="85">
        <f t="shared" si="390"/>
        <v>0</v>
      </c>
      <c r="BO481" s="85">
        <f t="shared" si="391"/>
        <v>38</v>
      </c>
      <c r="BP481" s="85">
        <f t="shared" si="392"/>
        <v>0</v>
      </c>
      <c r="BQ481" s="85">
        <f t="shared" si="393"/>
        <v>37</v>
      </c>
      <c r="BR481" s="85">
        <f t="shared" si="394"/>
        <v>37</v>
      </c>
      <c r="BT481" s="63"/>
      <c r="BU481" s="63"/>
      <c r="BV481" s="63"/>
      <c r="BW481" s="63"/>
      <c r="BX481" s="63"/>
      <c r="BY481" s="63"/>
      <c r="BZ481" s="63"/>
      <c r="CA481" s="63"/>
      <c r="CB481" s="63"/>
      <c r="CC481" s="63"/>
      <c r="CD481" s="63"/>
      <c r="CE481" s="63"/>
      <c r="CF481" s="63"/>
      <c r="CG481" s="63"/>
      <c r="CH481" s="63"/>
      <c r="CI481" s="63"/>
      <c r="CJ481" s="63"/>
      <c r="CK481" s="63"/>
      <c r="CL481" s="63"/>
      <c r="CM481" s="63"/>
      <c r="CN481" s="63"/>
      <c r="CO481" s="63"/>
      <c r="CP481" s="63"/>
      <c r="CQ481" s="63"/>
      <c r="CR481" s="63"/>
      <c r="CS481" s="63"/>
      <c r="CX481" s="35" t="s">
        <v>12</v>
      </c>
      <c r="CZ481" s="35"/>
      <c r="DC481" s="57" t="str">
        <f t="shared" si="399"/>
        <v/>
      </c>
      <c r="DD481" s="64" t="str">
        <f t="shared" si="396"/>
        <v/>
      </c>
      <c r="DE481" s="65" t="str">
        <f t="shared" si="397"/>
        <v/>
      </c>
      <c r="DF481" s="66" t="str">
        <f t="shared" si="357"/>
        <v/>
      </c>
    </row>
    <row r="482" spans="2:110">
      <c r="B482" s="54">
        <f t="shared" si="352"/>
        <v>46426</v>
      </c>
      <c r="C482" s="55" t="s">
        <v>1</v>
      </c>
      <c r="D482" s="56">
        <f t="shared" si="353"/>
        <v>46432</v>
      </c>
      <c r="E482" s="52">
        <f t="shared" si="354"/>
        <v>2</v>
      </c>
      <c r="F482" s="53">
        <f t="shared" si="355"/>
        <v>2027</v>
      </c>
      <c r="G482" s="62">
        <f t="shared" si="398"/>
        <v>15</v>
      </c>
      <c r="H482" s="63">
        <f t="shared" si="400"/>
        <v>96</v>
      </c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80"/>
      <c r="AG482" s="87">
        <f t="shared" si="358"/>
        <v>0</v>
      </c>
      <c r="AH482" s="87">
        <f t="shared" si="359"/>
        <v>0</v>
      </c>
      <c r="AI482" s="87">
        <f t="shared" si="360"/>
        <v>0</v>
      </c>
      <c r="AJ482" s="87">
        <f t="shared" si="361"/>
        <v>0</v>
      </c>
      <c r="AK482" s="87">
        <f t="shared" si="362"/>
        <v>0</v>
      </c>
      <c r="AL482" s="87">
        <f t="shared" si="363"/>
        <v>0</v>
      </c>
      <c r="AM482" s="87">
        <f t="shared" si="364"/>
        <v>0</v>
      </c>
      <c r="AN482" s="87">
        <f t="shared" si="365"/>
        <v>0</v>
      </c>
      <c r="AO482" s="87">
        <f t="shared" si="366"/>
        <v>0</v>
      </c>
      <c r="AP482" s="87">
        <f t="shared" si="367"/>
        <v>0</v>
      </c>
      <c r="AQ482" s="87">
        <f t="shared" si="368"/>
        <v>0</v>
      </c>
      <c r="AR482" s="81"/>
      <c r="AS482" s="85">
        <f t="shared" si="369"/>
        <v>0</v>
      </c>
      <c r="AT482" s="85">
        <f t="shared" si="370"/>
        <v>78</v>
      </c>
      <c r="AU482" s="85">
        <f t="shared" si="371"/>
        <v>28</v>
      </c>
      <c r="AV482" s="85">
        <f t="shared" si="372"/>
        <v>46</v>
      </c>
      <c r="AW482" s="85">
        <f t="shared" si="373"/>
        <v>23</v>
      </c>
      <c r="AX482" s="85">
        <f t="shared" si="374"/>
        <v>55</v>
      </c>
      <c r="AY482" s="85">
        <f t="shared" si="375"/>
        <v>23</v>
      </c>
      <c r="AZ482" s="85">
        <f t="shared" si="376"/>
        <v>42</v>
      </c>
      <c r="BA482" s="85">
        <f t="shared" si="377"/>
        <v>42</v>
      </c>
      <c r="BB482" s="85">
        <f t="shared" si="378"/>
        <v>77</v>
      </c>
      <c r="BC482" s="85">
        <f t="shared" si="379"/>
        <v>0</v>
      </c>
      <c r="BD482" s="85">
        <f t="shared" si="380"/>
        <v>43</v>
      </c>
      <c r="BE482" s="85">
        <f t="shared" si="381"/>
        <v>93</v>
      </c>
      <c r="BF482" s="85">
        <f t="shared" si="382"/>
        <v>93</v>
      </c>
      <c r="BG482" s="85">
        <f t="shared" si="383"/>
        <v>0</v>
      </c>
      <c r="BH482" s="85">
        <f t="shared" si="384"/>
        <v>0</v>
      </c>
      <c r="BI482" s="85">
        <f t="shared" si="385"/>
        <v>0</v>
      </c>
      <c r="BJ482" s="85">
        <f t="shared" si="386"/>
        <v>0</v>
      </c>
      <c r="BK482" s="85">
        <f t="shared" si="387"/>
        <v>49</v>
      </c>
      <c r="BL482" s="85">
        <f t="shared" si="388"/>
        <v>49</v>
      </c>
      <c r="BM482" s="85">
        <f t="shared" si="389"/>
        <v>47</v>
      </c>
      <c r="BN482" s="85">
        <f t="shared" si="390"/>
        <v>0</v>
      </c>
      <c r="BO482" s="85">
        <f t="shared" si="391"/>
        <v>39</v>
      </c>
      <c r="BP482" s="85">
        <f t="shared" si="392"/>
        <v>0</v>
      </c>
      <c r="BQ482" s="85">
        <f t="shared" si="393"/>
        <v>38</v>
      </c>
      <c r="BR482" s="85">
        <f t="shared" si="394"/>
        <v>38</v>
      </c>
      <c r="BT482" s="63"/>
      <c r="BU482" s="63"/>
      <c r="BV482" s="63"/>
      <c r="BW482" s="63"/>
      <c r="BX482" s="63"/>
      <c r="BY482" s="63"/>
      <c r="BZ482" s="63"/>
      <c r="CA482" s="63"/>
      <c r="CB482" s="63"/>
      <c r="CC482" s="63"/>
      <c r="CD482" s="63"/>
      <c r="CE482" s="63"/>
      <c r="CF482" s="63"/>
      <c r="CG482" s="63"/>
      <c r="CH482" s="63"/>
      <c r="CI482" s="63"/>
      <c r="CJ482" s="63"/>
      <c r="CK482" s="63"/>
      <c r="CL482" s="63"/>
      <c r="CM482" s="63"/>
      <c r="CN482" s="63"/>
      <c r="CO482" s="63"/>
      <c r="CP482" s="63"/>
      <c r="CQ482" s="63"/>
      <c r="CR482" s="63"/>
      <c r="CS482" s="63"/>
      <c r="CX482" s="35" t="s">
        <v>12</v>
      </c>
      <c r="CZ482" s="35"/>
      <c r="DC482" s="57" t="str">
        <f t="shared" si="399"/>
        <v/>
      </c>
      <c r="DD482" s="64" t="str">
        <f t="shared" si="396"/>
        <v/>
      </c>
      <c r="DE482" s="65" t="str">
        <f t="shared" si="397"/>
        <v/>
      </c>
      <c r="DF482" s="66" t="str">
        <f t="shared" si="357"/>
        <v/>
      </c>
    </row>
    <row r="483" spans="2:110">
      <c r="B483" s="54">
        <f t="shared" si="352"/>
        <v>46433</v>
      </c>
      <c r="C483" s="55" t="s">
        <v>1</v>
      </c>
      <c r="D483" s="56">
        <f t="shared" si="353"/>
        <v>46439</v>
      </c>
      <c r="E483" s="52">
        <f t="shared" si="354"/>
        <v>2</v>
      </c>
      <c r="F483" s="53">
        <f t="shared" si="355"/>
        <v>2027</v>
      </c>
      <c r="G483" s="62">
        <f t="shared" si="398"/>
        <v>15</v>
      </c>
      <c r="H483" s="63">
        <f t="shared" si="400"/>
        <v>96</v>
      </c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80"/>
      <c r="AG483" s="87">
        <f t="shared" si="358"/>
        <v>0</v>
      </c>
      <c r="AH483" s="87">
        <f t="shared" si="359"/>
        <v>0</v>
      </c>
      <c r="AI483" s="87">
        <f t="shared" si="360"/>
        <v>0</v>
      </c>
      <c r="AJ483" s="87">
        <f t="shared" si="361"/>
        <v>0</v>
      </c>
      <c r="AK483" s="87">
        <f t="shared" si="362"/>
        <v>0</v>
      </c>
      <c r="AL483" s="87">
        <f t="shared" si="363"/>
        <v>0</v>
      </c>
      <c r="AM483" s="87">
        <f t="shared" si="364"/>
        <v>0</v>
      </c>
      <c r="AN483" s="87">
        <f t="shared" si="365"/>
        <v>0</v>
      </c>
      <c r="AO483" s="87">
        <f t="shared" si="366"/>
        <v>0</v>
      </c>
      <c r="AP483" s="87">
        <f t="shared" si="367"/>
        <v>0</v>
      </c>
      <c r="AQ483" s="87">
        <f t="shared" si="368"/>
        <v>0</v>
      </c>
      <c r="AR483" s="81"/>
      <c r="AS483" s="85">
        <f t="shared" si="369"/>
        <v>0</v>
      </c>
      <c r="AT483" s="85">
        <f t="shared" si="370"/>
        <v>79</v>
      </c>
      <c r="AU483" s="85">
        <f t="shared" si="371"/>
        <v>29</v>
      </c>
      <c r="AV483" s="85">
        <f t="shared" si="372"/>
        <v>47</v>
      </c>
      <c r="AW483" s="85">
        <f t="shared" si="373"/>
        <v>24</v>
      </c>
      <c r="AX483" s="85">
        <f t="shared" si="374"/>
        <v>56</v>
      </c>
      <c r="AY483" s="85">
        <f t="shared" si="375"/>
        <v>24</v>
      </c>
      <c r="AZ483" s="85">
        <f t="shared" si="376"/>
        <v>43</v>
      </c>
      <c r="BA483" s="85">
        <f t="shared" si="377"/>
        <v>43</v>
      </c>
      <c r="BB483" s="85">
        <f t="shared" si="378"/>
        <v>78</v>
      </c>
      <c r="BC483" s="85">
        <f t="shared" si="379"/>
        <v>0</v>
      </c>
      <c r="BD483" s="85">
        <f t="shared" si="380"/>
        <v>44</v>
      </c>
      <c r="BE483" s="85">
        <f t="shared" si="381"/>
        <v>94</v>
      </c>
      <c r="BF483" s="85">
        <f t="shared" si="382"/>
        <v>94</v>
      </c>
      <c r="BG483" s="85">
        <f t="shared" si="383"/>
        <v>0</v>
      </c>
      <c r="BH483" s="85">
        <f t="shared" si="384"/>
        <v>0</v>
      </c>
      <c r="BI483" s="85">
        <f t="shared" si="385"/>
        <v>0</v>
      </c>
      <c r="BJ483" s="85">
        <f t="shared" si="386"/>
        <v>0</v>
      </c>
      <c r="BK483" s="85">
        <f t="shared" si="387"/>
        <v>50</v>
      </c>
      <c r="BL483" s="85">
        <f t="shared" si="388"/>
        <v>50</v>
      </c>
      <c r="BM483" s="85">
        <f t="shared" si="389"/>
        <v>48</v>
      </c>
      <c r="BN483" s="85">
        <f t="shared" si="390"/>
        <v>0</v>
      </c>
      <c r="BO483" s="85">
        <f t="shared" si="391"/>
        <v>40</v>
      </c>
      <c r="BP483" s="85">
        <f t="shared" si="392"/>
        <v>0</v>
      </c>
      <c r="BQ483" s="85">
        <f t="shared" si="393"/>
        <v>39</v>
      </c>
      <c r="BR483" s="85">
        <f t="shared" si="394"/>
        <v>39</v>
      </c>
      <c r="BT483" s="63"/>
      <c r="BU483" s="63"/>
      <c r="BV483" s="63"/>
      <c r="BW483" s="63"/>
      <c r="BX483" s="63"/>
      <c r="BY483" s="63"/>
      <c r="BZ483" s="63"/>
      <c r="CA483" s="63"/>
      <c r="CB483" s="63"/>
      <c r="CC483" s="63"/>
      <c r="CD483" s="63"/>
      <c r="CE483" s="63"/>
      <c r="CF483" s="63"/>
      <c r="CG483" s="63"/>
      <c r="CH483" s="63"/>
      <c r="CI483" s="63"/>
      <c r="CJ483" s="63"/>
      <c r="CK483" s="63"/>
      <c r="CL483" s="63"/>
      <c r="CM483" s="63"/>
      <c r="CN483" s="63"/>
      <c r="CO483" s="63"/>
      <c r="CP483" s="63"/>
      <c r="CQ483" s="63"/>
      <c r="CR483" s="63"/>
      <c r="CS483" s="63"/>
      <c r="CX483" s="35" t="s">
        <v>12</v>
      </c>
      <c r="CZ483" s="35"/>
      <c r="DC483" s="57" t="str">
        <f t="shared" si="399"/>
        <v/>
      </c>
      <c r="DD483" s="64" t="str">
        <f t="shared" si="396"/>
        <v/>
      </c>
      <c r="DE483" s="65" t="str">
        <f t="shared" si="397"/>
        <v/>
      </c>
      <c r="DF483" s="66" t="str">
        <f t="shared" si="357"/>
        <v/>
      </c>
    </row>
    <row r="484" spans="2:110">
      <c r="B484" s="54">
        <f t="shared" si="352"/>
        <v>46440</v>
      </c>
      <c r="C484" s="55" t="s">
        <v>1</v>
      </c>
      <c r="D484" s="56">
        <f t="shared" si="353"/>
        <v>46446</v>
      </c>
      <c r="E484" s="52">
        <f t="shared" si="354"/>
        <v>2</v>
      </c>
      <c r="F484" s="53">
        <f t="shared" si="355"/>
        <v>2027</v>
      </c>
      <c r="G484" s="62">
        <f t="shared" si="398"/>
        <v>15</v>
      </c>
      <c r="H484" s="63">
        <f t="shared" si="400"/>
        <v>96</v>
      </c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80"/>
      <c r="AG484" s="87">
        <f t="shared" si="358"/>
        <v>0</v>
      </c>
      <c r="AH484" s="87">
        <f t="shared" si="359"/>
        <v>0</v>
      </c>
      <c r="AI484" s="87">
        <f t="shared" si="360"/>
        <v>0</v>
      </c>
      <c r="AJ484" s="87">
        <f t="shared" si="361"/>
        <v>0</v>
      </c>
      <c r="AK484" s="87">
        <f t="shared" si="362"/>
        <v>0</v>
      </c>
      <c r="AL484" s="87">
        <f t="shared" si="363"/>
        <v>0</v>
      </c>
      <c r="AM484" s="87">
        <f t="shared" si="364"/>
        <v>0</v>
      </c>
      <c r="AN484" s="87">
        <f t="shared" si="365"/>
        <v>0</v>
      </c>
      <c r="AO484" s="87">
        <f t="shared" si="366"/>
        <v>0</v>
      </c>
      <c r="AP484" s="87">
        <f t="shared" si="367"/>
        <v>0</v>
      </c>
      <c r="AQ484" s="87">
        <f t="shared" si="368"/>
        <v>0</v>
      </c>
      <c r="AR484" s="81"/>
      <c r="AS484" s="85">
        <f t="shared" si="369"/>
        <v>0</v>
      </c>
      <c r="AT484" s="85">
        <f t="shared" si="370"/>
        <v>80</v>
      </c>
      <c r="AU484" s="85">
        <f t="shared" si="371"/>
        <v>30</v>
      </c>
      <c r="AV484" s="85">
        <f t="shared" si="372"/>
        <v>48</v>
      </c>
      <c r="AW484" s="85">
        <f t="shared" si="373"/>
        <v>25</v>
      </c>
      <c r="AX484" s="85">
        <f t="shared" si="374"/>
        <v>57</v>
      </c>
      <c r="AY484" s="85">
        <f t="shared" si="375"/>
        <v>25</v>
      </c>
      <c r="AZ484" s="85">
        <f t="shared" si="376"/>
        <v>44</v>
      </c>
      <c r="BA484" s="85">
        <f t="shared" si="377"/>
        <v>44</v>
      </c>
      <c r="BB484" s="85">
        <f t="shared" si="378"/>
        <v>79</v>
      </c>
      <c r="BC484" s="85">
        <f t="shared" si="379"/>
        <v>0</v>
      </c>
      <c r="BD484" s="85">
        <f t="shared" si="380"/>
        <v>45</v>
      </c>
      <c r="BE484" s="85">
        <f t="shared" si="381"/>
        <v>95</v>
      </c>
      <c r="BF484" s="85">
        <f t="shared" si="382"/>
        <v>95</v>
      </c>
      <c r="BG484" s="85">
        <f t="shared" si="383"/>
        <v>0</v>
      </c>
      <c r="BH484" s="85">
        <f t="shared" si="384"/>
        <v>0</v>
      </c>
      <c r="BI484" s="85">
        <f t="shared" si="385"/>
        <v>0</v>
      </c>
      <c r="BJ484" s="85">
        <f t="shared" si="386"/>
        <v>0</v>
      </c>
      <c r="BK484" s="85">
        <f t="shared" si="387"/>
        <v>51</v>
      </c>
      <c r="BL484" s="85">
        <f t="shared" si="388"/>
        <v>51</v>
      </c>
      <c r="BM484" s="85">
        <f t="shared" si="389"/>
        <v>49</v>
      </c>
      <c r="BN484" s="85">
        <f t="shared" si="390"/>
        <v>0</v>
      </c>
      <c r="BO484" s="85">
        <f t="shared" si="391"/>
        <v>41</v>
      </c>
      <c r="BP484" s="85">
        <f t="shared" si="392"/>
        <v>0</v>
      </c>
      <c r="BQ484" s="85">
        <f t="shared" si="393"/>
        <v>40</v>
      </c>
      <c r="BR484" s="85">
        <f t="shared" si="394"/>
        <v>40</v>
      </c>
      <c r="BT484" s="63"/>
      <c r="BU484" s="63"/>
      <c r="BV484" s="63"/>
      <c r="BW484" s="63"/>
      <c r="BX484" s="63"/>
      <c r="BY484" s="63"/>
      <c r="BZ484" s="63"/>
      <c r="CA484" s="63"/>
      <c r="CB484" s="63"/>
      <c r="CC484" s="63"/>
      <c r="CD484" s="63"/>
      <c r="CE484" s="63"/>
      <c r="CF484" s="63"/>
      <c r="CG484" s="63"/>
      <c r="CH484" s="63"/>
      <c r="CI484" s="63"/>
      <c r="CJ484" s="63"/>
      <c r="CK484" s="63"/>
      <c r="CL484" s="63"/>
      <c r="CM484" s="63"/>
      <c r="CN484" s="63"/>
      <c r="CO484" s="63"/>
      <c r="CP484" s="63"/>
      <c r="CQ484" s="63"/>
      <c r="CR484" s="63"/>
      <c r="CS484" s="63"/>
      <c r="CX484" s="35" t="s">
        <v>12</v>
      </c>
      <c r="CZ484" s="35"/>
      <c r="DC484" s="57" t="str">
        <f t="shared" si="399"/>
        <v/>
      </c>
      <c r="DD484" s="64" t="str">
        <f t="shared" si="396"/>
        <v/>
      </c>
      <c r="DE484" s="65" t="str">
        <f t="shared" si="397"/>
        <v/>
      </c>
      <c r="DF484" s="66" t="str">
        <f t="shared" si="357"/>
        <v/>
      </c>
    </row>
    <row r="485" spans="2:110">
      <c r="B485" s="54">
        <f t="shared" si="352"/>
        <v>46447</v>
      </c>
      <c r="C485" s="55" t="s">
        <v>1</v>
      </c>
      <c r="D485" s="56">
        <f t="shared" si="353"/>
        <v>46453</v>
      </c>
      <c r="E485" s="52">
        <f t="shared" si="354"/>
        <v>3</v>
      </c>
      <c r="F485" s="53">
        <f t="shared" si="355"/>
        <v>2027</v>
      </c>
      <c r="G485" s="62">
        <f t="shared" si="398"/>
        <v>15</v>
      </c>
      <c r="H485" s="63">
        <f t="shared" si="400"/>
        <v>96</v>
      </c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80"/>
      <c r="AG485" s="87">
        <f t="shared" si="358"/>
        <v>0</v>
      </c>
      <c r="AH485" s="87">
        <f t="shared" si="359"/>
        <v>0</v>
      </c>
      <c r="AI485" s="87">
        <f t="shared" si="360"/>
        <v>0</v>
      </c>
      <c r="AJ485" s="87">
        <f t="shared" si="361"/>
        <v>0</v>
      </c>
      <c r="AK485" s="87">
        <f t="shared" si="362"/>
        <v>0</v>
      </c>
      <c r="AL485" s="87">
        <f t="shared" si="363"/>
        <v>0</v>
      </c>
      <c r="AM485" s="87">
        <f t="shared" si="364"/>
        <v>0</v>
      </c>
      <c r="AN485" s="87">
        <f t="shared" si="365"/>
        <v>0</v>
      </c>
      <c r="AO485" s="87">
        <f t="shared" si="366"/>
        <v>0</v>
      </c>
      <c r="AP485" s="87">
        <f t="shared" si="367"/>
        <v>0</v>
      </c>
      <c r="AQ485" s="87">
        <f t="shared" si="368"/>
        <v>0</v>
      </c>
      <c r="AR485" s="81"/>
      <c r="AS485" s="85">
        <f t="shared" si="369"/>
        <v>0</v>
      </c>
      <c r="AT485" s="85">
        <f t="shared" si="370"/>
        <v>81</v>
      </c>
      <c r="AU485" s="85">
        <f t="shared" si="371"/>
        <v>31</v>
      </c>
      <c r="AV485" s="85">
        <f t="shared" si="372"/>
        <v>49</v>
      </c>
      <c r="AW485" s="85">
        <f t="shared" si="373"/>
        <v>26</v>
      </c>
      <c r="AX485" s="85">
        <f t="shared" si="374"/>
        <v>58</v>
      </c>
      <c r="AY485" s="85">
        <f t="shared" si="375"/>
        <v>26</v>
      </c>
      <c r="AZ485" s="85">
        <f t="shared" si="376"/>
        <v>45</v>
      </c>
      <c r="BA485" s="85">
        <f t="shared" si="377"/>
        <v>45</v>
      </c>
      <c r="BB485" s="85">
        <f t="shared" si="378"/>
        <v>80</v>
      </c>
      <c r="BC485" s="85">
        <f t="shared" si="379"/>
        <v>0</v>
      </c>
      <c r="BD485" s="85">
        <f t="shared" si="380"/>
        <v>46</v>
      </c>
      <c r="BE485" s="85">
        <f t="shared" si="381"/>
        <v>96</v>
      </c>
      <c r="BF485" s="85">
        <f t="shared" si="382"/>
        <v>96</v>
      </c>
      <c r="BG485" s="85">
        <f t="shared" si="383"/>
        <v>0</v>
      </c>
      <c r="BH485" s="85">
        <f t="shared" si="384"/>
        <v>0</v>
      </c>
      <c r="BI485" s="85">
        <f t="shared" si="385"/>
        <v>0</v>
      </c>
      <c r="BJ485" s="85">
        <f t="shared" si="386"/>
        <v>0</v>
      </c>
      <c r="BK485" s="85">
        <f t="shared" si="387"/>
        <v>52</v>
      </c>
      <c r="BL485" s="85">
        <f t="shared" si="388"/>
        <v>52</v>
      </c>
      <c r="BM485" s="85">
        <f t="shared" si="389"/>
        <v>50</v>
      </c>
      <c r="BN485" s="85">
        <f t="shared" si="390"/>
        <v>0</v>
      </c>
      <c r="BO485" s="85">
        <f t="shared" si="391"/>
        <v>42</v>
      </c>
      <c r="BP485" s="85">
        <f t="shared" si="392"/>
        <v>0</v>
      </c>
      <c r="BQ485" s="85">
        <f t="shared" si="393"/>
        <v>41</v>
      </c>
      <c r="BR485" s="85">
        <f t="shared" si="394"/>
        <v>41</v>
      </c>
      <c r="BT485" s="63"/>
      <c r="BU485" s="63"/>
      <c r="BV485" s="63"/>
      <c r="BW485" s="63"/>
      <c r="BX485" s="63"/>
      <c r="BY485" s="63"/>
      <c r="BZ485" s="63"/>
      <c r="CA485" s="63"/>
      <c r="CB485" s="63"/>
      <c r="CC485" s="63"/>
      <c r="CD485" s="63"/>
      <c r="CE485" s="63"/>
      <c r="CF485" s="63"/>
      <c r="CG485" s="63"/>
      <c r="CH485" s="63"/>
      <c r="CI485" s="63"/>
      <c r="CJ485" s="63"/>
      <c r="CK485" s="63"/>
      <c r="CL485" s="63"/>
      <c r="CM485" s="63"/>
      <c r="CN485" s="63"/>
      <c r="CO485" s="63"/>
      <c r="CP485" s="63"/>
      <c r="CQ485" s="63"/>
      <c r="CR485" s="63"/>
      <c r="CS485" s="63"/>
      <c r="CX485" s="35" t="s">
        <v>12</v>
      </c>
      <c r="CZ485" s="35"/>
      <c r="DC485" s="57" t="str">
        <f t="shared" si="399"/>
        <v/>
      </c>
      <c r="DD485" s="64" t="str">
        <f t="shared" si="396"/>
        <v/>
      </c>
      <c r="DE485" s="65" t="str">
        <f t="shared" si="397"/>
        <v/>
      </c>
      <c r="DF485" s="66" t="str">
        <f t="shared" si="357"/>
        <v/>
      </c>
    </row>
    <row r="486" spans="2:110">
      <c r="B486" s="54">
        <f t="shared" si="352"/>
        <v>46454</v>
      </c>
      <c r="C486" s="55" t="s">
        <v>1</v>
      </c>
      <c r="D486" s="56">
        <f t="shared" si="353"/>
        <v>46460</v>
      </c>
      <c r="E486" s="52">
        <f t="shared" si="354"/>
        <v>3</v>
      </c>
      <c r="F486" s="53">
        <f t="shared" si="355"/>
        <v>2027</v>
      </c>
      <c r="G486" s="62">
        <f t="shared" si="398"/>
        <v>15</v>
      </c>
      <c r="H486" s="63">
        <f t="shared" si="400"/>
        <v>96</v>
      </c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80"/>
      <c r="AG486" s="87">
        <f t="shared" si="358"/>
        <v>0</v>
      </c>
      <c r="AH486" s="87">
        <f t="shared" si="359"/>
        <v>0</v>
      </c>
      <c r="AI486" s="87">
        <f t="shared" si="360"/>
        <v>0</v>
      </c>
      <c r="AJ486" s="87">
        <f t="shared" si="361"/>
        <v>0</v>
      </c>
      <c r="AK486" s="87">
        <f t="shared" si="362"/>
        <v>0</v>
      </c>
      <c r="AL486" s="87">
        <f t="shared" si="363"/>
        <v>0</v>
      </c>
      <c r="AM486" s="87">
        <f t="shared" si="364"/>
        <v>0</v>
      </c>
      <c r="AN486" s="87">
        <f t="shared" si="365"/>
        <v>0</v>
      </c>
      <c r="AO486" s="87">
        <f t="shared" si="366"/>
        <v>0</v>
      </c>
      <c r="AP486" s="87">
        <f t="shared" si="367"/>
        <v>0</v>
      </c>
      <c r="AQ486" s="87">
        <f t="shared" si="368"/>
        <v>0</v>
      </c>
      <c r="AR486" s="81"/>
      <c r="AS486" s="85">
        <f t="shared" si="369"/>
        <v>0</v>
      </c>
      <c r="AT486" s="85">
        <f t="shared" si="370"/>
        <v>82</v>
      </c>
      <c r="AU486" s="85">
        <f t="shared" si="371"/>
        <v>32</v>
      </c>
      <c r="AV486" s="85">
        <f t="shared" si="372"/>
        <v>50</v>
      </c>
      <c r="AW486" s="85">
        <f t="shared" si="373"/>
        <v>27</v>
      </c>
      <c r="AX486" s="85">
        <f t="shared" si="374"/>
        <v>59</v>
      </c>
      <c r="AY486" s="85">
        <f t="shared" si="375"/>
        <v>27</v>
      </c>
      <c r="AZ486" s="85">
        <f t="shared" si="376"/>
        <v>46</v>
      </c>
      <c r="BA486" s="85">
        <f t="shared" si="377"/>
        <v>46</v>
      </c>
      <c r="BB486" s="85">
        <f t="shared" si="378"/>
        <v>81</v>
      </c>
      <c r="BC486" s="85">
        <f t="shared" si="379"/>
        <v>0</v>
      </c>
      <c r="BD486" s="85">
        <f t="shared" si="380"/>
        <v>47</v>
      </c>
      <c r="BE486" s="85">
        <f t="shared" si="381"/>
        <v>0</v>
      </c>
      <c r="BF486" s="85">
        <f t="shared" si="382"/>
        <v>0</v>
      </c>
      <c r="BG486" s="85">
        <f t="shared" si="383"/>
        <v>0</v>
      </c>
      <c r="BH486" s="85">
        <f t="shared" si="384"/>
        <v>0</v>
      </c>
      <c r="BI486" s="85">
        <f t="shared" si="385"/>
        <v>0</v>
      </c>
      <c r="BJ486" s="85">
        <f t="shared" si="386"/>
        <v>0</v>
      </c>
      <c r="BK486" s="85">
        <f t="shared" si="387"/>
        <v>53</v>
      </c>
      <c r="BL486" s="85">
        <f t="shared" si="388"/>
        <v>53</v>
      </c>
      <c r="BM486" s="85">
        <f t="shared" si="389"/>
        <v>51</v>
      </c>
      <c r="BN486" s="85">
        <f t="shared" si="390"/>
        <v>0</v>
      </c>
      <c r="BO486" s="85">
        <f t="shared" si="391"/>
        <v>43</v>
      </c>
      <c r="BP486" s="85">
        <f t="shared" si="392"/>
        <v>0</v>
      </c>
      <c r="BQ486" s="85">
        <f t="shared" si="393"/>
        <v>42</v>
      </c>
      <c r="BR486" s="85">
        <f t="shared" si="394"/>
        <v>42</v>
      </c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  <c r="CG486" s="63"/>
      <c r="CH486" s="63"/>
      <c r="CI486" s="63"/>
      <c r="CJ486" s="63"/>
      <c r="CK486" s="63"/>
      <c r="CL486" s="63"/>
      <c r="CM486" s="63"/>
      <c r="CN486" s="63"/>
      <c r="CO486" s="63"/>
      <c r="CP486" s="63"/>
      <c r="CQ486" s="63"/>
      <c r="CR486" s="63"/>
      <c r="CS486" s="63"/>
      <c r="CX486" s="35" t="s">
        <v>12</v>
      </c>
      <c r="CZ486" s="35"/>
      <c r="DC486" s="57" t="str">
        <f t="shared" si="399"/>
        <v/>
      </c>
      <c r="DD486" s="64" t="str">
        <f t="shared" si="396"/>
        <v/>
      </c>
      <c r="DE486" s="65" t="str">
        <f t="shared" si="397"/>
        <v/>
      </c>
      <c r="DF486" s="66" t="str">
        <f t="shared" si="357"/>
        <v/>
      </c>
    </row>
    <row r="487" spans="2:110">
      <c r="B487" s="54">
        <f t="shared" ref="B487:B550" si="401">D486+1</f>
        <v>46461</v>
      </c>
      <c r="C487" s="55" t="s">
        <v>1</v>
      </c>
      <c r="D487" s="56">
        <f t="shared" ref="D487:D550" si="402">B487+6</f>
        <v>46467</v>
      </c>
      <c r="E487" s="52">
        <f t="shared" ref="E487:E550" si="403">MONTH(B487)</f>
        <v>3</v>
      </c>
      <c r="F487" s="53">
        <f t="shared" ref="F487:F550" si="404">YEAR(D487)</f>
        <v>2027</v>
      </c>
      <c r="G487" s="62">
        <f t="shared" si="398"/>
        <v>15</v>
      </c>
      <c r="H487" s="63">
        <f t="shared" si="400"/>
        <v>96</v>
      </c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80"/>
      <c r="AG487" s="87">
        <f t="shared" si="358"/>
        <v>0</v>
      </c>
      <c r="AH487" s="87">
        <f t="shared" si="359"/>
        <v>0</v>
      </c>
      <c r="AI487" s="87">
        <f t="shared" si="360"/>
        <v>0</v>
      </c>
      <c r="AJ487" s="87">
        <f t="shared" si="361"/>
        <v>0</v>
      </c>
      <c r="AK487" s="87">
        <f t="shared" si="362"/>
        <v>0</v>
      </c>
      <c r="AL487" s="87">
        <f t="shared" si="363"/>
        <v>0</v>
      </c>
      <c r="AM487" s="87">
        <f t="shared" si="364"/>
        <v>0</v>
      </c>
      <c r="AN487" s="87">
        <f t="shared" si="365"/>
        <v>0</v>
      </c>
      <c r="AO487" s="87">
        <f t="shared" si="366"/>
        <v>0</v>
      </c>
      <c r="AP487" s="87">
        <f t="shared" si="367"/>
        <v>0</v>
      </c>
      <c r="AQ487" s="87">
        <f t="shared" si="368"/>
        <v>0</v>
      </c>
      <c r="AR487" s="81"/>
      <c r="AS487" s="85">
        <f t="shared" si="369"/>
        <v>0</v>
      </c>
      <c r="AT487" s="85">
        <f t="shared" si="370"/>
        <v>83</v>
      </c>
      <c r="AU487" s="85">
        <f t="shared" si="371"/>
        <v>33</v>
      </c>
      <c r="AV487" s="85">
        <f t="shared" si="372"/>
        <v>51</v>
      </c>
      <c r="AW487" s="85">
        <f t="shared" si="373"/>
        <v>28</v>
      </c>
      <c r="AX487" s="85">
        <f t="shared" si="374"/>
        <v>60</v>
      </c>
      <c r="AY487" s="85">
        <f t="shared" si="375"/>
        <v>28</v>
      </c>
      <c r="AZ487" s="85">
        <f t="shared" si="376"/>
        <v>47</v>
      </c>
      <c r="BA487" s="85">
        <f t="shared" si="377"/>
        <v>47</v>
      </c>
      <c r="BB487" s="85">
        <f t="shared" si="378"/>
        <v>82</v>
      </c>
      <c r="BC487" s="85">
        <f t="shared" si="379"/>
        <v>0</v>
      </c>
      <c r="BD487" s="85">
        <f t="shared" si="380"/>
        <v>48</v>
      </c>
      <c r="BE487" s="85">
        <f t="shared" si="381"/>
        <v>0</v>
      </c>
      <c r="BF487" s="85">
        <f t="shared" si="382"/>
        <v>0</v>
      </c>
      <c r="BG487" s="85">
        <f t="shared" si="383"/>
        <v>0</v>
      </c>
      <c r="BH487" s="85">
        <f t="shared" si="384"/>
        <v>0</v>
      </c>
      <c r="BI487" s="85">
        <f t="shared" si="385"/>
        <v>0</v>
      </c>
      <c r="BJ487" s="85">
        <f t="shared" si="386"/>
        <v>0</v>
      </c>
      <c r="BK487" s="85">
        <f t="shared" si="387"/>
        <v>54</v>
      </c>
      <c r="BL487" s="85">
        <f t="shared" si="388"/>
        <v>54</v>
      </c>
      <c r="BM487" s="85">
        <f t="shared" si="389"/>
        <v>52</v>
      </c>
      <c r="BN487" s="85">
        <f t="shared" si="390"/>
        <v>0</v>
      </c>
      <c r="BO487" s="85">
        <f t="shared" si="391"/>
        <v>44</v>
      </c>
      <c r="BP487" s="85">
        <f t="shared" si="392"/>
        <v>0</v>
      </c>
      <c r="BQ487" s="85">
        <f t="shared" si="393"/>
        <v>43</v>
      </c>
      <c r="BR487" s="85">
        <f t="shared" si="394"/>
        <v>43</v>
      </c>
      <c r="BT487" s="63"/>
      <c r="BU487" s="63"/>
      <c r="BV487" s="63"/>
      <c r="BW487" s="63"/>
      <c r="BX487" s="63"/>
      <c r="BY487" s="63"/>
      <c r="BZ487" s="63"/>
      <c r="CA487" s="63"/>
      <c r="CB487" s="63"/>
      <c r="CC487" s="63"/>
      <c r="CD487" s="63"/>
      <c r="CE487" s="63"/>
      <c r="CF487" s="63"/>
      <c r="CG487" s="63"/>
      <c r="CH487" s="63"/>
      <c r="CI487" s="63"/>
      <c r="CJ487" s="63"/>
      <c r="CK487" s="63"/>
      <c r="CL487" s="63"/>
      <c r="CM487" s="63"/>
      <c r="CN487" s="63"/>
      <c r="CO487" s="63"/>
      <c r="CP487" s="63"/>
      <c r="CQ487" s="63"/>
      <c r="CR487" s="63"/>
      <c r="CS487" s="63"/>
      <c r="CX487" s="35" t="s">
        <v>12</v>
      </c>
      <c r="CZ487" s="35"/>
      <c r="DC487" s="57" t="str">
        <f t="shared" si="399"/>
        <v/>
      </c>
      <c r="DD487" s="64" t="str">
        <f t="shared" si="396"/>
        <v/>
      </c>
      <c r="DE487" s="65" t="str">
        <f t="shared" si="397"/>
        <v/>
      </c>
      <c r="DF487" s="66" t="str">
        <f t="shared" si="357"/>
        <v/>
      </c>
    </row>
    <row r="488" spans="2:110">
      <c r="B488" s="54">
        <f t="shared" si="401"/>
        <v>46468</v>
      </c>
      <c r="C488" s="55" t="s">
        <v>1</v>
      </c>
      <c r="D488" s="56">
        <f t="shared" si="402"/>
        <v>46474</v>
      </c>
      <c r="E488" s="52">
        <f t="shared" si="403"/>
        <v>3</v>
      </c>
      <c r="F488" s="53">
        <f t="shared" si="404"/>
        <v>2027</v>
      </c>
      <c r="G488" s="62">
        <f t="shared" si="398"/>
        <v>15</v>
      </c>
      <c r="H488" s="63">
        <f t="shared" si="400"/>
        <v>96</v>
      </c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80"/>
      <c r="AG488" s="87">
        <f t="shared" si="358"/>
        <v>0</v>
      </c>
      <c r="AH488" s="87">
        <f t="shared" si="359"/>
        <v>0</v>
      </c>
      <c r="AI488" s="87">
        <f t="shared" si="360"/>
        <v>0</v>
      </c>
      <c r="AJ488" s="87">
        <f t="shared" si="361"/>
        <v>0</v>
      </c>
      <c r="AK488" s="87">
        <f t="shared" si="362"/>
        <v>0</v>
      </c>
      <c r="AL488" s="87">
        <f t="shared" si="363"/>
        <v>0</v>
      </c>
      <c r="AM488" s="87">
        <f t="shared" si="364"/>
        <v>0</v>
      </c>
      <c r="AN488" s="87">
        <f t="shared" si="365"/>
        <v>0</v>
      </c>
      <c r="AO488" s="87">
        <f t="shared" si="366"/>
        <v>0</v>
      </c>
      <c r="AP488" s="87">
        <f t="shared" si="367"/>
        <v>0</v>
      </c>
      <c r="AQ488" s="87">
        <f t="shared" si="368"/>
        <v>0</v>
      </c>
      <c r="AR488" s="81"/>
      <c r="AS488" s="85">
        <f t="shared" si="369"/>
        <v>0</v>
      </c>
      <c r="AT488" s="85">
        <f t="shared" si="370"/>
        <v>84</v>
      </c>
      <c r="AU488" s="85">
        <f t="shared" si="371"/>
        <v>34</v>
      </c>
      <c r="AV488" s="85">
        <f t="shared" si="372"/>
        <v>52</v>
      </c>
      <c r="AW488" s="85">
        <f t="shared" si="373"/>
        <v>29</v>
      </c>
      <c r="AX488" s="85">
        <f t="shared" si="374"/>
        <v>61</v>
      </c>
      <c r="AY488" s="85">
        <f t="shared" si="375"/>
        <v>29</v>
      </c>
      <c r="AZ488" s="85">
        <f t="shared" si="376"/>
        <v>48</v>
      </c>
      <c r="BA488" s="85">
        <f t="shared" si="377"/>
        <v>48</v>
      </c>
      <c r="BB488" s="85">
        <f t="shared" si="378"/>
        <v>83</v>
      </c>
      <c r="BC488" s="85">
        <f t="shared" si="379"/>
        <v>0</v>
      </c>
      <c r="BD488" s="85">
        <f t="shared" si="380"/>
        <v>49</v>
      </c>
      <c r="BE488" s="85">
        <f t="shared" si="381"/>
        <v>0</v>
      </c>
      <c r="BF488" s="85">
        <f t="shared" si="382"/>
        <v>0</v>
      </c>
      <c r="BG488" s="85">
        <f t="shared" si="383"/>
        <v>0</v>
      </c>
      <c r="BH488" s="85">
        <f t="shared" si="384"/>
        <v>0</v>
      </c>
      <c r="BI488" s="85">
        <f t="shared" si="385"/>
        <v>0</v>
      </c>
      <c r="BJ488" s="85">
        <f t="shared" si="386"/>
        <v>0</v>
      </c>
      <c r="BK488" s="85">
        <f t="shared" si="387"/>
        <v>55</v>
      </c>
      <c r="BL488" s="85">
        <f t="shared" si="388"/>
        <v>55</v>
      </c>
      <c r="BM488" s="85">
        <f t="shared" si="389"/>
        <v>53</v>
      </c>
      <c r="BN488" s="85">
        <f t="shared" si="390"/>
        <v>0</v>
      </c>
      <c r="BO488" s="85">
        <f t="shared" si="391"/>
        <v>45</v>
      </c>
      <c r="BP488" s="85">
        <f t="shared" si="392"/>
        <v>0</v>
      </c>
      <c r="BQ488" s="85">
        <f t="shared" si="393"/>
        <v>44</v>
      </c>
      <c r="BR488" s="85">
        <f t="shared" si="394"/>
        <v>44</v>
      </c>
      <c r="BT488" s="63"/>
      <c r="BU488" s="63"/>
      <c r="BV488" s="63"/>
      <c r="BW488" s="63"/>
      <c r="BX488" s="63"/>
      <c r="BY488" s="63"/>
      <c r="BZ488" s="63"/>
      <c r="CA488" s="63"/>
      <c r="CB488" s="63"/>
      <c r="CC488" s="63"/>
      <c r="CD488" s="63"/>
      <c r="CE488" s="63"/>
      <c r="CF488" s="63"/>
      <c r="CG488" s="63"/>
      <c r="CH488" s="63"/>
      <c r="CI488" s="63"/>
      <c r="CJ488" s="63"/>
      <c r="CK488" s="63"/>
      <c r="CL488" s="63"/>
      <c r="CM488" s="63"/>
      <c r="CN488" s="63"/>
      <c r="CO488" s="63"/>
      <c r="CP488" s="63"/>
      <c r="CQ488" s="63"/>
      <c r="CR488" s="63"/>
      <c r="CS488" s="63"/>
      <c r="CX488" s="35" t="s">
        <v>12</v>
      </c>
      <c r="CZ488" s="35"/>
      <c r="DC488" s="57" t="str">
        <f t="shared" si="399"/>
        <v/>
      </c>
      <c r="DD488" s="64" t="str">
        <f t="shared" si="396"/>
        <v/>
      </c>
      <c r="DE488" s="65" t="str">
        <f t="shared" si="397"/>
        <v/>
      </c>
      <c r="DF488" s="66" t="str">
        <f t="shared" si="357"/>
        <v/>
      </c>
    </row>
    <row r="489" spans="2:110">
      <c r="B489" s="54">
        <f t="shared" si="401"/>
        <v>46475</v>
      </c>
      <c r="C489" s="55" t="s">
        <v>1</v>
      </c>
      <c r="D489" s="56">
        <f t="shared" si="402"/>
        <v>46481</v>
      </c>
      <c r="E489" s="52">
        <f t="shared" si="403"/>
        <v>3</v>
      </c>
      <c r="F489" s="53">
        <f t="shared" si="404"/>
        <v>2027</v>
      </c>
      <c r="G489" s="62">
        <f t="shared" si="398"/>
        <v>15</v>
      </c>
      <c r="H489" s="63">
        <f t="shared" si="400"/>
        <v>96</v>
      </c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80"/>
      <c r="AG489" s="87">
        <f t="shared" si="358"/>
        <v>0</v>
      </c>
      <c r="AH489" s="87">
        <f t="shared" si="359"/>
        <v>0</v>
      </c>
      <c r="AI489" s="87">
        <f t="shared" si="360"/>
        <v>0</v>
      </c>
      <c r="AJ489" s="87">
        <f t="shared" si="361"/>
        <v>0</v>
      </c>
      <c r="AK489" s="87">
        <f t="shared" si="362"/>
        <v>0</v>
      </c>
      <c r="AL489" s="87">
        <f t="shared" si="363"/>
        <v>0</v>
      </c>
      <c r="AM489" s="87">
        <f t="shared" si="364"/>
        <v>0</v>
      </c>
      <c r="AN489" s="87">
        <f t="shared" si="365"/>
        <v>0</v>
      </c>
      <c r="AO489" s="87">
        <f t="shared" si="366"/>
        <v>0</v>
      </c>
      <c r="AP489" s="87">
        <f t="shared" si="367"/>
        <v>0</v>
      </c>
      <c r="AQ489" s="87">
        <f t="shared" si="368"/>
        <v>0</v>
      </c>
      <c r="AR489" s="81"/>
      <c r="AS489" s="85">
        <f t="shared" si="369"/>
        <v>0</v>
      </c>
      <c r="AT489" s="85">
        <f t="shared" si="370"/>
        <v>85</v>
      </c>
      <c r="AU489" s="85">
        <f t="shared" si="371"/>
        <v>35</v>
      </c>
      <c r="AV489" s="85">
        <f t="shared" si="372"/>
        <v>53</v>
      </c>
      <c r="AW489" s="85">
        <f t="shared" si="373"/>
        <v>30</v>
      </c>
      <c r="AX489" s="85">
        <f t="shared" si="374"/>
        <v>62</v>
      </c>
      <c r="AY489" s="85">
        <f t="shared" si="375"/>
        <v>30</v>
      </c>
      <c r="AZ489" s="85">
        <f t="shared" si="376"/>
        <v>49</v>
      </c>
      <c r="BA489" s="85">
        <f t="shared" si="377"/>
        <v>49</v>
      </c>
      <c r="BB489" s="85">
        <f t="shared" si="378"/>
        <v>84</v>
      </c>
      <c r="BC489" s="85">
        <f t="shared" si="379"/>
        <v>0</v>
      </c>
      <c r="BD489" s="85">
        <f t="shared" si="380"/>
        <v>50</v>
      </c>
      <c r="BE489" s="85">
        <f t="shared" si="381"/>
        <v>0</v>
      </c>
      <c r="BF489" s="85">
        <f t="shared" si="382"/>
        <v>0</v>
      </c>
      <c r="BG489" s="85">
        <f t="shared" si="383"/>
        <v>0</v>
      </c>
      <c r="BH489" s="85">
        <f t="shared" si="384"/>
        <v>0</v>
      </c>
      <c r="BI489" s="85">
        <f t="shared" si="385"/>
        <v>0</v>
      </c>
      <c r="BJ489" s="85">
        <f t="shared" si="386"/>
        <v>0</v>
      </c>
      <c r="BK489" s="85">
        <f t="shared" si="387"/>
        <v>56</v>
      </c>
      <c r="BL489" s="85">
        <f t="shared" si="388"/>
        <v>56</v>
      </c>
      <c r="BM489" s="85">
        <f t="shared" si="389"/>
        <v>54</v>
      </c>
      <c r="BN489" s="85">
        <f t="shared" si="390"/>
        <v>0</v>
      </c>
      <c r="BO489" s="85">
        <f t="shared" si="391"/>
        <v>46</v>
      </c>
      <c r="BP489" s="85">
        <f t="shared" si="392"/>
        <v>0</v>
      </c>
      <c r="BQ489" s="85">
        <f t="shared" si="393"/>
        <v>45</v>
      </c>
      <c r="BR489" s="85">
        <f t="shared" si="394"/>
        <v>45</v>
      </c>
      <c r="BT489" s="63"/>
      <c r="BU489" s="63"/>
      <c r="BV489" s="63"/>
      <c r="BW489" s="63"/>
      <c r="BX489" s="63"/>
      <c r="BY489" s="63"/>
      <c r="BZ489" s="63"/>
      <c r="CA489" s="63"/>
      <c r="CB489" s="63"/>
      <c r="CC489" s="63"/>
      <c r="CD489" s="63"/>
      <c r="CE489" s="63"/>
      <c r="CF489" s="63"/>
      <c r="CG489" s="63"/>
      <c r="CH489" s="63"/>
      <c r="CI489" s="63"/>
      <c r="CJ489" s="63"/>
      <c r="CK489" s="63"/>
      <c r="CL489" s="63"/>
      <c r="CM489" s="63"/>
      <c r="CN489" s="63"/>
      <c r="CO489" s="63"/>
      <c r="CP489" s="63"/>
      <c r="CQ489" s="63"/>
      <c r="CR489" s="63"/>
      <c r="CS489" s="63"/>
      <c r="CX489" s="35" t="s">
        <v>12</v>
      </c>
      <c r="CZ489" s="35"/>
      <c r="DC489" s="57" t="str">
        <f t="shared" si="399"/>
        <v/>
      </c>
      <c r="DD489" s="64" t="str">
        <f t="shared" si="396"/>
        <v/>
      </c>
      <c r="DE489" s="65" t="str">
        <f t="shared" si="397"/>
        <v/>
      </c>
      <c r="DF489" s="66" t="str">
        <f t="shared" si="357"/>
        <v/>
      </c>
    </row>
    <row r="490" spans="2:110">
      <c r="B490" s="54">
        <f t="shared" si="401"/>
        <v>46482</v>
      </c>
      <c r="C490" s="55" t="s">
        <v>1</v>
      </c>
      <c r="D490" s="56">
        <f t="shared" si="402"/>
        <v>46488</v>
      </c>
      <c r="E490" s="52">
        <f t="shared" si="403"/>
        <v>4</v>
      </c>
      <c r="F490" s="53">
        <f t="shared" si="404"/>
        <v>2027</v>
      </c>
      <c r="G490" s="62">
        <f t="shared" si="398"/>
        <v>15</v>
      </c>
      <c r="H490" s="63">
        <f t="shared" si="400"/>
        <v>96</v>
      </c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80"/>
      <c r="AG490" s="87">
        <f t="shared" si="358"/>
        <v>0</v>
      </c>
      <c r="AH490" s="87">
        <f t="shared" si="359"/>
        <v>0</v>
      </c>
      <c r="AI490" s="87">
        <f t="shared" si="360"/>
        <v>0</v>
      </c>
      <c r="AJ490" s="87">
        <f t="shared" si="361"/>
        <v>0</v>
      </c>
      <c r="AK490" s="87">
        <f t="shared" si="362"/>
        <v>0</v>
      </c>
      <c r="AL490" s="87">
        <f t="shared" si="363"/>
        <v>0</v>
      </c>
      <c r="AM490" s="87">
        <f t="shared" si="364"/>
        <v>0</v>
      </c>
      <c r="AN490" s="87">
        <f t="shared" si="365"/>
        <v>0</v>
      </c>
      <c r="AO490" s="87">
        <f t="shared" si="366"/>
        <v>0</v>
      </c>
      <c r="AP490" s="87">
        <f t="shared" si="367"/>
        <v>0</v>
      </c>
      <c r="AQ490" s="87">
        <f t="shared" si="368"/>
        <v>0</v>
      </c>
      <c r="AR490" s="81"/>
      <c r="AS490" s="85">
        <f t="shared" si="369"/>
        <v>0</v>
      </c>
      <c r="AT490" s="85">
        <f t="shared" si="370"/>
        <v>86</v>
      </c>
      <c r="AU490" s="85">
        <f t="shared" si="371"/>
        <v>36</v>
      </c>
      <c r="AV490" s="85">
        <f t="shared" si="372"/>
        <v>54</v>
      </c>
      <c r="AW490" s="85">
        <f t="shared" si="373"/>
        <v>31</v>
      </c>
      <c r="AX490" s="85">
        <f t="shared" si="374"/>
        <v>63</v>
      </c>
      <c r="AY490" s="85">
        <f t="shared" si="375"/>
        <v>31</v>
      </c>
      <c r="AZ490" s="85">
        <f t="shared" si="376"/>
        <v>50</v>
      </c>
      <c r="BA490" s="85">
        <f t="shared" si="377"/>
        <v>50</v>
      </c>
      <c r="BB490" s="85">
        <f t="shared" si="378"/>
        <v>85</v>
      </c>
      <c r="BC490" s="85">
        <f t="shared" si="379"/>
        <v>0</v>
      </c>
      <c r="BD490" s="85">
        <f t="shared" si="380"/>
        <v>51</v>
      </c>
      <c r="BE490" s="85">
        <f t="shared" si="381"/>
        <v>0</v>
      </c>
      <c r="BF490" s="85">
        <f t="shared" si="382"/>
        <v>0</v>
      </c>
      <c r="BG490" s="85">
        <f t="shared" si="383"/>
        <v>0</v>
      </c>
      <c r="BH490" s="85">
        <f t="shared" si="384"/>
        <v>0</v>
      </c>
      <c r="BI490" s="85">
        <f t="shared" si="385"/>
        <v>0</v>
      </c>
      <c r="BJ490" s="85">
        <f t="shared" si="386"/>
        <v>0</v>
      </c>
      <c r="BK490" s="85">
        <f t="shared" si="387"/>
        <v>57</v>
      </c>
      <c r="BL490" s="85">
        <f t="shared" si="388"/>
        <v>57</v>
      </c>
      <c r="BM490" s="85">
        <f t="shared" si="389"/>
        <v>55</v>
      </c>
      <c r="BN490" s="85">
        <f t="shared" si="390"/>
        <v>0</v>
      </c>
      <c r="BO490" s="85">
        <f t="shared" si="391"/>
        <v>47</v>
      </c>
      <c r="BP490" s="85">
        <f t="shared" si="392"/>
        <v>0</v>
      </c>
      <c r="BQ490" s="85">
        <f t="shared" si="393"/>
        <v>46</v>
      </c>
      <c r="BR490" s="85">
        <f t="shared" si="394"/>
        <v>46</v>
      </c>
      <c r="BT490" s="63"/>
      <c r="BU490" s="63"/>
      <c r="BV490" s="63"/>
      <c r="BW490" s="63"/>
      <c r="BX490" s="63"/>
      <c r="BY490" s="63"/>
      <c r="BZ490" s="63"/>
      <c r="CA490" s="63"/>
      <c r="CB490" s="63"/>
      <c r="CC490" s="63"/>
      <c r="CD490" s="63"/>
      <c r="CE490" s="63"/>
      <c r="CF490" s="63"/>
      <c r="CG490" s="63"/>
      <c r="CH490" s="63"/>
      <c r="CI490" s="63"/>
      <c r="CJ490" s="63"/>
      <c r="CK490" s="63"/>
      <c r="CL490" s="63"/>
      <c r="CM490" s="63"/>
      <c r="CN490" s="63"/>
      <c r="CO490" s="63"/>
      <c r="CP490" s="63"/>
      <c r="CQ490" s="63"/>
      <c r="CR490" s="63"/>
      <c r="CS490" s="63"/>
      <c r="CX490" s="35" t="s">
        <v>12</v>
      </c>
      <c r="CZ490" s="35"/>
      <c r="DC490" s="57" t="str">
        <f t="shared" si="399"/>
        <v/>
      </c>
      <c r="DD490" s="64" t="str">
        <f t="shared" si="396"/>
        <v/>
      </c>
      <c r="DE490" s="65" t="str">
        <f t="shared" si="397"/>
        <v/>
      </c>
      <c r="DF490" s="66" t="str">
        <f t="shared" si="357"/>
        <v/>
      </c>
    </row>
    <row r="491" spans="2:110">
      <c r="B491" s="54">
        <f t="shared" si="401"/>
        <v>46489</v>
      </c>
      <c r="C491" s="55" t="s">
        <v>1</v>
      </c>
      <c r="D491" s="56">
        <f t="shared" si="402"/>
        <v>46495</v>
      </c>
      <c r="E491" s="52">
        <f t="shared" si="403"/>
        <v>4</v>
      </c>
      <c r="F491" s="53">
        <f t="shared" si="404"/>
        <v>2027</v>
      </c>
      <c r="G491" s="62">
        <f t="shared" si="398"/>
        <v>15</v>
      </c>
      <c r="H491" s="63">
        <f t="shared" si="400"/>
        <v>96</v>
      </c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80"/>
      <c r="AG491" s="87">
        <f t="shared" si="358"/>
        <v>0</v>
      </c>
      <c r="AH491" s="87">
        <f t="shared" si="359"/>
        <v>0</v>
      </c>
      <c r="AI491" s="87">
        <f t="shared" si="360"/>
        <v>0</v>
      </c>
      <c r="AJ491" s="87">
        <f t="shared" si="361"/>
        <v>0</v>
      </c>
      <c r="AK491" s="87">
        <f t="shared" si="362"/>
        <v>0</v>
      </c>
      <c r="AL491" s="87">
        <f t="shared" si="363"/>
        <v>0</v>
      </c>
      <c r="AM491" s="87">
        <f t="shared" si="364"/>
        <v>0</v>
      </c>
      <c r="AN491" s="87">
        <f t="shared" si="365"/>
        <v>0</v>
      </c>
      <c r="AO491" s="87">
        <f t="shared" si="366"/>
        <v>0</v>
      </c>
      <c r="AP491" s="87">
        <f t="shared" si="367"/>
        <v>0</v>
      </c>
      <c r="AQ491" s="87">
        <f t="shared" si="368"/>
        <v>0</v>
      </c>
      <c r="AR491" s="81"/>
      <c r="AS491" s="85">
        <f t="shared" si="369"/>
        <v>0</v>
      </c>
      <c r="AT491" s="85">
        <f t="shared" si="370"/>
        <v>87</v>
      </c>
      <c r="AU491" s="85">
        <f t="shared" si="371"/>
        <v>37</v>
      </c>
      <c r="AV491" s="85">
        <f t="shared" si="372"/>
        <v>55</v>
      </c>
      <c r="AW491" s="85">
        <f t="shared" si="373"/>
        <v>32</v>
      </c>
      <c r="AX491" s="85">
        <f t="shared" si="374"/>
        <v>64</v>
      </c>
      <c r="AY491" s="85">
        <f t="shared" si="375"/>
        <v>32</v>
      </c>
      <c r="AZ491" s="85">
        <f t="shared" si="376"/>
        <v>51</v>
      </c>
      <c r="BA491" s="85">
        <f t="shared" si="377"/>
        <v>51</v>
      </c>
      <c r="BB491" s="85">
        <f t="shared" si="378"/>
        <v>86</v>
      </c>
      <c r="BC491" s="85">
        <f t="shared" si="379"/>
        <v>0</v>
      </c>
      <c r="BD491" s="85">
        <f t="shared" si="380"/>
        <v>52</v>
      </c>
      <c r="BE491" s="85">
        <f t="shared" si="381"/>
        <v>0</v>
      </c>
      <c r="BF491" s="85">
        <f t="shared" si="382"/>
        <v>0</v>
      </c>
      <c r="BG491" s="85">
        <f t="shared" si="383"/>
        <v>0</v>
      </c>
      <c r="BH491" s="85">
        <f t="shared" si="384"/>
        <v>0</v>
      </c>
      <c r="BI491" s="85">
        <f t="shared" si="385"/>
        <v>0</v>
      </c>
      <c r="BJ491" s="85">
        <f t="shared" si="386"/>
        <v>0</v>
      </c>
      <c r="BK491" s="85">
        <f t="shared" si="387"/>
        <v>58</v>
      </c>
      <c r="BL491" s="85">
        <f t="shared" si="388"/>
        <v>58</v>
      </c>
      <c r="BM491" s="85">
        <f t="shared" si="389"/>
        <v>56</v>
      </c>
      <c r="BN491" s="85">
        <f t="shared" si="390"/>
        <v>0</v>
      </c>
      <c r="BO491" s="85">
        <f t="shared" si="391"/>
        <v>48</v>
      </c>
      <c r="BP491" s="85">
        <f t="shared" si="392"/>
        <v>0</v>
      </c>
      <c r="BQ491" s="85">
        <f t="shared" si="393"/>
        <v>47</v>
      </c>
      <c r="BR491" s="85">
        <f t="shared" si="394"/>
        <v>47</v>
      </c>
      <c r="BT491" s="63"/>
      <c r="BU491" s="63"/>
      <c r="BV491" s="63"/>
      <c r="BW491" s="63"/>
      <c r="BX491" s="63"/>
      <c r="BY491" s="63"/>
      <c r="BZ491" s="63"/>
      <c r="CA491" s="63"/>
      <c r="CB491" s="63"/>
      <c r="CC491" s="63"/>
      <c r="CD491" s="63"/>
      <c r="CE491" s="63"/>
      <c r="CF491" s="63"/>
      <c r="CG491" s="63"/>
      <c r="CH491" s="63"/>
      <c r="CI491" s="63"/>
      <c r="CJ491" s="63"/>
      <c r="CK491" s="63"/>
      <c r="CL491" s="63"/>
      <c r="CM491" s="63"/>
      <c r="CN491" s="63"/>
      <c r="CO491" s="63"/>
      <c r="CP491" s="63"/>
      <c r="CQ491" s="63"/>
      <c r="CR491" s="63"/>
      <c r="CS491" s="63"/>
      <c r="CX491" s="35" t="s">
        <v>12</v>
      </c>
      <c r="CZ491" s="35"/>
      <c r="DC491" s="57" t="str">
        <f t="shared" si="399"/>
        <v/>
      </c>
      <c r="DD491" s="64" t="str">
        <f t="shared" si="396"/>
        <v/>
      </c>
      <c r="DE491" s="65" t="str">
        <f t="shared" si="397"/>
        <v/>
      </c>
      <c r="DF491" s="66" t="str">
        <f t="shared" si="357"/>
        <v/>
      </c>
    </row>
    <row r="492" spans="2:110">
      <c r="B492" s="54">
        <f t="shared" si="401"/>
        <v>46496</v>
      </c>
      <c r="C492" s="55" t="s">
        <v>1</v>
      </c>
      <c r="D492" s="56">
        <f t="shared" si="402"/>
        <v>46502</v>
      </c>
      <c r="E492" s="52">
        <f t="shared" si="403"/>
        <v>4</v>
      </c>
      <c r="F492" s="53">
        <f t="shared" si="404"/>
        <v>2027</v>
      </c>
      <c r="G492" s="62">
        <f t="shared" si="398"/>
        <v>15</v>
      </c>
      <c r="H492" s="63">
        <f t="shared" si="400"/>
        <v>96</v>
      </c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80"/>
      <c r="AG492" s="87">
        <f t="shared" si="358"/>
        <v>0</v>
      </c>
      <c r="AH492" s="87">
        <f t="shared" si="359"/>
        <v>0</v>
      </c>
      <c r="AI492" s="87">
        <f t="shared" si="360"/>
        <v>0</v>
      </c>
      <c r="AJ492" s="87">
        <f t="shared" si="361"/>
        <v>0</v>
      </c>
      <c r="AK492" s="87">
        <f t="shared" si="362"/>
        <v>0</v>
      </c>
      <c r="AL492" s="87">
        <f t="shared" si="363"/>
        <v>0</v>
      </c>
      <c r="AM492" s="87">
        <f t="shared" si="364"/>
        <v>0</v>
      </c>
      <c r="AN492" s="87">
        <f t="shared" si="365"/>
        <v>0</v>
      </c>
      <c r="AO492" s="87">
        <f t="shared" si="366"/>
        <v>0</v>
      </c>
      <c r="AP492" s="87">
        <f t="shared" si="367"/>
        <v>0</v>
      </c>
      <c r="AQ492" s="87">
        <f t="shared" si="368"/>
        <v>0</v>
      </c>
      <c r="AR492" s="81"/>
      <c r="AS492" s="85">
        <f t="shared" si="369"/>
        <v>0</v>
      </c>
      <c r="AT492" s="85">
        <f t="shared" si="370"/>
        <v>88</v>
      </c>
      <c r="AU492" s="85">
        <f t="shared" si="371"/>
        <v>38</v>
      </c>
      <c r="AV492" s="85">
        <f t="shared" si="372"/>
        <v>56</v>
      </c>
      <c r="AW492" s="85">
        <f t="shared" si="373"/>
        <v>33</v>
      </c>
      <c r="AX492" s="85">
        <f t="shared" si="374"/>
        <v>65</v>
      </c>
      <c r="AY492" s="85">
        <f t="shared" si="375"/>
        <v>33</v>
      </c>
      <c r="AZ492" s="85">
        <f t="shared" si="376"/>
        <v>52</v>
      </c>
      <c r="BA492" s="85">
        <f t="shared" si="377"/>
        <v>52</v>
      </c>
      <c r="BB492" s="85">
        <f t="shared" si="378"/>
        <v>87</v>
      </c>
      <c r="BC492" s="85">
        <f t="shared" si="379"/>
        <v>0</v>
      </c>
      <c r="BD492" s="85">
        <f t="shared" si="380"/>
        <v>53</v>
      </c>
      <c r="BE492" s="85">
        <f t="shared" si="381"/>
        <v>0</v>
      </c>
      <c r="BF492" s="85">
        <f t="shared" si="382"/>
        <v>0</v>
      </c>
      <c r="BG492" s="85">
        <f t="shared" si="383"/>
        <v>0</v>
      </c>
      <c r="BH492" s="85">
        <f t="shared" si="384"/>
        <v>0</v>
      </c>
      <c r="BI492" s="85">
        <f t="shared" si="385"/>
        <v>0</v>
      </c>
      <c r="BJ492" s="85">
        <f t="shared" si="386"/>
        <v>0</v>
      </c>
      <c r="BK492" s="85">
        <f t="shared" si="387"/>
        <v>59</v>
      </c>
      <c r="BL492" s="85">
        <f t="shared" si="388"/>
        <v>59</v>
      </c>
      <c r="BM492" s="85">
        <f t="shared" si="389"/>
        <v>57</v>
      </c>
      <c r="BN492" s="85">
        <f t="shared" si="390"/>
        <v>0</v>
      </c>
      <c r="BO492" s="85">
        <f t="shared" si="391"/>
        <v>49</v>
      </c>
      <c r="BP492" s="85">
        <f t="shared" si="392"/>
        <v>0</v>
      </c>
      <c r="BQ492" s="85">
        <f t="shared" si="393"/>
        <v>48</v>
      </c>
      <c r="BR492" s="85">
        <f t="shared" si="394"/>
        <v>48</v>
      </c>
      <c r="BT492" s="63"/>
      <c r="BU492" s="63"/>
      <c r="BV492" s="63"/>
      <c r="BW492" s="63"/>
      <c r="BX492" s="63"/>
      <c r="BY492" s="63"/>
      <c r="BZ492" s="63"/>
      <c r="CA492" s="63"/>
      <c r="CB492" s="63"/>
      <c r="CC492" s="63"/>
      <c r="CD492" s="63"/>
      <c r="CE492" s="63"/>
      <c r="CF492" s="63"/>
      <c r="CG492" s="63"/>
      <c r="CH492" s="63"/>
      <c r="CI492" s="63"/>
      <c r="CJ492" s="63"/>
      <c r="CK492" s="63"/>
      <c r="CL492" s="63"/>
      <c r="CM492" s="63"/>
      <c r="CN492" s="63"/>
      <c r="CO492" s="63"/>
      <c r="CP492" s="63"/>
      <c r="CQ492" s="63"/>
      <c r="CR492" s="63"/>
      <c r="CS492" s="63"/>
      <c r="CX492" s="35" t="s">
        <v>12</v>
      </c>
      <c r="CZ492" s="35"/>
      <c r="DC492" s="57" t="str">
        <f t="shared" si="399"/>
        <v/>
      </c>
      <c r="DD492" s="64" t="str">
        <f t="shared" si="396"/>
        <v/>
      </c>
      <c r="DE492" s="65" t="str">
        <f t="shared" si="397"/>
        <v/>
      </c>
      <c r="DF492" s="66" t="str">
        <f t="shared" si="357"/>
        <v/>
      </c>
    </row>
    <row r="493" spans="2:110">
      <c r="B493" s="54">
        <f t="shared" si="401"/>
        <v>46503</v>
      </c>
      <c r="C493" s="55" t="s">
        <v>1</v>
      </c>
      <c r="D493" s="56">
        <f t="shared" si="402"/>
        <v>46509</v>
      </c>
      <c r="E493" s="52">
        <f t="shared" si="403"/>
        <v>4</v>
      </c>
      <c r="F493" s="53">
        <f t="shared" si="404"/>
        <v>2027</v>
      </c>
      <c r="G493" s="62">
        <f t="shared" si="398"/>
        <v>15</v>
      </c>
      <c r="H493" s="63">
        <f t="shared" si="400"/>
        <v>96</v>
      </c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80"/>
      <c r="AG493" s="87">
        <f t="shared" si="358"/>
        <v>0</v>
      </c>
      <c r="AH493" s="87">
        <f t="shared" si="359"/>
        <v>0</v>
      </c>
      <c r="AI493" s="87">
        <f t="shared" si="360"/>
        <v>0</v>
      </c>
      <c r="AJ493" s="87">
        <f t="shared" si="361"/>
        <v>0</v>
      </c>
      <c r="AK493" s="87">
        <f t="shared" si="362"/>
        <v>0</v>
      </c>
      <c r="AL493" s="87">
        <f t="shared" si="363"/>
        <v>0</v>
      </c>
      <c r="AM493" s="87">
        <f t="shared" si="364"/>
        <v>0</v>
      </c>
      <c r="AN493" s="87">
        <f t="shared" si="365"/>
        <v>0</v>
      </c>
      <c r="AO493" s="87">
        <f t="shared" si="366"/>
        <v>0</v>
      </c>
      <c r="AP493" s="87">
        <f t="shared" si="367"/>
        <v>0</v>
      </c>
      <c r="AQ493" s="87">
        <f t="shared" si="368"/>
        <v>0</v>
      </c>
      <c r="AR493" s="81"/>
      <c r="AS493" s="85">
        <f t="shared" si="369"/>
        <v>0</v>
      </c>
      <c r="AT493" s="85">
        <f t="shared" si="370"/>
        <v>89</v>
      </c>
      <c r="AU493" s="85">
        <f t="shared" si="371"/>
        <v>39</v>
      </c>
      <c r="AV493" s="85">
        <f t="shared" si="372"/>
        <v>57</v>
      </c>
      <c r="AW493" s="85">
        <f t="shared" si="373"/>
        <v>34</v>
      </c>
      <c r="AX493" s="85">
        <f t="shared" si="374"/>
        <v>66</v>
      </c>
      <c r="AY493" s="85">
        <f t="shared" si="375"/>
        <v>34</v>
      </c>
      <c r="AZ493" s="85">
        <f t="shared" si="376"/>
        <v>53</v>
      </c>
      <c r="BA493" s="85">
        <f t="shared" si="377"/>
        <v>53</v>
      </c>
      <c r="BB493" s="85">
        <f t="shared" si="378"/>
        <v>88</v>
      </c>
      <c r="BC493" s="85">
        <f t="shared" si="379"/>
        <v>0</v>
      </c>
      <c r="BD493" s="85">
        <f t="shared" si="380"/>
        <v>54</v>
      </c>
      <c r="BE493" s="85">
        <f t="shared" si="381"/>
        <v>0</v>
      </c>
      <c r="BF493" s="85">
        <f t="shared" si="382"/>
        <v>0</v>
      </c>
      <c r="BG493" s="85">
        <f t="shared" si="383"/>
        <v>0</v>
      </c>
      <c r="BH493" s="85">
        <f t="shared" si="384"/>
        <v>0</v>
      </c>
      <c r="BI493" s="85">
        <f t="shared" si="385"/>
        <v>0</v>
      </c>
      <c r="BJ493" s="85">
        <f t="shared" si="386"/>
        <v>0</v>
      </c>
      <c r="BK493" s="85">
        <f t="shared" si="387"/>
        <v>60</v>
      </c>
      <c r="BL493" s="85">
        <f t="shared" si="388"/>
        <v>60</v>
      </c>
      <c r="BM493" s="85">
        <f t="shared" si="389"/>
        <v>58</v>
      </c>
      <c r="BN493" s="85">
        <f t="shared" si="390"/>
        <v>0</v>
      </c>
      <c r="BO493" s="85">
        <f t="shared" si="391"/>
        <v>50</v>
      </c>
      <c r="BP493" s="85">
        <f t="shared" si="392"/>
        <v>0</v>
      </c>
      <c r="BQ493" s="85">
        <f t="shared" si="393"/>
        <v>49</v>
      </c>
      <c r="BR493" s="85">
        <f t="shared" si="394"/>
        <v>49</v>
      </c>
      <c r="BT493" s="63"/>
      <c r="BU493" s="63"/>
      <c r="BV493" s="63"/>
      <c r="BW493" s="63"/>
      <c r="BX493" s="63"/>
      <c r="BY493" s="63"/>
      <c r="BZ493" s="63"/>
      <c r="CA493" s="63"/>
      <c r="CB493" s="63"/>
      <c r="CC493" s="63"/>
      <c r="CD493" s="63"/>
      <c r="CE493" s="63"/>
      <c r="CF493" s="63"/>
      <c r="CG493" s="63"/>
      <c r="CH493" s="63"/>
      <c r="CI493" s="63"/>
      <c r="CJ493" s="63"/>
      <c r="CK493" s="63"/>
      <c r="CL493" s="63"/>
      <c r="CM493" s="63"/>
      <c r="CN493" s="63"/>
      <c r="CO493" s="63"/>
      <c r="CP493" s="63"/>
      <c r="CQ493" s="63"/>
      <c r="CR493" s="63"/>
      <c r="CS493" s="63"/>
      <c r="CX493" s="35" t="s">
        <v>12</v>
      </c>
      <c r="CZ493" s="35"/>
      <c r="DC493" s="57" t="str">
        <f t="shared" si="399"/>
        <v/>
      </c>
      <c r="DD493" s="64" t="str">
        <f t="shared" si="396"/>
        <v/>
      </c>
      <c r="DE493" s="65" t="str">
        <f t="shared" si="397"/>
        <v/>
      </c>
      <c r="DF493" s="66" t="str">
        <f t="shared" si="357"/>
        <v/>
      </c>
    </row>
    <row r="494" spans="2:110">
      <c r="B494" s="54">
        <f t="shared" si="401"/>
        <v>46510</v>
      </c>
      <c r="C494" s="55" t="s">
        <v>1</v>
      </c>
      <c r="D494" s="56">
        <f t="shared" si="402"/>
        <v>46516</v>
      </c>
      <c r="E494" s="52">
        <f t="shared" si="403"/>
        <v>5</v>
      </c>
      <c r="F494" s="53">
        <f t="shared" si="404"/>
        <v>2027</v>
      </c>
      <c r="G494" s="62">
        <f t="shared" si="398"/>
        <v>15</v>
      </c>
      <c r="H494" s="63">
        <f t="shared" si="400"/>
        <v>96</v>
      </c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80"/>
      <c r="AG494" s="87">
        <f t="shared" si="358"/>
        <v>0</v>
      </c>
      <c r="AH494" s="87">
        <f t="shared" si="359"/>
        <v>0</v>
      </c>
      <c r="AI494" s="87">
        <f t="shared" si="360"/>
        <v>0</v>
      </c>
      <c r="AJ494" s="87">
        <f t="shared" si="361"/>
        <v>0</v>
      </c>
      <c r="AK494" s="87">
        <f t="shared" si="362"/>
        <v>0</v>
      </c>
      <c r="AL494" s="87">
        <f t="shared" si="363"/>
        <v>0</v>
      </c>
      <c r="AM494" s="87">
        <f t="shared" si="364"/>
        <v>0</v>
      </c>
      <c r="AN494" s="87">
        <f t="shared" si="365"/>
        <v>0</v>
      </c>
      <c r="AO494" s="87">
        <f t="shared" si="366"/>
        <v>0</v>
      </c>
      <c r="AP494" s="87">
        <f t="shared" si="367"/>
        <v>0</v>
      </c>
      <c r="AQ494" s="87">
        <f t="shared" si="368"/>
        <v>0</v>
      </c>
      <c r="AR494" s="81"/>
      <c r="AS494" s="85">
        <f t="shared" si="369"/>
        <v>0</v>
      </c>
      <c r="AT494" s="85">
        <f t="shared" si="370"/>
        <v>90</v>
      </c>
      <c r="AU494" s="85">
        <f t="shared" si="371"/>
        <v>40</v>
      </c>
      <c r="AV494" s="85">
        <f t="shared" si="372"/>
        <v>58</v>
      </c>
      <c r="AW494" s="85">
        <f t="shared" si="373"/>
        <v>35</v>
      </c>
      <c r="AX494" s="85">
        <f t="shared" si="374"/>
        <v>67</v>
      </c>
      <c r="AY494" s="85">
        <f t="shared" si="375"/>
        <v>35</v>
      </c>
      <c r="AZ494" s="85">
        <f t="shared" si="376"/>
        <v>54</v>
      </c>
      <c r="BA494" s="85">
        <f t="shared" si="377"/>
        <v>54</v>
      </c>
      <c r="BB494" s="85">
        <f t="shared" si="378"/>
        <v>89</v>
      </c>
      <c r="BC494" s="85">
        <f t="shared" si="379"/>
        <v>0</v>
      </c>
      <c r="BD494" s="85">
        <f t="shared" si="380"/>
        <v>55</v>
      </c>
      <c r="BE494" s="85">
        <f t="shared" si="381"/>
        <v>0</v>
      </c>
      <c r="BF494" s="85">
        <f t="shared" si="382"/>
        <v>0</v>
      </c>
      <c r="BG494" s="85">
        <f t="shared" si="383"/>
        <v>0</v>
      </c>
      <c r="BH494" s="85">
        <f t="shared" si="384"/>
        <v>0</v>
      </c>
      <c r="BI494" s="85">
        <f t="shared" si="385"/>
        <v>0</v>
      </c>
      <c r="BJ494" s="85">
        <f t="shared" si="386"/>
        <v>0</v>
      </c>
      <c r="BK494" s="85">
        <f t="shared" si="387"/>
        <v>61</v>
      </c>
      <c r="BL494" s="85">
        <f t="shared" si="388"/>
        <v>61</v>
      </c>
      <c r="BM494" s="85">
        <f t="shared" si="389"/>
        <v>59</v>
      </c>
      <c r="BN494" s="85">
        <f t="shared" si="390"/>
        <v>0</v>
      </c>
      <c r="BO494" s="85">
        <f t="shared" si="391"/>
        <v>51</v>
      </c>
      <c r="BP494" s="85">
        <f t="shared" si="392"/>
        <v>0</v>
      </c>
      <c r="BQ494" s="85">
        <f t="shared" si="393"/>
        <v>50</v>
      </c>
      <c r="BR494" s="85">
        <f t="shared" si="394"/>
        <v>50</v>
      </c>
      <c r="BT494" s="63"/>
      <c r="BU494" s="63"/>
      <c r="BV494" s="63"/>
      <c r="BW494" s="63"/>
      <c r="BX494" s="63"/>
      <c r="BY494" s="63"/>
      <c r="BZ494" s="63"/>
      <c r="CA494" s="63"/>
      <c r="CB494" s="63"/>
      <c r="CC494" s="63"/>
      <c r="CD494" s="63"/>
      <c r="CE494" s="63"/>
      <c r="CF494" s="63"/>
      <c r="CG494" s="63"/>
      <c r="CH494" s="63"/>
      <c r="CI494" s="63"/>
      <c r="CJ494" s="63"/>
      <c r="CK494" s="63"/>
      <c r="CL494" s="63"/>
      <c r="CM494" s="63"/>
      <c r="CN494" s="63"/>
      <c r="CO494" s="63"/>
      <c r="CP494" s="63"/>
      <c r="CQ494" s="63"/>
      <c r="CR494" s="63"/>
      <c r="CS494" s="63"/>
      <c r="CX494" s="35" t="s">
        <v>12</v>
      </c>
      <c r="CZ494" s="35"/>
      <c r="DC494" s="57" t="str">
        <f t="shared" si="399"/>
        <v/>
      </c>
      <c r="DD494" s="64" t="str">
        <f t="shared" si="396"/>
        <v/>
      </c>
      <c r="DE494" s="65" t="str">
        <f t="shared" si="397"/>
        <v/>
      </c>
      <c r="DF494" s="66" t="str">
        <f t="shared" si="357"/>
        <v/>
      </c>
    </row>
    <row r="495" spans="2:110">
      <c r="B495" s="54">
        <f t="shared" si="401"/>
        <v>46517</v>
      </c>
      <c r="C495" s="55" t="s">
        <v>1</v>
      </c>
      <c r="D495" s="56">
        <f t="shared" si="402"/>
        <v>46523</v>
      </c>
      <c r="E495" s="52">
        <f t="shared" si="403"/>
        <v>5</v>
      </c>
      <c r="F495" s="53">
        <f t="shared" si="404"/>
        <v>2027</v>
      </c>
      <c r="G495" s="62">
        <f t="shared" si="398"/>
        <v>15</v>
      </c>
      <c r="H495" s="63">
        <f t="shared" si="400"/>
        <v>96</v>
      </c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80"/>
      <c r="AG495" s="87">
        <f t="shared" si="358"/>
        <v>0</v>
      </c>
      <c r="AH495" s="87">
        <f t="shared" si="359"/>
        <v>0</v>
      </c>
      <c r="AI495" s="87">
        <f t="shared" si="360"/>
        <v>0</v>
      </c>
      <c r="AJ495" s="87">
        <f t="shared" si="361"/>
        <v>0</v>
      </c>
      <c r="AK495" s="87">
        <f t="shared" si="362"/>
        <v>0</v>
      </c>
      <c r="AL495" s="87">
        <f t="shared" si="363"/>
        <v>0</v>
      </c>
      <c r="AM495" s="87">
        <f t="shared" si="364"/>
        <v>0</v>
      </c>
      <c r="AN495" s="87">
        <f t="shared" si="365"/>
        <v>0</v>
      </c>
      <c r="AO495" s="87">
        <f t="shared" si="366"/>
        <v>0</v>
      </c>
      <c r="AP495" s="87">
        <f t="shared" si="367"/>
        <v>0</v>
      </c>
      <c r="AQ495" s="87">
        <f t="shared" si="368"/>
        <v>0</v>
      </c>
      <c r="AR495" s="81"/>
      <c r="AS495" s="85">
        <f t="shared" si="369"/>
        <v>0</v>
      </c>
      <c r="AT495" s="85">
        <f t="shared" si="370"/>
        <v>91</v>
      </c>
      <c r="AU495" s="85">
        <f t="shared" si="371"/>
        <v>41</v>
      </c>
      <c r="AV495" s="85">
        <f t="shared" si="372"/>
        <v>59</v>
      </c>
      <c r="AW495" s="85">
        <f t="shared" si="373"/>
        <v>36</v>
      </c>
      <c r="AX495" s="85">
        <f t="shared" si="374"/>
        <v>68</v>
      </c>
      <c r="AY495" s="85">
        <f t="shared" si="375"/>
        <v>36</v>
      </c>
      <c r="AZ495" s="85">
        <f t="shared" si="376"/>
        <v>55</v>
      </c>
      <c r="BA495" s="85">
        <f t="shared" si="377"/>
        <v>55</v>
      </c>
      <c r="BB495" s="85">
        <f t="shared" si="378"/>
        <v>90</v>
      </c>
      <c r="BC495" s="85">
        <f t="shared" si="379"/>
        <v>0</v>
      </c>
      <c r="BD495" s="85">
        <f t="shared" si="380"/>
        <v>56</v>
      </c>
      <c r="BE495" s="85">
        <f t="shared" si="381"/>
        <v>0</v>
      </c>
      <c r="BF495" s="85">
        <f t="shared" si="382"/>
        <v>0</v>
      </c>
      <c r="BG495" s="85">
        <f t="shared" si="383"/>
        <v>0</v>
      </c>
      <c r="BH495" s="85">
        <f t="shared" si="384"/>
        <v>0</v>
      </c>
      <c r="BI495" s="85">
        <f t="shared" si="385"/>
        <v>0</v>
      </c>
      <c r="BJ495" s="85">
        <f t="shared" si="386"/>
        <v>0</v>
      </c>
      <c r="BK495" s="85">
        <f t="shared" si="387"/>
        <v>62</v>
      </c>
      <c r="BL495" s="85">
        <f t="shared" si="388"/>
        <v>62</v>
      </c>
      <c r="BM495" s="85">
        <f t="shared" si="389"/>
        <v>60</v>
      </c>
      <c r="BN495" s="85">
        <f t="shared" si="390"/>
        <v>0</v>
      </c>
      <c r="BO495" s="85">
        <f t="shared" si="391"/>
        <v>52</v>
      </c>
      <c r="BP495" s="85">
        <f t="shared" si="392"/>
        <v>0</v>
      </c>
      <c r="BQ495" s="85">
        <f t="shared" si="393"/>
        <v>51</v>
      </c>
      <c r="BR495" s="85">
        <f t="shared" si="394"/>
        <v>51</v>
      </c>
      <c r="BT495" s="63"/>
      <c r="BU495" s="63"/>
      <c r="BV495" s="63"/>
      <c r="BW495" s="63"/>
      <c r="BX495" s="63"/>
      <c r="BY495" s="63"/>
      <c r="BZ495" s="63"/>
      <c r="CA495" s="63"/>
      <c r="CB495" s="63"/>
      <c r="CC495" s="63"/>
      <c r="CD495" s="63"/>
      <c r="CE495" s="63"/>
      <c r="CF495" s="63"/>
      <c r="CG495" s="63"/>
      <c r="CH495" s="63"/>
      <c r="CI495" s="63"/>
      <c r="CJ495" s="63"/>
      <c r="CK495" s="63"/>
      <c r="CL495" s="63"/>
      <c r="CM495" s="63"/>
      <c r="CN495" s="63"/>
      <c r="CO495" s="63"/>
      <c r="CP495" s="63"/>
      <c r="CQ495" s="63"/>
      <c r="CR495" s="63"/>
      <c r="CS495" s="63"/>
      <c r="CX495" s="35" t="s">
        <v>12</v>
      </c>
      <c r="CZ495" s="35"/>
      <c r="DC495" s="57" t="str">
        <f t="shared" si="399"/>
        <v/>
      </c>
      <c r="DD495" s="64" t="str">
        <f t="shared" si="396"/>
        <v/>
      </c>
      <c r="DE495" s="65" t="str">
        <f t="shared" si="397"/>
        <v/>
      </c>
      <c r="DF495" s="66" t="str">
        <f t="shared" si="357"/>
        <v/>
      </c>
    </row>
    <row r="496" spans="2:110">
      <c r="B496" s="54">
        <f t="shared" si="401"/>
        <v>46524</v>
      </c>
      <c r="C496" s="55" t="s">
        <v>1</v>
      </c>
      <c r="D496" s="56">
        <f t="shared" si="402"/>
        <v>46530</v>
      </c>
      <c r="E496" s="52">
        <f t="shared" si="403"/>
        <v>5</v>
      </c>
      <c r="F496" s="53">
        <f t="shared" si="404"/>
        <v>2027</v>
      </c>
      <c r="G496" s="62">
        <f t="shared" si="398"/>
        <v>15</v>
      </c>
      <c r="H496" s="63">
        <f t="shared" si="400"/>
        <v>96</v>
      </c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80"/>
      <c r="AG496" s="87">
        <f t="shared" si="358"/>
        <v>0</v>
      </c>
      <c r="AH496" s="87">
        <f t="shared" si="359"/>
        <v>0</v>
      </c>
      <c r="AI496" s="87">
        <f t="shared" si="360"/>
        <v>0</v>
      </c>
      <c r="AJ496" s="87">
        <f t="shared" si="361"/>
        <v>0</v>
      </c>
      <c r="AK496" s="87">
        <f t="shared" si="362"/>
        <v>0</v>
      </c>
      <c r="AL496" s="87">
        <f t="shared" si="363"/>
        <v>0</v>
      </c>
      <c r="AM496" s="87">
        <f t="shared" si="364"/>
        <v>0</v>
      </c>
      <c r="AN496" s="87">
        <f t="shared" si="365"/>
        <v>0</v>
      </c>
      <c r="AO496" s="87">
        <f t="shared" si="366"/>
        <v>0</v>
      </c>
      <c r="AP496" s="87">
        <f t="shared" si="367"/>
        <v>0</v>
      </c>
      <c r="AQ496" s="87">
        <f t="shared" si="368"/>
        <v>0</v>
      </c>
      <c r="AR496" s="81"/>
      <c r="AS496" s="85">
        <f t="shared" si="369"/>
        <v>0</v>
      </c>
      <c r="AT496" s="85">
        <f t="shared" si="370"/>
        <v>92</v>
      </c>
      <c r="AU496" s="85">
        <f t="shared" si="371"/>
        <v>42</v>
      </c>
      <c r="AV496" s="85">
        <f t="shared" si="372"/>
        <v>60</v>
      </c>
      <c r="AW496" s="85">
        <f t="shared" si="373"/>
        <v>37</v>
      </c>
      <c r="AX496" s="85">
        <f t="shared" si="374"/>
        <v>69</v>
      </c>
      <c r="AY496" s="85">
        <f t="shared" si="375"/>
        <v>37</v>
      </c>
      <c r="AZ496" s="85">
        <f t="shared" si="376"/>
        <v>56</v>
      </c>
      <c r="BA496" s="85">
        <f t="shared" si="377"/>
        <v>56</v>
      </c>
      <c r="BB496" s="85">
        <f t="shared" si="378"/>
        <v>91</v>
      </c>
      <c r="BC496" s="85">
        <f t="shared" si="379"/>
        <v>0</v>
      </c>
      <c r="BD496" s="85">
        <f t="shared" si="380"/>
        <v>57</v>
      </c>
      <c r="BE496" s="85">
        <f t="shared" si="381"/>
        <v>0</v>
      </c>
      <c r="BF496" s="85">
        <f t="shared" si="382"/>
        <v>0</v>
      </c>
      <c r="BG496" s="85">
        <f t="shared" si="383"/>
        <v>0</v>
      </c>
      <c r="BH496" s="85">
        <f t="shared" si="384"/>
        <v>0</v>
      </c>
      <c r="BI496" s="85">
        <f t="shared" si="385"/>
        <v>0</v>
      </c>
      <c r="BJ496" s="85">
        <f t="shared" si="386"/>
        <v>0</v>
      </c>
      <c r="BK496" s="85">
        <f t="shared" si="387"/>
        <v>63</v>
      </c>
      <c r="BL496" s="85">
        <f t="shared" si="388"/>
        <v>63</v>
      </c>
      <c r="BM496" s="85">
        <f t="shared" si="389"/>
        <v>61</v>
      </c>
      <c r="BN496" s="85">
        <f t="shared" si="390"/>
        <v>0</v>
      </c>
      <c r="BO496" s="85">
        <f t="shared" si="391"/>
        <v>53</v>
      </c>
      <c r="BP496" s="85">
        <f t="shared" si="392"/>
        <v>0</v>
      </c>
      <c r="BQ496" s="85">
        <f t="shared" si="393"/>
        <v>52</v>
      </c>
      <c r="BR496" s="85">
        <f t="shared" si="394"/>
        <v>52</v>
      </c>
      <c r="BT496" s="63"/>
      <c r="BU496" s="63"/>
      <c r="BV496" s="63"/>
      <c r="BW496" s="63"/>
      <c r="BX496" s="63"/>
      <c r="BY496" s="63"/>
      <c r="BZ496" s="63"/>
      <c r="CA496" s="63"/>
      <c r="CB496" s="63"/>
      <c r="CC496" s="63"/>
      <c r="CD496" s="63"/>
      <c r="CE496" s="63"/>
      <c r="CF496" s="63"/>
      <c r="CG496" s="63"/>
      <c r="CH496" s="63"/>
      <c r="CI496" s="63"/>
      <c r="CJ496" s="63"/>
      <c r="CK496" s="63"/>
      <c r="CL496" s="63"/>
      <c r="CM496" s="63"/>
      <c r="CN496" s="63"/>
      <c r="CO496" s="63"/>
      <c r="CP496" s="63"/>
      <c r="CQ496" s="63"/>
      <c r="CR496" s="63"/>
      <c r="CS496" s="63"/>
      <c r="CX496" s="35" t="s">
        <v>12</v>
      </c>
      <c r="CZ496" s="35"/>
      <c r="DC496" s="57" t="str">
        <f t="shared" si="399"/>
        <v/>
      </c>
      <c r="DD496" s="64" t="str">
        <f t="shared" si="396"/>
        <v/>
      </c>
      <c r="DE496" s="65" t="str">
        <f t="shared" si="397"/>
        <v/>
      </c>
      <c r="DF496" s="66" t="str">
        <f t="shared" si="357"/>
        <v/>
      </c>
    </row>
    <row r="497" spans="2:110">
      <c r="B497" s="54">
        <f t="shared" si="401"/>
        <v>46531</v>
      </c>
      <c r="C497" s="55" t="s">
        <v>1</v>
      </c>
      <c r="D497" s="56">
        <f t="shared" si="402"/>
        <v>46537</v>
      </c>
      <c r="E497" s="52">
        <f t="shared" si="403"/>
        <v>5</v>
      </c>
      <c r="F497" s="53">
        <f t="shared" si="404"/>
        <v>2027</v>
      </c>
      <c r="G497" s="62">
        <f t="shared" si="398"/>
        <v>15</v>
      </c>
      <c r="H497" s="63">
        <f t="shared" si="400"/>
        <v>96</v>
      </c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80"/>
      <c r="AG497" s="87">
        <f t="shared" si="358"/>
        <v>0</v>
      </c>
      <c r="AH497" s="87">
        <f t="shared" si="359"/>
        <v>0</v>
      </c>
      <c r="AI497" s="87">
        <f t="shared" si="360"/>
        <v>0</v>
      </c>
      <c r="AJ497" s="87">
        <f t="shared" si="361"/>
        <v>0</v>
      </c>
      <c r="AK497" s="87">
        <f t="shared" si="362"/>
        <v>0</v>
      </c>
      <c r="AL497" s="87">
        <f t="shared" si="363"/>
        <v>0</v>
      </c>
      <c r="AM497" s="87">
        <f t="shared" si="364"/>
        <v>0</v>
      </c>
      <c r="AN497" s="87">
        <f t="shared" si="365"/>
        <v>0</v>
      </c>
      <c r="AO497" s="87">
        <f t="shared" si="366"/>
        <v>0</v>
      </c>
      <c r="AP497" s="87">
        <f t="shared" si="367"/>
        <v>0</v>
      </c>
      <c r="AQ497" s="87">
        <f t="shared" si="368"/>
        <v>0</v>
      </c>
      <c r="AR497" s="81"/>
      <c r="AS497" s="85">
        <f t="shared" si="369"/>
        <v>0</v>
      </c>
      <c r="AT497" s="85">
        <f t="shared" si="370"/>
        <v>93</v>
      </c>
      <c r="AU497" s="85">
        <f t="shared" si="371"/>
        <v>43</v>
      </c>
      <c r="AV497" s="85">
        <f t="shared" si="372"/>
        <v>61</v>
      </c>
      <c r="AW497" s="85">
        <f t="shared" si="373"/>
        <v>38</v>
      </c>
      <c r="AX497" s="85">
        <f t="shared" si="374"/>
        <v>70</v>
      </c>
      <c r="AY497" s="85">
        <f t="shared" si="375"/>
        <v>38</v>
      </c>
      <c r="AZ497" s="85">
        <f t="shared" si="376"/>
        <v>57</v>
      </c>
      <c r="BA497" s="85">
        <f t="shared" si="377"/>
        <v>57</v>
      </c>
      <c r="BB497" s="85">
        <f t="shared" si="378"/>
        <v>92</v>
      </c>
      <c r="BC497" s="85">
        <f t="shared" si="379"/>
        <v>0</v>
      </c>
      <c r="BD497" s="85">
        <f t="shared" si="380"/>
        <v>58</v>
      </c>
      <c r="BE497" s="85">
        <f t="shared" si="381"/>
        <v>0</v>
      </c>
      <c r="BF497" s="85">
        <f t="shared" si="382"/>
        <v>0</v>
      </c>
      <c r="BG497" s="85">
        <f t="shared" si="383"/>
        <v>0</v>
      </c>
      <c r="BH497" s="85">
        <f t="shared" si="384"/>
        <v>0</v>
      </c>
      <c r="BI497" s="85">
        <f t="shared" si="385"/>
        <v>0</v>
      </c>
      <c r="BJ497" s="85">
        <f t="shared" si="386"/>
        <v>0</v>
      </c>
      <c r="BK497" s="85">
        <f t="shared" si="387"/>
        <v>64</v>
      </c>
      <c r="BL497" s="85">
        <f t="shared" si="388"/>
        <v>64</v>
      </c>
      <c r="BM497" s="85">
        <f t="shared" si="389"/>
        <v>62</v>
      </c>
      <c r="BN497" s="85">
        <f t="shared" si="390"/>
        <v>0</v>
      </c>
      <c r="BO497" s="85">
        <f t="shared" si="391"/>
        <v>54</v>
      </c>
      <c r="BP497" s="85">
        <f t="shared" si="392"/>
        <v>0</v>
      </c>
      <c r="BQ497" s="85">
        <f t="shared" si="393"/>
        <v>53</v>
      </c>
      <c r="BR497" s="85">
        <f t="shared" si="394"/>
        <v>53</v>
      </c>
      <c r="BT497" s="63"/>
      <c r="BU497" s="63"/>
      <c r="BV497" s="63"/>
      <c r="BW497" s="63"/>
      <c r="BX497" s="63"/>
      <c r="BY497" s="63"/>
      <c r="BZ497" s="63"/>
      <c r="CA497" s="63"/>
      <c r="CB497" s="63"/>
      <c r="CC497" s="63"/>
      <c r="CD497" s="63"/>
      <c r="CE497" s="63"/>
      <c r="CF497" s="63"/>
      <c r="CG497" s="63"/>
      <c r="CH497" s="63"/>
      <c r="CI497" s="63"/>
      <c r="CJ497" s="63"/>
      <c r="CK497" s="63"/>
      <c r="CL497" s="63"/>
      <c r="CM497" s="63"/>
      <c r="CN497" s="63"/>
      <c r="CO497" s="63"/>
      <c r="CP497" s="63"/>
      <c r="CQ497" s="63"/>
      <c r="CR497" s="63"/>
      <c r="CS497" s="63"/>
      <c r="CX497" s="35" t="s">
        <v>12</v>
      </c>
      <c r="CZ497" s="35"/>
      <c r="DC497" s="57" t="str">
        <f t="shared" si="399"/>
        <v/>
      </c>
      <c r="DD497" s="64" t="str">
        <f t="shared" si="396"/>
        <v/>
      </c>
      <c r="DE497" s="65" t="str">
        <f t="shared" si="397"/>
        <v/>
      </c>
      <c r="DF497" s="66" t="str">
        <f t="shared" si="357"/>
        <v/>
      </c>
    </row>
    <row r="498" spans="2:110">
      <c r="B498" s="54">
        <f t="shared" si="401"/>
        <v>46538</v>
      </c>
      <c r="C498" s="55" t="s">
        <v>1</v>
      </c>
      <c r="D498" s="56">
        <f t="shared" si="402"/>
        <v>46544</v>
      </c>
      <c r="E498" s="52">
        <f t="shared" si="403"/>
        <v>5</v>
      </c>
      <c r="F498" s="53">
        <f t="shared" si="404"/>
        <v>2027</v>
      </c>
      <c r="G498" s="62">
        <f t="shared" si="398"/>
        <v>15</v>
      </c>
      <c r="H498" s="63">
        <f t="shared" si="400"/>
        <v>96</v>
      </c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80"/>
      <c r="AG498" s="87">
        <f t="shared" si="358"/>
        <v>0</v>
      </c>
      <c r="AH498" s="87">
        <f t="shared" si="359"/>
        <v>0</v>
      </c>
      <c r="AI498" s="87">
        <f t="shared" si="360"/>
        <v>0</v>
      </c>
      <c r="AJ498" s="87">
        <f t="shared" si="361"/>
        <v>0</v>
      </c>
      <c r="AK498" s="87">
        <f t="shared" si="362"/>
        <v>0</v>
      </c>
      <c r="AL498" s="87">
        <f t="shared" si="363"/>
        <v>0</v>
      </c>
      <c r="AM498" s="87">
        <f t="shared" si="364"/>
        <v>0</v>
      </c>
      <c r="AN498" s="87">
        <f t="shared" si="365"/>
        <v>0</v>
      </c>
      <c r="AO498" s="87">
        <f t="shared" si="366"/>
        <v>0</v>
      </c>
      <c r="AP498" s="87">
        <f t="shared" si="367"/>
        <v>0</v>
      </c>
      <c r="AQ498" s="87">
        <f t="shared" si="368"/>
        <v>0</v>
      </c>
      <c r="AR498" s="81"/>
      <c r="AS498" s="85">
        <f t="shared" si="369"/>
        <v>0</v>
      </c>
      <c r="AT498" s="85">
        <f t="shared" si="370"/>
        <v>94</v>
      </c>
      <c r="AU498" s="85">
        <f t="shared" si="371"/>
        <v>44</v>
      </c>
      <c r="AV498" s="85">
        <f t="shared" si="372"/>
        <v>62</v>
      </c>
      <c r="AW498" s="85">
        <f t="shared" si="373"/>
        <v>39</v>
      </c>
      <c r="AX498" s="85">
        <f t="shared" si="374"/>
        <v>71</v>
      </c>
      <c r="AY498" s="85">
        <f t="shared" si="375"/>
        <v>39</v>
      </c>
      <c r="AZ498" s="85">
        <f t="shared" si="376"/>
        <v>58</v>
      </c>
      <c r="BA498" s="85">
        <f t="shared" si="377"/>
        <v>58</v>
      </c>
      <c r="BB498" s="85">
        <f t="shared" si="378"/>
        <v>93</v>
      </c>
      <c r="BC498" s="85">
        <f t="shared" si="379"/>
        <v>0</v>
      </c>
      <c r="BD498" s="85">
        <f t="shared" si="380"/>
        <v>59</v>
      </c>
      <c r="BE498" s="85">
        <f t="shared" si="381"/>
        <v>0</v>
      </c>
      <c r="BF498" s="85">
        <f t="shared" si="382"/>
        <v>0</v>
      </c>
      <c r="BG498" s="85">
        <f t="shared" si="383"/>
        <v>0</v>
      </c>
      <c r="BH498" s="85">
        <f t="shared" si="384"/>
        <v>0</v>
      </c>
      <c r="BI498" s="85">
        <f t="shared" si="385"/>
        <v>0</v>
      </c>
      <c r="BJ498" s="85">
        <f t="shared" si="386"/>
        <v>0</v>
      </c>
      <c r="BK498" s="85">
        <f t="shared" si="387"/>
        <v>65</v>
      </c>
      <c r="BL498" s="85">
        <f t="shared" si="388"/>
        <v>65</v>
      </c>
      <c r="BM498" s="85">
        <f t="shared" si="389"/>
        <v>63</v>
      </c>
      <c r="BN498" s="85">
        <f t="shared" si="390"/>
        <v>0</v>
      </c>
      <c r="BO498" s="85">
        <f t="shared" si="391"/>
        <v>55</v>
      </c>
      <c r="BP498" s="85">
        <f t="shared" si="392"/>
        <v>0</v>
      </c>
      <c r="BQ498" s="85">
        <f t="shared" si="393"/>
        <v>54</v>
      </c>
      <c r="BR498" s="85">
        <f t="shared" si="394"/>
        <v>54</v>
      </c>
      <c r="BT498" s="63"/>
      <c r="BU498" s="63"/>
      <c r="BV498" s="63"/>
      <c r="BW498" s="63"/>
      <c r="BX498" s="63"/>
      <c r="BY498" s="63"/>
      <c r="BZ498" s="63"/>
      <c r="CA498" s="63"/>
      <c r="CB498" s="63"/>
      <c r="CC498" s="63"/>
      <c r="CD498" s="63"/>
      <c r="CE498" s="63"/>
      <c r="CF498" s="63"/>
      <c r="CG498" s="63"/>
      <c r="CH498" s="63"/>
      <c r="CI498" s="63"/>
      <c r="CJ498" s="63"/>
      <c r="CK498" s="63"/>
      <c r="CL498" s="63"/>
      <c r="CM498" s="63"/>
      <c r="CN498" s="63"/>
      <c r="CO498" s="63"/>
      <c r="CP498" s="63"/>
      <c r="CQ498" s="63"/>
      <c r="CR498" s="63"/>
      <c r="CS498" s="63"/>
      <c r="CX498" s="35" t="s">
        <v>12</v>
      </c>
      <c r="CZ498" s="35"/>
      <c r="DC498" s="57" t="str">
        <f t="shared" si="399"/>
        <v/>
      </c>
      <c r="DD498" s="64" t="str">
        <f t="shared" si="396"/>
        <v/>
      </c>
      <c r="DE498" s="65" t="str">
        <f t="shared" si="397"/>
        <v/>
      </c>
      <c r="DF498" s="66" t="str">
        <f t="shared" si="357"/>
        <v/>
      </c>
    </row>
    <row r="499" spans="2:110">
      <c r="B499" s="54">
        <f t="shared" si="401"/>
        <v>46545</v>
      </c>
      <c r="C499" s="55" t="s">
        <v>1</v>
      </c>
      <c r="D499" s="56">
        <f t="shared" si="402"/>
        <v>46551</v>
      </c>
      <c r="E499" s="52">
        <f t="shared" si="403"/>
        <v>6</v>
      </c>
      <c r="F499" s="53">
        <f t="shared" si="404"/>
        <v>2027</v>
      </c>
      <c r="G499" s="62">
        <f t="shared" si="398"/>
        <v>15</v>
      </c>
      <c r="H499" s="63">
        <f t="shared" si="400"/>
        <v>96</v>
      </c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80"/>
      <c r="AG499" s="87">
        <f t="shared" si="358"/>
        <v>0</v>
      </c>
      <c r="AH499" s="87">
        <f t="shared" si="359"/>
        <v>0</v>
      </c>
      <c r="AI499" s="87">
        <f t="shared" si="360"/>
        <v>0</v>
      </c>
      <c r="AJ499" s="87">
        <f t="shared" si="361"/>
        <v>0</v>
      </c>
      <c r="AK499" s="87">
        <f t="shared" si="362"/>
        <v>0</v>
      </c>
      <c r="AL499" s="87">
        <f t="shared" si="363"/>
        <v>0</v>
      </c>
      <c r="AM499" s="87">
        <f t="shared" si="364"/>
        <v>0</v>
      </c>
      <c r="AN499" s="87">
        <f t="shared" si="365"/>
        <v>0</v>
      </c>
      <c r="AO499" s="87">
        <f t="shared" si="366"/>
        <v>0</v>
      </c>
      <c r="AP499" s="87">
        <f t="shared" si="367"/>
        <v>0</v>
      </c>
      <c r="AQ499" s="87">
        <f t="shared" si="368"/>
        <v>0</v>
      </c>
      <c r="AR499" s="81"/>
      <c r="AS499" s="85">
        <f t="shared" si="369"/>
        <v>0</v>
      </c>
      <c r="AT499" s="85">
        <f t="shared" si="370"/>
        <v>95</v>
      </c>
      <c r="AU499" s="85">
        <f t="shared" si="371"/>
        <v>45</v>
      </c>
      <c r="AV499" s="85">
        <f t="shared" si="372"/>
        <v>63</v>
      </c>
      <c r="AW499" s="85">
        <f t="shared" si="373"/>
        <v>40</v>
      </c>
      <c r="AX499" s="85">
        <f t="shared" si="374"/>
        <v>72</v>
      </c>
      <c r="AY499" s="85">
        <f t="shared" si="375"/>
        <v>40</v>
      </c>
      <c r="AZ499" s="85">
        <f t="shared" si="376"/>
        <v>59</v>
      </c>
      <c r="BA499" s="85">
        <f t="shared" si="377"/>
        <v>59</v>
      </c>
      <c r="BB499" s="85">
        <f t="shared" si="378"/>
        <v>94</v>
      </c>
      <c r="BC499" s="85">
        <f t="shared" si="379"/>
        <v>0</v>
      </c>
      <c r="BD499" s="85">
        <f t="shared" si="380"/>
        <v>60</v>
      </c>
      <c r="BE499" s="85">
        <f t="shared" si="381"/>
        <v>0</v>
      </c>
      <c r="BF499" s="85">
        <f t="shared" si="382"/>
        <v>0</v>
      </c>
      <c r="BG499" s="85">
        <f t="shared" si="383"/>
        <v>0</v>
      </c>
      <c r="BH499" s="85">
        <f t="shared" si="384"/>
        <v>0</v>
      </c>
      <c r="BI499" s="85">
        <f t="shared" si="385"/>
        <v>0</v>
      </c>
      <c r="BJ499" s="85">
        <f t="shared" si="386"/>
        <v>0</v>
      </c>
      <c r="BK499" s="85">
        <f t="shared" si="387"/>
        <v>66</v>
      </c>
      <c r="BL499" s="85">
        <f t="shared" si="388"/>
        <v>66</v>
      </c>
      <c r="BM499" s="85">
        <f t="shared" si="389"/>
        <v>64</v>
      </c>
      <c r="BN499" s="85">
        <f t="shared" si="390"/>
        <v>0</v>
      </c>
      <c r="BO499" s="85">
        <f t="shared" si="391"/>
        <v>56</v>
      </c>
      <c r="BP499" s="85">
        <f t="shared" si="392"/>
        <v>0</v>
      </c>
      <c r="BQ499" s="85">
        <f t="shared" si="393"/>
        <v>55</v>
      </c>
      <c r="BR499" s="85">
        <f t="shared" si="394"/>
        <v>55</v>
      </c>
      <c r="BT499" s="63"/>
      <c r="BU499" s="63"/>
      <c r="BV499" s="63"/>
      <c r="BW499" s="63"/>
      <c r="BX499" s="63"/>
      <c r="BY499" s="63"/>
      <c r="BZ499" s="63"/>
      <c r="CA499" s="63"/>
      <c r="CB499" s="63"/>
      <c r="CC499" s="63"/>
      <c r="CD499" s="63"/>
      <c r="CE499" s="63"/>
      <c r="CF499" s="63"/>
      <c r="CG499" s="63"/>
      <c r="CH499" s="63"/>
      <c r="CI499" s="63"/>
      <c r="CJ499" s="63"/>
      <c r="CK499" s="63"/>
      <c r="CL499" s="63"/>
      <c r="CM499" s="63"/>
      <c r="CN499" s="63"/>
      <c r="CO499" s="63"/>
      <c r="CP499" s="63"/>
      <c r="CQ499" s="63"/>
      <c r="CR499" s="63"/>
      <c r="CS499" s="63"/>
      <c r="CX499" s="35" t="s">
        <v>12</v>
      </c>
      <c r="CZ499" s="35"/>
      <c r="DC499" s="57" t="str">
        <f t="shared" si="399"/>
        <v/>
      </c>
      <c r="DD499" s="64" t="str">
        <f t="shared" si="396"/>
        <v/>
      </c>
      <c r="DE499" s="65" t="str">
        <f t="shared" si="397"/>
        <v/>
      </c>
      <c r="DF499" s="66" t="str">
        <f t="shared" si="357"/>
        <v/>
      </c>
    </row>
    <row r="500" spans="2:110">
      <c r="B500" s="54">
        <f t="shared" si="401"/>
        <v>46552</v>
      </c>
      <c r="C500" s="55" t="s">
        <v>1</v>
      </c>
      <c r="D500" s="56">
        <f t="shared" si="402"/>
        <v>46558</v>
      </c>
      <c r="E500" s="52">
        <f t="shared" si="403"/>
        <v>6</v>
      </c>
      <c r="F500" s="53">
        <f t="shared" si="404"/>
        <v>2027</v>
      </c>
      <c r="G500" s="62">
        <f t="shared" si="398"/>
        <v>15</v>
      </c>
      <c r="H500" s="63">
        <f t="shared" si="400"/>
        <v>96</v>
      </c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80"/>
      <c r="AG500" s="87">
        <f t="shared" si="358"/>
        <v>0</v>
      </c>
      <c r="AH500" s="87">
        <f t="shared" si="359"/>
        <v>0</v>
      </c>
      <c r="AI500" s="87">
        <f t="shared" si="360"/>
        <v>0</v>
      </c>
      <c r="AJ500" s="87">
        <f t="shared" si="361"/>
        <v>0</v>
      </c>
      <c r="AK500" s="87">
        <f t="shared" si="362"/>
        <v>0</v>
      </c>
      <c r="AL500" s="87">
        <f t="shared" si="363"/>
        <v>0</v>
      </c>
      <c r="AM500" s="87">
        <f t="shared" si="364"/>
        <v>0</v>
      </c>
      <c r="AN500" s="87">
        <f t="shared" si="365"/>
        <v>0</v>
      </c>
      <c r="AO500" s="87">
        <f t="shared" si="366"/>
        <v>0</v>
      </c>
      <c r="AP500" s="87">
        <f t="shared" si="367"/>
        <v>0</v>
      </c>
      <c r="AQ500" s="87">
        <f t="shared" si="368"/>
        <v>0</v>
      </c>
      <c r="AR500" s="81"/>
      <c r="AS500" s="85">
        <f t="shared" si="369"/>
        <v>0</v>
      </c>
      <c r="AT500" s="85">
        <f t="shared" si="370"/>
        <v>96</v>
      </c>
      <c r="AU500" s="85">
        <f t="shared" si="371"/>
        <v>46</v>
      </c>
      <c r="AV500" s="85">
        <f t="shared" si="372"/>
        <v>64</v>
      </c>
      <c r="AW500" s="85">
        <f t="shared" si="373"/>
        <v>41</v>
      </c>
      <c r="AX500" s="85">
        <f t="shared" si="374"/>
        <v>73</v>
      </c>
      <c r="AY500" s="85">
        <f t="shared" si="375"/>
        <v>41</v>
      </c>
      <c r="AZ500" s="85">
        <f t="shared" si="376"/>
        <v>60</v>
      </c>
      <c r="BA500" s="85">
        <f t="shared" si="377"/>
        <v>60</v>
      </c>
      <c r="BB500" s="85">
        <f t="shared" si="378"/>
        <v>95</v>
      </c>
      <c r="BC500" s="85">
        <f t="shared" si="379"/>
        <v>0</v>
      </c>
      <c r="BD500" s="85">
        <f t="shared" si="380"/>
        <v>61</v>
      </c>
      <c r="BE500" s="85">
        <f t="shared" si="381"/>
        <v>0</v>
      </c>
      <c r="BF500" s="85">
        <f t="shared" si="382"/>
        <v>0</v>
      </c>
      <c r="BG500" s="85">
        <f t="shared" si="383"/>
        <v>0</v>
      </c>
      <c r="BH500" s="85">
        <f t="shared" si="384"/>
        <v>0</v>
      </c>
      <c r="BI500" s="85">
        <f t="shared" si="385"/>
        <v>0</v>
      </c>
      <c r="BJ500" s="85">
        <f t="shared" si="386"/>
        <v>0</v>
      </c>
      <c r="BK500" s="85">
        <f t="shared" si="387"/>
        <v>67</v>
      </c>
      <c r="BL500" s="85">
        <f t="shared" si="388"/>
        <v>67</v>
      </c>
      <c r="BM500" s="85">
        <f t="shared" si="389"/>
        <v>65</v>
      </c>
      <c r="BN500" s="85">
        <f t="shared" si="390"/>
        <v>0</v>
      </c>
      <c r="BO500" s="85">
        <f t="shared" si="391"/>
        <v>57</v>
      </c>
      <c r="BP500" s="85">
        <f t="shared" si="392"/>
        <v>0</v>
      </c>
      <c r="BQ500" s="85">
        <f t="shared" si="393"/>
        <v>56</v>
      </c>
      <c r="BR500" s="85">
        <f t="shared" si="394"/>
        <v>56</v>
      </c>
      <c r="BT500" s="63"/>
      <c r="BU500" s="63"/>
      <c r="BV500" s="63"/>
      <c r="BW500" s="63"/>
      <c r="BX500" s="63"/>
      <c r="BY500" s="63"/>
      <c r="BZ500" s="63"/>
      <c r="CA500" s="63"/>
      <c r="CB500" s="63"/>
      <c r="CC500" s="63"/>
      <c r="CD500" s="63"/>
      <c r="CE500" s="63"/>
      <c r="CF500" s="63"/>
      <c r="CG500" s="63"/>
      <c r="CH500" s="63"/>
      <c r="CI500" s="63"/>
      <c r="CJ500" s="63"/>
      <c r="CK500" s="63"/>
      <c r="CL500" s="63"/>
      <c r="CM500" s="63"/>
      <c r="CN500" s="63"/>
      <c r="CO500" s="63"/>
      <c r="CP500" s="63"/>
      <c r="CQ500" s="63"/>
      <c r="CR500" s="63"/>
      <c r="CS500" s="63"/>
      <c r="CX500" s="35" t="s">
        <v>12</v>
      </c>
      <c r="CZ500" s="35"/>
      <c r="DC500" s="57" t="str">
        <f t="shared" si="399"/>
        <v/>
      </c>
      <c r="DD500" s="64" t="str">
        <f t="shared" si="396"/>
        <v/>
      </c>
      <c r="DE500" s="65" t="str">
        <f t="shared" si="397"/>
        <v/>
      </c>
      <c r="DF500" s="66" t="str">
        <f t="shared" si="357"/>
        <v/>
      </c>
    </row>
    <row r="501" spans="2:110">
      <c r="B501" s="54">
        <f t="shared" si="401"/>
        <v>46559</v>
      </c>
      <c r="C501" s="55" t="s">
        <v>1</v>
      </c>
      <c r="D501" s="56">
        <f t="shared" si="402"/>
        <v>46565</v>
      </c>
      <c r="E501" s="52">
        <f t="shared" si="403"/>
        <v>6</v>
      </c>
      <c r="F501" s="53">
        <f t="shared" si="404"/>
        <v>2027</v>
      </c>
      <c r="G501" s="62">
        <f t="shared" si="398"/>
        <v>15</v>
      </c>
      <c r="H501" s="63">
        <f t="shared" si="400"/>
        <v>96</v>
      </c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80"/>
      <c r="AG501" s="87">
        <f t="shared" si="358"/>
        <v>0</v>
      </c>
      <c r="AH501" s="87">
        <f t="shared" si="359"/>
        <v>0</v>
      </c>
      <c r="AI501" s="87">
        <f t="shared" si="360"/>
        <v>0</v>
      </c>
      <c r="AJ501" s="87">
        <f t="shared" si="361"/>
        <v>0</v>
      </c>
      <c r="AK501" s="87">
        <f t="shared" si="362"/>
        <v>0</v>
      </c>
      <c r="AL501" s="87">
        <f t="shared" si="363"/>
        <v>0</v>
      </c>
      <c r="AM501" s="87">
        <f t="shared" si="364"/>
        <v>0</v>
      </c>
      <c r="AN501" s="87">
        <f t="shared" si="365"/>
        <v>0</v>
      </c>
      <c r="AO501" s="87">
        <f t="shared" si="366"/>
        <v>0</v>
      </c>
      <c r="AP501" s="87">
        <f t="shared" si="367"/>
        <v>0</v>
      </c>
      <c r="AQ501" s="87">
        <f t="shared" si="368"/>
        <v>0</v>
      </c>
      <c r="AR501" s="81"/>
      <c r="AS501" s="85">
        <f t="shared" si="369"/>
        <v>0</v>
      </c>
      <c r="AT501" s="85">
        <f t="shared" si="370"/>
        <v>0</v>
      </c>
      <c r="AU501" s="85">
        <f t="shared" si="371"/>
        <v>47</v>
      </c>
      <c r="AV501" s="85">
        <f t="shared" si="372"/>
        <v>65</v>
      </c>
      <c r="AW501" s="85">
        <f t="shared" si="373"/>
        <v>42</v>
      </c>
      <c r="AX501" s="85">
        <f t="shared" si="374"/>
        <v>74</v>
      </c>
      <c r="AY501" s="85">
        <f t="shared" si="375"/>
        <v>42</v>
      </c>
      <c r="AZ501" s="85">
        <f t="shared" si="376"/>
        <v>61</v>
      </c>
      <c r="BA501" s="85">
        <f t="shared" si="377"/>
        <v>61</v>
      </c>
      <c r="BB501" s="85">
        <f t="shared" si="378"/>
        <v>96</v>
      </c>
      <c r="BC501" s="85">
        <f t="shared" si="379"/>
        <v>0</v>
      </c>
      <c r="BD501" s="85">
        <f t="shared" si="380"/>
        <v>62</v>
      </c>
      <c r="BE501" s="85">
        <f t="shared" si="381"/>
        <v>0</v>
      </c>
      <c r="BF501" s="85">
        <f t="shared" si="382"/>
        <v>0</v>
      </c>
      <c r="BG501" s="85">
        <f t="shared" si="383"/>
        <v>0</v>
      </c>
      <c r="BH501" s="85">
        <f t="shared" si="384"/>
        <v>0</v>
      </c>
      <c r="BI501" s="85">
        <f t="shared" si="385"/>
        <v>0</v>
      </c>
      <c r="BJ501" s="85">
        <f t="shared" si="386"/>
        <v>0</v>
      </c>
      <c r="BK501" s="85">
        <f t="shared" si="387"/>
        <v>68</v>
      </c>
      <c r="BL501" s="85">
        <f t="shared" si="388"/>
        <v>68</v>
      </c>
      <c r="BM501" s="85">
        <f t="shared" si="389"/>
        <v>66</v>
      </c>
      <c r="BN501" s="85">
        <f t="shared" si="390"/>
        <v>0</v>
      </c>
      <c r="BO501" s="85">
        <f t="shared" si="391"/>
        <v>58</v>
      </c>
      <c r="BP501" s="85">
        <f t="shared" si="392"/>
        <v>0</v>
      </c>
      <c r="BQ501" s="85">
        <f t="shared" si="393"/>
        <v>57</v>
      </c>
      <c r="BR501" s="85">
        <f t="shared" si="394"/>
        <v>57</v>
      </c>
      <c r="BT501" s="63"/>
      <c r="BU501" s="63"/>
      <c r="BV501" s="63"/>
      <c r="BW501" s="63"/>
      <c r="BX501" s="63"/>
      <c r="BY501" s="63"/>
      <c r="BZ501" s="63"/>
      <c r="CA501" s="63"/>
      <c r="CB501" s="63"/>
      <c r="CC501" s="63"/>
      <c r="CD501" s="63"/>
      <c r="CE501" s="63"/>
      <c r="CF501" s="63"/>
      <c r="CG501" s="63"/>
      <c r="CH501" s="63"/>
      <c r="CI501" s="63"/>
      <c r="CJ501" s="63"/>
      <c r="CK501" s="63"/>
      <c r="CL501" s="63"/>
      <c r="CM501" s="63"/>
      <c r="CN501" s="63"/>
      <c r="CO501" s="63"/>
      <c r="CP501" s="63"/>
      <c r="CQ501" s="63"/>
      <c r="CR501" s="63"/>
      <c r="CS501" s="63"/>
      <c r="CX501" s="35" t="s">
        <v>12</v>
      </c>
      <c r="CZ501" s="35"/>
      <c r="DC501" s="57" t="str">
        <f t="shared" si="399"/>
        <v/>
      </c>
      <c r="DD501" s="64" t="str">
        <f t="shared" si="396"/>
        <v/>
      </c>
      <c r="DE501" s="65" t="str">
        <f t="shared" si="397"/>
        <v/>
      </c>
      <c r="DF501" s="66" t="str">
        <f t="shared" si="357"/>
        <v/>
      </c>
    </row>
    <row r="502" spans="2:110">
      <c r="B502" s="54">
        <f t="shared" si="401"/>
        <v>46566</v>
      </c>
      <c r="C502" s="55" t="s">
        <v>1</v>
      </c>
      <c r="D502" s="56">
        <f t="shared" si="402"/>
        <v>46572</v>
      </c>
      <c r="E502" s="52">
        <f t="shared" si="403"/>
        <v>6</v>
      </c>
      <c r="F502" s="53">
        <f t="shared" si="404"/>
        <v>2027</v>
      </c>
      <c r="G502" s="62">
        <f t="shared" si="398"/>
        <v>15</v>
      </c>
      <c r="H502" s="63">
        <f t="shared" si="400"/>
        <v>96</v>
      </c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80"/>
      <c r="AG502" s="87">
        <f t="shared" si="358"/>
        <v>0</v>
      </c>
      <c r="AH502" s="87">
        <f t="shared" si="359"/>
        <v>0</v>
      </c>
      <c r="AI502" s="87">
        <f t="shared" si="360"/>
        <v>0</v>
      </c>
      <c r="AJ502" s="87">
        <f t="shared" si="361"/>
        <v>0</v>
      </c>
      <c r="AK502" s="87">
        <f t="shared" si="362"/>
        <v>0</v>
      </c>
      <c r="AL502" s="87">
        <f t="shared" si="363"/>
        <v>0</v>
      </c>
      <c r="AM502" s="87">
        <f t="shared" si="364"/>
        <v>0</v>
      </c>
      <c r="AN502" s="87">
        <f t="shared" si="365"/>
        <v>0</v>
      </c>
      <c r="AO502" s="87">
        <f t="shared" si="366"/>
        <v>0</v>
      </c>
      <c r="AP502" s="87">
        <f t="shared" si="367"/>
        <v>0</v>
      </c>
      <c r="AQ502" s="87">
        <f t="shared" si="368"/>
        <v>0</v>
      </c>
      <c r="AR502" s="81"/>
      <c r="AS502" s="85">
        <f t="shared" si="369"/>
        <v>0</v>
      </c>
      <c r="AT502" s="85">
        <f t="shared" si="370"/>
        <v>0</v>
      </c>
      <c r="AU502" s="85">
        <f t="shared" si="371"/>
        <v>48</v>
      </c>
      <c r="AV502" s="85">
        <f t="shared" si="372"/>
        <v>66</v>
      </c>
      <c r="AW502" s="85">
        <f t="shared" si="373"/>
        <v>43</v>
      </c>
      <c r="AX502" s="85">
        <f t="shared" si="374"/>
        <v>75</v>
      </c>
      <c r="AY502" s="85">
        <f t="shared" si="375"/>
        <v>43</v>
      </c>
      <c r="AZ502" s="85">
        <f t="shared" si="376"/>
        <v>62</v>
      </c>
      <c r="BA502" s="85">
        <f t="shared" si="377"/>
        <v>62</v>
      </c>
      <c r="BB502" s="85">
        <f t="shared" si="378"/>
        <v>0</v>
      </c>
      <c r="BC502" s="85">
        <f t="shared" si="379"/>
        <v>0</v>
      </c>
      <c r="BD502" s="85">
        <f t="shared" si="380"/>
        <v>63</v>
      </c>
      <c r="BE502" s="85">
        <f t="shared" si="381"/>
        <v>0</v>
      </c>
      <c r="BF502" s="85">
        <f t="shared" si="382"/>
        <v>0</v>
      </c>
      <c r="BG502" s="85">
        <f t="shared" si="383"/>
        <v>0</v>
      </c>
      <c r="BH502" s="85">
        <f t="shared" si="384"/>
        <v>0</v>
      </c>
      <c r="BI502" s="85">
        <f t="shared" si="385"/>
        <v>0</v>
      </c>
      <c r="BJ502" s="85">
        <f t="shared" si="386"/>
        <v>0</v>
      </c>
      <c r="BK502" s="85">
        <f t="shared" si="387"/>
        <v>69</v>
      </c>
      <c r="BL502" s="85">
        <f t="shared" si="388"/>
        <v>69</v>
      </c>
      <c r="BM502" s="85">
        <f t="shared" si="389"/>
        <v>67</v>
      </c>
      <c r="BN502" s="85">
        <f t="shared" si="390"/>
        <v>0</v>
      </c>
      <c r="BO502" s="85">
        <f t="shared" si="391"/>
        <v>59</v>
      </c>
      <c r="BP502" s="85">
        <f t="shared" si="392"/>
        <v>0</v>
      </c>
      <c r="BQ502" s="85">
        <f t="shared" si="393"/>
        <v>58</v>
      </c>
      <c r="BR502" s="85">
        <f t="shared" si="394"/>
        <v>58</v>
      </c>
      <c r="BT502" s="63"/>
      <c r="BU502" s="63"/>
      <c r="BV502" s="63"/>
      <c r="BW502" s="63"/>
      <c r="BX502" s="63"/>
      <c r="BY502" s="63"/>
      <c r="BZ502" s="63"/>
      <c r="CA502" s="63"/>
      <c r="CB502" s="63"/>
      <c r="CC502" s="63"/>
      <c r="CD502" s="63"/>
      <c r="CE502" s="63"/>
      <c r="CF502" s="63"/>
      <c r="CG502" s="63"/>
      <c r="CH502" s="63"/>
      <c r="CI502" s="63"/>
      <c r="CJ502" s="63"/>
      <c r="CK502" s="63"/>
      <c r="CL502" s="63"/>
      <c r="CM502" s="63"/>
      <c r="CN502" s="63"/>
      <c r="CO502" s="63"/>
      <c r="CP502" s="63"/>
      <c r="CQ502" s="63"/>
      <c r="CR502" s="63"/>
      <c r="CS502" s="63"/>
      <c r="CX502" s="35" t="s">
        <v>12</v>
      </c>
      <c r="CZ502" s="35"/>
      <c r="DC502" s="57" t="str">
        <f t="shared" si="399"/>
        <v/>
      </c>
      <c r="DD502" s="64" t="str">
        <f t="shared" si="396"/>
        <v/>
      </c>
      <c r="DE502" s="65" t="str">
        <f t="shared" si="397"/>
        <v/>
      </c>
      <c r="DF502" s="66" t="str">
        <f t="shared" si="357"/>
        <v/>
      </c>
    </row>
    <row r="503" spans="2:110">
      <c r="B503" s="54">
        <f t="shared" si="401"/>
        <v>46573</v>
      </c>
      <c r="C503" s="55" t="s">
        <v>1</v>
      </c>
      <c r="D503" s="56">
        <f t="shared" si="402"/>
        <v>46579</v>
      </c>
      <c r="E503" s="52">
        <f t="shared" si="403"/>
        <v>7</v>
      </c>
      <c r="F503" s="53">
        <f t="shared" si="404"/>
        <v>2027</v>
      </c>
      <c r="G503" s="62">
        <f t="shared" si="398"/>
        <v>15</v>
      </c>
      <c r="H503" s="63">
        <f t="shared" si="400"/>
        <v>96</v>
      </c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80"/>
      <c r="AG503" s="87">
        <f t="shared" si="358"/>
        <v>0</v>
      </c>
      <c r="AH503" s="87">
        <f t="shared" si="359"/>
        <v>0</v>
      </c>
      <c r="AI503" s="87">
        <f t="shared" si="360"/>
        <v>0</v>
      </c>
      <c r="AJ503" s="87">
        <f t="shared" si="361"/>
        <v>0</v>
      </c>
      <c r="AK503" s="87">
        <f t="shared" si="362"/>
        <v>0</v>
      </c>
      <c r="AL503" s="87">
        <f t="shared" si="363"/>
        <v>0</v>
      </c>
      <c r="AM503" s="87">
        <f t="shared" si="364"/>
        <v>0</v>
      </c>
      <c r="AN503" s="87">
        <f t="shared" si="365"/>
        <v>0</v>
      </c>
      <c r="AO503" s="87">
        <f t="shared" si="366"/>
        <v>0</v>
      </c>
      <c r="AP503" s="87">
        <f t="shared" si="367"/>
        <v>0</v>
      </c>
      <c r="AQ503" s="87">
        <f t="shared" si="368"/>
        <v>0</v>
      </c>
      <c r="AR503" s="81"/>
      <c r="AS503" s="85">
        <f t="shared" si="369"/>
        <v>0</v>
      </c>
      <c r="AT503" s="85">
        <f t="shared" si="370"/>
        <v>0</v>
      </c>
      <c r="AU503" s="85">
        <f t="shared" si="371"/>
        <v>49</v>
      </c>
      <c r="AV503" s="85">
        <f t="shared" si="372"/>
        <v>67</v>
      </c>
      <c r="AW503" s="85">
        <f t="shared" si="373"/>
        <v>44</v>
      </c>
      <c r="AX503" s="85">
        <f t="shared" si="374"/>
        <v>76</v>
      </c>
      <c r="AY503" s="85">
        <f t="shared" si="375"/>
        <v>44</v>
      </c>
      <c r="AZ503" s="85">
        <f t="shared" si="376"/>
        <v>63</v>
      </c>
      <c r="BA503" s="85">
        <f t="shared" si="377"/>
        <v>63</v>
      </c>
      <c r="BB503" s="85">
        <f t="shared" si="378"/>
        <v>0</v>
      </c>
      <c r="BC503" s="85">
        <f t="shared" si="379"/>
        <v>0</v>
      </c>
      <c r="BD503" s="85">
        <f t="shared" si="380"/>
        <v>64</v>
      </c>
      <c r="BE503" s="85">
        <f t="shared" si="381"/>
        <v>0</v>
      </c>
      <c r="BF503" s="85">
        <f t="shared" si="382"/>
        <v>0</v>
      </c>
      <c r="BG503" s="85">
        <f t="shared" si="383"/>
        <v>0</v>
      </c>
      <c r="BH503" s="85">
        <f t="shared" si="384"/>
        <v>0</v>
      </c>
      <c r="BI503" s="85">
        <f t="shared" si="385"/>
        <v>0</v>
      </c>
      <c r="BJ503" s="85">
        <f t="shared" si="386"/>
        <v>0</v>
      </c>
      <c r="BK503" s="85">
        <f t="shared" si="387"/>
        <v>70</v>
      </c>
      <c r="BL503" s="85">
        <f t="shared" si="388"/>
        <v>70</v>
      </c>
      <c r="BM503" s="85">
        <f t="shared" si="389"/>
        <v>68</v>
      </c>
      <c r="BN503" s="85">
        <f t="shared" si="390"/>
        <v>0</v>
      </c>
      <c r="BO503" s="85">
        <f t="shared" si="391"/>
        <v>60</v>
      </c>
      <c r="BP503" s="85">
        <f t="shared" si="392"/>
        <v>0</v>
      </c>
      <c r="BQ503" s="85">
        <f t="shared" si="393"/>
        <v>59</v>
      </c>
      <c r="BR503" s="85">
        <f t="shared" si="394"/>
        <v>59</v>
      </c>
      <c r="BT503" s="63"/>
      <c r="BU503" s="63"/>
      <c r="BV503" s="63"/>
      <c r="BW503" s="63"/>
      <c r="BX503" s="63"/>
      <c r="BY503" s="63"/>
      <c r="BZ503" s="63"/>
      <c r="CA503" s="63"/>
      <c r="CB503" s="63"/>
      <c r="CC503" s="63"/>
      <c r="CD503" s="63"/>
      <c r="CE503" s="63"/>
      <c r="CF503" s="63"/>
      <c r="CG503" s="63"/>
      <c r="CH503" s="63"/>
      <c r="CI503" s="63"/>
      <c r="CJ503" s="63"/>
      <c r="CK503" s="63"/>
      <c r="CL503" s="63"/>
      <c r="CM503" s="63"/>
      <c r="CN503" s="63"/>
      <c r="CO503" s="63"/>
      <c r="CP503" s="63"/>
      <c r="CQ503" s="63"/>
      <c r="CR503" s="63"/>
      <c r="CS503" s="63"/>
      <c r="CX503" s="35" t="s">
        <v>12</v>
      </c>
      <c r="CZ503" s="35"/>
      <c r="DC503" s="57" t="str">
        <f t="shared" si="399"/>
        <v/>
      </c>
      <c r="DD503" s="64" t="str">
        <f t="shared" si="396"/>
        <v/>
      </c>
      <c r="DE503" s="65" t="str">
        <f t="shared" si="397"/>
        <v/>
      </c>
      <c r="DF503" s="66" t="str">
        <f t="shared" ref="DF503:DF566" si="405">IF(AND(AS518&gt;0,AS517=0),$AS$1,IF(AND(AT518&gt;0,AT517=0),$AT$1,IF(AND(AU518&gt;0,AU517=0),$AU$1,IF(AND(AV518&gt;0,AV517=0),$AV$1,IF(AND(AW518&gt;0,AW517=0),$AW$1,IF(AND(AX518&gt;0,AX517=0),$AX$1,IF(AND(AY518&gt;0,AY517=0),$AY$1,IF(AND(AZ518&gt;0,AZ517=0),$AZ$1,IF(AND(BA518&gt;0,BA517=0),$BA$1,IF(AND(BB518&gt;0,BB517=0),$BB$1,IF(AND(BC518&gt;0,BC517=0),$BC$1,IF(AND(BD518&gt;0,BD517=0),$BD$1,IF(AND(BE518&gt;0,BE517=0),$BE$1,IF(AND(BF518&gt;0,BF517=0),$BF$1,IF(AND(BG518&gt;0,BG517=0),$BG$1,IF(AND(BH518&gt;0,BH517=0),$BH$1,IF(AND(BI518&gt;0,BI517=0),$BI$1,IF(AND(BJ518&gt;0,BJ517=0),$BJ$1,IF(AND(BK518&gt;0,BK517=0),$BK$1,IF(AND(BL518&gt;0,BL517=0),$BL$1,IF(AND(BM518&gt;0,BM517=0),$BM$1,IF(AND(BN518&gt;0,BN517=0),$BN$1,IF(AND(BO518&gt;0,BO517=0),$BO$1,IF(AND(BP518&gt;0,BP517=0),$BP$1,IF(AND(BQ518&gt;0,BQ517=0),$BQ$1,IF(AND(BR518&gt;0,BR517=0),$BQ$1,""))))))))))))))))&amp;(IF(COUNTA(BT518:CS518)&gt;1," ["&amp;COUNTA(BT518:CS518)&amp;"]",""))))))))))))</f>
        <v/>
      </c>
    </row>
    <row r="504" spans="2:110">
      <c r="B504" s="54">
        <f t="shared" si="401"/>
        <v>46580</v>
      </c>
      <c r="C504" s="55" t="s">
        <v>1</v>
      </c>
      <c r="D504" s="56">
        <f t="shared" si="402"/>
        <v>46586</v>
      </c>
      <c r="E504" s="52">
        <f t="shared" si="403"/>
        <v>7</v>
      </c>
      <c r="F504" s="53">
        <f t="shared" si="404"/>
        <v>2027</v>
      </c>
      <c r="G504" s="62">
        <f t="shared" si="398"/>
        <v>15</v>
      </c>
      <c r="H504" s="63">
        <f t="shared" si="400"/>
        <v>96</v>
      </c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80"/>
      <c r="AG504" s="87">
        <f t="shared" si="358"/>
        <v>0</v>
      </c>
      <c r="AH504" s="87">
        <f t="shared" si="359"/>
        <v>0</v>
      </c>
      <c r="AI504" s="87">
        <f t="shared" si="360"/>
        <v>0</v>
      </c>
      <c r="AJ504" s="87">
        <f t="shared" si="361"/>
        <v>0</v>
      </c>
      <c r="AK504" s="87">
        <f t="shared" si="362"/>
        <v>0</v>
      </c>
      <c r="AL504" s="87">
        <f t="shared" si="363"/>
        <v>0</v>
      </c>
      <c r="AM504" s="87">
        <f t="shared" si="364"/>
        <v>0</v>
      </c>
      <c r="AN504" s="87">
        <f t="shared" si="365"/>
        <v>0</v>
      </c>
      <c r="AO504" s="87">
        <f t="shared" si="366"/>
        <v>0</v>
      </c>
      <c r="AP504" s="87">
        <f t="shared" si="367"/>
        <v>0</v>
      </c>
      <c r="AQ504" s="87">
        <f t="shared" si="368"/>
        <v>0</v>
      </c>
      <c r="AR504" s="81"/>
      <c r="AS504" s="85">
        <f t="shared" si="369"/>
        <v>0</v>
      </c>
      <c r="AT504" s="85">
        <f t="shared" si="370"/>
        <v>0</v>
      </c>
      <c r="AU504" s="85">
        <f t="shared" si="371"/>
        <v>50</v>
      </c>
      <c r="AV504" s="85">
        <f t="shared" si="372"/>
        <v>68</v>
      </c>
      <c r="AW504" s="85">
        <f t="shared" si="373"/>
        <v>45</v>
      </c>
      <c r="AX504" s="85">
        <f t="shared" si="374"/>
        <v>77</v>
      </c>
      <c r="AY504" s="85">
        <f t="shared" si="375"/>
        <v>45</v>
      </c>
      <c r="AZ504" s="85">
        <f t="shared" si="376"/>
        <v>64</v>
      </c>
      <c r="BA504" s="85">
        <f t="shared" si="377"/>
        <v>64</v>
      </c>
      <c r="BB504" s="85">
        <f t="shared" si="378"/>
        <v>0</v>
      </c>
      <c r="BC504" s="85">
        <f t="shared" si="379"/>
        <v>0</v>
      </c>
      <c r="BD504" s="85">
        <f t="shared" si="380"/>
        <v>65</v>
      </c>
      <c r="BE504" s="85">
        <f t="shared" si="381"/>
        <v>0</v>
      </c>
      <c r="BF504" s="85">
        <f t="shared" si="382"/>
        <v>0</v>
      </c>
      <c r="BG504" s="85">
        <f t="shared" si="383"/>
        <v>0</v>
      </c>
      <c r="BH504" s="85">
        <f t="shared" si="384"/>
        <v>0</v>
      </c>
      <c r="BI504" s="85">
        <f t="shared" si="385"/>
        <v>0</v>
      </c>
      <c r="BJ504" s="85">
        <f t="shared" si="386"/>
        <v>0</v>
      </c>
      <c r="BK504" s="85">
        <f t="shared" si="387"/>
        <v>71</v>
      </c>
      <c r="BL504" s="85">
        <f t="shared" si="388"/>
        <v>71</v>
      </c>
      <c r="BM504" s="85">
        <f t="shared" si="389"/>
        <v>69</v>
      </c>
      <c r="BN504" s="85">
        <f t="shared" si="390"/>
        <v>0</v>
      </c>
      <c r="BO504" s="85">
        <f t="shared" si="391"/>
        <v>61</v>
      </c>
      <c r="BP504" s="85">
        <f t="shared" si="392"/>
        <v>0</v>
      </c>
      <c r="BQ504" s="85">
        <f t="shared" si="393"/>
        <v>60</v>
      </c>
      <c r="BR504" s="85">
        <f t="shared" si="394"/>
        <v>60</v>
      </c>
      <c r="BT504" s="63"/>
      <c r="BU504" s="63"/>
      <c r="BV504" s="63"/>
      <c r="BW504" s="63"/>
      <c r="BX504" s="63"/>
      <c r="BY504" s="63"/>
      <c r="BZ504" s="63"/>
      <c r="CA504" s="63"/>
      <c r="CB504" s="63"/>
      <c r="CC504" s="63"/>
      <c r="CD504" s="63"/>
      <c r="CE504" s="63"/>
      <c r="CF504" s="63"/>
      <c r="CG504" s="63"/>
      <c r="CH504" s="63"/>
      <c r="CI504" s="63"/>
      <c r="CJ504" s="63"/>
      <c r="CK504" s="63"/>
      <c r="CL504" s="63"/>
      <c r="CM504" s="63"/>
      <c r="CN504" s="63"/>
      <c r="CO504" s="63"/>
      <c r="CP504" s="63"/>
      <c r="CQ504" s="63"/>
      <c r="CR504" s="63"/>
      <c r="CS504" s="63"/>
      <c r="CX504" s="35" t="s">
        <v>12</v>
      </c>
      <c r="CZ504" s="35"/>
      <c r="DC504" s="57" t="str">
        <f t="shared" si="399"/>
        <v/>
      </c>
      <c r="DD504" s="64" t="str">
        <f t="shared" si="396"/>
        <v/>
      </c>
      <c r="DE504" s="65" t="str">
        <f t="shared" si="397"/>
        <v/>
      </c>
      <c r="DF504" s="66" t="str">
        <f t="shared" si="405"/>
        <v/>
      </c>
    </row>
    <row r="505" spans="2:110">
      <c r="B505" s="54">
        <f t="shared" si="401"/>
        <v>46587</v>
      </c>
      <c r="C505" s="55" t="s">
        <v>1</v>
      </c>
      <c r="D505" s="56">
        <f t="shared" si="402"/>
        <v>46593</v>
      </c>
      <c r="E505" s="52">
        <f t="shared" si="403"/>
        <v>7</v>
      </c>
      <c r="F505" s="53">
        <f t="shared" si="404"/>
        <v>2027</v>
      </c>
      <c r="G505" s="62">
        <f t="shared" si="398"/>
        <v>15</v>
      </c>
      <c r="H505" s="63">
        <f t="shared" si="400"/>
        <v>96</v>
      </c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80"/>
      <c r="AG505" s="87">
        <f t="shared" si="358"/>
        <v>0</v>
      </c>
      <c r="AH505" s="87">
        <f t="shared" si="359"/>
        <v>0</v>
      </c>
      <c r="AI505" s="87">
        <f t="shared" si="360"/>
        <v>0</v>
      </c>
      <c r="AJ505" s="87">
        <f t="shared" si="361"/>
        <v>0</v>
      </c>
      <c r="AK505" s="87">
        <f t="shared" si="362"/>
        <v>0</v>
      </c>
      <c r="AL505" s="87">
        <f t="shared" si="363"/>
        <v>0</v>
      </c>
      <c r="AM505" s="87">
        <f t="shared" si="364"/>
        <v>0</v>
      </c>
      <c r="AN505" s="87">
        <f t="shared" si="365"/>
        <v>0</v>
      </c>
      <c r="AO505" s="87">
        <f t="shared" si="366"/>
        <v>0</v>
      </c>
      <c r="AP505" s="87">
        <f t="shared" si="367"/>
        <v>0</v>
      </c>
      <c r="AQ505" s="87">
        <f t="shared" si="368"/>
        <v>0</v>
      </c>
      <c r="AR505" s="81"/>
      <c r="AS505" s="85">
        <f t="shared" si="369"/>
        <v>0</v>
      </c>
      <c r="AT505" s="85">
        <f t="shared" si="370"/>
        <v>0</v>
      </c>
      <c r="AU505" s="85">
        <f t="shared" si="371"/>
        <v>51</v>
      </c>
      <c r="AV505" s="85">
        <f t="shared" si="372"/>
        <v>69</v>
      </c>
      <c r="AW505" s="85">
        <f t="shared" si="373"/>
        <v>46</v>
      </c>
      <c r="AX505" s="85">
        <f t="shared" si="374"/>
        <v>78</v>
      </c>
      <c r="AY505" s="85">
        <f t="shared" si="375"/>
        <v>46</v>
      </c>
      <c r="AZ505" s="85">
        <f t="shared" si="376"/>
        <v>65</v>
      </c>
      <c r="BA505" s="85">
        <f t="shared" si="377"/>
        <v>65</v>
      </c>
      <c r="BB505" s="85">
        <f t="shared" si="378"/>
        <v>0</v>
      </c>
      <c r="BC505" s="85">
        <f t="shared" si="379"/>
        <v>0</v>
      </c>
      <c r="BD505" s="85">
        <f t="shared" si="380"/>
        <v>66</v>
      </c>
      <c r="BE505" s="85">
        <f t="shared" si="381"/>
        <v>0</v>
      </c>
      <c r="BF505" s="85">
        <f t="shared" si="382"/>
        <v>0</v>
      </c>
      <c r="BG505" s="85">
        <f t="shared" si="383"/>
        <v>0</v>
      </c>
      <c r="BH505" s="85">
        <f t="shared" si="384"/>
        <v>0</v>
      </c>
      <c r="BI505" s="85">
        <f t="shared" si="385"/>
        <v>0</v>
      </c>
      <c r="BJ505" s="85">
        <f t="shared" si="386"/>
        <v>0</v>
      </c>
      <c r="BK505" s="85">
        <f t="shared" si="387"/>
        <v>72</v>
      </c>
      <c r="BL505" s="85">
        <f t="shared" si="388"/>
        <v>72</v>
      </c>
      <c r="BM505" s="85">
        <f t="shared" si="389"/>
        <v>70</v>
      </c>
      <c r="BN505" s="85">
        <f t="shared" si="390"/>
        <v>0</v>
      </c>
      <c r="BO505" s="85">
        <f t="shared" si="391"/>
        <v>62</v>
      </c>
      <c r="BP505" s="85">
        <f t="shared" si="392"/>
        <v>0</v>
      </c>
      <c r="BQ505" s="85">
        <f t="shared" si="393"/>
        <v>61</v>
      </c>
      <c r="BR505" s="85">
        <f t="shared" si="394"/>
        <v>61</v>
      </c>
      <c r="BT505" s="63"/>
      <c r="BU505" s="63"/>
      <c r="BV505" s="63"/>
      <c r="BW505" s="63"/>
      <c r="BX505" s="63"/>
      <c r="BY505" s="63"/>
      <c r="BZ505" s="63"/>
      <c r="CA505" s="63"/>
      <c r="CB505" s="63"/>
      <c r="CC505" s="63"/>
      <c r="CD505" s="63"/>
      <c r="CE505" s="63"/>
      <c r="CF505" s="63"/>
      <c r="CG505" s="63"/>
      <c r="CH505" s="63"/>
      <c r="CI505" s="63"/>
      <c r="CJ505" s="63"/>
      <c r="CK505" s="63"/>
      <c r="CL505" s="63"/>
      <c r="CM505" s="63"/>
      <c r="CN505" s="63"/>
      <c r="CO505" s="63"/>
      <c r="CP505" s="63"/>
      <c r="CQ505" s="63"/>
      <c r="CR505" s="63"/>
      <c r="CS505" s="63"/>
      <c r="CX505" s="35" t="s">
        <v>12</v>
      </c>
      <c r="CZ505" s="35"/>
      <c r="DC505" s="57" t="str">
        <f t="shared" si="399"/>
        <v/>
      </c>
      <c r="DD505" s="64" t="str">
        <f t="shared" si="396"/>
        <v/>
      </c>
      <c r="DE505" s="65" t="str">
        <f t="shared" si="397"/>
        <v/>
      </c>
      <c r="DF505" s="66" t="str">
        <f t="shared" si="405"/>
        <v/>
      </c>
    </row>
    <row r="506" spans="2:110">
      <c r="B506" s="54">
        <f t="shared" si="401"/>
        <v>46594</v>
      </c>
      <c r="C506" s="55" t="s">
        <v>1</v>
      </c>
      <c r="D506" s="56">
        <f t="shared" si="402"/>
        <v>46600</v>
      </c>
      <c r="E506" s="52">
        <f t="shared" si="403"/>
        <v>7</v>
      </c>
      <c r="F506" s="53">
        <f t="shared" si="404"/>
        <v>2027</v>
      </c>
      <c r="G506" s="62">
        <f t="shared" si="398"/>
        <v>15</v>
      </c>
      <c r="H506" s="63">
        <f t="shared" si="400"/>
        <v>96</v>
      </c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80"/>
      <c r="AG506" s="87">
        <f t="shared" si="358"/>
        <v>0</v>
      </c>
      <c r="AH506" s="87">
        <f t="shared" si="359"/>
        <v>0</v>
      </c>
      <c r="AI506" s="87">
        <f t="shared" si="360"/>
        <v>0</v>
      </c>
      <c r="AJ506" s="87">
        <f t="shared" si="361"/>
        <v>0</v>
      </c>
      <c r="AK506" s="87">
        <f t="shared" si="362"/>
        <v>0</v>
      </c>
      <c r="AL506" s="87">
        <f t="shared" si="363"/>
        <v>0</v>
      </c>
      <c r="AM506" s="87">
        <f t="shared" si="364"/>
        <v>0</v>
      </c>
      <c r="AN506" s="87">
        <f t="shared" si="365"/>
        <v>0</v>
      </c>
      <c r="AO506" s="87">
        <f t="shared" si="366"/>
        <v>0</v>
      </c>
      <c r="AP506" s="87">
        <f t="shared" si="367"/>
        <v>0</v>
      </c>
      <c r="AQ506" s="87">
        <f t="shared" si="368"/>
        <v>0</v>
      </c>
      <c r="AR506" s="81"/>
      <c r="AS506" s="85">
        <f t="shared" si="369"/>
        <v>0</v>
      </c>
      <c r="AT506" s="85">
        <f t="shared" si="370"/>
        <v>0</v>
      </c>
      <c r="AU506" s="85">
        <f t="shared" si="371"/>
        <v>52</v>
      </c>
      <c r="AV506" s="85">
        <f t="shared" si="372"/>
        <v>70</v>
      </c>
      <c r="AW506" s="85">
        <f t="shared" si="373"/>
        <v>47</v>
      </c>
      <c r="AX506" s="85">
        <f t="shared" si="374"/>
        <v>79</v>
      </c>
      <c r="AY506" s="85">
        <f t="shared" si="375"/>
        <v>47</v>
      </c>
      <c r="AZ506" s="85">
        <f t="shared" si="376"/>
        <v>66</v>
      </c>
      <c r="BA506" s="85">
        <f t="shared" si="377"/>
        <v>66</v>
      </c>
      <c r="BB506" s="85">
        <f t="shared" si="378"/>
        <v>0</v>
      </c>
      <c r="BC506" s="85">
        <f t="shared" si="379"/>
        <v>0</v>
      </c>
      <c r="BD506" s="85">
        <f t="shared" si="380"/>
        <v>67</v>
      </c>
      <c r="BE506" s="85">
        <f t="shared" si="381"/>
        <v>0</v>
      </c>
      <c r="BF506" s="85">
        <f t="shared" si="382"/>
        <v>0</v>
      </c>
      <c r="BG506" s="85">
        <f t="shared" si="383"/>
        <v>0</v>
      </c>
      <c r="BH506" s="85">
        <f t="shared" si="384"/>
        <v>0</v>
      </c>
      <c r="BI506" s="85">
        <f t="shared" si="385"/>
        <v>0</v>
      </c>
      <c r="BJ506" s="85">
        <f t="shared" si="386"/>
        <v>0</v>
      </c>
      <c r="BK506" s="85">
        <f t="shared" si="387"/>
        <v>73</v>
      </c>
      <c r="BL506" s="85">
        <f t="shared" si="388"/>
        <v>73</v>
      </c>
      <c r="BM506" s="85">
        <f t="shared" si="389"/>
        <v>71</v>
      </c>
      <c r="BN506" s="85">
        <f t="shared" si="390"/>
        <v>0</v>
      </c>
      <c r="BO506" s="85">
        <f t="shared" si="391"/>
        <v>63</v>
      </c>
      <c r="BP506" s="85">
        <f t="shared" si="392"/>
        <v>0</v>
      </c>
      <c r="BQ506" s="85">
        <f t="shared" si="393"/>
        <v>62</v>
      </c>
      <c r="BR506" s="85">
        <f t="shared" si="394"/>
        <v>62</v>
      </c>
      <c r="BT506" s="63"/>
      <c r="BU506" s="63"/>
      <c r="BV506" s="63"/>
      <c r="BW506" s="63"/>
      <c r="BX506" s="63"/>
      <c r="BY506" s="63"/>
      <c r="BZ506" s="63"/>
      <c r="CA506" s="63"/>
      <c r="CB506" s="63"/>
      <c r="CC506" s="63"/>
      <c r="CD506" s="63"/>
      <c r="CE506" s="63"/>
      <c r="CF506" s="63"/>
      <c r="CG506" s="63"/>
      <c r="CH506" s="63"/>
      <c r="CI506" s="63"/>
      <c r="CJ506" s="63"/>
      <c r="CK506" s="63"/>
      <c r="CL506" s="63"/>
      <c r="CM506" s="63"/>
      <c r="CN506" s="63"/>
      <c r="CO506" s="63"/>
      <c r="CP506" s="63"/>
      <c r="CQ506" s="63"/>
      <c r="CR506" s="63"/>
      <c r="CS506" s="63"/>
      <c r="CX506" s="35" t="s">
        <v>12</v>
      </c>
      <c r="CZ506" s="35"/>
      <c r="DC506" s="57" t="str">
        <f t="shared" si="399"/>
        <v/>
      </c>
      <c r="DD506" s="64" t="str">
        <f t="shared" si="396"/>
        <v/>
      </c>
      <c r="DE506" s="65" t="str">
        <f t="shared" si="397"/>
        <v/>
      </c>
      <c r="DF506" s="66" t="str">
        <f t="shared" si="405"/>
        <v/>
      </c>
    </row>
    <row r="507" spans="2:110">
      <c r="B507" s="54">
        <f t="shared" si="401"/>
        <v>46601</v>
      </c>
      <c r="C507" s="55" t="s">
        <v>1</v>
      </c>
      <c r="D507" s="56">
        <f t="shared" si="402"/>
        <v>46607</v>
      </c>
      <c r="E507" s="52">
        <f t="shared" si="403"/>
        <v>8</v>
      </c>
      <c r="F507" s="53">
        <f t="shared" si="404"/>
        <v>2027</v>
      </c>
      <c r="G507" s="62">
        <f t="shared" si="398"/>
        <v>15</v>
      </c>
      <c r="H507" s="63">
        <f t="shared" si="400"/>
        <v>96</v>
      </c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80"/>
      <c r="AG507" s="87">
        <f t="shared" si="358"/>
        <v>0</v>
      </c>
      <c r="AH507" s="87">
        <f t="shared" si="359"/>
        <v>0</v>
      </c>
      <c r="AI507" s="87">
        <f t="shared" si="360"/>
        <v>0</v>
      </c>
      <c r="AJ507" s="87">
        <f t="shared" si="361"/>
        <v>0</v>
      </c>
      <c r="AK507" s="87">
        <f t="shared" si="362"/>
        <v>0</v>
      </c>
      <c r="AL507" s="87">
        <f t="shared" si="363"/>
        <v>0</v>
      </c>
      <c r="AM507" s="87">
        <f t="shared" si="364"/>
        <v>0</v>
      </c>
      <c r="AN507" s="87">
        <f t="shared" si="365"/>
        <v>0</v>
      </c>
      <c r="AO507" s="87">
        <f t="shared" si="366"/>
        <v>0</v>
      </c>
      <c r="AP507" s="87">
        <f t="shared" si="367"/>
        <v>0</v>
      </c>
      <c r="AQ507" s="87">
        <f t="shared" si="368"/>
        <v>0</v>
      </c>
      <c r="AR507" s="81"/>
      <c r="AS507" s="85">
        <f t="shared" si="369"/>
        <v>0</v>
      </c>
      <c r="AT507" s="85">
        <f t="shared" si="370"/>
        <v>0</v>
      </c>
      <c r="AU507" s="85">
        <f t="shared" si="371"/>
        <v>53</v>
      </c>
      <c r="AV507" s="85">
        <f t="shared" si="372"/>
        <v>71</v>
      </c>
      <c r="AW507" s="85">
        <f t="shared" si="373"/>
        <v>48</v>
      </c>
      <c r="AX507" s="85">
        <f t="shared" si="374"/>
        <v>80</v>
      </c>
      <c r="AY507" s="85">
        <f t="shared" si="375"/>
        <v>48</v>
      </c>
      <c r="AZ507" s="85">
        <f t="shared" si="376"/>
        <v>67</v>
      </c>
      <c r="BA507" s="85">
        <f t="shared" si="377"/>
        <v>67</v>
      </c>
      <c r="BB507" s="85">
        <f t="shared" si="378"/>
        <v>0</v>
      </c>
      <c r="BC507" s="85">
        <f t="shared" si="379"/>
        <v>0</v>
      </c>
      <c r="BD507" s="85">
        <f t="shared" si="380"/>
        <v>68</v>
      </c>
      <c r="BE507" s="85">
        <f t="shared" si="381"/>
        <v>0</v>
      </c>
      <c r="BF507" s="85">
        <f t="shared" si="382"/>
        <v>0</v>
      </c>
      <c r="BG507" s="85">
        <f t="shared" si="383"/>
        <v>0</v>
      </c>
      <c r="BH507" s="85">
        <f t="shared" si="384"/>
        <v>0</v>
      </c>
      <c r="BI507" s="85">
        <f t="shared" si="385"/>
        <v>0</v>
      </c>
      <c r="BJ507" s="85">
        <f t="shared" si="386"/>
        <v>0</v>
      </c>
      <c r="BK507" s="85">
        <f t="shared" si="387"/>
        <v>74</v>
      </c>
      <c r="BL507" s="85">
        <f t="shared" si="388"/>
        <v>74</v>
      </c>
      <c r="BM507" s="85">
        <f t="shared" si="389"/>
        <v>72</v>
      </c>
      <c r="BN507" s="85">
        <f t="shared" si="390"/>
        <v>0</v>
      </c>
      <c r="BO507" s="85">
        <f t="shared" si="391"/>
        <v>64</v>
      </c>
      <c r="BP507" s="85">
        <f t="shared" si="392"/>
        <v>0</v>
      </c>
      <c r="BQ507" s="85">
        <f t="shared" si="393"/>
        <v>63</v>
      </c>
      <c r="BR507" s="85">
        <f t="shared" si="394"/>
        <v>63</v>
      </c>
      <c r="BT507" s="63"/>
      <c r="BU507" s="63"/>
      <c r="BV507" s="63"/>
      <c r="BW507" s="63"/>
      <c r="BX507" s="63"/>
      <c r="BY507" s="63"/>
      <c r="BZ507" s="63"/>
      <c r="CA507" s="63"/>
      <c r="CB507" s="63"/>
      <c r="CC507" s="63"/>
      <c r="CD507" s="63"/>
      <c r="CE507" s="63"/>
      <c r="CF507" s="63"/>
      <c r="CG507" s="63"/>
      <c r="CH507" s="63"/>
      <c r="CI507" s="63"/>
      <c r="CJ507" s="63"/>
      <c r="CK507" s="63"/>
      <c r="CL507" s="63"/>
      <c r="CM507" s="63"/>
      <c r="CN507" s="63"/>
      <c r="CO507" s="63"/>
      <c r="CP507" s="63"/>
      <c r="CQ507" s="63"/>
      <c r="CR507" s="63"/>
      <c r="CS507" s="63"/>
      <c r="CX507" s="35" t="s">
        <v>12</v>
      </c>
      <c r="CZ507" s="35"/>
      <c r="DC507" s="57" t="str">
        <f t="shared" si="399"/>
        <v/>
      </c>
      <c r="DD507" s="64" t="str">
        <f t="shared" si="396"/>
        <v/>
      </c>
      <c r="DE507" s="65" t="str">
        <f t="shared" si="397"/>
        <v/>
      </c>
      <c r="DF507" s="66" t="str">
        <f t="shared" si="405"/>
        <v/>
      </c>
    </row>
    <row r="508" spans="2:110">
      <c r="B508" s="54">
        <f t="shared" si="401"/>
        <v>46608</v>
      </c>
      <c r="C508" s="55" t="s">
        <v>1</v>
      </c>
      <c r="D508" s="56">
        <f t="shared" si="402"/>
        <v>46614</v>
      </c>
      <c r="E508" s="52">
        <f t="shared" si="403"/>
        <v>8</v>
      </c>
      <c r="F508" s="53">
        <f t="shared" si="404"/>
        <v>2027</v>
      </c>
      <c r="G508" s="62">
        <f t="shared" si="398"/>
        <v>15</v>
      </c>
      <c r="H508" s="63">
        <f t="shared" si="400"/>
        <v>96</v>
      </c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80"/>
      <c r="AG508" s="87">
        <f t="shared" si="358"/>
        <v>0</v>
      </c>
      <c r="AH508" s="87">
        <f t="shared" si="359"/>
        <v>0</v>
      </c>
      <c r="AI508" s="87">
        <f t="shared" si="360"/>
        <v>0</v>
      </c>
      <c r="AJ508" s="87">
        <f t="shared" si="361"/>
        <v>0</v>
      </c>
      <c r="AK508" s="87">
        <f t="shared" si="362"/>
        <v>0</v>
      </c>
      <c r="AL508" s="87">
        <f t="shared" si="363"/>
        <v>0</v>
      </c>
      <c r="AM508" s="87">
        <f t="shared" si="364"/>
        <v>0</v>
      </c>
      <c r="AN508" s="87">
        <f t="shared" si="365"/>
        <v>0</v>
      </c>
      <c r="AO508" s="87">
        <f t="shared" si="366"/>
        <v>0</v>
      </c>
      <c r="AP508" s="87">
        <f t="shared" si="367"/>
        <v>0</v>
      </c>
      <c r="AQ508" s="87">
        <f t="shared" si="368"/>
        <v>0</v>
      </c>
      <c r="AR508" s="81"/>
      <c r="AS508" s="85">
        <f t="shared" si="369"/>
        <v>0</v>
      </c>
      <c r="AT508" s="85">
        <f t="shared" si="370"/>
        <v>0</v>
      </c>
      <c r="AU508" s="85">
        <f t="shared" si="371"/>
        <v>54</v>
      </c>
      <c r="AV508" s="85">
        <f t="shared" si="372"/>
        <v>72</v>
      </c>
      <c r="AW508" s="85">
        <f t="shared" si="373"/>
        <v>49</v>
      </c>
      <c r="AX508" s="85">
        <f t="shared" si="374"/>
        <v>81</v>
      </c>
      <c r="AY508" s="85">
        <f t="shared" si="375"/>
        <v>49</v>
      </c>
      <c r="AZ508" s="85">
        <f t="shared" si="376"/>
        <v>68</v>
      </c>
      <c r="BA508" s="85">
        <f t="shared" si="377"/>
        <v>68</v>
      </c>
      <c r="BB508" s="85">
        <f t="shared" si="378"/>
        <v>0</v>
      </c>
      <c r="BC508" s="85">
        <f t="shared" si="379"/>
        <v>0</v>
      </c>
      <c r="BD508" s="85">
        <f t="shared" si="380"/>
        <v>69</v>
      </c>
      <c r="BE508" s="85">
        <f t="shared" si="381"/>
        <v>0</v>
      </c>
      <c r="BF508" s="85">
        <f t="shared" si="382"/>
        <v>0</v>
      </c>
      <c r="BG508" s="85">
        <f t="shared" si="383"/>
        <v>0</v>
      </c>
      <c r="BH508" s="85">
        <f t="shared" si="384"/>
        <v>0</v>
      </c>
      <c r="BI508" s="85">
        <f t="shared" si="385"/>
        <v>0</v>
      </c>
      <c r="BJ508" s="85">
        <f t="shared" si="386"/>
        <v>0</v>
      </c>
      <c r="BK508" s="85">
        <f t="shared" si="387"/>
        <v>75</v>
      </c>
      <c r="BL508" s="85">
        <f t="shared" si="388"/>
        <v>75</v>
      </c>
      <c r="BM508" s="85">
        <f t="shared" si="389"/>
        <v>73</v>
      </c>
      <c r="BN508" s="85">
        <f t="shared" si="390"/>
        <v>0</v>
      </c>
      <c r="BO508" s="85">
        <f t="shared" si="391"/>
        <v>65</v>
      </c>
      <c r="BP508" s="85">
        <f t="shared" si="392"/>
        <v>0</v>
      </c>
      <c r="BQ508" s="85">
        <f t="shared" si="393"/>
        <v>64</v>
      </c>
      <c r="BR508" s="85">
        <f t="shared" si="394"/>
        <v>64</v>
      </c>
      <c r="BT508" s="63"/>
      <c r="BU508" s="63"/>
      <c r="BV508" s="63"/>
      <c r="BW508" s="63"/>
      <c r="BX508" s="63"/>
      <c r="BY508" s="63"/>
      <c r="BZ508" s="63"/>
      <c r="CA508" s="63"/>
      <c r="CB508" s="63"/>
      <c r="CC508" s="63"/>
      <c r="CD508" s="63"/>
      <c r="CE508" s="63"/>
      <c r="CF508" s="63"/>
      <c r="CG508" s="63"/>
      <c r="CH508" s="63"/>
      <c r="CI508" s="63"/>
      <c r="CJ508" s="63"/>
      <c r="CK508" s="63"/>
      <c r="CL508" s="63"/>
      <c r="CM508" s="63"/>
      <c r="CN508" s="63"/>
      <c r="CO508" s="63"/>
      <c r="CP508" s="63"/>
      <c r="CQ508" s="63"/>
      <c r="CR508" s="63"/>
      <c r="CS508" s="63"/>
      <c r="CX508" s="35" t="s">
        <v>12</v>
      </c>
      <c r="CZ508" s="35"/>
      <c r="DC508" s="57" t="str">
        <f t="shared" si="399"/>
        <v/>
      </c>
      <c r="DD508" s="64" t="str">
        <f t="shared" si="396"/>
        <v/>
      </c>
      <c r="DE508" s="65" t="str">
        <f t="shared" si="397"/>
        <v/>
      </c>
      <c r="DF508" s="66" t="str">
        <f t="shared" si="405"/>
        <v/>
      </c>
    </row>
    <row r="509" spans="2:110">
      <c r="B509" s="54">
        <f t="shared" si="401"/>
        <v>46615</v>
      </c>
      <c r="C509" s="55" t="s">
        <v>1</v>
      </c>
      <c r="D509" s="56">
        <f t="shared" si="402"/>
        <v>46621</v>
      </c>
      <c r="E509" s="52">
        <f t="shared" si="403"/>
        <v>8</v>
      </c>
      <c r="F509" s="53">
        <f t="shared" si="404"/>
        <v>2027</v>
      </c>
      <c r="G509" s="62">
        <f t="shared" si="398"/>
        <v>15</v>
      </c>
      <c r="H509" s="63">
        <f t="shared" si="400"/>
        <v>96</v>
      </c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80"/>
      <c r="AG509" s="87">
        <f t="shared" si="358"/>
        <v>0</v>
      </c>
      <c r="AH509" s="87">
        <f t="shared" si="359"/>
        <v>0</v>
      </c>
      <c r="AI509" s="87">
        <f t="shared" si="360"/>
        <v>0</v>
      </c>
      <c r="AJ509" s="87">
        <f t="shared" si="361"/>
        <v>0</v>
      </c>
      <c r="AK509" s="87">
        <f t="shared" si="362"/>
        <v>0</v>
      </c>
      <c r="AL509" s="87">
        <f t="shared" si="363"/>
        <v>0</v>
      </c>
      <c r="AM509" s="87">
        <f t="shared" si="364"/>
        <v>0</v>
      </c>
      <c r="AN509" s="87">
        <f t="shared" si="365"/>
        <v>0</v>
      </c>
      <c r="AO509" s="87">
        <f t="shared" si="366"/>
        <v>0</v>
      </c>
      <c r="AP509" s="87">
        <f t="shared" si="367"/>
        <v>0</v>
      </c>
      <c r="AQ509" s="87">
        <f t="shared" si="368"/>
        <v>0</v>
      </c>
      <c r="AR509" s="81"/>
      <c r="AS509" s="85">
        <f t="shared" si="369"/>
        <v>0</v>
      </c>
      <c r="AT509" s="85">
        <f t="shared" si="370"/>
        <v>0</v>
      </c>
      <c r="AU509" s="85">
        <f t="shared" si="371"/>
        <v>55</v>
      </c>
      <c r="AV509" s="85">
        <f t="shared" si="372"/>
        <v>73</v>
      </c>
      <c r="AW509" s="85">
        <f t="shared" si="373"/>
        <v>50</v>
      </c>
      <c r="AX509" s="85">
        <f t="shared" si="374"/>
        <v>82</v>
      </c>
      <c r="AY509" s="85">
        <f t="shared" si="375"/>
        <v>50</v>
      </c>
      <c r="AZ509" s="85">
        <f t="shared" si="376"/>
        <v>69</v>
      </c>
      <c r="BA509" s="85">
        <f t="shared" si="377"/>
        <v>69</v>
      </c>
      <c r="BB509" s="85">
        <f t="shared" si="378"/>
        <v>0</v>
      </c>
      <c r="BC509" s="85">
        <f t="shared" si="379"/>
        <v>0</v>
      </c>
      <c r="BD509" s="85">
        <f t="shared" si="380"/>
        <v>70</v>
      </c>
      <c r="BE509" s="85">
        <f t="shared" si="381"/>
        <v>0</v>
      </c>
      <c r="BF509" s="85">
        <f t="shared" si="382"/>
        <v>0</v>
      </c>
      <c r="BG509" s="85">
        <f t="shared" si="383"/>
        <v>0</v>
      </c>
      <c r="BH509" s="85">
        <f t="shared" si="384"/>
        <v>0</v>
      </c>
      <c r="BI509" s="85">
        <f t="shared" si="385"/>
        <v>0</v>
      </c>
      <c r="BJ509" s="85">
        <f t="shared" si="386"/>
        <v>0</v>
      </c>
      <c r="BK509" s="85">
        <f t="shared" si="387"/>
        <v>76</v>
      </c>
      <c r="BL509" s="85">
        <f t="shared" si="388"/>
        <v>76</v>
      </c>
      <c r="BM509" s="85">
        <f t="shared" si="389"/>
        <v>74</v>
      </c>
      <c r="BN509" s="85">
        <f t="shared" si="390"/>
        <v>0</v>
      </c>
      <c r="BO509" s="85">
        <f t="shared" si="391"/>
        <v>66</v>
      </c>
      <c r="BP509" s="85">
        <f t="shared" si="392"/>
        <v>0</v>
      </c>
      <c r="BQ509" s="85">
        <f t="shared" si="393"/>
        <v>65</v>
      </c>
      <c r="BR509" s="85">
        <f t="shared" si="394"/>
        <v>65</v>
      </c>
      <c r="BT509" s="63"/>
      <c r="BU509" s="63"/>
      <c r="BV509" s="63"/>
      <c r="BW509" s="63"/>
      <c r="BX509" s="63"/>
      <c r="BY509" s="63"/>
      <c r="BZ509" s="63"/>
      <c r="CA509" s="63"/>
      <c r="CB509" s="63"/>
      <c r="CC509" s="63"/>
      <c r="CD509" s="63"/>
      <c r="CE509" s="63"/>
      <c r="CF509" s="63"/>
      <c r="CG509" s="63"/>
      <c r="CH509" s="63"/>
      <c r="CI509" s="63"/>
      <c r="CJ509" s="63"/>
      <c r="CK509" s="63"/>
      <c r="CL509" s="63"/>
      <c r="CM509" s="63"/>
      <c r="CN509" s="63"/>
      <c r="CO509" s="63"/>
      <c r="CP509" s="63"/>
      <c r="CQ509" s="63"/>
      <c r="CR509" s="63"/>
      <c r="CS509" s="63"/>
      <c r="CX509" s="35" t="s">
        <v>12</v>
      </c>
      <c r="CZ509" s="35"/>
      <c r="DC509" s="57" t="str">
        <f t="shared" si="399"/>
        <v/>
      </c>
      <c r="DD509" s="64" t="str">
        <f t="shared" si="396"/>
        <v/>
      </c>
      <c r="DE509" s="65" t="str">
        <f t="shared" si="397"/>
        <v/>
      </c>
      <c r="DF509" s="66" t="str">
        <f t="shared" si="405"/>
        <v/>
      </c>
    </row>
    <row r="510" spans="2:110">
      <c r="B510" s="54">
        <f t="shared" si="401"/>
        <v>46622</v>
      </c>
      <c r="C510" s="55" t="s">
        <v>1</v>
      </c>
      <c r="D510" s="56">
        <f t="shared" si="402"/>
        <v>46628</v>
      </c>
      <c r="E510" s="52">
        <f t="shared" si="403"/>
        <v>8</v>
      </c>
      <c r="F510" s="53">
        <f t="shared" si="404"/>
        <v>2027</v>
      </c>
      <c r="G510" s="62">
        <f t="shared" si="398"/>
        <v>15</v>
      </c>
      <c r="H510" s="63">
        <f t="shared" si="400"/>
        <v>96</v>
      </c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80"/>
      <c r="AG510" s="87">
        <f t="shared" si="358"/>
        <v>0</v>
      </c>
      <c r="AH510" s="87">
        <f t="shared" si="359"/>
        <v>0</v>
      </c>
      <c r="AI510" s="87">
        <f t="shared" si="360"/>
        <v>0</v>
      </c>
      <c r="AJ510" s="87">
        <f t="shared" si="361"/>
        <v>0</v>
      </c>
      <c r="AK510" s="87">
        <f t="shared" si="362"/>
        <v>0</v>
      </c>
      <c r="AL510" s="87">
        <f t="shared" si="363"/>
        <v>0</v>
      </c>
      <c r="AM510" s="87">
        <f t="shared" si="364"/>
        <v>0</v>
      </c>
      <c r="AN510" s="87">
        <f t="shared" si="365"/>
        <v>0</v>
      </c>
      <c r="AO510" s="87">
        <f t="shared" si="366"/>
        <v>0</v>
      </c>
      <c r="AP510" s="87">
        <f t="shared" si="367"/>
        <v>0</v>
      </c>
      <c r="AQ510" s="87">
        <f t="shared" si="368"/>
        <v>0</v>
      </c>
      <c r="AR510" s="81"/>
      <c r="AS510" s="85">
        <f t="shared" si="369"/>
        <v>0</v>
      </c>
      <c r="AT510" s="85">
        <f t="shared" si="370"/>
        <v>0</v>
      </c>
      <c r="AU510" s="85">
        <f t="shared" si="371"/>
        <v>56</v>
      </c>
      <c r="AV510" s="85">
        <f t="shared" si="372"/>
        <v>74</v>
      </c>
      <c r="AW510" s="85">
        <f t="shared" si="373"/>
        <v>51</v>
      </c>
      <c r="AX510" s="85">
        <f t="shared" si="374"/>
        <v>83</v>
      </c>
      <c r="AY510" s="85">
        <f t="shared" si="375"/>
        <v>51</v>
      </c>
      <c r="AZ510" s="85">
        <f t="shared" si="376"/>
        <v>70</v>
      </c>
      <c r="BA510" s="85">
        <f t="shared" si="377"/>
        <v>70</v>
      </c>
      <c r="BB510" s="85">
        <f t="shared" si="378"/>
        <v>0</v>
      </c>
      <c r="BC510" s="85">
        <f t="shared" si="379"/>
        <v>0</v>
      </c>
      <c r="BD510" s="85">
        <f t="shared" si="380"/>
        <v>71</v>
      </c>
      <c r="BE510" s="85">
        <f t="shared" si="381"/>
        <v>0</v>
      </c>
      <c r="BF510" s="85">
        <f t="shared" si="382"/>
        <v>0</v>
      </c>
      <c r="BG510" s="85">
        <f t="shared" si="383"/>
        <v>0</v>
      </c>
      <c r="BH510" s="85">
        <f t="shared" si="384"/>
        <v>0</v>
      </c>
      <c r="BI510" s="85">
        <f t="shared" si="385"/>
        <v>0</v>
      </c>
      <c r="BJ510" s="85">
        <f t="shared" si="386"/>
        <v>0</v>
      </c>
      <c r="BK510" s="85">
        <f t="shared" si="387"/>
        <v>77</v>
      </c>
      <c r="BL510" s="85">
        <f t="shared" si="388"/>
        <v>77</v>
      </c>
      <c r="BM510" s="85">
        <f t="shared" si="389"/>
        <v>75</v>
      </c>
      <c r="BN510" s="85">
        <f t="shared" si="390"/>
        <v>0</v>
      </c>
      <c r="BO510" s="85">
        <f t="shared" si="391"/>
        <v>67</v>
      </c>
      <c r="BP510" s="85">
        <f t="shared" si="392"/>
        <v>0</v>
      </c>
      <c r="BQ510" s="85">
        <f t="shared" si="393"/>
        <v>66</v>
      </c>
      <c r="BR510" s="85">
        <f t="shared" si="394"/>
        <v>66</v>
      </c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  <c r="CD510" s="63"/>
      <c r="CE510" s="63"/>
      <c r="CF510" s="63"/>
      <c r="CG510" s="63"/>
      <c r="CH510" s="63"/>
      <c r="CI510" s="63"/>
      <c r="CJ510" s="63"/>
      <c r="CK510" s="63"/>
      <c r="CL510" s="63"/>
      <c r="CM510" s="63"/>
      <c r="CN510" s="63"/>
      <c r="CO510" s="63"/>
      <c r="CP510" s="63"/>
      <c r="CQ510" s="63"/>
      <c r="CR510" s="63"/>
      <c r="CS510" s="63"/>
      <c r="CX510" s="35" t="s">
        <v>12</v>
      </c>
      <c r="CZ510" s="35"/>
      <c r="DC510" s="57" t="str">
        <f t="shared" si="399"/>
        <v/>
      </c>
      <c r="DD510" s="64" t="str">
        <f t="shared" si="396"/>
        <v/>
      </c>
      <c r="DE510" s="65" t="str">
        <f t="shared" si="397"/>
        <v/>
      </c>
      <c r="DF510" s="66" t="str">
        <f t="shared" si="405"/>
        <v/>
      </c>
    </row>
    <row r="511" spans="2:110">
      <c r="B511" s="54">
        <f t="shared" si="401"/>
        <v>46629</v>
      </c>
      <c r="C511" s="55" t="s">
        <v>1</v>
      </c>
      <c r="D511" s="56">
        <f t="shared" si="402"/>
        <v>46635</v>
      </c>
      <c r="E511" s="52">
        <f t="shared" si="403"/>
        <v>8</v>
      </c>
      <c r="F511" s="53">
        <f t="shared" si="404"/>
        <v>2027</v>
      </c>
      <c r="G511" s="62">
        <f t="shared" si="398"/>
        <v>15</v>
      </c>
      <c r="H511" s="63">
        <f t="shared" si="400"/>
        <v>96</v>
      </c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80"/>
      <c r="AG511" s="87">
        <f t="shared" si="358"/>
        <v>0</v>
      </c>
      <c r="AH511" s="87">
        <f t="shared" si="359"/>
        <v>0</v>
      </c>
      <c r="AI511" s="87">
        <f t="shared" si="360"/>
        <v>0</v>
      </c>
      <c r="AJ511" s="87">
        <f t="shared" si="361"/>
        <v>0</v>
      </c>
      <c r="AK511" s="87">
        <f t="shared" si="362"/>
        <v>0</v>
      </c>
      <c r="AL511" s="87">
        <f t="shared" si="363"/>
        <v>0</v>
      </c>
      <c r="AM511" s="87">
        <f t="shared" si="364"/>
        <v>0</v>
      </c>
      <c r="AN511" s="87">
        <f t="shared" si="365"/>
        <v>0</v>
      </c>
      <c r="AO511" s="87">
        <f t="shared" si="366"/>
        <v>0</v>
      </c>
      <c r="AP511" s="87">
        <f t="shared" si="367"/>
        <v>0</v>
      </c>
      <c r="AQ511" s="87">
        <f t="shared" si="368"/>
        <v>0</v>
      </c>
      <c r="AR511" s="81"/>
      <c r="AS511" s="85">
        <f t="shared" si="369"/>
        <v>0</v>
      </c>
      <c r="AT511" s="85">
        <f t="shared" si="370"/>
        <v>0</v>
      </c>
      <c r="AU511" s="85">
        <f t="shared" si="371"/>
        <v>57</v>
      </c>
      <c r="AV511" s="85">
        <f t="shared" si="372"/>
        <v>75</v>
      </c>
      <c r="AW511" s="85">
        <f t="shared" si="373"/>
        <v>52</v>
      </c>
      <c r="AX511" s="85">
        <f t="shared" si="374"/>
        <v>84</v>
      </c>
      <c r="AY511" s="85">
        <f t="shared" si="375"/>
        <v>52</v>
      </c>
      <c r="AZ511" s="85">
        <f t="shared" si="376"/>
        <v>71</v>
      </c>
      <c r="BA511" s="85">
        <f t="shared" si="377"/>
        <v>71</v>
      </c>
      <c r="BB511" s="85">
        <f t="shared" si="378"/>
        <v>0</v>
      </c>
      <c r="BC511" s="85">
        <f t="shared" si="379"/>
        <v>0</v>
      </c>
      <c r="BD511" s="85">
        <f t="shared" si="380"/>
        <v>72</v>
      </c>
      <c r="BE511" s="85">
        <f t="shared" si="381"/>
        <v>0</v>
      </c>
      <c r="BF511" s="85">
        <f t="shared" si="382"/>
        <v>0</v>
      </c>
      <c r="BG511" s="85">
        <f t="shared" si="383"/>
        <v>0</v>
      </c>
      <c r="BH511" s="85">
        <f t="shared" si="384"/>
        <v>0</v>
      </c>
      <c r="BI511" s="85">
        <f t="shared" si="385"/>
        <v>0</v>
      </c>
      <c r="BJ511" s="85">
        <f t="shared" si="386"/>
        <v>0</v>
      </c>
      <c r="BK511" s="85">
        <f t="shared" si="387"/>
        <v>78</v>
      </c>
      <c r="BL511" s="85">
        <f t="shared" si="388"/>
        <v>78</v>
      </c>
      <c r="BM511" s="85">
        <f t="shared" si="389"/>
        <v>76</v>
      </c>
      <c r="BN511" s="85">
        <f t="shared" si="390"/>
        <v>0</v>
      </c>
      <c r="BO511" s="85">
        <f t="shared" si="391"/>
        <v>68</v>
      </c>
      <c r="BP511" s="85">
        <f t="shared" si="392"/>
        <v>0</v>
      </c>
      <c r="BQ511" s="85">
        <f t="shared" si="393"/>
        <v>67</v>
      </c>
      <c r="BR511" s="85">
        <f t="shared" si="394"/>
        <v>67</v>
      </c>
      <c r="BT511" s="63"/>
      <c r="BU511" s="63"/>
      <c r="BV511" s="63"/>
      <c r="BW511" s="63"/>
      <c r="BX511" s="63"/>
      <c r="BY511" s="63"/>
      <c r="BZ511" s="63"/>
      <c r="CA511" s="63"/>
      <c r="CB511" s="63"/>
      <c r="CC511" s="63"/>
      <c r="CD511" s="63"/>
      <c r="CE511" s="63"/>
      <c r="CF511" s="63"/>
      <c r="CG511" s="63"/>
      <c r="CH511" s="63"/>
      <c r="CI511" s="63"/>
      <c r="CJ511" s="63"/>
      <c r="CK511" s="63"/>
      <c r="CL511" s="63"/>
      <c r="CM511" s="63"/>
      <c r="CN511" s="63"/>
      <c r="CO511" s="63"/>
      <c r="CP511" s="63"/>
      <c r="CQ511" s="63"/>
      <c r="CR511" s="63"/>
      <c r="CS511" s="63"/>
      <c r="CX511" s="35" t="s">
        <v>12</v>
      </c>
      <c r="CZ511" s="35"/>
      <c r="DC511" s="57" t="str">
        <f t="shared" si="399"/>
        <v/>
      </c>
      <c r="DD511" s="64" t="str">
        <f t="shared" si="396"/>
        <v/>
      </c>
      <c r="DE511" s="65" t="str">
        <f t="shared" si="397"/>
        <v/>
      </c>
      <c r="DF511" s="66" t="str">
        <f t="shared" si="405"/>
        <v/>
      </c>
    </row>
    <row r="512" spans="2:110">
      <c r="B512" s="54">
        <f t="shared" si="401"/>
        <v>46636</v>
      </c>
      <c r="C512" s="55" t="s">
        <v>1</v>
      </c>
      <c r="D512" s="56">
        <f t="shared" si="402"/>
        <v>46642</v>
      </c>
      <c r="E512" s="52">
        <f t="shared" si="403"/>
        <v>9</v>
      </c>
      <c r="F512" s="53">
        <f t="shared" si="404"/>
        <v>2027</v>
      </c>
      <c r="G512" s="62">
        <f t="shared" si="398"/>
        <v>15</v>
      </c>
      <c r="H512" s="63">
        <f t="shared" si="400"/>
        <v>96</v>
      </c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80"/>
      <c r="AG512" s="87">
        <f t="shared" si="358"/>
        <v>0</v>
      </c>
      <c r="AH512" s="87">
        <f t="shared" si="359"/>
        <v>0</v>
      </c>
      <c r="AI512" s="87">
        <f t="shared" si="360"/>
        <v>0</v>
      </c>
      <c r="AJ512" s="87">
        <f t="shared" si="361"/>
        <v>0</v>
      </c>
      <c r="AK512" s="87">
        <f t="shared" si="362"/>
        <v>0</v>
      </c>
      <c r="AL512" s="87">
        <f t="shared" si="363"/>
        <v>0</v>
      </c>
      <c r="AM512" s="87">
        <f t="shared" si="364"/>
        <v>0</v>
      </c>
      <c r="AN512" s="87">
        <f t="shared" si="365"/>
        <v>0</v>
      </c>
      <c r="AO512" s="87">
        <f t="shared" si="366"/>
        <v>0</v>
      </c>
      <c r="AP512" s="87">
        <f t="shared" si="367"/>
        <v>0</v>
      </c>
      <c r="AQ512" s="87">
        <f t="shared" si="368"/>
        <v>0</v>
      </c>
      <c r="AR512" s="81"/>
      <c r="AS512" s="85">
        <f t="shared" si="369"/>
        <v>0</v>
      </c>
      <c r="AT512" s="85">
        <f t="shared" si="370"/>
        <v>0</v>
      </c>
      <c r="AU512" s="85">
        <f t="shared" si="371"/>
        <v>58</v>
      </c>
      <c r="AV512" s="85">
        <f t="shared" si="372"/>
        <v>76</v>
      </c>
      <c r="AW512" s="85">
        <f t="shared" si="373"/>
        <v>53</v>
      </c>
      <c r="AX512" s="85">
        <f t="shared" si="374"/>
        <v>85</v>
      </c>
      <c r="AY512" s="85">
        <f t="shared" si="375"/>
        <v>53</v>
      </c>
      <c r="AZ512" s="85">
        <f t="shared" si="376"/>
        <v>72</v>
      </c>
      <c r="BA512" s="85">
        <f t="shared" si="377"/>
        <v>72</v>
      </c>
      <c r="BB512" s="85">
        <f t="shared" si="378"/>
        <v>0</v>
      </c>
      <c r="BC512" s="85">
        <f t="shared" si="379"/>
        <v>0</v>
      </c>
      <c r="BD512" s="85">
        <f t="shared" si="380"/>
        <v>73</v>
      </c>
      <c r="BE512" s="85">
        <f t="shared" si="381"/>
        <v>0</v>
      </c>
      <c r="BF512" s="85">
        <f t="shared" si="382"/>
        <v>0</v>
      </c>
      <c r="BG512" s="85">
        <f t="shared" si="383"/>
        <v>0</v>
      </c>
      <c r="BH512" s="85">
        <f t="shared" si="384"/>
        <v>0</v>
      </c>
      <c r="BI512" s="85">
        <f t="shared" si="385"/>
        <v>0</v>
      </c>
      <c r="BJ512" s="85">
        <f t="shared" si="386"/>
        <v>0</v>
      </c>
      <c r="BK512" s="85">
        <f t="shared" si="387"/>
        <v>79</v>
      </c>
      <c r="BL512" s="85">
        <f t="shared" si="388"/>
        <v>79</v>
      </c>
      <c r="BM512" s="85">
        <f t="shared" si="389"/>
        <v>77</v>
      </c>
      <c r="BN512" s="85">
        <f t="shared" si="390"/>
        <v>0</v>
      </c>
      <c r="BO512" s="85">
        <f t="shared" si="391"/>
        <v>69</v>
      </c>
      <c r="BP512" s="85">
        <f t="shared" si="392"/>
        <v>0</v>
      </c>
      <c r="BQ512" s="85">
        <f t="shared" si="393"/>
        <v>68</v>
      </c>
      <c r="BR512" s="85">
        <f t="shared" si="394"/>
        <v>68</v>
      </c>
      <c r="BT512" s="63"/>
      <c r="BU512" s="63"/>
      <c r="BV512" s="63"/>
      <c r="BW512" s="63"/>
      <c r="BX512" s="63"/>
      <c r="BY512" s="63"/>
      <c r="BZ512" s="63"/>
      <c r="CA512" s="63"/>
      <c r="CB512" s="63"/>
      <c r="CC512" s="63"/>
      <c r="CD512" s="63"/>
      <c r="CE512" s="63"/>
      <c r="CF512" s="63"/>
      <c r="CG512" s="63"/>
      <c r="CH512" s="63"/>
      <c r="CI512" s="63"/>
      <c r="CJ512" s="63"/>
      <c r="CK512" s="63"/>
      <c r="CL512" s="63"/>
      <c r="CM512" s="63"/>
      <c r="CN512" s="63"/>
      <c r="CO512" s="63"/>
      <c r="CP512" s="63"/>
      <c r="CQ512" s="63"/>
      <c r="CR512" s="63"/>
      <c r="CS512" s="63"/>
      <c r="CX512" s="35" t="s">
        <v>12</v>
      </c>
      <c r="CZ512" s="35"/>
      <c r="DC512" s="57" t="str">
        <f t="shared" si="399"/>
        <v/>
      </c>
      <c r="DD512" s="64" t="str">
        <f t="shared" si="396"/>
        <v/>
      </c>
      <c r="DE512" s="65" t="str">
        <f t="shared" si="397"/>
        <v/>
      </c>
      <c r="DF512" s="66" t="str">
        <f t="shared" si="405"/>
        <v/>
      </c>
    </row>
    <row r="513" spans="2:110">
      <c r="B513" s="54">
        <f t="shared" si="401"/>
        <v>46643</v>
      </c>
      <c r="C513" s="55" t="s">
        <v>1</v>
      </c>
      <c r="D513" s="56">
        <f t="shared" si="402"/>
        <v>46649</v>
      </c>
      <c r="E513" s="52">
        <f t="shared" si="403"/>
        <v>9</v>
      </c>
      <c r="F513" s="53">
        <f t="shared" si="404"/>
        <v>2027</v>
      </c>
      <c r="G513" s="62">
        <f t="shared" si="398"/>
        <v>15</v>
      </c>
      <c r="H513" s="63">
        <f t="shared" si="400"/>
        <v>96</v>
      </c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80"/>
      <c r="AG513" s="87">
        <f t="shared" si="358"/>
        <v>0</v>
      </c>
      <c r="AH513" s="87">
        <f t="shared" si="359"/>
        <v>0</v>
      </c>
      <c r="AI513" s="87">
        <f t="shared" si="360"/>
        <v>0</v>
      </c>
      <c r="AJ513" s="87">
        <f t="shared" si="361"/>
        <v>0</v>
      </c>
      <c r="AK513" s="87">
        <f t="shared" si="362"/>
        <v>0</v>
      </c>
      <c r="AL513" s="87">
        <f t="shared" si="363"/>
        <v>0</v>
      </c>
      <c r="AM513" s="87">
        <f t="shared" si="364"/>
        <v>0</v>
      </c>
      <c r="AN513" s="87">
        <f t="shared" si="365"/>
        <v>0</v>
      </c>
      <c r="AO513" s="87">
        <f t="shared" si="366"/>
        <v>0</v>
      </c>
      <c r="AP513" s="87">
        <f t="shared" si="367"/>
        <v>0</v>
      </c>
      <c r="AQ513" s="87">
        <f t="shared" si="368"/>
        <v>0</v>
      </c>
      <c r="AR513" s="81"/>
      <c r="AS513" s="85">
        <f t="shared" si="369"/>
        <v>0</v>
      </c>
      <c r="AT513" s="85">
        <f t="shared" si="370"/>
        <v>0</v>
      </c>
      <c r="AU513" s="85">
        <f t="shared" si="371"/>
        <v>59</v>
      </c>
      <c r="AV513" s="85">
        <f t="shared" si="372"/>
        <v>77</v>
      </c>
      <c r="AW513" s="85">
        <f t="shared" si="373"/>
        <v>54</v>
      </c>
      <c r="AX513" s="85">
        <f t="shared" si="374"/>
        <v>86</v>
      </c>
      <c r="AY513" s="85">
        <f t="shared" si="375"/>
        <v>54</v>
      </c>
      <c r="AZ513" s="85">
        <f t="shared" si="376"/>
        <v>73</v>
      </c>
      <c r="BA513" s="85">
        <f t="shared" si="377"/>
        <v>73</v>
      </c>
      <c r="BB513" s="85">
        <f t="shared" si="378"/>
        <v>0</v>
      </c>
      <c r="BC513" s="85">
        <f t="shared" si="379"/>
        <v>0</v>
      </c>
      <c r="BD513" s="85">
        <f t="shared" si="380"/>
        <v>74</v>
      </c>
      <c r="BE513" s="85">
        <f t="shared" si="381"/>
        <v>0</v>
      </c>
      <c r="BF513" s="85">
        <f t="shared" si="382"/>
        <v>0</v>
      </c>
      <c r="BG513" s="85">
        <f t="shared" si="383"/>
        <v>0</v>
      </c>
      <c r="BH513" s="85">
        <f t="shared" si="384"/>
        <v>0</v>
      </c>
      <c r="BI513" s="85">
        <f t="shared" si="385"/>
        <v>0</v>
      </c>
      <c r="BJ513" s="85">
        <f t="shared" si="386"/>
        <v>0</v>
      </c>
      <c r="BK513" s="85">
        <f t="shared" si="387"/>
        <v>80</v>
      </c>
      <c r="BL513" s="85">
        <f t="shared" si="388"/>
        <v>80</v>
      </c>
      <c r="BM513" s="85">
        <f t="shared" si="389"/>
        <v>78</v>
      </c>
      <c r="BN513" s="85">
        <f t="shared" si="390"/>
        <v>0</v>
      </c>
      <c r="BO513" s="85">
        <f t="shared" si="391"/>
        <v>70</v>
      </c>
      <c r="BP513" s="85">
        <f t="shared" si="392"/>
        <v>0</v>
      </c>
      <c r="BQ513" s="85">
        <f t="shared" si="393"/>
        <v>69</v>
      </c>
      <c r="BR513" s="85">
        <f t="shared" si="394"/>
        <v>69</v>
      </c>
      <c r="BT513" s="63"/>
      <c r="BU513" s="63"/>
      <c r="BV513" s="63"/>
      <c r="BW513" s="63"/>
      <c r="BX513" s="63"/>
      <c r="BY513" s="63"/>
      <c r="BZ513" s="63"/>
      <c r="CA513" s="63"/>
      <c r="CB513" s="63"/>
      <c r="CC513" s="63"/>
      <c r="CD513" s="63"/>
      <c r="CE513" s="63"/>
      <c r="CF513" s="63"/>
      <c r="CG513" s="63"/>
      <c r="CH513" s="63"/>
      <c r="CI513" s="63"/>
      <c r="CJ513" s="63"/>
      <c r="CK513" s="63"/>
      <c r="CL513" s="63"/>
      <c r="CM513" s="63"/>
      <c r="CN513" s="63"/>
      <c r="CO513" s="63"/>
      <c r="CP513" s="63"/>
      <c r="CQ513" s="63"/>
      <c r="CR513" s="63"/>
      <c r="CS513" s="63"/>
      <c r="CX513" s="35" t="s">
        <v>12</v>
      </c>
      <c r="CZ513" s="35"/>
      <c r="DC513" s="57" t="str">
        <f t="shared" si="399"/>
        <v/>
      </c>
      <c r="DD513" s="64" t="str">
        <f t="shared" si="396"/>
        <v/>
      </c>
      <c r="DE513" s="65" t="str">
        <f t="shared" si="397"/>
        <v/>
      </c>
      <c r="DF513" s="66" t="str">
        <f t="shared" si="405"/>
        <v/>
      </c>
    </row>
    <row r="514" spans="2:110">
      <c r="B514" s="54">
        <f t="shared" si="401"/>
        <v>46650</v>
      </c>
      <c r="C514" s="55" t="s">
        <v>1</v>
      </c>
      <c r="D514" s="56">
        <f t="shared" si="402"/>
        <v>46656</v>
      </c>
      <c r="E514" s="52">
        <f t="shared" si="403"/>
        <v>9</v>
      </c>
      <c r="F514" s="53">
        <f t="shared" si="404"/>
        <v>2027</v>
      </c>
      <c r="G514" s="62">
        <f t="shared" si="398"/>
        <v>15</v>
      </c>
      <c r="H514" s="63">
        <f t="shared" si="400"/>
        <v>96</v>
      </c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80"/>
      <c r="AG514" s="87">
        <f t="shared" si="358"/>
        <v>0</v>
      </c>
      <c r="AH514" s="87">
        <f t="shared" si="359"/>
        <v>0</v>
      </c>
      <c r="AI514" s="87">
        <f t="shared" si="360"/>
        <v>0</v>
      </c>
      <c r="AJ514" s="87">
        <f t="shared" si="361"/>
        <v>0</v>
      </c>
      <c r="AK514" s="87">
        <f t="shared" si="362"/>
        <v>0</v>
      </c>
      <c r="AL514" s="87">
        <f t="shared" si="363"/>
        <v>0</v>
      </c>
      <c r="AM514" s="87">
        <f t="shared" si="364"/>
        <v>0</v>
      </c>
      <c r="AN514" s="87">
        <f t="shared" si="365"/>
        <v>0</v>
      </c>
      <c r="AO514" s="87">
        <f t="shared" si="366"/>
        <v>0</v>
      </c>
      <c r="AP514" s="87">
        <f t="shared" si="367"/>
        <v>0</v>
      </c>
      <c r="AQ514" s="87">
        <f t="shared" si="368"/>
        <v>0</v>
      </c>
      <c r="AR514" s="81"/>
      <c r="AS514" s="85">
        <f t="shared" si="369"/>
        <v>0</v>
      </c>
      <c r="AT514" s="85">
        <f t="shared" si="370"/>
        <v>0</v>
      </c>
      <c r="AU514" s="85">
        <f t="shared" si="371"/>
        <v>60</v>
      </c>
      <c r="AV514" s="85">
        <f t="shared" si="372"/>
        <v>78</v>
      </c>
      <c r="AW514" s="85">
        <f t="shared" si="373"/>
        <v>55</v>
      </c>
      <c r="AX514" s="85">
        <f t="shared" si="374"/>
        <v>87</v>
      </c>
      <c r="AY514" s="85">
        <f t="shared" si="375"/>
        <v>55</v>
      </c>
      <c r="AZ514" s="85">
        <f t="shared" si="376"/>
        <v>74</v>
      </c>
      <c r="BA514" s="85">
        <f t="shared" si="377"/>
        <v>74</v>
      </c>
      <c r="BB514" s="85">
        <f t="shared" si="378"/>
        <v>0</v>
      </c>
      <c r="BC514" s="85">
        <f t="shared" si="379"/>
        <v>0</v>
      </c>
      <c r="BD514" s="85">
        <f t="shared" si="380"/>
        <v>75</v>
      </c>
      <c r="BE514" s="85">
        <f t="shared" si="381"/>
        <v>0</v>
      </c>
      <c r="BF514" s="85">
        <f t="shared" si="382"/>
        <v>0</v>
      </c>
      <c r="BG514" s="85">
        <f t="shared" si="383"/>
        <v>0</v>
      </c>
      <c r="BH514" s="85">
        <f t="shared" si="384"/>
        <v>0</v>
      </c>
      <c r="BI514" s="85">
        <f t="shared" si="385"/>
        <v>0</v>
      </c>
      <c r="BJ514" s="85">
        <f t="shared" si="386"/>
        <v>0</v>
      </c>
      <c r="BK514" s="85">
        <f t="shared" si="387"/>
        <v>81</v>
      </c>
      <c r="BL514" s="85">
        <f t="shared" si="388"/>
        <v>81</v>
      </c>
      <c r="BM514" s="85">
        <f t="shared" si="389"/>
        <v>79</v>
      </c>
      <c r="BN514" s="85">
        <f t="shared" si="390"/>
        <v>0</v>
      </c>
      <c r="BO514" s="85">
        <f t="shared" si="391"/>
        <v>71</v>
      </c>
      <c r="BP514" s="85">
        <f t="shared" si="392"/>
        <v>0</v>
      </c>
      <c r="BQ514" s="85">
        <f t="shared" si="393"/>
        <v>70</v>
      </c>
      <c r="BR514" s="85">
        <f t="shared" si="394"/>
        <v>70</v>
      </c>
      <c r="BT514" s="63"/>
      <c r="BU514" s="63"/>
      <c r="BV514" s="63"/>
      <c r="BW514" s="63"/>
      <c r="BX514" s="63"/>
      <c r="BY514" s="63"/>
      <c r="BZ514" s="63"/>
      <c r="CA514" s="63"/>
      <c r="CB514" s="63"/>
      <c r="CC514" s="63"/>
      <c r="CD514" s="63"/>
      <c r="CE514" s="63"/>
      <c r="CF514" s="63"/>
      <c r="CG514" s="63"/>
      <c r="CH514" s="63"/>
      <c r="CI514" s="63"/>
      <c r="CJ514" s="63"/>
      <c r="CK514" s="63"/>
      <c r="CL514" s="63"/>
      <c r="CM514" s="63"/>
      <c r="CN514" s="63"/>
      <c r="CO514" s="63"/>
      <c r="CP514" s="63"/>
      <c r="CQ514" s="63"/>
      <c r="CR514" s="63"/>
      <c r="CS514" s="63"/>
      <c r="CX514" s="35" t="s">
        <v>12</v>
      </c>
      <c r="CZ514" s="35"/>
      <c r="DC514" s="57" t="str">
        <f t="shared" si="399"/>
        <v/>
      </c>
      <c r="DD514" s="64" t="str">
        <f t="shared" si="396"/>
        <v/>
      </c>
      <c r="DE514" s="65" t="str">
        <f t="shared" si="397"/>
        <v/>
      </c>
      <c r="DF514" s="66" t="str">
        <f t="shared" si="405"/>
        <v/>
      </c>
    </row>
    <row r="515" spans="2:110">
      <c r="B515" s="54">
        <f t="shared" si="401"/>
        <v>46657</v>
      </c>
      <c r="C515" s="55" t="s">
        <v>1</v>
      </c>
      <c r="D515" s="56">
        <f t="shared" si="402"/>
        <v>46663</v>
      </c>
      <c r="E515" s="52">
        <f t="shared" si="403"/>
        <v>9</v>
      </c>
      <c r="F515" s="53">
        <f t="shared" si="404"/>
        <v>2027</v>
      </c>
      <c r="G515" s="62">
        <f t="shared" si="398"/>
        <v>15</v>
      </c>
      <c r="H515" s="63">
        <f t="shared" si="400"/>
        <v>96</v>
      </c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80"/>
      <c r="AG515" s="87">
        <f t="shared" si="358"/>
        <v>0</v>
      </c>
      <c r="AH515" s="87">
        <f t="shared" si="359"/>
        <v>0</v>
      </c>
      <c r="AI515" s="87">
        <f t="shared" si="360"/>
        <v>0</v>
      </c>
      <c r="AJ515" s="87">
        <f t="shared" si="361"/>
        <v>0</v>
      </c>
      <c r="AK515" s="87">
        <f t="shared" si="362"/>
        <v>0</v>
      </c>
      <c r="AL515" s="87">
        <f t="shared" si="363"/>
        <v>0</v>
      </c>
      <c r="AM515" s="87">
        <f t="shared" si="364"/>
        <v>0</v>
      </c>
      <c r="AN515" s="87">
        <f t="shared" si="365"/>
        <v>0</v>
      </c>
      <c r="AO515" s="87">
        <f t="shared" si="366"/>
        <v>0</v>
      </c>
      <c r="AP515" s="87">
        <f t="shared" si="367"/>
        <v>0</v>
      </c>
      <c r="AQ515" s="87">
        <f t="shared" si="368"/>
        <v>0</v>
      </c>
      <c r="AR515" s="81"/>
      <c r="AS515" s="85">
        <f t="shared" si="369"/>
        <v>0</v>
      </c>
      <c r="AT515" s="85">
        <f t="shared" si="370"/>
        <v>0</v>
      </c>
      <c r="AU515" s="85">
        <f t="shared" si="371"/>
        <v>61</v>
      </c>
      <c r="AV515" s="85">
        <f t="shared" si="372"/>
        <v>79</v>
      </c>
      <c r="AW515" s="85">
        <f t="shared" si="373"/>
        <v>56</v>
      </c>
      <c r="AX515" s="85">
        <f t="shared" si="374"/>
        <v>88</v>
      </c>
      <c r="AY515" s="85">
        <f t="shared" si="375"/>
        <v>56</v>
      </c>
      <c r="AZ515" s="85">
        <f t="shared" si="376"/>
        <v>75</v>
      </c>
      <c r="BA515" s="85">
        <f t="shared" si="377"/>
        <v>75</v>
      </c>
      <c r="BB515" s="85">
        <f t="shared" si="378"/>
        <v>0</v>
      </c>
      <c r="BC515" s="85">
        <f t="shared" si="379"/>
        <v>0</v>
      </c>
      <c r="BD515" s="85">
        <f t="shared" si="380"/>
        <v>76</v>
      </c>
      <c r="BE515" s="85">
        <f t="shared" si="381"/>
        <v>0</v>
      </c>
      <c r="BF515" s="85">
        <f t="shared" si="382"/>
        <v>0</v>
      </c>
      <c r="BG515" s="85">
        <f t="shared" si="383"/>
        <v>0</v>
      </c>
      <c r="BH515" s="85">
        <f t="shared" si="384"/>
        <v>0</v>
      </c>
      <c r="BI515" s="85">
        <f t="shared" si="385"/>
        <v>0</v>
      </c>
      <c r="BJ515" s="85">
        <f t="shared" si="386"/>
        <v>0</v>
      </c>
      <c r="BK515" s="85">
        <f t="shared" si="387"/>
        <v>82</v>
      </c>
      <c r="BL515" s="85">
        <f t="shared" si="388"/>
        <v>82</v>
      </c>
      <c r="BM515" s="85">
        <f t="shared" si="389"/>
        <v>80</v>
      </c>
      <c r="BN515" s="85">
        <f t="shared" si="390"/>
        <v>0</v>
      </c>
      <c r="BO515" s="85">
        <f t="shared" si="391"/>
        <v>72</v>
      </c>
      <c r="BP515" s="85">
        <f t="shared" si="392"/>
        <v>0</v>
      </c>
      <c r="BQ515" s="85">
        <f t="shared" si="393"/>
        <v>71</v>
      </c>
      <c r="BR515" s="85">
        <f t="shared" si="394"/>
        <v>71</v>
      </c>
      <c r="BT515" s="63"/>
      <c r="BU515" s="63"/>
      <c r="BV515" s="63"/>
      <c r="BW515" s="63"/>
      <c r="BX515" s="63"/>
      <c r="BY515" s="63"/>
      <c r="BZ515" s="63"/>
      <c r="CA515" s="63"/>
      <c r="CB515" s="63"/>
      <c r="CC515" s="63"/>
      <c r="CD515" s="63"/>
      <c r="CE515" s="63"/>
      <c r="CF515" s="63"/>
      <c r="CG515" s="63"/>
      <c r="CH515" s="63"/>
      <c r="CI515" s="63"/>
      <c r="CJ515" s="63"/>
      <c r="CK515" s="63"/>
      <c r="CL515" s="63"/>
      <c r="CM515" s="63"/>
      <c r="CN515" s="63"/>
      <c r="CO515" s="63"/>
      <c r="CP515" s="63"/>
      <c r="CQ515" s="63"/>
      <c r="CR515" s="63"/>
      <c r="CS515" s="63"/>
      <c r="CX515" s="35" t="s">
        <v>12</v>
      </c>
      <c r="CZ515" s="35"/>
      <c r="DC515" s="57" t="str">
        <f t="shared" si="399"/>
        <v/>
      </c>
      <c r="DD515" s="64" t="str">
        <f t="shared" si="396"/>
        <v/>
      </c>
      <c r="DE515" s="65" t="str">
        <f t="shared" si="397"/>
        <v/>
      </c>
      <c r="DF515" s="66" t="str">
        <f t="shared" si="405"/>
        <v/>
      </c>
    </row>
    <row r="516" spans="2:110">
      <c r="B516" s="54">
        <f t="shared" si="401"/>
        <v>46664</v>
      </c>
      <c r="C516" s="55" t="s">
        <v>1</v>
      </c>
      <c r="D516" s="56">
        <f t="shared" si="402"/>
        <v>46670</v>
      </c>
      <c r="E516" s="52">
        <f t="shared" si="403"/>
        <v>10</v>
      </c>
      <c r="F516" s="53">
        <f t="shared" si="404"/>
        <v>2027</v>
      </c>
      <c r="G516" s="62">
        <f t="shared" si="398"/>
        <v>15</v>
      </c>
      <c r="H516" s="63">
        <f t="shared" si="400"/>
        <v>96</v>
      </c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80"/>
      <c r="AG516" s="87">
        <f t="shared" si="358"/>
        <v>0</v>
      </c>
      <c r="AH516" s="87">
        <f t="shared" si="359"/>
        <v>0</v>
      </c>
      <c r="AI516" s="87">
        <f t="shared" si="360"/>
        <v>0</v>
      </c>
      <c r="AJ516" s="87">
        <f t="shared" si="361"/>
        <v>0</v>
      </c>
      <c r="AK516" s="87">
        <f t="shared" si="362"/>
        <v>0</v>
      </c>
      <c r="AL516" s="87">
        <f t="shared" si="363"/>
        <v>0</v>
      </c>
      <c r="AM516" s="87">
        <f t="shared" si="364"/>
        <v>0</v>
      </c>
      <c r="AN516" s="87">
        <f t="shared" si="365"/>
        <v>0</v>
      </c>
      <c r="AO516" s="87">
        <f t="shared" si="366"/>
        <v>0</v>
      </c>
      <c r="AP516" s="87">
        <f t="shared" si="367"/>
        <v>0</v>
      </c>
      <c r="AQ516" s="87">
        <f t="shared" si="368"/>
        <v>0</v>
      </c>
      <c r="AR516" s="81"/>
      <c r="AS516" s="85">
        <f t="shared" si="369"/>
        <v>0</v>
      </c>
      <c r="AT516" s="85">
        <f t="shared" si="370"/>
        <v>0</v>
      </c>
      <c r="AU516" s="85">
        <f t="shared" si="371"/>
        <v>62</v>
      </c>
      <c r="AV516" s="85">
        <f t="shared" si="372"/>
        <v>80</v>
      </c>
      <c r="AW516" s="85">
        <f t="shared" si="373"/>
        <v>57</v>
      </c>
      <c r="AX516" s="85">
        <f t="shared" si="374"/>
        <v>89</v>
      </c>
      <c r="AY516" s="85">
        <f t="shared" si="375"/>
        <v>57</v>
      </c>
      <c r="AZ516" s="85">
        <f t="shared" si="376"/>
        <v>76</v>
      </c>
      <c r="BA516" s="85">
        <f t="shared" si="377"/>
        <v>76</v>
      </c>
      <c r="BB516" s="85">
        <f t="shared" si="378"/>
        <v>0</v>
      </c>
      <c r="BC516" s="85">
        <f t="shared" si="379"/>
        <v>0</v>
      </c>
      <c r="BD516" s="85">
        <f t="shared" si="380"/>
        <v>77</v>
      </c>
      <c r="BE516" s="85">
        <f t="shared" si="381"/>
        <v>0</v>
      </c>
      <c r="BF516" s="85">
        <f t="shared" si="382"/>
        <v>0</v>
      </c>
      <c r="BG516" s="85">
        <f t="shared" si="383"/>
        <v>0</v>
      </c>
      <c r="BH516" s="85">
        <f t="shared" si="384"/>
        <v>0</v>
      </c>
      <c r="BI516" s="85">
        <f t="shared" si="385"/>
        <v>0</v>
      </c>
      <c r="BJ516" s="85">
        <f t="shared" si="386"/>
        <v>0</v>
      </c>
      <c r="BK516" s="85">
        <f t="shared" si="387"/>
        <v>83</v>
      </c>
      <c r="BL516" s="85">
        <f t="shared" si="388"/>
        <v>83</v>
      </c>
      <c r="BM516" s="85">
        <f t="shared" si="389"/>
        <v>81</v>
      </c>
      <c r="BN516" s="85">
        <f t="shared" si="390"/>
        <v>0</v>
      </c>
      <c r="BO516" s="85">
        <f t="shared" si="391"/>
        <v>73</v>
      </c>
      <c r="BP516" s="85">
        <f t="shared" si="392"/>
        <v>0</v>
      </c>
      <c r="BQ516" s="85">
        <f t="shared" si="393"/>
        <v>72</v>
      </c>
      <c r="BR516" s="85">
        <f t="shared" si="394"/>
        <v>72</v>
      </c>
      <c r="BT516" s="63"/>
      <c r="BU516" s="63"/>
      <c r="BV516" s="63"/>
      <c r="BW516" s="63"/>
      <c r="BX516" s="63"/>
      <c r="BY516" s="63"/>
      <c r="BZ516" s="63"/>
      <c r="CA516" s="63"/>
      <c r="CB516" s="63"/>
      <c r="CC516" s="63"/>
      <c r="CD516" s="63"/>
      <c r="CE516" s="63"/>
      <c r="CF516" s="63"/>
      <c r="CG516" s="63"/>
      <c r="CH516" s="63"/>
      <c r="CI516" s="63"/>
      <c r="CJ516" s="63"/>
      <c r="CK516" s="63"/>
      <c r="CL516" s="63"/>
      <c r="CM516" s="63"/>
      <c r="CN516" s="63"/>
      <c r="CO516" s="63"/>
      <c r="CP516" s="63"/>
      <c r="CQ516" s="63"/>
      <c r="CR516" s="63"/>
      <c r="CS516" s="63"/>
      <c r="CX516" s="35" t="s">
        <v>12</v>
      </c>
      <c r="CZ516" s="35"/>
      <c r="DC516" s="57" t="str">
        <f t="shared" si="399"/>
        <v/>
      </c>
      <c r="DD516" s="64" t="str">
        <f t="shared" si="396"/>
        <v/>
      </c>
      <c r="DE516" s="65" t="str">
        <f t="shared" si="397"/>
        <v/>
      </c>
      <c r="DF516" s="66" t="str">
        <f t="shared" si="405"/>
        <v/>
      </c>
    </row>
    <row r="517" spans="2:110">
      <c r="B517" s="54">
        <f t="shared" si="401"/>
        <v>46671</v>
      </c>
      <c r="C517" s="55" t="s">
        <v>1</v>
      </c>
      <c r="D517" s="56">
        <f t="shared" si="402"/>
        <v>46677</v>
      </c>
      <c r="E517" s="52">
        <f t="shared" si="403"/>
        <v>10</v>
      </c>
      <c r="F517" s="53">
        <f t="shared" si="404"/>
        <v>2027</v>
      </c>
      <c r="G517" s="62">
        <f t="shared" si="398"/>
        <v>15</v>
      </c>
      <c r="H517" s="63">
        <f t="shared" si="400"/>
        <v>96</v>
      </c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80"/>
      <c r="AG517" s="87">
        <f t="shared" si="358"/>
        <v>0</v>
      </c>
      <c r="AH517" s="87">
        <f t="shared" si="359"/>
        <v>0</v>
      </c>
      <c r="AI517" s="87">
        <f t="shared" si="360"/>
        <v>0</v>
      </c>
      <c r="AJ517" s="87">
        <f t="shared" si="361"/>
        <v>0</v>
      </c>
      <c r="AK517" s="87">
        <f t="shared" si="362"/>
        <v>0</v>
      </c>
      <c r="AL517" s="87">
        <f t="shared" si="363"/>
        <v>0</v>
      </c>
      <c r="AM517" s="87">
        <f t="shared" si="364"/>
        <v>0</v>
      </c>
      <c r="AN517" s="87">
        <f t="shared" si="365"/>
        <v>0</v>
      </c>
      <c r="AO517" s="87">
        <f t="shared" si="366"/>
        <v>0</v>
      </c>
      <c r="AP517" s="87">
        <f t="shared" si="367"/>
        <v>0</v>
      </c>
      <c r="AQ517" s="87">
        <f t="shared" si="368"/>
        <v>0</v>
      </c>
      <c r="AR517" s="81"/>
      <c r="AS517" s="85">
        <f t="shared" si="369"/>
        <v>0</v>
      </c>
      <c r="AT517" s="85">
        <f t="shared" si="370"/>
        <v>0</v>
      </c>
      <c r="AU517" s="85">
        <f t="shared" si="371"/>
        <v>63</v>
      </c>
      <c r="AV517" s="85">
        <f t="shared" si="372"/>
        <v>81</v>
      </c>
      <c r="AW517" s="85">
        <f t="shared" si="373"/>
        <v>58</v>
      </c>
      <c r="AX517" s="85">
        <f t="shared" si="374"/>
        <v>90</v>
      </c>
      <c r="AY517" s="85">
        <f t="shared" si="375"/>
        <v>58</v>
      </c>
      <c r="AZ517" s="85">
        <f t="shared" si="376"/>
        <v>77</v>
      </c>
      <c r="BA517" s="85">
        <f t="shared" si="377"/>
        <v>77</v>
      </c>
      <c r="BB517" s="85">
        <f t="shared" si="378"/>
        <v>0</v>
      </c>
      <c r="BC517" s="85">
        <f t="shared" si="379"/>
        <v>0</v>
      </c>
      <c r="BD517" s="85">
        <f t="shared" si="380"/>
        <v>78</v>
      </c>
      <c r="BE517" s="85">
        <f t="shared" si="381"/>
        <v>0</v>
      </c>
      <c r="BF517" s="85">
        <f t="shared" si="382"/>
        <v>0</v>
      </c>
      <c r="BG517" s="85">
        <f t="shared" si="383"/>
        <v>0</v>
      </c>
      <c r="BH517" s="85">
        <f t="shared" si="384"/>
        <v>0</v>
      </c>
      <c r="BI517" s="85">
        <f t="shared" si="385"/>
        <v>0</v>
      </c>
      <c r="BJ517" s="85">
        <f t="shared" si="386"/>
        <v>0</v>
      </c>
      <c r="BK517" s="85">
        <f t="shared" si="387"/>
        <v>84</v>
      </c>
      <c r="BL517" s="85">
        <f t="shared" si="388"/>
        <v>84</v>
      </c>
      <c r="BM517" s="85">
        <f t="shared" si="389"/>
        <v>82</v>
      </c>
      <c r="BN517" s="85">
        <f t="shared" si="390"/>
        <v>0</v>
      </c>
      <c r="BO517" s="85">
        <f t="shared" si="391"/>
        <v>74</v>
      </c>
      <c r="BP517" s="85">
        <f t="shared" si="392"/>
        <v>0</v>
      </c>
      <c r="BQ517" s="85">
        <f t="shared" si="393"/>
        <v>73</v>
      </c>
      <c r="BR517" s="85">
        <f t="shared" si="394"/>
        <v>73</v>
      </c>
      <c r="BT517" s="63"/>
      <c r="BU517" s="63"/>
      <c r="BV517" s="63"/>
      <c r="BW517" s="63"/>
      <c r="BX517" s="63"/>
      <c r="BY517" s="63"/>
      <c r="BZ517" s="63"/>
      <c r="CA517" s="63"/>
      <c r="CB517" s="63"/>
      <c r="CC517" s="63"/>
      <c r="CD517" s="63"/>
      <c r="CE517" s="63"/>
      <c r="CF517" s="63"/>
      <c r="CG517" s="63"/>
      <c r="CH517" s="63"/>
      <c r="CI517" s="63"/>
      <c r="CJ517" s="63"/>
      <c r="CK517" s="63"/>
      <c r="CL517" s="63"/>
      <c r="CM517" s="63"/>
      <c r="CN517" s="63"/>
      <c r="CO517" s="63"/>
      <c r="CP517" s="63"/>
      <c r="CQ517" s="63"/>
      <c r="CR517" s="63"/>
      <c r="CS517" s="63"/>
      <c r="CX517" s="35" t="s">
        <v>12</v>
      </c>
      <c r="CZ517" s="35"/>
      <c r="DC517" s="57" t="str">
        <f t="shared" si="399"/>
        <v/>
      </c>
      <c r="DD517" s="64" t="str">
        <f t="shared" si="396"/>
        <v/>
      </c>
      <c r="DE517" s="65" t="str">
        <f t="shared" si="397"/>
        <v/>
      </c>
      <c r="DF517" s="66" t="str">
        <f t="shared" si="405"/>
        <v/>
      </c>
    </row>
    <row r="518" spans="2:110">
      <c r="B518" s="54">
        <f t="shared" si="401"/>
        <v>46678</v>
      </c>
      <c r="C518" s="55" t="s">
        <v>1</v>
      </c>
      <c r="D518" s="56">
        <f t="shared" si="402"/>
        <v>46684</v>
      </c>
      <c r="E518" s="52">
        <f t="shared" si="403"/>
        <v>10</v>
      </c>
      <c r="F518" s="53">
        <f t="shared" si="404"/>
        <v>2027</v>
      </c>
      <c r="G518" s="62">
        <f t="shared" si="398"/>
        <v>15</v>
      </c>
      <c r="H518" s="63">
        <f t="shared" si="400"/>
        <v>96</v>
      </c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80"/>
      <c r="AG518" s="87">
        <f t="shared" si="358"/>
        <v>0</v>
      </c>
      <c r="AH518" s="87">
        <f t="shared" si="359"/>
        <v>0</v>
      </c>
      <c r="AI518" s="87">
        <f t="shared" si="360"/>
        <v>0</v>
      </c>
      <c r="AJ518" s="87">
        <f t="shared" si="361"/>
        <v>0</v>
      </c>
      <c r="AK518" s="87">
        <f t="shared" si="362"/>
        <v>0</v>
      </c>
      <c r="AL518" s="87">
        <f t="shared" si="363"/>
        <v>0</v>
      </c>
      <c r="AM518" s="87">
        <f t="shared" si="364"/>
        <v>0</v>
      </c>
      <c r="AN518" s="87">
        <f t="shared" si="365"/>
        <v>0</v>
      </c>
      <c r="AO518" s="87">
        <f t="shared" si="366"/>
        <v>0</v>
      </c>
      <c r="AP518" s="87">
        <f t="shared" si="367"/>
        <v>0</v>
      </c>
      <c r="AQ518" s="87">
        <f t="shared" si="368"/>
        <v>0</v>
      </c>
      <c r="AR518" s="81"/>
      <c r="AS518" s="85">
        <f t="shared" si="369"/>
        <v>0</v>
      </c>
      <c r="AT518" s="85">
        <f t="shared" si="370"/>
        <v>0</v>
      </c>
      <c r="AU518" s="85">
        <f t="shared" si="371"/>
        <v>64</v>
      </c>
      <c r="AV518" s="85">
        <f t="shared" si="372"/>
        <v>82</v>
      </c>
      <c r="AW518" s="85">
        <f t="shared" si="373"/>
        <v>59</v>
      </c>
      <c r="AX518" s="85">
        <f t="shared" si="374"/>
        <v>91</v>
      </c>
      <c r="AY518" s="85">
        <f t="shared" si="375"/>
        <v>59</v>
      </c>
      <c r="AZ518" s="85">
        <f t="shared" si="376"/>
        <v>78</v>
      </c>
      <c r="BA518" s="85">
        <f t="shared" si="377"/>
        <v>78</v>
      </c>
      <c r="BB518" s="85">
        <f t="shared" si="378"/>
        <v>0</v>
      </c>
      <c r="BC518" s="85">
        <f t="shared" si="379"/>
        <v>0</v>
      </c>
      <c r="BD518" s="85">
        <f t="shared" si="380"/>
        <v>79</v>
      </c>
      <c r="BE518" s="85">
        <f t="shared" si="381"/>
        <v>0</v>
      </c>
      <c r="BF518" s="85">
        <f t="shared" si="382"/>
        <v>0</v>
      </c>
      <c r="BG518" s="85">
        <f t="shared" si="383"/>
        <v>0</v>
      </c>
      <c r="BH518" s="85">
        <f t="shared" si="384"/>
        <v>0</v>
      </c>
      <c r="BI518" s="85">
        <f t="shared" si="385"/>
        <v>0</v>
      </c>
      <c r="BJ518" s="85">
        <f t="shared" si="386"/>
        <v>0</v>
      </c>
      <c r="BK518" s="85">
        <f t="shared" si="387"/>
        <v>85</v>
      </c>
      <c r="BL518" s="85">
        <f t="shared" si="388"/>
        <v>85</v>
      </c>
      <c r="BM518" s="85">
        <f t="shared" si="389"/>
        <v>83</v>
      </c>
      <c r="BN518" s="85">
        <f t="shared" si="390"/>
        <v>0</v>
      </c>
      <c r="BO518" s="85">
        <f t="shared" si="391"/>
        <v>75</v>
      </c>
      <c r="BP518" s="85">
        <f t="shared" si="392"/>
        <v>0</v>
      </c>
      <c r="BQ518" s="85">
        <f t="shared" si="393"/>
        <v>74</v>
      </c>
      <c r="BR518" s="85">
        <f t="shared" si="394"/>
        <v>74</v>
      </c>
      <c r="BT518" s="63"/>
      <c r="BU518" s="63"/>
      <c r="BV518" s="63"/>
      <c r="BW518" s="63"/>
      <c r="BX518" s="63"/>
      <c r="BY518" s="63"/>
      <c r="BZ518" s="63"/>
      <c r="CA518" s="63"/>
      <c r="CB518" s="63"/>
      <c r="CC518" s="63"/>
      <c r="CD518" s="63"/>
      <c r="CE518" s="63"/>
      <c r="CF518" s="63"/>
      <c r="CG518" s="63"/>
      <c r="CH518" s="63"/>
      <c r="CI518" s="63"/>
      <c r="CJ518" s="63"/>
      <c r="CK518" s="63"/>
      <c r="CL518" s="63"/>
      <c r="CM518" s="63"/>
      <c r="CN518" s="63"/>
      <c r="CO518" s="63"/>
      <c r="CP518" s="63"/>
      <c r="CQ518" s="63"/>
      <c r="CR518" s="63"/>
      <c r="CS518" s="63"/>
      <c r="CX518" s="35" t="s">
        <v>12</v>
      </c>
      <c r="CZ518" s="35"/>
      <c r="DC518" s="57" t="str">
        <f t="shared" si="399"/>
        <v/>
      </c>
      <c r="DD518" s="64" t="str">
        <f t="shared" si="396"/>
        <v/>
      </c>
      <c r="DE518" s="65" t="str">
        <f t="shared" si="397"/>
        <v/>
      </c>
      <c r="DF518" s="66" t="str">
        <f t="shared" si="405"/>
        <v/>
      </c>
    </row>
    <row r="519" spans="2:110">
      <c r="B519" s="54">
        <f t="shared" si="401"/>
        <v>46685</v>
      </c>
      <c r="C519" s="55" t="s">
        <v>1</v>
      </c>
      <c r="D519" s="56">
        <f t="shared" si="402"/>
        <v>46691</v>
      </c>
      <c r="E519" s="52">
        <f t="shared" si="403"/>
        <v>10</v>
      </c>
      <c r="F519" s="53">
        <f t="shared" si="404"/>
        <v>2027</v>
      </c>
      <c r="G519" s="62">
        <f t="shared" si="398"/>
        <v>15</v>
      </c>
      <c r="H519" s="63">
        <f t="shared" si="400"/>
        <v>96</v>
      </c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80"/>
      <c r="AG519" s="87">
        <f t="shared" ref="AG519:AG582" si="406">IF(I519&gt;0,I519,IF(U519=1,$B519+2,IF(U518=1,1,IF(U518=2,0,IF(AG518=$G518,0,(IF(AG518&gt;=1,AG518+1,0)))))))</f>
        <v>0</v>
      </c>
      <c r="AH519" s="87">
        <f t="shared" ref="AH519:AH582" si="407">IF(J519&gt;0,J519,IF(V519=1,$B519+2,IF(V518=1,1,IF(V518=2,0,IF(AH518=$G518,0,(IF(AH518&gt;=1,AH518+1,0)))))))</f>
        <v>0</v>
      </c>
      <c r="AI519" s="87">
        <f t="shared" ref="AI519:AI582" si="408">IF(K519&gt;0,K519,IF(W519=1,$B519+2,IF(W518=1,1,IF(W518=2,0,IF(AI518=$G518,0,(IF(AI518&gt;=1,AI518+1,0)))))))</f>
        <v>0</v>
      </c>
      <c r="AJ519" s="87">
        <f t="shared" ref="AJ519:AJ582" si="409">IF(L519&gt;0,L519,IF(X519=1,$B519+2,IF(X518=1,1,IF(X518=2,0,IF(AJ518=$G518,0,(IF(AJ518&gt;=1,AJ518+1,0)))))))</f>
        <v>0</v>
      </c>
      <c r="AK519" s="87">
        <f t="shared" ref="AK519:AK582" si="410">IF(M519&gt;0,M519,IF(Y519=1,$B519+2,IF(Y518=1,1,IF(Y518=2,0,IF(AK518=$G518,0,(IF(AK518&gt;=1,AK518+1,0)))))))</f>
        <v>0</v>
      </c>
      <c r="AL519" s="87">
        <f t="shared" ref="AL519:AL582" si="411">IF(N519&gt;0,N519,IF(Z519=1,$B519+2,IF(Z518=1,1,IF(Z518=2,0,IF(AL518=$G518,0,(IF(AL518&gt;=1,AL518+1,0)))))))</f>
        <v>0</v>
      </c>
      <c r="AM519" s="87">
        <f t="shared" ref="AM519:AM582" si="412">IF(O519&gt;0,O519,IF(AA519=1,$B519+2,IF(AA518=1,1,IF(AA518=2,0,IF(AM518=$G518,0,(IF(AM518&gt;=1,AM518+1,0)))))))</f>
        <v>0</v>
      </c>
      <c r="AN519" s="87">
        <f t="shared" ref="AN519:AN582" si="413">IF(P519&gt;0,P519,IF(AB519=1,$B519+2,IF(AB518=1,1,IF(AB518=2,0,IF(AN518=$G518,0,(IF(AN518&gt;=1,AN518+1,0)))))))</f>
        <v>0</v>
      </c>
      <c r="AO519" s="87">
        <f t="shared" ref="AO519:AO582" si="414">IF(Q519&gt;0,Q519,IF(AC519=1,$B519+2,IF(AC518=1,1,IF(AC518=2,0,IF(AO518=$G518,0,(IF(AO518&gt;=1,AO518+1,0)))))))</f>
        <v>0</v>
      </c>
      <c r="AP519" s="87">
        <f t="shared" ref="AP519:AP582" si="415">IF(R519&gt;0,R519,IF(AD519=1,$B519+2,IF(AD518=1,1,IF(AD518=2,0,IF(AP518=$G518,0,(IF(AP518&gt;=1,AP518+1,0)))))))</f>
        <v>0</v>
      </c>
      <c r="AQ519" s="87">
        <f t="shared" ref="AQ519:AQ582" si="416">IF(S519&gt;0,S519,IF(AE519=1,$B519+2,IF(AE518=1,1,IF(AE518=2,0,IF(AQ518=$G518,0,(IF(AQ518&gt;=1,AQ518+1,0)))))))</f>
        <v>0</v>
      </c>
      <c r="AR519" s="81"/>
      <c r="AS519" s="85">
        <f t="shared" ref="AS519:AS582" si="417">IF(AND(BT519&gt;=$AG$5,BT519&lt;=$AQ$5),LOOKUP(BT519,$AG$5:$AQ$5,$AG519:$AQ519),IF(BT518="A",0,IF(AS518=$H519,0,IF(AS518=0,0,AS518+1))))</f>
        <v>0</v>
      </c>
      <c r="AT519" s="85">
        <f t="shared" ref="AT519:AT582" si="418">IF(AND(BU519&gt;=$AG$5,BU519&lt;=$AQ$5),LOOKUP(BU519,$AG$5:$AQ$5,$AG519:$AQ519),IF(BU518="A",0,IF(AT518=$H519,0,IF(AT518=0,0,AT518+1))))</f>
        <v>0</v>
      </c>
      <c r="AU519" s="85">
        <f t="shared" ref="AU519:AU582" si="419">IF(AND(BV519&gt;=$AG$5,BV519&lt;=$AQ$5),LOOKUP(BV519,$AG$5:$AQ$5,$AG519:$AQ519),IF(BV518="A",0,IF(AU518=$H519,0,IF(AU518=0,0,AU518+1))))</f>
        <v>65</v>
      </c>
      <c r="AV519" s="85">
        <f t="shared" ref="AV519:AV582" si="420">IF(AND(BW519&gt;=$AG$5,BW519&lt;=$AQ$5),LOOKUP(BW519,$AG$5:$AQ$5,$AG519:$AQ519),IF(BW518="A",0,IF(AV518=$H519,0,IF(AV518=0,0,AV518+1))))</f>
        <v>83</v>
      </c>
      <c r="AW519" s="85">
        <f t="shared" ref="AW519:AW582" si="421">IF(AND(BX519&gt;=$AG$5,BX519&lt;=$AQ$5),LOOKUP(BX519,$AG$5:$AQ$5,$AG519:$AQ519),IF(BX518="A",0,IF(AW518=$H519,0,IF(AW518=0,0,AW518+1))))</f>
        <v>60</v>
      </c>
      <c r="AX519" s="85">
        <f t="shared" ref="AX519:AX582" si="422">IF(AND(BY519&gt;=$AG$5,BY519&lt;=$AQ$5),LOOKUP(BY519,$AG$5:$AQ$5,$AG519:$AQ519),IF(BY518="A",0,IF(AX518=$H519,0,IF(AX518=0,0,AX518+1))))</f>
        <v>92</v>
      </c>
      <c r="AY519" s="85">
        <f t="shared" ref="AY519:AY582" si="423">IF(AND(BZ519&gt;=$AG$5,BZ519&lt;=$AQ$5),LOOKUP(BZ519,$AG$5:$AQ$5,$AG519:$AQ519),IF(BZ518="A",0,IF(AY518=$H519,0,IF(AY518=0,0,AY518+1))))</f>
        <v>60</v>
      </c>
      <c r="AZ519" s="85">
        <f t="shared" ref="AZ519:AZ582" si="424">IF(AND(CA519&gt;=$AG$5,CA519&lt;=$AQ$5),LOOKUP(CA519,$AG$5:$AQ$5,$AG519:$AQ519),IF(CA518="A",0,IF(AZ518=$H519,0,IF(AZ518=0,0,AZ518+1))))</f>
        <v>79</v>
      </c>
      <c r="BA519" s="85">
        <f t="shared" ref="BA519:BA582" si="425">IF(AND(CB519&gt;=$AG$5,CB519&lt;=$AQ$5),LOOKUP(CB519,$AG$5:$AQ$5,$AG519:$AQ519),IF(CB518="A",0,IF(BA518=$H519,0,IF(BA518=0,0,BA518+1))))</f>
        <v>79</v>
      </c>
      <c r="BB519" s="85">
        <f t="shared" ref="BB519:BB582" si="426">IF(AND(CC519&gt;=$AG$5,CC519&lt;=$AQ$5),LOOKUP(CC519,$AG$5:$AQ$5,$AG519:$AQ519),IF(CC518="A",0,IF(BB518=$H519,0,IF(BB518=0,0,BB518+1))))</f>
        <v>0</v>
      </c>
      <c r="BC519" s="85">
        <f t="shared" ref="BC519:BC582" si="427">IF(AND(CD519&gt;=$AG$5,CD519&lt;=$AQ$5),LOOKUP(CD519,$AG$5:$AQ$5,$AG519:$AQ519),IF(CD518="A",0,IF(BC518=$H519,0,IF(BC518=0,0,BC518+1))))</f>
        <v>0</v>
      </c>
      <c r="BD519" s="85">
        <f t="shared" ref="BD519:BD582" si="428">IF(AND(CE519&gt;=$AG$5,CE519&lt;=$AQ$5),LOOKUP(CE519,$AG$5:$AQ$5,$AG519:$AQ519),IF(CE518="A",0,IF(BD518=$H519,0,IF(BD518=0,0,BD518+1))))</f>
        <v>80</v>
      </c>
      <c r="BE519" s="85">
        <f t="shared" ref="BE519:BE582" si="429">IF(AND(CF519&gt;=$AG$5,CF519&lt;=$AQ$5),LOOKUP(CF519,$AG$5:$AQ$5,$AG519:$AQ519),IF(CF518="A",0,IF(BE518=$H519,0,IF(BE518=0,0,BE518+1))))</f>
        <v>0</v>
      </c>
      <c r="BF519" s="85">
        <f t="shared" ref="BF519:BF582" si="430">IF(AND(CG519&gt;=$AG$5,CG519&lt;=$AQ$5),LOOKUP(CG519,$AG$5:$AQ$5,$AG519:$AQ519),IF(CG518="A",0,IF(BF518=$H519,0,IF(BF518=0,0,BF518+1))))</f>
        <v>0</v>
      </c>
      <c r="BG519" s="85">
        <f t="shared" ref="BG519:BG582" si="431">IF(AND(CH519&gt;=$AG$5,CH519&lt;=$AQ$5),LOOKUP(CH519,$AG$5:$AQ$5,$AG519:$AQ519),IF(CH518="A",0,IF(BG518=$H519,0,IF(BG518=0,0,BG518+1))))</f>
        <v>0</v>
      </c>
      <c r="BH519" s="85">
        <f t="shared" ref="BH519:BH582" si="432">IF(AND(CI519&gt;=$AG$5,CI519&lt;=$AQ$5),LOOKUP(CI519,$AG$5:$AQ$5,$AG519:$AQ519),IF(CI518="A",0,IF(BH518=$H519,0,IF(BH518=0,0,BH518+1))))</f>
        <v>0</v>
      </c>
      <c r="BI519" s="85">
        <f t="shared" ref="BI519:BI582" si="433">IF(AND(CJ519&gt;=$AG$5,CJ519&lt;=$AQ$5),LOOKUP(CJ519,$AG$5:$AQ$5,$AG519:$AQ519),IF(CJ518="A",0,IF(BI518=$H519,0,IF(BI518=0,0,BI518+1))))</f>
        <v>0</v>
      </c>
      <c r="BJ519" s="85">
        <f t="shared" ref="BJ519:BJ582" si="434">IF(AND(CK519&gt;=$AG$5,CK519&lt;=$AQ$5),LOOKUP(CK519,$AG$5:$AQ$5,$AG519:$AQ519),IF(CK518="A",0,IF(BJ518=$H519,0,IF(BJ518=0,0,BJ518+1))))</f>
        <v>0</v>
      </c>
      <c r="BK519" s="85">
        <f t="shared" ref="BK519:BK582" si="435">IF(AND(CL519&gt;=$AG$5,CL519&lt;=$AQ$5),LOOKUP(CL519,$AG$5:$AQ$5,$AG519:$AQ519),IF(CL518="A",0,IF(BK518=$H519,0,IF(BK518=0,0,BK518+1))))</f>
        <v>86</v>
      </c>
      <c r="BL519" s="85">
        <f t="shared" ref="BL519:BL582" si="436">IF(AND(CM519&gt;=$AG$5,CM519&lt;=$AQ$5),LOOKUP(CM519,$AG$5:$AQ$5,$AG519:$AQ519),IF(CM518="A",0,IF(BL518=$H519,0,IF(BL518=0,0,BL518+1))))</f>
        <v>86</v>
      </c>
      <c r="BM519" s="85">
        <f t="shared" ref="BM519:BM582" si="437">IF(AND(CN519&gt;=$AG$5,CN519&lt;=$AQ$5),LOOKUP(CN519,$AG$5:$AQ$5,$AG519:$AQ519),IF(CN518="A",0,IF(BM518=$H519,0,IF(BM518=0,0,BM518+1))))</f>
        <v>84</v>
      </c>
      <c r="BN519" s="85">
        <f t="shared" ref="BN519:BN582" si="438">IF(AND(CO519&gt;=$AG$5,CO519&lt;=$AQ$5),LOOKUP(CO519,$AG$5:$AQ$5,$AG519:$AQ519),IF(CO518="A",0,IF(BN518=$H519,0,IF(BN518=0,0,BN518+1))))</f>
        <v>0</v>
      </c>
      <c r="BO519" s="85">
        <f t="shared" ref="BO519:BO582" si="439">IF(AND(CP519&gt;=$AG$5,CP519&lt;=$AQ$5),LOOKUP(CP519,$AG$5:$AQ$5,$AG519:$AQ519),IF(CP518="A",0,IF(BO518=$H519,0,IF(BO518=0,0,BO518+1))))</f>
        <v>76</v>
      </c>
      <c r="BP519" s="85">
        <f t="shared" ref="BP519:BP582" si="440">IF(AND(CQ519&gt;=$AG$5,CQ519&lt;=$AQ$5),LOOKUP(CQ519,$AG$5:$AQ$5,$AG519:$AQ519),IF(CQ518="A",0,IF(BP518=$H519,0,IF(BP518=0,0,BP518+1))))</f>
        <v>0</v>
      </c>
      <c r="BQ519" s="85">
        <f t="shared" ref="BQ519:BQ582" si="441">IF(AND(CR519&gt;=$AG$5,CR519&lt;=$AQ$5),LOOKUP(CR519,$AG$5:$AQ$5,$AG519:$AQ519),IF(CR518="A",0,IF(BQ518=$H519,0,IF(BQ518=0,0,BQ518+1))))</f>
        <v>75</v>
      </c>
      <c r="BR519" s="85">
        <f t="shared" ref="BR519:BR582" si="442">IF(AND(CS519&gt;=$AG$5,CS519&lt;=$AQ$5),LOOKUP(CS519,$AG$5:$AQ$5,$AG519:$AQ519),IF(CS518="A",0,IF(BR518=$H519,0,IF(BR518=0,0,BR518+1))))</f>
        <v>75</v>
      </c>
      <c r="BT519" s="63"/>
      <c r="BU519" s="63"/>
      <c r="BV519" s="63"/>
      <c r="BW519" s="63"/>
      <c r="BX519" s="63"/>
      <c r="BY519" s="63"/>
      <c r="BZ519" s="63"/>
      <c r="CA519" s="63"/>
      <c r="CB519" s="63"/>
      <c r="CC519" s="63"/>
      <c r="CD519" s="63"/>
      <c r="CE519" s="63"/>
      <c r="CF519" s="63"/>
      <c r="CG519" s="63"/>
      <c r="CH519" s="63"/>
      <c r="CI519" s="63"/>
      <c r="CJ519" s="63"/>
      <c r="CK519" s="63"/>
      <c r="CL519" s="63"/>
      <c r="CM519" s="63"/>
      <c r="CN519" s="63"/>
      <c r="CO519" s="63"/>
      <c r="CP519" s="63"/>
      <c r="CQ519" s="63"/>
      <c r="CR519" s="63"/>
      <c r="CS519" s="63"/>
      <c r="CX519" s="35" t="s">
        <v>12</v>
      </c>
      <c r="CZ519" s="35"/>
      <c r="DC519" s="57" t="str">
        <f t="shared" si="399"/>
        <v/>
      </c>
      <c r="DD519" s="64" t="str">
        <f t="shared" ref="DD519:DD582" si="443">IF(OR(AND($AG520=1,$AG521=2),OR(AND($AK520=1,$AK521=2),OR(AND($AO520=1,$AO521=2),OR(AND($AI520=1,$AI521=2),OR(AND($AJ520=1,$AJ521),OR(AND($AQ520=1,$AQ521=2,OR(AND($AL520=1,$AL521=2,OR(AND($AM520=1,$AM521=2,OR(AND($AN520=1,$AN521=2))))))))))))),$B519+2,"")</f>
        <v/>
      </c>
      <c r="DE519" s="65" t="str">
        <f t="shared" ref="DE519:DE582" si="444">IF(DD519="","",DD519+(15*7))</f>
        <v/>
      </c>
      <c r="DF519" s="66" t="str">
        <f t="shared" si="405"/>
        <v/>
      </c>
    </row>
    <row r="520" spans="2:110">
      <c r="B520" s="54">
        <f t="shared" si="401"/>
        <v>46692</v>
      </c>
      <c r="C520" s="55" t="s">
        <v>1</v>
      </c>
      <c r="D520" s="56">
        <f t="shared" si="402"/>
        <v>46698</v>
      </c>
      <c r="E520" s="52">
        <f t="shared" si="403"/>
        <v>11</v>
      </c>
      <c r="F520" s="53">
        <f t="shared" si="404"/>
        <v>2027</v>
      </c>
      <c r="G520" s="62">
        <f t="shared" si="398"/>
        <v>15</v>
      </c>
      <c r="H520" s="63">
        <f t="shared" si="400"/>
        <v>96</v>
      </c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80"/>
      <c r="AG520" s="87">
        <f t="shared" si="406"/>
        <v>0</v>
      </c>
      <c r="AH520" s="87">
        <f t="shared" si="407"/>
        <v>0</v>
      </c>
      <c r="AI520" s="87">
        <f t="shared" si="408"/>
        <v>0</v>
      </c>
      <c r="AJ520" s="87">
        <f t="shared" si="409"/>
        <v>0</v>
      </c>
      <c r="AK520" s="87">
        <f t="shared" si="410"/>
        <v>0</v>
      </c>
      <c r="AL520" s="87">
        <f t="shared" si="411"/>
        <v>0</v>
      </c>
      <c r="AM520" s="87">
        <f t="shared" si="412"/>
        <v>0</v>
      </c>
      <c r="AN520" s="87">
        <f t="shared" si="413"/>
        <v>0</v>
      </c>
      <c r="AO520" s="87">
        <f t="shared" si="414"/>
        <v>0</v>
      </c>
      <c r="AP520" s="87">
        <f t="shared" si="415"/>
        <v>0</v>
      </c>
      <c r="AQ520" s="87">
        <f t="shared" si="416"/>
        <v>0</v>
      </c>
      <c r="AR520" s="81"/>
      <c r="AS520" s="85">
        <f t="shared" si="417"/>
        <v>0</v>
      </c>
      <c r="AT520" s="85">
        <f t="shared" si="418"/>
        <v>0</v>
      </c>
      <c r="AU520" s="85">
        <f t="shared" si="419"/>
        <v>66</v>
      </c>
      <c r="AV520" s="85">
        <f t="shared" si="420"/>
        <v>84</v>
      </c>
      <c r="AW520" s="85">
        <f t="shared" si="421"/>
        <v>61</v>
      </c>
      <c r="AX520" s="85">
        <f t="shared" si="422"/>
        <v>93</v>
      </c>
      <c r="AY520" s="85">
        <f t="shared" si="423"/>
        <v>61</v>
      </c>
      <c r="AZ520" s="85">
        <f t="shared" si="424"/>
        <v>80</v>
      </c>
      <c r="BA520" s="85">
        <f t="shared" si="425"/>
        <v>80</v>
      </c>
      <c r="BB520" s="85">
        <f t="shared" si="426"/>
        <v>0</v>
      </c>
      <c r="BC520" s="85">
        <f t="shared" si="427"/>
        <v>0</v>
      </c>
      <c r="BD520" s="85">
        <f t="shared" si="428"/>
        <v>81</v>
      </c>
      <c r="BE520" s="85">
        <f t="shared" si="429"/>
        <v>0</v>
      </c>
      <c r="BF520" s="85">
        <f t="shared" si="430"/>
        <v>0</v>
      </c>
      <c r="BG520" s="85">
        <f t="shared" si="431"/>
        <v>0</v>
      </c>
      <c r="BH520" s="85">
        <f t="shared" si="432"/>
        <v>0</v>
      </c>
      <c r="BI520" s="85">
        <f t="shared" si="433"/>
        <v>0</v>
      </c>
      <c r="BJ520" s="85">
        <f t="shared" si="434"/>
        <v>0</v>
      </c>
      <c r="BK520" s="85">
        <f t="shared" si="435"/>
        <v>87</v>
      </c>
      <c r="BL520" s="85">
        <f t="shared" si="436"/>
        <v>87</v>
      </c>
      <c r="BM520" s="85">
        <f t="shared" si="437"/>
        <v>85</v>
      </c>
      <c r="BN520" s="85">
        <f t="shared" si="438"/>
        <v>0</v>
      </c>
      <c r="BO520" s="85">
        <f t="shared" si="439"/>
        <v>77</v>
      </c>
      <c r="BP520" s="85">
        <f t="shared" si="440"/>
        <v>0</v>
      </c>
      <c r="BQ520" s="85">
        <f t="shared" si="441"/>
        <v>76</v>
      </c>
      <c r="BR520" s="85">
        <f t="shared" si="442"/>
        <v>76</v>
      </c>
      <c r="BT520" s="63"/>
      <c r="BU520" s="63"/>
      <c r="BV520" s="63"/>
      <c r="BW520" s="63"/>
      <c r="BX520" s="63"/>
      <c r="BY520" s="63"/>
      <c r="BZ520" s="63"/>
      <c r="CA520" s="63"/>
      <c r="CB520" s="63"/>
      <c r="CC520" s="63"/>
      <c r="CD520" s="63"/>
      <c r="CE520" s="63"/>
      <c r="CF520" s="63"/>
      <c r="CG520" s="63"/>
      <c r="CH520" s="63"/>
      <c r="CI520" s="63"/>
      <c r="CJ520" s="63"/>
      <c r="CK520" s="63"/>
      <c r="CL520" s="63"/>
      <c r="CM520" s="63"/>
      <c r="CN520" s="63"/>
      <c r="CO520" s="63"/>
      <c r="CP520" s="63"/>
      <c r="CQ520" s="63"/>
      <c r="CR520" s="63"/>
      <c r="CS520" s="63"/>
      <c r="CX520" s="35" t="s">
        <v>12</v>
      </c>
      <c r="CZ520" s="35"/>
      <c r="DC520" s="57" t="str">
        <f t="shared" si="399"/>
        <v/>
      </c>
      <c r="DD520" s="64" t="str">
        <f t="shared" si="443"/>
        <v/>
      </c>
      <c r="DE520" s="65" t="str">
        <f t="shared" si="444"/>
        <v/>
      </c>
      <c r="DF520" s="66" t="str">
        <f t="shared" si="405"/>
        <v/>
      </c>
    </row>
    <row r="521" spans="2:110">
      <c r="B521" s="54">
        <f t="shared" si="401"/>
        <v>46699</v>
      </c>
      <c r="C521" s="55" t="s">
        <v>1</v>
      </c>
      <c r="D521" s="56">
        <f t="shared" si="402"/>
        <v>46705</v>
      </c>
      <c r="E521" s="52">
        <f t="shared" si="403"/>
        <v>11</v>
      </c>
      <c r="F521" s="53">
        <f t="shared" si="404"/>
        <v>2027</v>
      </c>
      <c r="G521" s="62">
        <f t="shared" ref="G521:G584" si="445">G520</f>
        <v>15</v>
      </c>
      <c r="H521" s="63">
        <f t="shared" ref="H521:H584" si="446">H520</f>
        <v>96</v>
      </c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80"/>
      <c r="AG521" s="87">
        <f t="shared" si="406"/>
        <v>0</v>
      </c>
      <c r="AH521" s="87">
        <f t="shared" si="407"/>
        <v>0</v>
      </c>
      <c r="AI521" s="87">
        <f t="shared" si="408"/>
        <v>0</v>
      </c>
      <c r="AJ521" s="87">
        <f t="shared" si="409"/>
        <v>0</v>
      </c>
      <c r="AK521" s="87">
        <f t="shared" si="410"/>
        <v>0</v>
      </c>
      <c r="AL521" s="87">
        <f t="shared" si="411"/>
        <v>0</v>
      </c>
      <c r="AM521" s="87">
        <f t="shared" si="412"/>
        <v>0</v>
      </c>
      <c r="AN521" s="87">
        <f t="shared" si="413"/>
        <v>0</v>
      </c>
      <c r="AO521" s="87">
        <f t="shared" si="414"/>
        <v>0</v>
      </c>
      <c r="AP521" s="87">
        <f t="shared" si="415"/>
        <v>0</v>
      </c>
      <c r="AQ521" s="87">
        <f t="shared" si="416"/>
        <v>0</v>
      </c>
      <c r="AR521" s="81"/>
      <c r="AS521" s="85">
        <f t="shared" si="417"/>
        <v>0</v>
      </c>
      <c r="AT521" s="85">
        <f t="shared" si="418"/>
        <v>0</v>
      </c>
      <c r="AU521" s="85">
        <f t="shared" si="419"/>
        <v>67</v>
      </c>
      <c r="AV521" s="85">
        <f t="shared" si="420"/>
        <v>85</v>
      </c>
      <c r="AW521" s="85">
        <f t="shared" si="421"/>
        <v>62</v>
      </c>
      <c r="AX521" s="85">
        <f t="shared" si="422"/>
        <v>94</v>
      </c>
      <c r="AY521" s="85">
        <f t="shared" si="423"/>
        <v>62</v>
      </c>
      <c r="AZ521" s="85">
        <f t="shared" si="424"/>
        <v>81</v>
      </c>
      <c r="BA521" s="85">
        <f t="shared" si="425"/>
        <v>81</v>
      </c>
      <c r="BB521" s="85">
        <f t="shared" si="426"/>
        <v>0</v>
      </c>
      <c r="BC521" s="85">
        <f t="shared" si="427"/>
        <v>0</v>
      </c>
      <c r="BD521" s="85">
        <f t="shared" si="428"/>
        <v>82</v>
      </c>
      <c r="BE521" s="85">
        <f t="shared" si="429"/>
        <v>0</v>
      </c>
      <c r="BF521" s="85">
        <f t="shared" si="430"/>
        <v>0</v>
      </c>
      <c r="BG521" s="85">
        <f t="shared" si="431"/>
        <v>0</v>
      </c>
      <c r="BH521" s="85">
        <f t="shared" si="432"/>
        <v>0</v>
      </c>
      <c r="BI521" s="85">
        <f t="shared" si="433"/>
        <v>0</v>
      </c>
      <c r="BJ521" s="85">
        <f t="shared" si="434"/>
        <v>0</v>
      </c>
      <c r="BK521" s="85">
        <f t="shared" si="435"/>
        <v>88</v>
      </c>
      <c r="BL521" s="85">
        <f t="shared" si="436"/>
        <v>88</v>
      </c>
      <c r="BM521" s="85">
        <f t="shared" si="437"/>
        <v>86</v>
      </c>
      <c r="BN521" s="85">
        <f t="shared" si="438"/>
        <v>0</v>
      </c>
      <c r="BO521" s="85">
        <f t="shared" si="439"/>
        <v>78</v>
      </c>
      <c r="BP521" s="85">
        <f t="shared" si="440"/>
        <v>0</v>
      </c>
      <c r="BQ521" s="85">
        <f t="shared" si="441"/>
        <v>77</v>
      </c>
      <c r="BR521" s="85">
        <f t="shared" si="442"/>
        <v>77</v>
      </c>
      <c r="BT521" s="63"/>
      <c r="BU521" s="63"/>
      <c r="BV521" s="63"/>
      <c r="BW521" s="63"/>
      <c r="BX521" s="63"/>
      <c r="BY521" s="63"/>
      <c r="BZ521" s="63"/>
      <c r="CA521" s="63"/>
      <c r="CB521" s="63"/>
      <c r="CC521" s="63"/>
      <c r="CD521" s="63"/>
      <c r="CE521" s="63"/>
      <c r="CF521" s="63"/>
      <c r="CG521" s="63"/>
      <c r="CH521" s="63"/>
      <c r="CI521" s="63"/>
      <c r="CJ521" s="63"/>
      <c r="CK521" s="63"/>
      <c r="CL521" s="63"/>
      <c r="CM521" s="63"/>
      <c r="CN521" s="63"/>
      <c r="CO521" s="63"/>
      <c r="CP521" s="63"/>
      <c r="CQ521" s="63"/>
      <c r="CR521" s="63"/>
      <c r="CS521" s="63"/>
      <c r="CX521" s="35" t="s">
        <v>12</v>
      </c>
      <c r="CZ521" s="35"/>
      <c r="DC521" s="57" t="str">
        <f t="shared" si="399"/>
        <v/>
      </c>
      <c r="DD521" s="64" t="str">
        <f t="shared" si="443"/>
        <v/>
      </c>
      <c r="DE521" s="65" t="str">
        <f t="shared" si="444"/>
        <v/>
      </c>
      <c r="DF521" s="66" t="str">
        <f t="shared" si="405"/>
        <v/>
      </c>
    </row>
    <row r="522" spans="2:110">
      <c r="B522" s="54">
        <f t="shared" si="401"/>
        <v>46706</v>
      </c>
      <c r="C522" s="55" t="s">
        <v>1</v>
      </c>
      <c r="D522" s="56">
        <f t="shared" si="402"/>
        <v>46712</v>
      </c>
      <c r="E522" s="52">
        <f t="shared" si="403"/>
        <v>11</v>
      </c>
      <c r="F522" s="53">
        <f t="shared" si="404"/>
        <v>2027</v>
      </c>
      <c r="G522" s="62">
        <f t="shared" si="445"/>
        <v>15</v>
      </c>
      <c r="H522" s="63">
        <f t="shared" si="446"/>
        <v>96</v>
      </c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80"/>
      <c r="AG522" s="87">
        <f t="shared" si="406"/>
        <v>0</v>
      </c>
      <c r="AH522" s="87">
        <f t="shared" si="407"/>
        <v>0</v>
      </c>
      <c r="AI522" s="87">
        <f t="shared" si="408"/>
        <v>0</v>
      </c>
      <c r="AJ522" s="87">
        <f t="shared" si="409"/>
        <v>0</v>
      </c>
      <c r="AK522" s="87">
        <f t="shared" si="410"/>
        <v>0</v>
      </c>
      <c r="AL522" s="87">
        <f t="shared" si="411"/>
        <v>0</v>
      </c>
      <c r="AM522" s="87">
        <f t="shared" si="412"/>
        <v>0</v>
      </c>
      <c r="AN522" s="87">
        <f t="shared" si="413"/>
        <v>0</v>
      </c>
      <c r="AO522" s="87">
        <f t="shared" si="414"/>
        <v>0</v>
      </c>
      <c r="AP522" s="87">
        <f t="shared" si="415"/>
        <v>0</v>
      </c>
      <c r="AQ522" s="87">
        <f t="shared" si="416"/>
        <v>0</v>
      </c>
      <c r="AR522" s="81"/>
      <c r="AS522" s="85">
        <f t="shared" si="417"/>
        <v>0</v>
      </c>
      <c r="AT522" s="85">
        <f t="shared" si="418"/>
        <v>0</v>
      </c>
      <c r="AU522" s="85">
        <f t="shared" si="419"/>
        <v>68</v>
      </c>
      <c r="AV522" s="85">
        <f t="shared" si="420"/>
        <v>86</v>
      </c>
      <c r="AW522" s="85">
        <f t="shared" si="421"/>
        <v>63</v>
      </c>
      <c r="AX522" s="85">
        <f t="shared" si="422"/>
        <v>95</v>
      </c>
      <c r="AY522" s="85">
        <f t="shared" si="423"/>
        <v>63</v>
      </c>
      <c r="AZ522" s="85">
        <f t="shared" si="424"/>
        <v>82</v>
      </c>
      <c r="BA522" s="85">
        <f t="shared" si="425"/>
        <v>82</v>
      </c>
      <c r="BB522" s="85">
        <f t="shared" si="426"/>
        <v>0</v>
      </c>
      <c r="BC522" s="85">
        <f t="shared" si="427"/>
        <v>0</v>
      </c>
      <c r="BD522" s="85">
        <f t="shared" si="428"/>
        <v>83</v>
      </c>
      <c r="BE522" s="85">
        <f t="shared" si="429"/>
        <v>0</v>
      </c>
      <c r="BF522" s="85">
        <f t="shared" si="430"/>
        <v>0</v>
      </c>
      <c r="BG522" s="85">
        <f t="shared" si="431"/>
        <v>0</v>
      </c>
      <c r="BH522" s="85">
        <f t="shared" si="432"/>
        <v>0</v>
      </c>
      <c r="BI522" s="85">
        <f t="shared" si="433"/>
        <v>0</v>
      </c>
      <c r="BJ522" s="85">
        <f t="shared" si="434"/>
        <v>0</v>
      </c>
      <c r="BK522" s="85">
        <f t="shared" si="435"/>
        <v>89</v>
      </c>
      <c r="BL522" s="85">
        <f t="shared" si="436"/>
        <v>89</v>
      </c>
      <c r="BM522" s="85">
        <f t="shared" si="437"/>
        <v>87</v>
      </c>
      <c r="BN522" s="85">
        <f t="shared" si="438"/>
        <v>0</v>
      </c>
      <c r="BO522" s="85">
        <f t="shared" si="439"/>
        <v>79</v>
      </c>
      <c r="BP522" s="85">
        <f t="shared" si="440"/>
        <v>0</v>
      </c>
      <c r="BQ522" s="85">
        <f t="shared" si="441"/>
        <v>78</v>
      </c>
      <c r="BR522" s="85">
        <f t="shared" si="442"/>
        <v>78</v>
      </c>
      <c r="BT522" s="63"/>
      <c r="BU522" s="63"/>
      <c r="BV522" s="63"/>
      <c r="BW522" s="63"/>
      <c r="BX522" s="63"/>
      <c r="BY522" s="63"/>
      <c r="BZ522" s="63"/>
      <c r="CA522" s="63"/>
      <c r="CB522" s="63"/>
      <c r="CC522" s="63"/>
      <c r="CD522" s="63"/>
      <c r="CE522" s="63"/>
      <c r="CF522" s="63"/>
      <c r="CG522" s="63"/>
      <c r="CH522" s="63"/>
      <c r="CI522" s="63"/>
      <c r="CJ522" s="63"/>
      <c r="CK522" s="63"/>
      <c r="CL522" s="63"/>
      <c r="CM522" s="63"/>
      <c r="CN522" s="63"/>
      <c r="CO522" s="63"/>
      <c r="CP522" s="63"/>
      <c r="CQ522" s="63"/>
      <c r="CR522" s="63"/>
      <c r="CS522" s="63"/>
      <c r="CX522" s="35" t="s">
        <v>12</v>
      </c>
      <c r="CZ522" s="35"/>
      <c r="DC522" s="57" t="str">
        <f t="shared" ref="DC522:DC585" si="447">IF(AND(AG522&gt;0,AG521=0),$AG$5,IF(AND(AK522&gt;0,AK521=0),$AK$5,IF(AND(AO522&gt;0,AO521=0),$AO$5,IF(AND(AI522&gt;0,AI521=0),$AI$5,IF(AND(AJ522&gt;0,AJ521=0),$AJ$5,IF(AND(AQ522&gt;0,AQ521=0),$AQ$5,IF(AND(AL522&gt;0,AL521=0),$AL$5,IF(AND(AM522&gt;0,AM521=0),$AM$5,IF(AND(AN522&gt;0,AN521=0),$AN$5,"")))))))))</f>
        <v/>
      </c>
      <c r="DD522" s="64" t="str">
        <f t="shared" si="443"/>
        <v/>
      </c>
      <c r="DE522" s="65" t="str">
        <f t="shared" si="444"/>
        <v/>
      </c>
      <c r="DF522" s="66" t="str">
        <f t="shared" si="405"/>
        <v/>
      </c>
    </row>
    <row r="523" spans="2:110">
      <c r="B523" s="54">
        <f t="shared" si="401"/>
        <v>46713</v>
      </c>
      <c r="C523" s="55" t="s">
        <v>1</v>
      </c>
      <c r="D523" s="56">
        <f t="shared" si="402"/>
        <v>46719</v>
      </c>
      <c r="E523" s="52">
        <f t="shared" si="403"/>
        <v>11</v>
      </c>
      <c r="F523" s="53">
        <f t="shared" si="404"/>
        <v>2027</v>
      </c>
      <c r="G523" s="62">
        <f t="shared" si="445"/>
        <v>15</v>
      </c>
      <c r="H523" s="63">
        <f t="shared" si="446"/>
        <v>96</v>
      </c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80"/>
      <c r="AG523" s="87">
        <f t="shared" si="406"/>
        <v>0</v>
      </c>
      <c r="AH523" s="87">
        <f t="shared" si="407"/>
        <v>0</v>
      </c>
      <c r="AI523" s="87">
        <f t="shared" si="408"/>
        <v>0</v>
      </c>
      <c r="AJ523" s="87">
        <f t="shared" si="409"/>
        <v>0</v>
      </c>
      <c r="AK523" s="87">
        <f t="shared" si="410"/>
        <v>0</v>
      </c>
      <c r="AL523" s="87">
        <f t="shared" si="411"/>
        <v>0</v>
      </c>
      <c r="AM523" s="87">
        <f t="shared" si="412"/>
        <v>0</v>
      </c>
      <c r="AN523" s="87">
        <f t="shared" si="413"/>
        <v>0</v>
      </c>
      <c r="AO523" s="87">
        <f t="shared" si="414"/>
        <v>0</v>
      </c>
      <c r="AP523" s="87">
        <f t="shared" si="415"/>
        <v>0</v>
      </c>
      <c r="AQ523" s="87">
        <f t="shared" si="416"/>
        <v>0</v>
      </c>
      <c r="AR523" s="81"/>
      <c r="AS523" s="85">
        <f t="shared" si="417"/>
        <v>0</v>
      </c>
      <c r="AT523" s="85">
        <f t="shared" si="418"/>
        <v>0</v>
      </c>
      <c r="AU523" s="85">
        <f t="shared" si="419"/>
        <v>69</v>
      </c>
      <c r="AV523" s="85">
        <f t="shared" si="420"/>
        <v>87</v>
      </c>
      <c r="AW523" s="85">
        <f t="shared" si="421"/>
        <v>64</v>
      </c>
      <c r="AX523" s="85">
        <f t="shared" si="422"/>
        <v>96</v>
      </c>
      <c r="AY523" s="85">
        <f t="shared" si="423"/>
        <v>64</v>
      </c>
      <c r="AZ523" s="85">
        <f t="shared" si="424"/>
        <v>83</v>
      </c>
      <c r="BA523" s="85">
        <f t="shared" si="425"/>
        <v>83</v>
      </c>
      <c r="BB523" s="85">
        <f t="shared" si="426"/>
        <v>0</v>
      </c>
      <c r="BC523" s="85">
        <f t="shared" si="427"/>
        <v>0</v>
      </c>
      <c r="BD523" s="85">
        <f t="shared" si="428"/>
        <v>84</v>
      </c>
      <c r="BE523" s="85">
        <f t="shared" si="429"/>
        <v>0</v>
      </c>
      <c r="BF523" s="85">
        <f t="shared" si="430"/>
        <v>0</v>
      </c>
      <c r="BG523" s="85">
        <f t="shared" si="431"/>
        <v>0</v>
      </c>
      <c r="BH523" s="85">
        <f t="shared" si="432"/>
        <v>0</v>
      </c>
      <c r="BI523" s="85">
        <f t="shared" si="433"/>
        <v>0</v>
      </c>
      <c r="BJ523" s="85">
        <f t="shared" si="434"/>
        <v>0</v>
      </c>
      <c r="BK523" s="85">
        <f t="shared" si="435"/>
        <v>90</v>
      </c>
      <c r="BL523" s="85">
        <f t="shared" si="436"/>
        <v>90</v>
      </c>
      <c r="BM523" s="85">
        <f t="shared" si="437"/>
        <v>88</v>
      </c>
      <c r="BN523" s="85">
        <f t="shared" si="438"/>
        <v>0</v>
      </c>
      <c r="BO523" s="85">
        <f t="shared" si="439"/>
        <v>80</v>
      </c>
      <c r="BP523" s="85">
        <f t="shared" si="440"/>
        <v>0</v>
      </c>
      <c r="BQ523" s="85">
        <f t="shared" si="441"/>
        <v>79</v>
      </c>
      <c r="BR523" s="85">
        <f t="shared" si="442"/>
        <v>79</v>
      </c>
      <c r="BT523" s="63"/>
      <c r="BU523" s="63"/>
      <c r="BV523" s="63"/>
      <c r="BW523" s="63"/>
      <c r="BX523" s="63"/>
      <c r="BY523" s="63"/>
      <c r="BZ523" s="63"/>
      <c r="CA523" s="63"/>
      <c r="CB523" s="63"/>
      <c r="CC523" s="63"/>
      <c r="CD523" s="63"/>
      <c r="CE523" s="63"/>
      <c r="CF523" s="63"/>
      <c r="CG523" s="63"/>
      <c r="CH523" s="63"/>
      <c r="CI523" s="63"/>
      <c r="CJ523" s="63"/>
      <c r="CK523" s="63"/>
      <c r="CL523" s="63"/>
      <c r="CM523" s="63"/>
      <c r="CN523" s="63"/>
      <c r="CO523" s="63"/>
      <c r="CP523" s="63"/>
      <c r="CQ523" s="63"/>
      <c r="CR523" s="63"/>
      <c r="CS523" s="63"/>
      <c r="CX523" s="35" t="s">
        <v>12</v>
      </c>
      <c r="CZ523" s="35"/>
      <c r="DC523" s="57" t="str">
        <f t="shared" si="447"/>
        <v/>
      </c>
      <c r="DD523" s="64" t="str">
        <f t="shared" si="443"/>
        <v/>
      </c>
      <c r="DE523" s="65" t="str">
        <f t="shared" si="444"/>
        <v/>
      </c>
      <c r="DF523" s="66" t="str">
        <f t="shared" si="405"/>
        <v/>
      </c>
    </row>
    <row r="524" spans="2:110">
      <c r="B524" s="54">
        <f t="shared" si="401"/>
        <v>46720</v>
      </c>
      <c r="C524" s="55" t="s">
        <v>1</v>
      </c>
      <c r="D524" s="56">
        <f t="shared" si="402"/>
        <v>46726</v>
      </c>
      <c r="E524" s="52">
        <f t="shared" si="403"/>
        <v>11</v>
      </c>
      <c r="F524" s="53">
        <f t="shared" si="404"/>
        <v>2027</v>
      </c>
      <c r="G524" s="62">
        <f t="shared" si="445"/>
        <v>15</v>
      </c>
      <c r="H524" s="63">
        <f t="shared" si="446"/>
        <v>96</v>
      </c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80"/>
      <c r="AG524" s="87">
        <f t="shared" si="406"/>
        <v>0</v>
      </c>
      <c r="AH524" s="87">
        <f t="shared" si="407"/>
        <v>0</v>
      </c>
      <c r="AI524" s="87">
        <f t="shared" si="408"/>
        <v>0</v>
      </c>
      <c r="AJ524" s="87">
        <f t="shared" si="409"/>
        <v>0</v>
      </c>
      <c r="AK524" s="87">
        <f t="shared" si="410"/>
        <v>0</v>
      </c>
      <c r="AL524" s="87">
        <f t="shared" si="411"/>
        <v>0</v>
      </c>
      <c r="AM524" s="87">
        <f t="shared" si="412"/>
        <v>0</v>
      </c>
      <c r="AN524" s="87">
        <f t="shared" si="413"/>
        <v>0</v>
      </c>
      <c r="AO524" s="87">
        <f t="shared" si="414"/>
        <v>0</v>
      </c>
      <c r="AP524" s="87">
        <f t="shared" si="415"/>
        <v>0</v>
      </c>
      <c r="AQ524" s="87">
        <f t="shared" si="416"/>
        <v>0</v>
      </c>
      <c r="AR524" s="81"/>
      <c r="AS524" s="85">
        <f t="shared" si="417"/>
        <v>0</v>
      </c>
      <c r="AT524" s="85">
        <f t="shared" si="418"/>
        <v>0</v>
      </c>
      <c r="AU524" s="85">
        <f t="shared" si="419"/>
        <v>70</v>
      </c>
      <c r="AV524" s="85">
        <f t="shared" si="420"/>
        <v>88</v>
      </c>
      <c r="AW524" s="85">
        <f t="shared" si="421"/>
        <v>65</v>
      </c>
      <c r="AX524" s="85">
        <f t="shared" si="422"/>
        <v>0</v>
      </c>
      <c r="AY524" s="85">
        <f t="shared" si="423"/>
        <v>65</v>
      </c>
      <c r="AZ524" s="85">
        <f t="shared" si="424"/>
        <v>84</v>
      </c>
      <c r="BA524" s="85">
        <f t="shared" si="425"/>
        <v>84</v>
      </c>
      <c r="BB524" s="85">
        <f t="shared" si="426"/>
        <v>0</v>
      </c>
      <c r="BC524" s="85">
        <f t="shared" si="427"/>
        <v>0</v>
      </c>
      <c r="BD524" s="85">
        <f t="shared" si="428"/>
        <v>85</v>
      </c>
      <c r="BE524" s="85">
        <f t="shared" si="429"/>
        <v>0</v>
      </c>
      <c r="BF524" s="85">
        <f t="shared" si="430"/>
        <v>0</v>
      </c>
      <c r="BG524" s="85">
        <f t="shared" si="431"/>
        <v>0</v>
      </c>
      <c r="BH524" s="85">
        <f t="shared" si="432"/>
        <v>0</v>
      </c>
      <c r="BI524" s="85">
        <f t="shared" si="433"/>
        <v>0</v>
      </c>
      <c r="BJ524" s="85">
        <f t="shared" si="434"/>
        <v>0</v>
      </c>
      <c r="BK524" s="85">
        <f t="shared" si="435"/>
        <v>91</v>
      </c>
      <c r="BL524" s="85">
        <f t="shared" si="436"/>
        <v>91</v>
      </c>
      <c r="BM524" s="85">
        <f t="shared" si="437"/>
        <v>89</v>
      </c>
      <c r="BN524" s="85">
        <f t="shared" si="438"/>
        <v>0</v>
      </c>
      <c r="BO524" s="85">
        <f t="shared" si="439"/>
        <v>81</v>
      </c>
      <c r="BP524" s="85">
        <f t="shared" si="440"/>
        <v>0</v>
      </c>
      <c r="BQ524" s="85">
        <f t="shared" si="441"/>
        <v>80</v>
      </c>
      <c r="BR524" s="85">
        <f t="shared" si="442"/>
        <v>80</v>
      </c>
      <c r="BT524" s="63"/>
      <c r="BU524" s="63"/>
      <c r="BV524" s="63"/>
      <c r="BW524" s="63"/>
      <c r="BX524" s="63"/>
      <c r="BY524" s="63"/>
      <c r="BZ524" s="63"/>
      <c r="CA524" s="63"/>
      <c r="CB524" s="63"/>
      <c r="CC524" s="63"/>
      <c r="CD524" s="63"/>
      <c r="CE524" s="63"/>
      <c r="CF524" s="63"/>
      <c r="CG524" s="63"/>
      <c r="CH524" s="63"/>
      <c r="CI524" s="63"/>
      <c r="CJ524" s="63"/>
      <c r="CK524" s="63"/>
      <c r="CL524" s="63"/>
      <c r="CM524" s="63"/>
      <c r="CN524" s="63"/>
      <c r="CO524" s="63"/>
      <c r="CP524" s="63"/>
      <c r="CQ524" s="63"/>
      <c r="CR524" s="63"/>
      <c r="CS524" s="63"/>
      <c r="CX524" s="35" t="s">
        <v>12</v>
      </c>
      <c r="CZ524" s="35"/>
      <c r="DC524" s="57" t="str">
        <f t="shared" si="447"/>
        <v/>
      </c>
      <c r="DD524" s="64" t="str">
        <f t="shared" si="443"/>
        <v/>
      </c>
      <c r="DE524" s="65" t="str">
        <f t="shared" si="444"/>
        <v/>
      </c>
      <c r="DF524" s="66" t="str">
        <f t="shared" si="405"/>
        <v/>
      </c>
    </row>
    <row r="525" spans="2:110">
      <c r="B525" s="54">
        <f t="shared" si="401"/>
        <v>46727</v>
      </c>
      <c r="C525" s="55" t="s">
        <v>1</v>
      </c>
      <c r="D525" s="56">
        <f t="shared" si="402"/>
        <v>46733</v>
      </c>
      <c r="E525" s="52">
        <f t="shared" si="403"/>
        <v>12</v>
      </c>
      <c r="F525" s="53">
        <f t="shared" si="404"/>
        <v>2027</v>
      </c>
      <c r="G525" s="62">
        <f t="shared" si="445"/>
        <v>15</v>
      </c>
      <c r="H525" s="63">
        <f t="shared" si="446"/>
        <v>96</v>
      </c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80"/>
      <c r="AG525" s="87">
        <f t="shared" si="406"/>
        <v>0</v>
      </c>
      <c r="AH525" s="87">
        <f t="shared" si="407"/>
        <v>0</v>
      </c>
      <c r="AI525" s="87">
        <f t="shared" si="408"/>
        <v>0</v>
      </c>
      <c r="AJ525" s="87">
        <f t="shared" si="409"/>
        <v>0</v>
      </c>
      <c r="AK525" s="87">
        <f t="shared" si="410"/>
        <v>0</v>
      </c>
      <c r="AL525" s="87">
        <f t="shared" si="411"/>
        <v>0</v>
      </c>
      <c r="AM525" s="87">
        <f t="shared" si="412"/>
        <v>0</v>
      </c>
      <c r="AN525" s="87">
        <f t="shared" si="413"/>
        <v>0</v>
      </c>
      <c r="AO525" s="87">
        <f t="shared" si="414"/>
        <v>0</v>
      </c>
      <c r="AP525" s="87">
        <f t="shared" si="415"/>
        <v>0</v>
      </c>
      <c r="AQ525" s="87">
        <f t="shared" si="416"/>
        <v>0</v>
      </c>
      <c r="AR525" s="81"/>
      <c r="AS525" s="85">
        <f t="shared" si="417"/>
        <v>0</v>
      </c>
      <c r="AT525" s="85">
        <f t="shared" si="418"/>
        <v>0</v>
      </c>
      <c r="AU525" s="85">
        <f t="shared" si="419"/>
        <v>71</v>
      </c>
      <c r="AV525" s="85">
        <f t="shared" si="420"/>
        <v>89</v>
      </c>
      <c r="AW525" s="85">
        <f t="shared" si="421"/>
        <v>66</v>
      </c>
      <c r="AX525" s="85">
        <f t="shared" si="422"/>
        <v>0</v>
      </c>
      <c r="AY525" s="85">
        <f t="shared" si="423"/>
        <v>66</v>
      </c>
      <c r="AZ525" s="85">
        <f t="shared" si="424"/>
        <v>85</v>
      </c>
      <c r="BA525" s="85">
        <f t="shared" si="425"/>
        <v>85</v>
      </c>
      <c r="BB525" s="85">
        <f t="shared" si="426"/>
        <v>0</v>
      </c>
      <c r="BC525" s="85">
        <f t="shared" si="427"/>
        <v>0</v>
      </c>
      <c r="BD525" s="85">
        <f t="shared" si="428"/>
        <v>86</v>
      </c>
      <c r="BE525" s="85">
        <f t="shared" si="429"/>
        <v>0</v>
      </c>
      <c r="BF525" s="85">
        <f t="shared" si="430"/>
        <v>0</v>
      </c>
      <c r="BG525" s="85">
        <f t="shared" si="431"/>
        <v>0</v>
      </c>
      <c r="BH525" s="85">
        <f t="shared" si="432"/>
        <v>0</v>
      </c>
      <c r="BI525" s="85">
        <f t="shared" si="433"/>
        <v>0</v>
      </c>
      <c r="BJ525" s="85">
        <f t="shared" si="434"/>
        <v>0</v>
      </c>
      <c r="BK525" s="85">
        <f t="shared" si="435"/>
        <v>92</v>
      </c>
      <c r="BL525" s="85">
        <f t="shared" si="436"/>
        <v>92</v>
      </c>
      <c r="BM525" s="85">
        <f t="shared" si="437"/>
        <v>90</v>
      </c>
      <c r="BN525" s="85">
        <f t="shared" si="438"/>
        <v>0</v>
      </c>
      <c r="BO525" s="85">
        <f t="shared" si="439"/>
        <v>82</v>
      </c>
      <c r="BP525" s="85">
        <f t="shared" si="440"/>
        <v>0</v>
      </c>
      <c r="BQ525" s="85">
        <f t="shared" si="441"/>
        <v>81</v>
      </c>
      <c r="BR525" s="85">
        <f t="shared" si="442"/>
        <v>81</v>
      </c>
      <c r="BT525" s="63"/>
      <c r="BU525" s="63"/>
      <c r="BV525" s="63"/>
      <c r="BW525" s="63"/>
      <c r="BX525" s="63"/>
      <c r="BY525" s="63"/>
      <c r="BZ525" s="63"/>
      <c r="CA525" s="63"/>
      <c r="CB525" s="63"/>
      <c r="CC525" s="63"/>
      <c r="CD525" s="63"/>
      <c r="CE525" s="63"/>
      <c r="CF525" s="63"/>
      <c r="CG525" s="63"/>
      <c r="CH525" s="63"/>
      <c r="CI525" s="63"/>
      <c r="CJ525" s="63"/>
      <c r="CK525" s="63"/>
      <c r="CL525" s="63"/>
      <c r="CM525" s="63"/>
      <c r="CN525" s="63"/>
      <c r="CO525" s="63"/>
      <c r="CP525" s="63"/>
      <c r="CQ525" s="63"/>
      <c r="CR525" s="63"/>
      <c r="CS525" s="63"/>
      <c r="CX525" s="35" t="s">
        <v>12</v>
      </c>
      <c r="CZ525" s="35"/>
      <c r="DC525" s="57" t="str">
        <f t="shared" si="447"/>
        <v/>
      </c>
      <c r="DD525" s="64" t="str">
        <f t="shared" si="443"/>
        <v/>
      </c>
      <c r="DE525" s="65" t="str">
        <f t="shared" si="444"/>
        <v/>
      </c>
      <c r="DF525" s="66" t="str">
        <f t="shared" si="405"/>
        <v/>
      </c>
    </row>
    <row r="526" spans="2:110">
      <c r="B526" s="54">
        <f t="shared" si="401"/>
        <v>46734</v>
      </c>
      <c r="C526" s="55" t="s">
        <v>1</v>
      </c>
      <c r="D526" s="56">
        <f t="shared" si="402"/>
        <v>46740</v>
      </c>
      <c r="E526" s="52">
        <f t="shared" si="403"/>
        <v>12</v>
      </c>
      <c r="F526" s="53">
        <f t="shared" si="404"/>
        <v>2027</v>
      </c>
      <c r="G526" s="62">
        <f t="shared" si="445"/>
        <v>15</v>
      </c>
      <c r="H526" s="63">
        <f t="shared" si="446"/>
        <v>96</v>
      </c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80"/>
      <c r="AG526" s="87">
        <f t="shared" si="406"/>
        <v>0</v>
      </c>
      <c r="AH526" s="87">
        <f t="shared" si="407"/>
        <v>0</v>
      </c>
      <c r="AI526" s="87">
        <f t="shared" si="408"/>
        <v>0</v>
      </c>
      <c r="AJ526" s="87">
        <f t="shared" si="409"/>
        <v>0</v>
      </c>
      <c r="AK526" s="87">
        <f t="shared" si="410"/>
        <v>0</v>
      </c>
      <c r="AL526" s="87">
        <f t="shared" si="411"/>
        <v>0</v>
      </c>
      <c r="AM526" s="87">
        <f t="shared" si="412"/>
        <v>0</v>
      </c>
      <c r="AN526" s="87">
        <f t="shared" si="413"/>
        <v>0</v>
      </c>
      <c r="AO526" s="87">
        <f t="shared" si="414"/>
        <v>0</v>
      </c>
      <c r="AP526" s="87">
        <f t="shared" si="415"/>
        <v>0</v>
      </c>
      <c r="AQ526" s="87">
        <f t="shared" si="416"/>
        <v>0</v>
      </c>
      <c r="AR526" s="81"/>
      <c r="AS526" s="85">
        <f t="shared" si="417"/>
        <v>0</v>
      </c>
      <c r="AT526" s="85">
        <f t="shared" si="418"/>
        <v>0</v>
      </c>
      <c r="AU526" s="85">
        <f t="shared" si="419"/>
        <v>72</v>
      </c>
      <c r="AV526" s="85">
        <f t="shared" si="420"/>
        <v>90</v>
      </c>
      <c r="AW526" s="85">
        <f t="shared" si="421"/>
        <v>67</v>
      </c>
      <c r="AX526" s="85">
        <f t="shared" si="422"/>
        <v>0</v>
      </c>
      <c r="AY526" s="85">
        <f t="shared" si="423"/>
        <v>67</v>
      </c>
      <c r="AZ526" s="85">
        <f t="shared" si="424"/>
        <v>86</v>
      </c>
      <c r="BA526" s="85">
        <f t="shared" si="425"/>
        <v>86</v>
      </c>
      <c r="BB526" s="85">
        <f t="shared" si="426"/>
        <v>0</v>
      </c>
      <c r="BC526" s="85">
        <f t="shared" si="427"/>
        <v>0</v>
      </c>
      <c r="BD526" s="85">
        <f t="shared" si="428"/>
        <v>87</v>
      </c>
      <c r="BE526" s="85">
        <f t="shared" si="429"/>
        <v>0</v>
      </c>
      <c r="BF526" s="85">
        <f t="shared" si="430"/>
        <v>0</v>
      </c>
      <c r="BG526" s="85">
        <f t="shared" si="431"/>
        <v>0</v>
      </c>
      <c r="BH526" s="85">
        <f t="shared" si="432"/>
        <v>0</v>
      </c>
      <c r="BI526" s="85">
        <f t="shared" si="433"/>
        <v>0</v>
      </c>
      <c r="BJ526" s="85">
        <f t="shared" si="434"/>
        <v>0</v>
      </c>
      <c r="BK526" s="85">
        <f t="shared" si="435"/>
        <v>93</v>
      </c>
      <c r="BL526" s="85">
        <f t="shared" si="436"/>
        <v>93</v>
      </c>
      <c r="BM526" s="85">
        <f t="shared" si="437"/>
        <v>91</v>
      </c>
      <c r="BN526" s="85">
        <f t="shared" si="438"/>
        <v>0</v>
      </c>
      <c r="BO526" s="85">
        <f t="shared" si="439"/>
        <v>83</v>
      </c>
      <c r="BP526" s="85">
        <f t="shared" si="440"/>
        <v>0</v>
      </c>
      <c r="BQ526" s="85">
        <f t="shared" si="441"/>
        <v>82</v>
      </c>
      <c r="BR526" s="85">
        <f t="shared" si="442"/>
        <v>82</v>
      </c>
      <c r="BT526" s="63"/>
      <c r="BU526" s="63"/>
      <c r="BV526" s="63"/>
      <c r="BW526" s="63"/>
      <c r="BX526" s="63"/>
      <c r="BY526" s="63"/>
      <c r="BZ526" s="63"/>
      <c r="CA526" s="63"/>
      <c r="CB526" s="63"/>
      <c r="CC526" s="63"/>
      <c r="CD526" s="63"/>
      <c r="CE526" s="63"/>
      <c r="CF526" s="63"/>
      <c r="CG526" s="63"/>
      <c r="CH526" s="63"/>
      <c r="CI526" s="63"/>
      <c r="CJ526" s="63"/>
      <c r="CK526" s="63"/>
      <c r="CL526" s="63"/>
      <c r="CM526" s="63"/>
      <c r="CN526" s="63"/>
      <c r="CO526" s="63"/>
      <c r="CP526" s="63"/>
      <c r="CQ526" s="63"/>
      <c r="CR526" s="63"/>
      <c r="CS526" s="63"/>
      <c r="CX526" s="35" t="s">
        <v>12</v>
      </c>
      <c r="CZ526" s="35"/>
      <c r="DC526" s="57" t="str">
        <f t="shared" si="447"/>
        <v/>
      </c>
      <c r="DD526" s="64" t="str">
        <f t="shared" si="443"/>
        <v/>
      </c>
      <c r="DE526" s="65" t="str">
        <f t="shared" si="444"/>
        <v/>
      </c>
      <c r="DF526" s="66" t="str">
        <f t="shared" si="405"/>
        <v/>
      </c>
    </row>
    <row r="527" spans="2:110">
      <c r="B527" s="54">
        <f t="shared" si="401"/>
        <v>46741</v>
      </c>
      <c r="C527" s="55" t="s">
        <v>1</v>
      </c>
      <c r="D527" s="56">
        <f t="shared" si="402"/>
        <v>46747</v>
      </c>
      <c r="E527" s="52">
        <f t="shared" si="403"/>
        <v>12</v>
      </c>
      <c r="F527" s="53">
        <f t="shared" si="404"/>
        <v>2027</v>
      </c>
      <c r="G527" s="62">
        <f t="shared" si="445"/>
        <v>15</v>
      </c>
      <c r="H527" s="63">
        <f t="shared" si="446"/>
        <v>96</v>
      </c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80"/>
      <c r="AG527" s="87">
        <f t="shared" si="406"/>
        <v>0</v>
      </c>
      <c r="AH527" s="87">
        <f t="shared" si="407"/>
        <v>0</v>
      </c>
      <c r="AI527" s="87">
        <f t="shared" si="408"/>
        <v>0</v>
      </c>
      <c r="AJ527" s="87">
        <f t="shared" si="409"/>
        <v>0</v>
      </c>
      <c r="AK527" s="87">
        <f t="shared" si="410"/>
        <v>0</v>
      </c>
      <c r="AL527" s="87">
        <f t="shared" si="411"/>
        <v>0</v>
      </c>
      <c r="AM527" s="87">
        <f t="shared" si="412"/>
        <v>0</v>
      </c>
      <c r="AN527" s="87">
        <f t="shared" si="413"/>
        <v>0</v>
      </c>
      <c r="AO527" s="87">
        <f t="shared" si="414"/>
        <v>0</v>
      </c>
      <c r="AP527" s="87">
        <f t="shared" si="415"/>
        <v>0</v>
      </c>
      <c r="AQ527" s="87">
        <f t="shared" si="416"/>
        <v>0</v>
      </c>
      <c r="AR527" s="81"/>
      <c r="AS527" s="85">
        <f t="shared" si="417"/>
        <v>0</v>
      </c>
      <c r="AT527" s="85">
        <f t="shared" si="418"/>
        <v>0</v>
      </c>
      <c r="AU527" s="85">
        <f t="shared" si="419"/>
        <v>73</v>
      </c>
      <c r="AV527" s="85">
        <f t="shared" si="420"/>
        <v>91</v>
      </c>
      <c r="AW527" s="85">
        <f t="shared" si="421"/>
        <v>68</v>
      </c>
      <c r="AX527" s="85">
        <f t="shared" si="422"/>
        <v>0</v>
      </c>
      <c r="AY527" s="85">
        <f t="shared" si="423"/>
        <v>68</v>
      </c>
      <c r="AZ527" s="85">
        <f t="shared" si="424"/>
        <v>87</v>
      </c>
      <c r="BA527" s="85">
        <f t="shared" si="425"/>
        <v>87</v>
      </c>
      <c r="BB527" s="85">
        <f t="shared" si="426"/>
        <v>0</v>
      </c>
      <c r="BC527" s="85">
        <f t="shared" si="427"/>
        <v>0</v>
      </c>
      <c r="BD527" s="85">
        <f t="shared" si="428"/>
        <v>88</v>
      </c>
      <c r="BE527" s="85">
        <f t="shared" si="429"/>
        <v>0</v>
      </c>
      <c r="BF527" s="85">
        <f t="shared" si="430"/>
        <v>0</v>
      </c>
      <c r="BG527" s="85">
        <f t="shared" si="431"/>
        <v>0</v>
      </c>
      <c r="BH527" s="85">
        <f t="shared" si="432"/>
        <v>0</v>
      </c>
      <c r="BI527" s="85">
        <f t="shared" si="433"/>
        <v>0</v>
      </c>
      <c r="BJ527" s="85">
        <f t="shared" si="434"/>
        <v>0</v>
      </c>
      <c r="BK527" s="85">
        <f t="shared" si="435"/>
        <v>94</v>
      </c>
      <c r="BL527" s="85">
        <f t="shared" si="436"/>
        <v>94</v>
      </c>
      <c r="BM527" s="85">
        <f t="shared" si="437"/>
        <v>92</v>
      </c>
      <c r="BN527" s="85">
        <f t="shared" si="438"/>
        <v>0</v>
      </c>
      <c r="BO527" s="85">
        <f t="shared" si="439"/>
        <v>84</v>
      </c>
      <c r="BP527" s="85">
        <f t="shared" si="440"/>
        <v>0</v>
      </c>
      <c r="BQ527" s="85">
        <f t="shared" si="441"/>
        <v>83</v>
      </c>
      <c r="BR527" s="85">
        <f t="shared" si="442"/>
        <v>83</v>
      </c>
      <c r="BT527" s="63"/>
      <c r="BU527" s="63"/>
      <c r="BV527" s="63"/>
      <c r="BW527" s="63"/>
      <c r="BX527" s="63"/>
      <c r="BY527" s="63"/>
      <c r="BZ527" s="63"/>
      <c r="CA527" s="63"/>
      <c r="CB527" s="63"/>
      <c r="CC527" s="63"/>
      <c r="CD527" s="63"/>
      <c r="CE527" s="63"/>
      <c r="CF527" s="63"/>
      <c r="CG527" s="63"/>
      <c r="CH527" s="63"/>
      <c r="CI527" s="63"/>
      <c r="CJ527" s="63"/>
      <c r="CK527" s="63"/>
      <c r="CL527" s="63"/>
      <c r="CM527" s="63"/>
      <c r="CN527" s="63"/>
      <c r="CO527" s="63"/>
      <c r="CP527" s="63"/>
      <c r="CQ527" s="63"/>
      <c r="CR527" s="63"/>
      <c r="CS527" s="63"/>
      <c r="CX527" s="35" t="s">
        <v>12</v>
      </c>
      <c r="CZ527" s="35"/>
      <c r="DC527" s="57" t="str">
        <f t="shared" si="447"/>
        <v/>
      </c>
      <c r="DD527" s="64" t="str">
        <f t="shared" si="443"/>
        <v/>
      </c>
      <c r="DE527" s="65" t="str">
        <f t="shared" si="444"/>
        <v/>
      </c>
      <c r="DF527" s="66" t="str">
        <f t="shared" si="405"/>
        <v/>
      </c>
    </row>
    <row r="528" spans="2:110">
      <c r="B528" s="54">
        <f t="shared" si="401"/>
        <v>46748</v>
      </c>
      <c r="C528" s="55" t="s">
        <v>1</v>
      </c>
      <c r="D528" s="56">
        <f t="shared" si="402"/>
        <v>46754</v>
      </c>
      <c r="E528" s="52">
        <f t="shared" si="403"/>
        <v>12</v>
      </c>
      <c r="F528" s="53">
        <f t="shared" si="404"/>
        <v>2028</v>
      </c>
      <c r="G528" s="62">
        <f t="shared" si="445"/>
        <v>15</v>
      </c>
      <c r="H528" s="63">
        <f t="shared" si="446"/>
        <v>96</v>
      </c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80"/>
      <c r="AG528" s="87">
        <f t="shared" si="406"/>
        <v>0</v>
      </c>
      <c r="AH528" s="87">
        <f t="shared" si="407"/>
        <v>0</v>
      </c>
      <c r="AI528" s="87">
        <f t="shared" si="408"/>
        <v>0</v>
      </c>
      <c r="AJ528" s="87">
        <f t="shared" si="409"/>
        <v>0</v>
      </c>
      <c r="AK528" s="87">
        <f t="shared" si="410"/>
        <v>0</v>
      </c>
      <c r="AL528" s="87">
        <f t="shared" si="411"/>
        <v>0</v>
      </c>
      <c r="AM528" s="87">
        <f t="shared" si="412"/>
        <v>0</v>
      </c>
      <c r="AN528" s="87">
        <f t="shared" si="413"/>
        <v>0</v>
      </c>
      <c r="AO528" s="87">
        <f t="shared" si="414"/>
        <v>0</v>
      </c>
      <c r="AP528" s="87">
        <f t="shared" si="415"/>
        <v>0</v>
      </c>
      <c r="AQ528" s="87">
        <f t="shared" si="416"/>
        <v>0</v>
      </c>
      <c r="AR528" s="81"/>
      <c r="AS528" s="85">
        <f t="shared" si="417"/>
        <v>0</v>
      </c>
      <c r="AT528" s="85">
        <f t="shared" si="418"/>
        <v>0</v>
      </c>
      <c r="AU528" s="85">
        <f t="shared" si="419"/>
        <v>74</v>
      </c>
      <c r="AV528" s="85">
        <f t="shared" si="420"/>
        <v>92</v>
      </c>
      <c r="AW528" s="85">
        <f t="shared" si="421"/>
        <v>69</v>
      </c>
      <c r="AX528" s="85">
        <f t="shared" si="422"/>
        <v>0</v>
      </c>
      <c r="AY528" s="85">
        <f t="shared" si="423"/>
        <v>69</v>
      </c>
      <c r="AZ528" s="85">
        <f t="shared" si="424"/>
        <v>88</v>
      </c>
      <c r="BA528" s="85">
        <f t="shared" si="425"/>
        <v>88</v>
      </c>
      <c r="BB528" s="85">
        <f t="shared" si="426"/>
        <v>0</v>
      </c>
      <c r="BC528" s="85">
        <f t="shared" si="427"/>
        <v>0</v>
      </c>
      <c r="BD528" s="85">
        <f t="shared" si="428"/>
        <v>89</v>
      </c>
      <c r="BE528" s="85">
        <f t="shared" si="429"/>
        <v>0</v>
      </c>
      <c r="BF528" s="85">
        <f t="shared" si="430"/>
        <v>0</v>
      </c>
      <c r="BG528" s="85">
        <f t="shared" si="431"/>
        <v>0</v>
      </c>
      <c r="BH528" s="85">
        <f t="shared" si="432"/>
        <v>0</v>
      </c>
      <c r="BI528" s="85">
        <f t="shared" si="433"/>
        <v>0</v>
      </c>
      <c r="BJ528" s="85">
        <f t="shared" si="434"/>
        <v>0</v>
      </c>
      <c r="BK528" s="85">
        <f t="shared" si="435"/>
        <v>95</v>
      </c>
      <c r="BL528" s="85">
        <f t="shared" si="436"/>
        <v>95</v>
      </c>
      <c r="BM528" s="85">
        <f t="shared" si="437"/>
        <v>93</v>
      </c>
      <c r="BN528" s="85">
        <f t="shared" si="438"/>
        <v>0</v>
      </c>
      <c r="BO528" s="85">
        <f t="shared" si="439"/>
        <v>85</v>
      </c>
      <c r="BP528" s="85">
        <f t="shared" si="440"/>
        <v>0</v>
      </c>
      <c r="BQ528" s="85">
        <f t="shared" si="441"/>
        <v>84</v>
      </c>
      <c r="BR528" s="85">
        <f t="shared" si="442"/>
        <v>84</v>
      </c>
      <c r="BT528" s="63"/>
      <c r="BU528" s="63"/>
      <c r="BV528" s="63"/>
      <c r="BW528" s="63"/>
      <c r="BX528" s="63"/>
      <c r="BY528" s="63"/>
      <c r="BZ528" s="63"/>
      <c r="CA528" s="63"/>
      <c r="CB528" s="63"/>
      <c r="CC528" s="63"/>
      <c r="CD528" s="63"/>
      <c r="CE528" s="63"/>
      <c r="CF528" s="63"/>
      <c r="CG528" s="63"/>
      <c r="CH528" s="63"/>
      <c r="CI528" s="63"/>
      <c r="CJ528" s="63"/>
      <c r="CK528" s="63"/>
      <c r="CL528" s="63"/>
      <c r="CM528" s="63"/>
      <c r="CN528" s="63"/>
      <c r="CO528" s="63"/>
      <c r="CP528" s="63"/>
      <c r="CQ528" s="63"/>
      <c r="CR528" s="63"/>
      <c r="CS528" s="63"/>
      <c r="CX528" s="35" t="s">
        <v>12</v>
      </c>
      <c r="CZ528" s="35"/>
      <c r="DC528" s="57" t="str">
        <f t="shared" si="447"/>
        <v/>
      </c>
      <c r="DD528" s="64" t="str">
        <f t="shared" si="443"/>
        <v/>
      </c>
      <c r="DE528" s="65" t="str">
        <f t="shared" si="444"/>
        <v/>
      </c>
      <c r="DF528" s="66" t="str">
        <f t="shared" si="405"/>
        <v/>
      </c>
    </row>
    <row r="529" spans="2:110">
      <c r="B529" s="54">
        <f t="shared" si="401"/>
        <v>46755</v>
      </c>
      <c r="C529" s="55" t="s">
        <v>1</v>
      </c>
      <c r="D529" s="56">
        <f t="shared" si="402"/>
        <v>46761</v>
      </c>
      <c r="E529" s="52">
        <f t="shared" si="403"/>
        <v>1</v>
      </c>
      <c r="F529" s="53">
        <f t="shared" si="404"/>
        <v>2028</v>
      </c>
      <c r="G529" s="62">
        <f t="shared" si="445"/>
        <v>15</v>
      </c>
      <c r="H529" s="63">
        <f t="shared" si="446"/>
        <v>96</v>
      </c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80"/>
      <c r="AG529" s="87">
        <f t="shared" si="406"/>
        <v>0</v>
      </c>
      <c r="AH529" s="87">
        <f t="shared" si="407"/>
        <v>0</v>
      </c>
      <c r="AI529" s="87">
        <f t="shared" si="408"/>
        <v>0</v>
      </c>
      <c r="AJ529" s="87">
        <f t="shared" si="409"/>
        <v>0</v>
      </c>
      <c r="AK529" s="87">
        <f t="shared" si="410"/>
        <v>0</v>
      </c>
      <c r="AL529" s="87">
        <f t="shared" si="411"/>
        <v>0</v>
      </c>
      <c r="AM529" s="87">
        <f t="shared" si="412"/>
        <v>0</v>
      </c>
      <c r="AN529" s="87">
        <f t="shared" si="413"/>
        <v>0</v>
      </c>
      <c r="AO529" s="87">
        <f t="shared" si="414"/>
        <v>0</v>
      </c>
      <c r="AP529" s="87">
        <f t="shared" si="415"/>
        <v>0</v>
      </c>
      <c r="AQ529" s="87">
        <f t="shared" si="416"/>
        <v>0</v>
      </c>
      <c r="AR529" s="81"/>
      <c r="AS529" s="85">
        <f t="shared" si="417"/>
        <v>0</v>
      </c>
      <c r="AT529" s="85">
        <f t="shared" si="418"/>
        <v>0</v>
      </c>
      <c r="AU529" s="85">
        <f t="shared" si="419"/>
        <v>75</v>
      </c>
      <c r="AV529" s="85">
        <f t="shared" si="420"/>
        <v>93</v>
      </c>
      <c r="AW529" s="85">
        <f t="shared" si="421"/>
        <v>70</v>
      </c>
      <c r="AX529" s="85">
        <f t="shared" si="422"/>
        <v>0</v>
      </c>
      <c r="AY529" s="85">
        <f t="shared" si="423"/>
        <v>70</v>
      </c>
      <c r="AZ529" s="85">
        <f t="shared" si="424"/>
        <v>89</v>
      </c>
      <c r="BA529" s="85">
        <f t="shared" si="425"/>
        <v>89</v>
      </c>
      <c r="BB529" s="85">
        <f t="shared" si="426"/>
        <v>0</v>
      </c>
      <c r="BC529" s="85">
        <f t="shared" si="427"/>
        <v>0</v>
      </c>
      <c r="BD529" s="85">
        <f t="shared" si="428"/>
        <v>90</v>
      </c>
      <c r="BE529" s="85">
        <f t="shared" si="429"/>
        <v>0</v>
      </c>
      <c r="BF529" s="85">
        <f t="shared" si="430"/>
        <v>0</v>
      </c>
      <c r="BG529" s="85">
        <f t="shared" si="431"/>
        <v>0</v>
      </c>
      <c r="BH529" s="85">
        <f t="shared" si="432"/>
        <v>0</v>
      </c>
      <c r="BI529" s="85">
        <f t="shared" si="433"/>
        <v>0</v>
      </c>
      <c r="BJ529" s="85">
        <f t="shared" si="434"/>
        <v>0</v>
      </c>
      <c r="BK529" s="85">
        <f t="shared" si="435"/>
        <v>96</v>
      </c>
      <c r="BL529" s="85">
        <f t="shared" si="436"/>
        <v>96</v>
      </c>
      <c r="BM529" s="85">
        <f t="shared" si="437"/>
        <v>94</v>
      </c>
      <c r="BN529" s="85">
        <f t="shared" si="438"/>
        <v>0</v>
      </c>
      <c r="BO529" s="85">
        <f t="shared" si="439"/>
        <v>86</v>
      </c>
      <c r="BP529" s="85">
        <f t="shared" si="440"/>
        <v>0</v>
      </c>
      <c r="BQ529" s="85">
        <f t="shared" si="441"/>
        <v>85</v>
      </c>
      <c r="BR529" s="85">
        <f t="shared" si="442"/>
        <v>85</v>
      </c>
      <c r="BT529" s="63"/>
      <c r="BU529" s="63"/>
      <c r="BV529" s="63"/>
      <c r="BW529" s="63"/>
      <c r="BX529" s="63"/>
      <c r="BY529" s="63"/>
      <c r="BZ529" s="63"/>
      <c r="CA529" s="63"/>
      <c r="CB529" s="63"/>
      <c r="CC529" s="63"/>
      <c r="CD529" s="63"/>
      <c r="CE529" s="63"/>
      <c r="CF529" s="63"/>
      <c r="CG529" s="63"/>
      <c r="CH529" s="63"/>
      <c r="CI529" s="63"/>
      <c r="CJ529" s="63"/>
      <c r="CK529" s="63"/>
      <c r="CL529" s="63"/>
      <c r="CM529" s="63"/>
      <c r="CN529" s="63"/>
      <c r="CO529" s="63"/>
      <c r="CP529" s="63"/>
      <c r="CQ529" s="63"/>
      <c r="CR529" s="63"/>
      <c r="CS529" s="63"/>
      <c r="CX529" s="35" t="s">
        <v>12</v>
      </c>
      <c r="CZ529" s="35"/>
      <c r="DC529" s="57" t="str">
        <f t="shared" si="447"/>
        <v/>
      </c>
      <c r="DD529" s="64" t="str">
        <f t="shared" si="443"/>
        <v/>
      </c>
      <c r="DE529" s="65" t="str">
        <f t="shared" si="444"/>
        <v/>
      </c>
      <c r="DF529" s="66" t="str">
        <f t="shared" si="405"/>
        <v/>
      </c>
    </row>
    <row r="530" spans="2:110">
      <c r="B530" s="54">
        <f t="shared" si="401"/>
        <v>46762</v>
      </c>
      <c r="C530" s="55" t="s">
        <v>1</v>
      </c>
      <c r="D530" s="56">
        <f t="shared" si="402"/>
        <v>46768</v>
      </c>
      <c r="E530" s="52">
        <f t="shared" si="403"/>
        <v>1</v>
      </c>
      <c r="F530" s="53">
        <f t="shared" si="404"/>
        <v>2028</v>
      </c>
      <c r="G530" s="62">
        <f t="shared" si="445"/>
        <v>15</v>
      </c>
      <c r="H530" s="63">
        <f t="shared" si="446"/>
        <v>96</v>
      </c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80"/>
      <c r="AG530" s="87">
        <f t="shared" si="406"/>
        <v>0</v>
      </c>
      <c r="AH530" s="87">
        <f t="shared" si="407"/>
        <v>0</v>
      </c>
      <c r="AI530" s="87">
        <f t="shared" si="408"/>
        <v>0</v>
      </c>
      <c r="AJ530" s="87">
        <f t="shared" si="409"/>
        <v>0</v>
      </c>
      <c r="AK530" s="87">
        <f t="shared" si="410"/>
        <v>0</v>
      </c>
      <c r="AL530" s="87">
        <f t="shared" si="411"/>
        <v>0</v>
      </c>
      <c r="AM530" s="87">
        <f t="shared" si="412"/>
        <v>0</v>
      </c>
      <c r="AN530" s="87">
        <f t="shared" si="413"/>
        <v>0</v>
      </c>
      <c r="AO530" s="87">
        <f t="shared" si="414"/>
        <v>0</v>
      </c>
      <c r="AP530" s="87">
        <f t="shared" si="415"/>
        <v>0</v>
      </c>
      <c r="AQ530" s="87">
        <f t="shared" si="416"/>
        <v>0</v>
      </c>
      <c r="AR530" s="81"/>
      <c r="AS530" s="85">
        <f t="shared" si="417"/>
        <v>0</v>
      </c>
      <c r="AT530" s="85">
        <f t="shared" si="418"/>
        <v>0</v>
      </c>
      <c r="AU530" s="85">
        <f t="shared" si="419"/>
        <v>76</v>
      </c>
      <c r="AV530" s="85">
        <f t="shared" si="420"/>
        <v>94</v>
      </c>
      <c r="AW530" s="85">
        <f t="shared" si="421"/>
        <v>71</v>
      </c>
      <c r="AX530" s="85">
        <f t="shared" si="422"/>
        <v>0</v>
      </c>
      <c r="AY530" s="85">
        <f t="shared" si="423"/>
        <v>71</v>
      </c>
      <c r="AZ530" s="85">
        <f t="shared" si="424"/>
        <v>90</v>
      </c>
      <c r="BA530" s="85">
        <f t="shared" si="425"/>
        <v>90</v>
      </c>
      <c r="BB530" s="85">
        <f t="shared" si="426"/>
        <v>0</v>
      </c>
      <c r="BC530" s="85">
        <f t="shared" si="427"/>
        <v>0</v>
      </c>
      <c r="BD530" s="85">
        <f t="shared" si="428"/>
        <v>91</v>
      </c>
      <c r="BE530" s="85">
        <f t="shared" si="429"/>
        <v>0</v>
      </c>
      <c r="BF530" s="85">
        <f t="shared" si="430"/>
        <v>0</v>
      </c>
      <c r="BG530" s="85">
        <f t="shared" si="431"/>
        <v>0</v>
      </c>
      <c r="BH530" s="85">
        <f t="shared" si="432"/>
        <v>0</v>
      </c>
      <c r="BI530" s="85">
        <f t="shared" si="433"/>
        <v>0</v>
      </c>
      <c r="BJ530" s="85">
        <f t="shared" si="434"/>
        <v>0</v>
      </c>
      <c r="BK530" s="85">
        <f t="shared" si="435"/>
        <v>0</v>
      </c>
      <c r="BL530" s="85">
        <f t="shared" si="436"/>
        <v>0</v>
      </c>
      <c r="BM530" s="85">
        <f t="shared" si="437"/>
        <v>95</v>
      </c>
      <c r="BN530" s="85">
        <f t="shared" si="438"/>
        <v>0</v>
      </c>
      <c r="BO530" s="85">
        <f t="shared" si="439"/>
        <v>87</v>
      </c>
      <c r="BP530" s="85">
        <f t="shared" si="440"/>
        <v>0</v>
      </c>
      <c r="BQ530" s="85">
        <f t="shared" si="441"/>
        <v>86</v>
      </c>
      <c r="BR530" s="85">
        <f t="shared" si="442"/>
        <v>86</v>
      </c>
      <c r="BT530" s="63"/>
      <c r="BU530" s="63"/>
      <c r="BV530" s="63"/>
      <c r="BW530" s="63"/>
      <c r="BX530" s="63"/>
      <c r="BY530" s="63"/>
      <c r="BZ530" s="63"/>
      <c r="CA530" s="63"/>
      <c r="CB530" s="63"/>
      <c r="CC530" s="63"/>
      <c r="CD530" s="63"/>
      <c r="CE530" s="63"/>
      <c r="CF530" s="63"/>
      <c r="CG530" s="63"/>
      <c r="CH530" s="63"/>
      <c r="CI530" s="63"/>
      <c r="CJ530" s="63"/>
      <c r="CK530" s="63"/>
      <c r="CL530" s="63"/>
      <c r="CM530" s="63"/>
      <c r="CN530" s="63"/>
      <c r="CO530" s="63"/>
      <c r="CP530" s="63"/>
      <c r="CQ530" s="63"/>
      <c r="CR530" s="63"/>
      <c r="CS530" s="63"/>
      <c r="CX530" s="35" t="s">
        <v>12</v>
      </c>
      <c r="CZ530" s="35"/>
      <c r="DC530" s="57" t="str">
        <f t="shared" si="447"/>
        <v/>
      </c>
      <c r="DD530" s="64" t="str">
        <f t="shared" si="443"/>
        <v/>
      </c>
      <c r="DE530" s="65" t="str">
        <f t="shared" si="444"/>
        <v/>
      </c>
      <c r="DF530" s="66" t="str">
        <f t="shared" si="405"/>
        <v/>
      </c>
    </row>
    <row r="531" spans="2:110">
      <c r="B531" s="54">
        <f t="shared" si="401"/>
        <v>46769</v>
      </c>
      <c r="C531" s="55" t="s">
        <v>1</v>
      </c>
      <c r="D531" s="56">
        <f t="shared" si="402"/>
        <v>46775</v>
      </c>
      <c r="E531" s="52">
        <f t="shared" si="403"/>
        <v>1</v>
      </c>
      <c r="F531" s="53">
        <f t="shared" si="404"/>
        <v>2028</v>
      </c>
      <c r="G531" s="62">
        <f t="shared" si="445"/>
        <v>15</v>
      </c>
      <c r="H531" s="63">
        <f t="shared" si="446"/>
        <v>96</v>
      </c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80"/>
      <c r="AG531" s="87">
        <f t="shared" si="406"/>
        <v>0</v>
      </c>
      <c r="AH531" s="87">
        <f t="shared" si="407"/>
        <v>0</v>
      </c>
      <c r="AI531" s="87">
        <f t="shared" si="408"/>
        <v>0</v>
      </c>
      <c r="AJ531" s="87">
        <f t="shared" si="409"/>
        <v>0</v>
      </c>
      <c r="AK531" s="87">
        <f t="shared" si="410"/>
        <v>0</v>
      </c>
      <c r="AL531" s="87">
        <f t="shared" si="411"/>
        <v>0</v>
      </c>
      <c r="AM531" s="87">
        <f t="shared" si="412"/>
        <v>0</v>
      </c>
      <c r="AN531" s="87">
        <f t="shared" si="413"/>
        <v>0</v>
      </c>
      <c r="AO531" s="87">
        <f t="shared" si="414"/>
        <v>0</v>
      </c>
      <c r="AP531" s="87">
        <f t="shared" si="415"/>
        <v>0</v>
      </c>
      <c r="AQ531" s="87">
        <f t="shared" si="416"/>
        <v>0</v>
      </c>
      <c r="AR531" s="81"/>
      <c r="AS531" s="85">
        <f t="shared" si="417"/>
        <v>0</v>
      </c>
      <c r="AT531" s="85">
        <f t="shared" si="418"/>
        <v>0</v>
      </c>
      <c r="AU531" s="85">
        <f t="shared" si="419"/>
        <v>77</v>
      </c>
      <c r="AV531" s="85">
        <f t="shared" si="420"/>
        <v>95</v>
      </c>
      <c r="AW531" s="85">
        <f t="shared" si="421"/>
        <v>72</v>
      </c>
      <c r="AX531" s="85">
        <f t="shared" si="422"/>
        <v>0</v>
      </c>
      <c r="AY531" s="85">
        <f t="shared" si="423"/>
        <v>72</v>
      </c>
      <c r="AZ531" s="85">
        <f t="shared" si="424"/>
        <v>91</v>
      </c>
      <c r="BA531" s="85">
        <f t="shared" si="425"/>
        <v>91</v>
      </c>
      <c r="BB531" s="85">
        <f t="shared" si="426"/>
        <v>0</v>
      </c>
      <c r="BC531" s="85">
        <f t="shared" si="427"/>
        <v>0</v>
      </c>
      <c r="BD531" s="85">
        <f t="shared" si="428"/>
        <v>92</v>
      </c>
      <c r="BE531" s="85">
        <f t="shared" si="429"/>
        <v>0</v>
      </c>
      <c r="BF531" s="85">
        <f t="shared" si="430"/>
        <v>0</v>
      </c>
      <c r="BG531" s="85">
        <f t="shared" si="431"/>
        <v>0</v>
      </c>
      <c r="BH531" s="85">
        <f t="shared" si="432"/>
        <v>0</v>
      </c>
      <c r="BI531" s="85">
        <f t="shared" si="433"/>
        <v>0</v>
      </c>
      <c r="BJ531" s="85">
        <f t="shared" si="434"/>
        <v>0</v>
      </c>
      <c r="BK531" s="85">
        <f t="shared" si="435"/>
        <v>0</v>
      </c>
      <c r="BL531" s="85">
        <f t="shared" si="436"/>
        <v>0</v>
      </c>
      <c r="BM531" s="85">
        <f t="shared" si="437"/>
        <v>96</v>
      </c>
      <c r="BN531" s="85">
        <f t="shared" si="438"/>
        <v>0</v>
      </c>
      <c r="BO531" s="85">
        <f t="shared" si="439"/>
        <v>88</v>
      </c>
      <c r="BP531" s="85">
        <f t="shared" si="440"/>
        <v>0</v>
      </c>
      <c r="BQ531" s="85">
        <f t="shared" si="441"/>
        <v>87</v>
      </c>
      <c r="BR531" s="85">
        <f t="shared" si="442"/>
        <v>87</v>
      </c>
      <c r="BT531" s="63"/>
      <c r="BU531" s="63"/>
      <c r="BV531" s="63"/>
      <c r="BW531" s="63"/>
      <c r="BX531" s="63"/>
      <c r="BY531" s="63"/>
      <c r="BZ531" s="63"/>
      <c r="CA531" s="63"/>
      <c r="CB531" s="63"/>
      <c r="CC531" s="63"/>
      <c r="CD531" s="63"/>
      <c r="CE531" s="63"/>
      <c r="CF531" s="63"/>
      <c r="CG531" s="63"/>
      <c r="CH531" s="63"/>
      <c r="CI531" s="63"/>
      <c r="CJ531" s="63"/>
      <c r="CK531" s="63"/>
      <c r="CL531" s="63"/>
      <c r="CM531" s="63"/>
      <c r="CN531" s="63"/>
      <c r="CO531" s="63"/>
      <c r="CP531" s="63"/>
      <c r="CQ531" s="63"/>
      <c r="CR531" s="63"/>
      <c r="CS531" s="63"/>
      <c r="CX531" s="35" t="s">
        <v>12</v>
      </c>
      <c r="CZ531" s="35"/>
      <c r="DC531" s="57" t="str">
        <f t="shared" si="447"/>
        <v/>
      </c>
      <c r="DD531" s="64" t="str">
        <f t="shared" si="443"/>
        <v/>
      </c>
      <c r="DE531" s="65" t="str">
        <f t="shared" si="444"/>
        <v/>
      </c>
      <c r="DF531" s="66" t="str">
        <f t="shared" si="405"/>
        <v/>
      </c>
    </row>
    <row r="532" spans="2:110">
      <c r="B532" s="54">
        <f t="shared" si="401"/>
        <v>46776</v>
      </c>
      <c r="C532" s="55" t="s">
        <v>1</v>
      </c>
      <c r="D532" s="56">
        <f t="shared" si="402"/>
        <v>46782</v>
      </c>
      <c r="E532" s="52">
        <f t="shared" si="403"/>
        <v>1</v>
      </c>
      <c r="F532" s="53">
        <f t="shared" si="404"/>
        <v>2028</v>
      </c>
      <c r="G532" s="62">
        <f t="shared" si="445"/>
        <v>15</v>
      </c>
      <c r="H532" s="63">
        <f t="shared" si="446"/>
        <v>96</v>
      </c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80"/>
      <c r="AG532" s="87">
        <f t="shared" si="406"/>
        <v>0</v>
      </c>
      <c r="AH532" s="87">
        <f t="shared" si="407"/>
        <v>0</v>
      </c>
      <c r="AI532" s="87">
        <f t="shared" si="408"/>
        <v>0</v>
      </c>
      <c r="AJ532" s="87">
        <f t="shared" si="409"/>
        <v>0</v>
      </c>
      <c r="AK532" s="87">
        <f t="shared" si="410"/>
        <v>0</v>
      </c>
      <c r="AL532" s="87">
        <f t="shared" si="411"/>
        <v>0</v>
      </c>
      <c r="AM532" s="87">
        <f t="shared" si="412"/>
        <v>0</v>
      </c>
      <c r="AN532" s="87">
        <f t="shared" si="413"/>
        <v>0</v>
      </c>
      <c r="AO532" s="87">
        <f t="shared" si="414"/>
        <v>0</v>
      </c>
      <c r="AP532" s="87">
        <f t="shared" si="415"/>
        <v>0</v>
      </c>
      <c r="AQ532" s="87">
        <f t="shared" si="416"/>
        <v>0</v>
      </c>
      <c r="AR532" s="81"/>
      <c r="AS532" s="85">
        <f t="shared" si="417"/>
        <v>0</v>
      </c>
      <c r="AT532" s="85">
        <f t="shared" si="418"/>
        <v>0</v>
      </c>
      <c r="AU532" s="85">
        <f t="shared" si="419"/>
        <v>78</v>
      </c>
      <c r="AV532" s="85">
        <f t="shared" si="420"/>
        <v>96</v>
      </c>
      <c r="AW532" s="85">
        <f t="shared" si="421"/>
        <v>73</v>
      </c>
      <c r="AX532" s="85">
        <f t="shared" si="422"/>
        <v>0</v>
      </c>
      <c r="AY532" s="85">
        <f t="shared" si="423"/>
        <v>73</v>
      </c>
      <c r="AZ532" s="85">
        <f t="shared" si="424"/>
        <v>92</v>
      </c>
      <c r="BA532" s="85">
        <f t="shared" si="425"/>
        <v>92</v>
      </c>
      <c r="BB532" s="85">
        <f t="shared" si="426"/>
        <v>0</v>
      </c>
      <c r="BC532" s="85">
        <f t="shared" si="427"/>
        <v>0</v>
      </c>
      <c r="BD532" s="85">
        <f t="shared" si="428"/>
        <v>93</v>
      </c>
      <c r="BE532" s="85">
        <f t="shared" si="429"/>
        <v>0</v>
      </c>
      <c r="BF532" s="85">
        <f t="shared" si="430"/>
        <v>0</v>
      </c>
      <c r="BG532" s="85">
        <f t="shared" si="431"/>
        <v>0</v>
      </c>
      <c r="BH532" s="85">
        <f t="shared" si="432"/>
        <v>0</v>
      </c>
      <c r="BI532" s="85">
        <f t="shared" si="433"/>
        <v>0</v>
      </c>
      <c r="BJ532" s="85">
        <f t="shared" si="434"/>
        <v>0</v>
      </c>
      <c r="BK532" s="85">
        <f t="shared" si="435"/>
        <v>0</v>
      </c>
      <c r="BL532" s="85">
        <f t="shared" si="436"/>
        <v>0</v>
      </c>
      <c r="BM532" s="85">
        <f t="shared" si="437"/>
        <v>0</v>
      </c>
      <c r="BN532" s="85">
        <f t="shared" si="438"/>
        <v>0</v>
      </c>
      <c r="BO532" s="85">
        <f t="shared" si="439"/>
        <v>89</v>
      </c>
      <c r="BP532" s="85">
        <f t="shared" si="440"/>
        <v>0</v>
      </c>
      <c r="BQ532" s="85">
        <f t="shared" si="441"/>
        <v>88</v>
      </c>
      <c r="BR532" s="85">
        <f t="shared" si="442"/>
        <v>88</v>
      </c>
      <c r="BT532" s="63"/>
      <c r="BU532" s="63"/>
      <c r="BV532" s="63"/>
      <c r="BW532" s="63"/>
      <c r="BX532" s="63"/>
      <c r="BY532" s="63"/>
      <c r="BZ532" s="63"/>
      <c r="CA532" s="63"/>
      <c r="CB532" s="63"/>
      <c r="CC532" s="63"/>
      <c r="CD532" s="63"/>
      <c r="CE532" s="63"/>
      <c r="CF532" s="63"/>
      <c r="CG532" s="63"/>
      <c r="CH532" s="63"/>
      <c r="CI532" s="63"/>
      <c r="CJ532" s="63"/>
      <c r="CK532" s="63"/>
      <c r="CL532" s="63"/>
      <c r="CM532" s="63"/>
      <c r="CN532" s="63"/>
      <c r="CO532" s="63"/>
      <c r="CP532" s="63"/>
      <c r="CQ532" s="63"/>
      <c r="CR532" s="63"/>
      <c r="CS532" s="63"/>
      <c r="CX532" s="35" t="s">
        <v>12</v>
      </c>
      <c r="CZ532" s="35"/>
      <c r="DC532" s="57" t="str">
        <f t="shared" si="447"/>
        <v/>
      </c>
      <c r="DD532" s="64" t="str">
        <f t="shared" si="443"/>
        <v/>
      </c>
      <c r="DE532" s="65" t="str">
        <f t="shared" si="444"/>
        <v/>
      </c>
      <c r="DF532" s="66" t="str">
        <f t="shared" si="405"/>
        <v/>
      </c>
    </row>
    <row r="533" spans="2:110">
      <c r="B533" s="54">
        <f t="shared" si="401"/>
        <v>46783</v>
      </c>
      <c r="C533" s="55" t="s">
        <v>1</v>
      </c>
      <c r="D533" s="56">
        <f t="shared" si="402"/>
        <v>46789</v>
      </c>
      <c r="E533" s="52">
        <f t="shared" si="403"/>
        <v>1</v>
      </c>
      <c r="F533" s="53">
        <f t="shared" si="404"/>
        <v>2028</v>
      </c>
      <c r="G533" s="62">
        <f t="shared" si="445"/>
        <v>15</v>
      </c>
      <c r="H533" s="63">
        <f t="shared" si="446"/>
        <v>96</v>
      </c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80"/>
      <c r="AG533" s="87">
        <f t="shared" si="406"/>
        <v>0</v>
      </c>
      <c r="AH533" s="87">
        <f t="shared" si="407"/>
        <v>0</v>
      </c>
      <c r="AI533" s="87">
        <f t="shared" si="408"/>
        <v>0</v>
      </c>
      <c r="AJ533" s="87">
        <f t="shared" si="409"/>
        <v>0</v>
      </c>
      <c r="AK533" s="87">
        <f t="shared" si="410"/>
        <v>0</v>
      </c>
      <c r="AL533" s="87">
        <f t="shared" si="411"/>
        <v>0</v>
      </c>
      <c r="AM533" s="87">
        <f t="shared" si="412"/>
        <v>0</v>
      </c>
      <c r="AN533" s="87">
        <f t="shared" si="413"/>
        <v>0</v>
      </c>
      <c r="AO533" s="87">
        <f t="shared" si="414"/>
        <v>0</v>
      </c>
      <c r="AP533" s="87">
        <f t="shared" si="415"/>
        <v>0</v>
      </c>
      <c r="AQ533" s="87">
        <f t="shared" si="416"/>
        <v>0</v>
      </c>
      <c r="AR533" s="81"/>
      <c r="AS533" s="85">
        <f t="shared" si="417"/>
        <v>0</v>
      </c>
      <c r="AT533" s="85">
        <f t="shared" si="418"/>
        <v>0</v>
      </c>
      <c r="AU533" s="85">
        <f t="shared" si="419"/>
        <v>79</v>
      </c>
      <c r="AV533" s="85">
        <f t="shared" si="420"/>
        <v>0</v>
      </c>
      <c r="AW533" s="85">
        <f t="shared" si="421"/>
        <v>74</v>
      </c>
      <c r="AX533" s="85">
        <f t="shared" si="422"/>
        <v>0</v>
      </c>
      <c r="AY533" s="85">
        <f t="shared" si="423"/>
        <v>74</v>
      </c>
      <c r="AZ533" s="85">
        <f t="shared" si="424"/>
        <v>93</v>
      </c>
      <c r="BA533" s="85">
        <f t="shared" si="425"/>
        <v>93</v>
      </c>
      <c r="BB533" s="85">
        <f t="shared" si="426"/>
        <v>0</v>
      </c>
      <c r="BC533" s="85">
        <f t="shared" si="427"/>
        <v>0</v>
      </c>
      <c r="BD533" s="85">
        <f t="shared" si="428"/>
        <v>94</v>
      </c>
      <c r="BE533" s="85">
        <f t="shared" si="429"/>
        <v>0</v>
      </c>
      <c r="BF533" s="85">
        <f t="shared" si="430"/>
        <v>0</v>
      </c>
      <c r="BG533" s="85">
        <f t="shared" si="431"/>
        <v>0</v>
      </c>
      <c r="BH533" s="85">
        <f t="shared" si="432"/>
        <v>0</v>
      </c>
      <c r="BI533" s="85">
        <f t="shared" si="433"/>
        <v>0</v>
      </c>
      <c r="BJ533" s="85">
        <f t="shared" si="434"/>
        <v>0</v>
      </c>
      <c r="BK533" s="85">
        <f t="shared" si="435"/>
        <v>0</v>
      </c>
      <c r="BL533" s="85">
        <f t="shared" si="436"/>
        <v>0</v>
      </c>
      <c r="BM533" s="85">
        <f t="shared" si="437"/>
        <v>0</v>
      </c>
      <c r="BN533" s="85">
        <f t="shared" si="438"/>
        <v>0</v>
      </c>
      <c r="BO533" s="85">
        <f t="shared" si="439"/>
        <v>90</v>
      </c>
      <c r="BP533" s="85">
        <f t="shared" si="440"/>
        <v>0</v>
      </c>
      <c r="BQ533" s="85">
        <f t="shared" si="441"/>
        <v>89</v>
      </c>
      <c r="BR533" s="85">
        <f t="shared" si="442"/>
        <v>89</v>
      </c>
      <c r="BT533" s="63"/>
      <c r="BU533" s="63"/>
      <c r="BV533" s="63"/>
      <c r="BW533" s="63"/>
      <c r="BX533" s="63"/>
      <c r="BY533" s="63"/>
      <c r="BZ533" s="63"/>
      <c r="CA533" s="63"/>
      <c r="CB533" s="63"/>
      <c r="CC533" s="63"/>
      <c r="CD533" s="63"/>
      <c r="CE533" s="63"/>
      <c r="CF533" s="63"/>
      <c r="CG533" s="63"/>
      <c r="CH533" s="63"/>
      <c r="CI533" s="63"/>
      <c r="CJ533" s="63"/>
      <c r="CK533" s="63"/>
      <c r="CL533" s="63"/>
      <c r="CM533" s="63"/>
      <c r="CN533" s="63"/>
      <c r="CO533" s="63"/>
      <c r="CP533" s="63"/>
      <c r="CQ533" s="63"/>
      <c r="CR533" s="63"/>
      <c r="CS533" s="63"/>
      <c r="CX533" s="35" t="s">
        <v>12</v>
      </c>
      <c r="CZ533" s="35"/>
      <c r="DC533" s="57" t="str">
        <f t="shared" si="447"/>
        <v/>
      </c>
      <c r="DD533" s="64" t="str">
        <f t="shared" si="443"/>
        <v/>
      </c>
      <c r="DE533" s="65" t="str">
        <f t="shared" si="444"/>
        <v/>
      </c>
      <c r="DF533" s="66" t="str">
        <f t="shared" si="405"/>
        <v/>
      </c>
    </row>
    <row r="534" spans="2:110">
      <c r="B534" s="54">
        <f t="shared" si="401"/>
        <v>46790</v>
      </c>
      <c r="C534" s="55" t="s">
        <v>1</v>
      </c>
      <c r="D534" s="56">
        <f t="shared" si="402"/>
        <v>46796</v>
      </c>
      <c r="E534" s="52">
        <f t="shared" si="403"/>
        <v>2</v>
      </c>
      <c r="F534" s="53">
        <f t="shared" si="404"/>
        <v>2028</v>
      </c>
      <c r="G534" s="62">
        <f t="shared" si="445"/>
        <v>15</v>
      </c>
      <c r="H534" s="63">
        <f t="shared" si="446"/>
        <v>96</v>
      </c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80"/>
      <c r="AG534" s="87">
        <f t="shared" si="406"/>
        <v>0</v>
      </c>
      <c r="AH534" s="87">
        <f t="shared" si="407"/>
        <v>0</v>
      </c>
      <c r="AI534" s="87">
        <f t="shared" si="408"/>
        <v>0</v>
      </c>
      <c r="AJ534" s="87">
        <f t="shared" si="409"/>
        <v>0</v>
      </c>
      <c r="AK534" s="87">
        <f t="shared" si="410"/>
        <v>0</v>
      </c>
      <c r="AL534" s="87">
        <f t="shared" si="411"/>
        <v>0</v>
      </c>
      <c r="AM534" s="87">
        <f t="shared" si="412"/>
        <v>0</v>
      </c>
      <c r="AN534" s="87">
        <f t="shared" si="413"/>
        <v>0</v>
      </c>
      <c r="AO534" s="87">
        <f t="shared" si="414"/>
        <v>0</v>
      </c>
      <c r="AP534" s="87">
        <f t="shared" si="415"/>
        <v>0</v>
      </c>
      <c r="AQ534" s="87">
        <f t="shared" si="416"/>
        <v>0</v>
      </c>
      <c r="AR534" s="81"/>
      <c r="AS534" s="85">
        <f t="shared" si="417"/>
        <v>0</v>
      </c>
      <c r="AT534" s="85">
        <f t="shared" si="418"/>
        <v>0</v>
      </c>
      <c r="AU534" s="85">
        <f t="shared" si="419"/>
        <v>80</v>
      </c>
      <c r="AV534" s="85">
        <f t="shared" si="420"/>
        <v>0</v>
      </c>
      <c r="AW534" s="85">
        <f t="shared" si="421"/>
        <v>75</v>
      </c>
      <c r="AX534" s="85">
        <f t="shared" si="422"/>
        <v>0</v>
      </c>
      <c r="AY534" s="85">
        <f t="shared" si="423"/>
        <v>75</v>
      </c>
      <c r="AZ534" s="85">
        <f t="shared" si="424"/>
        <v>94</v>
      </c>
      <c r="BA534" s="85">
        <f t="shared" si="425"/>
        <v>94</v>
      </c>
      <c r="BB534" s="85">
        <f t="shared" si="426"/>
        <v>0</v>
      </c>
      <c r="BC534" s="85">
        <f t="shared" si="427"/>
        <v>0</v>
      </c>
      <c r="BD534" s="85">
        <f t="shared" si="428"/>
        <v>95</v>
      </c>
      <c r="BE534" s="85">
        <f t="shared" si="429"/>
        <v>0</v>
      </c>
      <c r="BF534" s="85">
        <f t="shared" si="430"/>
        <v>0</v>
      </c>
      <c r="BG534" s="85">
        <f t="shared" si="431"/>
        <v>0</v>
      </c>
      <c r="BH534" s="85">
        <f t="shared" si="432"/>
        <v>0</v>
      </c>
      <c r="BI534" s="85">
        <f t="shared" si="433"/>
        <v>0</v>
      </c>
      <c r="BJ534" s="85">
        <f t="shared" si="434"/>
        <v>0</v>
      </c>
      <c r="BK534" s="85">
        <f t="shared" si="435"/>
        <v>0</v>
      </c>
      <c r="BL534" s="85">
        <f t="shared" si="436"/>
        <v>0</v>
      </c>
      <c r="BM534" s="85">
        <f t="shared" si="437"/>
        <v>0</v>
      </c>
      <c r="BN534" s="85">
        <f t="shared" si="438"/>
        <v>0</v>
      </c>
      <c r="BO534" s="85">
        <f t="shared" si="439"/>
        <v>91</v>
      </c>
      <c r="BP534" s="85">
        <f t="shared" si="440"/>
        <v>0</v>
      </c>
      <c r="BQ534" s="85">
        <f t="shared" si="441"/>
        <v>90</v>
      </c>
      <c r="BR534" s="85">
        <f t="shared" si="442"/>
        <v>90</v>
      </c>
      <c r="BT534" s="63"/>
      <c r="BU534" s="63"/>
      <c r="BV534" s="63"/>
      <c r="BW534" s="63"/>
      <c r="BX534" s="63"/>
      <c r="BY534" s="63"/>
      <c r="BZ534" s="63"/>
      <c r="CA534" s="63"/>
      <c r="CB534" s="63"/>
      <c r="CC534" s="63"/>
      <c r="CD534" s="63"/>
      <c r="CE534" s="63"/>
      <c r="CF534" s="63"/>
      <c r="CG534" s="63"/>
      <c r="CH534" s="63"/>
      <c r="CI534" s="63"/>
      <c r="CJ534" s="63"/>
      <c r="CK534" s="63"/>
      <c r="CL534" s="63"/>
      <c r="CM534" s="63"/>
      <c r="CN534" s="63"/>
      <c r="CO534" s="63"/>
      <c r="CP534" s="63"/>
      <c r="CQ534" s="63"/>
      <c r="CR534" s="63"/>
      <c r="CS534" s="63"/>
      <c r="CX534" s="35" t="s">
        <v>12</v>
      </c>
      <c r="CZ534" s="35"/>
      <c r="DC534" s="57" t="str">
        <f t="shared" si="447"/>
        <v/>
      </c>
      <c r="DD534" s="64" t="str">
        <f t="shared" si="443"/>
        <v/>
      </c>
      <c r="DE534" s="65" t="str">
        <f t="shared" si="444"/>
        <v/>
      </c>
      <c r="DF534" s="66" t="str">
        <f t="shared" si="405"/>
        <v/>
      </c>
    </row>
    <row r="535" spans="2:110">
      <c r="B535" s="54">
        <f t="shared" si="401"/>
        <v>46797</v>
      </c>
      <c r="C535" s="55" t="s">
        <v>1</v>
      </c>
      <c r="D535" s="56">
        <f t="shared" si="402"/>
        <v>46803</v>
      </c>
      <c r="E535" s="52">
        <f t="shared" si="403"/>
        <v>2</v>
      </c>
      <c r="F535" s="53">
        <f t="shared" si="404"/>
        <v>2028</v>
      </c>
      <c r="G535" s="62">
        <f t="shared" si="445"/>
        <v>15</v>
      </c>
      <c r="H535" s="63">
        <f t="shared" si="446"/>
        <v>96</v>
      </c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80"/>
      <c r="AG535" s="87">
        <f t="shared" si="406"/>
        <v>0</v>
      </c>
      <c r="AH535" s="87">
        <f t="shared" si="407"/>
        <v>0</v>
      </c>
      <c r="AI535" s="87">
        <f t="shared" si="408"/>
        <v>0</v>
      </c>
      <c r="AJ535" s="87">
        <f t="shared" si="409"/>
        <v>0</v>
      </c>
      <c r="AK535" s="87">
        <f t="shared" si="410"/>
        <v>0</v>
      </c>
      <c r="AL535" s="87">
        <f t="shared" si="411"/>
        <v>0</v>
      </c>
      <c r="AM535" s="87">
        <f t="shared" si="412"/>
        <v>0</v>
      </c>
      <c r="AN535" s="87">
        <f t="shared" si="413"/>
        <v>0</v>
      </c>
      <c r="AO535" s="87">
        <f t="shared" si="414"/>
        <v>0</v>
      </c>
      <c r="AP535" s="87">
        <f t="shared" si="415"/>
        <v>0</v>
      </c>
      <c r="AQ535" s="87">
        <f t="shared" si="416"/>
        <v>0</v>
      </c>
      <c r="AR535" s="81"/>
      <c r="AS535" s="85">
        <f t="shared" si="417"/>
        <v>0</v>
      </c>
      <c r="AT535" s="85">
        <f t="shared" si="418"/>
        <v>0</v>
      </c>
      <c r="AU535" s="85">
        <f t="shared" si="419"/>
        <v>81</v>
      </c>
      <c r="AV535" s="85">
        <f t="shared" si="420"/>
        <v>0</v>
      </c>
      <c r="AW535" s="85">
        <f t="shared" si="421"/>
        <v>76</v>
      </c>
      <c r="AX535" s="85">
        <f t="shared" si="422"/>
        <v>0</v>
      </c>
      <c r="AY535" s="85">
        <f t="shared" si="423"/>
        <v>76</v>
      </c>
      <c r="AZ535" s="85">
        <f t="shared" si="424"/>
        <v>95</v>
      </c>
      <c r="BA535" s="85">
        <f t="shared" si="425"/>
        <v>95</v>
      </c>
      <c r="BB535" s="85">
        <f t="shared" si="426"/>
        <v>0</v>
      </c>
      <c r="BC535" s="85">
        <f t="shared" si="427"/>
        <v>0</v>
      </c>
      <c r="BD535" s="85">
        <f t="shared" si="428"/>
        <v>96</v>
      </c>
      <c r="BE535" s="85">
        <f t="shared" si="429"/>
        <v>0</v>
      </c>
      <c r="BF535" s="85">
        <f t="shared" si="430"/>
        <v>0</v>
      </c>
      <c r="BG535" s="85">
        <f t="shared" si="431"/>
        <v>0</v>
      </c>
      <c r="BH535" s="85">
        <f t="shared" si="432"/>
        <v>0</v>
      </c>
      <c r="BI535" s="85">
        <f t="shared" si="433"/>
        <v>0</v>
      </c>
      <c r="BJ535" s="85">
        <f t="shared" si="434"/>
        <v>0</v>
      </c>
      <c r="BK535" s="85">
        <f t="shared" si="435"/>
        <v>0</v>
      </c>
      <c r="BL535" s="85">
        <f t="shared" si="436"/>
        <v>0</v>
      </c>
      <c r="BM535" s="85">
        <f t="shared" si="437"/>
        <v>0</v>
      </c>
      <c r="BN535" s="85">
        <f t="shared" si="438"/>
        <v>0</v>
      </c>
      <c r="BO535" s="85">
        <f t="shared" si="439"/>
        <v>92</v>
      </c>
      <c r="BP535" s="85">
        <f t="shared" si="440"/>
        <v>0</v>
      </c>
      <c r="BQ535" s="85">
        <f t="shared" si="441"/>
        <v>91</v>
      </c>
      <c r="BR535" s="85">
        <f t="shared" si="442"/>
        <v>91</v>
      </c>
      <c r="BT535" s="63"/>
      <c r="BU535" s="63"/>
      <c r="BV535" s="63"/>
      <c r="BW535" s="63"/>
      <c r="BX535" s="63"/>
      <c r="BY535" s="63"/>
      <c r="BZ535" s="63"/>
      <c r="CA535" s="63"/>
      <c r="CB535" s="63"/>
      <c r="CC535" s="63"/>
      <c r="CD535" s="63"/>
      <c r="CE535" s="63"/>
      <c r="CF535" s="63"/>
      <c r="CG535" s="63"/>
      <c r="CH535" s="63"/>
      <c r="CI535" s="63"/>
      <c r="CJ535" s="63"/>
      <c r="CK535" s="63"/>
      <c r="CL535" s="63"/>
      <c r="CM535" s="63"/>
      <c r="CN535" s="63"/>
      <c r="CO535" s="63"/>
      <c r="CP535" s="63"/>
      <c r="CQ535" s="63"/>
      <c r="CR535" s="63"/>
      <c r="CS535" s="63"/>
      <c r="CX535" s="35" t="s">
        <v>12</v>
      </c>
      <c r="CZ535" s="35"/>
      <c r="DC535" s="57" t="str">
        <f t="shared" si="447"/>
        <v/>
      </c>
      <c r="DD535" s="64" t="str">
        <f t="shared" si="443"/>
        <v/>
      </c>
      <c r="DE535" s="65" t="str">
        <f t="shared" si="444"/>
        <v/>
      </c>
      <c r="DF535" s="66" t="str">
        <f t="shared" si="405"/>
        <v/>
      </c>
    </row>
    <row r="536" spans="2:110">
      <c r="B536" s="54">
        <f t="shared" si="401"/>
        <v>46804</v>
      </c>
      <c r="C536" s="55" t="s">
        <v>1</v>
      </c>
      <c r="D536" s="56">
        <f t="shared" si="402"/>
        <v>46810</v>
      </c>
      <c r="E536" s="52">
        <f t="shared" si="403"/>
        <v>2</v>
      </c>
      <c r="F536" s="53">
        <f t="shared" si="404"/>
        <v>2028</v>
      </c>
      <c r="G536" s="62">
        <f t="shared" si="445"/>
        <v>15</v>
      </c>
      <c r="H536" s="63">
        <f t="shared" si="446"/>
        <v>96</v>
      </c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80"/>
      <c r="AG536" s="87">
        <f t="shared" si="406"/>
        <v>0</v>
      </c>
      <c r="AH536" s="87">
        <f t="shared" si="407"/>
        <v>0</v>
      </c>
      <c r="AI536" s="87">
        <f t="shared" si="408"/>
        <v>0</v>
      </c>
      <c r="AJ536" s="87">
        <f t="shared" si="409"/>
        <v>0</v>
      </c>
      <c r="AK536" s="87">
        <f t="shared" si="410"/>
        <v>0</v>
      </c>
      <c r="AL536" s="87">
        <f t="shared" si="411"/>
        <v>0</v>
      </c>
      <c r="AM536" s="87">
        <f t="shared" si="412"/>
        <v>0</v>
      </c>
      <c r="AN536" s="87">
        <f t="shared" si="413"/>
        <v>0</v>
      </c>
      <c r="AO536" s="87">
        <f t="shared" si="414"/>
        <v>0</v>
      </c>
      <c r="AP536" s="87">
        <f t="shared" si="415"/>
        <v>0</v>
      </c>
      <c r="AQ536" s="87">
        <f t="shared" si="416"/>
        <v>0</v>
      </c>
      <c r="AR536" s="81"/>
      <c r="AS536" s="85">
        <f t="shared" si="417"/>
        <v>0</v>
      </c>
      <c r="AT536" s="85">
        <f t="shared" si="418"/>
        <v>0</v>
      </c>
      <c r="AU536" s="85">
        <f t="shared" si="419"/>
        <v>82</v>
      </c>
      <c r="AV536" s="85">
        <f t="shared" si="420"/>
        <v>0</v>
      </c>
      <c r="AW536" s="85">
        <f t="shared" si="421"/>
        <v>77</v>
      </c>
      <c r="AX536" s="85">
        <f t="shared" si="422"/>
        <v>0</v>
      </c>
      <c r="AY536" s="85">
        <f t="shared" si="423"/>
        <v>77</v>
      </c>
      <c r="AZ536" s="85">
        <f t="shared" si="424"/>
        <v>96</v>
      </c>
      <c r="BA536" s="85">
        <f t="shared" si="425"/>
        <v>96</v>
      </c>
      <c r="BB536" s="85">
        <f t="shared" si="426"/>
        <v>0</v>
      </c>
      <c r="BC536" s="85">
        <f t="shared" si="427"/>
        <v>0</v>
      </c>
      <c r="BD536" s="85">
        <f t="shared" si="428"/>
        <v>0</v>
      </c>
      <c r="BE536" s="85">
        <f t="shared" si="429"/>
        <v>0</v>
      </c>
      <c r="BF536" s="85">
        <f t="shared" si="430"/>
        <v>0</v>
      </c>
      <c r="BG536" s="85">
        <f t="shared" si="431"/>
        <v>0</v>
      </c>
      <c r="BH536" s="85">
        <f t="shared" si="432"/>
        <v>0</v>
      </c>
      <c r="BI536" s="85">
        <f t="shared" si="433"/>
        <v>0</v>
      </c>
      <c r="BJ536" s="85">
        <f t="shared" si="434"/>
        <v>0</v>
      </c>
      <c r="BK536" s="85">
        <f t="shared" si="435"/>
        <v>0</v>
      </c>
      <c r="BL536" s="85">
        <f t="shared" si="436"/>
        <v>0</v>
      </c>
      <c r="BM536" s="85">
        <f t="shared" si="437"/>
        <v>0</v>
      </c>
      <c r="BN536" s="85">
        <f t="shared" si="438"/>
        <v>0</v>
      </c>
      <c r="BO536" s="85">
        <f t="shared" si="439"/>
        <v>93</v>
      </c>
      <c r="BP536" s="85">
        <f t="shared" si="440"/>
        <v>0</v>
      </c>
      <c r="BQ536" s="85">
        <f t="shared" si="441"/>
        <v>92</v>
      </c>
      <c r="BR536" s="85">
        <f t="shared" si="442"/>
        <v>92</v>
      </c>
      <c r="BT536" s="63"/>
      <c r="BU536" s="63"/>
      <c r="BV536" s="63"/>
      <c r="BW536" s="63"/>
      <c r="BX536" s="63"/>
      <c r="BY536" s="63"/>
      <c r="BZ536" s="63"/>
      <c r="CA536" s="63"/>
      <c r="CB536" s="63"/>
      <c r="CC536" s="63"/>
      <c r="CD536" s="63"/>
      <c r="CE536" s="63"/>
      <c r="CF536" s="63"/>
      <c r="CG536" s="63"/>
      <c r="CH536" s="63"/>
      <c r="CI536" s="63"/>
      <c r="CJ536" s="63"/>
      <c r="CK536" s="63"/>
      <c r="CL536" s="63"/>
      <c r="CM536" s="63"/>
      <c r="CN536" s="63"/>
      <c r="CO536" s="63"/>
      <c r="CP536" s="63"/>
      <c r="CQ536" s="63"/>
      <c r="CR536" s="63"/>
      <c r="CS536" s="63"/>
      <c r="CX536" s="35" t="s">
        <v>12</v>
      </c>
      <c r="CZ536" s="35"/>
      <c r="DC536" s="57" t="str">
        <f t="shared" si="447"/>
        <v/>
      </c>
      <c r="DD536" s="64" t="str">
        <f t="shared" si="443"/>
        <v/>
      </c>
      <c r="DE536" s="65" t="str">
        <f t="shared" si="444"/>
        <v/>
      </c>
      <c r="DF536" s="66" t="str">
        <f t="shared" si="405"/>
        <v/>
      </c>
    </row>
    <row r="537" spans="2:110">
      <c r="B537" s="54">
        <f t="shared" si="401"/>
        <v>46811</v>
      </c>
      <c r="C537" s="55" t="s">
        <v>1</v>
      </c>
      <c r="D537" s="56">
        <f t="shared" si="402"/>
        <v>46817</v>
      </c>
      <c r="E537" s="52">
        <f t="shared" si="403"/>
        <v>2</v>
      </c>
      <c r="F537" s="53">
        <f t="shared" si="404"/>
        <v>2028</v>
      </c>
      <c r="G537" s="62">
        <f t="shared" si="445"/>
        <v>15</v>
      </c>
      <c r="H537" s="63">
        <f t="shared" si="446"/>
        <v>96</v>
      </c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80"/>
      <c r="AG537" s="87">
        <f t="shared" si="406"/>
        <v>0</v>
      </c>
      <c r="AH537" s="87">
        <f t="shared" si="407"/>
        <v>0</v>
      </c>
      <c r="AI537" s="87">
        <f t="shared" si="408"/>
        <v>0</v>
      </c>
      <c r="AJ537" s="87">
        <f t="shared" si="409"/>
        <v>0</v>
      </c>
      <c r="AK537" s="87">
        <f t="shared" si="410"/>
        <v>0</v>
      </c>
      <c r="AL537" s="87">
        <f t="shared" si="411"/>
        <v>0</v>
      </c>
      <c r="AM537" s="87">
        <f t="shared" si="412"/>
        <v>0</v>
      </c>
      <c r="AN537" s="87">
        <f t="shared" si="413"/>
        <v>0</v>
      </c>
      <c r="AO537" s="87">
        <f t="shared" si="414"/>
        <v>0</v>
      </c>
      <c r="AP537" s="87">
        <f t="shared" si="415"/>
        <v>0</v>
      </c>
      <c r="AQ537" s="87">
        <f t="shared" si="416"/>
        <v>0</v>
      </c>
      <c r="AR537" s="81"/>
      <c r="AS537" s="85">
        <f t="shared" si="417"/>
        <v>0</v>
      </c>
      <c r="AT537" s="85">
        <f t="shared" si="418"/>
        <v>0</v>
      </c>
      <c r="AU537" s="85">
        <f t="shared" si="419"/>
        <v>83</v>
      </c>
      <c r="AV537" s="85">
        <f t="shared" si="420"/>
        <v>0</v>
      </c>
      <c r="AW537" s="85">
        <f t="shared" si="421"/>
        <v>78</v>
      </c>
      <c r="AX537" s="85">
        <f t="shared" si="422"/>
        <v>0</v>
      </c>
      <c r="AY537" s="85">
        <f t="shared" si="423"/>
        <v>78</v>
      </c>
      <c r="AZ537" s="85">
        <f t="shared" si="424"/>
        <v>0</v>
      </c>
      <c r="BA537" s="85">
        <f t="shared" si="425"/>
        <v>0</v>
      </c>
      <c r="BB537" s="85">
        <f t="shared" si="426"/>
        <v>0</v>
      </c>
      <c r="BC537" s="85">
        <f t="shared" si="427"/>
        <v>0</v>
      </c>
      <c r="BD537" s="85">
        <f t="shared" si="428"/>
        <v>0</v>
      </c>
      <c r="BE537" s="85">
        <f t="shared" si="429"/>
        <v>0</v>
      </c>
      <c r="BF537" s="85">
        <f t="shared" si="430"/>
        <v>0</v>
      </c>
      <c r="BG537" s="85">
        <f t="shared" si="431"/>
        <v>0</v>
      </c>
      <c r="BH537" s="85">
        <f t="shared" si="432"/>
        <v>0</v>
      </c>
      <c r="BI537" s="85">
        <f t="shared" si="433"/>
        <v>0</v>
      </c>
      <c r="BJ537" s="85">
        <f t="shared" si="434"/>
        <v>0</v>
      </c>
      <c r="BK537" s="85">
        <f t="shared" si="435"/>
        <v>0</v>
      </c>
      <c r="BL537" s="85">
        <f t="shared" si="436"/>
        <v>0</v>
      </c>
      <c r="BM537" s="85">
        <f t="shared" si="437"/>
        <v>0</v>
      </c>
      <c r="BN537" s="85">
        <f t="shared" si="438"/>
        <v>0</v>
      </c>
      <c r="BO537" s="85">
        <f t="shared" si="439"/>
        <v>94</v>
      </c>
      <c r="BP537" s="85">
        <f t="shared" si="440"/>
        <v>0</v>
      </c>
      <c r="BQ537" s="85">
        <f t="shared" si="441"/>
        <v>93</v>
      </c>
      <c r="BR537" s="85">
        <f t="shared" si="442"/>
        <v>93</v>
      </c>
      <c r="BT537" s="63"/>
      <c r="BU537" s="63"/>
      <c r="BV537" s="63"/>
      <c r="BW537" s="63"/>
      <c r="BX537" s="63"/>
      <c r="BY537" s="63"/>
      <c r="BZ537" s="63"/>
      <c r="CA537" s="63"/>
      <c r="CB537" s="63"/>
      <c r="CC537" s="63"/>
      <c r="CD537" s="63"/>
      <c r="CE537" s="63"/>
      <c r="CF537" s="63"/>
      <c r="CG537" s="63"/>
      <c r="CH537" s="63"/>
      <c r="CI537" s="63"/>
      <c r="CJ537" s="63"/>
      <c r="CK537" s="63"/>
      <c r="CL537" s="63"/>
      <c r="CM537" s="63"/>
      <c r="CN537" s="63"/>
      <c r="CO537" s="63"/>
      <c r="CP537" s="63"/>
      <c r="CQ537" s="63"/>
      <c r="CR537" s="63"/>
      <c r="CS537" s="63"/>
      <c r="CX537" s="35" t="s">
        <v>12</v>
      </c>
      <c r="CZ537" s="35"/>
      <c r="DC537" s="57" t="str">
        <f t="shared" si="447"/>
        <v/>
      </c>
      <c r="DD537" s="64" t="str">
        <f t="shared" si="443"/>
        <v/>
      </c>
      <c r="DE537" s="65" t="str">
        <f t="shared" si="444"/>
        <v/>
      </c>
      <c r="DF537" s="66" t="str">
        <f t="shared" si="405"/>
        <v/>
      </c>
    </row>
    <row r="538" spans="2:110">
      <c r="B538" s="54">
        <f t="shared" si="401"/>
        <v>46818</v>
      </c>
      <c r="C538" s="55" t="s">
        <v>1</v>
      </c>
      <c r="D538" s="56">
        <f t="shared" si="402"/>
        <v>46824</v>
      </c>
      <c r="E538" s="52">
        <f t="shared" si="403"/>
        <v>3</v>
      </c>
      <c r="F538" s="53">
        <f t="shared" si="404"/>
        <v>2028</v>
      </c>
      <c r="G538" s="62">
        <f t="shared" si="445"/>
        <v>15</v>
      </c>
      <c r="H538" s="63">
        <f t="shared" si="446"/>
        <v>96</v>
      </c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80"/>
      <c r="AG538" s="87">
        <f t="shared" si="406"/>
        <v>0</v>
      </c>
      <c r="AH538" s="87">
        <f t="shared" si="407"/>
        <v>0</v>
      </c>
      <c r="AI538" s="87">
        <f t="shared" si="408"/>
        <v>0</v>
      </c>
      <c r="AJ538" s="87">
        <f t="shared" si="409"/>
        <v>0</v>
      </c>
      <c r="AK538" s="87">
        <f t="shared" si="410"/>
        <v>0</v>
      </c>
      <c r="AL538" s="87">
        <f t="shared" si="411"/>
        <v>0</v>
      </c>
      <c r="AM538" s="87">
        <f t="shared" si="412"/>
        <v>0</v>
      </c>
      <c r="AN538" s="87">
        <f t="shared" si="413"/>
        <v>0</v>
      </c>
      <c r="AO538" s="87">
        <f t="shared" si="414"/>
        <v>0</v>
      </c>
      <c r="AP538" s="87">
        <f t="shared" si="415"/>
        <v>0</v>
      </c>
      <c r="AQ538" s="87">
        <f t="shared" si="416"/>
        <v>0</v>
      </c>
      <c r="AR538" s="81"/>
      <c r="AS538" s="85">
        <f t="shared" si="417"/>
        <v>0</v>
      </c>
      <c r="AT538" s="85">
        <f t="shared" si="418"/>
        <v>0</v>
      </c>
      <c r="AU538" s="85">
        <f t="shared" si="419"/>
        <v>84</v>
      </c>
      <c r="AV538" s="85">
        <f t="shared" si="420"/>
        <v>0</v>
      </c>
      <c r="AW538" s="85">
        <f t="shared" si="421"/>
        <v>79</v>
      </c>
      <c r="AX538" s="85">
        <f t="shared" si="422"/>
        <v>0</v>
      </c>
      <c r="AY538" s="85">
        <f t="shared" si="423"/>
        <v>79</v>
      </c>
      <c r="AZ538" s="85">
        <f t="shared" si="424"/>
        <v>0</v>
      </c>
      <c r="BA538" s="85">
        <f t="shared" si="425"/>
        <v>0</v>
      </c>
      <c r="BB538" s="85">
        <f t="shared" si="426"/>
        <v>0</v>
      </c>
      <c r="BC538" s="85">
        <f t="shared" si="427"/>
        <v>0</v>
      </c>
      <c r="BD538" s="85">
        <f t="shared" si="428"/>
        <v>0</v>
      </c>
      <c r="BE538" s="85">
        <f t="shared" si="429"/>
        <v>0</v>
      </c>
      <c r="BF538" s="85">
        <f t="shared" si="430"/>
        <v>0</v>
      </c>
      <c r="BG538" s="85">
        <f t="shared" si="431"/>
        <v>0</v>
      </c>
      <c r="BH538" s="85">
        <f t="shared" si="432"/>
        <v>0</v>
      </c>
      <c r="BI538" s="85">
        <f t="shared" si="433"/>
        <v>0</v>
      </c>
      <c r="BJ538" s="85">
        <f t="shared" si="434"/>
        <v>0</v>
      </c>
      <c r="BK538" s="85">
        <f t="shared" si="435"/>
        <v>0</v>
      </c>
      <c r="BL538" s="85">
        <f t="shared" si="436"/>
        <v>0</v>
      </c>
      <c r="BM538" s="85">
        <f t="shared" si="437"/>
        <v>0</v>
      </c>
      <c r="BN538" s="85">
        <f t="shared" si="438"/>
        <v>0</v>
      </c>
      <c r="BO538" s="85">
        <f t="shared" si="439"/>
        <v>95</v>
      </c>
      <c r="BP538" s="85">
        <f t="shared" si="440"/>
        <v>0</v>
      </c>
      <c r="BQ538" s="85">
        <f t="shared" si="441"/>
        <v>94</v>
      </c>
      <c r="BR538" s="85">
        <f t="shared" si="442"/>
        <v>94</v>
      </c>
      <c r="BT538" s="63"/>
      <c r="BU538" s="63"/>
      <c r="BV538" s="63"/>
      <c r="BW538" s="63"/>
      <c r="BX538" s="63"/>
      <c r="BY538" s="63"/>
      <c r="BZ538" s="63"/>
      <c r="CA538" s="63"/>
      <c r="CB538" s="63"/>
      <c r="CC538" s="63"/>
      <c r="CD538" s="63"/>
      <c r="CE538" s="63"/>
      <c r="CF538" s="63"/>
      <c r="CG538" s="63"/>
      <c r="CH538" s="63"/>
      <c r="CI538" s="63"/>
      <c r="CJ538" s="63"/>
      <c r="CK538" s="63"/>
      <c r="CL538" s="63"/>
      <c r="CM538" s="63"/>
      <c r="CN538" s="63"/>
      <c r="CO538" s="63"/>
      <c r="CP538" s="63"/>
      <c r="CQ538" s="63"/>
      <c r="CR538" s="63"/>
      <c r="CS538" s="63"/>
      <c r="CX538" s="35" t="s">
        <v>12</v>
      </c>
      <c r="CZ538" s="35"/>
      <c r="DC538" s="57" t="str">
        <f t="shared" si="447"/>
        <v/>
      </c>
      <c r="DD538" s="64" t="str">
        <f t="shared" si="443"/>
        <v/>
      </c>
      <c r="DE538" s="65" t="str">
        <f t="shared" si="444"/>
        <v/>
      </c>
      <c r="DF538" s="66" t="str">
        <f t="shared" si="405"/>
        <v/>
      </c>
    </row>
    <row r="539" spans="2:110">
      <c r="B539" s="54">
        <f t="shared" si="401"/>
        <v>46825</v>
      </c>
      <c r="C539" s="55" t="s">
        <v>1</v>
      </c>
      <c r="D539" s="56">
        <f t="shared" si="402"/>
        <v>46831</v>
      </c>
      <c r="E539" s="52">
        <f t="shared" si="403"/>
        <v>3</v>
      </c>
      <c r="F539" s="53">
        <f t="shared" si="404"/>
        <v>2028</v>
      </c>
      <c r="G539" s="62">
        <f t="shared" si="445"/>
        <v>15</v>
      </c>
      <c r="H539" s="63">
        <f t="shared" si="446"/>
        <v>96</v>
      </c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80"/>
      <c r="AG539" s="87">
        <f t="shared" si="406"/>
        <v>0</v>
      </c>
      <c r="AH539" s="87">
        <f t="shared" si="407"/>
        <v>0</v>
      </c>
      <c r="AI539" s="87">
        <f t="shared" si="408"/>
        <v>0</v>
      </c>
      <c r="AJ539" s="87">
        <f t="shared" si="409"/>
        <v>0</v>
      </c>
      <c r="AK539" s="87">
        <f t="shared" si="410"/>
        <v>0</v>
      </c>
      <c r="AL539" s="87">
        <f t="shared" si="411"/>
        <v>0</v>
      </c>
      <c r="AM539" s="87">
        <f t="shared" si="412"/>
        <v>0</v>
      </c>
      <c r="AN539" s="87">
        <f t="shared" si="413"/>
        <v>0</v>
      </c>
      <c r="AO539" s="87">
        <f t="shared" si="414"/>
        <v>0</v>
      </c>
      <c r="AP539" s="87">
        <f t="shared" si="415"/>
        <v>0</v>
      </c>
      <c r="AQ539" s="87">
        <f t="shared" si="416"/>
        <v>0</v>
      </c>
      <c r="AR539" s="81"/>
      <c r="AS539" s="85">
        <f t="shared" si="417"/>
        <v>0</v>
      </c>
      <c r="AT539" s="85">
        <f t="shared" si="418"/>
        <v>0</v>
      </c>
      <c r="AU539" s="85">
        <f t="shared" si="419"/>
        <v>85</v>
      </c>
      <c r="AV539" s="85">
        <f t="shared" si="420"/>
        <v>0</v>
      </c>
      <c r="AW539" s="85">
        <f t="shared" si="421"/>
        <v>80</v>
      </c>
      <c r="AX539" s="85">
        <f t="shared" si="422"/>
        <v>0</v>
      </c>
      <c r="AY539" s="85">
        <f t="shared" si="423"/>
        <v>80</v>
      </c>
      <c r="AZ539" s="85">
        <f t="shared" si="424"/>
        <v>0</v>
      </c>
      <c r="BA539" s="85">
        <f t="shared" si="425"/>
        <v>0</v>
      </c>
      <c r="BB539" s="85">
        <f t="shared" si="426"/>
        <v>0</v>
      </c>
      <c r="BC539" s="85">
        <f t="shared" si="427"/>
        <v>0</v>
      </c>
      <c r="BD539" s="85">
        <f t="shared" si="428"/>
        <v>0</v>
      </c>
      <c r="BE539" s="85">
        <f t="shared" si="429"/>
        <v>0</v>
      </c>
      <c r="BF539" s="85">
        <f t="shared" si="430"/>
        <v>0</v>
      </c>
      <c r="BG539" s="85">
        <f t="shared" si="431"/>
        <v>0</v>
      </c>
      <c r="BH539" s="85">
        <f t="shared" si="432"/>
        <v>0</v>
      </c>
      <c r="BI539" s="85">
        <f t="shared" si="433"/>
        <v>0</v>
      </c>
      <c r="BJ539" s="85">
        <f t="shared" si="434"/>
        <v>0</v>
      </c>
      <c r="BK539" s="85">
        <f t="shared" si="435"/>
        <v>0</v>
      </c>
      <c r="BL539" s="85">
        <f t="shared" si="436"/>
        <v>0</v>
      </c>
      <c r="BM539" s="85">
        <f t="shared" si="437"/>
        <v>0</v>
      </c>
      <c r="BN539" s="85">
        <f t="shared" si="438"/>
        <v>0</v>
      </c>
      <c r="BO539" s="85">
        <f t="shared" si="439"/>
        <v>96</v>
      </c>
      <c r="BP539" s="85">
        <f t="shared" si="440"/>
        <v>0</v>
      </c>
      <c r="BQ539" s="85">
        <f t="shared" si="441"/>
        <v>95</v>
      </c>
      <c r="BR539" s="85">
        <f t="shared" si="442"/>
        <v>95</v>
      </c>
      <c r="BT539" s="63"/>
      <c r="BU539" s="63"/>
      <c r="BV539" s="63"/>
      <c r="BW539" s="63"/>
      <c r="BX539" s="63"/>
      <c r="BY539" s="63"/>
      <c r="BZ539" s="63"/>
      <c r="CA539" s="63"/>
      <c r="CB539" s="63"/>
      <c r="CC539" s="63"/>
      <c r="CD539" s="63"/>
      <c r="CE539" s="63"/>
      <c r="CF539" s="63"/>
      <c r="CG539" s="63"/>
      <c r="CH539" s="63"/>
      <c r="CI539" s="63"/>
      <c r="CJ539" s="63"/>
      <c r="CK539" s="63"/>
      <c r="CL539" s="63"/>
      <c r="CM539" s="63"/>
      <c r="CN539" s="63"/>
      <c r="CO539" s="63"/>
      <c r="CP539" s="63"/>
      <c r="CQ539" s="63"/>
      <c r="CR539" s="63"/>
      <c r="CS539" s="63"/>
      <c r="CX539" s="35" t="s">
        <v>12</v>
      </c>
      <c r="CZ539" s="35"/>
      <c r="DC539" s="57" t="str">
        <f t="shared" si="447"/>
        <v/>
      </c>
      <c r="DD539" s="64" t="str">
        <f t="shared" si="443"/>
        <v/>
      </c>
      <c r="DE539" s="65" t="str">
        <f t="shared" si="444"/>
        <v/>
      </c>
      <c r="DF539" s="66" t="str">
        <f t="shared" si="405"/>
        <v/>
      </c>
    </row>
    <row r="540" spans="2:110">
      <c r="B540" s="54">
        <f t="shared" si="401"/>
        <v>46832</v>
      </c>
      <c r="C540" s="55" t="s">
        <v>1</v>
      </c>
      <c r="D540" s="56">
        <f t="shared" si="402"/>
        <v>46838</v>
      </c>
      <c r="E540" s="52">
        <f t="shared" si="403"/>
        <v>3</v>
      </c>
      <c r="F540" s="53">
        <f t="shared" si="404"/>
        <v>2028</v>
      </c>
      <c r="G540" s="62">
        <f t="shared" si="445"/>
        <v>15</v>
      </c>
      <c r="H540" s="63">
        <f t="shared" si="446"/>
        <v>96</v>
      </c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80"/>
      <c r="AG540" s="87">
        <f t="shared" si="406"/>
        <v>0</v>
      </c>
      <c r="AH540" s="87">
        <f t="shared" si="407"/>
        <v>0</v>
      </c>
      <c r="AI540" s="87">
        <f t="shared" si="408"/>
        <v>0</v>
      </c>
      <c r="AJ540" s="87">
        <f t="shared" si="409"/>
        <v>0</v>
      </c>
      <c r="AK540" s="87">
        <f t="shared" si="410"/>
        <v>0</v>
      </c>
      <c r="AL540" s="87">
        <f t="shared" si="411"/>
        <v>0</v>
      </c>
      <c r="AM540" s="87">
        <f t="shared" si="412"/>
        <v>0</v>
      </c>
      <c r="AN540" s="87">
        <f t="shared" si="413"/>
        <v>0</v>
      </c>
      <c r="AO540" s="87">
        <f t="shared" si="414"/>
        <v>0</v>
      </c>
      <c r="AP540" s="87">
        <f t="shared" si="415"/>
        <v>0</v>
      </c>
      <c r="AQ540" s="87">
        <f t="shared" si="416"/>
        <v>0</v>
      </c>
      <c r="AR540" s="81"/>
      <c r="AS540" s="85">
        <f t="shared" si="417"/>
        <v>0</v>
      </c>
      <c r="AT540" s="85">
        <f t="shared" si="418"/>
        <v>0</v>
      </c>
      <c r="AU540" s="85">
        <f t="shared" si="419"/>
        <v>86</v>
      </c>
      <c r="AV540" s="85">
        <f t="shared" si="420"/>
        <v>0</v>
      </c>
      <c r="AW540" s="85">
        <f t="shared" si="421"/>
        <v>81</v>
      </c>
      <c r="AX540" s="85">
        <f t="shared" si="422"/>
        <v>0</v>
      </c>
      <c r="AY540" s="85">
        <f t="shared" si="423"/>
        <v>81</v>
      </c>
      <c r="AZ540" s="85">
        <f t="shared" si="424"/>
        <v>0</v>
      </c>
      <c r="BA540" s="85">
        <f t="shared" si="425"/>
        <v>0</v>
      </c>
      <c r="BB540" s="85">
        <f t="shared" si="426"/>
        <v>0</v>
      </c>
      <c r="BC540" s="85">
        <f t="shared" si="427"/>
        <v>0</v>
      </c>
      <c r="BD540" s="85">
        <f t="shared" si="428"/>
        <v>0</v>
      </c>
      <c r="BE540" s="85">
        <f t="shared" si="429"/>
        <v>0</v>
      </c>
      <c r="BF540" s="85">
        <f t="shared" si="430"/>
        <v>0</v>
      </c>
      <c r="BG540" s="85">
        <f t="shared" si="431"/>
        <v>0</v>
      </c>
      <c r="BH540" s="85">
        <f t="shared" si="432"/>
        <v>0</v>
      </c>
      <c r="BI540" s="85">
        <f t="shared" si="433"/>
        <v>0</v>
      </c>
      <c r="BJ540" s="85">
        <f t="shared" si="434"/>
        <v>0</v>
      </c>
      <c r="BK540" s="85">
        <f t="shared" si="435"/>
        <v>0</v>
      </c>
      <c r="BL540" s="85">
        <f t="shared" si="436"/>
        <v>0</v>
      </c>
      <c r="BM540" s="85">
        <f t="shared" si="437"/>
        <v>0</v>
      </c>
      <c r="BN540" s="85">
        <f t="shared" si="438"/>
        <v>0</v>
      </c>
      <c r="BO540" s="85">
        <f t="shared" si="439"/>
        <v>0</v>
      </c>
      <c r="BP540" s="85">
        <f t="shared" si="440"/>
        <v>0</v>
      </c>
      <c r="BQ540" s="85">
        <f t="shared" si="441"/>
        <v>96</v>
      </c>
      <c r="BR540" s="85">
        <f t="shared" si="442"/>
        <v>96</v>
      </c>
      <c r="BT540" s="63"/>
      <c r="BU540" s="63"/>
      <c r="BV540" s="63"/>
      <c r="BW540" s="63"/>
      <c r="BX540" s="63"/>
      <c r="BY540" s="63"/>
      <c r="BZ540" s="63"/>
      <c r="CA540" s="63"/>
      <c r="CB540" s="63"/>
      <c r="CC540" s="63"/>
      <c r="CD540" s="63"/>
      <c r="CE540" s="63"/>
      <c r="CF540" s="63"/>
      <c r="CG540" s="63"/>
      <c r="CH540" s="63"/>
      <c r="CI540" s="63"/>
      <c r="CJ540" s="63"/>
      <c r="CK540" s="63"/>
      <c r="CL540" s="63"/>
      <c r="CM540" s="63"/>
      <c r="CN540" s="63"/>
      <c r="CO540" s="63"/>
      <c r="CP540" s="63"/>
      <c r="CQ540" s="63"/>
      <c r="CR540" s="63"/>
      <c r="CS540" s="63"/>
      <c r="CX540" s="35" t="s">
        <v>12</v>
      </c>
      <c r="CZ540" s="35"/>
      <c r="DC540" s="57" t="str">
        <f t="shared" si="447"/>
        <v/>
      </c>
      <c r="DD540" s="64" t="str">
        <f t="shared" si="443"/>
        <v/>
      </c>
      <c r="DE540" s="65" t="str">
        <f t="shared" si="444"/>
        <v/>
      </c>
      <c r="DF540" s="66" t="str">
        <f t="shared" si="405"/>
        <v/>
      </c>
    </row>
    <row r="541" spans="2:110">
      <c r="B541" s="54">
        <f t="shared" si="401"/>
        <v>46839</v>
      </c>
      <c r="C541" s="55" t="s">
        <v>1</v>
      </c>
      <c r="D541" s="56">
        <f t="shared" si="402"/>
        <v>46845</v>
      </c>
      <c r="E541" s="52">
        <f t="shared" si="403"/>
        <v>3</v>
      </c>
      <c r="F541" s="53">
        <f t="shared" si="404"/>
        <v>2028</v>
      </c>
      <c r="G541" s="62">
        <f t="shared" si="445"/>
        <v>15</v>
      </c>
      <c r="H541" s="63">
        <f t="shared" si="446"/>
        <v>96</v>
      </c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80"/>
      <c r="AG541" s="87">
        <f t="shared" si="406"/>
        <v>0</v>
      </c>
      <c r="AH541" s="87">
        <f t="shared" si="407"/>
        <v>0</v>
      </c>
      <c r="AI541" s="87">
        <f t="shared" si="408"/>
        <v>0</v>
      </c>
      <c r="AJ541" s="87">
        <f t="shared" si="409"/>
        <v>0</v>
      </c>
      <c r="AK541" s="87">
        <f t="shared" si="410"/>
        <v>0</v>
      </c>
      <c r="AL541" s="87">
        <f t="shared" si="411"/>
        <v>0</v>
      </c>
      <c r="AM541" s="87">
        <f t="shared" si="412"/>
        <v>0</v>
      </c>
      <c r="AN541" s="87">
        <f t="shared" si="413"/>
        <v>0</v>
      </c>
      <c r="AO541" s="87">
        <f t="shared" si="414"/>
        <v>0</v>
      </c>
      <c r="AP541" s="87">
        <f t="shared" si="415"/>
        <v>0</v>
      </c>
      <c r="AQ541" s="87">
        <f t="shared" si="416"/>
        <v>0</v>
      </c>
      <c r="AR541" s="81"/>
      <c r="AS541" s="85">
        <f t="shared" si="417"/>
        <v>0</v>
      </c>
      <c r="AT541" s="85">
        <f t="shared" si="418"/>
        <v>0</v>
      </c>
      <c r="AU541" s="85">
        <f t="shared" si="419"/>
        <v>87</v>
      </c>
      <c r="AV541" s="85">
        <f t="shared" si="420"/>
        <v>0</v>
      </c>
      <c r="AW541" s="85">
        <f t="shared" si="421"/>
        <v>82</v>
      </c>
      <c r="AX541" s="85">
        <f t="shared" si="422"/>
        <v>0</v>
      </c>
      <c r="AY541" s="85">
        <f t="shared" si="423"/>
        <v>82</v>
      </c>
      <c r="AZ541" s="85">
        <f t="shared" si="424"/>
        <v>0</v>
      </c>
      <c r="BA541" s="85">
        <f t="shared" si="425"/>
        <v>0</v>
      </c>
      <c r="BB541" s="85">
        <f t="shared" si="426"/>
        <v>0</v>
      </c>
      <c r="BC541" s="85">
        <f t="shared" si="427"/>
        <v>0</v>
      </c>
      <c r="BD541" s="85">
        <f t="shared" si="428"/>
        <v>0</v>
      </c>
      <c r="BE541" s="85">
        <f t="shared" si="429"/>
        <v>0</v>
      </c>
      <c r="BF541" s="85">
        <f t="shared" si="430"/>
        <v>0</v>
      </c>
      <c r="BG541" s="85">
        <f t="shared" si="431"/>
        <v>0</v>
      </c>
      <c r="BH541" s="85">
        <f t="shared" si="432"/>
        <v>0</v>
      </c>
      <c r="BI541" s="85">
        <f t="shared" si="433"/>
        <v>0</v>
      </c>
      <c r="BJ541" s="85">
        <f t="shared" si="434"/>
        <v>0</v>
      </c>
      <c r="BK541" s="85">
        <f t="shared" si="435"/>
        <v>0</v>
      </c>
      <c r="BL541" s="85">
        <f t="shared" si="436"/>
        <v>0</v>
      </c>
      <c r="BM541" s="85">
        <f t="shared" si="437"/>
        <v>0</v>
      </c>
      <c r="BN541" s="85">
        <f t="shared" si="438"/>
        <v>0</v>
      </c>
      <c r="BO541" s="85">
        <f t="shared" si="439"/>
        <v>0</v>
      </c>
      <c r="BP541" s="85">
        <f t="shared" si="440"/>
        <v>0</v>
      </c>
      <c r="BQ541" s="85">
        <f t="shared" si="441"/>
        <v>0</v>
      </c>
      <c r="BR541" s="85">
        <f t="shared" si="442"/>
        <v>0</v>
      </c>
      <c r="BT541" s="63"/>
      <c r="BU541" s="63"/>
      <c r="BV541" s="63"/>
      <c r="BW541" s="63"/>
      <c r="BX541" s="63"/>
      <c r="BY541" s="63"/>
      <c r="BZ541" s="63"/>
      <c r="CA541" s="63"/>
      <c r="CB541" s="63"/>
      <c r="CC541" s="63"/>
      <c r="CD541" s="63"/>
      <c r="CE541" s="63"/>
      <c r="CF541" s="63"/>
      <c r="CG541" s="63"/>
      <c r="CH541" s="63"/>
      <c r="CI541" s="63"/>
      <c r="CJ541" s="63"/>
      <c r="CK541" s="63"/>
      <c r="CL541" s="63"/>
      <c r="CM541" s="63"/>
      <c r="CN541" s="63"/>
      <c r="CO541" s="63"/>
      <c r="CP541" s="63"/>
      <c r="CQ541" s="63"/>
      <c r="CR541" s="63"/>
      <c r="CS541" s="63"/>
      <c r="CX541" s="35" t="s">
        <v>12</v>
      </c>
      <c r="CZ541" s="35"/>
      <c r="DC541" s="57" t="str">
        <f t="shared" si="447"/>
        <v/>
      </c>
      <c r="DD541" s="64" t="str">
        <f t="shared" si="443"/>
        <v/>
      </c>
      <c r="DE541" s="65" t="str">
        <f t="shared" si="444"/>
        <v/>
      </c>
      <c r="DF541" s="66" t="str">
        <f t="shared" si="405"/>
        <v/>
      </c>
    </row>
    <row r="542" spans="2:110">
      <c r="B542" s="54">
        <f t="shared" si="401"/>
        <v>46846</v>
      </c>
      <c r="C542" s="55" t="s">
        <v>1</v>
      </c>
      <c r="D542" s="56">
        <f t="shared" si="402"/>
        <v>46852</v>
      </c>
      <c r="E542" s="52">
        <f t="shared" si="403"/>
        <v>4</v>
      </c>
      <c r="F542" s="53">
        <f t="shared" si="404"/>
        <v>2028</v>
      </c>
      <c r="G542" s="62">
        <f t="shared" si="445"/>
        <v>15</v>
      </c>
      <c r="H542" s="63">
        <f t="shared" si="446"/>
        <v>96</v>
      </c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80"/>
      <c r="AG542" s="87">
        <f t="shared" si="406"/>
        <v>0</v>
      </c>
      <c r="AH542" s="87">
        <f t="shared" si="407"/>
        <v>0</v>
      </c>
      <c r="AI542" s="87">
        <f t="shared" si="408"/>
        <v>0</v>
      </c>
      <c r="AJ542" s="87">
        <f t="shared" si="409"/>
        <v>0</v>
      </c>
      <c r="AK542" s="87">
        <f t="shared" si="410"/>
        <v>0</v>
      </c>
      <c r="AL542" s="87">
        <f t="shared" si="411"/>
        <v>0</v>
      </c>
      <c r="AM542" s="87">
        <f t="shared" si="412"/>
        <v>0</v>
      </c>
      <c r="AN542" s="87">
        <f t="shared" si="413"/>
        <v>0</v>
      </c>
      <c r="AO542" s="87">
        <f t="shared" si="414"/>
        <v>0</v>
      </c>
      <c r="AP542" s="87">
        <f t="shared" si="415"/>
        <v>0</v>
      </c>
      <c r="AQ542" s="87">
        <f t="shared" si="416"/>
        <v>0</v>
      </c>
      <c r="AR542" s="81"/>
      <c r="AS542" s="85">
        <f t="shared" si="417"/>
        <v>0</v>
      </c>
      <c r="AT542" s="85">
        <f t="shared" si="418"/>
        <v>0</v>
      </c>
      <c r="AU542" s="85">
        <f t="shared" si="419"/>
        <v>88</v>
      </c>
      <c r="AV542" s="85">
        <f t="shared" si="420"/>
        <v>0</v>
      </c>
      <c r="AW542" s="85">
        <f t="shared" si="421"/>
        <v>83</v>
      </c>
      <c r="AX542" s="85">
        <f t="shared" si="422"/>
        <v>0</v>
      </c>
      <c r="AY542" s="85">
        <f t="shared" si="423"/>
        <v>83</v>
      </c>
      <c r="AZ542" s="85">
        <f t="shared" si="424"/>
        <v>0</v>
      </c>
      <c r="BA542" s="85">
        <f t="shared" si="425"/>
        <v>0</v>
      </c>
      <c r="BB542" s="85">
        <f t="shared" si="426"/>
        <v>0</v>
      </c>
      <c r="BC542" s="85">
        <f t="shared" si="427"/>
        <v>0</v>
      </c>
      <c r="BD542" s="85">
        <f t="shared" si="428"/>
        <v>0</v>
      </c>
      <c r="BE542" s="85">
        <f t="shared" si="429"/>
        <v>0</v>
      </c>
      <c r="BF542" s="85">
        <f t="shared" si="430"/>
        <v>0</v>
      </c>
      <c r="BG542" s="85">
        <f t="shared" si="431"/>
        <v>0</v>
      </c>
      <c r="BH542" s="85">
        <f t="shared" si="432"/>
        <v>0</v>
      </c>
      <c r="BI542" s="85">
        <f t="shared" si="433"/>
        <v>0</v>
      </c>
      <c r="BJ542" s="85">
        <f t="shared" si="434"/>
        <v>0</v>
      </c>
      <c r="BK542" s="85">
        <f t="shared" si="435"/>
        <v>0</v>
      </c>
      <c r="BL542" s="85">
        <f t="shared" si="436"/>
        <v>0</v>
      </c>
      <c r="BM542" s="85">
        <f t="shared" si="437"/>
        <v>0</v>
      </c>
      <c r="BN542" s="85">
        <f t="shared" si="438"/>
        <v>0</v>
      </c>
      <c r="BO542" s="85">
        <f t="shared" si="439"/>
        <v>0</v>
      </c>
      <c r="BP542" s="85">
        <f t="shared" si="440"/>
        <v>0</v>
      </c>
      <c r="BQ542" s="85">
        <f t="shared" si="441"/>
        <v>0</v>
      </c>
      <c r="BR542" s="85">
        <f t="shared" si="442"/>
        <v>0</v>
      </c>
      <c r="BT542" s="63"/>
      <c r="BU542" s="63"/>
      <c r="BV542" s="63"/>
      <c r="BW542" s="63"/>
      <c r="BX542" s="63"/>
      <c r="BY542" s="63"/>
      <c r="BZ542" s="63"/>
      <c r="CA542" s="63"/>
      <c r="CB542" s="63"/>
      <c r="CC542" s="63"/>
      <c r="CD542" s="63"/>
      <c r="CE542" s="63"/>
      <c r="CF542" s="63"/>
      <c r="CG542" s="63"/>
      <c r="CH542" s="63"/>
      <c r="CI542" s="63"/>
      <c r="CJ542" s="63"/>
      <c r="CK542" s="63"/>
      <c r="CL542" s="63"/>
      <c r="CM542" s="63"/>
      <c r="CN542" s="63"/>
      <c r="CO542" s="63"/>
      <c r="CP542" s="63"/>
      <c r="CQ542" s="63"/>
      <c r="CR542" s="63"/>
      <c r="CS542" s="63"/>
      <c r="CX542" s="35" t="s">
        <v>12</v>
      </c>
      <c r="CZ542" s="35"/>
      <c r="DC542" s="57" t="str">
        <f t="shared" si="447"/>
        <v/>
      </c>
      <c r="DD542" s="64" t="str">
        <f t="shared" si="443"/>
        <v/>
      </c>
      <c r="DE542" s="65" t="str">
        <f t="shared" si="444"/>
        <v/>
      </c>
      <c r="DF542" s="66" t="str">
        <f t="shared" si="405"/>
        <v/>
      </c>
    </row>
    <row r="543" spans="2:110">
      <c r="B543" s="54">
        <f t="shared" si="401"/>
        <v>46853</v>
      </c>
      <c r="C543" s="55" t="s">
        <v>1</v>
      </c>
      <c r="D543" s="56">
        <f t="shared" si="402"/>
        <v>46859</v>
      </c>
      <c r="E543" s="52">
        <f t="shared" si="403"/>
        <v>4</v>
      </c>
      <c r="F543" s="53">
        <f t="shared" si="404"/>
        <v>2028</v>
      </c>
      <c r="G543" s="62">
        <f t="shared" si="445"/>
        <v>15</v>
      </c>
      <c r="H543" s="63">
        <f t="shared" si="446"/>
        <v>96</v>
      </c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80"/>
      <c r="AG543" s="87">
        <f t="shared" si="406"/>
        <v>0</v>
      </c>
      <c r="AH543" s="87">
        <f t="shared" si="407"/>
        <v>0</v>
      </c>
      <c r="AI543" s="87">
        <f t="shared" si="408"/>
        <v>0</v>
      </c>
      <c r="AJ543" s="87">
        <f t="shared" si="409"/>
        <v>0</v>
      </c>
      <c r="AK543" s="87">
        <f t="shared" si="410"/>
        <v>0</v>
      </c>
      <c r="AL543" s="87">
        <f t="shared" si="411"/>
        <v>0</v>
      </c>
      <c r="AM543" s="87">
        <f t="shared" si="412"/>
        <v>0</v>
      </c>
      <c r="AN543" s="87">
        <f t="shared" si="413"/>
        <v>0</v>
      </c>
      <c r="AO543" s="87">
        <f t="shared" si="414"/>
        <v>0</v>
      </c>
      <c r="AP543" s="87">
        <f t="shared" si="415"/>
        <v>0</v>
      </c>
      <c r="AQ543" s="87">
        <f t="shared" si="416"/>
        <v>0</v>
      </c>
      <c r="AR543" s="81"/>
      <c r="AS543" s="85">
        <f t="shared" si="417"/>
        <v>0</v>
      </c>
      <c r="AT543" s="85">
        <f t="shared" si="418"/>
        <v>0</v>
      </c>
      <c r="AU543" s="85">
        <f t="shared" si="419"/>
        <v>89</v>
      </c>
      <c r="AV543" s="85">
        <f t="shared" si="420"/>
        <v>0</v>
      </c>
      <c r="AW543" s="85">
        <f t="shared" si="421"/>
        <v>84</v>
      </c>
      <c r="AX543" s="85">
        <f t="shared" si="422"/>
        <v>0</v>
      </c>
      <c r="AY543" s="85">
        <f t="shared" si="423"/>
        <v>84</v>
      </c>
      <c r="AZ543" s="85">
        <f t="shared" si="424"/>
        <v>0</v>
      </c>
      <c r="BA543" s="85">
        <f t="shared" si="425"/>
        <v>0</v>
      </c>
      <c r="BB543" s="85">
        <f t="shared" si="426"/>
        <v>0</v>
      </c>
      <c r="BC543" s="85">
        <f t="shared" si="427"/>
        <v>0</v>
      </c>
      <c r="BD543" s="85">
        <f t="shared" si="428"/>
        <v>0</v>
      </c>
      <c r="BE543" s="85">
        <f t="shared" si="429"/>
        <v>0</v>
      </c>
      <c r="BF543" s="85">
        <f t="shared" si="430"/>
        <v>0</v>
      </c>
      <c r="BG543" s="85">
        <f t="shared" si="431"/>
        <v>0</v>
      </c>
      <c r="BH543" s="85">
        <f t="shared" si="432"/>
        <v>0</v>
      </c>
      <c r="BI543" s="85">
        <f t="shared" si="433"/>
        <v>0</v>
      </c>
      <c r="BJ543" s="85">
        <f t="shared" si="434"/>
        <v>0</v>
      </c>
      <c r="BK543" s="85">
        <f t="shared" si="435"/>
        <v>0</v>
      </c>
      <c r="BL543" s="85">
        <f t="shared" si="436"/>
        <v>0</v>
      </c>
      <c r="BM543" s="85">
        <f t="shared" si="437"/>
        <v>0</v>
      </c>
      <c r="BN543" s="85">
        <f t="shared" si="438"/>
        <v>0</v>
      </c>
      <c r="BO543" s="85">
        <f t="shared" si="439"/>
        <v>0</v>
      </c>
      <c r="BP543" s="85">
        <f t="shared" si="440"/>
        <v>0</v>
      </c>
      <c r="BQ543" s="85">
        <f t="shared" si="441"/>
        <v>0</v>
      </c>
      <c r="BR543" s="85">
        <f t="shared" si="442"/>
        <v>0</v>
      </c>
      <c r="BT543" s="63"/>
      <c r="BU543" s="63"/>
      <c r="BV543" s="63"/>
      <c r="BW543" s="63"/>
      <c r="BX543" s="63"/>
      <c r="BY543" s="63"/>
      <c r="BZ543" s="63"/>
      <c r="CA543" s="63"/>
      <c r="CB543" s="63"/>
      <c r="CC543" s="63"/>
      <c r="CD543" s="63"/>
      <c r="CE543" s="63"/>
      <c r="CF543" s="63"/>
      <c r="CG543" s="63"/>
      <c r="CH543" s="63"/>
      <c r="CI543" s="63"/>
      <c r="CJ543" s="63"/>
      <c r="CK543" s="63"/>
      <c r="CL543" s="63"/>
      <c r="CM543" s="63"/>
      <c r="CN543" s="63"/>
      <c r="CO543" s="63"/>
      <c r="CP543" s="63"/>
      <c r="CQ543" s="63"/>
      <c r="CR543" s="63"/>
      <c r="CS543" s="63"/>
      <c r="CX543" s="35" t="s">
        <v>12</v>
      </c>
      <c r="CZ543" s="35"/>
      <c r="DC543" s="57" t="str">
        <f t="shared" si="447"/>
        <v/>
      </c>
      <c r="DD543" s="64" t="str">
        <f t="shared" si="443"/>
        <v/>
      </c>
      <c r="DE543" s="65" t="str">
        <f t="shared" si="444"/>
        <v/>
      </c>
      <c r="DF543" s="66" t="str">
        <f t="shared" si="405"/>
        <v/>
      </c>
    </row>
    <row r="544" spans="2:110">
      <c r="B544" s="54">
        <f t="shared" si="401"/>
        <v>46860</v>
      </c>
      <c r="C544" s="55" t="s">
        <v>1</v>
      </c>
      <c r="D544" s="56">
        <f t="shared" si="402"/>
        <v>46866</v>
      </c>
      <c r="E544" s="52">
        <f t="shared" si="403"/>
        <v>4</v>
      </c>
      <c r="F544" s="53">
        <f t="shared" si="404"/>
        <v>2028</v>
      </c>
      <c r="G544" s="62">
        <f t="shared" si="445"/>
        <v>15</v>
      </c>
      <c r="H544" s="63">
        <f t="shared" si="446"/>
        <v>96</v>
      </c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80"/>
      <c r="AG544" s="87">
        <f t="shared" si="406"/>
        <v>0</v>
      </c>
      <c r="AH544" s="87">
        <f t="shared" si="407"/>
        <v>0</v>
      </c>
      <c r="AI544" s="87">
        <f t="shared" si="408"/>
        <v>0</v>
      </c>
      <c r="AJ544" s="87">
        <f t="shared" si="409"/>
        <v>0</v>
      </c>
      <c r="AK544" s="87">
        <f t="shared" si="410"/>
        <v>0</v>
      </c>
      <c r="AL544" s="87">
        <f t="shared" si="411"/>
        <v>0</v>
      </c>
      <c r="AM544" s="87">
        <f t="shared" si="412"/>
        <v>0</v>
      </c>
      <c r="AN544" s="87">
        <f t="shared" si="413"/>
        <v>0</v>
      </c>
      <c r="AO544" s="87">
        <f t="shared" si="414"/>
        <v>0</v>
      </c>
      <c r="AP544" s="87">
        <f t="shared" si="415"/>
        <v>0</v>
      </c>
      <c r="AQ544" s="87">
        <f t="shared" si="416"/>
        <v>0</v>
      </c>
      <c r="AR544" s="81"/>
      <c r="AS544" s="85">
        <f t="shared" si="417"/>
        <v>0</v>
      </c>
      <c r="AT544" s="85">
        <f t="shared" si="418"/>
        <v>0</v>
      </c>
      <c r="AU544" s="85">
        <f t="shared" si="419"/>
        <v>90</v>
      </c>
      <c r="AV544" s="85">
        <f t="shared" si="420"/>
        <v>0</v>
      </c>
      <c r="AW544" s="85">
        <f t="shared" si="421"/>
        <v>85</v>
      </c>
      <c r="AX544" s="85">
        <f t="shared" si="422"/>
        <v>0</v>
      </c>
      <c r="AY544" s="85">
        <f t="shared" si="423"/>
        <v>85</v>
      </c>
      <c r="AZ544" s="85">
        <f t="shared" si="424"/>
        <v>0</v>
      </c>
      <c r="BA544" s="85">
        <f t="shared" si="425"/>
        <v>0</v>
      </c>
      <c r="BB544" s="85">
        <f t="shared" si="426"/>
        <v>0</v>
      </c>
      <c r="BC544" s="85">
        <f t="shared" si="427"/>
        <v>0</v>
      </c>
      <c r="BD544" s="85">
        <f t="shared" si="428"/>
        <v>0</v>
      </c>
      <c r="BE544" s="85">
        <f t="shared" si="429"/>
        <v>0</v>
      </c>
      <c r="BF544" s="85">
        <f t="shared" si="430"/>
        <v>0</v>
      </c>
      <c r="BG544" s="85">
        <f t="shared" si="431"/>
        <v>0</v>
      </c>
      <c r="BH544" s="85">
        <f t="shared" si="432"/>
        <v>0</v>
      </c>
      <c r="BI544" s="85">
        <f t="shared" si="433"/>
        <v>0</v>
      </c>
      <c r="BJ544" s="85">
        <f t="shared" si="434"/>
        <v>0</v>
      </c>
      <c r="BK544" s="85">
        <f t="shared" si="435"/>
        <v>0</v>
      </c>
      <c r="BL544" s="85">
        <f t="shared" si="436"/>
        <v>0</v>
      </c>
      <c r="BM544" s="85">
        <f t="shared" si="437"/>
        <v>0</v>
      </c>
      <c r="BN544" s="85">
        <f t="shared" si="438"/>
        <v>0</v>
      </c>
      <c r="BO544" s="85">
        <f t="shared" si="439"/>
        <v>0</v>
      </c>
      <c r="BP544" s="85">
        <f t="shared" si="440"/>
        <v>0</v>
      </c>
      <c r="BQ544" s="85">
        <f t="shared" si="441"/>
        <v>0</v>
      </c>
      <c r="BR544" s="85">
        <f t="shared" si="442"/>
        <v>0</v>
      </c>
      <c r="BT544" s="63"/>
      <c r="BU544" s="63"/>
      <c r="BV544" s="63"/>
      <c r="BW544" s="63"/>
      <c r="BX544" s="63"/>
      <c r="BY544" s="63"/>
      <c r="BZ544" s="63"/>
      <c r="CA544" s="63"/>
      <c r="CB544" s="63"/>
      <c r="CC544" s="63"/>
      <c r="CD544" s="63"/>
      <c r="CE544" s="63"/>
      <c r="CF544" s="63"/>
      <c r="CG544" s="63"/>
      <c r="CH544" s="63"/>
      <c r="CI544" s="63"/>
      <c r="CJ544" s="63"/>
      <c r="CK544" s="63"/>
      <c r="CL544" s="63"/>
      <c r="CM544" s="63"/>
      <c r="CN544" s="63"/>
      <c r="CO544" s="63"/>
      <c r="CP544" s="63"/>
      <c r="CQ544" s="63"/>
      <c r="CR544" s="63"/>
      <c r="CS544" s="63"/>
      <c r="CX544" s="35" t="s">
        <v>12</v>
      </c>
      <c r="CZ544" s="35"/>
      <c r="DC544" s="57" t="str">
        <f t="shared" si="447"/>
        <v/>
      </c>
      <c r="DD544" s="64" t="str">
        <f t="shared" si="443"/>
        <v/>
      </c>
      <c r="DE544" s="65" t="str">
        <f t="shared" si="444"/>
        <v/>
      </c>
      <c r="DF544" s="66" t="str">
        <f t="shared" si="405"/>
        <v/>
      </c>
    </row>
    <row r="545" spans="2:110">
      <c r="B545" s="54">
        <f t="shared" si="401"/>
        <v>46867</v>
      </c>
      <c r="C545" s="55" t="s">
        <v>1</v>
      </c>
      <c r="D545" s="56">
        <f t="shared" si="402"/>
        <v>46873</v>
      </c>
      <c r="E545" s="52">
        <f t="shared" si="403"/>
        <v>4</v>
      </c>
      <c r="F545" s="53">
        <f t="shared" si="404"/>
        <v>2028</v>
      </c>
      <c r="G545" s="62">
        <f t="shared" si="445"/>
        <v>15</v>
      </c>
      <c r="H545" s="63">
        <f t="shared" si="446"/>
        <v>96</v>
      </c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80"/>
      <c r="AG545" s="87">
        <f t="shared" si="406"/>
        <v>0</v>
      </c>
      <c r="AH545" s="87">
        <f t="shared" si="407"/>
        <v>0</v>
      </c>
      <c r="AI545" s="87">
        <f t="shared" si="408"/>
        <v>0</v>
      </c>
      <c r="AJ545" s="87">
        <f t="shared" si="409"/>
        <v>0</v>
      </c>
      <c r="AK545" s="87">
        <f t="shared" si="410"/>
        <v>0</v>
      </c>
      <c r="AL545" s="87">
        <f t="shared" si="411"/>
        <v>0</v>
      </c>
      <c r="AM545" s="87">
        <f t="shared" si="412"/>
        <v>0</v>
      </c>
      <c r="AN545" s="87">
        <f t="shared" si="413"/>
        <v>0</v>
      </c>
      <c r="AO545" s="87">
        <f t="shared" si="414"/>
        <v>0</v>
      </c>
      <c r="AP545" s="87">
        <f t="shared" si="415"/>
        <v>0</v>
      </c>
      <c r="AQ545" s="87">
        <f t="shared" si="416"/>
        <v>0</v>
      </c>
      <c r="AR545" s="81"/>
      <c r="AS545" s="85">
        <f t="shared" si="417"/>
        <v>0</v>
      </c>
      <c r="AT545" s="85">
        <f t="shared" si="418"/>
        <v>0</v>
      </c>
      <c r="AU545" s="85">
        <f t="shared" si="419"/>
        <v>91</v>
      </c>
      <c r="AV545" s="85">
        <f t="shared" si="420"/>
        <v>0</v>
      </c>
      <c r="AW545" s="85">
        <f t="shared" si="421"/>
        <v>86</v>
      </c>
      <c r="AX545" s="85">
        <f t="shared" si="422"/>
        <v>0</v>
      </c>
      <c r="AY545" s="85">
        <f t="shared" si="423"/>
        <v>86</v>
      </c>
      <c r="AZ545" s="85">
        <f t="shared" si="424"/>
        <v>0</v>
      </c>
      <c r="BA545" s="85">
        <f t="shared" si="425"/>
        <v>0</v>
      </c>
      <c r="BB545" s="85">
        <f t="shared" si="426"/>
        <v>0</v>
      </c>
      <c r="BC545" s="85">
        <f t="shared" si="427"/>
        <v>0</v>
      </c>
      <c r="BD545" s="85">
        <f t="shared" si="428"/>
        <v>0</v>
      </c>
      <c r="BE545" s="85">
        <f t="shared" si="429"/>
        <v>0</v>
      </c>
      <c r="BF545" s="85">
        <f t="shared" si="430"/>
        <v>0</v>
      </c>
      <c r="BG545" s="85">
        <f t="shared" si="431"/>
        <v>0</v>
      </c>
      <c r="BH545" s="85">
        <f t="shared" si="432"/>
        <v>0</v>
      </c>
      <c r="BI545" s="85">
        <f t="shared" si="433"/>
        <v>0</v>
      </c>
      <c r="BJ545" s="85">
        <f t="shared" si="434"/>
        <v>0</v>
      </c>
      <c r="BK545" s="85">
        <f t="shared" si="435"/>
        <v>0</v>
      </c>
      <c r="BL545" s="85">
        <f t="shared" si="436"/>
        <v>0</v>
      </c>
      <c r="BM545" s="85">
        <f t="shared" si="437"/>
        <v>0</v>
      </c>
      <c r="BN545" s="85">
        <f t="shared" si="438"/>
        <v>0</v>
      </c>
      <c r="BO545" s="85">
        <f t="shared" si="439"/>
        <v>0</v>
      </c>
      <c r="BP545" s="85">
        <f t="shared" si="440"/>
        <v>0</v>
      </c>
      <c r="BQ545" s="85">
        <f t="shared" si="441"/>
        <v>0</v>
      </c>
      <c r="BR545" s="85">
        <f t="shared" si="442"/>
        <v>0</v>
      </c>
      <c r="BT545" s="63"/>
      <c r="BU545" s="63"/>
      <c r="BV545" s="63"/>
      <c r="BW545" s="63"/>
      <c r="BX545" s="63"/>
      <c r="BY545" s="63"/>
      <c r="BZ545" s="63"/>
      <c r="CA545" s="63"/>
      <c r="CB545" s="63"/>
      <c r="CC545" s="63"/>
      <c r="CD545" s="63"/>
      <c r="CE545" s="63"/>
      <c r="CF545" s="63"/>
      <c r="CG545" s="63"/>
      <c r="CH545" s="63"/>
      <c r="CI545" s="63"/>
      <c r="CJ545" s="63"/>
      <c r="CK545" s="63"/>
      <c r="CL545" s="63"/>
      <c r="CM545" s="63"/>
      <c r="CN545" s="63"/>
      <c r="CO545" s="63"/>
      <c r="CP545" s="63"/>
      <c r="CQ545" s="63"/>
      <c r="CR545" s="63"/>
      <c r="CS545" s="63"/>
      <c r="CX545" s="35" t="s">
        <v>12</v>
      </c>
      <c r="CZ545" s="35"/>
      <c r="DC545" s="57" t="str">
        <f t="shared" si="447"/>
        <v/>
      </c>
      <c r="DD545" s="64" t="str">
        <f t="shared" si="443"/>
        <v/>
      </c>
      <c r="DE545" s="65" t="str">
        <f t="shared" si="444"/>
        <v/>
      </c>
      <c r="DF545" s="66" t="str">
        <f t="shared" si="405"/>
        <v/>
      </c>
    </row>
    <row r="546" spans="2:110">
      <c r="B546" s="54">
        <f t="shared" si="401"/>
        <v>46874</v>
      </c>
      <c r="C546" s="55" t="s">
        <v>1</v>
      </c>
      <c r="D546" s="56">
        <f t="shared" si="402"/>
        <v>46880</v>
      </c>
      <c r="E546" s="52">
        <f t="shared" si="403"/>
        <v>5</v>
      </c>
      <c r="F546" s="53">
        <f t="shared" si="404"/>
        <v>2028</v>
      </c>
      <c r="G546" s="62">
        <f t="shared" si="445"/>
        <v>15</v>
      </c>
      <c r="H546" s="63">
        <f t="shared" si="446"/>
        <v>96</v>
      </c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80"/>
      <c r="AG546" s="87">
        <f t="shared" si="406"/>
        <v>0</v>
      </c>
      <c r="AH546" s="87">
        <f t="shared" si="407"/>
        <v>0</v>
      </c>
      <c r="AI546" s="87">
        <f t="shared" si="408"/>
        <v>0</v>
      </c>
      <c r="AJ546" s="87">
        <f t="shared" si="409"/>
        <v>0</v>
      </c>
      <c r="AK546" s="87">
        <f t="shared" si="410"/>
        <v>0</v>
      </c>
      <c r="AL546" s="87">
        <f t="shared" si="411"/>
        <v>0</v>
      </c>
      <c r="AM546" s="87">
        <f t="shared" si="412"/>
        <v>0</v>
      </c>
      <c r="AN546" s="87">
        <f t="shared" si="413"/>
        <v>0</v>
      </c>
      <c r="AO546" s="87">
        <f t="shared" si="414"/>
        <v>0</v>
      </c>
      <c r="AP546" s="87">
        <f t="shared" si="415"/>
        <v>0</v>
      </c>
      <c r="AQ546" s="87">
        <f t="shared" si="416"/>
        <v>0</v>
      </c>
      <c r="AR546" s="81"/>
      <c r="AS546" s="85">
        <f t="shared" si="417"/>
        <v>0</v>
      </c>
      <c r="AT546" s="85">
        <f t="shared" si="418"/>
        <v>0</v>
      </c>
      <c r="AU546" s="85">
        <f t="shared" si="419"/>
        <v>92</v>
      </c>
      <c r="AV546" s="85">
        <f t="shared" si="420"/>
        <v>0</v>
      </c>
      <c r="AW546" s="85">
        <f t="shared" si="421"/>
        <v>87</v>
      </c>
      <c r="AX546" s="85">
        <f t="shared" si="422"/>
        <v>0</v>
      </c>
      <c r="AY546" s="85">
        <f t="shared" si="423"/>
        <v>87</v>
      </c>
      <c r="AZ546" s="85">
        <f t="shared" si="424"/>
        <v>0</v>
      </c>
      <c r="BA546" s="85">
        <f t="shared" si="425"/>
        <v>0</v>
      </c>
      <c r="BB546" s="85">
        <f t="shared" si="426"/>
        <v>0</v>
      </c>
      <c r="BC546" s="85">
        <f t="shared" si="427"/>
        <v>0</v>
      </c>
      <c r="BD546" s="85">
        <f t="shared" si="428"/>
        <v>0</v>
      </c>
      <c r="BE546" s="85">
        <f t="shared" si="429"/>
        <v>0</v>
      </c>
      <c r="BF546" s="85">
        <f t="shared" si="430"/>
        <v>0</v>
      </c>
      <c r="BG546" s="85">
        <f t="shared" si="431"/>
        <v>0</v>
      </c>
      <c r="BH546" s="85">
        <f t="shared" si="432"/>
        <v>0</v>
      </c>
      <c r="BI546" s="85">
        <f t="shared" si="433"/>
        <v>0</v>
      </c>
      <c r="BJ546" s="85">
        <f t="shared" si="434"/>
        <v>0</v>
      </c>
      <c r="BK546" s="85">
        <f t="shared" si="435"/>
        <v>0</v>
      </c>
      <c r="BL546" s="85">
        <f t="shared" si="436"/>
        <v>0</v>
      </c>
      <c r="BM546" s="85">
        <f t="shared" si="437"/>
        <v>0</v>
      </c>
      <c r="BN546" s="85">
        <f t="shared" si="438"/>
        <v>0</v>
      </c>
      <c r="BO546" s="85">
        <f t="shared" si="439"/>
        <v>0</v>
      </c>
      <c r="BP546" s="85">
        <f t="shared" si="440"/>
        <v>0</v>
      </c>
      <c r="BQ546" s="85">
        <f t="shared" si="441"/>
        <v>0</v>
      </c>
      <c r="BR546" s="85">
        <f t="shared" si="442"/>
        <v>0</v>
      </c>
      <c r="BT546" s="63"/>
      <c r="BU546" s="63"/>
      <c r="BV546" s="63"/>
      <c r="BW546" s="63"/>
      <c r="BX546" s="63"/>
      <c r="BY546" s="63"/>
      <c r="BZ546" s="63"/>
      <c r="CA546" s="63"/>
      <c r="CB546" s="63"/>
      <c r="CC546" s="63"/>
      <c r="CD546" s="63"/>
      <c r="CE546" s="63"/>
      <c r="CF546" s="63"/>
      <c r="CG546" s="63"/>
      <c r="CH546" s="63"/>
      <c r="CI546" s="63"/>
      <c r="CJ546" s="63"/>
      <c r="CK546" s="63"/>
      <c r="CL546" s="63"/>
      <c r="CM546" s="63"/>
      <c r="CN546" s="63"/>
      <c r="CO546" s="63"/>
      <c r="CP546" s="63"/>
      <c r="CQ546" s="63"/>
      <c r="CR546" s="63"/>
      <c r="CS546" s="63"/>
      <c r="CX546" s="35" t="s">
        <v>12</v>
      </c>
      <c r="CZ546" s="35"/>
      <c r="DC546" s="57" t="str">
        <f t="shared" si="447"/>
        <v/>
      </c>
      <c r="DD546" s="64" t="str">
        <f t="shared" si="443"/>
        <v/>
      </c>
      <c r="DE546" s="65" t="str">
        <f t="shared" si="444"/>
        <v/>
      </c>
      <c r="DF546" s="66" t="str">
        <f t="shared" si="405"/>
        <v/>
      </c>
    </row>
    <row r="547" spans="2:110">
      <c r="B547" s="54">
        <f t="shared" si="401"/>
        <v>46881</v>
      </c>
      <c r="C547" s="55" t="s">
        <v>1</v>
      </c>
      <c r="D547" s="56">
        <f t="shared" si="402"/>
        <v>46887</v>
      </c>
      <c r="E547" s="52">
        <f t="shared" si="403"/>
        <v>5</v>
      </c>
      <c r="F547" s="53">
        <f t="shared" si="404"/>
        <v>2028</v>
      </c>
      <c r="G547" s="62">
        <f t="shared" si="445"/>
        <v>15</v>
      </c>
      <c r="H547" s="63">
        <f t="shared" si="446"/>
        <v>96</v>
      </c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80"/>
      <c r="AG547" s="87">
        <f t="shared" si="406"/>
        <v>0</v>
      </c>
      <c r="AH547" s="87">
        <f t="shared" si="407"/>
        <v>0</v>
      </c>
      <c r="AI547" s="87">
        <f t="shared" si="408"/>
        <v>0</v>
      </c>
      <c r="AJ547" s="87">
        <f t="shared" si="409"/>
        <v>0</v>
      </c>
      <c r="AK547" s="87">
        <f t="shared" si="410"/>
        <v>0</v>
      </c>
      <c r="AL547" s="87">
        <f t="shared" si="411"/>
        <v>0</v>
      </c>
      <c r="AM547" s="87">
        <f t="shared" si="412"/>
        <v>0</v>
      </c>
      <c r="AN547" s="87">
        <f t="shared" si="413"/>
        <v>0</v>
      </c>
      <c r="AO547" s="87">
        <f t="shared" si="414"/>
        <v>0</v>
      </c>
      <c r="AP547" s="87">
        <f t="shared" si="415"/>
        <v>0</v>
      </c>
      <c r="AQ547" s="87">
        <f t="shared" si="416"/>
        <v>0</v>
      </c>
      <c r="AR547" s="81"/>
      <c r="AS547" s="85">
        <f t="shared" si="417"/>
        <v>0</v>
      </c>
      <c r="AT547" s="85">
        <f t="shared" si="418"/>
        <v>0</v>
      </c>
      <c r="AU547" s="85">
        <f t="shared" si="419"/>
        <v>93</v>
      </c>
      <c r="AV547" s="85">
        <f t="shared" si="420"/>
        <v>0</v>
      </c>
      <c r="AW547" s="85">
        <f t="shared" si="421"/>
        <v>88</v>
      </c>
      <c r="AX547" s="85">
        <f t="shared" si="422"/>
        <v>0</v>
      </c>
      <c r="AY547" s="85">
        <f t="shared" si="423"/>
        <v>88</v>
      </c>
      <c r="AZ547" s="85">
        <f t="shared" si="424"/>
        <v>0</v>
      </c>
      <c r="BA547" s="85">
        <f t="shared" si="425"/>
        <v>0</v>
      </c>
      <c r="BB547" s="85">
        <f t="shared" si="426"/>
        <v>0</v>
      </c>
      <c r="BC547" s="85">
        <f t="shared" si="427"/>
        <v>0</v>
      </c>
      <c r="BD547" s="85">
        <f t="shared" si="428"/>
        <v>0</v>
      </c>
      <c r="BE547" s="85">
        <f t="shared" si="429"/>
        <v>0</v>
      </c>
      <c r="BF547" s="85">
        <f t="shared" si="430"/>
        <v>0</v>
      </c>
      <c r="BG547" s="85">
        <f t="shared" si="431"/>
        <v>0</v>
      </c>
      <c r="BH547" s="85">
        <f t="shared" si="432"/>
        <v>0</v>
      </c>
      <c r="BI547" s="85">
        <f t="shared" si="433"/>
        <v>0</v>
      </c>
      <c r="BJ547" s="85">
        <f t="shared" si="434"/>
        <v>0</v>
      </c>
      <c r="BK547" s="85">
        <f t="shared" si="435"/>
        <v>0</v>
      </c>
      <c r="BL547" s="85">
        <f t="shared" si="436"/>
        <v>0</v>
      </c>
      <c r="BM547" s="85">
        <f t="shared" si="437"/>
        <v>0</v>
      </c>
      <c r="BN547" s="85">
        <f t="shared" si="438"/>
        <v>0</v>
      </c>
      <c r="BO547" s="85">
        <f t="shared" si="439"/>
        <v>0</v>
      </c>
      <c r="BP547" s="85">
        <f t="shared" si="440"/>
        <v>0</v>
      </c>
      <c r="BQ547" s="85">
        <f t="shared" si="441"/>
        <v>0</v>
      </c>
      <c r="BR547" s="85">
        <f t="shared" si="442"/>
        <v>0</v>
      </c>
      <c r="BT547" s="63"/>
      <c r="BU547" s="63"/>
      <c r="BV547" s="63"/>
      <c r="BW547" s="63"/>
      <c r="BX547" s="63"/>
      <c r="BY547" s="63"/>
      <c r="BZ547" s="63"/>
      <c r="CA547" s="63"/>
      <c r="CB547" s="63"/>
      <c r="CC547" s="63"/>
      <c r="CD547" s="63"/>
      <c r="CE547" s="63"/>
      <c r="CF547" s="63"/>
      <c r="CG547" s="63"/>
      <c r="CH547" s="63"/>
      <c r="CI547" s="63"/>
      <c r="CJ547" s="63"/>
      <c r="CK547" s="63"/>
      <c r="CL547" s="63"/>
      <c r="CM547" s="63"/>
      <c r="CN547" s="63"/>
      <c r="CO547" s="63"/>
      <c r="CP547" s="63"/>
      <c r="CQ547" s="63"/>
      <c r="CR547" s="63"/>
      <c r="CS547" s="63"/>
      <c r="CX547" s="35" t="s">
        <v>12</v>
      </c>
      <c r="CZ547" s="35"/>
      <c r="DC547" s="57" t="str">
        <f t="shared" si="447"/>
        <v/>
      </c>
      <c r="DD547" s="64" t="str">
        <f t="shared" si="443"/>
        <v/>
      </c>
      <c r="DE547" s="65" t="str">
        <f t="shared" si="444"/>
        <v/>
      </c>
      <c r="DF547" s="66" t="str">
        <f t="shared" si="405"/>
        <v/>
      </c>
    </row>
    <row r="548" spans="2:110">
      <c r="B548" s="54">
        <f t="shared" si="401"/>
        <v>46888</v>
      </c>
      <c r="C548" s="55" t="s">
        <v>1</v>
      </c>
      <c r="D548" s="56">
        <f t="shared" si="402"/>
        <v>46894</v>
      </c>
      <c r="E548" s="52">
        <f t="shared" si="403"/>
        <v>5</v>
      </c>
      <c r="F548" s="53">
        <f t="shared" si="404"/>
        <v>2028</v>
      </c>
      <c r="G548" s="62">
        <f t="shared" si="445"/>
        <v>15</v>
      </c>
      <c r="H548" s="63">
        <f t="shared" si="446"/>
        <v>96</v>
      </c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80"/>
      <c r="AG548" s="87">
        <f t="shared" si="406"/>
        <v>0</v>
      </c>
      <c r="AH548" s="87">
        <f t="shared" si="407"/>
        <v>0</v>
      </c>
      <c r="AI548" s="87">
        <f t="shared" si="408"/>
        <v>0</v>
      </c>
      <c r="AJ548" s="87">
        <f t="shared" si="409"/>
        <v>0</v>
      </c>
      <c r="AK548" s="87">
        <f t="shared" si="410"/>
        <v>0</v>
      </c>
      <c r="AL548" s="87">
        <f t="shared" si="411"/>
        <v>0</v>
      </c>
      <c r="AM548" s="87">
        <f t="shared" si="412"/>
        <v>0</v>
      </c>
      <c r="AN548" s="87">
        <f t="shared" si="413"/>
        <v>0</v>
      </c>
      <c r="AO548" s="87">
        <f t="shared" si="414"/>
        <v>0</v>
      </c>
      <c r="AP548" s="87">
        <f t="shared" si="415"/>
        <v>0</v>
      </c>
      <c r="AQ548" s="87">
        <f t="shared" si="416"/>
        <v>0</v>
      </c>
      <c r="AR548" s="81"/>
      <c r="AS548" s="85">
        <f t="shared" si="417"/>
        <v>0</v>
      </c>
      <c r="AT548" s="85">
        <f t="shared" si="418"/>
        <v>0</v>
      </c>
      <c r="AU548" s="85">
        <f t="shared" si="419"/>
        <v>94</v>
      </c>
      <c r="AV548" s="85">
        <f t="shared" si="420"/>
        <v>0</v>
      </c>
      <c r="AW548" s="85">
        <f t="shared" si="421"/>
        <v>89</v>
      </c>
      <c r="AX548" s="85">
        <f t="shared" si="422"/>
        <v>0</v>
      </c>
      <c r="AY548" s="85">
        <f t="shared" si="423"/>
        <v>89</v>
      </c>
      <c r="AZ548" s="85">
        <f t="shared" si="424"/>
        <v>0</v>
      </c>
      <c r="BA548" s="85">
        <f t="shared" si="425"/>
        <v>0</v>
      </c>
      <c r="BB548" s="85">
        <f t="shared" si="426"/>
        <v>0</v>
      </c>
      <c r="BC548" s="85">
        <f t="shared" si="427"/>
        <v>0</v>
      </c>
      <c r="BD548" s="85">
        <f t="shared" si="428"/>
        <v>0</v>
      </c>
      <c r="BE548" s="85">
        <f t="shared" si="429"/>
        <v>0</v>
      </c>
      <c r="BF548" s="85">
        <f t="shared" si="430"/>
        <v>0</v>
      </c>
      <c r="BG548" s="85">
        <f t="shared" si="431"/>
        <v>0</v>
      </c>
      <c r="BH548" s="85">
        <f t="shared" si="432"/>
        <v>0</v>
      </c>
      <c r="BI548" s="85">
        <f t="shared" si="433"/>
        <v>0</v>
      </c>
      <c r="BJ548" s="85">
        <f t="shared" si="434"/>
        <v>0</v>
      </c>
      <c r="BK548" s="85">
        <f t="shared" si="435"/>
        <v>0</v>
      </c>
      <c r="BL548" s="85">
        <f t="shared" si="436"/>
        <v>0</v>
      </c>
      <c r="BM548" s="85">
        <f t="shared" si="437"/>
        <v>0</v>
      </c>
      <c r="BN548" s="85">
        <f t="shared" si="438"/>
        <v>0</v>
      </c>
      <c r="BO548" s="85">
        <f t="shared" si="439"/>
        <v>0</v>
      </c>
      <c r="BP548" s="85">
        <f t="shared" si="440"/>
        <v>0</v>
      </c>
      <c r="BQ548" s="85">
        <f t="shared" si="441"/>
        <v>0</v>
      </c>
      <c r="BR548" s="85">
        <f t="shared" si="442"/>
        <v>0</v>
      </c>
      <c r="BT548" s="63"/>
      <c r="BU548" s="63"/>
      <c r="BV548" s="63"/>
      <c r="BW548" s="63"/>
      <c r="BX548" s="63"/>
      <c r="BY548" s="63"/>
      <c r="BZ548" s="63"/>
      <c r="CA548" s="63"/>
      <c r="CB548" s="63"/>
      <c r="CC548" s="63"/>
      <c r="CD548" s="63"/>
      <c r="CE548" s="63"/>
      <c r="CF548" s="63"/>
      <c r="CG548" s="63"/>
      <c r="CH548" s="63"/>
      <c r="CI548" s="63"/>
      <c r="CJ548" s="63"/>
      <c r="CK548" s="63"/>
      <c r="CL548" s="63"/>
      <c r="CM548" s="63"/>
      <c r="CN548" s="63"/>
      <c r="CO548" s="63"/>
      <c r="CP548" s="63"/>
      <c r="CQ548" s="63"/>
      <c r="CR548" s="63"/>
      <c r="CS548" s="63"/>
      <c r="CX548" s="35" t="s">
        <v>12</v>
      </c>
      <c r="CZ548" s="35"/>
      <c r="DC548" s="57" t="str">
        <f t="shared" si="447"/>
        <v/>
      </c>
      <c r="DD548" s="64" t="str">
        <f t="shared" si="443"/>
        <v/>
      </c>
      <c r="DE548" s="65" t="str">
        <f t="shared" si="444"/>
        <v/>
      </c>
      <c r="DF548" s="66" t="str">
        <f t="shared" si="405"/>
        <v/>
      </c>
    </row>
    <row r="549" spans="2:110">
      <c r="B549" s="54">
        <f t="shared" si="401"/>
        <v>46895</v>
      </c>
      <c r="C549" s="55" t="s">
        <v>1</v>
      </c>
      <c r="D549" s="56">
        <f t="shared" si="402"/>
        <v>46901</v>
      </c>
      <c r="E549" s="52">
        <f t="shared" si="403"/>
        <v>5</v>
      </c>
      <c r="F549" s="53">
        <f t="shared" si="404"/>
        <v>2028</v>
      </c>
      <c r="G549" s="62">
        <f t="shared" si="445"/>
        <v>15</v>
      </c>
      <c r="H549" s="63">
        <f t="shared" si="446"/>
        <v>96</v>
      </c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80"/>
      <c r="AG549" s="87">
        <f t="shared" si="406"/>
        <v>0</v>
      </c>
      <c r="AH549" s="87">
        <f t="shared" si="407"/>
        <v>0</v>
      </c>
      <c r="AI549" s="87">
        <f t="shared" si="408"/>
        <v>0</v>
      </c>
      <c r="AJ549" s="87">
        <f t="shared" si="409"/>
        <v>0</v>
      </c>
      <c r="AK549" s="87">
        <f t="shared" si="410"/>
        <v>0</v>
      </c>
      <c r="AL549" s="87">
        <f t="shared" si="411"/>
        <v>0</v>
      </c>
      <c r="AM549" s="87">
        <f t="shared" si="412"/>
        <v>0</v>
      </c>
      <c r="AN549" s="87">
        <f t="shared" si="413"/>
        <v>0</v>
      </c>
      <c r="AO549" s="87">
        <f t="shared" si="414"/>
        <v>0</v>
      </c>
      <c r="AP549" s="87">
        <f t="shared" si="415"/>
        <v>0</v>
      </c>
      <c r="AQ549" s="87">
        <f t="shared" si="416"/>
        <v>0</v>
      </c>
      <c r="AR549" s="81"/>
      <c r="AS549" s="85">
        <f t="shared" si="417"/>
        <v>0</v>
      </c>
      <c r="AT549" s="85">
        <f t="shared" si="418"/>
        <v>0</v>
      </c>
      <c r="AU549" s="85">
        <f t="shared" si="419"/>
        <v>95</v>
      </c>
      <c r="AV549" s="85">
        <f t="shared" si="420"/>
        <v>0</v>
      </c>
      <c r="AW549" s="85">
        <f t="shared" si="421"/>
        <v>90</v>
      </c>
      <c r="AX549" s="85">
        <f t="shared" si="422"/>
        <v>0</v>
      </c>
      <c r="AY549" s="85">
        <f t="shared" si="423"/>
        <v>90</v>
      </c>
      <c r="AZ549" s="85">
        <f t="shared" si="424"/>
        <v>0</v>
      </c>
      <c r="BA549" s="85">
        <f t="shared" si="425"/>
        <v>0</v>
      </c>
      <c r="BB549" s="85">
        <f t="shared" si="426"/>
        <v>0</v>
      </c>
      <c r="BC549" s="85">
        <f t="shared" si="427"/>
        <v>0</v>
      </c>
      <c r="BD549" s="85">
        <f t="shared" si="428"/>
        <v>0</v>
      </c>
      <c r="BE549" s="85">
        <f t="shared" si="429"/>
        <v>0</v>
      </c>
      <c r="BF549" s="85">
        <f t="shared" si="430"/>
        <v>0</v>
      </c>
      <c r="BG549" s="85">
        <f t="shared" si="431"/>
        <v>0</v>
      </c>
      <c r="BH549" s="85">
        <f t="shared" si="432"/>
        <v>0</v>
      </c>
      <c r="BI549" s="85">
        <f t="shared" si="433"/>
        <v>0</v>
      </c>
      <c r="BJ549" s="85">
        <f t="shared" si="434"/>
        <v>0</v>
      </c>
      <c r="BK549" s="85">
        <f t="shared" si="435"/>
        <v>0</v>
      </c>
      <c r="BL549" s="85">
        <f t="shared" si="436"/>
        <v>0</v>
      </c>
      <c r="BM549" s="85">
        <f t="shared" si="437"/>
        <v>0</v>
      </c>
      <c r="BN549" s="85">
        <f t="shared" si="438"/>
        <v>0</v>
      </c>
      <c r="BO549" s="85">
        <f t="shared" si="439"/>
        <v>0</v>
      </c>
      <c r="BP549" s="85">
        <f t="shared" si="440"/>
        <v>0</v>
      </c>
      <c r="BQ549" s="85">
        <f t="shared" si="441"/>
        <v>0</v>
      </c>
      <c r="BR549" s="85">
        <f t="shared" si="442"/>
        <v>0</v>
      </c>
      <c r="BT549" s="63"/>
      <c r="BU549" s="63"/>
      <c r="BV549" s="63"/>
      <c r="BW549" s="63"/>
      <c r="BX549" s="63"/>
      <c r="BY549" s="63"/>
      <c r="BZ549" s="63"/>
      <c r="CA549" s="63"/>
      <c r="CB549" s="63"/>
      <c r="CC549" s="63"/>
      <c r="CD549" s="63"/>
      <c r="CE549" s="63"/>
      <c r="CF549" s="63"/>
      <c r="CG549" s="63"/>
      <c r="CH549" s="63"/>
      <c r="CI549" s="63"/>
      <c r="CJ549" s="63"/>
      <c r="CK549" s="63"/>
      <c r="CL549" s="63"/>
      <c r="CM549" s="63"/>
      <c r="CN549" s="63"/>
      <c r="CO549" s="63"/>
      <c r="CP549" s="63"/>
      <c r="CQ549" s="63"/>
      <c r="CR549" s="63"/>
      <c r="CS549" s="63"/>
      <c r="CX549" s="35" t="s">
        <v>12</v>
      </c>
      <c r="CZ549" s="35"/>
      <c r="DC549" s="57" t="str">
        <f t="shared" si="447"/>
        <v/>
      </c>
      <c r="DD549" s="64" t="str">
        <f t="shared" si="443"/>
        <v/>
      </c>
      <c r="DE549" s="65" t="str">
        <f t="shared" si="444"/>
        <v/>
      </c>
      <c r="DF549" s="66" t="str">
        <f t="shared" si="405"/>
        <v/>
      </c>
    </row>
    <row r="550" spans="2:110">
      <c r="B550" s="54">
        <f t="shared" si="401"/>
        <v>46902</v>
      </c>
      <c r="C550" s="55" t="s">
        <v>1</v>
      </c>
      <c r="D550" s="56">
        <f t="shared" si="402"/>
        <v>46908</v>
      </c>
      <c r="E550" s="52">
        <f t="shared" si="403"/>
        <v>5</v>
      </c>
      <c r="F550" s="53">
        <f t="shared" si="404"/>
        <v>2028</v>
      </c>
      <c r="G550" s="62">
        <f t="shared" si="445"/>
        <v>15</v>
      </c>
      <c r="H550" s="63">
        <f t="shared" si="446"/>
        <v>96</v>
      </c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80"/>
      <c r="AG550" s="87">
        <f t="shared" si="406"/>
        <v>0</v>
      </c>
      <c r="AH550" s="87">
        <f t="shared" si="407"/>
        <v>0</v>
      </c>
      <c r="AI550" s="87">
        <f t="shared" si="408"/>
        <v>0</v>
      </c>
      <c r="AJ550" s="87">
        <f t="shared" si="409"/>
        <v>0</v>
      </c>
      <c r="AK550" s="87">
        <f t="shared" si="410"/>
        <v>0</v>
      </c>
      <c r="AL550" s="87">
        <f t="shared" si="411"/>
        <v>0</v>
      </c>
      <c r="AM550" s="87">
        <f t="shared" si="412"/>
        <v>0</v>
      </c>
      <c r="AN550" s="87">
        <f t="shared" si="413"/>
        <v>0</v>
      </c>
      <c r="AO550" s="87">
        <f t="shared" si="414"/>
        <v>0</v>
      </c>
      <c r="AP550" s="87">
        <f t="shared" si="415"/>
        <v>0</v>
      </c>
      <c r="AQ550" s="87">
        <f t="shared" si="416"/>
        <v>0</v>
      </c>
      <c r="AR550" s="81"/>
      <c r="AS550" s="85">
        <f t="shared" si="417"/>
        <v>0</v>
      </c>
      <c r="AT550" s="85">
        <f t="shared" si="418"/>
        <v>0</v>
      </c>
      <c r="AU550" s="85">
        <f t="shared" si="419"/>
        <v>96</v>
      </c>
      <c r="AV550" s="85">
        <f t="shared" si="420"/>
        <v>0</v>
      </c>
      <c r="AW550" s="85">
        <f t="shared" si="421"/>
        <v>91</v>
      </c>
      <c r="AX550" s="85">
        <f t="shared" si="422"/>
        <v>0</v>
      </c>
      <c r="AY550" s="85">
        <f t="shared" si="423"/>
        <v>91</v>
      </c>
      <c r="AZ550" s="85">
        <f t="shared" si="424"/>
        <v>0</v>
      </c>
      <c r="BA550" s="85">
        <f t="shared" si="425"/>
        <v>0</v>
      </c>
      <c r="BB550" s="85">
        <f t="shared" si="426"/>
        <v>0</v>
      </c>
      <c r="BC550" s="85">
        <f t="shared" si="427"/>
        <v>0</v>
      </c>
      <c r="BD550" s="85">
        <f t="shared" si="428"/>
        <v>0</v>
      </c>
      <c r="BE550" s="85">
        <f t="shared" si="429"/>
        <v>0</v>
      </c>
      <c r="BF550" s="85">
        <f t="shared" si="430"/>
        <v>0</v>
      </c>
      <c r="BG550" s="85">
        <f t="shared" si="431"/>
        <v>0</v>
      </c>
      <c r="BH550" s="85">
        <f t="shared" si="432"/>
        <v>0</v>
      </c>
      <c r="BI550" s="85">
        <f t="shared" si="433"/>
        <v>0</v>
      </c>
      <c r="BJ550" s="85">
        <f t="shared" si="434"/>
        <v>0</v>
      </c>
      <c r="BK550" s="85">
        <f t="shared" si="435"/>
        <v>0</v>
      </c>
      <c r="BL550" s="85">
        <f t="shared" si="436"/>
        <v>0</v>
      </c>
      <c r="BM550" s="85">
        <f t="shared" si="437"/>
        <v>0</v>
      </c>
      <c r="BN550" s="85">
        <f t="shared" si="438"/>
        <v>0</v>
      </c>
      <c r="BO550" s="85">
        <f t="shared" si="439"/>
        <v>0</v>
      </c>
      <c r="BP550" s="85">
        <f t="shared" si="440"/>
        <v>0</v>
      </c>
      <c r="BQ550" s="85">
        <f t="shared" si="441"/>
        <v>0</v>
      </c>
      <c r="BR550" s="85">
        <f t="shared" si="442"/>
        <v>0</v>
      </c>
      <c r="BT550" s="63"/>
      <c r="BU550" s="63"/>
      <c r="BV550" s="63"/>
      <c r="BW550" s="63"/>
      <c r="BX550" s="63"/>
      <c r="BY550" s="63"/>
      <c r="BZ550" s="63"/>
      <c r="CA550" s="63"/>
      <c r="CB550" s="63"/>
      <c r="CC550" s="63"/>
      <c r="CD550" s="63"/>
      <c r="CE550" s="63"/>
      <c r="CF550" s="63"/>
      <c r="CG550" s="63"/>
      <c r="CH550" s="63"/>
      <c r="CI550" s="63"/>
      <c r="CJ550" s="63"/>
      <c r="CK550" s="63"/>
      <c r="CL550" s="63"/>
      <c r="CM550" s="63"/>
      <c r="CN550" s="63"/>
      <c r="CO550" s="63"/>
      <c r="CP550" s="63"/>
      <c r="CQ550" s="63"/>
      <c r="CR550" s="63"/>
      <c r="CS550" s="63"/>
      <c r="CX550" s="35" t="s">
        <v>12</v>
      </c>
      <c r="CZ550" s="35"/>
      <c r="DC550" s="57" t="str">
        <f t="shared" si="447"/>
        <v/>
      </c>
      <c r="DD550" s="64" t="str">
        <f t="shared" si="443"/>
        <v/>
      </c>
      <c r="DE550" s="65" t="str">
        <f t="shared" si="444"/>
        <v/>
      </c>
      <c r="DF550" s="66" t="str">
        <f t="shared" si="405"/>
        <v/>
      </c>
    </row>
    <row r="551" spans="2:110">
      <c r="B551" s="54">
        <f t="shared" ref="B551:B614" si="448">D550+1</f>
        <v>46909</v>
      </c>
      <c r="C551" s="55" t="s">
        <v>1</v>
      </c>
      <c r="D551" s="56">
        <f t="shared" ref="D551:D614" si="449">B551+6</f>
        <v>46915</v>
      </c>
      <c r="E551" s="52">
        <f t="shared" ref="E551:E614" si="450">MONTH(B551)</f>
        <v>6</v>
      </c>
      <c r="F551" s="53">
        <f t="shared" ref="F551:F614" si="451">YEAR(D551)</f>
        <v>2028</v>
      </c>
      <c r="G551" s="62">
        <f t="shared" si="445"/>
        <v>15</v>
      </c>
      <c r="H551" s="63">
        <f t="shared" si="446"/>
        <v>96</v>
      </c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80"/>
      <c r="AG551" s="87">
        <f t="shared" si="406"/>
        <v>0</v>
      </c>
      <c r="AH551" s="87">
        <f t="shared" si="407"/>
        <v>0</v>
      </c>
      <c r="AI551" s="87">
        <f t="shared" si="408"/>
        <v>0</v>
      </c>
      <c r="AJ551" s="87">
        <f t="shared" si="409"/>
        <v>0</v>
      </c>
      <c r="AK551" s="87">
        <f t="shared" si="410"/>
        <v>0</v>
      </c>
      <c r="AL551" s="87">
        <f t="shared" si="411"/>
        <v>0</v>
      </c>
      <c r="AM551" s="87">
        <f t="shared" si="412"/>
        <v>0</v>
      </c>
      <c r="AN551" s="87">
        <f t="shared" si="413"/>
        <v>0</v>
      </c>
      <c r="AO551" s="87">
        <f t="shared" si="414"/>
        <v>0</v>
      </c>
      <c r="AP551" s="87">
        <f t="shared" si="415"/>
        <v>0</v>
      </c>
      <c r="AQ551" s="87">
        <f t="shared" si="416"/>
        <v>0</v>
      </c>
      <c r="AR551" s="81"/>
      <c r="AS551" s="85">
        <f t="shared" si="417"/>
        <v>0</v>
      </c>
      <c r="AT551" s="85">
        <f t="shared" si="418"/>
        <v>0</v>
      </c>
      <c r="AU551" s="85">
        <f t="shared" si="419"/>
        <v>0</v>
      </c>
      <c r="AV551" s="85">
        <f t="shared" si="420"/>
        <v>0</v>
      </c>
      <c r="AW551" s="85">
        <f t="shared" si="421"/>
        <v>92</v>
      </c>
      <c r="AX551" s="85">
        <f t="shared" si="422"/>
        <v>0</v>
      </c>
      <c r="AY551" s="85">
        <f t="shared" si="423"/>
        <v>92</v>
      </c>
      <c r="AZ551" s="85">
        <f t="shared" si="424"/>
        <v>0</v>
      </c>
      <c r="BA551" s="85">
        <f t="shared" si="425"/>
        <v>0</v>
      </c>
      <c r="BB551" s="85">
        <f t="shared" si="426"/>
        <v>0</v>
      </c>
      <c r="BC551" s="85">
        <f t="shared" si="427"/>
        <v>0</v>
      </c>
      <c r="BD551" s="85">
        <f t="shared" si="428"/>
        <v>0</v>
      </c>
      <c r="BE551" s="85">
        <f t="shared" si="429"/>
        <v>0</v>
      </c>
      <c r="BF551" s="85">
        <f t="shared" si="430"/>
        <v>0</v>
      </c>
      <c r="BG551" s="85">
        <f t="shared" si="431"/>
        <v>0</v>
      </c>
      <c r="BH551" s="85">
        <f t="shared" si="432"/>
        <v>0</v>
      </c>
      <c r="BI551" s="85">
        <f t="shared" si="433"/>
        <v>0</v>
      </c>
      <c r="BJ551" s="85">
        <f t="shared" si="434"/>
        <v>0</v>
      </c>
      <c r="BK551" s="85">
        <f t="shared" si="435"/>
        <v>0</v>
      </c>
      <c r="BL551" s="85">
        <f t="shared" si="436"/>
        <v>0</v>
      </c>
      <c r="BM551" s="85">
        <f t="shared" si="437"/>
        <v>0</v>
      </c>
      <c r="BN551" s="85">
        <f t="shared" si="438"/>
        <v>0</v>
      </c>
      <c r="BO551" s="85">
        <f t="shared" si="439"/>
        <v>0</v>
      </c>
      <c r="BP551" s="85">
        <f t="shared" si="440"/>
        <v>0</v>
      </c>
      <c r="BQ551" s="85">
        <f t="shared" si="441"/>
        <v>0</v>
      </c>
      <c r="BR551" s="85">
        <f t="shared" si="442"/>
        <v>0</v>
      </c>
      <c r="BT551" s="63"/>
      <c r="BU551" s="63"/>
      <c r="BV551" s="63"/>
      <c r="BW551" s="63"/>
      <c r="BX551" s="63"/>
      <c r="BY551" s="63"/>
      <c r="BZ551" s="63"/>
      <c r="CA551" s="63"/>
      <c r="CB551" s="63"/>
      <c r="CC551" s="63"/>
      <c r="CD551" s="63"/>
      <c r="CE551" s="63"/>
      <c r="CF551" s="63"/>
      <c r="CG551" s="63"/>
      <c r="CH551" s="63"/>
      <c r="CI551" s="63"/>
      <c r="CJ551" s="63"/>
      <c r="CK551" s="63"/>
      <c r="CL551" s="63"/>
      <c r="CM551" s="63"/>
      <c r="CN551" s="63"/>
      <c r="CO551" s="63"/>
      <c r="CP551" s="63"/>
      <c r="CQ551" s="63"/>
      <c r="CR551" s="63"/>
      <c r="CS551" s="63"/>
      <c r="CX551" s="35" t="s">
        <v>12</v>
      </c>
      <c r="CZ551" s="35"/>
      <c r="DC551" s="57" t="str">
        <f t="shared" si="447"/>
        <v/>
      </c>
      <c r="DD551" s="64" t="str">
        <f t="shared" si="443"/>
        <v/>
      </c>
      <c r="DE551" s="65" t="str">
        <f t="shared" si="444"/>
        <v/>
      </c>
      <c r="DF551" s="66" t="str">
        <f t="shared" si="405"/>
        <v/>
      </c>
    </row>
    <row r="552" spans="2:110">
      <c r="B552" s="54">
        <f t="shared" si="448"/>
        <v>46916</v>
      </c>
      <c r="C552" s="55" t="s">
        <v>1</v>
      </c>
      <c r="D552" s="56">
        <f t="shared" si="449"/>
        <v>46922</v>
      </c>
      <c r="E552" s="52">
        <f t="shared" si="450"/>
        <v>6</v>
      </c>
      <c r="F552" s="53">
        <f t="shared" si="451"/>
        <v>2028</v>
      </c>
      <c r="G552" s="62">
        <f t="shared" si="445"/>
        <v>15</v>
      </c>
      <c r="H552" s="63">
        <f t="shared" si="446"/>
        <v>96</v>
      </c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80"/>
      <c r="AG552" s="87">
        <f t="shared" si="406"/>
        <v>0</v>
      </c>
      <c r="AH552" s="87">
        <f t="shared" si="407"/>
        <v>0</v>
      </c>
      <c r="AI552" s="87">
        <f t="shared" si="408"/>
        <v>0</v>
      </c>
      <c r="AJ552" s="87">
        <f t="shared" si="409"/>
        <v>0</v>
      </c>
      <c r="AK552" s="87">
        <f t="shared" si="410"/>
        <v>0</v>
      </c>
      <c r="AL552" s="87">
        <f t="shared" si="411"/>
        <v>0</v>
      </c>
      <c r="AM552" s="87">
        <f t="shared" si="412"/>
        <v>0</v>
      </c>
      <c r="AN552" s="87">
        <f t="shared" si="413"/>
        <v>0</v>
      </c>
      <c r="AO552" s="87">
        <f t="shared" si="414"/>
        <v>0</v>
      </c>
      <c r="AP552" s="87">
        <f t="shared" si="415"/>
        <v>0</v>
      </c>
      <c r="AQ552" s="87">
        <f t="shared" si="416"/>
        <v>0</v>
      </c>
      <c r="AR552" s="81"/>
      <c r="AS552" s="85">
        <f t="shared" si="417"/>
        <v>0</v>
      </c>
      <c r="AT552" s="85">
        <f t="shared" si="418"/>
        <v>0</v>
      </c>
      <c r="AU552" s="85">
        <f t="shared" si="419"/>
        <v>0</v>
      </c>
      <c r="AV552" s="85">
        <f t="shared" si="420"/>
        <v>0</v>
      </c>
      <c r="AW552" s="85">
        <f t="shared" si="421"/>
        <v>93</v>
      </c>
      <c r="AX552" s="85">
        <f t="shared" si="422"/>
        <v>0</v>
      </c>
      <c r="AY552" s="85">
        <f t="shared" si="423"/>
        <v>93</v>
      </c>
      <c r="AZ552" s="85">
        <f t="shared" si="424"/>
        <v>0</v>
      </c>
      <c r="BA552" s="85">
        <f t="shared" si="425"/>
        <v>0</v>
      </c>
      <c r="BB552" s="85">
        <f t="shared" si="426"/>
        <v>0</v>
      </c>
      <c r="BC552" s="85">
        <f t="shared" si="427"/>
        <v>0</v>
      </c>
      <c r="BD552" s="85">
        <f t="shared" si="428"/>
        <v>0</v>
      </c>
      <c r="BE552" s="85">
        <f t="shared" si="429"/>
        <v>0</v>
      </c>
      <c r="BF552" s="85">
        <f t="shared" si="430"/>
        <v>0</v>
      </c>
      <c r="BG552" s="85">
        <f t="shared" si="431"/>
        <v>0</v>
      </c>
      <c r="BH552" s="85">
        <f t="shared" si="432"/>
        <v>0</v>
      </c>
      <c r="BI552" s="85">
        <f t="shared" si="433"/>
        <v>0</v>
      </c>
      <c r="BJ552" s="85">
        <f t="shared" si="434"/>
        <v>0</v>
      </c>
      <c r="BK552" s="85">
        <f t="shared" si="435"/>
        <v>0</v>
      </c>
      <c r="BL552" s="85">
        <f t="shared" si="436"/>
        <v>0</v>
      </c>
      <c r="BM552" s="85">
        <f t="shared" si="437"/>
        <v>0</v>
      </c>
      <c r="BN552" s="85">
        <f t="shared" si="438"/>
        <v>0</v>
      </c>
      <c r="BO552" s="85">
        <f t="shared" si="439"/>
        <v>0</v>
      </c>
      <c r="BP552" s="85">
        <f t="shared" si="440"/>
        <v>0</v>
      </c>
      <c r="BQ552" s="85">
        <f t="shared" si="441"/>
        <v>0</v>
      </c>
      <c r="BR552" s="85">
        <f t="shared" si="442"/>
        <v>0</v>
      </c>
      <c r="BT552" s="63"/>
      <c r="BU552" s="63"/>
      <c r="BV552" s="63"/>
      <c r="BW552" s="63"/>
      <c r="BX552" s="63"/>
      <c r="BY552" s="63"/>
      <c r="BZ552" s="63"/>
      <c r="CA552" s="63"/>
      <c r="CB552" s="63"/>
      <c r="CC552" s="63"/>
      <c r="CD552" s="63"/>
      <c r="CE552" s="63"/>
      <c r="CF552" s="63"/>
      <c r="CG552" s="63"/>
      <c r="CH552" s="63"/>
      <c r="CI552" s="63"/>
      <c r="CJ552" s="63"/>
      <c r="CK552" s="63"/>
      <c r="CL552" s="63"/>
      <c r="CM552" s="63"/>
      <c r="CN552" s="63"/>
      <c r="CO552" s="63"/>
      <c r="CP552" s="63"/>
      <c r="CQ552" s="63"/>
      <c r="CR552" s="63"/>
      <c r="CS552" s="63"/>
      <c r="CX552" s="35" t="s">
        <v>12</v>
      </c>
      <c r="CZ552" s="35"/>
      <c r="DC552" s="57" t="str">
        <f t="shared" si="447"/>
        <v/>
      </c>
      <c r="DD552" s="64" t="str">
        <f t="shared" si="443"/>
        <v/>
      </c>
      <c r="DE552" s="65" t="str">
        <f t="shared" si="444"/>
        <v/>
      </c>
      <c r="DF552" s="66" t="str">
        <f t="shared" si="405"/>
        <v/>
      </c>
    </row>
    <row r="553" spans="2:110">
      <c r="B553" s="54">
        <f t="shared" si="448"/>
        <v>46923</v>
      </c>
      <c r="C553" s="55" t="s">
        <v>1</v>
      </c>
      <c r="D553" s="56">
        <f t="shared" si="449"/>
        <v>46929</v>
      </c>
      <c r="E553" s="52">
        <f t="shared" si="450"/>
        <v>6</v>
      </c>
      <c r="F553" s="53">
        <f t="shared" si="451"/>
        <v>2028</v>
      </c>
      <c r="G553" s="62">
        <f t="shared" si="445"/>
        <v>15</v>
      </c>
      <c r="H553" s="63">
        <f t="shared" si="446"/>
        <v>96</v>
      </c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80"/>
      <c r="AG553" s="87">
        <f t="shared" si="406"/>
        <v>0</v>
      </c>
      <c r="AH553" s="87">
        <f t="shared" si="407"/>
        <v>0</v>
      </c>
      <c r="AI553" s="87">
        <f t="shared" si="408"/>
        <v>0</v>
      </c>
      <c r="AJ553" s="87">
        <f t="shared" si="409"/>
        <v>0</v>
      </c>
      <c r="AK553" s="87">
        <f t="shared" si="410"/>
        <v>0</v>
      </c>
      <c r="AL553" s="87">
        <f t="shared" si="411"/>
        <v>0</v>
      </c>
      <c r="AM553" s="87">
        <f t="shared" si="412"/>
        <v>0</v>
      </c>
      <c r="AN553" s="87">
        <f t="shared" si="413"/>
        <v>0</v>
      </c>
      <c r="AO553" s="87">
        <f t="shared" si="414"/>
        <v>0</v>
      </c>
      <c r="AP553" s="87">
        <f t="shared" si="415"/>
        <v>0</v>
      </c>
      <c r="AQ553" s="87">
        <f t="shared" si="416"/>
        <v>0</v>
      </c>
      <c r="AR553" s="81"/>
      <c r="AS553" s="85">
        <f t="shared" si="417"/>
        <v>0</v>
      </c>
      <c r="AT553" s="85">
        <f t="shared" si="418"/>
        <v>0</v>
      </c>
      <c r="AU553" s="85">
        <f t="shared" si="419"/>
        <v>0</v>
      </c>
      <c r="AV553" s="85">
        <f t="shared" si="420"/>
        <v>0</v>
      </c>
      <c r="AW553" s="85">
        <f t="shared" si="421"/>
        <v>94</v>
      </c>
      <c r="AX553" s="85">
        <f t="shared" si="422"/>
        <v>0</v>
      </c>
      <c r="AY553" s="85">
        <f t="shared" si="423"/>
        <v>94</v>
      </c>
      <c r="AZ553" s="85">
        <f t="shared" si="424"/>
        <v>0</v>
      </c>
      <c r="BA553" s="85">
        <f t="shared" si="425"/>
        <v>0</v>
      </c>
      <c r="BB553" s="85">
        <f t="shared" si="426"/>
        <v>0</v>
      </c>
      <c r="BC553" s="85">
        <f t="shared" si="427"/>
        <v>0</v>
      </c>
      <c r="BD553" s="85">
        <f t="shared" si="428"/>
        <v>0</v>
      </c>
      <c r="BE553" s="85">
        <f t="shared" si="429"/>
        <v>0</v>
      </c>
      <c r="BF553" s="85">
        <f t="shared" si="430"/>
        <v>0</v>
      </c>
      <c r="BG553" s="85">
        <f t="shared" si="431"/>
        <v>0</v>
      </c>
      <c r="BH553" s="85">
        <f t="shared" si="432"/>
        <v>0</v>
      </c>
      <c r="BI553" s="85">
        <f t="shared" si="433"/>
        <v>0</v>
      </c>
      <c r="BJ553" s="85">
        <f t="shared" si="434"/>
        <v>0</v>
      </c>
      <c r="BK553" s="85">
        <f t="shared" si="435"/>
        <v>0</v>
      </c>
      <c r="BL553" s="85">
        <f t="shared" si="436"/>
        <v>0</v>
      </c>
      <c r="BM553" s="85">
        <f t="shared" si="437"/>
        <v>0</v>
      </c>
      <c r="BN553" s="85">
        <f t="shared" si="438"/>
        <v>0</v>
      </c>
      <c r="BO553" s="85">
        <f t="shared" si="439"/>
        <v>0</v>
      </c>
      <c r="BP553" s="85">
        <f t="shared" si="440"/>
        <v>0</v>
      </c>
      <c r="BQ553" s="85">
        <f t="shared" si="441"/>
        <v>0</v>
      </c>
      <c r="BR553" s="85">
        <f t="shared" si="442"/>
        <v>0</v>
      </c>
      <c r="BT553" s="63"/>
      <c r="BU553" s="63"/>
      <c r="BV553" s="63"/>
      <c r="BW553" s="63"/>
      <c r="BX553" s="63"/>
      <c r="BY553" s="63"/>
      <c r="BZ553" s="63"/>
      <c r="CA553" s="63"/>
      <c r="CB553" s="63"/>
      <c r="CC553" s="63"/>
      <c r="CD553" s="63"/>
      <c r="CE553" s="63"/>
      <c r="CF553" s="63"/>
      <c r="CG553" s="63"/>
      <c r="CH553" s="63"/>
      <c r="CI553" s="63"/>
      <c r="CJ553" s="63"/>
      <c r="CK553" s="63"/>
      <c r="CL553" s="63"/>
      <c r="CM553" s="63"/>
      <c r="CN553" s="63"/>
      <c r="CO553" s="63"/>
      <c r="CP553" s="63"/>
      <c r="CQ553" s="63"/>
      <c r="CR553" s="63"/>
      <c r="CS553" s="63"/>
      <c r="CX553" s="35" t="s">
        <v>12</v>
      </c>
      <c r="CZ553" s="35"/>
      <c r="DC553" s="57" t="str">
        <f t="shared" si="447"/>
        <v/>
      </c>
      <c r="DD553" s="64" t="str">
        <f t="shared" si="443"/>
        <v/>
      </c>
      <c r="DE553" s="65" t="str">
        <f t="shared" si="444"/>
        <v/>
      </c>
      <c r="DF553" s="66" t="str">
        <f t="shared" si="405"/>
        <v/>
      </c>
    </row>
    <row r="554" spans="2:110">
      <c r="B554" s="54">
        <f t="shared" si="448"/>
        <v>46930</v>
      </c>
      <c r="C554" s="55" t="s">
        <v>1</v>
      </c>
      <c r="D554" s="56">
        <f t="shared" si="449"/>
        <v>46936</v>
      </c>
      <c r="E554" s="52">
        <f t="shared" si="450"/>
        <v>6</v>
      </c>
      <c r="F554" s="53">
        <f t="shared" si="451"/>
        <v>2028</v>
      </c>
      <c r="G554" s="62">
        <f t="shared" si="445"/>
        <v>15</v>
      </c>
      <c r="H554" s="63">
        <f t="shared" si="446"/>
        <v>96</v>
      </c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80"/>
      <c r="AG554" s="87">
        <f t="shared" si="406"/>
        <v>0</v>
      </c>
      <c r="AH554" s="87">
        <f t="shared" si="407"/>
        <v>0</v>
      </c>
      <c r="AI554" s="87">
        <f t="shared" si="408"/>
        <v>0</v>
      </c>
      <c r="AJ554" s="87">
        <f t="shared" si="409"/>
        <v>0</v>
      </c>
      <c r="AK554" s="87">
        <f t="shared" si="410"/>
        <v>0</v>
      </c>
      <c r="AL554" s="87">
        <f t="shared" si="411"/>
        <v>0</v>
      </c>
      <c r="AM554" s="87">
        <f t="shared" si="412"/>
        <v>0</v>
      </c>
      <c r="AN554" s="87">
        <f t="shared" si="413"/>
        <v>0</v>
      </c>
      <c r="AO554" s="87">
        <f t="shared" si="414"/>
        <v>0</v>
      </c>
      <c r="AP554" s="87">
        <f t="shared" si="415"/>
        <v>0</v>
      </c>
      <c r="AQ554" s="87">
        <f t="shared" si="416"/>
        <v>0</v>
      </c>
      <c r="AR554" s="81"/>
      <c r="AS554" s="85">
        <f t="shared" si="417"/>
        <v>0</v>
      </c>
      <c r="AT554" s="85">
        <f t="shared" si="418"/>
        <v>0</v>
      </c>
      <c r="AU554" s="85">
        <f t="shared" si="419"/>
        <v>0</v>
      </c>
      <c r="AV554" s="85">
        <f t="shared" si="420"/>
        <v>0</v>
      </c>
      <c r="AW554" s="85">
        <f t="shared" si="421"/>
        <v>95</v>
      </c>
      <c r="AX554" s="85">
        <f t="shared" si="422"/>
        <v>0</v>
      </c>
      <c r="AY554" s="85">
        <f t="shared" si="423"/>
        <v>95</v>
      </c>
      <c r="AZ554" s="85">
        <f t="shared" si="424"/>
        <v>0</v>
      </c>
      <c r="BA554" s="85">
        <f t="shared" si="425"/>
        <v>0</v>
      </c>
      <c r="BB554" s="85">
        <f t="shared" si="426"/>
        <v>0</v>
      </c>
      <c r="BC554" s="85">
        <f t="shared" si="427"/>
        <v>0</v>
      </c>
      <c r="BD554" s="85">
        <f t="shared" si="428"/>
        <v>0</v>
      </c>
      <c r="BE554" s="85">
        <f t="shared" si="429"/>
        <v>0</v>
      </c>
      <c r="BF554" s="85">
        <f t="shared" si="430"/>
        <v>0</v>
      </c>
      <c r="BG554" s="85">
        <f t="shared" si="431"/>
        <v>0</v>
      </c>
      <c r="BH554" s="85">
        <f t="shared" si="432"/>
        <v>0</v>
      </c>
      <c r="BI554" s="85">
        <f t="shared" si="433"/>
        <v>0</v>
      </c>
      <c r="BJ554" s="85">
        <f t="shared" si="434"/>
        <v>0</v>
      </c>
      <c r="BK554" s="85">
        <f t="shared" si="435"/>
        <v>0</v>
      </c>
      <c r="BL554" s="85">
        <f t="shared" si="436"/>
        <v>0</v>
      </c>
      <c r="BM554" s="85">
        <f t="shared" si="437"/>
        <v>0</v>
      </c>
      <c r="BN554" s="85">
        <f t="shared" si="438"/>
        <v>0</v>
      </c>
      <c r="BO554" s="85">
        <f t="shared" si="439"/>
        <v>0</v>
      </c>
      <c r="BP554" s="85">
        <f t="shared" si="440"/>
        <v>0</v>
      </c>
      <c r="BQ554" s="85">
        <f t="shared" si="441"/>
        <v>0</v>
      </c>
      <c r="BR554" s="85">
        <f t="shared" si="442"/>
        <v>0</v>
      </c>
      <c r="BT554" s="63"/>
      <c r="BU554" s="63"/>
      <c r="BV554" s="63"/>
      <c r="BW554" s="63"/>
      <c r="BX554" s="63"/>
      <c r="BY554" s="63"/>
      <c r="BZ554" s="63"/>
      <c r="CA554" s="63"/>
      <c r="CB554" s="63"/>
      <c r="CC554" s="63"/>
      <c r="CD554" s="63"/>
      <c r="CE554" s="63"/>
      <c r="CF554" s="63"/>
      <c r="CG554" s="63"/>
      <c r="CH554" s="63"/>
      <c r="CI554" s="63"/>
      <c r="CJ554" s="63"/>
      <c r="CK554" s="63"/>
      <c r="CL554" s="63"/>
      <c r="CM554" s="63"/>
      <c r="CN554" s="63"/>
      <c r="CO554" s="63"/>
      <c r="CP554" s="63"/>
      <c r="CQ554" s="63"/>
      <c r="CR554" s="63"/>
      <c r="CS554" s="63"/>
      <c r="CX554" s="35" t="s">
        <v>12</v>
      </c>
      <c r="CZ554" s="35"/>
      <c r="DC554" s="57" t="str">
        <f t="shared" si="447"/>
        <v/>
      </c>
      <c r="DD554" s="64" t="str">
        <f t="shared" si="443"/>
        <v/>
      </c>
      <c r="DE554" s="65" t="str">
        <f t="shared" si="444"/>
        <v/>
      </c>
      <c r="DF554" s="66" t="str">
        <f t="shared" si="405"/>
        <v/>
      </c>
    </row>
    <row r="555" spans="2:110">
      <c r="B555" s="54">
        <f t="shared" si="448"/>
        <v>46937</v>
      </c>
      <c r="C555" s="55" t="s">
        <v>1</v>
      </c>
      <c r="D555" s="56">
        <f t="shared" si="449"/>
        <v>46943</v>
      </c>
      <c r="E555" s="52">
        <f t="shared" si="450"/>
        <v>7</v>
      </c>
      <c r="F555" s="53">
        <f t="shared" si="451"/>
        <v>2028</v>
      </c>
      <c r="G555" s="62">
        <f t="shared" si="445"/>
        <v>15</v>
      </c>
      <c r="H555" s="63">
        <f t="shared" si="446"/>
        <v>96</v>
      </c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80"/>
      <c r="AG555" s="87">
        <f t="shared" si="406"/>
        <v>0</v>
      </c>
      <c r="AH555" s="87">
        <f t="shared" si="407"/>
        <v>0</v>
      </c>
      <c r="AI555" s="87">
        <f t="shared" si="408"/>
        <v>0</v>
      </c>
      <c r="AJ555" s="87">
        <f t="shared" si="409"/>
        <v>0</v>
      </c>
      <c r="AK555" s="87">
        <f t="shared" si="410"/>
        <v>0</v>
      </c>
      <c r="AL555" s="87">
        <f t="shared" si="411"/>
        <v>0</v>
      </c>
      <c r="AM555" s="87">
        <f t="shared" si="412"/>
        <v>0</v>
      </c>
      <c r="AN555" s="87">
        <f t="shared" si="413"/>
        <v>0</v>
      </c>
      <c r="AO555" s="87">
        <f t="shared" si="414"/>
        <v>0</v>
      </c>
      <c r="AP555" s="87">
        <f t="shared" si="415"/>
        <v>0</v>
      </c>
      <c r="AQ555" s="87">
        <f t="shared" si="416"/>
        <v>0</v>
      </c>
      <c r="AR555" s="81"/>
      <c r="AS555" s="85">
        <f t="shared" si="417"/>
        <v>0</v>
      </c>
      <c r="AT555" s="85">
        <f t="shared" si="418"/>
        <v>0</v>
      </c>
      <c r="AU555" s="85">
        <f t="shared" si="419"/>
        <v>0</v>
      </c>
      <c r="AV555" s="85">
        <f t="shared" si="420"/>
        <v>0</v>
      </c>
      <c r="AW555" s="85">
        <f t="shared" si="421"/>
        <v>96</v>
      </c>
      <c r="AX555" s="85">
        <f t="shared" si="422"/>
        <v>0</v>
      </c>
      <c r="AY555" s="85">
        <f t="shared" si="423"/>
        <v>96</v>
      </c>
      <c r="AZ555" s="85">
        <f t="shared" si="424"/>
        <v>0</v>
      </c>
      <c r="BA555" s="85">
        <f t="shared" si="425"/>
        <v>0</v>
      </c>
      <c r="BB555" s="85">
        <f t="shared" si="426"/>
        <v>0</v>
      </c>
      <c r="BC555" s="85">
        <f t="shared" si="427"/>
        <v>0</v>
      </c>
      <c r="BD555" s="85">
        <f t="shared" si="428"/>
        <v>0</v>
      </c>
      <c r="BE555" s="85">
        <f t="shared" si="429"/>
        <v>0</v>
      </c>
      <c r="BF555" s="85">
        <f t="shared" si="430"/>
        <v>0</v>
      </c>
      <c r="BG555" s="85">
        <f t="shared" si="431"/>
        <v>0</v>
      </c>
      <c r="BH555" s="85">
        <f t="shared" si="432"/>
        <v>0</v>
      </c>
      <c r="BI555" s="85">
        <f t="shared" si="433"/>
        <v>0</v>
      </c>
      <c r="BJ555" s="85">
        <f t="shared" si="434"/>
        <v>0</v>
      </c>
      <c r="BK555" s="85">
        <f t="shared" si="435"/>
        <v>0</v>
      </c>
      <c r="BL555" s="85">
        <f t="shared" si="436"/>
        <v>0</v>
      </c>
      <c r="BM555" s="85">
        <f t="shared" si="437"/>
        <v>0</v>
      </c>
      <c r="BN555" s="85">
        <f t="shared" si="438"/>
        <v>0</v>
      </c>
      <c r="BO555" s="85">
        <f t="shared" si="439"/>
        <v>0</v>
      </c>
      <c r="BP555" s="85">
        <f t="shared" si="440"/>
        <v>0</v>
      </c>
      <c r="BQ555" s="85">
        <f t="shared" si="441"/>
        <v>0</v>
      </c>
      <c r="BR555" s="85">
        <f t="shared" si="442"/>
        <v>0</v>
      </c>
      <c r="BT555" s="63"/>
      <c r="BU555" s="63"/>
      <c r="BV555" s="63"/>
      <c r="BW555" s="63"/>
      <c r="BX555" s="63"/>
      <c r="BY555" s="63"/>
      <c r="BZ555" s="63"/>
      <c r="CA555" s="63"/>
      <c r="CB555" s="63"/>
      <c r="CC555" s="63"/>
      <c r="CD555" s="63"/>
      <c r="CE555" s="63"/>
      <c r="CF555" s="63"/>
      <c r="CG555" s="63"/>
      <c r="CH555" s="63"/>
      <c r="CI555" s="63"/>
      <c r="CJ555" s="63"/>
      <c r="CK555" s="63"/>
      <c r="CL555" s="63"/>
      <c r="CM555" s="63"/>
      <c r="CN555" s="63"/>
      <c r="CO555" s="63"/>
      <c r="CP555" s="63"/>
      <c r="CQ555" s="63"/>
      <c r="CR555" s="63"/>
      <c r="CS555" s="63"/>
      <c r="CX555" s="35" t="s">
        <v>12</v>
      </c>
      <c r="CZ555" s="35"/>
      <c r="DC555" s="57" t="str">
        <f t="shared" si="447"/>
        <v/>
      </c>
      <c r="DD555" s="64" t="str">
        <f t="shared" si="443"/>
        <v/>
      </c>
      <c r="DE555" s="65" t="str">
        <f t="shared" si="444"/>
        <v/>
      </c>
      <c r="DF555" s="66" t="str">
        <f t="shared" si="405"/>
        <v/>
      </c>
    </row>
    <row r="556" spans="2:110">
      <c r="B556" s="54">
        <f t="shared" si="448"/>
        <v>46944</v>
      </c>
      <c r="C556" s="55" t="s">
        <v>1</v>
      </c>
      <c r="D556" s="56">
        <f t="shared" si="449"/>
        <v>46950</v>
      </c>
      <c r="E556" s="52">
        <f t="shared" si="450"/>
        <v>7</v>
      </c>
      <c r="F556" s="53">
        <f t="shared" si="451"/>
        <v>2028</v>
      </c>
      <c r="G556" s="62">
        <f t="shared" si="445"/>
        <v>15</v>
      </c>
      <c r="H556" s="63">
        <f t="shared" si="446"/>
        <v>96</v>
      </c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80"/>
      <c r="AG556" s="87">
        <f t="shared" si="406"/>
        <v>0</v>
      </c>
      <c r="AH556" s="87">
        <f t="shared" si="407"/>
        <v>0</v>
      </c>
      <c r="AI556" s="87">
        <f t="shared" si="408"/>
        <v>0</v>
      </c>
      <c r="AJ556" s="87">
        <f t="shared" si="409"/>
        <v>0</v>
      </c>
      <c r="AK556" s="87">
        <f t="shared" si="410"/>
        <v>0</v>
      </c>
      <c r="AL556" s="87">
        <f t="shared" si="411"/>
        <v>0</v>
      </c>
      <c r="AM556" s="87">
        <f t="shared" si="412"/>
        <v>0</v>
      </c>
      <c r="AN556" s="87">
        <f t="shared" si="413"/>
        <v>0</v>
      </c>
      <c r="AO556" s="87">
        <f t="shared" si="414"/>
        <v>0</v>
      </c>
      <c r="AP556" s="87">
        <f t="shared" si="415"/>
        <v>0</v>
      </c>
      <c r="AQ556" s="87">
        <f t="shared" si="416"/>
        <v>0</v>
      </c>
      <c r="AR556" s="81"/>
      <c r="AS556" s="85">
        <f t="shared" si="417"/>
        <v>0</v>
      </c>
      <c r="AT556" s="85">
        <f t="shared" si="418"/>
        <v>0</v>
      </c>
      <c r="AU556" s="85">
        <f t="shared" si="419"/>
        <v>0</v>
      </c>
      <c r="AV556" s="85">
        <f t="shared" si="420"/>
        <v>0</v>
      </c>
      <c r="AW556" s="85">
        <f t="shared" si="421"/>
        <v>0</v>
      </c>
      <c r="AX556" s="85">
        <f t="shared" si="422"/>
        <v>0</v>
      </c>
      <c r="AY556" s="85">
        <f t="shared" si="423"/>
        <v>0</v>
      </c>
      <c r="AZ556" s="85">
        <f t="shared" si="424"/>
        <v>0</v>
      </c>
      <c r="BA556" s="85">
        <f t="shared" si="425"/>
        <v>0</v>
      </c>
      <c r="BB556" s="85">
        <f t="shared" si="426"/>
        <v>0</v>
      </c>
      <c r="BC556" s="85">
        <f t="shared" si="427"/>
        <v>0</v>
      </c>
      <c r="BD556" s="85">
        <f t="shared" si="428"/>
        <v>0</v>
      </c>
      <c r="BE556" s="85">
        <f t="shared" si="429"/>
        <v>0</v>
      </c>
      <c r="BF556" s="85">
        <f t="shared" si="430"/>
        <v>0</v>
      </c>
      <c r="BG556" s="85">
        <f t="shared" si="431"/>
        <v>0</v>
      </c>
      <c r="BH556" s="85">
        <f t="shared" si="432"/>
        <v>0</v>
      </c>
      <c r="BI556" s="85">
        <f t="shared" si="433"/>
        <v>0</v>
      </c>
      <c r="BJ556" s="85">
        <f t="shared" si="434"/>
        <v>0</v>
      </c>
      <c r="BK556" s="85">
        <f t="shared" si="435"/>
        <v>0</v>
      </c>
      <c r="BL556" s="85">
        <f t="shared" si="436"/>
        <v>0</v>
      </c>
      <c r="BM556" s="85">
        <f t="shared" si="437"/>
        <v>0</v>
      </c>
      <c r="BN556" s="85">
        <f t="shared" si="438"/>
        <v>0</v>
      </c>
      <c r="BO556" s="85">
        <f t="shared" si="439"/>
        <v>0</v>
      </c>
      <c r="BP556" s="85">
        <f t="shared" si="440"/>
        <v>0</v>
      </c>
      <c r="BQ556" s="85">
        <f t="shared" si="441"/>
        <v>0</v>
      </c>
      <c r="BR556" s="85">
        <f t="shared" si="442"/>
        <v>0</v>
      </c>
      <c r="BT556" s="63"/>
      <c r="BU556" s="63"/>
      <c r="BV556" s="63"/>
      <c r="BW556" s="63"/>
      <c r="BX556" s="63"/>
      <c r="BY556" s="63"/>
      <c r="BZ556" s="63"/>
      <c r="CA556" s="63"/>
      <c r="CB556" s="63"/>
      <c r="CC556" s="63"/>
      <c r="CD556" s="63"/>
      <c r="CE556" s="63"/>
      <c r="CF556" s="63"/>
      <c r="CG556" s="63"/>
      <c r="CH556" s="63"/>
      <c r="CI556" s="63"/>
      <c r="CJ556" s="63"/>
      <c r="CK556" s="63"/>
      <c r="CL556" s="63"/>
      <c r="CM556" s="63"/>
      <c r="CN556" s="63"/>
      <c r="CO556" s="63"/>
      <c r="CP556" s="63"/>
      <c r="CQ556" s="63"/>
      <c r="CR556" s="63"/>
      <c r="CS556" s="63"/>
      <c r="CX556" s="35" t="s">
        <v>12</v>
      </c>
      <c r="CZ556" s="35"/>
      <c r="DC556" s="57" t="str">
        <f t="shared" si="447"/>
        <v/>
      </c>
      <c r="DD556" s="64" t="str">
        <f t="shared" si="443"/>
        <v/>
      </c>
      <c r="DE556" s="65" t="str">
        <f t="shared" si="444"/>
        <v/>
      </c>
      <c r="DF556" s="66" t="str">
        <f t="shared" si="405"/>
        <v/>
      </c>
    </row>
    <row r="557" spans="2:110">
      <c r="B557" s="54">
        <f t="shared" si="448"/>
        <v>46951</v>
      </c>
      <c r="C557" s="55" t="s">
        <v>1</v>
      </c>
      <c r="D557" s="56">
        <f t="shared" si="449"/>
        <v>46957</v>
      </c>
      <c r="E557" s="52">
        <f t="shared" si="450"/>
        <v>7</v>
      </c>
      <c r="F557" s="53">
        <f t="shared" si="451"/>
        <v>2028</v>
      </c>
      <c r="G557" s="62">
        <f t="shared" si="445"/>
        <v>15</v>
      </c>
      <c r="H557" s="63">
        <f t="shared" si="446"/>
        <v>96</v>
      </c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80"/>
      <c r="AG557" s="87">
        <f t="shared" si="406"/>
        <v>0</v>
      </c>
      <c r="AH557" s="87">
        <f t="shared" si="407"/>
        <v>0</v>
      </c>
      <c r="AI557" s="87">
        <f t="shared" si="408"/>
        <v>0</v>
      </c>
      <c r="AJ557" s="87">
        <f t="shared" si="409"/>
        <v>0</v>
      </c>
      <c r="AK557" s="87">
        <f t="shared" si="410"/>
        <v>0</v>
      </c>
      <c r="AL557" s="87">
        <f t="shared" si="411"/>
        <v>0</v>
      </c>
      <c r="AM557" s="87">
        <f t="shared" si="412"/>
        <v>0</v>
      </c>
      <c r="AN557" s="87">
        <f t="shared" si="413"/>
        <v>0</v>
      </c>
      <c r="AO557" s="87">
        <f t="shared" si="414"/>
        <v>0</v>
      </c>
      <c r="AP557" s="87">
        <f t="shared" si="415"/>
        <v>0</v>
      </c>
      <c r="AQ557" s="87">
        <f t="shared" si="416"/>
        <v>0</v>
      </c>
      <c r="AR557" s="81"/>
      <c r="AS557" s="85">
        <f t="shared" si="417"/>
        <v>0</v>
      </c>
      <c r="AT557" s="85">
        <f t="shared" si="418"/>
        <v>0</v>
      </c>
      <c r="AU557" s="85">
        <f t="shared" si="419"/>
        <v>0</v>
      </c>
      <c r="AV557" s="85">
        <f t="shared" si="420"/>
        <v>0</v>
      </c>
      <c r="AW557" s="85">
        <f t="shared" si="421"/>
        <v>0</v>
      </c>
      <c r="AX557" s="85">
        <f t="shared" si="422"/>
        <v>0</v>
      </c>
      <c r="AY557" s="85">
        <f t="shared" si="423"/>
        <v>0</v>
      </c>
      <c r="AZ557" s="85">
        <f t="shared" si="424"/>
        <v>0</v>
      </c>
      <c r="BA557" s="85">
        <f t="shared" si="425"/>
        <v>0</v>
      </c>
      <c r="BB557" s="85">
        <f t="shared" si="426"/>
        <v>0</v>
      </c>
      <c r="BC557" s="85">
        <f t="shared" si="427"/>
        <v>0</v>
      </c>
      <c r="BD557" s="85">
        <f t="shared" si="428"/>
        <v>0</v>
      </c>
      <c r="BE557" s="85">
        <f t="shared" si="429"/>
        <v>0</v>
      </c>
      <c r="BF557" s="85">
        <f t="shared" si="430"/>
        <v>0</v>
      </c>
      <c r="BG557" s="85">
        <f t="shared" si="431"/>
        <v>0</v>
      </c>
      <c r="BH557" s="85">
        <f t="shared" si="432"/>
        <v>0</v>
      </c>
      <c r="BI557" s="85">
        <f t="shared" si="433"/>
        <v>0</v>
      </c>
      <c r="BJ557" s="85">
        <f t="shared" si="434"/>
        <v>0</v>
      </c>
      <c r="BK557" s="85">
        <f t="shared" si="435"/>
        <v>0</v>
      </c>
      <c r="BL557" s="85">
        <f t="shared" si="436"/>
        <v>0</v>
      </c>
      <c r="BM557" s="85">
        <f t="shared" si="437"/>
        <v>0</v>
      </c>
      <c r="BN557" s="85">
        <f t="shared" si="438"/>
        <v>0</v>
      </c>
      <c r="BO557" s="85">
        <f t="shared" si="439"/>
        <v>0</v>
      </c>
      <c r="BP557" s="85">
        <f t="shared" si="440"/>
        <v>0</v>
      </c>
      <c r="BQ557" s="85">
        <f t="shared" si="441"/>
        <v>0</v>
      </c>
      <c r="BR557" s="85">
        <f t="shared" si="442"/>
        <v>0</v>
      </c>
      <c r="BT557" s="63"/>
      <c r="BU557" s="63"/>
      <c r="BV557" s="63"/>
      <c r="BW557" s="63"/>
      <c r="BX557" s="63"/>
      <c r="BY557" s="63"/>
      <c r="BZ557" s="63"/>
      <c r="CA557" s="63"/>
      <c r="CB557" s="63"/>
      <c r="CC557" s="63"/>
      <c r="CD557" s="63"/>
      <c r="CE557" s="63"/>
      <c r="CF557" s="63"/>
      <c r="CG557" s="63"/>
      <c r="CH557" s="63"/>
      <c r="CI557" s="63"/>
      <c r="CJ557" s="63"/>
      <c r="CK557" s="63"/>
      <c r="CL557" s="63"/>
      <c r="CM557" s="63"/>
      <c r="CN557" s="63"/>
      <c r="CO557" s="63"/>
      <c r="CP557" s="63"/>
      <c r="CQ557" s="63"/>
      <c r="CR557" s="63"/>
      <c r="CS557" s="63"/>
      <c r="CX557" s="35" t="s">
        <v>12</v>
      </c>
      <c r="CZ557" s="35"/>
      <c r="DC557" s="57" t="str">
        <f t="shared" si="447"/>
        <v/>
      </c>
      <c r="DD557" s="64" t="str">
        <f t="shared" si="443"/>
        <v/>
      </c>
      <c r="DE557" s="65" t="str">
        <f t="shared" si="444"/>
        <v/>
      </c>
      <c r="DF557" s="66" t="str">
        <f t="shared" si="405"/>
        <v/>
      </c>
    </row>
    <row r="558" spans="2:110">
      <c r="B558" s="54">
        <f t="shared" si="448"/>
        <v>46958</v>
      </c>
      <c r="C558" s="55" t="s">
        <v>1</v>
      </c>
      <c r="D558" s="56">
        <f t="shared" si="449"/>
        <v>46964</v>
      </c>
      <c r="E558" s="52">
        <f t="shared" si="450"/>
        <v>7</v>
      </c>
      <c r="F558" s="53">
        <f t="shared" si="451"/>
        <v>2028</v>
      </c>
      <c r="G558" s="62">
        <f t="shared" si="445"/>
        <v>15</v>
      </c>
      <c r="H558" s="63">
        <f t="shared" si="446"/>
        <v>96</v>
      </c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80"/>
      <c r="AG558" s="87">
        <f t="shared" si="406"/>
        <v>0</v>
      </c>
      <c r="AH558" s="87">
        <f t="shared" si="407"/>
        <v>0</v>
      </c>
      <c r="AI558" s="87">
        <f t="shared" si="408"/>
        <v>0</v>
      </c>
      <c r="AJ558" s="87">
        <f t="shared" si="409"/>
        <v>0</v>
      </c>
      <c r="AK558" s="87">
        <f t="shared" si="410"/>
        <v>0</v>
      </c>
      <c r="AL558" s="87">
        <f t="shared" si="411"/>
        <v>0</v>
      </c>
      <c r="AM558" s="87">
        <f t="shared" si="412"/>
        <v>0</v>
      </c>
      <c r="AN558" s="87">
        <f t="shared" si="413"/>
        <v>0</v>
      </c>
      <c r="AO558" s="87">
        <f t="shared" si="414"/>
        <v>0</v>
      </c>
      <c r="AP558" s="87">
        <f t="shared" si="415"/>
        <v>0</v>
      </c>
      <c r="AQ558" s="87">
        <f t="shared" si="416"/>
        <v>0</v>
      </c>
      <c r="AR558" s="81"/>
      <c r="AS558" s="85">
        <f t="shared" si="417"/>
        <v>0</v>
      </c>
      <c r="AT558" s="85">
        <f t="shared" si="418"/>
        <v>0</v>
      </c>
      <c r="AU558" s="85">
        <f t="shared" si="419"/>
        <v>0</v>
      </c>
      <c r="AV558" s="85">
        <f t="shared" si="420"/>
        <v>0</v>
      </c>
      <c r="AW558" s="85">
        <f t="shared" si="421"/>
        <v>0</v>
      </c>
      <c r="AX558" s="85">
        <f t="shared" si="422"/>
        <v>0</v>
      </c>
      <c r="AY558" s="85">
        <f t="shared" si="423"/>
        <v>0</v>
      </c>
      <c r="AZ558" s="85">
        <f t="shared" si="424"/>
        <v>0</v>
      </c>
      <c r="BA558" s="85">
        <f t="shared" si="425"/>
        <v>0</v>
      </c>
      <c r="BB558" s="85">
        <f t="shared" si="426"/>
        <v>0</v>
      </c>
      <c r="BC558" s="85">
        <f t="shared" si="427"/>
        <v>0</v>
      </c>
      <c r="BD558" s="85">
        <f t="shared" si="428"/>
        <v>0</v>
      </c>
      <c r="BE558" s="85">
        <f t="shared" si="429"/>
        <v>0</v>
      </c>
      <c r="BF558" s="85">
        <f t="shared" si="430"/>
        <v>0</v>
      </c>
      <c r="BG558" s="85">
        <f t="shared" si="431"/>
        <v>0</v>
      </c>
      <c r="BH558" s="85">
        <f t="shared" si="432"/>
        <v>0</v>
      </c>
      <c r="BI558" s="85">
        <f t="shared" si="433"/>
        <v>0</v>
      </c>
      <c r="BJ558" s="85">
        <f t="shared" si="434"/>
        <v>0</v>
      </c>
      <c r="BK558" s="85">
        <f t="shared" si="435"/>
        <v>0</v>
      </c>
      <c r="BL558" s="85">
        <f t="shared" si="436"/>
        <v>0</v>
      </c>
      <c r="BM558" s="85">
        <f t="shared" si="437"/>
        <v>0</v>
      </c>
      <c r="BN558" s="85">
        <f t="shared" si="438"/>
        <v>0</v>
      </c>
      <c r="BO558" s="85">
        <f t="shared" si="439"/>
        <v>0</v>
      </c>
      <c r="BP558" s="85">
        <f t="shared" si="440"/>
        <v>0</v>
      </c>
      <c r="BQ558" s="85">
        <f t="shared" si="441"/>
        <v>0</v>
      </c>
      <c r="BR558" s="85">
        <f t="shared" si="442"/>
        <v>0</v>
      </c>
      <c r="BT558" s="63"/>
      <c r="BU558" s="63"/>
      <c r="BV558" s="63"/>
      <c r="BW558" s="63"/>
      <c r="BX558" s="63"/>
      <c r="BY558" s="63"/>
      <c r="BZ558" s="63"/>
      <c r="CA558" s="63"/>
      <c r="CB558" s="63"/>
      <c r="CC558" s="63"/>
      <c r="CD558" s="63"/>
      <c r="CE558" s="63"/>
      <c r="CF558" s="63"/>
      <c r="CG558" s="63"/>
      <c r="CH558" s="63"/>
      <c r="CI558" s="63"/>
      <c r="CJ558" s="63"/>
      <c r="CK558" s="63"/>
      <c r="CL558" s="63"/>
      <c r="CM558" s="63"/>
      <c r="CN558" s="63"/>
      <c r="CO558" s="63"/>
      <c r="CP558" s="63"/>
      <c r="CQ558" s="63"/>
      <c r="CR558" s="63"/>
      <c r="CS558" s="63"/>
      <c r="CX558" s="35" t="s">
        <v>12</v>
      </c>
      <c r="CZ558" s="35"/>
      <c r="DC558" s="57" t="str">
        <f t="shared" si="447"/>
        <v/>
      </c>
      <c r="DD558" s="64" t="str">
        <f t="shared" si="443"/>
        <v/>
      </c>
      <c r="DE558" s="65" t="str">
        <f t="shared" si="444"/>
        <v/>
      </c>
      <c r="DF558" s="66" t="str">
        <f t="shared" si="405"/>
        <v/>
      </c>
    </row>
    <row r="559" spans="2:110">
      <c r="B559" s="54">
        <f t="shared" si="448"/>
        <v>46965</v>
      </c>
      <c r="C559" s="55" t="s">
        <v>1</v>
      </c>
      <c r="D559" s="56">
        <f t="shared" si="449"/>
        <v>46971</v>
      </c>
      <c r="E559" s="52">
        <f t="shared" si="450"/>
        <v>7</v>
      </c>
      <c r="F559" s="53">
        <f t="shared" si="451"/>
        <v>2028</v>
      </c>
      <c r="G559" s="62">
        <f t="shared" si="445"/>
        <v>15</v>
      </c>
      <c r="H559" s="63">
        <f t="shared" si="446"/>
        <v>96</v>
      </c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80"/>
      <c r="AG559" s="87">
        <f t="shared" si="406"/>
        <v>0</v>
      </c>
      <c r="AH559" s="87">
        <f t="shared" si="407"/>
        <v>0</v>
      </c>
      <c r="AI559" s="87">
        <f t="shared" si="408"/>
        <v>0</v>
      </c>
      <c r="AJ559" s="87">
        <f t="shared" si="409"/>
        <v>0</v>
      </c>
      <c r="AK559" s="87">
        <f t="shared" si="410"/>
        <v>0</v>
      </c>
      <c r="AL559" s="87">
        <f t="shared" si="411"/>
        <v>0</v>
      </c>
      <c r="AM559" s="87">
        <f t="shared" si="412"/>
        <v>0</v>
      </c>
      <c r="AN559" s="87">
        <f t="shared" si="413"/>
        <v>0</v>
      </c>
      <c r="AO559" s="87">
        <f t="shared" si="414"/>
        <v>0</v>
      </c>
      <c r="AP559" s="87">
        <f t="shared" si="415"/>
        <v>0</v>
      </c>
      <c r="AQ559" s="87">
        <f t="shared" si="416"/>
        <v>0</v>
      </c>
      <c r="AR559" s="81"/>
      <c r="AS559" s="85">
        <f t="shared" si="417"/>
        <v>0</v>
      </c>
      <c r="AT559" s="85">
        <f t="shared" si="418"/>
        <v>0</v>
      </c>
      <c r="AU559" s="85">
        <f t="shared" si="419"/>
        <v>0</v>
      </c>
      <c r="AV559" s="85">
        <f t="shared" si="420"/>
        <v>0</v>
      </c>
      <c r="AW559" s="85">
        <f t="shared" si="421"/>
        <v>0</v>
      </c>
      <c r="AX559" s="85">
        <f t="shared" si="422"/>
        <v>0</v>
      </c>
      <c r="AY559" s="85">
        <f t="shared" si="423"/>
        <v>0</v>
      </c>
      <c r="AZ559" s="85">
        <f t="shared" si="424"/>
        <v>0</v>
      </c>
      <c r="BA559" s="85">
        <f t="shared" si="425"/>
        <v>0</v>
      </c>
      <c r="BB559" s="85">
        <f t="shared" si="426"/>
        <v>0</v>
      </c>
      <c r="BC559" s="85">
        <f t="shared" si="427"/>
        <v>0</v>
      </c>
      <c r="BD559" s="85">
        <f t="shared" si="428"/>
        <v>0</v>
      </c>
      <c r="BE559" s="85">
        <f t="shared" si="429"/>
        <v>0</v>
      </c>
      <c r="BF559" s="85">
        <f t="shared" si="430"/>
        <v>0</v>
      </c>
      <c r="BG559" s="85">
        <f t="shared" si="431"/>
        <v>0</v>
      </c>
      <c r="BH559" s="85">
        <f t="shared" si="432"/>
        <v>0</v>
      </c>
      <c r="BI559" s="85">
        <f t="shared" si="433"/>
        <v>0</v>
      </c>
      <c r="BJ559" s="85">
        <f t="shared" si="434"/>
        <v>0</v>
      </c>
      <c r="BK559" s="85">
        <f t="shared" si="435"/>
        <v>0</v>
      </c>
      <c r="BL559" s="85">
        <f t="shared" si="436"/>
        <v>0</v>
      </c>
      <c r="BM559" s="85">
        <f t="shared" si="437"/>
        <v>0</v>
      </c>
      <c r="BN559" s="85">
        <f t="shared" si="438"/>
        <v>0</v>
      </c>
      <c r="BO559" s="85">
        <f t="shared" si="439"/>
        <v>0</v>
      </c>
      <c r="BP559" s="85">
        <f t="shared" si="440"/>
        <v>0</v>
      </c>
      <c r="BQ559" s="85">
        <f t="shared" si="441"/>
        <v>0</v>
      </c>
      <c r="BR559" s="85">
        <f t="shared" si="442"/>
        <v>0</v>
      </c>
      <c r="BT559" s="63"/>
      <c r="BU559" s="63"/>
      <c r="BV559" s="63"/>
      <c r="BW559" s="63"/>
      <c r="BX559" s="63"/>
      <c r="BY559" s="63"/>
      <c r="BZ559" s="63"/>
      <c r="CA559" s="63"/>
      <c r="CB559" s="63"/>
      <c r="CC559" s="63"/>
      <c r="CD559" s="63"/>
      <c r="CE559" s="63"/>
      <c r="CF559" s="63"/>
      <c r="CG559" s="63"/>
      <c r="CH559" s="63"/>
      <c r="CI559" s="63"/>
      <c r="CJ559" s="63"/>
      <c r="CK559" s="63"/>
      <c r="CL559" s="63"/>
      <c r="CM559" s="63"/>
      <c r="CN559" s="63"/>
      <c r="CO559" s="63"/>
      <c r="CP559" s="63"/>
      <c r="CQ559" s="63"/>
      <c r="CR559" s="63"/>
      <c r="CS559" s="63"/>
      <c r="CX559" s="35" t="s">
        <v>12</v>
      </c>
      <c r="CZ559" s="35"/>
      <c r="DC559" s="57" t="str">
        <f t="shared" si="447"/>
        <v/>
      </c>
      <c r="DD559" s="64" t="str">
        <f t="shared" si="443"/>
        <v/>
      </c>
      <c r="DE559" s="65" t="str">
        <f t="shared" si="444"/>
        <v/>
      </c>
      <c r="DF559" s="66" t="str">
        <f t="shared" si="405"/>
        <v/>
      </c>
    </row>
    <row r="560" spans="2:110">
      <c r="B560" s="54">
        <f t="shared" si="448"/>
        <v>46972</v>
      </c>
      <c r="C560" s="55" t="s">
        <v>1</v>
      </c>
      <c r="D560" s="56">
        <f t="shared" si="449"/>
        <v>46978</v>
      </c>
      <c r="E560" s="52">
        <f t="shared" si="450"/>
        <v>8</v>
      </c>
      <c r="F560" s="53">
        <f t="shared" si="451"/>
        <v>2028</v>
      </c>
      <c r="G560" s="62">
        <f t="shared" si="445"/>
        <v>15</v>
      </c>
      <c r="H560" s="63">
        <f t="shared" si="446"/>
        <v>96</v>
      </c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80"/>
      <c r="AG560" s="87">
        <f t="shared" si="406"/>
        <v>0</v>
      </c>
      <c r="AH560" s="87">
        <f t="shared" si="407"/>
        <v>0</v>
      </c>
      <c r="AI560" s="87">
        <f t="shared" si="408"/>
        <v>0</v>
      </c>
      <c r="AJ560" s="87">
        <f t="shared" si="409"/>
        <v>0</v>
      </c>
      <c r="AK560" s="87">
        <f t="shared" si="410"/>
        <v>0</v>
      </c>
      <c r="AL560" s="87">
        <f t="shared" si="411"/>
        <v>0</v>
      </c>
      <c r="AM560" s="87">
        <f t="shared" si="412"/>
        <v>0</v>
      </c>
      <c r="AN560" s="87">
        <f t="shared" si="413"/>
        <v>0</v>
      </c>
      <c r="AO560" s="87">
        <f t="shared" si="414"/>
        <v>0</v>
      </c>
      <c r="AP560" s="87">
        <f t="shared" si="415"/>
        <v>0</v>
      </c>
      <c r="AQ560" s="87">
        <f t="shared" si="416"/>
        <v>0</v>
      </c>
      <c r="AR560" s="81"/>
      <c r="AS560" s="85">
        <f t="shared" si="417"/>
        <v>0</v>
      </c>
      <c r="AT560" s="85">
        <f t="shared" si="418"/>
        <v>0</v>
      </c>
      <c r="AU560" s="85">
        <f t="shared" si="419"/>
        <v>0</v>
      </c>
      <c r="AV560" s="85">
        <f t="shared" si="420"/>
        <v>0</v>
      </c>
      <c r="AW560" s="85">
        <f t="shared" si="421"/>
        <v>0</v>
      </c>
      <c r="AX560" s="85">
        <f t="shared" si="422"/>
        <v>0</v>
      </c>
      <c r="AY560" s="85">
        <f t="shared" si="423"/>
        <v>0</v>
      </c>
      <c r="AZ560" s="85">
        <f t="shared" si="424"/>
        <v>0</v>
      </c>
      <c r="BA560" s="85">
        <f t="shared" si="425"/>
        <v>0</v>
      </c>
      <c r="BB560" s="85">
        <f t="shared" si="426"/>
        <v>0</v>
      </c>
      <c r="BC560" s="85">
        <f t="shared" si="427"/>
        <v>0</v>
      </c>
      <c r="BD560" s="85">
        <f t="shared" si="428"/>
        <v>0</v>
      </c>
      <c r="BE560" s="85">
        <f t="shared" si="429"/>
        <v>0</v>
      </c>
      <c r="BF560" s="85">
        <f t="shared" si="430"/>
        <v>0</v>
      </c>
      <c r="BG560" s="85">
        <f t="shared" si="431"/>
        <v>0</v>
      </c>
      <c r="BH560" s="85">
        <f t="shared" si="432"/>
        <v>0</v>
      </c>
      <c r="BI560" s="85">
        <f t="shared" si="433"/>
        <v>0</v>
      </c>
      <c r="BJ560" s="85">
        <f t="shared" si="434"/>
        <v>0</v>
      </c>
      <c r="BK560" s="85">
        <f t="shared" si="435"/>
        <v>0</v>
      </c>
      <c r="BL560" s="85">
        <f t="shared" si="436"/>
        <v>0</v>
      </c>
      <c r="BM560" s="85">
        <f t="shared" si="437"/>
        <v>0</v>
      </c>
      <c r="BN560" s="85">
        <f t="shared" si="438"/>
        <v>0</v>
      </c>
      <c r="BO560" s="85">
        <f t="shared" si="439"/>
        <v>0</v>
      </c>
      <c r="BP560" s="85">
        <f t="shared" si="440"/>
        <v>0</v>
      </c>
      <c r="BQ560" s="85">
        <f t="shared" si="441"/>
        <v>0</v>
      </c>
      <c r="BR560" s="85">
        <f t="shared" si="442"/>
        <v>0</v>
      </c>
      <c r="BT560" s="63"/>
      <c r="BU560" s="63"/>
      <c r="BV560" s="63"/>
      <c r="BW560" s="63"/>
      <c r="BX560" s="63"/>
      <c r="BY560" s="63"/>
      <c r="BZ560" s="63"/>
      <c r="CA560" s="63"/>
      <c r="CB560" s="63"/>
      <c r="CC560" s="63"/>
      <c r="CD560" s="63"/>
      <c r="CE560" s="63"/>
      <c r="CF560" s="63"/>
      <c r="CG560" s="63"/>
      <c r="CH560" s="63"/>
      <c r="CI560" s="63"/>
      <c r="CJ560" s="63"/>
      <c r="CK560" s="63"/>
      <c r="CL560" s="63"/>
      <c r="CM560" s="63"/>
      <c r="CN560" s="63"/>
      <c r="CO560" s="63"/>
      <c r="CP560" s="63"/>
      <c r="CQ560" s="63"/>
      <c r="CR560" s="63"/>
      <c r="CS560" s="63"/>
      <c r="CX560" s="35" t="s">
        <v>12</v>
      </c>
      <c r="CZ560" s="35"/>
      <c r="DC560" s="57" t="str">
        <f t="shared" si="447"/>
        <v/>
      </c>
      <c r="DD560" s="64" t="str">
        <f t="shared" si="443"/>
        <v/>
      </c>
      <c r="DE560" s="65" t="str">
        <f t="shared" si="444"/>
        <v/>
      </c>
      <c r="DF560" s="66" t="str">
        <f t="shared" si="405"/>
        <v/>
      </c>
    </row>
    <row r="561" spans="2:110">
      <c r="B561" s="54">
        <f t="shared" si="448"/>
        <v>46979</v>
      </c>
      <c r="C561" s="55" t="s">
        <v>1</v>
      </c>
      <c r="D561" s="56">
        <f t="shared" si="449"/>
        <v>46985</v>
      </c>
      <c r="E561" s="52">
        <f t="shared" si="450"/>
        <v>8</v>
      </c>
      <c r="F561" s="53">
        <f t="shared" si="451"/>
        <v>2028</v>
      </c>
      <c r="G561" s="62">
        <f t="shared" si="445"/>
        <v>15</v>
      </c>
      <c r="H561" s="63">
        <f t="shared" si="446"/>
        <v>96</v>
      </c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80"/>
      <c r="AG561" s="87">
        <f t="shared" si="406"/>
        <v>0</v>
      </c>
      <c r="AH561" s="87">
        <f t="shared" si="407"/>
        <v>0</v>
      </c>
      <c r="AI561" s="87">
        <f t="shared" si="408"/>
        <v>0</v>
      </c>
      <c r="AJ561" s="87">
        <f t="shared" si="409"/>
        <v>0</v>
      </c>
      <c r="AK561" s="87">
        <f t="shared" si="410"/>
        <v>0</v>
      </c>
      <c r="AL561" s="87">
        <f t="shared" si="411"/>
        <v>0</v>
      </c>
      <c r="AM561" s="87">
        <f t="shared" si="412"/>
        <v>0</v>
      </c>
      <c r="AN561" s="87">
        <f t="shared" si="413"/>
        <v>0</v>
      </c>
      <c r="AO561" s="87">
        <f t="shared" si="414"/>
        <v>0</v>
      </c>
      <c r="AP561" s="87">
        <f t="shared" si="415"/>
        <v>0</v>
      </c>
      <c r="AQ561" s="87">
        <f t="shared" si="416"/>
        <v>0</v>
      </c>
      <c r="AR561" s="81"/>
      <c r="AS561" s="85">
        <f t="shared" si="417"/>
        <v>0</v>
      </c>
      <c r="AT561" s="85">
        <f t="shared" si="418"/>
        <v>0</v>
      </c>
      <c r="AU561" s="85">
        <f t="shared" si="419"/>
        <v>0</v>
      </c>
      <c r="AV561" s="85">
        <f t="shared" si="420"/>
        <v>0</v>
      </c>
      <c r="AW561" s="85">
        <f t="shared" si="421"/>
        <v>0</v>
      </c>
      <c r="AX561" s="85">
        <f t="shared" si="422"/>
        <v>0</v>
      </c>
      <c r="AY561" s="85">
        <f t="shared" si="423"/>
        <v>0</v>
      </c>
      <c r="AZ561" s="85">
        <f t="shared" si="424"/>
        <v>0</v>
      </c>
      <c r="BA561" s="85">
        <f t="shared" si="425"/>
        <v>0</v>
      </c>
      <c r="BB561" s="85">
        <f t="shared" si="426"/>
        <v>0</v>
      </c>
      <c r="BC561" s="85">
        <f t="shared" si="427"/>
        <v>0</v>
      </c>
      <c r="BD561" s="85">
        <f t="shared" si="428"/>
        <v>0</v>
      </c>
      <c r="BE561" s="85">
        <f t="shared" si="429"/>
        <v>0</v>
      </c>
      <c r="BF561" s="85">
        <f t="shared" si="430"/>
        <v>0</v>
      </c>
      <c r="BG561" s="85">
        <f t="shared" si="431"/>
        <v>0</v>
      </c>
      <c r="BH561" s="85">
        <f t="shared" si="432"/>
        <v>0</v>
      </c>
      <c r="BI561" s="85">
        <f t="shared" si="433"/>
        <v>0</v>
      </c>
      <c r="BJ561" s="85">
        <f t="shared" si="434"/>
        <v>0</v>
      </c>
      <c r="BK561" s="85">
        <f t="shared" si="435"/>
        <v>0</v>
      </c>
      <c r="BL561" s="85">
        <f t="shared" si="436"/>
        <v>0</v>
      </c>
      <c r="BM561" s="85">
        <f t="shared" si="437"/>
        <v>0</v>
      </c>
      <c r="BN561" s="85">
        <f t="shared" si="438"/>
        <v>0</v>
      </c>
      <c r="BO561" s="85">
        <f t="shared" si="439"/>
        <v>0</v>
      </c>
      <c r="BP561" s="85">
        <f t="shared" si="440"/>
        <v>0</v>
      </c>
      <c r="BQ561" s="85">
        <f t="shared" si="441"/>
        <v>0</v>
      </c>
      <c r="BR561" s="85">
        <f t="shared" si="442"/>
        <v>0</v>
      </c>
      <c r="BT561" s="63"/>
      <c r="BU561" s="63"/>
      <c r="BV561" s="63"/>
      <c r="BW561" s="63"/>
      <c r="BX561" s="63"/>
      <c r="BY561" s="63"/>
      <c r="BZ561" s="63"/>
      <c r="CA561" s="63"/>
      <c r="CB561" s="63"/>
      <c r="CC561" s="63"/>
      <c r="CD561" s="63"/>
      <c r="CE561" s="63"/>
      <c r="CF561" s="63"/>
      <c r="CG561" s="63"/>
      <c r="CH561" s="63"/>
      <c r="CI561" s="63"/>
      <c r="CJ561" s="63"/>
      <c r="CK561" s="63"/>
      <c r="CL561" s="63"/>
      <c r="CM561" s="63"/>
      <c r="CN561" s="63"/>
      <c r="CO561" s="63"/>
      <c r="CP561" s="63"/>
      <c r="CQ561" s="63"/>
      <c r="CR561" s="63"/>
      <c r="CS561" s="63"/>
      <c r="CX561" s="35" t="s">
        <v>12</v>
      </c>
      <c r="CZ561" s="35"/>
      <c r="DC561" s="57" t="str">
        <f t="shared" si="447"/>
        <v/>
      </c>
      <c r="DD561" s="64" t="str">
        <f t="shared" si="443"/>
        <v/>
      </c>
      <c r="DE561" s="65" t="str">
        <f t="shared" si="444"/>
        <v/>
      </c>
      <c r="DF561" s="66" t="str">
        <f t="shared" si="405"/>
        <v/>
      </c>
    </row>
    <row r="562" spans="2:110">
      <c r="B562" s="54">
        <f t="shared" si="448"/>
        <v>46986</v>
      </c>
      <c r="C562" s="55" t="s">
        <v>1</v>
      </c>
      <c r="D562" s="56">
        <f t="shared" si="449"/>
        <v>46992</v>
      </c>
      <c r="E562" s="52">
        <f t="shared" si="450"/>
        <v>8</v>
      </c>
      <c r="F562" s="53">
        <f t="shared" si="451"/>
        <v>2028</v>
      </c>
      <c r="G562" s="62">
        <f t="shared" si="445"/>
        <v>15</v>
      </c>
      <c r="H562" s="63">
        <f t="shared" si="446"/>
        <v>96</v>
      </c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80"/>
      <c r="AG562" s="87">
        <f t="shared" si="406"/>
        <v>0</v>
      </c>
      <c r="AH562" s="87">
        <f t="shared" si="407"/>
        <v>0</v>
      </c>
      <c r="AI562" s="87">
        <f t="shared" si="408"/>
        <v>0</v>
      </c>
      <c r="AJ562" s="87">
        <f t="shared" si="409"/>
        <v>0</v>
      </c>
      <c r="AK562" s="87">
        <f t="shared" si="410"/>
        <v>0</v>
      </c>
      <c r="AL562" s="87">
        <f t="shared" si="411"/>
        <v>0</v>
      </c>
      <c r="AM562" s="87">
        <f t="shared" si="412"/>
        <v>0</v>
      </c>
      <c r="AN562" s="87">
        <f t="shared" si="413"/>
        <v>0</v>
      </c>
      <c r="AO562" s="87">
        <f t="shared" si="414"/>
        <v>0</v>
      </c>
      <c r="AP562" s="87">
        <f t="shared" si="415"/>
        <v>0</v>
      </c>
      <c r="AQ562" s="87">
        <f t="shared" si="416"/>
        <v>0</v>
      </c>
      <c r="AR562" s="81"/>
      <c r="AS562" s="85">
        <f t="shared" si="417"/>
        <v>0</v>
      </c>
      <c r="AT562" s="85">
        <f t="shared" si="418"/>
        <v>0</v>
      </c>
      <c r="AU562" s="85">
        <f t="shared" si="419"/>
        <v>0</v>
      </c>
      <c r="AV562" s="85">
        <f t="shared" si="420"/>
        <v>0</v>
      </c>
      <c r="AW562" s="85">
        <f t="shared" si="421"/>
        <v>0</v>
      </c>
      <c r="AX562" s="85">
        <f t="shared" si="422"/>
        <v>0</v>
      </c>
      <c r="AY562" s="85">
        <f t="shared" si="423"/>
        <v>0</v>
      </c>
      <c r="AZ562" s="85">
        <f t="shared" si="424"/>
        <v>0</v>
      </c>
      <c r="BA562" s="85">
        <f t="shared" si="425"/>
        <v>0</v>
      </c>
      <c r="BB562" s="85">
        <f t="shared" si="426"/>
        <v>0</v>
      </c>
      <c r="BC562" s="85">
        <f t="shared" si="427"/>
        <v>0</v>
      </c>
      <c r="BD562" s="85">
        <f t="shared" si="428"/>
        <v>0</v>
      </c>
      <c r="BE562" s="85">
        <f t="shared" si="429"/>
        <v>0</v>
      </c>
      <c r="BF562" s="85">
        <f t="shared" si="430"/>
        <v>0</v>
      </c>
      <c r="BG562" s="85">
        <f t="shared" si="431"/>
        <v>0</v>
      </c>
      <c r="BH562" s="85">
        <f t="shared" si="432"/>
        <v>0</v>
      </c>
      <c r="BI562" s="85">
        <f t="shared" si="433"/>
        <v>0</v>
      </c>
      <c r="BJ562" s="85">
        <f t="shared" si="434"/>
        <v>0</v>
      </c>
      <c r="BK562" s="85">
        <f t="shared" si="435"/>
        <v>0</v>
      </c>
      <c r="BL562" s="85">
        <f t="shared" si="436"/>
        <v>0</v>
      </c>
      <c r="BM562" s="85">
        <f t="shared" si="437"/>
        <v>0</v>
      </c>
      <c r="BN562" s="85">
        <f t="shared" si="438"/>
        <v>0</v>
      </c>
      <c r="BO562" s="85">
        <f t="shared" si="439"/>
        <v>0</v>
      </c>
      <c r="BP562" s="85">
        <f t="shared" si="440"/>
        <v>0</v>
      </c>
      <c r="BQ562" s="85">
        <f t="shared" si="441"/>
        <v>0</v>
      </c>
      <c r="BR562" s="85">
        <f t="shared" si="442"/>
        <v>0</v>
      </c>
      <c r="BT562" s="63"/>
      <c r="BU562" s="63"/>
      <c r="BV562" s="63"/>
      <c r="BW562" s="63"/>
      <c r="BX562" s="63"/>
      <c r="BY562" s="63"/>
      <c r="BZ562" s="63"/>
      <c r="CA562" s="63"/>
      <c r="CB562" s="63"/>
      <c r="CC562" s="63"/>
      <c r="CD562" s="63"/>
      <c r="CE562" s="63"/>
      <c r="CF562" s="63"/>
      <c r="CG562" s="63"/>
      <c r="CH562" s="63"/>
      <c r="CI562" s="63"/>
      <c r="CJ562" s="63"/>
      <c r="CK562" s="63"/>
      <c r="CL562" s="63"/>
      <c r="CM562" s="63"/>
      <c r="CN562" s="63"/>
      <c r="CO562" s="63"/>
      <c r="CP562" s="63"/>
      <c r="CQ562" s="63"/>
      <c r="CR562" s="63"/>
      <c r="CS562" s="63"/>
      <c r="CX562" s="35" t="s">
        <v>12</v>
      </c>
      <c r="CZ562" s="35"/>
      <c r="DC562" s="57" t="str">
        <f t="shared" si="447"/>
        <v/>
      </c>
      <c r="DD562" s="64" t="str">
        <f t="shared" si="443"/>
        <v/>
      </c>
      <c r="DE562" s="65" t="str">
        <f t="shared" si="444"/>
        <v/>
      </c>
      <c r="DF562" s="66" t="str">
        <f t="shared" si="405"/>
        <v/>
      </c>
    </row>
    <row r="563" spans="2:110">
      <c r="B563" s="54">
        <f t="shared" si="448"/>
        <v>46993</v>
      </c>
      <c r="C563" s="55" t="s">
        <v>1</v>
      </c>
      <c r="D563" s="56">
        <f t="shared" si="449"/>
        <v>46999</v>
      </c>
      <c r="E563" s="52">
        <f t="shared" si="450"/>
        <v>8</v>
      </c>
      <c r="F563" s="53">
        <f t="shared" si="451"/>
        <v>2028</v>
      </c>
      <c r="G563" s="62">
        <f t="shared" si="445"/>
        <v>15</v>
      </c>
      <c r="H563" s="63">
        <f t="shared" si="446"/>
        <v>96</v>
      </c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80"/>
      <c r="AG563" s="87">
        <f t="shared" si="406"/>
        <v>0</v>
      </c>
      <c r="AH563" s="87">
        <f t="shared" si="407"/>
        <v>0</v>
      </c>
      <c r="AI563" s="87">
        <f t="shared" si="408"/>
        <v>0</v>
      </c>
      <c r="AJ563" s="87">
        <f t="shared" si="409"/>
        <v>0</v>
      </c>
      <c r="AK563" s="87">
        <f t="shared" si="410"/>
        <v>0</v>
      </c>
      <c r="AL563" s="87">
        <f t="shared" si="411"/>
        <v>0</v>
      </c>
      <c r="AM563" s="87">
        <f t="shared" si="412"/>
        <v>0</v>
      </c>
      <c r="AN563" s="87">
        <f t="shared" si="413"/>
        <v>0</v>
      </c>
      <c r="AO563" s="87">
        <f t="shared" si="414"/>
        <v>0</v>
      </c>
      <c r="AP563" s="87">
        <f t="shared" si="415"/>
        <v>0</v>
      </c>
      <c r="AQ563" s="87">
        <f t="shared" si="416"/>
        <v>0</v>
      </c>
      <c r="AR563" s="81"/>
      <c r="AS563" s="85">
        <f t="shared" si="417"/>
        <v>0</v>
      </c>
      <c r="AT563" s="85">
        <f t="shared" si="418"/>
        <v>0</v>
      </c>
      <c r="AU563" s="85">
        <f t="shared" si="419"/>
        <v>0</v>
      </c>
      <c r="AV563" s="85">
        <f t="shared" si="420"/>
        <v>0</v>
      </c>
      <c r="AW563" s="85">
        <f t="shared" si="421"/>
        <v>0</v>
      </c>
      <c r="AX563" s="85">
        <f t="shared" si="422"/>
        <v>0</v>
      </c>
      <c r="AY563" s="85">
        <f t="shared" si="423"/>
        <v>0</v>
      </c>
      <c r="AZ563" s="85">
        <f t="shared" si="424"/>
        <v>0</v>
      </c>
      <c r="BA563" s="85">
        <f t="shared" si="425"/>
        <v>0</v>
      </c>
      <c r="BB563" s="85">
        <f t="shared" si="426"/>
        <v>0</v>
      </c>
      <c r="BC563" s="85">
        <f t="shared" si="427"/>
        <v>0</v>
      </c>
      <c r="BD563" s="85">
        <f t="shared" si="428"/>
        <v>0</v>
      </c>
      <c r="BE563" s="85">
        <f t="shared" si="429"/>
        <v>0</v>
      </c>
      <c r="BF563" s="85">
        <f t="shared" si="430"/>
        <v>0</v>
      </c>
      <c r="BG563" s="85">
        <f t="shared" si="431"/>
        <v>0</v>
      </c>
      <c r="BH563" s="85">
        <f t="shared" si="432"/>
        <v>0</v>
      </c>
      <c r="BI563" s="85">
        <f t="shared" si="433"/>
        <v>0</v>
      </c>
      <c r="BJ563" s="85">
        <f t="shared" si="434"/>
        <v>0</v>
      </c>
      <c r="BK563" s="85">
        <f t="shared" si="435"/>
        <v>0</v>
      </c>
      <c r="BL563" s="85">
        <f t="shared" si="436"/>
        <v>0</v>
      </c>
      <c r="BM563" s="85">
        <f t="shared" si="437"/>
        <v>0</v>
      </c>
      <c r="BN563" s="85">
        <f t="shared" si="438"/>
        <v>0</v>
      </c>
      <c r="BO563" s="85">
        <f t="shared" si="439"/>
        <v>0</v>
      </c>
      <c r="BP563" s="85">
        <f t="shared" si="440"/>
        <v>0</v>
      </c>
      <c r="BQ563" s="85">
        <f t="shared" si="441"/>
        <v>0</v>
      </c>
      <c r="BR563" s="85">
        <f t="shared" si="442"/>
        <v>0</v>
      </c>
      <c r="BT563" s="63"/>
      <c r="BU563" s="63"/>
      <c r="BV563" s="63"/>
      <c r="BW563" s="63"/>
      <c r="BX563" s="63"/>
      <c r="BY563" s="63"/>
      <c r="BZ563" s="63"/>
      <c r="CA563" s="63"/>
      <c r="CB563" s="63"/>
      <c r="CC563" s="63"/>
      <c r="CD563" s="63"/>
      <c r="CE563" s="63"/>
      <c r="CF563" s="63"/>
      <c r="CG563" s="63"/>
      <c r="CH563" s="63"/>
      <c r="CI563" s="63"/>
      <c r="CJ563" s="63"/>
      <c r="CK563" s="63"/>
      <c r="CL563" s="63"/>
      <c r="CM563" s="63"/>
      <c r="CN563" s="63"/>
      <c r="CO563" s="63"/>
      <c r="CP563" s="63"/>
      <c r="CQ563" s="63"/>
      <c r="CR563" s="63"/>
      <c r="CS563" s="63"/>
      <c r="CX563" s="35" t="s">
        <v>12</v>
      </c>
      <c r="CZ563" s="35"/>
      <c r="DC563" s="57" t="str">
        <f t="shared" si="447"/>
        <v/>
      </c>
      <c r="DD563" s="64" t="str">
        <f t="shared" si="443"/>
        <v/>
      </c>
      <c r="DE563" s="65" t="str">
        <f t="shared" si="444"/>
        <v/>
      </c>
      <c r="DF563" s="66" t="str">
        <f t="shared" si="405"/>
        <v/>
      </c>
    </row>
    <row r="564" spans="2:110">
      <c r="B564" s="54">
        <f t="shared" si="448"/>
        <v>47000</v>
      </c>
      <c r="C564" s="55" t="s">
        <v>1</v>
      </c>
      <c r="D564" s="56">
        <f t="shared" si="449"/>
        <v>47006</v>
      </c>
      <c r="E564" s="52">
        <f t="shared" si="450"/>
        <v>9</v>
      </c>
      <c r="F564" s="53">
        <f t="shared" si="451"/>
        <v>2028</v>
      </c>
      <c r="G564" s="62">
        <f t="shared" si="445"/>
        <v>15</v>
      </c>
      <c r="H564" s="63">
        <f t="shared" si="446"/>
        <v>96</v>
      </c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80"/>
      <c r="AG564" s="87">
        <f t="shared" si="406"/>
        <v>0</v>
      </c>
      <c r="AH564" s="87">
        <f t="shared" si="407"/>
        <v>0</v>
      </c>
      <c r="AI564" s="87">
        <f t="shared" si="408"/>
        <v>0</v>
      </c>
      <c r="AJ564" s="87">
        <f t="shared" si="409"/>
        <v>0</v>
      </c>
      <c r="AK564" s="87">
        <f t="shared" si="410"/>
        <v>0</v>
      </c>
      <c r="AL564" s="87">
        <f t="shared" si="411"/>
        <v>0</v>
      </c>
      <c r="AM564" s="87">
        <f t="shared" si="412"/>
        <v>0</v>
      </c>
      <c r="AN564" s="87">
        <f t="shared" si="413"/>
        <v>0</v>
      </c>
      <c r="AO564" s="87">
        <f t="shared" si="414"/>
        <v>0</v>
      </c>
      <c r="AP564" s="87">
        <f t="shared" si="415"/>
        <v>0</v>
      </c>
      <c r="AQ564" s="87">
        <f t="shared" si="416"/>
        <v>0</v>
      </c>
      <c r="AR564" s="81"/>
      <c r="AS564" s="85">
        <f t="shared" si="417"/>
        <v>0</v>
      </c>
      <c r="AT564" s="85">
        <f t="shared" si="418"/>
        <v>0</v>
      </c>
      <c r="AU564" s="85">
        <f t="shared" si="419"/>
        <v>0</v>
      </c>
      <c r="AV564" s="85">
        <f t="shared" si="420"/>
        <v>0</v>
      </c>
      <c r="AW564" s="85">
        <f t="shared" si="421"/>
        <v>0</v>
      </c>
      <c r="AX564" s="85">
        <f t="shared" si="422"/>
        <v>0</v>
      </c>
      <c r="AY564" s="85">
        <f t="shared" si="423"/>
        <v>0</v>
      </c>
      <c r="AZ564" s="85">
        <f t="shared" si="424"/>
        <v>0</v>
      </c>
      <c r="BA564" s="85">
        <f t="shared" si="425"/>
        <v>0</v>
      </c>
      <c r="BB564" s="85">
        <f t="shared" si="426"/>
        <v>0</v>
      </c>
      <c r="BC564" s="85">
        <f t="shared" si="427"/>
        <v>0</v>
      </c>
      <c r="BD564" s="85">
        <f t="shared" si="428"/>
        <v>0</v>
      </c>
      <c r="BE564" s="85">
        <f t="shared" si="429"/>
        <v>0</v>
      </c>
      <c r="BF564" s="85">
        <f t="shared" si="430"/>
        <v>0</v>
      </c>
      <c r="BG564" s="85">
        <f t="shared" si="431"/>
        <v>0</v>
      </c>
      <c r="BH564" s="85">
        <f t="shared" si="432"/>
        <v>0</v>
      </c>
      <c r="BI564" s="85">
        <f t="shared" si="433"/>
        <v>0</v>
      </c>
      <c r="BJ564" s="85">
        <f t="shared" si="434"/>
        <v>0</v>
      </c>
      <c r="BK564" s="85">
        <f t="shared" si="435"/>
        <v>0</v>
      </c>
      <c r="BL564" s="85">
        <f t="shared" si="436"/>
        <v>0</v>
      </c>
      <c r="BM564" s="85">
        <f t="shared" si="437"/>
        <v>0</v>
      </c>
      <c r="BN564" s="85">
        <f t="shared" si="438"/>
        <v>0</v>
      </c>
      <c r="BO564" s="85">
        <f t="shared" si="439"/>
        <v>0</v>
      </c>
      <c r="BP564" s="85">
        <f t="shared" si="440"/>
        <v>0</v>
      </c>
      <c r="BQ564" s="85">
        <f t="shared" si="441"/>
        <v>0</v>
      </c>
      <c r="BR564" s="85">
        <f t="shared" si="442"/>
        <v>0</v>
      </c>
      <c r="BT564" s="63"/>
      <c r="BU564" s="63"/>
      <c r="BV564" s="63"/>
      <c r="BW564" s="63"/>
      <c r="BX564" s="63"/>
      <c r="BY564" s="63"/>
      <c r="BZ564" s="63"/>
      <c r="CA564" s="63"/>
      <c r="CB564" s="63"/>
      <c r="CC564" s="63"/>
      <c r="CD564" s="63"/>
      <c r="CE564" s="63"/>
      <c r="CF564" s="63"/>
      <c r="CG564" s="63"/>
      <c r="CH564" s="63"/>
      <c r="CI564" s="63"/>
      <c r="CJ564" s="63"/>
      <c r="CK564" s="63"/>
      <c r="CL564" s="63"/>
      <c r="CM564" s="63"/>
      <c r="CN564" s="63"/>
      <c r="CO564" s="63"/>
      <c r="CP564" s="63"/>
      <c r="CQ564" s="63"/>
      <c r="CR564" s="63"/>
      <c r="CS564" s="63"/>
      <c r="CX564" s="35" t="s">
        <v>12</v>
      </c>
      <c r="CZ564" s="35"/>
      <c r="DC564" s="57" t="str">
        <f t="shared" si="447"/>
        <v/>
      </c>
      <c r="DD564" s="64" t="str">
        <f t="shared" si="443"/>
        <v/>
      </c>
      <c r="DE564" s="65" t="str">
        <f t="shared" si="444"/>
        <v/>
      </c>
      <c r="DF564" s="66" t="str">
        <f t="shared" si="405"/>
        <v/>
      </c>
    </row>
    <row r="565" spans="2:110">
      <c r="B565" s="54">
        <f t="shared" si="448"/>
        <v>47007</v>
      </c>
      <c r="C565" s="55" t="s">
        <v>1</v>
      </c>
      <c r="D565" s="56">
        <f t="shared" si="449"/>
        <v>47013</v>
      </c>
      <c r="E565" s="52">
        <f t="shared" si="450"/>
        <v>9</v>
      </c>
      <c r="F565" s="53">
        <f t="shared" si="451"/>
        <v>2028</v>
      </c>
      <c r="G565" s="62">
        <f t="shared" si="445"/>
        <v>15</v>
      </c>
      <c r="H565" s="63">
        <f t="shared" si="446"/>
        <v>96</v>
      </c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80"/>
      <c r="AG565" s="87">
        <f t="shared" si="406"/>
        <v>0</v>
      </c>
      <c r="AH565" s="87">
        <f t="shared" si="407"/>
        <v>0</v>
      </c>
      <c r="AI565" s="87">
        <f t="shared" si="408"/>
        <v>0</v>
      </c>
      <c r="AJ565" s="87">
        <f t="shared" si="409"/>
        <v>0</v>
      </c>
      <c r="AK565" s="87">
        <f t="shared" si="410"/>
        <v>0</v>
      </c>
      <c r="AL565" s="87">
        <f t="shared" si="411"/>
        <v>0</v>
      </c>
      <c r="AM565" s="87">
        <f t="shared" si="412"/>
        <v>0</v>
      </c>
      <c r="AN565" s="87">
        <f t="shared" si="413"/>
        <v>0</v>
      </c>
      <c r="AO565" s="87">
        <f t="shared" si="414"/>
        <v>0</v>
      </c>
      <c r="AP565" s="87">
        <f t="shared" si="415"/>
        <v>0</v>
      </c>
      <c r="AQ565" s="87">
        <f t="shared" si="416"/>
        <v>0</v>
      </c>
      <c r="AR565" s="81"/>
      <c r="AS565" s="85">
        <f t="shared" si="417"/>
        <v>0</v>
      </c>
      <c r="AT565" s="85">
        <f t="shared" si="418"/>
        <v>0</v>
      </c>
      <c r="AU565" s="85">
        <f t="shared" si="419"/>
        <v>0</v>
      </c>
      <c r="AV565" s="85">
        <f t="shared" si="420"/>
        <v>0</v>
      </c>
      <c r="AW565" s="85">
        <f t="shared" si="421"/>
        <v>0</v>
      </c>
      <c r="AX565" s="85">
        <f t="shared" si="422"/>
        <v>0</v>
      </c>
      <c r="AY565" s="85">
        <f t="shared" si="423"/>
        <v>0</v>
      </c>
      <c r="AZ565" s="85">
        <f t="shared" si="424"/>
        <v>0</v>
      </c>
      <c r="BA565" s="85">
        <f t="shared" si="425"/>
        <v>0</v>
      </c>
      <c r="BB565" s="85">
        <f t="shared" si="426"/>
        <v>0</v>
      </c>
      <c r="BC565" s="85">
        <f t="shared" si="427"/>
        <v>0</v>
      </c>
      <c r="BD565" s="85">
        <f t="shared" si="428"/>
        <v>0</v>
      </c>
      <c r="BE565" s="85">
        <f t="shared" si="429"/>
        <v>0</v>
      </c>
      <c r="BF565" s="85">
        <f t="shared" si="430"/>
        <v>0</v>
      </c>
      <c r="BG565" s="85">
        <f t="shared" si="431"/>
        <v>0</v>
      </c>
      <c r="BH565" s="85">
        <f t="shared" si="432"/>
        <v>0</v>
      </c>
      <c r="BI565" s="85">
        <f t="shared" si="433"/>
        <v>0</v>
      </c>
      <c r="BJ565" s="85">
        <f t="shared" si="434"/>
        <v>0</v>
      </c>
      <c r="BK565" s="85">
        <f t="shared" si="435"/>
        <v>0</v>
      </c>
      <c r="BL565" s="85">
        <f t="shared" si="436"/>
        <v>0</v>
      </c>
      <c r="BM565" s="85">
        <f t="shared" si="437"/>
        <v>0</v>
      </c>
      <c r="BN565" s="85">
        <f t="shared" si="438"/>
        <v>0</v>
      </c>
      <c r="BO565" s="85">
        <f t="shared" si="439"/>
        <v>0</v>
      </c>
      <c r="BP565" s="85">
        <f t="shared" si="440"/>
        <v>0</v>
      </c>
      <c r="BQ565" s="85">
        <f t="shared" si="441"/>
        <v>0</v>
      </c>
      <c r="BR565" s="85">
        <f t="shared" si="442"/>
        <v>0</v>
      </c>
      <c r="BT565" s="63"/>
      <c r="BU565" s="63"/>
      <c r="BV565" s="63"/>
      <c r="BW565" s="63"/>
      <c r="BX565" s="63"/>
      <c r="BY565" s="63"/>
      <c r="BZ565" s="63"/>
      <c r="CA565" s="63"/>
      <c r="CB565" s="63"/>
      <c r="CC565" s="63"/>
      <c r="CD565" s="63"/>
      <c r="CE565" s="63"/>
      <c r="CF565" s="63"/>
      <c r="CG565" s="63"/>
      <c r="CH565" s="63"/>
      <c r="CI565" s="63"/>
      <c r="CJ565" s="63"/>
      <c r="CK565" s="63"/>
      <c r="CL565" s="63"/>
      <c r="CM565" s="63"/>
      <c r="CN565" s="63"/>
      <c r="CO565" s="63"/>
      <c r="CP565" s="63"/>
      <c r="CQ565" s="63"/>
      <c r="CR565" s="63"/>
      <c r="CS565" s="63"/>
      <c r="CX565" s="35" t="s">
        <v>12</v>
      </c>
      <c r="CZ565" s="35"/>
      <c r="DC565" s="57" t="str">
        <f t="shared" si="447"/>
        <v/>
      </c>
      <c r="DD565" s="64" t="str">
        <f t="shared" si="443"/>
        <v/>
      </c>
      <c r="DE565" s="65" t="str">
        <f t="shared" si="444"/>
        <v/>
      </c>
      <c r="DF565" s="66" t="str">
        <f t="shared" si="405"/>
        <v/>
      </c>
    </row>
    <row r="566" spans="2:110">
      <c r="B566" s="54">
        <f t="shared" si="448"/>
        <v>47014</v>
      </c>
      <c r="C566" s="55" t="s">
        <v>1</v>
      </c>
      <c r="D566" s="56">
        <f t="shared" si="449"/>
        <v>47020</v>
      </c>
      <c r="E566" s="52">
        <f t="shared" si="450"/>
        <v>9</v>
      </c>
      <c r="F566" s="53">
        <f t="shared" si="451"/>
        <v>2028</v>
      </c>
      <c r="G566" s="62">
        <f t="shared" si="445"/>
        <v>15</v>
      </c>
      <c r="H566" s="63">
        <f t="shared" si="446"/>
        <v>96</v>
      </c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80"/>
      <c r="AG566" s="87">
        <f t="shared" si="406"/>
        <v>0</v>
      </c>
      <c r="AH566" s="87">
        <f t="shared" si="407"/>
        <v>0</v>
      </c>
      <c r="AI566" s="87">
        <f t="shared" si="408"/>
        <v>0</v>
      </c>
      <c r="AJ566" s="87">
        <f t="shared" si="409"/>
        <v>0</v>
      </c>
      <c r="AK566" s="87">
        <f t="shared" si="410"/>
        <v>0</v>
      </c>
      <c r="AL566" s="87">
        <f t="shared" si="411"/>
        <v>0</v>
      </c>
      <c r="AM566" s="87">
        <f t="shared" si="412"/>
        <v>0</v>
      </c>
      <c r="AN566" s="87">
        <f t="shared" si="413"/>
        <v>0</v>
      </c>
      <c r="AO566" s="87">
        <f t="shared" si="414"/>
        <v>0</v>
      </c>
      <c r="AP566" s="87">
        <f t="shared" si="415"/>
        <v>0</v>
      </c>
      <c r="AQ566" s="87">
        <f t="shared" si="416"/>
        <v>0</v>
      </c>
      <c r="AR566" s="81"/>
      <c r="AS566" s="85">
        <f t="shared" si="417"/>
        <v>0</v>
      </c>
      <c r="AT566" s="85">
        <f t="shared" si="418"/>
        <v>0</v>
      </c>
      <c r="AU566" s="85">
        <f t="shared" si="419"/>
        <v>0</v>
      </c>
      <c r="AV566" s="85">
        <f t="shared" si="420"/>
        <v>0</v>
      </c>
      <c r="AW566" s="85">
        <f t="shared" si="421"/>
        <v>0</v>
      </c>
      <c r="AX566" s="85">
        <f t="shared" si="422"/>
        <v>0</v>
      </c>
      <c r="AY566" s="85">
        <f t="shared" si="423"/>
        <v>0</v>
      </c>
      <c r="AZ566" s="85">
        <f t="shared" si="424"/>
        <v>0</v>
      </c>
      <c r="BA566" s="85">
        <f t="shared" si="425"/>
        <v>0</v>
      </c>
      <c r="BB566" s="85">
        <f t="shared" si="426"/>
        <v>0</v>
      </c>
      <c r="BC566" s="85">
        <f t="shared" si="427"/>
        <v>0</v>
      </c>
      <c r="BD566" s="85">
        <f t="shared" si="428"/>
        <v>0</v>
      </c>
      <c r="BE566" s="85">
        <f t="shared" si="429"/>
        <v>0</v>
      </c>
      <c r="BF566" s="85">
        <f t="shared" si="430"/>
        <v>0</v>
      </c>
      <c r="BG566" s="85">
        <f t="shared" si="431"/>
        <v>0</v>
      </c>
      <c r="BH566" s="85">
        <f t="shared" si="432"/>
        <v>0</v>
      </c>
      <c r="BI566" s="85">
        <f t="shared" si="433"/>
        <v>0</v>
      </c>
      <c r="BJ566" s="85">
        <f t="shared" si="434"/>
        <v>0</v>
      </c>
      <c r="BK566" s="85">
        <f t="shared" si="435"/>
        <v>0</v>
      </c>
      <c r="BL566" s="85">
        <f t="shared" si="436"/>
        <v>0</v>
      </c>
      <c r="BM566" s="85">
        <f t="shared" si="437"/>
        <v>0</v>
      </c>
      <c r="BN566" s="85">
        <f t="shared" si="438"/>
        <v>0</v>
      </c>
      <c r="BO566" s="85">
        <f t="shared" si="439"/>
        <v>0</v>
      </c>
      <c r="BP566" s="85">
        <f t="shared" si="440"/>
        <v>0</v>
      </c>
      <c r="BQ566" s="85">
        <f t="shared" si="441"/>
        <v>0</v>
      </c>
      <c r="BR566" s="85">
        <f t="shared" si="442"/>
        <v>0</v>
      </c>
      <c r="BT566" s="63"/>
      <c r="BU566" s="63"/>
      <c r="BV566" s="63"/>
      <c r="BW566" s="63"/>
      <c r="BX566" s="63"/>
      <c r="BY566" s="63"/>
      <c r="BZ566" s="63"/>
      <c r="CA566" s="63"/>
      <c r="CB566" s="63"/>
      <c r="CC566" s="63"/>
      <c r="CD566" s="63"/>
      <c r="CE566" s="63"/>
      <c r="CF566" s="63"/>
      <c r="CG566" s="63"/>
      <c r="CH566" s="63"/>
      <c r="CI566" s="63"/>
      <c r="CJ566" s="63"/>
      <c r="CK566" s="63"/>
      <c r="CL566" s="63"/>
      <c r="CM566" s="63"/>
      <c r="CN566" s="63"/>
      <c r="CO566" s="63"/>
      <c r="CP566" s="63"/>
      <c r="CQ566" s="63"/>
      <c r="CR566" s="63"/>
      <c r="CS566" s="63"/>
      <c r="CX566" s="35" t="s">
        <v>12</v>
      </c>
      <c r="CZ566" s="35"/>
      <c r="DC566" s="57" t="str">
        <f t="shared" si="447"/>
        <v/>
      </c>
      <c r="DD566" s="64" t="str">
        <f t="shared" si="443"/>
        <v/>
      </c>
      <c r="DE566" s="65" t="str">
        <f t="shared" si="444"/>
        <v/>
      </c>
      <c r="DF566" s="66" t="str">
        <f t="shared" si="405"/>
        <v/>
      </c>
    </row>
    <row r="567" spans="2:110">
      <c r="B567" s="54">
        <f t="shared" si="448"/>
        <v>47021</v>
      </c>
      <c r="C567" s="55" t="s">
        <v>1</v>
      </c>
      <c r="D567" s="56">
        <f t="shared" si="449"/>
        <v>47027</v>
      </c>
      <c r="E567" s="52">
        <f t="shared" si="450"/>
        <v>9</v>
      </c>
      <c r="F567" s="53">
        <f t="shared" si="451"/>
        <v>2028</v>
      </c>
      <c r="G567" s="62">
        <f t="shared" si="445"/>
        <v>15</v>
      </c>
      <c r="H567" s="63">
        <f t="shared" si="446"/>
        <v>96</v>
      </c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80"/>
      <c r="AG567" s="87">
        <f t="shared" si="406"/>
        <v>0</v>
      </c>
      <c r="AH567" s="87">
        <f t="shared" si="407"/>
        <v>0</v>
      </c>
      <c r="AI567" s="87">
        <f t="shared" si="408"/>
        <v>0</v>
      </c>
      <c r="AJ567" s="87">
        <f t="shared" si="409"/>
        <v>0</v>
      </c>
      <c r="AK567" s="87">
        <f t="shared" si="410"/>
        <v>0</v>
      </c>
      <c r="AL567" s="87">
        <f t="shared" si="411"/>
        <v>0</v>
      </c>
      <c r="AM567" s="87">
        <f t="shared" si="412"/>
        <v>0</v>
      </c>
      <c r="AN567" s="87">
        <f t="shared" si="413"/>
        <v>0</v>
      </c>
      <c r="AO567" s="87">
        <f t="shared" si="414"/>
        <v>0</v>
      </c>
      <c r="AP567" s="87">
        <f t="shared" si="415"/>
        <v>0</v>
      </c>
      <c r="AQ567" s="87">
        <f t="shared" si="416"/>
        <v>0</v>
      </c>
      <c r="AR567" s="81"/>
      <c r="AS567" s="85">
        <f t="shared" si="417"/>
        <v>0</v>
      </c>
      <c r="AT567" s="85">
        <f t="shared" si="418"/>
        <v>0</v>
      </c>
      <c r="AU567" s="85">
        <f t="shared" si="419"/>
        <v>0</v>
      </c>
      <c r="AV567" s="85">
        <f t="shared" si="420"/>
        <v>0</v>
      </c>
      <c r="AW567" s="85">
        <f t="shared" si="421"/>
        <v>0</v>
      </c>
      <c r="AX567" s="85">
        <f t="shared" si="422"/>
        <v>0</v>
      </c>
      <c r="AY567" s="85">
        <f t="shared" si="423"/>
        <v>0</v>
      </c>
      <c r="AZ567" s="85">
        <f t="shared" si="424"/>
        <v>0</v>
      </c>
      <c r="BA567" s="85">
        <f t="shared" si="425"/>
        <v>0</v>
      </c>
      <c r="BB567" s="85">
        <f t="shared" si="426"/>
        <v>0</v>
      </c>
      <c r="BC567" s="85">
        <f t="shared" si="427"/>
        <v>0</v>
      </c>
      <c r="BD567" s="85">
        <f t="shared" si="428"/>
        <v>0</v>
      </c>
      <c r="BE567" s="85">
        <f t="shared" si="429"/>
        <v>0</v>
      </c>
      <c r="BF567" s="85">
        <f t="shared" si="430"/>
        <v>0</v>
      </c>
      <c r="BG567" s="85">
        <f t="shared" si="431"/>
        <v>0</v>
      </c>
      <c r="BH567" s="85">
        <f t="shared" si="432"/>
        <v>0</v>
      </c>
      <c r="BI567" s="85">
        <f t="shared" si="433"/>
        <v>0</v>
      </c>
      <c r="BJ567" s="85">
        <f t="shared" si="434"/>
        <v>0</v>
      </c>
      <c r="BK567" s="85">
        <f t="shared" si="435"/>
        <v>0</v>
      </c>
      <c r="BL567" s="85">
        <f t="shared" si="436"/>
        <v>0</v>
      </c>
      <c r="BM567" s="85">
        <f t="shared" si="437"/>
        <v>0</v>
      </c>
      <c r="BN567" s="85">
        <f t="shared" si="438"/>
        <v>0</v>
      </c>
      <c r="BO567" s="85">
        <f t="shared" si="439"/>
        <v>0</v>
      </c>
      <c r="BP567" s="85">
        <f t="shared" si="440"/>
        <v>0</v>
      </c>
      <c r="BQ567" s="85">
        <f t="shared" si="441"/>
        <v>0</v>
      </c>
      <c r="BR567" s="85">
        <f t="shared" si="442"/>
        <v>0</v>
      </c>
      <c r="BT567" s="63"/>
      <c r="BU567" s="63"/>
      <c r="BV567" s="63"/>
      <c r="BW567" s="63"/>
      <c r="BX567" s="63"/>
      <c r="BY567" s="63"/>
      <c r="BZ567" s="63"/>
      <c r="CA567" s="63"/>
      <c r="CB567" s="63"/>
      <c r="CC567" s="63"/>
      <c r="CD567" s="63"/>
      <c r="CE567" s="63"/>
      <c r="CF567" s="63"/>
      <c r="CG567" s="63"/>
      <c r="CH567" s="63"/>
      <c r="CI567" s="63"/>
      <c r="CJ567" s="63"/>
      <c r="CK567" s="63"/>
      <c r="CL567" s="63"/>
      <c r="CM567" s="63"/>
      <c r="CN567" s="63"/>
      <c r="CO567" s="63"/>
      <c r="CP567" s="63"/>
      <c r="CQ567" s="63"/>
      <c r="CR567" s="63"/>
      <c r="CS567" s="63"/>
      <c r="CX567" s="35" t="s">
        <v>12</v>
      </c>
      <c r="CZ567" s="35"/>
      <c r="DC567" s="57" t="str">
        <f t="shared" si="447"/>
        <v/>
      </c>
      <c r="DD567" s="64" t="str">
        <f t="shared" si="443"/>
        <v/>
      </c>
      <c r="DE567" s="65" t="str">
        <f t="shared" si="444"/>
        <v/>
      </c>
      <c r="DF567" s="66" t="str">
        <f t="shared" ref="DF567:DF630" si="452">IF(AND(AS582&gt;0,AS581=0),$AS$1,IF(AND(AT582&gt;0,AT581=0),$AT$1,IF(AND(AU582&gt;0,AU581=0),$AU$1,IF(AND(AV582&gt;0,AV581=0),$AV$1,IF(AND(AW582&gt;0,AW581=0),$AW$1,IF(AND(AX582&gt;0,AX581=0),$AX$1,IF(AND(AY582&gt;0,AY581=0),$AY$1,IF(AND(AZ582&gt;0,AZ581=0),$AZ$1,IF(AND(BA582&gt;0,BA581=0),$BA$1,IF(AND(BB582&gt;0,BB581=0),$BB$1,IF(AND(BC582&gt;0,BC581=0),$BC$1,IF(AND(BD582&gt;0,BD581=0),$BD$1,IF(AND(BE582&gt;0,BE581=0),$BE$1,IF(AND(BF582&gt;0,BF581=0),$BF$1,IF(AND(BG582&gt;0,BG581=0),$BG$1,IF(AND(BH582&gt;0,BH581=0),$BH$1,IF(AND(BI582&gt;0,BI581=0),$BI$1,IF(AND(BJ582&gt;0,BJ581=0),$BJ$1,IF(AND(BK582&gt;0,BK581=0),$BK$1,IF(AND(BL582&gt;0,BL581=0),$BL$1,IF(AND(BM582&gt;0,BM581=0),$BM$1,IF(AND(BN582&gt;0,BN581=0),$BN$1,IF(AND(BO582&gt;0,BO581=0),$BO$1,IF(AND(BP582&gt;0,BP581=0),$BP$1,IF(AND(BQ582&gt;0,BQ581=0),$BQ$1,IF(AND(BR582&gt;0,BR581=0),$BQ$1,""))))))))))))))))&amp;(IF(COUNTA(BT582:CS582)&gt;1," ["&amp;COUNTA(BT582:CS582)&amp;"]",""))))))))))))</f>
        <v/>
      </c>
    </row>
    <row r="568" spans="2:110">
      <c r="B568" s="54">
        <f t="shared" si="448"/>
        <v>47028</v>
      </c>
      <c r="C568" s="55" t="s">
        <v>1</v>
      </c>
      <c r="D568" s="56">
        <f t="shared" si="449"/>
        <v>47034</v>
      </c>
      <c r="E568" s="52">
        <f t="shared" si="450"/>
        <v>10</v>
      </c>
      <c r="F568" s="53">
        <f t="shared" si="451"/>
        <v>2028</v>
      </c>
      <c r="G568" s="62">
        <f t="shared" si="445"/>
        <v>15</v>
      </c>
      <c r="H568" s="63">
        <f t="shared" si="446"/>
        <v>96</v>
      </c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80"/>
      <c r="AG568" s="87">
        <f t="shared" si="406"/>
        <v>0</v>
      </c>
      <c r="AH568" s="87">
        <f t="shared" si="407"/>
        <v>0</v>
      </c>
      <c r="AI568" s="87">
        <f t="shared" si="408"/>
        <v>0</v>
      </c>
      <c r="AJ568" s="87">
        <f t="shared" si="409"/>
        <v>0</v>
      </c>
      <c r="AK568" s="87">
        <f t="shared" si="410"/>
        <v>0</v>
      </c>
      <c r="AL568" s="87">
        <f t="shared" si="411"/>
        <v>0</v>
      </c>
      <c r="AM568" s="87">
        <f t="shared" si="412"/>
        <v>0</v>
      </c>
      <c r="AN568" s="87">
        <f t="shared" si="413"/>
        <v>0</v>
      </c>
      <c r="AO568" s="87">
        <f t="shared" si="414"/>
        <v>0</v>
      </c>
      <c r="AP568" s="87">
        <f t="shared" si="415"/>
        <v>0</v>
      </c>
      <c r="AQ568" s="87">
        <f t="shared" si="416"/>
        <v>0</v>
      </c>
      <c r="AR568" s="81"/>
      <c r="AS568" s="85">
        <f t="shared" si="417"/>
        <v>0</v>
      </c>
      <c r="AT568" s="85">
        <f t="shared" si="418"/>
        <v>0</v>
      </c>
      <c r="AU568" s="85">
        <f t="shared" si="419"/>
        <v>0</v>
      </c>
      <c r="AV568" s="85">
        <f t="shared" si="420"/>
        <v>0</v>
      </c>
      <c r="AW568" s="85">
        <f t="shared" si="421"/>
        <v>0</v>
      </c>
      <c r="AX568" s="85">
        <f t="shared" si="422"/>
        <v>0</v>
      </c>
      <c r="AY568" s="85">
        <f t="shared" si="423"/>
        <v>0</v>
      </c>
      <c r="AZ568" s="85">
        <f t="shared" si="424"/>
        <v>0</v>
      </c>
      <c r="BA568" s="85">
        <f t="shared" si="425"/>
        <v>0</v>
      </c>
      <c r="BB568" s="85">
        <f t="shared" si="426"/>
        <v>0</v>
      </c>
      <c r="BC568" s="85">
        <f t="shared" si="427"/>
        <v>0</v>
      </c>
      <c r="BD568" s="85">
        <f t="shared" si="428"/>
        <v>0</v>
      </c>
      <c r="BE568" s="85">
        <f t="shared" si="429"/>
        <v>0</v>
      </c>
      <c r="BF568" s="85">
        <f t="shared" si="430"/>
        <v>0</v>
      </c>
      <c r="BG568" s="85">
        <f t="shared" si="431"/>
        <v>0</v>
      </c>
      <c r="BH568" s="85">
        <f t="shared" si="432"/>
        <v>0</v>
      </c>
      <c r="BI568" s="85">
        <f t="shared" si="433"/>
        <v>0</v>
      </c>
      <c r="BJ568" s="85">
        <f t="shared" si="434"/>
        <v>0</v>
      </c>
      <c r="BK568" s="85">
        <f t="shared" si="435"/>
        <v>0</v>
      </c>
      <c r="BL568" s="85">
        <f t="shared" si="436"/>
        <v>0</v>
      </c>
      <c r="BM568" s="85">
        <f t="shared" si="437"/>
        <v>0</v>
      </c>
      <c r="BN568" s="85">
        <f t="shared" si="438"/>
        <v>0</v>
      </c>
      <c r="BO568" s="85">
        <f t="shared" si="439"/>
        <v>0</v>
      </c>
      <c r="BP568" s="85">
        <f t="shared" si="440"/>
        <v>0</v>
      </c>
      <c r="BQ568" s="85">
        <f t="shared" si="441"/>
        <v>0</v>
      </c>
      <c r="BR568" s="85">
        <f t="shared" si="442"/>
        <v>0</v>
      </c>
      <c r="BT568" s="63"/>
      <c r="BU568" s="63"/>
      <c r="BV568" s="63"/>
      <c r="BW568" s="63"/>
      <c r="BX568" s="63"/>
      <c r="BY568" s="63"/>
      <c r="BZ568" s="63"/>
      <c r="CA568" s="63"/>
      <c r="CB568" s="63"/>
      <c r="CC568" s="63"/>
      <c r="CD568" s="63"/>
      <c r="CE568" s="63"/>
      <c r="CF568" s="63"/>
      <c r="CG568" s="63"/>
      <c r="CH568" s="63"/>
      <c r="CI568" s="63"/>
      <c r="CJ568" s="63"/>
      <c r="CK568" s="63"/>
      <c r="CL568" s="63"/>
      <c r="CM568" s="63"/>
      <c r="CN568" s="63"/>
      <c r="CO568" s="63"/>
      <c r="CP568" s="63"/>
      <c r="CQ568" s="63"/>
      <c r="CR568" s="63"/>
      <c r="CS568" s="63"/>
      <c r="CX568" s="35" t="s">
        <v>12</v>
      </c>
      <c r="CZ568" s="35"/>
      <c r="DC568" s="57" t="str">
        <f t="shared" si="447"/>
        <v/>
      </c>
      <c r="DD568" s="64" t="str">
        <f t="shared" si="443"/>
        <v/>
      </c>
      <c r="DE568" s="65" t="str">
        <f t="shared" si="444"/>
        <v/>
      </c>
      <c r="DF568" s="66" t="str">
        <f t="shared" si="452"/>
        <v/>
      </c>
    </row>
    <row r="569" spans="2:110">
      <c r="B569" s="54">
        <f t="shared" si="448"/>
        <v>47035</v>
      </c>
      <c r="C569" s="55" t="s">
        <v>1</v>
      </c>
      <c r="D569" s="56">
        <f t="shared" si="449"/>
        <v>47041</v>
      </c>
      <c r="E569" s="52">
        <f t="shared" si="450"/>
        <v>10</v>
      </c>
      <c r="F569" s="53">
        <f t="shared" si="451"/>
        <v>2028</v>
      </c>
      <c r="G569" s="62">
        <f t="shared" si="445"/>
        <v>15</v>
      </c>
      <c r="H569" s="63">
        <f t="shared" si="446"/>
        <v>96</v>
      </c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80"/>
      <c r="AG569" s="87">
        <f t="shared" si="406"/>
        <v>0</v>
      </c>
      <c r="AH569" s="87">
        <f t="shared" si="407"/>
        <v>0</v>
      </c>
      <c r="AI569" s="87">
        <f t="shared" si="408"/>
        <v>0</v>
      </c>
      <c r="AJ569" s="87">
        <f t="shared" si="409"/>
        <v>0</v>
      </c>
      <c r="AK569" s="87">
        <f t="shared" si="410"/>
        <v>0</v>
      </c>
      <c r="AL569" s="87">
        <f t="shared" si="411"/>
        <v>0</v>
      </c>
      <c r="AM569" s="87">
        <f t="shared" si="412"/>
        <v>0</v>
      </c>
      <c r="AN569" s="87">
        <f t="shared" si="413"/>
        <v>0</v>
      </c>
      <c r="AO569" s="87">
        <f t="shared" si="414"/>
        <v>0</v>
      </c>
      <c r="AP569" s="87">
        <f t="shared" si="415"/>
        <v>0</v>
      </c>
      <c r="AQ569" s="87">
        <f t="shared" si="416"/>
        <v>0</v>
      </c>
      <c r="AR569" s="81"/>
      <c r="AS569" s="85">
        <f t="shared" si="417"/>
        <v>0</v>
      </c>
      <c r="AT569" s="85">
        <f t="shared" si="418"/>
        <v>0</v>
      </c>
      <c r="AU569" s="85">
        <f t="shared" si="419"/>
        <v>0</v>
      </c>
      <c r="AV569" s="85">
        <f t="shared" si="420"/>
        <v>0</v>
      </c>
      <c r="AW569" s="85">
        <f t="shared" si="421"/>
        <v>0</v>
      </c>
      <c r="AX569" s="85">
        <f t="shared" si="422"/>
        <v>0</v>
      </c>
      <c r="AY569" s="85">
        <f t="shared" si="423"/>
        <v>0</v>
      </c>
      <c r="AZ569" s="85">
        <f t="shared" si="424"/>
        <v>0</v>
      </c>
      <c r="BA569" s="85">
        <f t="shared" si="425"/>
        <v>0</v>
      </c>
      <c r="BB569" s="85">
        <f t="shared" si="426"/>
        <v>0</v>
      </c>
      <c r="BC569" s="85">
        <f t="shared" si="427"/>
        <v>0</v>
      </c>
      <c r="BD569" s="85">
        <f t="shared" si="428"/>
        <v>0</v>
      </c>
      <c r="BE569" s="85">
        <f t="shared" si="429"/>
        <v>0</v>
      </c>
      <c r="BF569" s="85">
        <f t="shared" si="430"/>
        <v>0</v>
      </c>
      <c r="BG569" s="85">
        <f t="shared" si="431"/>
        <v>0</v>
      </c>
      <c r="BH569" s="85">
        <f t="shared" si="432"/>
        <v>0</v>
      </c>
      <c r="BI569" s="85">
        <f t="shared" si="433"/>
        <v>0</v>
      </c>
      <c r="BJ569" s="85">
        <f t="shared" si="434"/>
        <v>0</v>
      </c>
      <c r="BK569" s="85">
        <f t="shared" si="435"/>
        <v>0</v>
      </c>
      <c r="BL569" s="85">
        <f t="shared" si="436"/>
        <v>0</v>
      </c>
      <c r="BM569" s="85">
        <f t="shared" si="437"/>
        <v>0</v>
      </c>
      <c r="BN569" s="85">
        <f t="shared" si="438"/>
        <v>0</v>
      </c>
      <c r="BO569" s="85">
        <f t="shared" si="439"/>
        <v>0</v>
      </c>
      <c r="BP569" s="85">
        <f t="shared" si="440"/>
        <v>0</v>
      </c>
      <c r="BQ569" s="85">
        <f t="shared" si="441"/>
        <v>0</v>
      </c>
      <c r="BR569" s="85">
        <f t="shared" si="442"/>
        <v>0</v>
      </c>
      <c r="BT569" s="63"/>
      <c r="BU569" s="63"/>
      <c r="BV569" s="63"/>
      <c r="BW569" s="63"/>
      <c r="BX569" s="63"/>
      <c r="BY569" s="63"/>
      <c r="BZ569" s="63"/>
      <c r="CA569" s="63"/>
      <c r="CB569" s="63"/>
      <c r="CC569" s="63"/>
      <c r="CD569" s="63"/>
      <c r="CE569" s="63"/>
      <c r="CF569" s="63"/>
      <c r="CG569" s="63"/>
      <c r="CH569" s="63"/>
      <c r="CI569" s="63"/>
      <c r="CJ569" s="63"/>
      <c r="CK569" s="63"/>
      <c r="CL569" s="63"/>
      <c r="CM569" s="63"/>
      <c r="CN569" s="63"/>
      <c r="CO569" s="63"/>
      <c r="CP569" s="63"/>
      <c r="CQ569" s="63"/>
      <c r="CR569" s="63"/>
      <c r="CS569" s="63"/>
      <c r="CX569" s="35" t="s">
        <v>12</v>
      </c>
      <c r="CZ569" s="35"/>
      <c r="DC569" s="57" t="str">
        <f t="shared" si="447"/>
        <v/>
      </c>
      <c r="DD569" s="64" t="str">
        <f t="shared" si="443"/>
        <v/>
      </c>
      <c r="DE569" s="65" t="str">
        <f t="shared" si="444"/>
        <v/>
      </c>
      <c r="DF569" s="66" t="str">
        <f t="shared" si="452"/>
        <v/>
      </c>
    </row>
    <row r="570" spans="2:110">
      <c r="B570" s="54">
        <f t="shared" si="448"/>
        <v>47042</v>
      </c>
      <c r="C570" s="55" t="s">
        <v>1</v>
      </c>
      <c r="D570" s="56">
        <f t="shared" si="449"/>
        <v>47048</v>
      </c>
      <c r="E570" s="52">
        <f t="shared" si="450"/>
        <v>10</v>
      </c>
      <c r="F570" s="53">
        <f t="shared" si="451"/>
        <v>2028</v>
      </c>
      <c r="G570" s="62">
        <f t="shared" si="445"/>
        <v>15</v>
      </c>
      <c r="H570" s="63">
        <f t="shared" si="446"/>
        <v>96</v>
      </c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80"/>
      <c r="AG570" s="87">
        <f t="shared" si="406"/>
        <v>0</v>
      </c>
      <c r="AH570" s="87">
        <f t="shared" si="407"/>
        <v>0</v>
      </c>
      <c r="AI570" s="87">
        <f t="shared" si="408"/>
        <v>0</v>
      </c>
      <c r="AJ570" s="87">
        <f t="shared" si="409"/>
        <v>0</v>
      </c>
      <c r="AK570" s="87">
        <f t="shared" si="410"/>
        <v>0</v>
      </c>
      <c r="AL570" s="87">
        <f t="shared" si="411"/>
        <v>0</v>
      </c>
      <c r="AM570" s="87">
        <f t="shared" si="412"/>
        <v>0</v>
      </c>
      <c r="AN570" s="87">
        <f t="shared" si="413"/>
        <v>0</v>
      </c>
      <c r="AO570" s="87">
        <f t="shared" si="414"/>
        <v>0</v>
      </c>
      <c r="AP570" s="87">
        <f t="shared" si="415"/>
        <v>0</v>
      </c>
      <c r="AQ570" s="87">
        <f t="shared" si="416"/>
        <v>0</v>
      </c>
      <c r="AR570" s="81"/>
      <c r="AS570" s="85">
        <f t="shared" si="417"/>
        <v>0</v>
      </c>
      <c r="AT570" s="85">
        <f t="shared" si="418"/>
        <v>0</v>
      </c>
      <c r="AU570" s="85">
        <f t="shared" si="419"/>
        <v>0</v>
      </c>
      <c r="AV570" s="85">
        <f t="shared" si="420"/>
        <v>0</v>
      </c>
      <c r="AW570" s="85">
        <f t="shared" si="421"/>
        <v>0</v>
      </c>
      <c r="AX570" s="85">
        <f t="shared" si="422"/>
        <v>0</v>
      </c>
      <c r="AY570" s="85">
        <f t="shared" si="423"/>
        <v>0</v>
      </c>
      <c r="AZ570" s="85">
        <f t="shared" si="424"/>
        <v>0</v>
      </c>
      <c r="BA570" s="85">
        <f t="shared" si="425"/>
        <v>0</v>
      </c>
      <c r="BB570" s="85">
        <f t="shared" si="426"/>
        <v>0</v>
      </c>
      <c r="BC570" s="85">
        <f t="shared" si="427"/>
        <v>0</v>
      </c>
      <c r="BD570" s="85">
        <f t="shared" si="428"/>
        <v>0</v>
      </c>
      <c r="BE570" s="85">
        <f t="shared" si="429"/>
        <v>0</v>
      </c>
      <c r="BF570" s="85">
        <f t="shared" si="430"/>
        <v>0</v>
      </c>
      <c r="BG570" s="85">
        <f t="shared" si="431"/>
        <v>0</v>
      </c>
      <c r="BH570" s="85">
        <f t="shared" si="432"/>
        <v>0</v>
      </c>
      <c r="BI570" s="85">
        <f t="shared" si="433"/>
        <v>0</v>
      </c>
      <c r="BJ570" s="85">
        <f t="shared" si="434"/>
        <v>0</v>
      </c>
      <c r="BK570" s="85">
        <f t="shared" si="435"/>
        <v>0</v>
      </c>
      <c r="BL570" s="85">
        <f t="shared" si="436"/>
        <v>0</v>
      </c>
      <c r="BM570" s="85">
        <f t="shared" si="437"/>
        <v>0</v>
      </c>
      <c r="BN570" s="85">
        <f t="shared" si="438"/>
        <v>0</v>
      </c>
      <c r="BO570" s="85">
        <f t="shared" si="439"/>
        <v>0</v>
      </c>
      <c r="BP570" s="85">
        <f t="shared" si="440"/>
        <v>0</v>
      </c>
      <c r="BQ570" s="85">
        <f t="shared" si="441"/>
        <v>0</v>
      </c>
      <c r="BR570" s="85">
        <f t="shared" si="442"/>
        <v>0</v>
      </c>
      <c r="BT570" s="63"/>
      <c r="BU570" s="63"/>
      <c r="BV570" s="63"/>
      <c r="BW570" s="63"/>
      <c r="BX570" s="63"/>
      <c r="BY570" s="63"/>
      <c r="BZ570" s="63"/>
      <c r="CA570" s="63"/>
      <c r="CB570" s="63"/>
      <c r="CC570" s="63"/>
      <c r="CD570" s="63"/>
      <c r="CE570" s="63"/>
      <c r="CF570" s="63"/>
      <c r="CG570" s="63"/>
      <c r="CH570" s="63"/>
      <c r="CI570" s="63"/>
      <c r="CJ570" s="63"/>
      <c r="CK570" s="63"/>
      <c r="CL570" s="63"/>
      <c r="CM570" s="63"/>
      <c r="CN570" s="63"/>
      <c r="CO570" s="63"/>
      <c r="CP570" s="63"/>
      <c r="CQ570" s="63"/>
      <c r="CR570" s="63"/>
      <c r="CS570" s="63"/>
      <c r="CX570" s="35" t="s">
        <v>12</v>
      </c>
      <c r="CZ570" s="35"/>
      <c r="DC570" s="57" t="str">
        <f t="shared" si="447"/>
        <v/>
      </c>
      <c r="DD570" s="64" t="str">
        <f t="shared" si="443"/>
        <v/>
      </c>
      <c r="DE570" s="65" t="str">
        <f t="shared" si="444"/>
        <v/>
      </c>
      <c r="DF570" s="66" t="str">
        <f t="shared" si="452"/>
        <v/>
      </c>
    </row>
    <row r="571" spans="2:110">
      <c r="B571" s="54">
        <f t="shared" si="448"/>
        <v>47049</v>
      </c>
      <c r="C571" s="55" t="s">
        <v>1</v>
      </c>
      <c r="D571" s="56">
        <f t="shared" si="449"/>
        <v>47055</v>
      </c>
      <c r="E571" s="52">
        <f t="shared" si="450"/>
        <v>10</v>
      </c>
      <c r="F571" s="53">
        <f t="shared" si="451"/>
        <v>2028</v>
      </c>
      <c r="G571" s="62">
        <f t="shared" si="445"/>
        <v>15</v>
      </c>
      <c r="H571" s="63">
        <f t="shared" si="446"/>
        <v>96</v>
      </c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80"/>
      <c r="AG571" s="87">
        <f t="shared" si="406"/>
        <v>0</v>
      </c>
      <c r="AH571" s="87">
        <f t="shared" si="407"/>
        <v>0</v>
      </c>
      <c r="AI571" s="87">
        <f t="shared" si="408"/>
        <v>0</v>
      </c>
      <c r="AJ571" s="87">
        <f t="shared" si="409"/>
        <v>0</v>
      </c>
      <c r="AK571" s="87">
        <f t="shared" si="410"/>
        <v>0</v>
      </c>
      <c r="AL571" s="87">
        <f t="shared" si="411"/>
        <v>0</v>
      </c>
      <c r="AM571" s="87">
        <f t="shared" si="412"/>
        <v>0</v>
      </c>
      <c r="AN571" s="87">
        <f t="shared" si="413"/>
        <v>0</v>
      </c>
      <c r="AO571" s="87">
        <f t="shared" si="414"/>
        <v>0</v>
      </c>
      <c r="AP571" s="87">
        <f t="shared" si="415"/>
        <v>0</v>
      </c>
      <c r="AQ571" s="87">
        <f t="shared" si="416"/>
        <v>0</v>
      </c>
      <c r="AR571" s="81"/>
      <c r="AS571" s="85">
        <f t="shared" si="417"/>
        <v>0</v>
      </c>
      <c r="AT571" s="85">
        <f t="shared" si="418"/>
        <v>0</v>
      </c>
      <c r="AU571" s="85">
        <f t="shared" si="419"/>
        <v>0</v>
      </c>
      <c r="AV571" s="85">
        <f t="shared" si="420"/>
        <v>0</v>
      </c>
      <c r="AW571" s="85">
        <f t="shared" si="421"/>
        <v>0</v>
      </c>
      <c r="AX571" s="85">
        <f t="shared" si="422"/>
        <v>0</v>
      </c>
      <c r="AY571" s="85">
        <f t="shared" si="423"/>
        <v>0</v>
      </c>
      <c r="AZ571" s="85">
        <f t="shared" si="424"/>
        <v>0</v>
      </c>
      <c r="BA571" s="85">
        <f t="shared" si="425"/>
        <v>0</v>
      </c>
      <c r="BB571" s="85">
        <f t="shared" si="426"/>
        <v>0</v>
      </c>
      <c r="BC571" s="85">
        <f t="shared" si="427"/>
        <v>0</v>
      </c>
      <c r="BD571" s="85">
        <f t="shared" si="428"/>
        <v>0</v>
      </c>
      <c r="BE571" s="85">
        <f t="shared" si="429"/>
        <v>0</v>
      </c>
      <c r="BF571" s="85">
        <f t="shared" si="430"/>
        <v>0</v>
      </c>
      <c r="BG571" s="85">
        <f t="shared" si="431"/>
        <v>0</v>
      </c>
      <c r="BH571" s="85">
        <f t="shared" si="432"/>
        <v>0</v>
      </c>
      <c r="BI571" s="85">
        <f t="shared" si="433"/>
        <v>0</v>
      </c>
      <c r="BJ571" s="85">
        <f t="shared" si="434"/>
        <v>0</v>
      </c>
      <c r="BK571" s="85">
        <f t="shared" si="435"/>
        <v>0</v>
      </c>
      <c r="BL571" s="85">
        <f t="shared" si="436"/>
        <v>0</v>
      </c>
      <c r="BM571" s="85">
        <f t="shared" si="437"/>
        <v>0</v>
      </c>
      <c r="BN571" s="85">
        <f t="shared" si="438"/>
        <v>0</v>
      </c>
      <c r="BO571" s="85">
        <f t="shared" si="439"/>
        <v>0</v>
      </c>
      <c r="BP571" s="85">
        <f t="shared" si="440"/>
        <v>0</v>
      </c>
      <c r="BQ571" s="85">
        <f t="shared" si="441"/>
        <v>0</v>
      </c>
      <c r="BR571" s="85">
        <f t="shared" si="442"/>
        <v>0</v>
      </c>
      <c r="BT571" s="63"/>
      <c r="BU571" s="63"/>
      <c r="BV571" s="63"/>
      <c r="BW571" s="63"/>
      <c r="BX571" s="63"/>
      <c r="BY571" s="63"/>
      <c r="BZ571" s="63"/>
      <c r="CA571" s="63"/>
      <c r="CB571" s="63"/>
      <c r="CC571" s="63"/>
      <c r="CD571" s="63"/>
      <c r="CE571" s="63"/>
      <c r="CF571" s="63"/>
      <c r="CG571" s="63"/>
      <c r="CH571" s="63"/>
      <c r="CI571" s="63"/>
      <c r="CJ571" s="63"/>
      <c r="CK571" s="63"/>
      <c r="CL571" s="63"/>
      <c r="CM571" s="63"/>
      <c r="CN571" s="63"/>
      <c r="CO571" s="63"/>
      <c r="CP571" s="63"/>
      <c r="CQ571" s="63"/>
      <c r="CR571" s="63"/>
      <c r="CS571" s="63"/>
      <c r="CX571" s="35" t="s">
        <v>12</v>
      </c>
      <c r="CZ571" s="35"/>
      <c r="DC571" s="57" t="str">
        <f t="shared" si="447"/>
        <v/>
      </c>
      <c r="DD571" s="64" t="str">
        <f t="shared" si="443"/>
        <v/>
      </c>
      <c r="DE571" s="65" t="str">
        <f t="shared" si="444"/>
        <v/>
      </c>
      <c r="DF571" s="66" t="str">
        <f t="shared" si="452"/>
        <v/>
      </c>
    </row>
    <row r="572" spans="2:110">
      <c r="B572" s="54">
        <f t="shared" si="448"/>
        <v>47056</v>
      </c>
      <c r="C572" s="55" t="s">
        <v>1</v>
      </c>
      <c r="D572" s="56">
        <f t="shared" si="449"/>
        <v>47062</v>
      </c>
      <c r="E572" s="52">
        <f t="shared" si="450"/>
        <v>10</v>
      </c>
      <c r="F572" s="53">
        <f t="shared" si="451"/>
        <v>2028</v>
      </c>
      <c r="G572" s="62">
        <f t="shared" si="445"/>
        <v>15</v>
      </c>
      <c r="H572" s="63">
        <f t="shared" si="446"/>
        <v>96</v>
      </c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80"/>
      <c r="AG572" s="87">
        <f t="shared" si="406"/>
        <v>0</v>
      </c>
      <c r="AH572" s="87">
        <f t="shared" si="407"/>
        <v>0</v>
      </c>
      <c r="AI572" s="87">
        <f t="shared" si="408"/>
        <v>0</v>
      </c>
      <c r="AJ572" s="87">
        <f t="shared" si="409"/>
        <v>0</v>
      </c>
      <c r="AK572" s="87">
        <f t="shared" si="410"/>
        <v>0</v>
      </c>
      <c r="AL572" s="87">
        <f t="shared" si="411"/>
        <v>0</v>
      </c>
      <c r="AM572" s="87">
        <f t="shared" si="412"/>
        <v>0</v>
      </c>
      <c r="AN572" s="87">
        <f t="shared" si="413"/>
        <v>0</v>
      </c>
      <c r="AO572" s="87">
        <f t="shared" si="414"/>
        <v>0</v>
      </c>
      <c r="AP572" s="87">
        <f t="shared" si="415"/>
        <v>0</v>
      </c>
      <c r="AQ572" s="87">
        <f t="shared" si="416"/>
        <v>0</v>
      </c>
      <c r="AR572" s="81"/>
      <c r="AS572" s="85">
        <f t="shared" si="417"/>
        <v>0</v>
      </c>
      <c r="AT572" s="85">
        <f t="shared" si="418"/>
        <v>0</v>
      </c>
      <c r="AU572" s="85">
        <f t="shared" si="419"/>
        <v>0</v>
      </c>
      <c r="AV572" s="85">
        <f t="shared" si="420"/>
        <v>0</v>
      </c>
      <c r="AW572" s="85">
        <f t="shared" si="421"/>
        <v>0</v>
      </c>
      <c r="AX572" s="85">
        <f t="shared" si="422"/>
        <v>0</v>
      </c>
      <c r="AY572" s="85">
        <f t="shared" si="423"/>
        <v>0</v>
      </c>
      <c r="AZ572" s="85">
        <f t="shared" si="424"/>
        <v>0</v>
      </c>
      <c r="BA572" s="85">
        <f t="shared" si="425"/>
        <v>0</v>
      </c>
      <c r="BB572" s="85">
        <f t="shared" si="426"/>
        <v>0</v>
      </c>
      <c r="BC572" s="85">
        <f t="shared" si="427"/>
        <v>0</v>
      </c>
      <c r="BD572" s="85">
        <f t="shared" si="428"/>
        <v>0</v>
      </c>
      <c r="BE572" s="85">
        <f t="shared" si="429"/>
        <v>0</v>
      </c>
      <c r="BF572" s="85">
        <f t="shared" si="430"/>
        <v>0</v>
      </c>
      <c r="BG572" s="85">
        <f t="shared" si="431"/>
        <v>0</v>
      </c>
      <c r="BH572" s="85">
        <f t="shared" si="432"/>
        <v>0</v>
      </c>
      <c r="BI572" s="85">
        <f t="shared" si="433"/>
        <v>0</v>
      </c>
      <c r="BJ572" s="85">
        <f t="shared" si="434"/>
        <v>0</v>
      </c>
      <c r="BK572" s="85">
        <f t="shared" si="435"/>
        <v>0</v>
      </c>
      <c r="BL572" s="85">
        <f t="shared" si="436"/>
        <v>0</v>
      </c>
      <c r="BM572" s="85">
        <f t="shared" si="437"/>
        <v>0</v>
      </c>
      <c r="BN572" s="85">
        <f t="shared" si="438"/>
        <v>0</v>
      </c>
      <c r="BO572" s="85">
        <f t="shared" si="439"/>
        <v>0</v>
      </c>
      <c r="BP572" s="85">
        <f t="shared" si="440"/>
        <v>0</v>
      </c>
      <c r="BQ572" s="85">
        <f t="shared" si="441"/>
        <v>0</v>
      </c>
      <c r="BR572" s="85">
        <f t="shared" si="442"/>
        <v>0</v>
      </c>
      <c r="BT572" s="63"/>
      <c r="BU572" s="63"/>
      <c r="BV572" s="63"/>
      <c r="BW572" s="63"/>
      <c r="BX572" s="63"/>
      <c r="BY572" s="63"/>
      <c r="BZ572" s="63"/>
      <c r="CA572" s="63"/>
      <c r="CB572" s="63"/>
      <c r="CC572" s="63"/>
      <c r="CD572" s="63"/>
      <c r="CE572" s="63"/>
      <c r="CF572" s="63"/>
      <c r="CG572" s="63"/>
      <c r="CH572" s="63"/>
      <c r="CI572" s="63"/>
      <c r="CJ572" s="63"/>
      <c r="CK572" s="63"/>
      <c r="CL572" s="63"/>
      <c r="CM572" s="63"/>
      <c r="CN572" s="63"/>
      <c r="CO572" s="63"/>
      <c r="CP572" s="63"/>
      <c r="CQ572" s="63"/>
      <c r="CR572" s="63"/>
      <c r="CS572" s="63"/>
      <c r="CX572" s="35" t="s">
        <v>12</v>
      </c>
      <c r="CZ572" s="35"/>
      <c r="DC572" s="57" t="str">
        <f t="shared" si="447"/>
        <v/>
      </c>
      <c r="DD572" s="64" t="str">
        <f t="shared" si="443"/>
        <v/>
      </c>
      <c r="DE572" s="65" t="str">
        <f t="shared" si="444"/>
        <v/>
      </c>
      <c r="DF572" s="66" t="str">
        <f t="shared" si="452"/>
        <v/>
      </c>
    </row>
    <row r="573" spans="2:110">
      <c r="B573" s="54">
        <f t="shared" si="448"/>
        <v>47063</v>
      </c>
      <c r="C573" s="55" t="s">
        <v>1</v>
      </c>
      <c r="D573" s="56">
        <f t="shared" si="449"/>
        <v>47069</v>
      </c>
      <c r="E573" s="52">
        <f t="shared" si="450"/>
        <v>11</v>
      </c>
      <c r="F573" s="53">
        <f t="shared" si="451"/>
        <v>2028</v>
      </c>
      <c r="G573" s="62">
        <f t="shared" si="445"/>
        <v>15</v>
      </c>
      <c r="H573" s="63">
        <f t="shared" si="446"/>
        <v>96</v>
      </c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80"/>
      <c r="AG573" s="87">
        <f t="shared" si="406"/>
        <v>0</v>
      </c>
      <c r="AH573" s="87">
        <f t="shared" si="407"/>
        <v>0</v>
      </c>
      <c r="AI573" s="87">
        <f t="shared" si="408"/>
        <v>0</v>
      </c>
      <c r="AJ573" s="87">
        <f t="shared" si="409"/>
        <v>0</v>
      </c>
      <c r="AK573" s="87">
        <f t="shared" si="410"/>
        <v>0</v>
      </c>
      <c r="AL573" s="87">
        <f t="shared" si="411"/>
        <v>0</v>
      </c>
      <c r="AM573" s="87">
        <f t="shared" si="412"/>
        <v>0</v>
      </c>
      <c r="AN573" s="87">
        <f t="shared" si="413"/>
        <v>0</v>
      </c>
      <c r="AO573" s="87">
        <f t="shared" si="414"/>
        <v>0</v>
      </c>
      <c r="AP573" s="87">
        <f t="shared" si="415"/>
        <v>0</v>
      </c>
      <c r="AQ573" s="87">
        <f t="shared" si="416"/>
        <v>0</v>
      </c>
      <c r="AR573" s="81"/>
      <c r="AS573" s="85">
        <f t="shared" si="417"/>
        <v>0</v>
      </c>
      <c r="AT573" s="85">
        <f t="shared" si="418"/>
        <v>0</v>
      </c>
      <c r="AU573" s="85">
        <f t="shared" si="419"/>
        <v>0</v>
      </c>
      <c r="AV573" s="85">
        <f t="shared" si="420"/>
        <v>0</v>
      </c>
      <c r="AW573" s="85">
        <f t="shared" si="421"/>
        <v>0</v>
      </c>
      <c r="AX573" s="85">
        <f t="shared" si="422"/>
        <v>0</v>
      </c>
      <c r="AY573" s="85">
        <f t="shared" si="423"/>
        <v>0</v>
      </c>
      <c r="AZ573" s="85">
        <f t="shared" si="424"/>
        <v>0</v>
      </c>
      <c r="BA573" s="85">
        <f t="shared" si="425"/>
        <v>0</v>
      </c>
      <c r="BB573" s="85">
        <f t="shared" si="426"/>
        <v>0</v>
      </c>
      <c r="BC573" s="85">
        <f t="shared" si="427"/>
        <v>0</v>
      </c>
      <c r="BD573" s="85">
        <f t="shared" si="428"/>
        <v>0</v>
      </c>
      <c r="BE573" s="85">
        <f t="shared" si="429"/>
        <v>0</v>
      </c>
      <c r="BF573" s="85">
        <f t="shared" si="430"/>
        <v>0</v>
      </c>
      <c r="BG573" s="85">
        <f t="shared" si="431"/>
        <v>0</v>
      </c>
      <c r="BH573" s="85">
        <f t="shared" si="432"/>
        <v>0</v>
      </c>
      <c r="BI573" s="85">
        <f t="shared" si="433"/>
        <v>0</v>
      </c>
      <c r="BJ573" s="85">
        <f t="shared" si="434"/>
        <v>0</v>
      </c>
      <c r="BK573" s="85">
        <f t="shared" si="435"/>
        <v>0</v>
      </c>
      <c r="BL573" s="85">
        <f t="shared" si="436"/>
        <v>0</v>
      </c>
      <c r="BM573" s="85">
        <f t="shared" si="437"/>
        <v>0</v>
      </c>
      <c r="BN573" s="85">
        <f t="shared" si="438"/>
        <v>0</v>
      </c>
      <c r="BO573" s="85">
        <f t="shared" si="439"/>
        <v>0</v>
      </c>
      <c r="BP573" s="85">
        <f t="shared" si="440"/>
        <v>0</v>
      </c>
      <c r="BQ573" s="85">
        <f t="shared" si="441"/>
        <v>0</v>
      </c>
      <c r="BR573" s="85">
        <f t="shared" si="442"/>
        <v>0</v>
      </c>
      <c r="BT573" s="63"/>
      <c r="BU573" s="63"/>
      <c r="BV573" s="63"/>
      <c r="BW573" s="63"/>
      <c r="BX573" s="63"/>
      <c r="BY573" s="63"/>
      <c r="BZ573" s="63"/>
      <c r="CA573" s="63"/>
      <c r="CB573" s="63"/>
      <c r="CC573" s="63"/>
      <c r="CD573" s="63"/>
      <c r="CE573" s="63"/>
      <c r="CF573" s="63"/>
      <c r="CG573" s="63"/>
      <c r="CH573" s="63"/>
      <c r="CI573" s="63"/>
      <c r="CJ573" s="63"/>
      <c r="CK573" s="63"/>
      <c r="CL573" s="63"/>
      <c r="CM573" s="63"/>
      <c r="CN573" s="63"/>
      <c r="CO573" s="63"/>
      <c r="CP573" s="63"/>
      <c r="CQ573" s="63"/>
      <c r="CR573" s="63"/>
      <c r="CS573" s="63"/>
      <c r="CX573" s="35" t="s">
        <v>12</v>
      </c>
      <c r="CZ573" s="35"/>
      <c r="DC573" s="57" t="str">
        <f t="shared" si="447"/>
        <v/>
      </c>
      <c r="DD573" s="64" t="str">
        <f t="shared" si="443"/>
        <v/>
      </c>
      <c r="DE573" s="65" t="str">
        <f t="shared" si="444"/>
        <v/>
      </c>
      <c r="DF573" s="66" t="str">
        <f t="shared" si="452"/>
        <v/>
      </c>
    </row>
    <row r="574" spans="2:110">
      <c r="B574" s="54">
        <f t="shared" si="448"/>
        <v>47070</v>
      </c>
      <c r="C574" s="55" t="s">
        <v>1</v>
      </c>
      <c r="D574" s="56">
        <f t="shared" si="449"/>
        <v>47076</v>
      </c>
      <c r="E574" s="52">
        <f t="shared" si="450"/>
        <v>11</v>
      </c>
      <c r="F574" s="53">
        <f t="shared" si="451"/>
        <v>2028</v>
      </c>
      <c r="G574" s="62">
        <f t="shared" si="445"/>
        <v>15</v>
      </c>
      <c r="H574" s="63">
        <f t="shared" si="446"/>
        <v>96</v>
      </c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80"/>
      <c r="AG574" s="87">
        <f t="shared" si="406"/>
        <v>0</v>
      </c>
      <c r="AH574" s="87">
        <f t="shared" si="407"/>
        <v>0</v>
      </c>
      <c r="AI574" s="87">
        <f t="shared" si="408"/>
        <v>0</v>
      </c>
      <c r="AJ574" s="87">
        <f t="shared" si="409"/>
        <v>0</v>
      </c>
      <c r="AK574" s="87">
        <f t="shared" si="410"/>
        <v>0</v>
      </c>
      <c r="AL574" s="87">
        <f t="shared" si="411"/>
        <v>0</v>
      </c>
      <c r="AM574" s="87">
        <f t="shared" si="412"/>
        <v>0</v>
      </c>
      <c r="AN574" s="87">
        <f t="shared" si="413"/>
        <v>0</v>
      </c>
      <c r="AO574" s="87">
        <f t="shared" si="414"/>
        <v>0</v>
      </c>
      <c r="AP574" s="87">
        <f t="shared" si="415"/>
        <v>0</v>
      </c>
      <c r="AQ574" s="87">
        <f t="shared" si="416"/>
        <v>0</v>
      </c>
      <c r="AR574" s="81"/>
      <c r="AS574" s="85">
        <f t="shared" si="417"/>
        <v>0</v>
      </c>
      <c r="AT574" s="85">
        <f t="shared" si="418"/>
        <v>0</v>
      </c>
      <c r="AU574" s="85">
        <f t="shared" si="419"/>
        <v>0</v>
      </c>
      <c r="AV574" s="85">
        <f t="shared" si="420"/>
        <v>0</v>
      </c>
      <c r="AW574" s="85">
        <f t="shared" si="421"/>
        <v>0</v>
      </c>
      <c r="AX574" s="85">
        <f t="shared" si="422"/>
        <v>0</v>
      </c>
      <c r="AY574" s="85">
        <f t="shared" si="423"/>
        <v>0</v>
      </c>
      <c r="AZ574" s="85">
        <f t="shared" si="424"/>
        <v>0</v>
      </c>
      <c r="BA574" s="85">
        <f t="shared" si="425"/>
        <v>0</v>
      </c>
      <c r="BB574" s="85">
        <f t="shared" si="426"/>
        <v>0</v>
      </c>
      <c r="BC574" s="85">
        <f t="shared" si="427"/>
        <v>0</v>
      </c>
      <c r="BD574" s="85">
        <f t="shared" si="428"/>
        <v>0</v>
      </c>
      <c r="BE574" s="85">
        <f t="shared" si="429"/>
        <v>0</v>
      </c>
      <c r="BF574" s="85">
        <f t="shared" si="430"/>
        <v>0</v>
      </c>
      <c r="BG574" s="85">
        <f t="shared" si="431"/>
        <v>0</v>
      </c>
      <c r="BH574" s="85">
        <f t="shared" si="432"/>
        <v>0</v>
      </c>
      <c r="BI574" s="85">
        <f t="shared" si="433"/>
        <v>0</v>
      </c>
      <c r="BJ574" s="85">
        <f t="shared" si="434"/>
        <v>0</v>
      </c>
      <c r="BK574" s="85">
        <f t="shared" si="435"/>
        <v>0</v>
      </c>
      <c r="BL574" s="85">
        <f t="shared" si="436"/>
        <v>0</v>
      </c>
      <c r="BM574" s="85">
        <f t="shared" si="437"/>
        <v>0</v>
      </c>
      <c r="BN574" s="85">
        <f t="shared" si="438"/>
        <v>0</v>
      </c>
      <c r="BO574" s="85">
        <f t="shared" si="439"/>
        <v>0</v>
      </c>
      <c r="BP574" s="85">
        <f t="shared" si="440"/>
        <v>0</v>
      </c>
      <c r="BQ574" s="85">
        <f t="shared" si="441"/>
        <v>0</v>
      </c>
      <c r="BR574" s="85">
        <f t="shared" si="442"/>
        <v>0</v>
      </c>
      <c r="BT574" s="63"/>
      <c r="BU574" s="63"/>
      <c r="BV574" s="63"/>
      <c r="BW574" s="63"/>
      <c r="BX574" s="63"/>
      <c r="BY574" s="63"/>
      <c r="BZ574" s="63"/>
      <c r="CA574" s="63"/>
      <c r="CB574" s="63"/>
      <c r="CC574" s="63"/>
      <c r="CD574" s="63"/>
      <c r="CE574" s="63"/>
      <c r="CF574" s="63"/>
      <c r="CG574" s="63"/>
      <c r="CH574" s="63"/>
      <c r="CI574" s="63"/>
      <c r="CJ574" s="63"/>
      <c r="CK574" s="63"/>
      <c r="CL574" s="63"/>
      <c r="CM574" s="63"/>
      <c r="CN574" s="63"/>
      <c r="CO574" s="63"/>
      <c r="CP574" s="63"/>
      <c r="CQ574" s="63"/>
      <c r="CR574" s="63"/>
      <c r="CS574" s="63"/>
      <c r="CX574" s="35" t="s">
        <v>12</v>
      </c>
      <c r="CZ574" s="35"/>
      <c r="DC574" s="57" t="str">
        <f t="shared" si="447"/>
        <v/>
      </c>
      <c r="DD574" s="64" t="str">
        <f t="shared" si="443"/>
        <v/>
      </c>
      <c r="DE574" s="65" t="str">
        <f t="shared" si="444"/>
        <v/>
      </c>
      <c r="DF574" s="66" t="str">
        <f t="shared" si="452"/>
        <v/>
      </c>
    </row>
    <row r="575" spans="2:110">
      <c r="B575" s="54">
        <f t="shared" si="448"/>
        <v>47077</v>
      </c>
      <c r="C575" s="55" t="s">
        <v>1</v>
      </c>
      <c r="D575" s="56">
        <f t="shared" si="449"/>
        <v>47083</v>
      </c>
      <c r="E575" s="52">
        <f t="shared" si="450"/>
        <v>11</v>
      </c>
      <c r="F575" s="53">
        <f t="shared" si="451"/>
        <v>2028</v>
      </c>
      <c r="G575" s="62">
        <f t="shared" si="445"/>
        <v>15</v>
      </c>
      <c r="H575" s="63">
        <f t="shared" si="446"/>
        <v>96</v>
      </c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80"/>
      <c r="AG575" s="87">
        <f t="shared" si="406"/>
        <v>0</v>
      </c>
      <c r="AH575" s="87">
        <f t="shared" si="407"/>
        <v>0</v>
      </c>
      <c r="AI575" s="87">
        <f t="shared" si="408"/>
        <v>0</v>
      </c>
      <c r="AJ575" s="87">
        <f t="shared" si="409"/>
        <v>0</v>
      </c>
      <c r="AK575" s="87">
        <f t="shared" si="410"/>
        <v>0</v>
      </c>
      <c r="AL575" s="87">
        <f t="shared" si="411"/>
        <v>0</v>
      </c>
      <c r="AM575" s="87">
        <f t="shared" si="412"/>
        <v>0</v>
      </c>
      <c r="AN575" s="87">
        <f t="shared" si="413"/>
        <v>0</v>
      </c>
      <c r="AO575" s="87">
        <f t="shared" si="414"/>
        <v>0</v>
      </c>
      <c r="AP575" s="87">
        <f t="shared" si="415"/>
        <v>0</v>
      </c>
      <c r="AQ575" s="87">
        <f t="shared" si="416"/>
        <v>0</v>
      </c>
      <c r="AR575" s="81"/>
      <c r="AS575" s="85">
        <f t="shared" si="417"/>
        <v>0</v>
      </c>
      <c r="AT575" s="85">
        <f t="shared" si="418"/>
        <v>0</v>
      </c>
      <c r="AU575" s="85">
        <f t="shared" si="419"/>
        <v>0</v>
      </c>
      <c r="AV575" s="85">
        <f t="shared" si="420"/>
        <v>0</v>
      </c>
      <c r="AW575" s="85">
        <f t="shared" si="421"/>
        <v>0</v>
      </c>
      <c r="AX575" s="85">
        <f t="shared" si="422"/>
        <v>0</v>
      </c>
      <c r="AY575" s="85">
        <f t="shared" si="423"/>
        <v>0</v>
      </c>
      <c r="AZ575" s="85">
        <f t="shared" si="424"/>
        <v>0</v>
      </c>
      <c r="BA575" s="85">
        <f t="shared" si="425"/>
        <v>0</v>
      </c>
      <c r="BB575" s="85">
        <f t="shared" si="426"/>
        <v>0</v>
      </c>
      <c r="BC575" s="85">
        <f t="shared" si="427"/>
        <v>0</v>
      </c>
      <c r="BD575" s="85">
        <f t="shared" si="428"/>
        <v>0</v>
      </c>
      <c r="BE575" s="85">
        <f t="shared" si="429"/>
        <v>0</v>
      </c>
      <c r="BF575" s="85">
        <f t="shared" si="430"/>
        <v>0</v>
      </c>
      <c r="BG575" s="85">
        <f t="shared" si="431"/>
        <v>0</v>
      </c>
      <c r="BH575" s="85">
        <f t="shared" si="432"/>
        <v>0</v>
      </c>
      <c r="BI575" s="85">
        <f t="shared" si="433"/>
        <v>0</v>
      </c>
      <c r="BJ575" s="85">
        <f t="shared" si="434"/>
        <v>0</v>
      </c>
      <c r="BK575" s="85">
        <f t="shared" si="435"/>
        <v>0</v>
      </c>
      <c r="BL575" s="85">
        <f t="shared" si="436"/>
        <v>0</v>
      </c>
      <c r="BM575" s="85">
        <f t="shared" si="437"/>
        <v>0</v>
      </c>
      <c r="BN575" s="85">
        <f t="shared" si="438"/>
        <v>0</v>
      </c>
      <c r="BO575" s="85">
        <f t="shared" si="439"/>
        <v>0</v>
      </c>
      <c r="BP575" s="85">
        <f t="shared" si="440"/>
        <v>0</v>
      </c>
      <c r="BQ575" s="85">
        <f t="shared" si="441"/>
        <v>0</v>
      </c>
      <c r="BR575" s="85">
        <f t="shared" si="442"/>
        <v>0</v>
      </c>
      <c r="BT575" s="63"/>
      <c r="BU575" s="63"/>
      <c r="BV575" s="63"/>
      <c r="BW575" s="63"/>
      <c r="BX575" s="63"/>
      <c r="BY575" s="63"/>
      <c r="BZ575" s="63"/>
      <c r="CA575" s="63"/>
      <c r="CB575" s="63"/>
      <c r="CC575" s="63"/>
      <c r="CD575" s="63"/>
      <c r="CE575" s="63"/>
      <c r="CF575" s="63"/>
      <c r="CG575" s="63"/>
      <c r="CH575" s="63"/>
      <c r="CI575" s="63"/>
      <c r="CJ575" s="63"/>
      <c r="CK575" s="63"/>
      <c r="CL575" s="63"/>
      <c r="CM575" s="63"/>
      <c r="CN575" s="63"/>
      <c r="CO575" s="63"/>
      <c r="CP575" s="63"/>
      <c r="CQ575" s="63"/>
      <c r="CR575" s="63"/>
      <c r="CS575" s="63"/>
      <c r="CX575" s="35" t="s">
        <v>12</v>
      </c>
      <c r="CZ575" s="35"/>
      <c r="DC575" s="57" t="str">
        <f t="shared" si="447"/>
        <v/>
      </c>
      <c r="DD575" s="64" t="str">
        <f t="shared" si="443"/>
        <v/>
      </c>
      <c r="DE575" s="65" t="str">
        <f t="shared" si="444"/>
        <v/>
      </c>
      <c r="DF575" s="66" t="str">
        <f t="shared" si="452"/>
        <v/>
      </c>
    </row>
    <row r="576" spans="2:110">
      <c r="B576" s="54">
        <f t="shared" si="448"/>
        <v>47084</v>
      </c>
      <c r="C576" s="55" t="s">
        <v>1</v>
      </c>
      <c r="D576" s="56">
        <f t="shared" si="449"/>
        <v>47090</v>
      </c>
      <c r="E576" s="52">
        <f t="shared" si="450"/>
        <v>11</v>
      </c>
      <c r="F576" s="53">
        <f t="shared" si="451"/>
        <v>2028</v>
      </c>
      <c r="G576" s="62">
        <f t="shared" si="445"/>
        <v>15</v>
      </c>
      <c r="H576" s="63">
        <f t="shared" si="446"/>
        <v>96</v>
      </c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80"/>
      <c r="AG576" s="87">
        <f t="shared" si="406"/>
        <v>0</v>
      </c>
      <c r="AH576" s="87">
        <f t="shared" si="407"/>
        <v>0</v>
      </c>
      <c r="AI576" s="87">
        <f t="shared" si="408"/>
        <v>0</v>
      </c>
      <c r="AJ576" s="87">
        <f t="shared" si="409"/>
        <v>0</v>
      </c>
      <c r="AK576" s="87">
        <f t="shared" si="410"/>
        <v>0</v>
      </c>
      <c r="AL576" s="87">
        <f t="shared" si="411"/>
        <v>0</v>
      </c>
      <c r="AM576" s="87">
        <f t="shared" si="412"/>
        <v>0</v>
      </c>
      <c r="AN576" s="87">
        <f t="shared" si="413"/>
        <v>0</v>
      </c>
      <c r="AO576" s="87">
        <f t="shared" si="414"/>
        <v>0</v>
      </c>
      <c r="AP576" s="87">
        <f t="shared" si="415"/>
        <v>0</v>
      </c>
      <c r="AQ576" s="87">
        <f t="shared" si="416"/>
        <v>0</v>
      </c>
      <c r="AR576" s="81"/>
      <c r="AS576" s="85">
        <f t="shared" si="417"/>
        <v>0</v>
      </c>
      <c r="AT576" s="85">
        <f t="shared" si="418"/>
        <v>0</v>
      </c>
      <c r="AU576" s="85">
        <f t="shared" si="419"/>
        <v>0</v>
      </c>
      <c r="AV576" s="85">
        <f t="shared" si="420"/>
        <v>0</v>
      </c>
      <c r="AW576" s="85">
        <f t="shared" si="421"/>
        <v>0</v>
      </c>
      <c r="AX576" s="85">
        <f t="shared" si="422"/>
        <v>0</v>
      </c>
      <c r="AY576" s="85">
        <f t="shared" si="423"/>
        <v>0</v>
      </c>
      <c r="AZ576" s="85">
        <f t="shared" si="424"/>
        <v>0</v>
      </c>
      <c r="BA576" s="85">
        <f t="shared" si="425"/>
        <v>0</v>
      </c>
      <c r="BB576" s="85">
        <f t="shared" si="426"/>
        <v>0</v>
      </c>
      <c r="BC576" s="85">
        <f t="shared" si="427"/>
        <v>0</v>
      </c>
      <c r="BD576" s="85">
        <f t="shared" si="428"/>
        <v>0</v>
      </c>
      <c r="BE576" s="85">
        <f t="shared" si="429"/>
        <v>0</v>
      </c>
      <c r="BF576" s="85">
        <f t="shared" si="430"/>
        <v>0</v>
      </c>
      <c r="BG576" s="85">
        <f t="shared" si="431"/>
        <v>0</v>
      </c>
      <c r="BH576" s="85">
        <f t="shared" si="432"/>
        <v>0</v>
      </c>
      <c r="BI576" s="85">
        <f t="shared" si="433"/>
        <v>0</v>
      </c>
      <c r="BJ576" s="85">
        <f t="shared" si="434"/>
        <v>0</v>
      </c>
      <c r="BK576" s="85">
        <f t="shared" si="435"/>
        <v>0</v>
      </c>
      <c r="BL576" s="85">
        <f t="shared" si="436"/>
        <v>0</v>
      </c>
      <c r="BM576" s="85">
        <f t="shared" si="437"/>
        <v>0</v>
      </c>
      <c r="BN576" s="85">
        <f t="shared" si="438"/>
        <v>0</v>
      </c>
      <c r="BO576" s="85">
        <f t="shared" si="439"/>
        <v>0</v>
      </c>
      <c r="BP576" s="85">
        <f t="shared" si="440"/>
        <v>0</v>
      </c>
      <c r="BQ576" s="85">
        <f t="shared" si="441"/>
        <v>0</v>
      </c>
      <c r="BR576" s="85">
        <f t="shared" si="442"/>
        <v>0</v>
      </c>
      <c r="BT576" s="63"/>
      <c r="BU576" s="63"/>
      <c r="BV576" s="63"/>
      <c r="BW576" s="63"/>
      <c r="BX576" s="63"/>
      <c r="BY576" s="63"/>
      <c r="BZ576" s="63"/>
      <c r="CA576" s="63"/>
      <c r="CB576" s="63"/>
      <c r="CC576" s="63"/>
      <c r="CD576" s="63"/>
      <c r="CE576" s="63"/>
      <c r="CF576" s="63"/>
      <c r="CG576" s="63"/>
      <c r="CH576" s="63"/>
      <c r="CI576" s="63"/>
      <c r="CJ576" s="63"/>
      <c r="CK576" s="63"/>
      <c r="CL576" s="63"/>
      <c r="CM576" s="63"/>
      <c r="CN576" s="63"/>
      <c r="CO576" s="63"/>
      <c r="CP576" s="63"/>
      <c r="CQ576" s="63"/>
      <c r="CR576" s="63"/>
      <c r="CS576" s="63"/>
      <c r="CX576" s="35" t="s">
        <v>12</v>
      </c>
      <c r="CZ576" s="35"/>
      <c r="DC576" s="57" t="str">
        <f t="shared" si="447"/>
        <v/>
      </c>
      <c r="DD576" s="64" t="str">
        <f t="shared" si="443"/>
        <v/>
      </c>
      <c r="DE576" s="65" t="str">
        <f t="shared" si="444"/>
        <v/>
      </c>
      <c r="DF576" s="66" t="str">
        <f t="shared" si="452"/>
        <v/>
      </c>
    </row>
    <row r="577" spans="2:110">
      <c r="B577" s="54">
        <f t="shared" si="448"/>
        <v>47091</v>
      </c>
      <c r="C577" s="55" t="s">
        <v>1</v>
      </c>
      <c r="D577" s="56">
        <f t="shared" si="449"/>
        <v>47097</v>
      </c>
      <c r="E577" s="52">
        <f t="shared" si="450"/>
        <v>12</v>
      </c>
      <c r="F577" s="53">
        <f t="shared" si="451"/>
        <v>2028</v>
      </c>
      <c r="G577" s="62">
        <f t="shared" si="445"/>
        <v>15</v>
      </c>
      <c r="H577" s="63">
        <f t="shared" si="446"/>
        <v>96</v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80"/>
      <c r="AG577" s="87">
        <f t="shared" si="406"/>
        <v>0</v>
      </c>
      <c r="AH577" s="87">
        <f t="shared" si="407"/>
        <v>0</v>
      </c>
      <c r="AI577" s="87">
        <f t="shared" si="408"/>
        <v>0</v>
      </c>
      <c r="AJ577" s="87">
        <f t="shared" si="409"/>
        <v>0</v>
      </c>
      <c r="AK577" s="87">
        <f t="shared" si="410"/>
        <v>0</v>
      </c>
      <c r="AL577" s="87">
        <f t="shared" si="411"/>
        <v>0</v>
      </c>
      <c r="AM577" s="87">
        <f t="shared" si="412"/>
        <v>0</v>
      </c>
      <c r="AN577" s="87">
        <f t="shared" si="413"/>
        <v>0</v>
      </c>
      <c r="AO577" s="87">
        <f t="shared" si="414"/>
        <v>0</v>
      </c>
      <c r="AP577" s="87">
        <f t="shared" si="415"/>
        <v>0</v>
      </c>
      <c r="AQ577" s="87">
        <f t="shared" si="416"/>
        <v>0</v>
      </c>
      <c r="AR577" s="81"/>
      <c r="AS577" s="85">
        <f t="shared" si="417"/>
        <v>0</v>
      </c>
      <c r="AT577" s="85">
        <f t="shared" si="418"/>
        <v>0</v>
      </c>
      <c r="AU577" s="85">
        <f t="shared" si="419"/>
        <v>0</v>
      </c>
      <c r="AV577" s="85">
        <f t="shared" si="420"/>
        <v>0</v>
      </c>
      <c r="AW577" s="85">
        <f t="shared" si="421"/>
        <v>0</v>
      </c>
      <c r="AX577" s="85">
        <f t="shared" si="422"/>
        <v>0</v>
      </c>
      <c r="AY577" s="85">
        <f t="shared" si="423"/>
        <v>0</v>
      </c>
      <c r="AZ577" s="85">
        <f t="shared" si="424"/>
        <v>0</v>
      </c>
      <c r="BA577" s="85">
        <f t="shared" si="425"/>
        <v>0</v>
      </c>
      <c r="BB577" s="85">
        <f t="shared" si="426"/>
        <v>0</v>
      </c>
      <c r="BC577" s="85">
        <f t="shared" si="427"/>
        <v>0</v>
      </c>
      <c r="BD577" s="85">
        <f t="shared" si="428"/>
        <v>0</v>
      </c>
      <c r="BE577" s="85">
        <f t="shared" si="429"/>
        <v>0</v>
      </c>
      <c r="BF577" s="85">
        <f t="shared" si="430"/>
        <v>0</v>
      </c>
      <c r="BG577" s="85">
        <f t="shared" si="431"/>
        <v>0</v>
      </c>
      <c r="BH577" s="85">
        <f t="shared" si="432"/>
        <v>0</v>
      </c>
      <c r="BI577" s="85">
        <f t="shared" si="433"/>
        <v>0</v>
      </c>
      <c r="BJ577" s="85">
        <f t="shared" si="434"/>
        <v>0</v>
      </c>
      <c r="BK577" s="85">
        <f t="shared" si="435"/>
        <v>0</v>
      </c>
      <c r="BL577" s="85">
        <f t="shared" si="436"/>
        <v>0</v>
      </c>
      <c r="BM577" s="85">
        <f t="shared" si="437"/>
        <v>0</v>
      </c>
      <c r="BN577" s="85">
        <f t="shared" si="438"/>
        <v>0</v>
      </c>
      <c r="BO577" s="85">
        <f t="shared" si="439"/>
        <v>0</v>
      </c>
      <c r="BP577" s="85">
        <f t="shared" si="440"/>
        <v>0</v>
      </c>
      <c r="BQ577" s="85">
        <f t="shared" si="441"/>
        <v>0</v>
      </c>
      <c r="BR577" s="85">
        <f t="shared" si="442"/>
        <v>0</v>
      </c>
      <c r="BT577" s="63"/>
      <c r="BU577" s="63"/>
      <c r="BV577" s="63"/>
      <c r="BW577" s="63"/>
      <c r="BX577" s="63"/>
      <c r="BY577" s="63"/>
      <c r="BZ577" s="63"/>
      <c r="CA577" s="63"/>
      <c r="CB577" s="63"/>
      <c r="CC577" s="63"/>
      <c r="CD577" s="63"/>
      <c r="CE577" s="63"/>
      <c r="CF577" s="63"/>
      <c r="CG577" s="63"/>
      <c r="CH577" s="63"/>
      <c r="CI577" s="63"/>
      <c r="CJ577" s="63"/>
      <c r="CK577" s="63"/>
      <c r="CL577" s="63"/>
      <c r="CM577" s="63"/>
      <c r="CN577" s="63"/>
      <c r="CO577" s="63"/>
      <c r="CP577" s="63"/>
      <c r="CQ577" s="63"/>
      <c r="CR577" s="63"/>
      <c r="CS577" s="63"/>
      <c r="CX577" s="35" t="s">
        <v>12</v>
      </c>
      <c r="CZ577" s="35"/>
      <c r="DC577" s="57" t="str">
        <f t="shared" si="447"/>
        <v/>
      </c>
      <c r="DD577" s="64" t="str">
        <f t="shared" si="443"/>
        <v/>
      </c>
      <c r="DE577" s="65" t="str">
        <f t="shared" si="444"/>
        <v/>
      </c>
      <c r="DF577" s="66" t="str">
        <f t="shared" si="452"/>
        <v/>
      </c>
    </row>
    <row r="578" spans="2:110">
      <c r="B578" s="54">
        <f t="shared" si="448"/>
        <v>47098</v>
      </c>
      <c r="C578" s="55" t="s">
        <v>1</v>
      </c>
      <c r="D578" s="56">
        <f t="shared" si="449"/>
        <v>47104</v>
      </c>
      <c r="E578" s="52">
        <f t="shared" si="450"/>
        <v>12</v>
      </c>
      <c r="F578" s="53">
        <f t="shared" si="451"/>
        <v>2028</v>
      </c>
      <c r="G578" s="62">
        <f t="shared" si="445"/>
        <v>15</v>
      </c>
      <c r="H578" s="63">
        <f t="shared" si="446"/>
        <v>96</v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80"/>
      <c r="AG578" s="87">
        <f t="shared" si="406"/>
        <v>0</v>
      </c>
      <c r="AH578" s="87">
        <f t="shared" si="407"/>
        <v>0</v>
      </c>
      <c r="AI578" s="87">
        <f t="shared" si="408"/>
        <v>0</v>
      </c>
      <c r="AJ578" s="87">
        <f t="shared" si="409"/>
        <v>0</v>
      </c>
      <c r="AK578" s="87">
        <f t="shared" si="410"/>
        <v>0</v>
      </c>
      <c r="AL578" s="87">
        <f t="shared" si="411"/>
        <v>0</v>
      </c>
      <c r="AM578" s="87">
        <f t="shared" si="412"/>
        <v>0</v>
      </c>
      <c r="AN578" s="87">
        <f t="shared" si="413"/>
        <v>0</v>
      </c>
      <c r="AO578" s="87">
        <f t="shared" si="414"/>
        <v>0</v>
      </c>
      <c r="AP578" s="87">
        <f t="shared" si="415"/>
        <v>0</v>
      </c>
      <c r="AQ578" s="87">
        <f t="shared" si="416"/>
        <v>0</v>
      </c>
      <c r="AR578" s="81"/>
      <c r="AS578" s="85">
        <f t="shared" si="417"/>
        <v>0</v>
      </c>
      <c r="AT578" s="85">
        <f t="shared" si="418"/>
        <v>0</v>
      </c>
      <c r="AU578" s="85">
        <f t="shared" si="419"/>
        <v>0</v>
      </c>
      <c r="AV578" s="85">
        <f t="shared" si="420"/>
        <v>0</v>
      </c>
      <c r="AW578" s="85">
        <f t="shared" si="421"/>
        <v>0</v>
      </c>
      <c r="AX578" s="85">
        <f t="shared" si="422"/>
        <v>0</v>
      </c>
      <c r="AY578" s="85">
        <f t="shared" si="423"/>
        <v>0</v>
      </c>
      <c r="AZ578" s="85">
        <f t="shared" si="424"/>
        <v>0</v>
      </c>
      <c r="BA578" s="85">
        <f t="shared" si="425"/>
        <v>0</v>
      </c>
      <c r="BB578" s="85">
        <f t="shared" si="426"/>
        <v>0</v>
      </c>
      <c r="BC578" s="85">
        <f t="shared" si="427"/>
        <v>0</v>
      </c>
      <c r="BD578" s="85">
        <f t="shared" si="428"/>
        <v>0</v>
      </c>
      <c r="BE578" s="85">
        <f t="shared" si="429"/>
        <v>0</v>
      </c>
      <c r="BF578" s="85">
        <f t="shared" si="430"/>
        <v>0</v>
      </c>
      <c r="BG578" s="85">
        <f t="shared" si="431"/>
        <v>0</v>
      </c>
      <c r="BH578" s="85">
        <f t="shared" si="432"/>
        <v>0</v>
      </c>
      <c r="BI578" s="85">
        <f t="shared" si="433"/>
        <v>0</v>
      </c>
      <c r="BJ578" s="85">
        <f t="shared" si="434"/>
        <v>0</v>
      </c>
      <c r="BK578" s="85">
        <f t="shared" si="435"/>
        <v>0</v>
      </c>
      <c r="BL578" s="85">
        <f t="shared" si="436"/>
        <v>0</v>
      </c>
      <c r="BM578" s="85">
        <f t="shared" si="437"/>
        <v>0</v>
      </c>
      <c r="BN578" s="85">
        <f t="shared" si="438"/>
        <v>0</v>
      </c>
      <c r="BO578" s="85">
        <f t="shared" si="439"/>
        <v>0</v>
      </c>
      <c r="BP578" s="85">
        <f t="shared" si="440"/>
        <v>0</v>
      </c>
      <c r="BQ578" s="85">
        <f t="shared" si="441"/>
        <v>0</v>
      </c>
      <c r="BR578" s="85">
        <f t="shared" si="442"/>
        <v>0</v>
      </c>
      <c r="BT578" s="63"/>
      <c r="BU578" s="63"/>
      <c r="BV578" s="63"/>
      <c r="BW578" s="63"/>
      <c r="BX578" s="63"/>
      <c r="BY578" s="63"/>
      <c r="BZ578" s="63"/>
      <c r="CA578" s="63"/>
      <c r="CB578" s="63"/>
      <c r="CC578" s="63"/>
      <c r="CD578" s="63"/>
      <c r="CE578" s="63"/>
      <c r="CF578" s="63"/>
      <c r="CG578" s="63"/>
      <c r="CH578" s="63"/>
      <c r="CI578" s="63"/>
      <c r="CJ578" s="63"/>
      <c r="CK578" s="63"/>
      <c r="CL578" s="63"/>
      <c r="CM578" s="63"/>
      <c r="CN578" s="63"/>
      <c r="CO578" s="63"/>
      <c r="CP578" s="63"/>
      <c r="CQ578" s="63"/>
      <c r="CR578" s="63"/>
      <c r="CS578" s="63"/>
      <c r="CX578" s="35" t="s">
        <v>12</v>
      </c>
      <c r="CZ578" s="35"/>
      <c r="DC578" s="57" t="str">
        <f t="shared" si="447"/>
        <v/>
      </c>
      <c r="DD578" s="64" t="str">
        <f t="shared" si="443"/>
        <v/>
      </c>
      <c r="DE578" s="65" t="str">
        <f t="shared" si="444"/>
        <v/>
      </c>
      <c r="DF578" s="66" t="str">
        <f t="shared" si="452"/>
        <v/>
      </c>
    </row>
    <row r="579" spans="2:110">
      <c r="B579" s="54">
        <f t="shared" si="448"/>
        <v>47105</v>
      </c>
      <c r="C579" s="55" t="s">
        <v>1</v>
      </c>
      <c r="D579" s="56">
        <f t="shared" si="449"/>
        <v>47111</v>
      </c>
      <c r="E579" s="52">
        <f t="shared" si="450"/>
        <v>12</v>
      </c>
      <c r="F579" s="53">
        <f t="shared" si="451"/>
        <v>2028</v>
      </c>
      <c r="G579" s="62">
        <f t="shared" si="445"/>
        <v>15</v>
      </c>
      <c r="H579" s="63">
        <f t="shared" si="446"/>
        <v>96</v>
      </c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80"/>
      <c r="AG579" s="87">
        <f t="shared" si="406"/>
        <v>0</v>
      </c>
      <c r="AH579" s="87">
        <f t="shared" si="407"/>
        <v>0</v>
      </c>
      <c r="AI579" s="87">
        <f t="shared" si="408"/>
        <v>0</v>
      </c>
      <c r="AJ579" s="87">
        <f t="shared" si="409"/>
        <v>0</v>
      </c>
      <c r="AK579" s="87">
        <f t="shared" si="410"/>
        <v>0</v>
      </c>
      <c r="AL579" s="87">
        <f t="shared" si="411"/>
        <v>0</v>
      </c>
      <c r="AM579" s="87">
        <f t="shared" si="412"/>
        <v>0</v>
      </c>
      <c r="AN579" s="87">
        <f t="shared" si="413"/>
        <v>0</v>
      </c>
      <c r="AO579" s="87">
        <f t="shared" si="414"/>
        <v>0</v>
      </c>
      <c r="AP579" s="87">
        <f t="shared" si="415"/>
        <v>0</v>
      </c>
      <c r="AQ579" s="87">
        <f t="shared" si="416"/>
        <v>0</v>
      </c>
      <c r="AR579" s="81"/>
      <c r="AS579" s="85">
        <f t="shared" si="417"/>
        <v>0</v>
      </c>
      <c r="AT579" s="85">
        <f t="shared" si="418"/>
        <v>0</v>
      </c>
      <c r="AU579" s="85">
        <f t="shared" si="419"/>
        <v>0</v>
      </c>
      <c r="AV579" s="85">
        <f t="shared" si="420"/>
        <v>0</v>
      </c>
      <c r="AW579" s="85">
        <f t="shared" si="421"/>
        <v>0</v>
      </c>
      <c r="AX579" s="85">
        <f t="shared" si="422"/>
        <v>0</v>
      </c>
      <c r="AY579" s="85">
        <f t="shared" si="423"/>
        <v>0</v>
      </c>
      <c r="AZ579" s="85">
        <f t="shared" si="424"/>
        <v>0</v>
      </c>
      <c r="BA579" s="85">
        <f t="shared" si="425"/>
        <v>0</v>
      </c>
      <c r="BB579" s="85">
        <f t="shared" si="426"/>
        <v>0</v>
      </c>
      <c r="BC579" s="85">
        <f t="shared" si="427"/>
        <v>0</v>
      </c>
      <c r="BD579" s="85">
        <f t="shared" si="428"/>
        <v>0</v>
      </c>
      <c r="BE579" s="85">
        <f t="shared" si="429"/>
        <v>0</v>
      </c>
      <c r="BF579" s="85">
        <f t="shared" si="430"/>
        <v>0</v>
      </c>
      <c r="BG579" s="85">
        <f t="shared" si="431"/>
        <v>0</v>
      </c>
      <c r="BH579" s="85">
        <f t="shared" si="432"/>
        <v>0</v>
      </c>
      <c r="BI579" s="85">
        <f t="shared" si="433"/>
        <v>0</v>
      </c>
      <c r="BJ579" s="85">
        <f t="shared" si="434"/>
        <v>0</v>
      </c>
      <c r="BK579" s="85">
        <f t="shared" si="435"/>
        <v>0</v>
      </c>
      <c r="BL579" s="85">
        <f t="shared" si="436"/>
        <v>0</v>
      </c>
      <c r="BM579" s="85">
        <f t="shared" si="437"/>
        <v>0</v>
      </c>
      <c r="BN579" s="85">
        <f t="shared" si="438"/>
        <v>0</v>
      </c>
      <c r="BO579" s="85">
        <f t="shared" si="439"/>
        <v>0</v>
      </c>
      <c r="BP579" s="85">
        <f t="shared" si="440"/>
        <v>0</v>
      </c>
      <c r="BQ579" s="85">
        <f t="shared" si="441"/>
        <v>0</v>
      </c>
      <c r="BR579" s="85">
        <f t="shared" si="442"/>
        <v>0</v>
      </c>
      <c r="BT579" s="63"/>
      <c r="BU579" s="63"/>
      <c r="BV579" s="63"/>
      <c r="BW579" s="63"/>
      <c r="BX579" s="63"/>
      <c r="BY579" s="63"/>
      <c r="BZ579" s="63"/>
      <c r="CA579" s="63"/>
      <c r="CB579" s="63"/>
      <c r="CC579" s="63"/>
      <c r="CD579" s="63"/>
      <c r="CE579" s="63"/>
      <c r="CF579" s="63"/>
      <c r="CG579" s="63"/>
      <c r="CH579" s="63"/>
      <c r="CI579" s="63"/>
      <c r="CJ579" s="63"/>
      <c r="CK579" s="63"/>
      <c r="CL579" s="63"/>
      <c r="CM579" s="63"/>
      <c r="CN579" s="63"/>
      <c r="CO579" s="63"/>
      <c r="CP579" s="63"/>
      <c r="CQ579" s="63"/>
      <c r="CR579" s="63"/>
      <c r="CS579" s="63"/>
      <c r="CX579" s="35" t="s">
        <v>12</v>
      </c>
      <c r="CZ579" s="35"/>
      <c r="DC579" s="57" t="str">
        <f t="shared" si="447"/>
        <v/>
      </c>
      <c r="DD579" s="64" t="str">
        <f t="shared" si="443"/>
        <v/>
      </c>
      <c r="DE579" s="65" t="str">
        <f t="shared" si="444"/>
        <v/>
      </c>
      <c r="DF579" s="66" t="str">
        <f t="shared" si="452"/>
        <v/>
      </c>
    </row>
    <row r="580" spans="2:110">
      <c r="B580" s="54">
        <f t="shared" si="448"/>
        <v>47112</v>
      </c>
      <c r="C580" s="55" t="s">
        <v>1</v>
      </c>
      <c r="D580" s="56">
        <f t="shared" si="449"/>
        <v>47118</v>
      </c>
      <c r="E580" s="52">
        <f t="shared" si="450"/>
        <v>12</v>
      </c>
      <c r="F580" s="53">
        <f t="shared" si="451"/>
        <v>2028</v>
      </c>
      <c r="G580" s="62">
        <f t="shared" si="445"/>
        <v>15</v>
      </c>
      <c r="H580" s="63">
        <f t="shared" si="446"/>
        <v>96</v>
      </c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80"/>
      <c r="AG580" s="87">
        <f t="shared" si="406"/>
        <v>0</v>
      </c>
      <c r="AH580" s="87">
        <f t="shared" si="407"/>
        <v>0</v>
      </c>
      <c r="AI580" s="87">
        <f t="shared" si="408"/>
        <v>0</v>
      </c>
      <c r="AJ580" s="87">
        <f t="shared" si="409"/>
        <v>0</v>
      </c>
      <c r="AK580" s="87">
        <f t="shared" si="410"/>
        <v>0</v>
      </c>
      <c r="AL580" s="87">
        <f t="shared" si="411"/>
        <v>0</v>
      </c>
      <c r="AM580" s="87">
        <f t="shared" si="412"/>
        <v>0</v>
      </c>
      <c r="AN580" s="87">
        <f t="shared" si="413"/>
        <v>0</v>
      </c>
      <c r="AO580" s="87">
        <f t="shared" si="414"/>
        <v>0</v>
      </c>
      <c r="AP580" s="87">
        <f t="shared" si="415"/>
        <v>0</v>
      </c>
      <c r="AQ580" s="87">
        <f t="shared" si="416"/>
        <v>0</v>
      </c>
      <c r="AR580" s="81"/>
      <c r="AS580" s="85">
        <f t="shared" si="417"/>
        <v>0</v>
      </c>
      <c r="AT580" s="85">
        <f t="shared" si="418"/>
        <v>0</v>
      </c>
      <c r="AU580" s="85">
        <f t="shared" si="419"/>
        <v>0</v>
      </c>
      <c r="AV580" s="85">
        <f t="shared" si="420"/>
        <v>0</v>
      </c>
      <c r="AW580" s="85">
        <f t="shared" si="421"/>
        <v>0</v>
      </c>
      <c r="AX580" s="85">
        <f t="shared" si="422"/>
        <v>0</v>
      </c>
      <c r="AY580" s="85">
        <f t="shared" si="423"/>
        <v>0</v>
      </c>
      <c r="AZ580" s="85">
        <f t="shared" si="424"/>
        <v>0</v>
      </c>
      <c r="BA580" s="85">
        <f t="shared" si="425"/>
        <v>0</v>
      </c>
      <c r="BB580" s="85">
        <f t="shared" si="426"/>
        <v>0</v>
      </c>
      <c r="BC580" s="85">
        <f t="shared" si="427"/>
        <v>0</v>
      </c>
      <c r="BD580" s="85">
        <f t="shared" si="428"/>
        <v>0</v>
      </c>
      <c r="BE580" s="85">
        <f t="shared" si="429"/>
        <v>0</v>
      </c>
      <c r="BF580" s="85">
        <f t="shared" si="430"/>
        <v>0</v>
      </c>
      <c r="BG580" s="85">
        <f t="shared" si="431"/>
        <v>0</v>
      </c>
      <c r="BH580" s="85">
        <f t="shared" si="432"/>
        <v>0</v>
      </c>
      <c r="BI580" s="85">
        <f t="shared" si="433"/>
        <v>0</v>
      </c>
      <c r="BJ580" s="85">
        <f t="shared" si="434"/>
        <v>0</v>
      </c>
      <c r="BK580" s="85">
        <f t="shared" si="435"/>
        <v>0</v>
      </c>
      <c r="BL580" s="85">
        <f t="shared" si="436"/>
        <v>0</v>
      </c>
      <c r="BM580" s="85">
        <f t="shared" si="437"/>
        <v>0</v>
      </c>
      <c r="BN580" s="85">
        <f t="shared" si="438"/>
        <v>0</v>
      </c>
      <c r="BO580" s="85">
        <f t="shared" si="439"/>
        <v>0</v>
      </c>
      <c r="BP580" s="85">
        <f t="shared" si="440"/>
        <v>0</v>
      </c>
      <c r="BQ580" s="85">
        <f t="shared" si="441"/>
        <v>0</v>
      </c>
      <c r="BR580" s="85">
        <f t="shared" si="442"/>
        <v>0</v>
      </c>
      <c r="BT580" s="63"/>
      <c r="BU580" s="63"/>
      <c r="BV580" s="63"/>
      <c r="BW580" s="63"/>
      <c r="BX580" s="63"/>
      <c r="BY580" s="63"/>
      <c r="BZ580" s="63"/>
      <c r="CA580" s="63"/>
      <c r="CB580" s="63"/>
      <c r="CC580" s="63"/>
      <c r="CD580" s="63"/>
      <c r="CE580" s="63"/>
      <c r="CF580" s="63"/>
      <c r="CG580" s="63"/>
      <c r="CH580" s="63"/>
      <c r="CI580" s="63"/>
      <c r="CJ580" s="63"/>
      <c r="CK580" s="63"/>
      <c r="CL580" s="63"/>
      <c r="CM580" s="63"/>
      <c r="CN580" s="63"/>
      <c r="CO580" s="63"/>
      <c r="CP580" s="63"/>
      <c r="CQ580" s="63"/>
      <c r="CR580" s="63"/>
      <c r="CS580" s="63"/>
      <c r="CX580" s="35" t="s">
        <v>12</v>
      </c>
      <c r="CZ580" s="35"/>
      <c r="DC580" s="57" t="str">
        <f t="shared" si="447"/>
        <v/>
      </c>
      <c r="DD580" s="64" t="str">
        <f t="shared" si="443"/>
        <v/>
      </c>
      <c r="DE580" s="65" t="str">
        <f t="shared" si="444"/>
        <v/>
      </c>
      <c r="DF580" s="66" t="str">
        <f t="shared" si="452"/>
        <v/>
      </c>
    </row>
    <row r="581" spans="2:110">
      <c r="B581" s="54">
        <f t="shared" si="448"/>
        <v>47119</v>
      </c>
      <c r="C581" s="55" t="s">
        <v>1</v>
      </c>
      <c r="D581" s="56">
        <f t="shared" si="449"/>
        <v>47125</v>
      </c>
      <c r="E581" s="52">
        <f t="shared" si="450"/>
        <v>1</v>
      </c>
      <c r="F581" s="53">
        <f t="shared" si="451"/>
        <v>2029</v>
      </c>
      <c r="G581" s="62">
        <f t="shared" si="445"/>
        <v>15</v>
      </c>
      <c r="H581" s="63">
        <f t="shared" si="446"/>
        <v>96</v>
      </c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80"/>
      <c r="AG581" s="87">
        <f t="shared" si="406"/>
        <v>0</v>
      </c>
      <c r="AH581" s="87">
        <f t="shared" si="407"/>
        <v>0</v>
      </c>
      <c r="AI581" s="87">
        <f t="shared" si="408"/>
        <v>0</v>
      </c>
      <c r="AJ581" s="87">
        <f t="shared" si="409"/>
        <v>0</v>
      </c>
      <c r="AK581" s="87">
        <f t="shared" si="410"/>
        <v>0</v>
      </c>
      <c r="AL581" s="87">
        <f t="shared" si="411"/>
        <v>0</v>
      </c>
      <c r="AM581" s="87">
        <f t="shared" si="412"/>
        <v>0</v>
      </c>
      <c r="AN581" s="87">
        <f t="shared" si="413"/>
        <v>0</v>
      </c>
      <c r="AO581" s="87">
        <f t="shared" si="414"/>
        <v>0</v>
      </c>
      <c r="AP581" s="87">
        <f t="shared" si="415"/>
        <v>0</v>
      </c>
      <c r="AQ581" s="87">
        <f t="shared" si="416"/>
        <v>0</v>
      </c>
      <c r="AR581" s="81"/>
      <c r="AS581" s="85">
        <f t="shared" si="417"/>
        <v>0</v>
      </c>
      <c r="AT581" s="85">
        <f t="shared" si="418"/>
        <v>0</v>
      </c>
      <c r="AU581" s="85">
        <f t="shared" si="419"/>
        <v>0</v>
      </c>
      <c r="AV581" s="85">
        <f t="shared" si="420"/>
        <v>0</v>
      </c>
      <c r="AW581" s="85">
        <f t="shared" si="421"/>
        <v>0</v>
      </c>
      <c r="AX581" s="85">
        <f t="shared" si="422"/>
        <v>0</v>
      </c>
      <c r="AY581" s="85">
        <f t="shared" si="423"/>
        <v>0</v>
      </c>
      <c r="AZ581" s="85">
        <f t="shared" si="424"/>
        <v>0</v>
      </c>
      <c r="BA581" s="85">
        <f t="shared" si="425"/>
        <v>0</v>
      </c>
      <c r="BB581" s="85">
        <f t="shared" si="426"/>
        <v>0</v>
      </c>
      <c r="BC581" s="85">
        <f t="shared" si="427"/>
        <v>0</v>
      </c>
      <c r="BD581" s="85">
        <f t="shared" si="428"/>
        <v>0</v>
      </c>
      <c r="BE581" s="85">
        <f t="shared" si="429"/>
        <v>0</v>
      </c>
      <c r="BF581" s="85">
        <f t="shared" si="430"/>
        <v>0</v>
      </c>
      <c r="BG581" s="85">
        <f t="shared" si="431"/>
        <v>0</v>
      </c>
      <c r="BH581" s="85">
        <f t="shared" si="432"/>
        <v>0</v>
      </c>
      <c r="BI581" s="85">
        <f t="shared" si="433"/>
        <v>0</v>
      </c>
      <c r="BJ581" s="85">
        <f t="shared" si="434"/>
        <v>0</v>
      </c>
      <c r="BK581" s="85">
        <f t="shared" si="435"/>
        <v>0</v>
      </c>
      <c r="BL581" s="85">
        <f t="shared" si="436"/>
        <v>0</v>
      </c>
      <c r="BM581" s="85">
        <f t="shared" si="437"/>
        <v>0</v>
      </c>
      <c r="BN581" s="85">
        <f t="shared" si="438"/>
        <v>0</v>
      </c>
      <c r="BO581" s="85">
        <f t="shared" si="439"/>
        <v>0</v>
      </c>
      <c r="BP581" s="85">
        <f t="shared" si="440"/>
        <v>0</v>
      </c>
      <c r="BQ581" s="85">
        <f t="shared" si="441"/>
        <v>0</v>
      </c>
      <c r="BR581" s="85">
        <f t="shared" si="442"/>
        <v>0</v>
      </c>
      <c r="BT581" s="63"/>
      <c r="BU581" s="63"/>
      <c r="BV581" s="63"/>
      <c r="BW581" s="63"/>
      <c r="BX581" s="63"/>
      <c r="BY581" s="63"/>
      <c r="BZ581" s="63"/>
      <c r="CA581" s="63"/>
      <c r="CB581" s="63"/>
      <c r="CC581" s="63"/>
      <c r="CD581" s="63"/>
      <c r="CE581" s="63"/>
      <c r="CF581" s="63"/>
      <c r="CG581" s="63"/>
      <c r="CH581" s="63"/>
      <c r="CI581" s="63"/>
      <c r="CJ581" s="63"/>
      <c r="CK581" s="63"/>
      <c r="CL581" s="63"/>
      <c r="CM581" s="63"/>
      <c r="CN581" s="63"/>
      <c r="CO581" s="63"/>
      <c r="CP581" s="63"/>
      <c r="CQ581" s="63"/>
      <c r="CR581" s="63"/>
      <c r="CS581" s="63"/>
      <c r="CX581" s="35" t="s">
        <v>12</v>
      </c>
      <c r="CZ581" s="35"/>
      <c r="DC581" s="57" t="str">
        <f t="shared" si="447"/>
        <v/>
      </c>
      <c r="DD581" s="64" t="str">
        <f t="shared" si="443"/>
        <v/>
      </c>
      <c r="DE581" s="65" t="str">
        <f t="shared" si="444"/>
        <v/>
      </c>
      <c r="DF581" s="66" t="str">
        <f t="shared" si="452"/>
        <v/>
      </c>
    </row>
    <row r="582" spans="2:110">
      <c r="B582" s="54">
        <f t="shared" si="448"/>
        <v>47126</v>
      </c>
      <c r="C582" s="55" t="s">
        <v>1</v>
      </c>
      <c r="D582" s="56">
        <f t="shared" si="449"/>
        <v>47132</v>
      </c>
      <c r="E582" s="52">
        <f t="shared" si="450"/>
        <v>1</v>
      </c>
      <c r="F582" s="53">
        <f t="shared" si="451"/>
        <v>2029</v>
      </c>
      <c r="G582" s="62">
        <f t="shared" si="445"/>
        <v>15</v>
      </c>
      <c r="H582" s="63">
        <f t="shared" si="446"/>
        <v>96</v>
      </c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80"/>
      <c r="AG582" s="87">
        <f t="shared" si="406"/>
        <v>0</v>
      </c>
      <c r="AH582" s="87">
        <f t="shared" si="407"/>
        <v>0</v>
      </c>
      <c r="AI582" s="87">
        <f t="shared" si="408"/>
        <v>0</v>
      </c>
      <c r="AJ582" s="87">
        <f t="shared" si="409"/>
        <v>0</v>
      </c>
      <c r="AK582" s="87">
        <f t="shared" si="410"/>
        <v>0</v>
      </c>
      <c r="AL582" s="87">
        <f t="shared" si="411"/>
        <v>0</v>
      </c>
      <c r="AM582" s="87">
        <f t="shared" si="412"/>
        <v>0</v>
      </c>
      <c r="AN582" s="87">
        <f t="shared" si="413"/>
        <v>0</v>
      </c>
      <c r="AO582" s="87">
        <f t="shared" si="414"/>
        <v>0</v>
      </c>
      <c r="AP582" s="87">
        <f t="shared" si="415"/>
        <v>0</v>
      </c>
      <c r="AQ582" s="87">
        <f t="shared" si="416"/>
        <v>0</v>
      </c>
      <c r="AR582" s="81"/>
      <c r="AS582" s="85">
        <f t="shared" si="417"/>
        <v>0</v>
      </c>
      <c r="AT582" s="85">
        <f t="shared" si="418"/>
        <v>0</v>
      </c>
      <c r="AU582" s="85">
        <f t="shared" si="419"/>
        <v>0</v>
      </c>
      <c r="AV582" s="85">
        <f t="shared" si="420"/>
        <v>0</v>
      </c>
      <c r="AW582" s="85">
        <f t="shared" si="421"/>
        <v>0</v>
      </c>
      <c r="AX582" s="85">
        <f t="shared" si="422"/>
        <v>0</v>
      </c>
      <c r="AY582" s="85">
        <f t="shared" si="423"/>
        <v>0</v>
      </c>
      <c r="AZ582" s="85">
        <f t="shared" si="424"/>
        <v>0</v>
      </c>
      <c r="BA582" s="85">
        <f t="shared" si="425"/>
        <v>0</v>
      </c>
      <c r="BB582" s="85">
        <f t="shared" si="426"/>
        <v>0</v>
      </c>
      <c r="BC582" s="85">
        <f t="shared" si="427"/>
        <v>0</v>
      </c>
      <c r="BD582" s="85">
        <f t="shared" si="428"/>
        <v>0</v>
      </c>
      <c r="BE582" s="85">
        <f t="shared" si="429"/>
        <v>0</v>
      </c>
      <c r="BF582" s="85">
        <f t="shared" si="430"/>
        <v>0</v>
      </c>
      <c r="BG582" s="85">
        <f t="shared" si="431"/>
        <v>0</v>
      </c>
      <c r="BH582" s="85">
        <f t="shared" si="432"/>
        <v>0</v>
      </c>
      <c r="BI582" s="85">
        <f t="shared" si="433"/>
        <v>0</v>
      </c>
      <c r="BJ582" s="85">
        <f t="shared" si="434"/>
        <v>0</v>
      </c>
      <c r="BK582" s="85">
        <f t="shared" si="435"/>
        <v>0</v>
      </c>
      <c r="BL582" s="85">
        <f t="shared" si="436"/>
        <v>0</v>
      </c>
      <c r="BM582" s="85">
        <f t="shared" si="437"/>
        <v>0</v>
      </c>
      <c r="BN582" s="85">
        <f t="shared" si="438"/>
        <v>0</v>
      </c>
      <c r="BO582" s="85">
        <f t="shared" si="439"/>
        <v>0</v>
      </c>
      <c r="BP582" s="85">
        <f t="shared" si="440"/>
        <v>0</v>
      </c>
      <c r="BQ582" s="85">
        <f t="shared" si="441"/>
        <v>0</v>
      </c>
      <c r="BR582" s="85">
        <f t="shared" si="442"/>
        <v>0</v>
      </c>
      <c r="BT582" s="63"/>
      <c r="BU582" s="63"/>
      <c r="BV582" s="63"/>
      <c r="BW582" s="63"/>
      <c r="BX582" s="63"/>
      <c r="BY582" s="63"/>
      <c r="BZ582" s="63"/>
      <c r="CA582" s="63"/>
      <c r="CB582" s="63"/>
      <c r="CC582" s="63"/>
      <c r="CD582" s="63"/>
      <c r="CE582" s="63"/>
      <c r="CF582" s="63"/>
      <c r="CG582" s="63"/>
      <c r="CH582" s="63"/>
      <c r="CI582" s="63"/>
      <c r="CJ582" s="63"/>
      <c r="CK582" s="63"/>
      <c r="CL582" s="63"/>
      <c r="CM582" s="63"/>
      <c r="CN582" s="63"/>
      <c r="CO582" s="63"/>
      <c r="CP582" s="63"/>
      <c r="CQ582" s="63"/>
      <c r="CR582" s="63"/>
      <c r="CS582" s="63"/>
      <c r="CX582" s="35" t="s">
        <v>12</v>
      </c>
      <c r="CZ582" s="35"/>
      <c r="DC582" s="57" t="str">
        <f t="shared" si="447"/>
        <v/>
      </c>
      <c r="DD582" s="64" t="str">
        <f t="shared" si="443"/>
        <v/>
      </c>
      <c r="DE582" s="65" t="str">
        <f t="shared" si="444"/>
        <v/>
      </c>
      <c r="DF582" s="66" t="str">
        <f t="shared" si="452"/>
        <v/>
      </c>
    </row>
    <row r="583" spans="2:110">
      <c r="B583" s="54">
        <f t="shared" si="448"/>
        <v>47133</v>
      </c>
      <c r="C583" s="55" t="s">
        <v>1</v>
      </c>
      <c r="D583" s="56">
        <f t="shared" si="449"/>
        <v>47139</v>
      </c>
      <c r="E583" s="52">
        <f t="shared" si="450"/>
        <v>1</v>
      </c>
      <c r="F583" s="53">
        <f t="shared" si="451"/>
        <v>2029</v>
      </c>
      <c r="G583" s="62">
        <f t="shared" si="445"/>
        <v>15</v>
      </c>
      <c r="H583" s="63">
        <f t="shared" si="446"/>
        <v>96</v>
      </c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80"/>
      <c r="AG583" s="87">
        <f t="shared" ref="AG583:AG646" si="453">IF(I583&gt;0,I583,IF(U583=1,$B583+2,IF(U582=1,1,IF(U582=2,0,IF(AG582=$G582,0,(IF(AG582&gt;=1,AG582+1,0)))))))</f>
        <v>0</v>
      </c>
      <c r="AH583" s="87">
        <f t="shared" ref="AH583:AH646" si="454">IF(J583&gt;0,J583,IF(V583=1,$B583+2,IF(V582=1,1,IF(V582=2,0,IF(AH582=$G582,0,(IF(AH582&gt;=1,AH582+1,0)))))))</f>
        <v>0</v>
      </c>
      <c r="AI583" s="87">
        <f t="shared" ref="AI583:AI646" si="455">IF(K583&gt;0,K583,IF(W583=1,$B583+2,IF(W582=1,1,IF(W582=2,0,IF(AI582=$G582,0,(IF(AI582&gt;=1,AI582+1,0)))))))</f>
        <v>0</v>
      </c>
      <c r="AJ583" s="87">
        <f t="shared" ref="AJ583:AJ646" si="456">IF(L583&gt;0,L583,IF(X583=1,$B583+2,IF(X582=1,1,IF(X582=2,0,IF(AJ582=$G582,0,(IF(AJ582&gt;=1,AJ582+1,0)))))))</f>
        <v>0</v>
      </c>
      <c r="AK583" s="87">
        <f t="shared" ref="AK583:AK646" si="457">IF(M583&gt;0,M583,IF(Y583=1,$B583+2,IF(Y582=1,1,IF(Y582=2,0,IF(AK582=$G582,0,(IF(AK582&gt;=1,AK582+1,0)))))))</f>
        <v>0</v>
      </c>
      <c r="AL583" s="87">
        <f t="shared" ref="AL583:AL646" si="458">IF(N583&gt;0,N583,IF(Z583=1,$B583+2,IF(Z582=1,1,IF(Z582=2,0,IF(AL582=$G582,0,(IF(AL582&gt;=1,AL582+1,0)))))))</f>
        <v>0</v>
      </c>
      <c r="AM583" s="87">
        <f t="shared" ref="AM583:AM646" si="459">IF(O583&gt;0,O583,IF(AA583=1,$B583+2,IF(AA582=1,1,IF(AA582=2,0,IF(AM582=$G582,0,(IF(AM582&gt;=1,AM582+1,0)))))))</f>
        <v>0</v>
      </c>
      <c r="AN583" s="87">
        <f t="shared" ref="AN583:AN646" si="460">IF(P583&gt;0,P583,IF(AB583=1,$B583+2,IF(AB582=1,1,IF(AB582=2,0,IF(AN582=$G582,0,(IF(AN582&gt;=1,AN582+1,0)))))))</f>
        <v>0</v>
      </c>
      <c r="AO583" s="87">
        <f t="shared" ref="AO583:AO646" si="461">IF(Q583&gt;0,Q583,IF(AC583=1,$B583+2,IF(AC582=1,1,IF(AC582=2,0,IF(AO582=$G582,0,(IF(AO582&gt;=1,AO582+1,0)))))))</f>
        <v>0</v>
      </c>
      <c r="AP583" s="87">
        <f t="shared" ref="AP583:AP646" si="462">IF(R583&gt;0,R583,IF(AD583=1,$B583+2,IF(AD582=1,1,IF(AD582=2,0,IF(AP582=$G582,0,(IF(AP582&gt;=1,AP582+1,0)))))))</f>
        <v>0</v>
      </c>
      <c r="AQ583" s="87">
        <f t="shared" ref="AQ583:AQ646" si="463">IF(S583&gt;0,S583,IF(AE583=1,$B583+2,IF(AE582=1,1,IF(AE582=2,0,IF(AQ582=$G582,0,(IF(AQ582&gt;=1,AQ582+1,0)))))))</f>
        <v>0</v>
      </c>
      <c r="AR583" s="81"/>
      <c r="AS583" s="85">
        <f t="shared" ref="AS583:AS646" si="464">IF(AND(BT583&gt;=$AG$5,BT583&lt;=$AQ$5),LOOKUP(BT583,$AG$5:$AQ$5,$AG583:$AQ583),IF(BT582="A",0,IF(AS582=$H583,0,IF(AS582=0,0,AS582+1))))</f>
        <v>0</v>
      </c>
      <c r="AT583" s="85">
        <f t="shared" ref="AT583:AT646" si="465">IF(AND(BU583&gt;=$AG$5,BU583&lt;=$AQ$5),LOOKUP(BU583,$AG$5:$AQ$5,$AG583:$AQ583),IF(BU582="A",0,IF(AT582=$H583,0,IF(AT582=0,0,AT582+1))))</f>
        <v>0</v>
      </c>
      <c r="AU583" s="85">
        <f t="shared" ref="AU583:AU646" si="466">IF(AND(BV583&gt;=$AG$5,BV583&lt;=$AQ$5),LOOKUP(BV583,$AG$5:$AQ$5,$AG583:$AQ583),IF(BV582="A",0,IF(AU582=$H583,0,IF(AU582=0,0,AU582+1))))</f>
        <v>0</v>
      </c>
      <c r="AV583" s="85">
        <f t="shared" ref="AV583:AV646" si="467">IF(AND(BW583&gt;=$AG$5,BW583&lt;=$AQ$5),LOOKUP(BW583,$AG$5:$AQ$5,$AG583:$AQ583),IF(BW582="A",0,IF(AV582=$H583,0,IF(AV582=0,0,AV582+1))))</f>
        <v>0</v>
      </c>
      <c r="AW583" s="85">
        <f t="shared" ref="AW583:AW646" si="468">IF(AND(BX583&gt;=$AG$5,BX583&lt;=$AQ$5),LOOKUP(BX583,$AG$5:$AQ$5,$AG583:$AQ583),IF(BX582="A",0,IF(AW582=$H583,0,IF(AW582=0,0,AW582+1))))</f>
        <v>0</v>
      </c>
      <c r="AX583" s="85">
        <f t="shared" ref="AX583:AX646" si="469">IF(AND(BY583&gt;=$AG$5,BY583&lt;=$AQ$5),LOOKUP(BY583,$AG$5:$AQ$5,$AG583:$AQ583),IF(BY582="A",0,IF(AX582=$H583,0,IF(AX582=0,0,AX582+1))))</f>
        <v>0</v>
      </c>
      <c r="AY583" s="85">
        <f t="shared" ref="AY583:AY646" si="470">IF(AND(BZ583&gt;=$AG$5,BZ583&lt;=$AQ$5),LOOKUP(BZ583,$AG$5:$AQ$5,$AG583:$AQ583),IF(BZ582="A",0,IF(AY582=$H583,0,IF(AY582=0,0,AY582+1))))</f>
        <v>0</v>
      </c>
      <c r="AZ583" s="85">
        <f t="shared" ref="AZ583:AZ646" si="471">IF(AND(CA583&gt;=$AG$5,CA583&lt;=$AQ$5),LOOKUP(CA583,$AG$5:$AQ$5,$AG583:$AQ583),IF(CA582="A",0,IF(AZ582=$H583,0,IF(AZ582=0,0,AZ582+1))))</f>
        <v>0</v>
      </c>
      <c r="BA583" s="85">
        <f t="shared" ref="BA583:BA646" si="472">IF(AND(CB583&gt;=$AG$5,CB583&lt;=$AQ$5),LOOKUP(CB583,$AG$5:$AQ$5,$AG583:$AQ583),IF(CB582="A",0,IF(BA582=$H583,0,IF(BA582=0,0,BA582+1))))</f>
        <v>0</v>
      </c>
      <c r="BB583" s="85">
        <f t="shared" ref="BB583:BB646" si="473">IF(AND(CC583&gt;=$AG$5,CC583&lt;=$AQ$5),LOOKUP(CC583,$AG$5:$AQ$5,$AG583:$AQ583),IF(CC582="A",0,IF(BB582=$H583,0,IF(BB582=0,0,BB582+1))))</f>
        <v>0</v>
      </c>
      <c r="BC583" s="85">
        <f t="shared" ref="BC583:BC646" si="474">IF(AND(CD583&gt;=$AG$5,CD583&lt;=$AQ$5),LOOKUP(CD583,$AG$5:$AQ$5,$AG583:$AQ583),IF(CD582="A",0,IF(BC582=$H583,0,IF(BC582=0,0,BC582+1))))</f>
        <v>0</v>
      </c>
      <c r="BD583" s="85">
        <f t="shared" ref="BD583:BD646" si="475">IF(AND(CE583&gt;=$AG$5,CE583&lt;=$AQ$5),LOOKUP(CE583,$AG$5:$AQ$5,$AG583:$AQ583),IF(CE582="A",0,IF(BD582=$H583,0,IF(BD582=0,0,BD582+1))))</f>
        <v>0</v>
      </c>
      <c r="BE583" s="85">
        <f t="shared" ref="BE583:BE646" si="476">IF(AND(CF583&gt;=$AG$5,CF583&lt;=$AQ$5),LOOKUP(CF583,$AG$5:$AQ$5,$AG583:$AQ583),IF(CF582="A",0,IF(BE582=$H583,0,IF(BE582=0,0,BE582+1))))</f>
        <v>0</v>
      </c>
      <c r="BF583" s="85">
        <f t="shared" ref="BF583:BF646" si="477">IF(AND(CG583&gt;=$AG$5,CG583&lt;=$AQ$5),LOOKUP(CG583,$AG$5:$AQ$5,$AG583:$AQ583),IF(CG582="A",0,IF(BF582=$H583,0,IF(BF582=0,0,BF582+1))))</f>
        <v>0</v>
      </c>
      <c r="BG583" s="85">
        <f t="shared" ref="BG583:BG646" si="478">IF(AND(CH583&gt;=$AG$5,CH583&lt;=$AQ$5),LOOKUP(CH583,$AG$5:$AQ$5,$AG583:$AQ583),IF(CH582="A",0,IF(BG582=$H583,0,IF(BG582=0,0,BG582+1))))</f>
        <v>0</v>
      </c>
      <c r="BH583" s="85">
        <f t="shared" ref="BH583:BH646" si="479">IF(AND(CI583&gt;=$AG$5,CI583&lt;=$AQ$5),LOOKUP(CI583,$AG$5:$AQ$5,$AG583:$AQ583),IF(CI582="A",0,IF(BH582=$H583,0,IF(BH582=0,0,BH582+1))))</f>
        <v>0</v>
      </c>
      <c r="BI583" s="85">
        <f t="shared" ref="BI583:BI646" si="480">IF(AND(CJ583&gt;=$AG$5,CJ583&lt;=$AQ$5),LOOKUP(CJ583,$AG$5:$AQ$5,$AG583:$AQ583),IF(CJ582="A",0,IF(BI582=$H583,0,IF(BI582=0,0,BI582+1))))</f>
        <v>0</v>
      </c>
      <c r="BJ583" s="85">
        <f t="shared" ref="BJ583:BJ646" si="481">IF(AND(CK583&gt;=$AG$5,CK583&lt;=$AQ$5),LOOKUP(CK583,$AG$5:$AQ$5,$AG583:$AQ583),IF(CK582="A",0,IF(BJ582=$H583,0,IF(BJ582=0,0,BJ582+1))))</f>
        <v>0</v>
      </c>
      <c r="BK583" s="85">
        <f t="shared" ref="BK583:BK646" si="482">IF(AND(CL583&gt;=$AG$5,CL583&lt;=$AQ$5),LOOKUP(CL583,$AG$5:$AQ$5,$AG583:$AQ583),IF(CL582="A",0,IF(BK582=$H583,0,IF(BK582=0,0,BK582+1))))</f>
        <v>0</v>
      </c>
      <c r="BL583" s="85">
        <f t="shared" ref="BL583:BL646" si="483">IF(AND(CM583&gt;=$AG$5,CM583&lt;=$AQ$5),LOOKUP(CM583,$AG$5:$AQ$5,$AG583:$AQ583),IF(CM582="A",0,IF(BL582=$H583,0,IF(BL582=0,0,BL582+1))))</f>
        <v>0</v>
      </c>
      <c r="BM583" s="85">
        <f t="shared" ref="BM583:BM646" si="484">IF(AND(CN583&gt;=$AG$5,CN583&lt;=$AQ$5),LOOKUP(CN583,$AG$5:$AQ$5,$AG583:$AQ583),IF(CN582="A",0,IF(BM582=$H583,0,IF(BM582=0,0,BM582+1))))</f>
        <v>0</v>
      </c>
      <c r="BN583" s="85">
        <f t="shared" ref="BN583:BN646" si="485">IF(AND(CO583&gt;=$AG$5,CO583&lt;=$AQ$5),LOOKUP(CO583,$AG$5:$AQ$5,$AG583:$AQ583),IF(CO582="A",0,IF(BN582=$H583,0,IF(BN582=0,0,BN582+1))))</f>
        <v>0</v>
      </c>
      <c r="BO583" s="85">
        <f t="shared" ref="BO583:BO646" si="486">IF(AND(CP583&gt;=$AG$5,CP583&lt;=$AQ$5),LOOKUP(CP583,$AG$5:$AQ$5,$AG583:$AQ583),IF(CP582="A",0,IF(BO582=$H583,0,IF(BO582=0,0,BO582+1))))</f>
        <v>0</v>
      </c>
      <c r="BP583" s="85">
        <f t="shared" ref="BP583:BP646" si="487">IF(AND(CQ583&gt;=$AG$5,CQ583&lt;=$AQ$5),LOOKUP(CQ583,$AG$5:$AQ$5,$AG583:$AQ583),IF(CQ582="A",0,IF(BP582=$H583,0,IF(BP582=0,0,BP582+1))))</f>
        <v>0</v>
      </c>
      <c r="BQ583" s="85">
        <f t="shared" ref="BQ583:BQ646" si="488">IF(AND(CR583&gt;=$AG$5,CR583&lt;=$AQ$5),LOOKUP(CR583,$AG$5:$AQ$5,$AG583:$AQ583),IF(CR582="A",0,IF(BQ582=$H583,0,IF(BQ582=0,0,BQ582+1))))</f>
        <v>0</v>
      </c>
      <c r="BR583" s="85">
        <f t="shared" ref="BR583:BR646" si="489">IF(AND(CS583&gt;=$AG$5,CS583&lt;=$AQ$5),LOOKUP(CS583,$AG$5:$AQ$5,$AG583:$AQ583),IF(CS582="A",0,IF(BR582=$H583,0,IF(BR582=0,0,BR582+1))))</f>
        <v>0</v>
      </c>
      <c r="BT583" s="63"/>
      <c r="BU583" s="63"/>
      <c r="BV583" s="63"/>
      <c r="BW583" s="63"/>
      <c r="BX583" s="63"/>
      <c r="BY583" s="63"/>
      <c r="BZ583" s="63"/>
      <c r="CA583" s="63"/>
      <c r="CB583" s="63"/>
      <c r="CC583" s="63"/>
      <c r="CD583" s="63"/>
      <c r="CE583" s="63"/>
      <c r="CF583" s="63"/>
      <c r="CG583" s="63"/>
      <c r="CH583" s="63"/>
      <c r="CI583" s="63"/>
      <c r="CJ583" s="63"/>
      <c r="CK583" s="63"/>
      <c r="CL583" s="63"/>
      <c r="CM583" s="63"/>
      <c r="CN583" s="63"/>
      <c r="CO583" s="63"/>
      <c r="CP583" s="63"/>
      <c r="CQ583" s="63"/>
      <c r="CR583" s="63"/>
      <c r="CS583" s="63"/>
      <c r="CX583" s="35" t="s">
        <v>12</v>
      </c>
      <c r="CZ583" s="35"/>
      <c r="DC583" s="57" t="str">
        <f t="shared" si="447"/>
        <v/>
      </c>
      <c r="DD583" s="64" t="str">
        <f t="shared" ref="DD583:DD646" si="490">IF(OR(AND($AG584=1,$AG585=2),OR(AND($AK584=1,$AK585=2),OR(AND($AO584=1,$AO585=2),OR(AND($AI584=1,$AI585=2),OR(AND($AJ584=1,$AJ585),OR(AND($AQ584=1,$AQ585=2,OR(AND($AL584=1,$AL585=2,OR(AND($AM584=1,$AM585=2,OR(AND($AN584=1,$AN585=2))))))))))))),$B583+2,"")</f>
        <v/>
      </c>
      <c r="DE583" s="65" t="str">
        <f t="shared" ref="DE583:DE646" si="491">IF(DD583="","",DD583+(15*7))</f>
        <v/>
      </c>
      <c r="DF583" s="66" t="str">
        <f t="shared" si="452"/>
        <v/>
      </c>
    </row>
    <row r="584" spans="2:110">
      <c r="B584" s="54">
        <f t="shared" si="448"/>
        <v>47140</v>
      </c>
      <c r="C584" s="55" t="s">
        <v>1</v>
      </c>
      <c r="D584" s="56">
        <f t="shared" si="449"/>
        <v>47146</v>
      </c>
      <c r="E584" s="52">
        <f t="shared" si="450"/>
        <v>1</v>
      </c>
      <c r="F584" s="53">
        <f t="shared" si="451"/>
        <v>2029</v>
      </c>
      <c r="G584" s="62">
        <f t="shared" si="445"/>
        <v>15</v>
      </c>
      <c r="H584" s="63">
        <f t="shared" si="446"/>
        <v>96</v>
      </c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80"/>
      <c r="AG584" s="87">
        <f t="shared" si="453"/>
        <v>0</v>
      </c>
      <c r="AH584" s="87">
        <f t="shared" si="454"/>
        <v>0</v>
      </c>
      <c r="AI584" s="87">
        <f t="shared" si="455"/>
        <v>0</v>
      </c>
      <c r="AJ584" s="87">
        <f t="shared" si="456"/>
        <v>0</v>
      </c>
      <c r="AK584" s="87">
        <f t="shared" si="457"/>
        <v>0</v>
      </c>
      <c r="AL584" s="87">
        <f t="shared" si="458"/>
        <v>0</v>
      </c>
      <c r="AM584" s="87">
        <f t="shared" si="459"/>
        <v>0</v>
      </c>
      <c r="AN584" s="87">
        <f t="shared" si="460"/>
        <v>0</v>
      </c>
      <c r="AO584" s="87">
        <f t="shared" si="461"/>
        <v>0</v>
      </c>
      <c r="AP584" s="87">
        <f t="shared" si="462"/>
        <v>0</v>
      </c>
      <c r="AQ584" s="87">
        <f t="shared" si="463"/>
        <v>0</v>
      </c>
      <c r="AR584" s="81"/>
      <c r="AS584" s="85">
        <f t="shared" si="464"/>
        <v>0</v>
      </c>
      <c r="AT584" s="85">
        <f t="shared" si="465"/>
        <v>0</v>
      </c>
      <c r="AU584" s="85">
        <f t="shared" si="466"/>
        <v>0</v>
      </c>
      <c r="AV584" s="85">
        <f t="shared" si="467"/>
        <v>0</v>
      </c>
      <c r="AW584" s="85">
        <f t="shared" si="468"/>
        <v>0</v>
      </c>
      <c r="AX584" s="85">
        <f t="shared" si="469"/>
        <v>0</v>
      </c>
      <c r="AY584" s="85">
        <f t="shared" si="470"/>
        <v>0</v>
      </c>
      <c r="AZ584" s="85">
        <f t="shared" si="471"/>
        <v>0</v>
      </c>
      <c r="BA584" s="85">
        <f t="shared" si="472"/>
        <v>0</v>
      </c>
      <c r="BB584" s="85">
        <f t="shared" si="473"/>
        <v>0</v>
      </c>
      <c r="BC584" s="85">
        <f t="shared" si="474"/>
        <v>0</v>
      </c>
      <c r="BD584" s="85">
        <f t="shared" si="475"/>
        <v>0</v>
      </c>
      <c r="BE584" s="85">
        <f t="shared" si="476"/>
        <v>0</v>
      </c>
      <c r="BF584" s="85">
        <f t="shared" si="477"/>
        <v>0</v>
      </c>
      <c r="BG584" s="85">
        <f t="shared" si="478"/>
        <v>0</v>
      </c>
      <c r="BH584" s="85">
        <f t="shared" si="479"/>
        <v>0</v>
      </c>
      <c r="BI584" s="85">
        <f t="shared" si="480"/>
        <v>0</v>
      </c>
      <c r="BJ584" s="85">
        <f t="shared" si="481"/>
        <v>0</v>
      </c>
      <c r="BK584" s="85">
        <f t="shared" si="482"/>
        <v>0</v>
      </c>
      <c r="BL584" s="85">
        <f t="shared" si="483"/>
        <v>0</v>
      </c>
      <c r="BM584" s="85">
        <f t="shared" si="484"/>
        <v>0</v>
      </c>
      <c r="BN584" s="85">
        <f t="shared" si="485"/>
        <v>0</v>
      </c>
      <c r="BO584" s="85">
        <f t="shared" si="486"/>
        <v>0</v>
      </c>
      <c r="BP584" s="85">
        <f t="shared" si="487"/>
        <v>0</v>
      </c>
      <c r="BQ584" s="85">
        <f t="shared" si="488"/>
        <v>0</v>
      </c>
      <c r="BR584" s="85">
        <f t="shared" si="489"/>
        <v>0</v>
      </c>
      <c r="BT584" s="63"/>
      <c r="BU584" s="63"/>
      <c r="BV584" s="63"/>
      <c r="BW584" s="63"/>
      <c r="BX584" s="63"/>
      <c r="BY584" s="63"/>
      <c r="BZ584" s="63"/>
      <c r="CA584" s="63"/>
      <c r="CB584" s="63"/>
      <c r="CC584" s="63"/>
      <c r="CD584" s="63"/>
      <c r="CE584" s="63"/>
      <c r="CF584" s="63"/>
      <c r="CG584" s="63"/>
      <c r="CH584" s="63"/>
      <c r="CI584" s="63"/>
      <c r="CJ584" s="63"/>
      <c r="CK584" s="63"/>
      <c r="CL584" s="63"/>
      <c r="CM584" s="63"/>
      <c r="CN584" s="63"/>
      <c r="CO584" s="63"/>
      <c r="CP584" s="63"/>
      <c r="CQ584" s="63"/>
      <c r="CR584" s="63"/>
      <c r="CS584" s="63"/>
      <c r="CX584" s="35" t="s">
        <v>12</v>
      </c>
      <c r="CZ584" s="35"/>
      <c r="DC584" s="57" t="str">
        <f t="shared" si="447"/>
        <v/>
      </c>
      <c r="DD584" s="64" t="str">
        <f t="shared" si="490"/>
        <v/>
      </c>
      <c r="DE584" s="65" t="str">
        <f t="shared" si="491"/>
        <v/>
      </c>
      <c r="DF584" s="66" t="str">
        <f t="shared" si="452"/>
        <v/>
      </c>
    </row>
    <row r="585" spans="2:110">
      <c r="B585" s="54">
        <f t="shared" si="448"/>
        <v>47147</v>
      </c>
      <c r="C585" s="55" t="s">
        <v>1</v>
      </c>
      <c r="D585" s="56">
        <f t="shared" si="449"/>
        <v>47153</v>
      </c>
      <c r="E585" s="52">
        <f t="shared" si="450"/>
        <v>1</v>
      </c>
      <c r="F585" s="53">
        <f t="shared" si="451"/>
        <v>2029</v>
      </c>
      <c r="G585" s="62">
        <f t="shared" ref="G585:G648" si="492">G584</f>
        <v>15</v>
      </c>
      <c r="H585" s="63">
        <f t="shared" ref="H585:H648" si="493">H584</f>
        <v>96</v>
      </c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80"/>
      <c r="AG585" s="87">
        <f t="shared" si="453"/>
        <v>0</v>
      </c>
      <c r="AH585" s="87">
        <f t="shared" si="454"/>
        <v>0</v>
      </c>
      <c r="AI585" s="87">
        <f t="shared" si="455"/>
        <v>0</v>
      </c>
      <c r="AJ585" s="87">
        <f t="shared" si="456"/>
        <v>0</v>
      </c>
      <c r="AK585" s="87">
        <f t="shared" si="457"/>
        <v>0</v>
      </c>
      <c r="AL585" s="87">
        <f t="shared" si="458"/>
        <v>0</v>
      </c>
      <c r="AM585" s="87">
        <f t="shared" si="459"/>
        <v>0</v>
      </c>
      <c r="AN585" s="87">
        <f t="shared" si="460"/>
        <v>0</v>
      </c>
      <c r="AO585" s="87">
        <f t="shared" si="461"/>
        <v>0</v>
      </c>
      <c r="AP585" s="87">
        <f t="shared" si="462"/>
        <v>0</v>
      </c>
      <c r="AQ585" s="87">
        <f t="shared" si="463"/>
        <v>0</v>
      </c>
      <c r="AR585" s="81"/>
      <c r="AS585" s="85">
        <f t="shared" si="464"/>
        <v>0</v>
      </c>
      <c r="AT585" s="85">
        <f t="shared" si="465"/>
        <v>0</v>
      </c>
      <c r="AU585" s="85">
        <f t="shared" si="466"/>
        <v>0</v>
      </c>
      <c r="AV585" s="85">
        <f t="shared" si="467"/>
        <v>0</v>
      </c>
      <c r="AW585" s="85">
        <f t="shared" si="468"/>
        <v>0</v>
      </c>
      <c r="AX585" s="85">
        <f t="shared" si="469"/>
        <v>0</v>
      </c>
      <c r="AY585" s="85">
        <f t="shared" si="470"/>
        <v>0</v>
      </c>
      <c r="AZ585" s="85">
        <f t="shared" si="471"/>
        <v>0</v>
      </c>
      <c r="BA585" s="85">
        <f t="shared" si="472"/>
        <v>0</v>
      </c>
      <c r="BB585" s="85">
        <f t="shared" si="473"/>
        <v>0</v>
      </c>
      <c r="BC585" s="85">
        <f t="shared" si="474"/>
        <v>0</v>
      </c>
      <c r="BD585" s="85">
        <f t="shared" si="475"/>
        <v>0</v>
      </c>
      <c r="BE585" s="85">
        <f t="shared" si="476"/>
        <v>0</v>
      </c>
      <c r="BF585" s="85">
        <f t="shared" si="477"/>
        <v>0</v>
      </c>
      <c r="BG585" s="85">
        <f t="shared" si="478"/>
        <v>0</v>
      </c>
      <c r="BH585" s="85">
        <f t="shared" si="479"/>
        <v>0</v>
      </c>
      <c r="BI585" s="85">
        <f t="shared" si="480"/>
        <v>0</v>
      </c>
      <c r="BJ585" s="85">
        <f t="shared" si="481"/>
        <v>0</v>
      </c>
      <c r="BK585" s="85">
        <f t="shared" si="482"/>
        <v>0</v>
      </c>
      <c r="BL585" s="85">
        <f t="shared" si="483"/>
        <v>0</v>
      </c>
      <c r="BM585" s="85">
        <f t="shared" si="484"/>
        <v>0</v>
      </c>
      <c r="BN585" s="85">
        <f t="shared" si="485"/>
        <v>0</v>
      </c>
      <c r="BO585" s="85">
        <f t="shared" si="486"/>
        <v>0</v>
      </c>
      <c r="BP585" s="85">
        <f t="shared" si="487"/>
        <v>0</v>
      </c>
      <c r="BQ585" s="85">
        <f t="shared" si="488"/>
        <v>0</v>
      </c>
      <c r="BR585" s="85">
        <f t="shared" si="489"/>
        <v>0</v>
      </c>
      <c r="BT585" s="63"/>
      <c r="BU585" s="63"/>
      <c r="BV585" s="63"/>
      <c r="BW585" s="63"/>
      <c r="BX585" s="63"/>
      <c r="BY585" s="63"/>
      <c r="BZ585" s="63"/>
      <c r="CA585" s="63"/>
      <c r="CB585" s="63"/>
      <c r="CC585" s="63"/>
      <c r="CD585" s="63"/>
      <c r="CE585" s="63"/>
      <c r="CF585" s="63"/>
      <c r="CG585" s="63"/>
      <c r="CH585" s="63"/>
      <c r="CI585" s="63"/>
      <c r="CJ585" s="63"/>
      <c r="CK585" s="63"/>
      <c r="CL585" s="63"/>
      <c r="CM585" s="63"/>
      <c r="CN585" s="63"/>
      <c r="CO585" s="63"/>
      <c r="CP585" s="63"/>
      <c r="CQ585" s="63"/>
      <c r="CR585" s="63"/>
      <c r="CS585" s="63"/>
      <c r="CX585" s="35" t="s">
        <v>12</v>
      </c>
      <c r="CZ585" s="35"/>
      <c r="DC585" s="57" t="str">
        <f t="shared" si="447"/>
        <v/>
      </c>
      <c r="DD585" s="64" t="str">
        <f t="shared" si="490"/>
        <v/>
      </c>
      <c r="DE585" s="65" t="str">
        <f t="shared" si="491"/>
        <v/>
      </c>
      <c r="DF585" s="66" t="str">
        <f t="shared" si="452"/>
        <v/>
      </c>
    </row>
    <row r="586" spans="2:110">
      <c r="B586" s="54">
        <f t="shared" si="448"/>
        <v>47154</v>
      </c>
      <c r="C586" s="55" t="s">
        <v>1</v>
      </c>
      <c r="D586" s="56">
        <f t="shared" si="449"/>
        <v>47160</v>
      </c>
      <c r="E586" s="52">
        <f t="shared" si="450"/>
        <v>2</v>
      </c>
      <c r="F586" s="53">
        <f t="shared" si="451"/>
        <v>2029</v>
      </c>
      <c r="G586" s="62">
        <f t="shared" si="492"/>
        <v>15</v>
      </c>
      <c r="H586" s="63">
        <f t="shared" si="493"/>
        <v>96</v>
      </c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80"/>
      <c r="AG586" s="87">
        <f t="shared" si="453"/>
        <v>0</v>
      </c>
      <c r="AH586" s="87">
        <f t="shared" si="454"/>
        <v>0</v>
      </c>
      <c r="AI586" s="87">
        <f t="shared" si="455"/>
        <v>0</v>
      </c>
      <c r="AJ586" s="87">
        <f t="shared" si="456"/>
        <v>0</v>
      </c>
      <c r="AK586" s="87">
        <f t="shared" si="457"/>
        <v>0</v>
      </c>
      <c r="AL586" s="87">
        <f t="shared" si="458"/>
        <v>0</v>
      </c>
      <c r="AM586" s="87">
        <f t="shared" si="459"/>
        <v>0</v>
      </c>
      <c r="AN586" s="87">
        <f t="shared" si="460"/>
        <v>0</v>
      </c>
      <c r="AO586" s="87">
        <f t="shared" si="461"/>
        <v>0</v>
      </c>
      <c r="AP586" s="87">
        <f t="shared" si="462"/>
        <v>0</v>
      </c>
      <c r="AQ586" s="87">
        <f t="shared" si="463"/>
        <v>0</v>
      </c>
      <c r="AR586" s="81"/>
      <c r="AS586" s="85">
        <f t="shared" si="464"/>
        <v>0</v>
      </c>
      <c r="AT586" s="85">
        <f t="shared" si="465"/>
        <v>0</v>
      </c>
      <c r="AU586" s="85">
        <f t="shared" si="466"/>
        <v>0</v>
      </c>
      <c r="AV586" s="85">
        <f t="shared" si="467"/>
        <v>0</v>
      </c>
      <c r="AW586" s="85">
        <f t="shared" si="468"/>
        <v>0</v>
      </c>
      <c r="AX586" s="85">
        <f t="shared" si="469"/>
        <v>0</v>
      </c>
      <c r="AY586" s="85">
        <f t="shared" si="470"/>
        <v>0</v>
      </c>
      <c r="AZ586" s="85">
        <f t="shared" si="471"/>
        <v>0</v>
      </c>
      <c r="BA586" s="85">
        <f t="shared" si="472"/>
        <v>0</v>
      </c>
      <c r="BB586" s="85">
        <f t="shared" si="473"/>
        <v>0</v>
      </c>
      <c r="BC586" s="85">
        <f t="shared" si="474"/>
        <v>0</v>
      </c>
      <c r="BD586" s="85">
        <f t="shared" si="475"/>
        <v>0</v>
      </c>
      <c r="BE586" s="85">
        <f t="shared" si="476"/>
        <v>0</v>
      </c>
      <c r="BF586" s="85">
        <f t="shared" si="477"/>
        <v>0</v>
      </c>
      <c r="BG586" s="85">
        <f t="shared" si="478"/>
        <v>0</v>
      </c>
      <c r="BH586" s="85">
        <f t="shared" si="479"/>
        <v>0</v>
      </c>
      <c r="BI586" s="85">
        <f t="shared" si="480"/>
        <v>0</v>
      </c>
      <c r="BJ586" s="85">
        <f t="shared" si="481"/>
        <v>0</v>
      </c>
      <c r="BK586" s="85">
        <f t="shared" si="482"/>
        <v>0</v>
      </c>
      <c r="BL586" s="85">
        <f t="shared" si="483"/>
        <v>0</v>
      </c>
      <c r="BM586" s="85">
        <f t="shared" si="484"/>
        <v>0</v>
      </c>
      <c r="BN586" s="85">
        <f t="shared" si="485"/>
        <v>0</v>
      </c>
      <c r="BO586" s="85">
        <f t="shared" si="486"/>
        <v>0</v>
      </c>
      <c r="BP586" s="85">
        <f t="shared" si="487"/>
        <v>0</v>
      </c>
      <c r="BQ586" s="85">
        <f t="shared" si="488"/>
        <v>0</v>
      </c>
      <c r="BR586" s="85">
        <f t="shared" si="489"/>
        <v>0</v>
      </c>
      <c r="BT586" s="63"/>
      <c r="BU586" s="63"/>
      <c r="BV586" s="63"/>
      <c r="BW586" s="63"/>
      <c r="BX586" s="63"/>
      <c r="BY586" s="63"/>
      <c r="BZ586" s="63"/>
      <c r="CA586" s="63"/>
      <c r="CB586" s="63"/>
      <c r="CC586" s="63"/>
      <c r="CD586" s="63"/>
      <c r="CE586" s="63"/>
      <c r="CF586" s="63"/>
      <c r="CG586" s="63"/>
      <c r="CH586" s="63"/>
      <c r="CI586" s="63"/>
      <c r="CJ586" s="63"/>
      <c r="CK586" s="63"/>
      <c r="CL586" s="63"/>
      <c r="CM586" s="63"/>
      <c r="CN586" s="63"/>
      <c r="CO586" s="63"/>
      <c r="CP586" s="63"/>
      <c r="CQ586" s="63"/>
      <c r="CR586" s="63"/>
      <c r="CS586" s="63"/>
      <c r="CX586" s="35" t="s">
        <v>12</v>
      </c>
      <c r="CZ586" s="35"/>
      <c r="DC586" s="57" t="str">
        <f t="shared" ref="DC586:DC649" si="494">IF(AND(AG586&gt;0,AG585=0),$AG$5,IF(AND(AK586&gt;0,AK585=0),$AK$5,IF(AND(AO586&gt;0,AO585=0),$AO$5,IF(AND(AI586&gt;0,AI585=0),$AI$5,IF(AND(AJ586&gt;0,AJ585=0),$AJ$5,IF(AND(AQ586&gt;0,AQ585=0),$AQ$5,IF(AND(AL586&gt;0,AL585=0),$AL$5,IF(AND(AM586&gt;0,AM585=0),$AM$5,IF(AND(AN586&gt;0,AN585=0),$AN$5,"")))))))))</f>
        <v/>
      </c>
      <c r="DD586" s="64" t="str">
        <f t="shared" si="490"/>
        <v/>
      </c>
      <c r="DE586" s="65" t="str">
        <f t="shared" si="491"/>
        <v/>
      </c>
      <c r="DF586" s="66" t="str">
        <f t="shared" si="452"/>
        <v/>
      </c>
    </row>
    <row r="587" spans="2:110">
      <c r="B587" s="54">
        <f t="shared" si="448"/>
        <v>47161</v>
      </c>
      <c r="C587" s="55" t="s">
        <v>1</v>
      </c>
      <c r="D587" s="56">
        <f t="shared" si="449"/>
        <v>47167</v>
      </c>
      <c r="E587" s="52">
        <f t="shared" si="450"/>
        <v>2</v>
      </c>
      <c r="F587" s="53">
        <f t="shared" si="451"/>
        <v>2029</v>
      </c>
      <c r="G587" s="62">
        <f t="shared" si="492"/>
        <v>15</v>
      </c>
      <c r="H587" s="63">
        <f t="shared" si="493"/>
        <v>96</v>
      </c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80"/>
      <c r="AG587" s="87">
        <f t="shared" si="453"/>
        <v>0</v>
      </c>
      <c r="AH587" s="87">
        <f t="shared" si="454"/>
        <v>0</v>
      </c>
      <c r="AI587" s="87">
        <f t="shared" si="455"/>
        <v>0</v>
      </c>
      <c r="AJ587" s="87">
        <f t="shared" si="456"/>
        <v>0</v>
      </c>
      <c r="AK587" s="87">
        <f t="shared" si="457"/>
        <v>0</v>
      </c>
      <c r="AL587" s="87">
        <f t="shared" si="458"/>
        <v>0</v>
      </c>
      <c r="AM587" s="87">
        <f t="shared" si="459"/>
        <v>0</v>
      </c>
      <c r="AN587" s="87">
        <f t="shared" si="460"/>
        <v>0</v>
      </c>
      <c r="AO587" s="87">
        <f t="shared" si="461"/>
        <v>0</v>
      </c>
      <c r="AP587" s="87">
        <f t="shared" si="462"/>
        <v>0</v>
      </c>
      <c r="AQ587" s="87">
        <f t="shared" si="463"/>
        <v>0</v>
      </c>
      <c r="AR587" s="81"/>
      <c r="AS587" s="85">
        <f t="shared" si="464"/>
        <v>0</v>
      </c>
      <c r="AT587" s="85">
        <f t="shared" si="465"/>
        <v>0</v>
      </c>
      <c r="AU587" s="85">
        <f t="shared" si="466"/>
        <v>0</v>
      </c>
      <c r="AV587" s="85">
        <f t="shared" si="467"/>
        <v>0</v>
      </c>
      <c r="AW587" s="85">
        <f t="shared" si="468"/>
        <v>0</v>
      </c>
      <c r="AX587" s="85">
        <f t="shared" si="469"/>
        <v>0</v>
      </c>
      <c r="AY587" s="85">
        <f t="shared" si="470"/>
        <v>0</v>
      </c>
      <c r="AZ587" s="85">
        <f t="shared" si="471"/>
        <v>0</v>
      </c>
      <c r="BA587" s="85">
        <f t="shared" si="472"/>
        <v>0</v>
      </c>
      <c r="BB587" s="85">
        <f t="shared" si="473"/>
        <v>0</v>
      </c>
      <c r="BC587" s="85">
        <f t="shared" si="474"/>
        <v>0</v>
      </c>
      <c r="BD587" s="85">
        <f t="shared" si="475"/>
        <v>0</v>
      </c>
      <c r="BE587" s="85">
        <f t="shared" si="476"/>
        <v>0</v>
      </c>
      <c r="BF587" s="85">
        <f t="shared" si="477"/>
        <v>0</v>
      </c>
      <c r="BG587" s="85">
        <f t="shared" si="478"/>
        <v>0</v>
      </c>
      <c r="BH587" s="85">
        <f t="shared" si="479"/>
        <v>0</v>
      </c>
      <c r="BI587" s="85">
        <f t="shared" si="480"/>
        <v>0</v>
      </c>
      <c r="BJ587" s="85">
        <f t="shared" si="481"/>
        <v>0</v>
      </c>
      <c r="BK587" s="85">
        <f t="shared" si="482"/>
        <v>0</v>
      </c>
      <c r="BL587" s="85">
        <f t="shared" si="483"/>
        <v>0</v>
      </c>
      <c r="BM587" s="85">
        <f t="shared" si="484"/>
        <v>0</v>
      </c>
      <c r="BN587" s="85">
        <f t="shared" si="485"/>
        <v>0</v>
      </c>
      <c r="BO587" s="85">
        <f t="shared" si="486"/>
        <v>0</v>
      </c>
      <c r="BP587" s="85">
        <f t="shared" si="487"/>
        <v>0</v>
      </c>
      <c r="BQ587" s="85">
        <f t="shared" si="488"/>
        <v>0</v>
      </c>
      <c r="BR587" s="85">
        <f t="shared" si="489"/>
        <v>0</v>
      </c>
      <c r="BT587" s="63"/>
      <c r="BU587" s="63"/>
      <c r="BV587" s="63"/>
      <c r="BW587" s="63"/>
      <c r="BX587" s="63"/>
      <c r="BY587" s="63"/>
      <c r="BZ587" s="63"/>
      <c r="CA587" s="63"/>
      <c r="CB587" s="63"/>
      <c r="CC587" s="63"/>
      <c r="CD587" s="63"/>
      <c r="CE587" s="63"/>
      <c r="CF587" s="63"/>
      <c r="CG587" s="63"/>
      <c r="CH587" s="63"/>
      <c r="CI587" s="63"/>
      <c r="CJ587" s="63"/>
      <c r="CK587" s="63"/>
      <c r="CL587" s="63"/>
      <c r="CM587" s="63"/>
      <c r="CN587" s="63"/>
      <c r="CO587" s="63"/>
      <c r="CP587" s="63"/>
      <c r="CQ587" s="63"/>
      <c r="CR587" s="63"/>
      <c r="CS587" s="63"/>
      <c r="CX587" s="35" t="s">
        <v>12</v>
      </c>
      <c r="CZ587" s="35"/>
      <c r="DC587" s="57" t="str">
        <f t="shared" si="494"/>
        <v/>
      </c>
      <c r="DD587" s="64" t="str">
        <f t="shared" si="490"/>
        <v/>
      </c>
      <c r="DE587" s="65" t="str">
        <f t="shared" si="491"/>
        <v/>
      </c>
      <c r="DF587" s="66" t="str">
        <f t="shared" si="452"/>
        <v/>
      </c>
    </row>
    <row r="588" spans="2:110">
      <c r="B588" s="54">
        <f t="shared" si="448"/>
        <v>47168</v>
      </c>
      <c r="C588" s="55" t="s">
        <v>1</v>
      </c>
      <c r="D588" s="56">
        <f t="shared" si="449"/>
        <v>47174</v>
      </c>
      <c r="E588" s="52">
        <f t="shared" si="450"/>
        <v>2</v>
      </c>
      <c r="F588" s="53">
        <f t="shared" si="451"/>
        <v>2029</v>
      </c>
      <c r="G588" s="62">
        <f t="shared" si="492"/>
        <v>15</v>
      </c>
      <c r="H588" s="63">
        <f t="shared" si="493"/>
        <v>96</v>
      </c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80"/>
      <c r="AG588" s="87">
        <f t="shared" si="453"/>
        <v>0</v>
      </c>
      <c r="AH588" s="87">
        <f t="shared" si="454"/>
        <v>0</v>
      </c>
      <c r="AI588" s="87">
        <f t="shared" si="455"/>
        <v>0</v>
      </c>
      <c r="AJ588" s="87">
        <f t="shared" si="456"/>
        <v>0</v>
      </c>
      <c r="AK588" s="87">
        <f t="shared" si="457"/>
        <v>0</v>
      </c>
      <c r="AL588" s="87">
        <f t="shared" si="458"/>
        <v>0</v>
      </c>
      <c r="AM588" s="87">
        <f t="shared" si="459"/>
        <v>0</v>
      </c>
      <c r="AN588" s="87">
        <f t="shared" si="460"/>
        <v>0</v>
      </c>
      <c r="AO588" s="87">
        <f t="shared" si="461"/>
        <v>0</v>
      </c>
      <c r="AP588" s="87">
        <f t="shared" si="462"/>
        <v>0</v>
      </c>
      <c r="AQ588" s="87">
        <f t="shared" si="463"/>
        <v>0</v>
      </c>
      <c r="AR588" s="81"/>
      <c r="AS588" s="85">
        <f t="shared" si="464"/>
        <v>0</v>
      </c>
      <c r="AT588" s="85">
        <f t="shared" si="465"/>
        <v>0</v>
      </c>
      <c r="AU588" s="85">
        <f t="shared" si="466"/>
        <v>0</v>
      </c>
      <c r="AV588" s="85">
        <f t="shared" si="467"/>
        <v>0</v>
      </c>
      <c r="AW588" s="85">
        <f t="shared" si="468"/>
        <v>0</v>
      </c>
      <c r="AX588" s="85">
        <f t="shared" si="469"/>
        <v>0</v>
      </c>
      <c r="AY588" s="85">
        <f t="shared" si="470"/>
        <v>0</v>
      </c>
      <c r="AZ588" s="85">
        <f t="shared" si="471"/>
        <v>0</v>
      </c>
      <c r="BA588" s="85">
        <f t="shared" si="472"/>
        <v>0</v>
      </c>
      <c r="BB588" s="85">
        <f t="shared" si="473"/>
        <v>0</v>
      </c>
      <c r="BC588" s="85">
        <f t="shared" si="474"/>
        <v>0</v>
      </c>
      <c r="BD588" s="85">
        <f t="shared" si="475"/>
        <v>0</v>
      </c>
      <c r="BE588" s="85">
        <f t="shared" si="476"/>
        <v>0</v>
      </c>
      <c r="BF588" s="85">
        <f t="shared" si="477"/>
        <v>0</v>
      </c>
      <c r="BG588" s="85">
        <f t="shared" si="478"/>
        <v>0</v>
      </c>
      <c r="BH588" s="85">
        <f t="shared" si="479"/>
        <v>0</v>
      </c>
      <c r="BI588" s="85">
        <f t="shared" si="480"/>
        <v>0</v>
      </c>
      <c r="BJ588" s="85">
        <f t="shared" si="481"/>
        <v>0</v>
      </c>
      <c r="BK588" s="85">
        <f t="shared" si="482"/>
        <v>0</v>
      </c>
      <c r="BL588" s="85">
        <f t="shared" si="483"/>
        <v>0</v>
      </c>
      <c r="BM588" s="85">
        <f t="shared" si="484"/>
        <v>0</v>
      </c>
      <c r="BN588" s="85">
        <f t="shared" si="485"/>
        <v>0</v>
      </c>
      <c r="BO588" s="85">
        <f t="shared" si="486"/>
        <v>0</v>
      </c>
      <c r="BP588" s="85">
        <f t="shared" si="487"/>
        <v>0</v>
      </c>
      <c r="BQ588" s="85">
        <f t="shared" si="488"/>
        <v>0</v>
      </c>
      <c r="BR588" s="85">
        <f t="shared" si="489"/>
        <v>0</v>
      </c>
      <c r="BT588" s="63"/>
      <c r="BU588" s="63"/>
      <c r="BV588" s="63"/>
      <c r="BW588" s="63"/>
      <c r="BX588" s="63"/>
      <c r="BY588" s="63"/>
      <c r="BZ588" s="63"/>
      <c r="CA588" s="63"/>
      <c r="CB588" s="63"/>
      <c r="CC588" s="63"/>
      <c r="CD588" s="63"/>
      <c r="CE588" s="63"/>
      <c r="CF588" s="63"/>
      <c r="CG588" s="63"/>
      <c r="CH588" s="63"/>
      <c r="CI588" s="63"/>
      <c r="CJ588" s="63"/>
      <c r="CK588" s="63"/>
      <c r="CL588" s="63"/>
      <c r="CM588" s="63"/>
      <c r="CN588" s="63"/>
      <c r="CO588" s="63"/>
      <c r="CP588" s="63"/>
      <c r="CQ588" s="63"/>
      <c r="CR588" s="63"/>
      <c r="CS588" s="63"/>
      <c r="CX588" s="35" t="s">
        <v>12</v>
      </c>
      <c r="CZ588" s="35"/>
      <c r="DC588" s="57" t="str">
        <f t="shared" si="494"/>
        <v/>
      </c>
      <c r="DD588" s="64" t="str">
        <f t="shared" si="490"/>
        <v/>
      </c>
      <c r="DE588" s="65" t="str">
        <f t="shared" si="491"/>
        <v/>
      </c>
      <c r="DF588" s="66" t="str">
        <f t="shared" si="452"/>
        <v/>
      </c>
    </row>
    <row r="589" spans="2:110">
      <c r="B589" s="54">
        <f t="shared" si="448"/>
        <v>47175</v>
      </c>
      <c r="C589" s="55" t="s">
        <v>1</v>
      </c>
      <c r="D589" s="56">
        <f t="shared" si="449"/>
        <v>47181</v>
      </c>
      <c r="E589" s="52">
        <f t="shared" si="450"/>
        <v>2</v>
      </c>
      <c r="F589" s="53">
        <f t="shared" si="451"/>
        <v>2029</v>
      </c>
      <c r="G589" s="62">
        <f t="shared" si="492"/>
        <v>15</v>
      </c>
      <c r="H589" s="63">
        <f t="shared" si="493"/>
        <v>96</v>
      </c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80"/>
      <c r="AG589" s="87">
        <f t="shared" si="453"/>
        <v>0</v>
      </c>
      <c r="AH589" s="87">
        <f t="shared" si="454"/>
        <v>0</v>
      </c>
      <c r="AI589" s="87">
        <f t="shared" si="455"/>
        <v>0</v>
      </c>
      <c r="AJ589" s="87">
        <f t="shared" si="456"/>
        <v>0</v>
      </c>
      <c r="AK589" s="87">
        <f t="shared" si="457"/>
        <v>0</v>
      </c>
      <c r="AL589" s="87">
        <f t="shared" si="458"/>
        <v>0</v>
      </c>
      <c r="AM589" s="87">
        <f t="shared" si="459"/>
        <v>0</v>
      </c>
      <c r="AN589" s="87">
        <f t="shared" si="460"/>
        <v>0</v>
      </c>
      <c r="AO589" s="87">
        <f t="shared" si="461"/>
        <v>0</v>
      </c>
      <c r="AP589" s="87">
        <f t="shared" si="462"/>
        <v>0</v>
      </c>
      <c r="AQ589" s="87">
        <f t="shared" si="463"/>
        <v>0</v>
      </c>
      <c r="AR589" s="81"/>
      <c r="AS589" s="85">
        <f t="shared" si="464"/>
        <v>0</v>
      </c>
      <c r="AT589" s="85">
        <f t="shared" si="465"/>
        <v>0</v>
      </c>
      <c r="AU589" s="85">
        <f t="shared" si="466"/>
        <v>0</v>
      </c>
      <c r="AV589" s="85">
        <f t="shared" si="467"/>
        <v>0</v>
      </c>
      <c r="AW589" s="85">
        <f t="shared" si="468"/>
        <v>0</v>
      </c>
      <c r="AX589" s="85">
        <f t="shared" si="469"/>
        <v>0</v>
      </c>
      <c r="AY589" s="85">
        <f t="shared" si="470"/>
        <v>0</v>
      </c>
      <c r="AZ589" s="85">
        <f t="shared" si="471"/>
        <v>0</v>
      </c>
      <c r="BA589" s="85">
        <f t="shared" si="472"/>
        <v>0</v>
      </c>
      <c r="BB589" s="85">
        <f t="shared" si="473"/>
        <v>0</v>
      </c>
      <c r="BC589" s="85">
        <f t="shared" si="474"/>
        <v>0</v>
      </c>
      <c r="BD589" s="85">
        <f t="shared" si="475"/>
        <v>0</v>
      </c>
      <c r="BE589" s="85">
        <f t="shared" si="476"/>
        <v>0</v>
      </c>
      <c r="BF589" s="85">
        <f t="shared" si="477"/>
        <v>0</v>
      </c>
      <c r="BG589" s="85">
        <f t="shared" si="478"/>
        <v>0</v>
      </c>
      <c r="BH589" s="85">
        <f t="shared" si="479"/>
        <v>0</v>
      </c>
      <c r="BI589" s="85">
        <f t="shared" si="480"/>
        <v>0</v>
      </c>
      <c r="BJ589" s="85">
        <f t="shared" si="481"/>
        <v>0</v>
      </c>
      <c r="BK589" s="85">
        <f t="shared" si="482"/>
        <v>0</v>
      </c>
      <c r="BL589" s="85">
        <f t="shared" si="483"/>
        <v>0</v>
      </c>
      <c r="BM589" s="85">
        <f t="shared" si="484"/>
        <v>0</v>
      </c>
      <c r="BN589" s="85">
        <f t="shared" si="485"/>
        <v>0</v>
      </c>
      <c r="BO589" s="85">
        <f t="shared" si="486"/>
        <v>0</v>
      </c>
      <c r="BP589" s="85">
        <f t="shared" si="487"/>
        <v>0</v>
      </c>
      <c r="BQ589" s="85">
        <f t="shared" si="488"/>
        <v>0</v>
      </c>
      <c r="BR589" s="85">
        <f t="shared" si="489"/>
        <v>0</v>
      </c>
      <c r="BT589" s="63"/>
      <c r="BU589" s="63"/>
      <c r="BV589" s="63"/>
      <c r="BW589" s="63"/>
      <c r="BX589" s="63"/>
      <c r="BY589" s="63"/>
      <c r="BZ589" s="63"/>
      <c r="CA589" s="63"/>
      <c r="CB589" s="63"/>
      <c r="CC589" s="63"/>
      <c r="CD589" s="63"/>
      <c r="CE589" s="63"/>
      <c r="CF589" s="63"/>
      <c r="CG589" s="63"/>
      <c r="CH589" s="63"/>
      <c r="CI589" s="63"/>
      <c r="CJ589" s="63"/>
      <c r="CK589" s="63"/>
      <c r="CL589" s="63"/>
      <c r="CM589" s="63"/>
      <c r="CN589" s="63"/>
      <c r="CO589" s="63"/>
      <c r="CP589" s="63"/>
      <c r="CQ589" s="63"/>
      <c r="CR589" s="63"/>
      <c r="CS589" s="63"/>
      <c r="CX589" s="35" t="s">
        <v>12</v>
      </c>
      <c r="CZ589" s="35"/>
      <c r="DC589" s="57" t="str">
        <f t="shared" si="494"/>
        <v/>
      </c>
      <c r="DD589" s="64" t="str">
        <f t="shared" si="490"/>
        <v/>
      </c>
      <c r="DE589" s="65" t="str">
        <f t="shared" si="491"/>
        <v/>
      </c>
      <c r="DF589" s="66" t="str">
        <f t="shared" si="452"/>
        <v/>
      </c>
    </row>
    <row r="590" spans="2:110">
      <c r="B590" s="54">
        <f t="shared" si="448"/>
        <v>47182</v>
      </c>
      <c r="C590" s="55" t="s">
        <v>1</v>
      </c>
      <c r="D590" s="56">
        <f t="shared" si="449"/>
        <v>47188</v>
      </c>
      <c r="E590" s="52">
        <f t="shared" si="450"/>
        <v>3</v>
      </c>
      <c r="F590" s="53">
        <f t="shared" si="451"/>
        <v>2029</v>
      </c>
      <c r="G590" s="62">
        <f t="shared" si="492"/>
        <v>15</v>
      </c>
      <c r="H590" s="63">
        <f t="shared" si="493"/>
        <v>96</v>
      </c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80"/>
      <c r="AG590" s="87">
        <f t="shared" si="453"/>
        <v>0</v>
      </c>
      <c r="AH590" s="87">
        <f t="shared" si="454"/>
        <v>0</v>
      </c>
      <c r="AI590" s="87">
        <f t="shared" si="455"/>
        <v>0</v>
      </c>
      <c r="AJ590" s="87">
        <f t="shared" si="456"/>
        <v>0</v>
      </c>
      <c r="AK590" s="87">
        <f t="shared" si="457"/>
        <v>0</v>
      </c>
      <c r="AL590" s="87">
        <f t="shared" si="458"/>
        <v>0</v>
      </c>
      <c r="AM590" s="87">
        <f t="shared" si="459"/>
        <v>0</v>
      </c>
      <c r="AN590" s="87">
        <f t="shared" si="460"/>
        <v>0</v>
      </c>
      <c r="AO590" s="87">
        <f t="shared" si="461"/>
        <v>0</v>
      </c>
      <c r="AP590" s="87">
        <f t="shared" si="462"/>
        <v>0</v>
      </c>
      <c r="AQ590" s="87">
        <f t="shared" si="463"/>
        <v>0</v>
      </c>
      <c r="AR590" s="81"/>
      <c r="AS590" s="85">
        <f t="shared" si="464"/>
        <v>0</v>
      </c>
      <c r="AT590" s="85">
        <f t="shared" si="465"/>
        <v>0</v>
      </c>
      <c r="AU590" s="85">
        <f t="shared" si="466"/>
        <v>0</v>
      </c>
      <c r="AV590" s="85">
        <f t="shared" si="467"/>
        <v>0</v>
      </c>
      <c r="AW590" s="85">
        <f t="shared" si="468"/>
        <v>0</v>
      </c>
      <c r="AX590" s="85">
        <f t="shared" si="469"/>
        <v>0</v>
      </c>
      <c r="AY590" s="85">
        <f t="shared" si="470"/>
        <v>0</v>
      </c>
      <c r="AZ590" s="85">
        <f t="shared" si="471"/>
        <v>0</v>
      </c>
      <c r="BA590" s="85">
        <f t="shared" si="472"/>
        <v>0</v>
      </c>
      <c r="BB590" s="85">
        <f t="shared" si="473"/>
        <v>0</v>
      </c>
      <c r="BC590" s="85">
        <f t="shared" si="474"/>
        <v>0</v>
      </c>
      <c r="BD590" s="85">
        <f t="shared" si="475"/>
        <v>0</v>
      </c>
      <c r="BE590" s="85">
        <f t="shared" si="476"/>
        <v>0</v>
      </c>
      <c r="BF590" s="85">
        <f t="shared" si="477"/>
        <v>0</v>
      </c>
      <c r="BG590" s="85">
        <f t="shared" si="478"/>
        <v>0</v>
      </c>
      <c r="BH590" s="85">
        <f t="shared" si="479"/>
        <v>0</v>
      </c>
      <c r="BI590" s="85">
        <f t="shared" si="480"/>
        <v>0</v>
      </c>
      <c r="BJ590" s="85">
        <f t="shared" si="481"/>
        <v>0</v>
      </c>
      <c r="BK590" s="85">
        <f t="shared" si="482"/>
        <v>0</v>
      </c>
      <c r="BL590" s="85">
        <f t="shared" si="483"/>
        <v>0</v>
      </c>
      <c r="BM590" s="85">
        <f t="shared" si="484"/>
        <v>0</v>
      </c>
      <c r="BN590" s="85">
        <f t="shared" si="485"/>
        <v>0</v>
      </c>
      <c r="BO590" s="85">
        <f t="shared" si="486"/>
        <v>0</v>
      </c>
      <c r="BP590" s="85">
        <f t="shared" si="487"/>
        <v>0</v>
      </c>
      <c r="BQ590" s="85">
        <f t="shared" si="488"/>
        <v>0</v>
      </c>
      <c r="BR590" s="85">
        <f t="shared" si="489"/>
        <v>0</v>
      </c>
      <c r="BT590" s="63"/>
      <c r="BU590" s="63"/>
      <c r="BV590" s="63"/>
      <c r="BW590" s="63"/>
      <c r="BX590" s="63"/>
      <c r="BY590" s="63"/>
      <c r="BZ590" s="63"/>
      <c r="CA590" s="63"/>
      <c r="CB590" s="63"/>
      <c r="CC590" s="63"/>
      <c r="CD590" s="63"/>
      <c r="CE590" s="63"/>
      <c r="CF590" s="63"/>
      <c r="CG590" s="63"/>
      <c r="CH590" s="63"/>
      <c r="CI590" s="63"/>
      <c r="CJ590" s="63"/>
      <c r="CK590" s="63"/>
      <c r="CL590" s="63"/>
      <c r="CM590" s="63"/>
      <c r="CN590" s="63"/>
      <c r="CO590" s="63"/>
      <c r="CP590" s="63"/>
      <c r="CQ590" s="63"/>
      <c r="CR590" s="63"/>
      <c r="CS590" s="63"/>
      <c r="CX590" s="35" t="s">
        <v>12</v>
      </c>
      <c r="CZ590" s="35"/>
      <c r="DC590" s="57" t="str">
        <f t="shared" si="494"/>
        <v/>
      </c>
      <c r="DD590" s="64" t="str">
        <f t="shared" si="490"/>
        <v/>
      </c>
      <c r="DE590" s="65" t="str">
        <f t="shared" si="491"/>
        <v/>
      </c>
      <c r="DF590" s="66" t="str">
        <f t="shared" si="452"/>
        <v/>
      </c>
    </row>
    <row r="591" spans="2:110">
      <c r="B591" s="54">
        <f t="shared" si="448"/>
        <v>47189</v>
      </c>
      <c r="C591" s="55" t="s">
        <v>1</v>
      </c>
      <c r="D591" s="56">
        <f t="shared" si="449"/>
        <v>47195</v>
      </c>
      <c r="E591" s="52">
        <f t="shared" si="450"/>
        <v>3</v>
      </c>
      <c r="F591" s="53">
        <f t="shared" si="451"/>
        <v>2029</v>
      </c>
      <c r="G591" s="62">
        <f t="shared" si="492"/>
        <v>15</v>
      </c>
      <c r="H591" s="63">
        <f t="shared" si="493"/>
        <v>96</v>
      </c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80"/>
      <c r="AG591" s="87">
        <f t="shared" si="453"/>
        <v>0</v>
      </c>
      <c r="AH591" s="87">
        <f t="shared" si="454"/>
        <v>0</v>
      </c>
      <c r="AI591" s="87">
        <f t="shared" si="455"/>
        <v>0</v>
      </c>
      <c r="AJ591" s="87">
        <f t="shared" si="456"/>
        <v>0</v>
      </c>
      <c r="AK591" s="87">
        <f t="shared" si="457"/>
        <v>0</v>
      </c>
      <c r="AL591" s="87">
        <f t="shared" si="458"/>
        <v>0</v>
      </c>
      <c r="AM591" s="87">
        <f t="shared" si="459"/>
        <v>0</v>
      </c>
      <c r="AN591" s="87">
        <f t="shared" si="460"/>
        <v>0</v>
      </c>
      <c r="AO591" s="87">
        <f t="shared" si="461"/>
        <v>0</v>
      </c>
      <c r="AP591" s="87">
        <f t="shared" si="462"/>
        <v>0</v>
      </c>
      <c r="AQ591" s="87">
        <f t="shared" si="463"/>
        <v>0</v>
      </c>
      <c r="AR591" s="81"/>
      <c r="AS591" s="85">
        <f t="shared" si="464"/>
        <v>0</v>
      </c>
      <c r="AT591" s="85">
        <f t="shared" si="465"/>
        <v>0</v>
      </c>
      <c r="AU591" s="85">
        <f t="shared" si="466"/>
        <v>0</v>
      </c>
      <c r="AV591" s="85">
        <f t="shared" si="467"/>
        <v>0</v>
      </c>
      <c r="AW591" s="85">
        <f t="shared" si="468"/>
        <v>0</v>
      </c>
      <c r="AX591" s="85">
        <f t="shared" si="469"/>
        <v>0</v>
      </c>
      <c r="AY591" s="85">
        <f t="shared" si="470"/>
        <v>0</v>
      </c>
      <c r="AZ591" s="85">
        <f t="shared" si="471"/>
        <v>0</v>
      </c>
      <c r="BA591" s="85">
        <f t="shared" si="472"/>
        <v>0</v>
      </c>
      <c r="BB591" s="85">
        <f t="shared" si="473"/>
        <v>0</v>
      </c>
      <c r="BC591" s="85">
        <f t="shared" si="474"/>
        <v>0</v>
      </c>
      <c r="BD591" s="85">
        <f t="shared" si="475"/>
        <v>0</v>
      </c>
      <c r="BE591" s="85">
        <f t="shared" si="476"/>
        <v>0</v>
      </c>
      <c r="BF591" s="85">
        <f t="shared" si="477"/>
        <v>0</v>
      </c>
      <c r="BG591" s="85">
        <f t="shared" si="478"/>
        <v>0</v>
      </c>
      <c r="BH591" s="85">
        <f t="shared" si="479"/>
        <v>0</v>
      </c>
      <c r="BI591" s="85">
        <f t="shared" si="480"/>
        <v>0</v>
      </c>
      <c r="BJ591" s="85">
        <f t="shared" si="481"/>
        <v>0</v>
      </c>
      <c r="BK591" s="85">
        <f t="shared" si="482"/>
        <v>0</v>
      </c>
      <c r="BL591" s="85">
        <f t="shared" si="483"/>
        <v>0</v>
      </c>
      <c r="BM591" s="85">
        <f t="shared" si="484"/>
        <v>0</v>
      </c>
      <c r="BN591" s="85">
        <f t="shared" si="485"/>
        <v>0</v>
      </c>
      <c r="BO591" s="85">
        <f t="shared" si="486"/>
        <v>0</v>
      </c>
      <c r="BP591" s="85">
        <f t="shared" si="487"/>
        <v>0</v>
      </c>
      <c r="BQ591" s="85">
        <f t="shared" si="488"/>
        <v>0</v>
      </c>
      <c r="BR591" s="85">
        <f t="shared" si="489"/>
        <v>0</v>
      </c>
      <c r="BT591" s="63"/>
      <c r="BU591" s="63"/>
      <c r="BV591" s="63"/>
      <c r="BW591" s="63"/>
      <c r="BX591" s="63"/>
      <c r="BY591" s="63"/>
      <c r="BZ591" s="63"/>
      <c r="CA591" s="63"/>
      <c r="CB591" s="63"/>
      <c r="CC591" s="63"/>
      <c r="CD591" s="63"/>
      <c r="CE591" s="63"/>
      <c r="CF591" s="63"/>
      <c r="CG591" s="63"/>
      <c r="CH591" s="63"/>
      <c r="CI591" s="63"/>
      <c r="CJ591" s="63"/>
      <c r="CK591" s="63"/>
      <c r="CL591" s="63"/>
      <c r="CM591" s="63"/>
      <c r="CN591" s="63"/>
      <c r="CO591" s="63"/>
      <c r="CP591" s="63"/>
      <c r="CQ591" s="63"/>
      <c r="CR591" s="63"/>
      <c r="CS591" s="63"/>
      <c r="CX591" s="35" t="s">
        <v>12</v>
      </c>
      <c r="CZ591" s="35"/>
      <c r="DC591" s="57" t="str">
        <f t="shared" si="494"/>
        <v/>
      </c>
      <c r="DD591" s="64" t="str">
        <f t="shared" si="490"/>
        <v/>
      </c>
      <c r="DE591" s="65" t="str">
        <f t="shared" si="491"/>
        <v/>
      </c>
      <c r="DF591" s="66" t="str">
        <f t="shared" si="452"/>
        <v/>
      </c>
    </row>
    <row r="592" spans="2:110">
      <c r="B592" s="54">
        <f t="shared" si="448"/>
        <v>47196</v>
      </c>
      <c r="C592" s="55" t="s">
        <v>1</v>
      </c>
      <c r="D592" s="56">
        <f t="shared" si="449"/>
        <v>47202</v>
      </c>
      <c r="E592" s="52">
        <f t="shared" si="450"/>
        <v>3</v>
      </c>
      <c r="F592" s="53">
        <f t="shared" si="451"/>
        <v>2029</v>
      </c>
      <c r="G592" s="62">
        <f t="shared" si="492"/>
        <v>15</v>
      </c>
      <c r="H592" s="63">
        <f t="shared" si="493"/>
        <v>96</v>
      </c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80"/>
      <c r="AG592" s="87">
        <f t="shared" si="453"/>
        <v>0</v>
      </c>
      <c r="AH592" s="87">
        <f t="shared" si="454"/>
        <v>0</v>
      </c>
      <c r="AI592" s="87">
        <f t="shared" si="455"/>
        <v>0</v>
      </c>
      <c r="AJ592" s="87">
        <f t="shared" si="456"/>
        <v>0</v>
      </c>
      <c r="AK592" s="87">
        <f t="shared" si="457"/>
        <v>0</v>
      </c>
      <c r="AL592" s="87">
        <f t="shared" si="458"/>
        <v>0</v>
      </c>
      <c r="AM592" s="87">
        <f t="shared" si="459"/>
        <v>0</v>
      </c>
      <c r="AN592" s="87">
        <f t="shared" si="460"/>
        <v>0</v>
      </c>
      <c r="AO592" s="87">
        <f t="shared" si="461"/>
        <v>0</v>
      </c>
      <c r="AP592" s="87">
        <f t="shared" si="462"/>
        <v>0</v>
      </c>
      <c r="AQ592" s="87">
        <f t="shared" si="463"/>
        <v>0</v>
      </c>
      <c r="AR592" s="81"/>
      <c r="AS592" s="85">
        <f t="shared" si="464"/>
        <v>0</v>
      </c>
      <c r="AT592" s="85">
        <f t="shared" si="465"/>
        <v>0</v>
      </c>
      <c r="AU592" s="85">
        <f t="shared" si="466"/>
        <v>0</v>
      </c>
      <c r="AV592" s="85">
        <f t="shared" si="467"/>
        <v>0</v>
      </c>
      <c r="AW592" s="85">
        <f t="shared" si="468"/>
        <v>0</v>
      </c>
      <c r="AX592" s="85">
        <f t="shared" si="469"/>
        <v>0</v>
      </c>
      <c r="AY592" s="85">
        <f t="shared" si="470"/>
        <v>0</v>
      </c>
      <c r="AZ592" s="85">
        <f t="shared" si="471"/>
        <v>0</v>
      </c>
      <c r="BA592" s="85">
        <f t="shared" si="472"/>
        <v>0</v>
      </c>
      <c r="BB592" s="85">
        <f t="shared" si="473"/>
        <v>0</v>
      </c>
      <c r="BC592" s="85">
        <f t="shared" si="474"/>
        <v>0</v>
      </c>
      <c r="BD592" s="85">
        <f t="shared" si="475"/>
        <v>0</v>
      </c>
      <c r="BE592" s="85">
        <f t="shared" si="476"/>
        <v>0</v>
      </c>
      <c r="BF592" s="85">
        <f t="shared" si="477"/>
        <v>0</v>
      </c>
      <c r="BG592" s="85">
        <f t="shared" si="478"/>
        <v>0</v>
      </c>
      <c r="BH592" s="85">
        <f t="shared" si="479"/>
        <v>0</v>
      </c>
      <c r="BI592" s="85">
        <f t="shared" si="480"/>
        <v>0</v>
      </c>
      <c r="BJ592" s="85">
        <f t="shared" si="481"/>
        <v>0</v>
      </c>
      <c r="BK592" s="85">
        <f t="shared" si="482"/>
        <v>0</v>
      </c>
      <c r="BL592" s="85">
        <f t="shared" si="483"/>
        <v>0</v>
      </c>
      <c r="BM592" s="85">
        <f t="shared" si="484"/>
        <v>0</v>
      </c>
      <c r="BN592" s="85">
        <f t="shared" si="485"/>
        <v>0</v>
      </c>
      <c r="BO592" s="85">
        <f t="shared" si="486"/>
        <v>0</v>
      </c>
      <c r="BP592" s="85">
        <f t="shared" si="487"/>
        <v>0</v>
      </c>
      <c r="BQ592" s="85">
        <f t="shared" si="488"/>
        <v>0</v>
      </c>
      <c r="BR592" s="85">
        <f t="shared" si="489"/>
        <v>0</v>
      </c>
      <c r="BT592" s="63"/>
      <c r="BU592" s="63"/>
      <c r="BV592" s="63"/>
      <c r="BW592" s="63"/>
      <c r="BX592" s="63"/>
      <c r="BY592" s="63"/>
      <c r="BZ592" s="63"/>
      <c r="CA592" s="63"/>
      <c r="CB592" s="63"/>
      <c r="CC592" s="63"/>
      <c r="CD592" s="63"/>
      <c r="CE592" s="63"/>
      <c r="CF592" s="63"/>
      <c r="CG592" s="63"/>
      <c r="CH592" s="63"/>
      <c r="CI592" s="63"/>
      <c r="CJ592" s="63"/>
      <c r="CK592" s="63"/>
      <c r="CL592" s="63"/>
      <c r="CM592" s="63"/>
      <c r="CN592" s="63"/>
      <c r="CO592" s="63"/>
      <c r="CP592" s="63"/>
      <c r="CQ592" s="63"/>
      <c r="CR592" s="63"/>
      <c r="CS592" s="63"/>
      <c r="CX592" s="35" t="s">
        <v>12</v>
      </c>
      <c r="CZ592" s="35"/>
      <c r="DC592" s="57" t="str">
        <f t="shared" si="494"/>
        <v/>
      </c>
      <c r="DD592" s="64" t="str">
        <f t="shared" si="490"/>
        <v/>
      </c>
      <c r="DE592" s="65" t="str">
        <f t="shared" si="491"/>
        <v/>
      </c>
      <c r="DF592" s="66" t="str">
        <f t="shared" si="452"/>
        <v/>
      </c>
    </row>
    <row r="593" spans="2:110">
      <c r="B593" s="54">
        <f t="shared" si="448"/>
        <v>47203</v>
      </c>
      <c r="C593" s="55" t="s">
        <v>1</v>
      </c>
      <c r="D593" s="56">
        <f t="shared" si="449"/>
        <v>47209</v>
      </c>
      <c r="E593" s="52">
        <f t="shared" si="450"/>
        <v>3</v>
      </c>
      <c r="F593" s="53">
        <f t="shared" si="451"/>
        <v>2029</v>
      </c>
      <c r="G593" s="62">
        <f t="shared" si="492"/>
        <v>15</v>
      </c>
      <c r="H593" s="63">
        <f t="shared" si="493"/>
        <v>96</v>
      </c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80"/>
      <c r="AG593" s="87">
        <f t="shared" si="453"/>
        <v>0</v>
      </c>
      <c r="AH593" s="87">
        <f t="shared" si="454"/>
        <v>0</v>
      </c>
      <c r="AI593" s="87">
        <f t="shared" si="455"/>
        <v>0</v>
      </c>
      <c r="AJ593" s="87">
        <f t="shared" si="456"/>
        <v>0</v>
      </c>
      <c r="AK593" s="87">
        <f t="shared" si="457"/>
        <v>0</v>
      </c>
      <c r="AL593" s="87">
        <f t="shared" si="458"/>
        <v>0</v>
      </c>
      <c r="AM593" s="87">
        <f t="shared" si="459"/>
        <v>0</v>
      </c>
      <c r="AN593" s="87">
        <f t="shared" si="460"/>
        <v>0</v>
      </c>
      <c r="AO593" s="87">
        <f t="shared" si="461"/>
        <v>0</v>
      </c>
      <c r="AP593" s="87">
        <f t="shared" si="462"/>
        <v>0</v>
      </c>
      <c r="AQ593" s="87">
        <f t="shared" si="463"/>
        <v>0</v>
      </c>
      <c r="AR593" s="81"/>
      <c r="AS593" s="85">
        <f t="shared" si="464"/>
        <v>0</v>
      </c>
      <c r="AT593" s="85">
        <f t="shared" si="465"/>
        <v>0</v>
      </c>
      <c r="AU593" s="85">
        <f t="shared" si="466"/>
        <v>0</v>
      </c>
      <c r="AV593" s="85">
        <f t="shared" si="467"/>
        <v>0</v>
      </c>
      <c r="AW593" s="85">
        <f t="shared" si="468"/>
        <v>0</v>
      </c>
      <c r="AX593" s="85">
        <f t="shared" si="469"/>
        <v>0</v>
      </c>
      <c r="AY593" s="85">
        <f t="shared" si="470"/>
        <v>0</v>
      </c>
      <c r="AZ593" s="85">
        <f t="shared" si="471"/>
        <v>0</v>
      </c>
      <c r="BA593" s="85">
        <f t="shared" si="472"/>
        <v>0</v>
      </c>
      <c r="BB593" s="85">
        <f t="shared" si="473"/>
        <v>0</v>
      </c>
      <c r="BC593" s="85">
        <f t="shared" si="474"/>
        <v>0</v>
      </c>
      <c r="BD593" s="85">
        <f t="shared" si="475"/>
        <v>0</v>
      </c>
      <c r="BE593" s="85">
        <f t="shared" si="476"/>
        <v>0</v>
      </c>
      <c r="BF593" s="85">
        <f t="shared" si="477"/>
        <v>0</v>
      </c>
      <c r="BG593" s="85">
        <f t="shared" si="478"/>
        <v>0</v>
      </c>
      <c r="BH593" s="85">
        <f t="shared" si="479"/>
        <v>0</v>
      </c>
      <c r="BI593" s="85">
        <f t="shared" si="480"/>
        <v>0</v>
      </c>
      <c r="BJ593" s="85">
        <f t="shared" si="481"/>
        <v>0</v>
      </c>
      <c r="BK593" s="85">
        <f t="shared" si="482"/>
        <v>0</v>
      </c>
      <c r="BL593" s="85">
        <f t="shared" si="483"/>
        <v>0</v>
      </c>
      <c r="BM593" s="85">
        <f t="shared" si="484"/>
        <v>0</v>
      </c>
      <c r="BN593" s="85">
        <f t="shared" si="485"/>
        <v>0</v>
      </c>
      <c r="BO593" s="85">
        <f t="shared" si="486"/>
        <v>0</v>
      </c>
      <c r="BP593" s="85">
        <f t="shared" si="487"/>
        <v>0</v>
      </c>
      <c r="BQ593" s="85">
        <f t="shared" si="488"/>
        <v>0</v>
      </c>
      <c r="BR593" s="85">
        <f t="shared" si="489"/>
        <v>0</v>
      </c>
      <c r="BT593" s="63"/>
      <c r="BU593" s="63"/>
      <c r="BV593" s="63"/>
      <c r="BW593" s="63"/>
      <c r="BX593" s="63"/>
      <c r="BY593" s="63"/>
      <c r="BZ593" s="63"/>
      <c r="CA593" s="63"/>
      <c r="CB593" s="63"/>
      <c r="CC593" s="63"/>
      <c r="CD593" s="63"/>
      <c r="CE593" s="63"/>
      <c r="CF593" s="63"/>
      <c r="CG593" s="63"/>
      <c r="CH593" s="63"/>
      <c r="CI593" s="63"/>
      <c r="CJ593" s="63"/>
      <c r="CK593" s="63"/>
      <c r="CL593" s="63"/>
      <c r="CM593" s="63"/>
      <c r="CN593" s="63"/>
      <c r="CO593" s="63"/>
      <c r="CP593" s="63"/>
      <c r="CQ593" s="63"/>
      <c r="CR593" s="63"/>
      <c r="CS593" s="63"/>
      <c r="CX593" s="35" t="s">
        <v>12</v>
      </c>
      <c r="CZ593" s="35"/>
      <c r="DC593" s="57" t="str">
        <f t="shared" si="494"/>
        <v/>
      </c>
      <c r="DD593" s="64" t="str">
        <f t="shared" si="490"/>
        <v/>
      </c>
      <c r="DE593" s="65" t="str">
        <f t="shared" si="491"/>
        <v/>
      </c>
      <c r="DF593" s="66" t="str">
        <f t="shared" si="452"/>
        <v/>
      </c>
    </row>
    <row r="594" spans="2:110">
      <c r="B594" s="54">
        <f t="shared" si="448"/>
        <v>47210</v>
      </c>
      <c r="C594" s="55" t="s">
        <v>1</v>
      </c>
      <c r="D594" s="56">
        <f t="shared" si="449"/>
        <v>47216</v>
      </c>
      <c r="E594" s="52">
        <f t="shared" si="450"/>
        <v>4</v>
      </c>
      <c r="F594" s="53">
        <f t="shared" si="451"/>
        <v>2029</v>
      </c>
      <c r="G594" s="62">
        <f t="shared" si="492"/>
        <v>15</v>
      </c>
      <c r="H594" s="63">
        <f t="shared" si="493"/>
        <v>96</v>
      </c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80"/>
      <c r="AG594" s="87">
        <f t="shared" si="453"/>
        <v>0</v>
      </c>
      <c r="AH594" s="87">
        <f t="shared" si="454"/>
        <v>0</v>
      </c>
      <c r="AI594" s="87">
        <f t="shared" si="455"/>
        <v>0</v>
      </c>
      <c r="AJ594" s="87">
        <f t="shared" si="456"/>
        <v>0</v>
      </c>
      <c r="AK594" s="87">
        <f t="shared" si="457"/>
        <v>0</v>
      </c>
      <c r="AL594" s="87">
        <f t="shared" si="458"/>
        <v>0</v>
      </c>
      <c r="AM594" s="87">
        <f t="shared" si="459"/>
        <v>0</v>
      </c>
      <c r="AN594" s="87">
        <f t="shared" si="460"/>
        <v>0</v>
      </c>
      <c r="AO594" s="87">
        <f t="shared" si="461"/>
        <v>0</v>
      </c>
      <c r="AP594" s="87">
        <f t="shared" si="462"/>
        <v>0</v>
      </c>
      <c r="AQ594" s="87">
        <f t="shared" si="463"/>
        <v>0</v>
      </c>
      <c r="AR594" s="81"/>
      <c r="AS594" s="85">
        <f t="shared" si="464"/>
        <v>0</v>
      </c>
      <c r="AT594" s="85">
        <f t="shared" si="465"/>
        <v>0</v>
      </c>
      <c r="AU594" s="85">
        <f t="shared" si="466"/>
        <v>0</v>
      </c>
      <c r="AV594" s="85">
        <f t="shared" si="467"/>
        <v>0</v>
      </c>
      <c r="AW594" s="85">
        <f t="shared" si="468"/>
        <v>0</v>
      </c>
      <c r="AX594" s="85">
        <f t="shared" si="469"/>
        <v>0</v>
      </c>
      <c r="AY594" s="85">
        <f t="shared" si="470"/>
        <v>0</v>
      </c>
      <c r="AZ594" s="85">
        <f t="shared" si="471"/>
        <v>0</v>
      </c>
      <c r="BA594" s="85">
        <f t="shared" si="472"/>
        <v>0</v>
      </c>
      <c r="BB594" s="85">
        <f t="shared" si="473"/>
        <v>0</v>
      </c>
      <c r="BC594" s="85">
        <f t="shared" si="474"/>
        <v>0</v>
      </c>
      <c r="BD594" s="85">
        <f t="shared" si="475"/>
        <v>0</v>
      </c>
      <c r="BE594" s="85">
        <f t="shared" si="476"/>
        <v>0</v>
      </c>
      <c r="BF594" s="85">
        <f t="shared" si="477"/>
        <v>0</v>
      </c>
      <c r="BG594" s="85">
        <f t="shared" si="478"/>
        <v>0</v>
      </c>
      <c r="BH594" s="85">
        <f t="shared" si="479"/>
        <v>0</v>
      </c>
      <c r="BI594" s="85">
        <f t="shared" si="480"/>
        <v>0</v>
      </c>
      <c r="BJ594" s="85">
        <f t="shared" si="481"/>
        <v>0</v>
      </c>
      <c r="BK594" s="85">
        <f t="shared" si="482"/>
        <v>0</v>
      </c>
      <c r="BL594" s="85">
        <f t="shared" si="483"/>
        <v>0</v>
      </c>
      <c r="BM594" s="85">
        <f t="shared" si="484"/>
        <v>0</v>
      </c>
      <c r="BN594" s="85">
        <f t="shared" si="485"/>
        <v>0</v>
      </c>
      <c r="BO594" s="85">
        <f t="shared" si="486"/>
        <v>0</v>
      </c>
      <c r="BP594" s="85">
        <f t="shared" si="487"/>
        <v>0</v>
      </c>
      <c r="BQ594" s="85">
        <f t="shared" si="488"/>
        <v>0</v>
      </c>
      <c r="BR594" s="85">
        <f t="shared" si="489"/>
        <v>0</v>
      </c>
      <c r="BT594" s="63"/>
      <c r="BU594" s="63"/>
      <c r="BV594" s="63"/>
      <c r="BW594" s="63"/>
      <c r="BX594" s="63"/>
      <c r="BY594" s="63"/>
      <c r="BZ594" s="63"/>
      <c r="CA594" s="63"/>
      <c r="CB594" s="63"/>
      <c r="CC594" s="63"/>
      <c r="CD594" s="63"/>
      <c r="CE594" s="63"/>
      <c r="CF594" s="63"/>
      <c r="CG594" s="63"/>
      <c r="CH594" s="63"/>
      <c r="CI594" s="63"/>
      <c r="CJ594" s="63"/>
      <c r="CK594" s="63"/>
      <c r="CL594" s="63"/>
      <c r="CM594" s="63"/>
      <c r="CN594" s="63"/>
      <c r="CO594" s="63"/>
      <c r="CP594" s="63"/>
      <c r="CQ594" s="63"/>
      <c r="CR594" s="63"/>
      <c r="CS594" s="63"/>
      <c r="CX594" s="35" t="s">
        <v>12</v>
      </c>
      <c r="CZ594" s="35"/>
      <c r="DC594" s="57" t="str">
        <f t="shared" si="494"/>
        <v/>
      </c>
      <c r="DD594" s="64" t="str">
        <f t="shared" si="490"/>
        <v/>
      </c>
      <c r="DE594" s="65" t="str">
        <f t="shared" si="491"/>
        <v/>
      </c>
      <c r="DF594" s="66" t="str">
        <f t="shared" si="452"/>
        <v/>
      </c>
    </row>
    <row r="595" spans="2:110">
      <c r="B595" s="54">
        <f t="shared" si="448"/>
        <v>47217</v>
      </c>
      <c r="C595" s="55" t="s">
        <v>1</v>
      </c>
      <c r="D595" s="56">
        <f t="shared" si="449"/>
        <v>47223</v>
      </c>
      <c r="E595" s="52">
        <f t="shared" si="450"/>
        <v>4</v>
      </c>
      <c r="F595" s="53">
        <f t="shared" si="451"/>
        <v>2029</v>
      </c>
      <c r="G595" s="62">
        <f t="shared" si="492"/>
        <v>15</v>
      </c>
      <c r="H595" s="63">
        <f t="shared" si="493"/>
        <v>96</v>
      </c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80"/>
      <c r="AG595" s="87">
        <f t="shared" si="453"/>
        <v>0</v>
      </c>
      <c r="AH595" s="87">
        <f t="shared" si="454"/>
        <v>0</v>
      </c>
      <c r="AI595" s="87">
        <f t="shared" si="455"/>
        <v>0</v>
      </c>
      <c r="AJ595" s="87">
        <f t="shared" si="456"/>
        <v>0</v>
      </c>
      <c r="AK595" s="87">
        <f t="shared" si="457"/>
        <v>0</v>
      </c>
      <c r="AL595" s="87">
        <f t="shared" si="458"/>
        <v>0</v>
      </c>
      <c r="AM595" s="87">
        <f t="shared" si="459"/>
        <v>0</v>
      </c>
      <c r="AN595" s="87">
        <f t="shared" si="460"/>
        <v>0</v>
      </c>
      <c r="AO595" s="87">
        <f t="shared" si="461"/>
        <v>0</v>
      </c>
      <c r="AP595" s="87">
        <f t="shared" si="462"/>
        <v>0</v>
      </c>
      <c r="AQ595" s="87">
        <f t="shared" si="463"/>
        <v>0</v>
      </c>
      <c r="AR595" s="81"/>
      <c r="AS595" s="85">
        <f t="shared" si="464"/>
        <v>0</v>
      </c>
      <c r="AT595" s="85">
        <f t="shared" si="465"/>
        <v>0</v>
      </c>
      <c r="AU595" s="85">
        <f t="shared" si="466"/>
        <v>0</v>
      </c>
      <c r="AV595" s="85">
        <f t="shared" si="467"/>
        <v>0</v>
      </c>
      <c r="AW595" s="85">
        <f t="shared" si="468"/>
        <v>0</v>
      </c>
      <c r="AX595" s="85">
        <f t="shared" si="469"/>
        <v>0</v>
      </c>
      <c r="AY595" s="85">
        <f t="shared" si="470"/>
        <v>0</v>
      </c>
      <c r="AZ595" s="85">
        <f t="shared" si="471"/>
        <v>0</v>
      </c>
      <c r="BA595" s="85">
        <f t="shared" si="472"/>
        <v>0</v>
      </c>
      <c r="BB595" s="85">
        <f t="shared" si="473"/>
        <v>0</v>
      </c>
      <c r="BC595" s="85">
        <f t="shared" si="474"/>
        <v>0</v>
      </c>
      <c r="BD595" s="85">
        <f t="shared" si="475"/>
        <v>0</v>
      </c>
      <c r="BE595" s="85">
        <f t="shared" si="476"/>
        <v>0</v>
      </c>
      <c r="BF595" s="85">
        <f t="shared" si="477"/>
        <v>0</v>
      </c>
      <c r="BG595" s="85">
        <f t="shared" si="478"/>
        <v>0</v>
      </c>
      <c r="BH595" s="85">
        <f t="shared" si="479"/>
        <v>0</v>
      </c>
      <c r="BI595" s="85">
        <f t="shared" si="480"/>
        <v>0</v>
      </c>
      <c r="BJ595" s="85">
        <f t="shared" si="481"/>
        <v>0</v>
      </c>
      <c r="BK595" s="85">
        <f t="shared" si="482"/>
        <v>0</v>
      </c>
      <c r="BL595" s="85">
        <f t="shared" si="483"/>
        <v>0</v>
      </c>
      <c r="BM595" s="85">
        <f t="shared" si="484"/>
        <v>0</v>
      </c>
      <c r="BN595" s="85">
        <f t="shared" si="485"/>
        <v>0</v>
      </c>
      <c r="BO595" s="85">
        <f t="shared" si="486"/>
        <v>0</v>
      </c>
      <c r="BP595" s="85">
        <f t="shared" si="487"/>
        <v>0</v>
      </c>
      <c r="BQ595" s="85">
        <f t="shared" si="488"/>
        <v>0</v>
      </c>
      <c r="BR595" s="85">
        <f t="shared" si="489"/>
        <v>0</v>
      </c>
      <c r="BT595" s="63"/>
      <c r="BU595" s="63"/>
      <c r="BV595" s="63"/>
      <c r="BW595" s="63"/>
      <c r="BX595" s="63"/>
      <c r="BY595" s="63"/>
      <c r="BZ595" s="63"/>
      <c r="CA595" s="63"/>
      <c r="CB595" s="63"/>
      <c r="CC595" s="63"/>
      <c r="CD595" s="63"/>
      <c r="CE595" s="63"/>
      <c r="CF595" s="63"/>
      <c r="CG595" s="63"/>
      <c r="CH595" s="63"/>
      <c r="CI595" s="63"/>
      <c r="CJ595" s="63"/>
      <c r="CK595" s="63"/>
      <c r="CL595" s="63"/>
      <c r="CM595" s="63"/>
      <c r="CN595" s="63"/>
      <c r="CO595" s="63"/>
      <c r="CP595" s="63"/>
      <c r="CQ595" s="63"/>
      <c r="CR595" s="63"/>
      <c r="CS595" s="63"/>
      <c r="CX595" s="35" t="s">
        <v>12</v>
      </c>
      <c r="CZ595" s="35"/>
      <c r="DC595" s="57" t="str">
        <f t="shared" si="494"/>
        <v/>
      </c>
      <c r="DD595" s="64" t="str">
        <f t="shared" si="490"/>
        <v/>
      </c>
      <c r="DE595" s="65" t="str">
        <f t="shared" si="491"/>
        <v/>
      </c>
      <c r="DF595" s="66" t="str">
        <f t="shared" si="452"/>
        <v/>
      </c>
    </row>
    <row r="596" spans="2:110">
      <c r="B596" s="54">
        <f t="shared" si="448"/>
        <v>47224</v>
      </c>
      <c r="C596" s="55" t="s">
        <v>1</v>
      </c>
      <c r="D596" s="56">
        <f t="shared" si="449"/>
        <v>47230</v>
      </c>
      <c r="E596" s="52">
        <f t="shared" si="450"/>
        <v>4</v>
      </c>
      <c r="F596" s="53">
        <f t="shared" si="451"/>
        <v>2029</v>
      </c>
      <c r="G596" s="62">
        <f t="shared" si="492"/>
        <v>15</v>
      </c>
      <c r="H596" s="63">
        <f t="shared" si="493"/>
        <v>96</v>
      </c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80"/>
      <c r="AG596" s="87">
        <f t="shared" si="453"/>
        <v>0</v>
      </c>
      <c r="AH596" s="87">
        <f t="shared" si="454"/>
        <v>0</v>
      </c>
      <c r="AI596" s="87">
        <f t="shared" si="455"/>
        <v>0</v>
      </c>
      <c r="AJ596" s="87">
        <f t="shared" si="456"/>
        <v>0</v>
      </c>
      <c r="AK596" s="87">
        <f t="shared" si="457"/>
        <v>0</v>
      </c>
      <c r="AL596" s="87">
        <f t="shared" si="458"/>
        <v>0</v>
      </c>
      <c r="AM596" s="87">
        <f t="shared" si="459"/>
        <v>0</v>
      </c>
      <c r="AN596" s="87">
        <f t="shared" si="460"/>
        <v>0</v>
      </c>
      <c r="AO596" s="87">
        <f t="shared" si="461"/>
        <v>0</v>
      </c>
      <c r="AP596" s="87">
        <f t="shared" si="462"/>
        <v>0</v>
      </c>
      <c r="AQ596" s="87">
        <f t="shared" si="463"/>
        <v>0</v>
      </c>
      <c r="AR596" s="81"/>
      <c r="AS596" s="85">
        <f t="shared" si="464"/>
        <v>0</v>
      </c>
      <c r="AT596" s="85">
        <f t="shared" si="465"/>
        <v>0</v>
      </c>
      <c r="AU596" s="85">
        <f t="shared" si="466"/>
        <v>0</v>
      </c>
      <c r="AV596" s="85">
        <f t="shared" si="467"/>
        <v>0</v>
      </c>
      <c r="AW596" s="85">
        <f t="shared" si="468"/>
        <v>0</v>
      </c>
      <c r="AX596" s="85">
        <f t="shared" si="469"/>
        <v>0</v>
      </c>
      <c r="AY596" s="85">
        <f t="shared" si="470"/>
        <v>0</v>
      </c>
      <c r="AZ596" s="85">
        <f t="shared" si="471"/>
        <v>0</v>
      </c>
      <c r="BA596" s="85">
        <f t="shared" si="472"/>
        <v>0</v>
      </c>
      <c r="BB596" s="85">
        <f t="shared" si="473"/>
        <v>0</v>
      </c>
      <c r="BC596" s="85">
        <f t="shared" si="474"/>
        <v>0</v>
      </c>
      <c r="BD596" s="85">
        <f t="shared" si="475"/>
        <v>0</v>
      </c>
      <c r="BE596" s="85">
        <f t="shared" si="476"/>
        <v>0</v>
      </c>
      <c r="BF596" s="85">
        <f t="shared" si="477"/>
        <v>0</v>
      </c>
      <c r="BG596" s="85">
        <f t="shared" si="478"/>
        <v>0</v>
      </c>
      <c r="BH596" s="85">
        <f t="shared" si="479"/>
        <v>0</v>
      </c>
      <c r="BI596" s="85">
        <f t="shared" si="480"/>
        <v>0</v>
      </c>
      <c r="BJ596" s="85">
        <f t="shared" si="481"/>
        <v>0</v>
      </c>
      <c r="BK596" s="85">
        <f t="shared" si="482"/>
        <v>0</v>
      </c>
      <c r="BL596" s="85">
        <f t="shared" si="483"/>
        <v>0</v>
      </c>
      <c r="BM596" s="85">
        <f t="shared" si="484"/>
        <v>0</v>
      </c>
      <c r="BN596" s="85">
        <f t="shared" si="485"/>
        <v>0</v>
      </c>
      <c r="BO596" s="85">
        <f t="shared" si="486"/>
        <v>0</v>
      </c>
      <c r="BP596" s="85">
        <f t="shared" si="487"/>
        <v>0</v>
      </c>
      <c r="BQ596" s="85">
        <f t="shared" si="488"/>
        <v>0</v>
      </c>
      <c r="BR596" s="85">
        <f t="shared" si="489"/>
        <v>0</v>
      </c>
      <c r="BT596" s="63"/>
      <c r="BU596" s="63"/>
      <c r="BV596" s="63"/>
      <c r="BW596" s="63"/>
      <c r="BX596" s="63"/>
      <c r="BY596" s="63"/>
      <c r="BZ596" s="63"/>
      <c r="CA596" s="63"/>
      <c r="CB596" s="63"/>
      <c r="CC596" s="63"/>
      <c r="CD596" s="63"/>
      <c r="CE596" s="63"/>
      <c r="CF596" s="63"/>
      <c r="CG596" s="63"/>
      <c r="CH596" s="63"/>
      <c r="CI596" s="63"/>
      <c r="CJ596" s="63"/>
      <c r="CK596" s="63"/>
      <c r="CL596" s="63"/>
      <c r="CM596" s="63"/>
      <c r="CN596" s="63"/>
      <c r="CO596" s="63"/>
      <c r="CP596" s="63"/>
      <c r="CQ596" s="63"/>
      <c r="CR596" s="63"/>
      <c r="CS596" s="63"/>
      <c r="CX596" s="35" t="s">
        <v>12</v>
      </c>
      <c r="CZ596" s="35"/>
      <c r="DC596" s="57" t="str">
        <f t="shared" si="494"/>
        <v/>
      </c>
      <c r="DD596" s="64" t="str">
        <f t="shared" si="490"/>
        <v/>
      </c>
      <c r="DE596" s="65" t="str">
        <f t="shared" si="491"/>
        <v/>
      </c>
      <c r="DF596" s="66" t="str">
        <f t="shared" si="452"/>
        <v/>
      </c>
    </row>
    <row r="597" spans="2:110">
      <c r="B597" s="54">
        <f t="shared" si="448"/>
        <v>47231</v>
      </c>
      <c r="C597" s="55" t="s">
        <v>1</v>
      </c>
      <c r="D597" s="56">
        <f t="shared" si="449"/>
        <v>47237</v>
      </c>
      <c r="E597" s="52">
        <f t="shared" si="450"/>
        <v>4</v>
      </c>
      <c r="F597" s="53">
        <f t="shared" si="451"/>
        <v>2029</v>
      </c>
      <c r="G597" s="62">
        <f t="shared" si="492"/>
        <v>15</v>
      </c>
      <c r="H597" s="63">
        <f t="shared" si="493"/>
        <v>96</v>
      </c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80"/>
      <c r="AG597" s="87">
        <f t="shared" si="453"/>
        <v>0</v>
      </c>
      <c r="AH597" s="87">
        <f t="shared" si="454"/>
        <v>0</v>
      </c>
      <c r="AI597" s="87">
        <f t="shared" si="455"/>
        <v>0</v>
      </c>
      <c r="AJ597" s="87">
        <f t="shared" si="456"/>
        <v>0</v>
      </c>
      <c r="AK597" s="87">
        <f t="shared" si="457"/>
        <v>0</v>
      </c>
      <c r="AL597" s="87">
        <f t="shared" si="458"/>
        <v>0</v>
      </c>
      <c r="AM597" s="87">
        <f t="shared" si="459"/>
        <v>0</v>
      </c>
      <c r="AN597" s="87">
        <f t="shared" si="460"/>
        <v>0</v>
      </c>
      <c r="AO597" s="87">
        <f t="shared" si="461"/>
        <v>0</v>
      </c>
      <c r="AP597" s="87">
        <f t="shared" si="462"/>
        <v>0</v>
      </c>
      <c r="AQ597" s="87">
        <f t="shared" si="463"/>
        <v>0</v>
      </c>
      <c r="AR597" s="81"/>
      <c r="AS597" s="85">
        <f t="shared" si="464"/>
        <v>0</v>
      </c>
      <c r="AT597" s="85">
        <f t="shared" si="465"/>
        <v>0</v>
      </c>
      <c r="AU597" s="85">
        <f t="shared" si="466"/>
        <v>0</v>
      </c>
      <c r="AV597" s="85">
        <f t="shared" si="467"/>
        <v>0</v>
      </c>
      <c r="AW597" s="85">
        <f t="shared" si="468"/>
        <v>0</v>
      </c>
      <c r="AX597" s="85">
        <f t="shared" si="469"/>
        <v>0</v>
      </c>
      <c r="AY597" s="85">
        <f t="shared" si="470"/>
        <v>0</v>
      </c>
      <c r="AZ597" s="85">
        <f t="shared" si="471"/>
        <v>0</v>
      </c>
      <c r="BA597" s="85">
        <f t="shared" si="472"/>
        <v>0</v>
      </c>
      <c r="BB597" s="85">
        <f t="shared" si="473"/>
        <v>0</v>
      </c>
      <c r="BC597" s="85">
        <f t="shared" si="474"/>
        <v>0</v>
      </c>
      <c r="BD597" s="85">
        <f t="shared" si="475"/>
        <v>0</v>
      </c>
      <c r="BE597" s="85">
        <f t="shared" si="476"/>
        <v>0</v>
      </c>
      <c r="BF597" s="85">
        <f t="shared" si="477"/>
        <v>0</v>
      </c>
      <c r="BG597" s="85">
        <f t="shared" si="478"/>
        <v>0</v>
      </c>
      <c r="BH597" s="85">
        <f t="shared" si="479"/>
        <v>0</v>
      </c>
      <c r="BI597" s="85">
        <f t="shared" si="480"/>
        <v>0</v>
      </c>
      <c r="BJ597" s="85">
        <f t="shared" si="481"/>
        <v>0</v>
      </c>
      <c r="BK597" s="85">
        <f t="shared" si="482"/>
        <v>0</v>
      </c>
      <c r="BL597" s="85">
        <f t="shared" si="483"/>
        <v>0</v>
      </c>
      <c r="BM597" s="85">
        <f t="shared" si="484"/>
        <v>0</v>
      </c>
      <c r="BN597" s="85">
        <f t="shared" si="485"/>
        <v>0</v>
      </c>
      <c r="BO597" s="85">
        <f t="shared" si="486"/>
        <v>0</v>
      </c>
      <c r="BP597" s="85">
        <f t="shared" si="487"/>
        <v>0</v>
      </c>
      <c r="BQ597" s="85">
        <f t="shared" si="488"/>
        <v>0</v>
      </c>
      <c r="BR597" s="85">
        <f t="shared" si="489"/>
        <v>0</v>
      </c>
      <c r="BT597" s="63"/>
      <c r="BU597" s="63"/>
      <c r="BV597" s="63"/>
      <c r="BW597" s="63"/>
      <c r="BX597" s="63"/>
      <c r="BY597" s="63"/>
      <c r="BZ597" s="63"/>
      <c r="CA597" s="63"/>
      <c r="CB597" s="63"/>
      <c r="CC597" s="63"/>
      <c r="CD597" s="63"/>
      <c r="CE597" s="63"/>
      <c r="CF597" s="63"/>
      <c r="CG597" s="63"/>
      <c r="CH597" s="63"/>
      <c r="CI597" s="63"/>
      <c r="CJ597" s="63"/>
      <c r="CK597" s="63"/>
      <c r="CL597" s="63"/>
      <c r="CM597" s="63"/>
      <c r="CN597" s="63"/>
      <c r="CO597" s="63"/>
      <c r="CP597" s="63"/>
      <c r="CQ597" s="63"/>
      <c r="CR597" s="63"/>
      <c r="CS597" s="63"/>
      <c r="CX597" s="35" t="s">
        <v>12</v>
      </c>
      <c r="CZ597" s="35"/>
      <c r="DC597" s="57" t="str">
        <f t="shared" si="494"/>
        <v/>
      </c>
      <c r="DD597" s="64" t="str">
        <f t="shared" si="490"/>
        <v/>
      </c>
      <c r="DE597" s="65" t="str">
        <f t="shared" si="491"/>
        <v/>
      </c>
      <c r="DF597" s="66" t="str">
        <f t="shared" si="452"/>
        <v/>
      </c>
    </row>
    <row r="598" spans="2:110">
      <c r="B598" s="54">
        <f t="shared" si="448"/>
        <v>47238</v>
      </c>
      <c r="C598" s="55" t="s">
        <v>1</v>
      </c>
      <c r="D598" s="56">
        <f t="shared" si="449"/>
        <v>47244</v>
      </c>
      <c r="E598" s="52">
        <f t="shared" si="450"/>
        <v>4</v>
      </c>
      <c r="F598" s="53">
        <f t="shared" si="451"/>
        <v>2029</v>
      </c>
      <c r="G598" s="62">
        <f t="shared" si="492"/>
        <v>15</v>
      </c>
      <c r="H598" s="63">
        <f t="shared" si="493"/>
        <v>96</v>
      </c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80"/>
      <c r="AG598" s="87">
        <f t="shared" si="453"/>
        <v>0</v>
      </c>
      <c r="AH598" s="87">
        <f t="shared" si="454"/>
        <v>0</v>
      </c>
      <c r="AI598" s="87">
        <f t="shared" si="455"/>
        <v>0</v>
      </c>
      <c r="AJ598" s="87">
        <f t="shared" si="456"/>
        <v>0</v>
      </c>
      <c r="AK598" s="87">
        <f t="shared" si="457"/>
        <v>0</v>
      </c>
      <c r="AL598" s="87">
        <f t="shared" si="458"/>
        <v>0</v>
      </c>
      <c r="AM598" s="87">
        <f t="shared" si="459"/>
        <v>0</v>
      </c>
      <c r="AN598" s="87">
        <f t="shared" si="460"/>
        <v>0</v>
      </c>
      <c r="AO598" s="87">
        <f t="shared" si="461"/>
        <v>0</v>
      </c>
      <c r="AP598" s="87">
        <f t="shared" si="462"/>
        <v>0</v>
      </c>
      <c r="AQ598" s="87">
        <f t="shared" si="463"/>
        <v>0</v>
      </c>
      <c r="AR598" s="81"/>
      <c r="AS598" s="85">
        <f t="shared" si="464"/>
        <v>0</v>
      </c>
      <c r="AT598" s="85">
        <f t="shared" si="465"/>
        <v>0</v>
      </c>
      <c r="AU598" s="85">
        <f t="shared" si="466"/>
        <v>0</v>
      </c>
      <c r="AV598" s="85">
        <f t="shared" si="467"/>
        <v>0</v>
      </c>
      <c r="AW598" s="85">
        <f t="shared" si="468"/>
        <v>0</v>
      </c>
      <c r="AX598" s="85">
        <f t="shared" si="469"/>
        <v>0</v>
      </c>
      <c r="AY598" s="85">
        <f t="shared" si="470"/>
        <v>0</v>
      </c>
      <c r="AZ598" s="85">
        <f t="shared" si="471"/>
        <v>0</v>
      </c>
      <c r="BA598" s="85">
        <f t="shared" si="472"/>
        <v>0</v>
      </c>
      <c r="BB598" s="85">
        <f t="shared" si="473"/>
        <v>0</v>
      </c>
      <c r="BC598" s="85">
        <f t="shared" si="474"/>
        <v>0</v>
      </c>
      <c r="BD598" s="85">
        <f t="shared" si="475"/>
        <v>0</v>
      </c>
      <c r="BE598" s="85">
        <f t="shared" si="476"/>
        <v>0</v>
      </c>
      <c r="BF598" s="85">
        <f t="shared" si="477"/>
        <v>0</v>
      </c>
      <c r="BG598" s="85">
        <f t="shared" si="478"/>
        <v>0</v>
      </c>
      <c r="BH598" s="85">
        <f t="shared" si="479"/>
        <v>0</v>
      </c>
      <c r="BI598" s="85">
        <f t="shared" si="480"/>
        <v>0</v>
      </c>
      <c r="BJ598" s="85">
        <f t="shared" si="481"/>
        <v>0</v>
      </c>
      <c r="BK598" s="85">
        <f t="shared" si="482"/>
        <v>0</v>
      </c>
      <c r="BL598" s="85">
        <f t="shared" si="483"/>
        <v>0</v>
      </c>
      <c r="BM598" s="85">
        <f t="shared" si="484"/>
        <v>0</v>
      </c>
      <c r="BN598" s="85">
        <f t="shared" si="485"/>
        <v>0</v>
      </c>
      <c r="BO598" s="85">
        <f t="shared" si="486"/>
        <v>0</v>
      </c>
      <c r="BP598" s="85">
        <f t="shared" si="487"/>
        <v>0</v>
      </c>
      <c r="BQ598" s="85">
        <f t="shared" si="488"/>
        <v>0</v>
      </c>
      <c r="BR598" s="85">
        <f t="shared" si="489"/>
        <v>0</v>
      </c>
      <c r="BT598" s="63"/>
      <c r="BU598" s="63"/>
      <c r="BV598" s="63"/>
      <c r="BW598" s="63"/>
      <c r="BX598" s="63"/>
      <c r="BY598" s="63"/>
      <c r="BZ598" s="63"/>
      <c r="CA598" s="63"/>
      <c r="CB598" s="63"/>
      <c r="CC598" s="63"/>
      <c r="CD598" s="63"/>
      <c r="CE598" s="63"/>
      <c r="CF598" s="63"/>
      <c r="CG598" s="63"/>
      <c r="CH598" s="63"/>
      <c r="CI598" s="63"/>
      <c r="CJ598" s="63"/>
      <c r="CK598" s="63"/>
      <c r="CL598" s="63"/>
      <c r="CM598" s="63"/>
      <c r="CN598" s="63"/>
      <c r="CO598" s="63"/>
      <c r="CP598" s="63"/>
      <c r="CQ598" s="63"/>
      <c r="CR598" s="63"/>
      <c r="CS598" s="63"/>
      <c r="CX598" s="35" t="s">
        <v>12</v>
      </c>
      <c r="CZ598" s="35"/>
      <c r="DC598" s="57" t="str">
        <f t="shared" si="494"/>
        <v/>
      </c>
      <c r="DD598" s="64" t="str">
        <f t="shared" si="490"/>
        <v/>
      </c>
      <c r="DE598" s="65" t="str">
        <f t="shared" si="491"/>
        <v/>
      </c>
      <c r="DF598" s="66" t="str">
        <f t="shared" si="452"/>
        <v/>
      </c>
    </row>
    <row r="599" spans="2:110">
      <c r="B599" s="54">
        <f t="shared" si="448"/>
        <v>47245</v>
      </c>
      <c r="C599" s="55" t="s">
        <v>1</v>
      </c>
      <c r="D599" s="56">
        <f t="shared" si="449"/>
        <v>47251</v>
      </c>
      <c r="E599" s="52">
        <f t="shared" si="450"/>
        <v>5</v>
      </c>
      <c r="F599" s="53">
        <f t="shared" si="451"/>
        <v>2029</v>
      </c>
      <c r="G599" s="62">
        <f t="shared" si="492"/>
        <v>15</v>
      </c>
      <c r="H599" s="63">
        <f t="shared" si="493"/>
        <v>96</v>
      </c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80"/>
      <c r="AG599" s="87">
        <f t="shared" si="453"/>
        <v>0</v>
      </c>
      <c r="AH599" s="87">
        <f t="shared" si="454"/>
        <v>0</v>
      </c>
      <c r="AI599" s="87">
        <f t="shared" si="455"/>
        <v>0</v>
      </c>
      <c r="AJ599" s="87">
        <f t="shared" si="456"/>
        <v>0</v>
      </c>
      <c r="AK599" s="87">
        <f t="shared" si="457"/>
        <v>0</v>
      </c>
      <c r="AL599" s="87">
        <f t="shared" si="458"/>
        <v>0</v>
      </c>
      <c r="AM599" s="87">
        <f t="shared" si="459"/>
        <v>0</v>
      </c>
      <c r="AN599" s="87">
        <f t="shared" si="460"/>
        <v>0</v>
      </c>
      <c r="AO599" s="87">
        <f t="shared" si="461"/>
        <v>0</v>
      </c>
      <c r="AP599" s="87">
        <f t="shared" si="462"/>
        <v>0</v>
      </c>
      <c r="AQ599" s="87">
        <f t="shared" si="463"/>
        <v>0</v>
      </c>
      <c r="AR599" s="81"/>
      <c r="AS599" s="85">
        <f t="shared" si="464"/>
        <v>0</v>
      </c>
      <c r="AT599" s="85">
        <f t="shared" si="465"/>
        <v>0</v>
      </c>
      <c r="AU599" s="85">
        <f t="shared" si="466"/>
        <v>0</v>
      </c>
      <c r="AV599" s="85">
        <f t="shared" si="467"/>
        <v>0</v>
      </c>
      <c r="AW599" s="85">
        <f t="shared" si="468"/>
        <v>0</v>
      </c>
      <c r="AX599" s="85">
        <f t="shared" si="469"/>
        <v>0</v>
      </c>
      <c r="AY599" s="85">
        <f t="shared" si="470"/>
        <v>0</v>
      </c>
      <c r="AZ599" s="85">
        <f t="shared" si="471"/>
        <v>0</v>
      </c>
      <c r="BA599" s="85">
        <f t="shared" si="472"/>
        <v>0</v>
      </c>
      <c r="BB599" s="85">
        <f t="shared" si="473"/>
        <v>0</v>
      </c>
      <c r="BC599" s="85">
        <f t="shared" si="474"/>
        <v>0</v>
      </c>
      <c r="BD599" s="85">
        <f t="shared" si="475"/>
        <v>0</v>
      </c>
      <c r="BE599" s="85">
        <f t="shared" si="476"/>
        <v>0</v>
      </c>
      <c r="BF599" s="85">
        <f t="shared" si="477"/>
        <v>0</v>
      </c>
      <c r="BG599" s="85">
        <f t="shared" si="478"/>
        <v>0</v>
      </c>
      <c r="BH599" s="85">
        <f t="shared" si="479"/>
        <v>0</v>
      </c>
      <c r="BI599" s="85">
        <f t="shared" si="480"/>
        <v>0</v>
      </c>
      <c r="BJ599" s="85">
        <f t="shared" si="481"/>
        <v>0</v>
      </c>
      <c r="BK599" s="85">
        <f t="shared" si="482"/>
        <v>0</v>
      </c>
      <c r="BL599" s="85">
        <f t="shared" si="483"/>
        <v>0</v>
      </c>
      <c r="BM599" s="85">
        <f t="shared" si="484"/>
        <v>0</v>
      </c>
      <c r="BN599" s="85">
        <f t="shared" si="485"/>
        <v>0</v>
      </c>
      <c r="BO599" s="85">
        <f t="shared" si="486"/>
        <v>0</v>
      </c>
      <c r="BP599" s="85">
        <f t="shared" si="487"/>
        <v>0</v>
      </c>
      <c r="BQ599" s="85">
        <f t="shared" si="488"/>
        <v>0</v>
      </c>
      <c r="BR599" s="85">
        <f t="shared" si="489"/>
        <v>0</v>
      </c>
      <c r="BT599" s="63"/>
      <c r="BU599" s="63"/>
      <c r="BV599" s="63"/>
      <c r="BW599" s="63"/>
      <c r="BX599" s="63"/>
      <c r="BY599" s="63"/>
      <c r="BZ599" s="63"/>
      <c r="CA599" s="63"/>
      <c r="CB599" s="63"/>
      <c r="CC599" s="63"/>
      <c r="CD599" s="63"/>
      <c r="CE599" s="63"/>
      <c r="CF599" s="63"/>
      <c r="CG599" s="63"/>
      <c r="CH599" s="63"/>
      <c r="CI599" s="63"/>
      <c r="CJ599" s="63"/>
      <c r="CK599" s="63"/>
      <c r="CL599" s="63"/>
      <c r="CM599" s="63"/>
      <c r="CN599" s="63"/>
      <c r="CO599" s="63"/>
      <c r="CP599" s="63"/>
      <c r="CQ599" s="63"/>
      <c r="CR599" s="63"/>
      <c r="CS599" s="63"/>
      <c r="CX599" s="35" t="s">
        <v>12</v>
      </c>
      <c r="CZ599" s="35"/>
      <c r="DC599" s="57" t="str">
        <f t="shared" si="494"/>
        <v/>
      </c>
      <c r="DD599" s="64" t="str">
        <f t="shared" si="490"/>
        <v/>
      </c>
      <c r="DE599" s="65" t="str">
        <f t="shared" si="491"/>
        <v/>
      </c>
      <c r="DF599" s="66" t="str">
        <f t="shared" si="452"/>
        <v/>
      </c>
    </row>
    <row r="600" spans="2:110">
      <c r="B600" s="54">
        <f t="shared" si="448"/>
        <v>47252</v>
      </c>
      <c r="C600" s="55" t="s">
        <v>1</v>
      </c>
      <c r="D600" s="56">
        <f t="shared" si="449"/>
        <v>47258</v>
      </c>
      <c r="E600" s="52">
        <f t="shared" si="450"/>
        <v>5</v>
      </c>
      <c r="F600" s="53">
        <f t="shared" si="451"/>
        <v>2029</v>
      </c>
      <c r="G600" s="62">
        <f t="shared" si="492"/>
        <v>15</v>
      </c>
      <c r="H600" s="63">
        <f t="shared" si="493"/>
        <v>96</v>
      </c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80"/>
      <c r="AG600" s="87">
        <f t="shared" si="453"/>
        <v>0</v>
      </c>
      <c r="AH600" s="87">
        <f t="shared" si="454"/>
        <v>0</v>
      </c>
      <c r="AI600" s="87">
        <f t="shared" si="455"/>
        <v>0</v>
      </c>
      <c r="AJ600" s="87">
        <f t="shared" si="456"/>
        <v>0</v>
      </c>
      <c r="AK600" s="87">
        <f t="shared" si="457"/>
        <v>0</v>
      </c>
      <c r="AL600" s="87">
        <f t="shared" si="458"/>
        <v>0</v>
      </c>
      <c r="AM600" s="87">
        <f t="shared" si="459"/>
        <v>0</v>
      </c>
      <c r="AN600" s="87">
        <f t="shared" si="460"/>
        <v>0</v>
      </c>
      <c r="AO600" s="87">
        <f t="shared" si="461"/>
        <v>0</v>
      </c>
      <c r="AP600" s="87">
        <f t="shared" si="462"/>
        <v>0</v>
      </c>
      <c r="AQ600" s="87">
        <f t="shared" si="463"/>
        <v>0</v>
      </c>
      <c r="AR600" s="81"/>
      <c r="AS600" s="85">
        <f t="shared" si="464"/>
        <v>0</v>
      </c>
      <c r="AT600" s="85">
        <f t="shared" si="465"/>
        <v>0</v>
      </c>
      <c r="AU600" s="85">
        <f t="shared" si="466"/>
        <v>0</v>
      </c>
      <c r="AV600" s="85">
        <f t="shared" si="467"/>
        <v>0</v>
      </c>
      <c r="AW600" s="85">
        <f t="shared" si="468"/>
        <v>0</v>
      </c>
      <c r="AX600" s="85">
        <f t="shared" si="469"/>
        <v>0</v>
      </c>
      <c r="AY600" s="85">
        <f t="shared" si="470"/>
        <v>0</v>
      </c>
      <c r="AZ600" s="85">
        <f t="shared" si="471"/>
        <v>0</v>
      </c>
      <c r="BA600" s="85">
        <f t="shared" si="472"/>
        <v>0</v>
      </c>
      <c r="BB600" s="85">
        <f t="shared" si="473"/>
        <v>0</v>
      </c>
      <c r="BC600" s="85">
        <f t="shared" si="474"/>
        <v>0</v>
      </c>
      <c r="BD600" s="85">
        <f t="shared" si="475"/>
        <v>0</v>
      </c>
      <c r="BE600" s="85">
        <f t="shared" si="476"/>
        <v>0</v>
      </c>
      <c r="BF600" s="85">
        <f t="shared" si="477"/>
        <v>0</v>
      </c>
      <c r="BG600" s="85">
        <f t="shared" si="478"/>
        <v>0</v>
      </c>
      <c r="BH600" s="85">
        <f t="shared" si="479"/>
        <v>0</v>
      </c>
      <c r="BI600" s="85">
        <f t="shared" si="480"/>
        <v>0</v>
      </c>
      <c r="BJ600" s="85">
        <f t="shared" si="481"/>
        <v>0</v>
      </c>
      <c r="BK600" s="85">
        <f t="shared" si="482"/>
        <v>0</v>
      </c>
      <c r="BL600" s="85">
        <f t="shared" si="483"/>
        <v>0</v>
      </c>
      <c r="BM600" s="85">
        <f t="shared" si="484"/>
        <v>0</v>
      </c>
      <c r="BN600" s="85">
        <f t="shared" si="485"/>
        <v>0</v>
      </c>
      <c r="BO600" s="85">
        <f t="shared" si="486"/>
        <v>0</v>
      </c>
      <c r="BP600" s="85">
        <f t="shared" si="487"/>
        <v>0</v>
      </c>
      <c r="BQ600" s="85">
        <f t="shared" si="488"/>
        <v>0</v>
      </c>
      <c r="BR600" s="85">
        <f t="shared" si="489"/>
        <v>0</v>
      </c>
      <c r="BT600" s="63"/>
      <c r="BU600" s="63"/>
      <c r="BV600" s="63"/>
      <c r="BW600" s="63"/>
      <c r="BX600" s="63"/>
      <c r="BY600" s="63"/>
      <c r="BZ600" s="63"/>
      <c r="CA600" s="63"/>
      <c r="CB600" s="63"/>
      <c r="CC600" s="63"/>
      <c r="CD600" s="63"/>
      <c r="CE600" s="63"/>
      <c r="CF600" s="63"/>
      <c r="CG600" s="63"/>
      <c r="CH600" s="63"/>
      <c r="CI600" s="63"/>
      <c r="CJ600" s="63"/>
      <c r="CK600" s="63"/>
      <c r="CL600" s="63"/>
      <c r="CM600" s="63"/>
      <c r="CN600" s="63"/>
      <c r="CO600" s="63"/>
      <c r="CP600" s="63"/>
      <c r="CQ600" s="63"/>
      <c r="CR600" s="63"/>
      <c r="CS600" s="63"/>
      <c r="CX600" s="35" t="s">
        <v>12</v>
      </c>
      <c r="CZ600" s="35"/>
      <c r="DC600" s="57" t="str">
        <f t="shared" si="494"/>
        <v/>
      </c>
      <c r="DD600" s="64" t="str">
        <f t="shared" si="490"/>
        <v/>
      </c>
      <c r="DE600" s="65" t="str">
        <f t="shared" si="491"/>
        <v/>
      </c>
      <c r="DF600" s="66" t="str">
        <f t="shared" si="452"/>
        <v/>
      </c>
    </row>
    <row r="601" spans="2:110">
      <c r="B601" s="54">
        <f t="shared" si="448"/>
        <v>47259</v>
      </c>
      <c r="C601" s="55" t="s">
        <v>1</v>
      </c>
      <c r="D601" s="56">
        <f t="shared" si="449"/>
        <v>47265</v>
      </c>
      <c r="E601" s="52">
        <f t="shared" si="450"/>
        <v>5</v>
      </c>
      <c r="F601" s="53">
        <f t="shared" si="451"/>
        <v>2029</v>
      </c>
      <c r="G601" s="62">
        <f t="shared" si="492"/>
        <v>15</v>
      </c>
      <c r="H601" s="63">
        <f t="shared" si="493"/>
        <v>96</v>
      </c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80"/>
      <c r="AG601" s="87">
        <f t="shared" si="453"/>
        <v>0</v>
      </c>
      <c r="AH601" s="87">
        <f t="shared" si="454"/>
        <v>0</v>
      </c>
      <c r="AI601" s="87">
        <f t="shared" si="455"/>
        <v>0</v>
      </c>
      <c r="AJ601" s="87">
        <f t="shared" si="456"/>
        <v>0</v>
      </c>
      <c r="AK601" s="87">
        <f t="shared" si="457"/>
        <v>0</v>
      </c>
      <c r="AL601" s="87">
        <f t="shared" si="458"/>
        <v>0</v>
      </c>
      <c r="AM601" s="87">
        <f t="shared" si="459"/>
        <v>0</v>
      </c>
      <c r="AN601" s="87">
        <f t="shared" si="460"/>
        <v>0</v>
      </c>
      <c r="AO601" s="87">
        <f t="shared" si="461"/>
        <v>0</v>
      </c>
      <c r="AP601" s="87">
        <f t="shared" si="462"/>
        <v>0</v>
      </c>
      <c r="AQ601" s="87">
        <f t="shared" si="463"/>
        <v>0</v>
      </c>
      <c r="AR601" s="81"/>
      <c r="AS601" s="85">
        <f t="shared" si="464"/>
        <v>0</v>
      </c>
      <c r="AT601" s="85">
        <f t="shared" si="465"/>
        <v>0</v>
      </c>
      <c r="AU601" s="85">
        <f t="shared" si="466"/>
        <v>0</v>
      </c>
      <c r="AV601" s="85">
        <f t="shared" si="467"/>
        <v>0</v>
      </c>
      <c r="AW601" s="85">
        <f t="shared" si="468"/>
        <v>0</v>
      </c>
      <c r="AX601" s="85">
        <f t="shared" si="469"/>
        <v>0</v>
      </c>
      <c r="AY601" s="85">
        <f t="shared" si="470"/>
        <v>0</v>
      </c>
      <c r="AZ601" s="85">
        <f t="shared" si="471"/>
        <v>0</v>
      </c>
      <c r="BA601" s="85">
        <f t="shared" si="472"/>
        <v>0</v>
      </c>
      <c r="BB601" s="85">
        <f t="shared" si="473"/>
        <v>0</v>
      </c>
      <c r="BC601" s="85">
        <f t="shared" si="474"/>
        <v>0</v>
      </c>
      <c r="BD601" s="85">
        <f t="shared" si="475"/>
        <v>0</v>
      </c>
      <c r="BE601" s="85">
        <f t="shared" si="476"/>
        <v>0</v>
      </c>
      <c r="BF601" s="85">
        <f t="shared" si="477"/>
        <v>0</v>
      </c>
      <c r="BG601" s="85">
        <f t="shared" si="478"/>
        <v>0</v>
      </c>
      <c r="BH601" s="85">
        <f t="shared" si="479"/>
        <v>0</v>
      </c>
      <c r="BI601" s="85">
        <f t="shared" si="480"/>
        <v>0</v>
      </c>
      <c r="BJ601" s="85">
        <f t="shared" si="481"/>
        <v>0</v>
      </c>
      <c r="BK601" s="85">
        <f t="shared" si="482"/>
        <v>0</v>
      </c>
      <c r="BL601" s="85">
        <f t="shared" si="483"/>
        <v>0</v>
      </c>
      <c r="BM601" s="85">
        <f t="shared" si="484"/>
        <v>0</v>
      </c>
      <c r="BN601" s="85">
        <f t="shared" si="485"/>
        <v>0</v>
      </c>
      <c r="BO601" s="85">
        <f t="shared" si="486"/>
        <v>0</v>
      </c>
      <c r="BP601" s="85">
        <f t="shared" si="487"/>
        <v>0</v>
      </c>
      <c r="BQ601" s="85">
        <f t="shared" si="488"/>
        <v>0</v>
      </c>
      <c r="BR601" s="85">
        <f t="shared" si="489"/>
        <v>0</v>
      </c>
      <c r="BT601" s="63"/>
      <c r="BU601" s="63"/>
      <c r="BV601" s="63"/>
      <c r="BW601" s="63"/>
      <c r="BX601" s="63"/>
      <c r="BY601" s="63"/>
      <c r="BZ601" s="63"/>
      <c r="CA601" s="63"/>
      <c r="CB601" s="63"/>
      <c r="CC601" s="63"/>
      <c r="CD601" s="63"/>
      <c r="CE601" s="63"/>
      <c r="CF601" s="63"/>
      <c r="CG601" s="63"/>
      <c r="CH601" s="63"/>
      <c r="CI601" s="63"/>
      <c r="CJ601" s="63"/>
      <c r="CK601" s="63"/>
      <c r="CL601" s="63"/>
      <c r="CM601" s="63"/>
      <c r="CN601" s="63"/>
      <c r="CO601" s="63"/>
      <c r="CP601" s="63"/>
      <c r="CQ601" s="63"/>
      <c r="CR601" s="63"/>
      <c r="CS601" s="63"/>
      <c r="CX601" s="35" t="s">
        <v>12</v>
      </c>
      <c r="CZ601" s="35"/>
      <c r="DC601" s="57" t="str">
        <f t="shared" si="494"/>
        <v/>
      </c>
      <c r="DD601" s="64" t="str">
        <f t="shared" si="490"/>
        <v/>
      </c>
      <c r="DE601" s="65" t="str">
        <f t="shared" si="491"/>
        <v/>
      </c>
      <c r="DF601" s="66" t="str">
        <f t="shared" si="452"/>
        <v/>
      </c>
    </row>
    <row r="602" spans="2:110">
      <c r="B602" s="54">
        <f t="shared" si="448"/>
        <v>47266</v>
      </c>
      <c r="C602" s="55" t="s">
        <v>1</v>
      </c>
      <c r="D602" s="56">
        <f t="shared" si="449"/>
        <v>47272</v>
      </c>
      <c r="E602" s="52">
        <f t="shared" si="450"/>
        <v>5</v>
      </c>
      <c r="F602" s="53">
        <f t="shared" si="451"/>
        <v>2029</v>
      </c>
      <c r="G602" s="62">
        <f t="shared" si="492"/>
        <v>15</v>
      </c>
      <c r="H602" s="63">
        <f t="shared" si="493"/>
        <v>96</v>
      </c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80"/>
      <c r="AG602" s="87">
        <f t="shared" si="453"/>
        <v>0</v>
      </c>
      <c r="AH602" s="87">
        <f t="shared" si="454"/>
        <v>0</v>
      </c>
      <c r="AI602" s="87">
        <f t="shared" si="455"/>
        <v>0</v>
      </c>
      <c r="AJ602" s="87">
        <f t="shared" si="456"/>
        <v>0</v>
      </c>
      <c r="AK602" s="87">
        <f t="shared" si="457"/>
        <v>0</v>
      </c>
      <c r="AL602" s="87">
        <f t="shared" si="458"/>
        <v>0</v>
      </c>
      <c r="AM602" s="87">
        <f t="shared" si="459"/>
        <v>0</v>
      </c>
      <c r="AN602" s="87">
        <f t="shared" si="460"/>
        <v>0</v>
      </c>
      <c r="AO602" s="87">
        <f t="shared" si="461"/>
        <v>0</v>
      </c>
      <c r="AP602" s="87">
        <f t="shared" si="462"/>
        <v>0</v>
      </c>
      <c r="AQ602" s="87">
        <f t="shared" si="463"/>
        <v>0</v>
      </c>
      <c r="AR602" s="81"/>
      <c r="AS602" s="85">
        <f t="shared" si="464"/>
        <v>0</v>
      </c>
      <c r="AT602" s="85">
        <f t="shared" si="465"/>
        <v>0</v>
      </c>
      <c r="AU602" s="85">
        <f t="shared" si="466"/>
        <v>0</v>
      </c>
      <c r="AV602" s="85">
        <f t="shared" si="467"/>
        <v>0</v>
      </c>
      <c r="AW602" s="85">
        <f t="shared" si="468"/>
        <v>0</v>
      </c>
      <c r="AX602" s="85">
        <f t="shared" si="469"/>
        <v>0</v>
      </c>
      <c r="AY602" s="85">
        <f t="shared" si="470"/>
        <v>0</v>
      </c>
      <c r="AZ602" s="85">
        <f t="shared" si="471"/>
        <v>0</v>
      </c>
      <c r="BA602" s="85">
        <f t="shared" si="472"/>
        <v>0</v>
      </c>
      <c r="BB602" s="85">
        <f t="shared" si="473"/>
        <v>0</v>
      </c>
      <c r="BC602" s="85">
        <f t="shared" si="474"/>
        <v>0</v>
      </c>
      <c r="BD602" s="85">
        <f t="shared" si="475"/>
        <v>0</v>
      </c>
      <c r="BE602" s="85">
        <f t="shared" si="476"/>
        <v>0</v>
      </c>
      <c r="BF602" s="85">
        <f t="shared" si="477"/>
        <v>0</v>
      </c>
      <c r="BG602" s="85">
        <f t="shared" si="478"/>
        <v>0</v>
      </c>
      <c r="BH602" s="85">
        <f t="shared" si="479"/>
        <v>0</v>
      </c>
      <c r="BI602" s="85">
        <f t="shared" si="480"/>
        <v>0</v>
      </c>
      <c r="BJ602" s="85">
        <f t="shared" si="481"/>
        <v>0</v>
      </c>
      <c r="BK602" s="85">
        <f t="shared" si="482"/>
        <v>0</v>
      </c>
      <c r="BL602" s="85">
        <f t="shared" si="483"/>
        <v>0</v>
      </c>
      <c r="BM602" s="85">
        <f t="shared" si="484"/>
        <v>0</v>
      </c>
      <c r="BN602" s="85">
        <f t="shared" si="485"/>
        <v>0</v>
      </c>
      <c r="BO602" s="85">
        <f t="shared" si="486"/>
        <v>0</v>
      </c>
      <c r="BP602" s="85">
        <f t="shared" si="487"/>
        <v>0</v>
      </c>
      <c r="BQ602" s="85">
        <f t="shared" si="488"/>
        <v>0</v>
      </c>
      <c r="BR602" s="85">
        <f t="shared" si="489"/>
        <v>0</v>
      </c>
      <c r="BT602" s="63"/>
      <c r="BU602" s="63"/>
      <c r="BV602" s="63"/>
      <c r="BW602" s="63"/>
      <c r="BX602" s="63"/>
      <c r="BY602" s="63"/>
      <c r="BZ602" s="63"/>
      <c r="CA602" s="63"/>
      <c r="CB602" s="63"/>
      <c r="CC602" s="63"/>
      <c r="CD602" s="63"/>
      <c r="CE602" s="63"/>
      <c r="CF602" s="63"/>
      <c r="CG602" s="63"/>
      <c r="CH602" s="63"/>
      <c r="CI602" s="63"/>
      <c r="CJ602" s="63"/>
      <c r="CK602" s="63"/>
      <c r="CL602" s="63"/>
      <c r="CM602" s="63"/>
      <c r="CN602" s="63"/>
      <c r="CO602" s="63"/>
      <c r="CP602" s="63"/>
      <c r="CQ602" s="63"/>
      <c r="CR602" s="63"/>
      <c r="CS602" s="63"/>
      <c r="CX602" s="35" t="s">
        <v>12</v>
      </c>
      <c r="CZ602" s="35"/>
      <c r="DC602" s="57" t="str">
        <f t="shared" si="494"/>
        <v/>
      </c>
      <c r="DD602" s="64" t="str">
        <f t="shared" si="490"/>
        <v/>
      </c>
      <c r="DE602" s="65" t="str">
        <f t="shared" si="491"/>
        <v/>
      </c>
      <c r="DF602" s="66" t="str">
        <f t="shared" si="452"/>
        <v/>
      </c>
    </row>
    <row r="603" spans="2:110">
      <c r="B603" s="54">
        <f t="shared" si="448"/>
        <v>47273</v>
      </c>
      <c r="C603" s="55" t="s">
        <v>1</v>
      </c>
      <c r="D603" s="56">
        <f t="shared" si="449"/>
        <v>47279</v>
      </c>
      <c r="E603" s="52">
        <f t="shared" si="450"/>
        <v>6</v>
      </c>
      <c r="F603" s="53">
        <f t="shared" si="451"/>
        <v>2029</v>
      </c>
      <c r="G603" s="62">
        <f t="shared" si="492"/>
        <v>15</v>
      </c>
      <c r="H603" s="63">
        <f t="shared" si="493"/>
        <v>96</v>
      </c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80"/>
      <c r="AG603" s="87">
        <f t="shared" si="453"/>
        <v>0</v>
      </c>
      <c r="AH603" s="87">
        <f t="shared" si="454"/>
        <v>0</v>
      </c>
      <c r="AI603" s="87">
        <f t="shared" si="455"/>
        <v>0</v>
      </c>
      <c r="AJ603" s="87">
        <f t="shared" si="456"/>
        <v>0</v>
      </c>
      <c r="AK603" s="87">
        <f t="shared" si="457"/>
        <v>0</v>
      </c>
      <c r="AL603" s="87">
        <f t="shared" si="458"/>
        <v>0</v>
      </c>
      <c r="AM603" s="87">
        <f t="shared" si="459"/>
        <v>0</v>
      </c>
      <c r="AN603" s="87">
        <f t="shared" si="460"/>
        <v>0</v>
      </c>
      <c r="AO603" s="87">
        <f t="shared" si="461"/>
        <v>0</v>
      </c>
      <c r="AP603" s="87">
        <f t="shared" si="462"/>
        <v>0</v>
      </c>
      <c r="AQ603" s="87">
        <f t="shared" si="463"/>
        <v>0</v>
      </c>
      <c r="AR603" s="81"/>
      <c r="AS603" s="85">
        <f t="shared" si="464"/>
        <v>0</v>
      </c>
      <c r="AT603" s="85">
        <f t="shared" si="465"/>
        <v>0</v>
      </c>
      <c r="AU603" s="85">
        <f t="shared" si="466"/>
        <v>0</v>
      </c>
      <c r="AV603" s="85">
        <f t="shared" si="467"/>
        <v>0</v>
      </c>
      <c r="AW603" s="85">
        <f t="shared" si="468"/>
        <v>0</v>
      </c>
      <c r="AX603" s="85">
        <f t="shared" si="469"/>
        <v>0</v>
      </c>
      <c r="AY603" s="85">
        <f t="shared" si="470"/>
        <v>0</v>
      </c>
      <c r="AZ603" s="85">
        <f t="shared" si="471"/>
        <v>0</v>
      </c>
      <c r="BA603" s="85">
        <f t="shared" si="472"/>
        <v>0</v>
      </c>
      <c r="BB603" s="85">
        <f t="shared" si="473"/>
        <v>0</v>
      </c>
      <c r="BC603" s="85">
        <f t="shared" si="474"/>
        <v>0</v>
      </c>
      <c r="BD603" s="85">
        <f t="shared" si="475"/>
        <v>0</v>
      </c>
      <c r="BE603" s="85">
        <f t="shared" si="476"/>
        <v>0</v>
      </c>
      <c r="BF603" s="85">
        <f t="shared" si="477"/>
        <v>0</v>
      </c>
      <c r="BG603" s="85">
        <f t="shared" si="478"/>
        <v>0</v>
      </c>
      <c r="BH603" s="85">
        <f t="shared" si="479"/>
        <v>0</v>
      </c>
      <c r="BI603" s="85">
        <f t="shared" si="480"/>
        <v>0</v>
      </c>
      <c r="BJ603" s="85">
        <f t="shared" si="481"/>
        <v>0</v>
      </c>
      <c r="BK603" s="85">
        <f t="shared" si="482"/>
        <v>0</v>
      </c>
      <c r="BL603" s="85">
        <f t="shared" si="483"/>
        <v>0</v>
      </c>
      <c r="BM603" s="85">
        <f t="shared" si="484"/>
        <v>0</v>
      </c>
      <c r="BN603" s="85">
        <f t="shared" si="485"/>
        <v>0</v>
      </c>
      <c r="BO603" s="85">
        <f t="shared" si="486"/>
        <v>0</v>
      </c>
      <c r="BP603" s="85">
        <f t="shared" si="487"/>
        <v>0</v>
      </c>
      <c r="BQ603" s="85">
        <f t="shared" si="488"/>
        <v>0</v>
      </c>
      <c r="BR603" s="85">
        <f t="shared" si="489"/>
        <v>0</v>
      </c>
      <c r="BT603" s="63"/>
      <c r="BU603" s="63"/>
      <c r="BV603" s="63"/>
      <c r="BW603" s="63"/>
      <c r="BX603" s="63"/>
      <c r="BY603" s="63"/>
      <c r="BZ603" s="63"/>
      <c r="CA603" s="63"/>
      <c r="CB603" s="63"/>
      <c r="CC603" s="63"/>
      <c r="CD603" s="63"/>
      <c r="CE603" s="63"/>
      <c r="CF603" s="63"/>
      <c r="CG603" s="63"/>
      <c r="CH603" s="63"/>
      <c r="CI603" s="63"/>
      <c r="CJ603" s="63"/>
      <c r="CK603" s="63"/>
      <c r="CL603" s="63"/>
      <c r="CM603" s="63"/>
      <c r="CN603" s="63"/>
      <c r="CO603" s="63"/>
      <c r="CP603" s="63"/>
      <c r="CQ603" s="63"/>
      <c r="CR603" s="63"/>
      <c r="CS603" s="63"/>
      <c r="CX603" s="35" t="s">
        <v>12</v>
      </c>
      <c r="CZ603" s="35"/>
      <c r="DC603" s="57" t="str">
        <f t="shared" si="494"/>
        <v/>
      </c>
      <c r="DD603" s="64" t="str">
        <f t="shared" si="490"/>
        <v/>
      </c>
      <c r="DE603" s="65" t="str">
        <f t="shared" si="491"/>
        <v/>
      </c>
      <c r="DF603" s="66" t="str">
        <f t="shared" si="452"/>
        <v/>
      </c>
    </row>
    <row r="604" spans="2:110">
      <c r="B604" s="54">
        <f t="shared" si="448"/>
        <v>47280</v>
      </c>
      <c r="C604" s="55" t="s">
        <v>1</v>
      </c>
      <c r="D604" s="56">
        <f t="shared" si="449"/>
        <v>47286</v>
      </c>
      <c r="E604" s="52">
        <f t="shared" si="450"/>
        <v>6</v>
      </c>
      <c r="F604" s="53">
        <f t="shared" si="451"/>
        <v>2029</v>
      </c>
      <c r="G604" s="62">
        <f t="shared" si="492"/>
        <v>15</v>
      </c>
      <c r="H604" s="63">
        <f t="shared" si="493"/>
        <v>96</v>
      </c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80"/>
      <c r="AG604" s="87">
        <f t="shared" si="453"/>
        <v>0</v>
      </c>
      <c r="AH604" s="87">
        <f t="shared" si="454"/>
        <v>0</v>
      </c>
      <c r="AI604" s="87">
        <f t="shared" si="455"/>
        <v>0</v>
      </c>
      <c r="AJ604" s="87">
        <f t="shared" si="456"/>
        <v>0</v>
      </c>
      <c r="AK604" s="87">
        <f t="shared" si="457"/>
        <v>0</v>
      </c>
      <c r="AL604" s="87">
        <f t="shared" si="458"/>
        <v>0</v>
      </c>
      <c r="AM604" s="87">
        <f t="shared" si="459"/>
        <v>0</v>
      </c>
      <c r="AN604" s="87">
        <f t="shared" si="460"/>
        <v>0</v>
      </c>
      <c r="AO604" s="87">
        <f t="shared" si="461"/>
        <v>0</v>
      </c>
      <c r="AP604" s="87">
        <f t="shared" si="462"/>
        <v>0</v>
      </c>
      <c r="AQ604" s="87">
        <f t="shared" si="463"/>
        <v>0</v>
      </c>
      <c r="AR604" s="81"/>
      <c r="AS604" s="85">
        <f t="shared" si="464"/>
        <v>0</v>
      </c>
      <c r="AT604" s="85">
        <f t="shared" si="465"/>
        <v>0</v>
      </c>
      <c r="AU604" s="85">
        <f t="shared" si="466"/>
        <v>0</v>
      </c>
      <c r="AV604" s="85">
        <f t="shared" si="467"/>
        <v>0</v>
      </c>
      <c r="AW604" s="85">
        <f t="shared" si="468"/>
        <v>0</v>
      </c>
      <c r="AX604" s="85">
        <f t="shared" si="469"/>
        <v>0</v>
      </c>
      <c r="AY604" s="85">
        <f t="shared" si="470"/>
        <v>0</v>
      </c>
      <c r="AZ604" s="85">
        <f t="shared" si="471"/>
        <v>0</v>
      </c>
      <c r="BA604" s="85">
        <f t="shared" si="472"/>
        <v>0</v>
      </c>
      <c r="BB604" s="85">
        <f t="shared" si="473"/>
        <v>0</v>
      </c>
      <c r="BC604" s="85">
        <f t="shared" si="474"/>
        <v>0</v>
      </c>
      <c r="BD604" s="85">
        <f t="shared" si="475"/>
        <v>0</v>
      </c>
      <c r="BE604" s="85">
        <f t="shared" si="476"/>
        <v>0</v>
      </c>
      <c r="BF604" s="85">
        <f t="shared" si="477"/>
        <v>0</v>
      </c>
      <c r="BG604" s="85">
        <f t="shared" si="478"/>
        <v>0</v>
      </c>
      <c r="BH604" s="85">
        <f t="shared" si="479"/>
        <v>0</v>
      </c>
      <c r="BI604" s="85">
        <f t="shared" si="480"/>
        <v>0</v>
      </c>
      <c r="BJ604" s="85">
        <f t="shared" si="481"/>
        <v>0</v>
      </c>
      <c r="BK604" s="85">
        <f t="shared" si="482"/>
        <v>0</v>
      </c>
      <c r="BL604" s="85">
        <f t="shared" si="483"/>
        <v>0</v>
      </c>
      <c r="BM604" s="85">
        <f t="shared" si="484"/>
        <v>0</v>
      </c>
      <c r="BN604" s="85">
        <f t="shared" si="485"/>
        <v>0</v>
      </c>
      <c r="BO604" s="85">
        <f t="shared" si="486"/>
        <v>0</v>
      </c>
      <c r="BP604" s="85">
        <f t="shared" si="487"/>
        <v>0</v>
      </c>
      <c r="BQ604" s="85">
        <f t="shared" si="488"/>
        <v>0</v>
      </c>
      <c r="BR604" s="85">
        <f t="shared" si="489"/>
        <v>0</v>
      </c>
      <c r="BT604" s="63"/>
      <c r="BU604" s="63"/>
      <c r="BV604" s="63"/>
      <c r="BW604" s="63"/>
      <c r="BX604" s="63"/>
      <c r="BY604" s="63"/>
      <c r="BZ604" s="63"/>
      <c r="CA604" s="63"/>
      <c r="CB604" s="63"/>
      <c r="CC604" s="63"/>
      <c r="CD604" s="63"/>
      <c r="CE604" s="63"/>
      <c r="CF604" s="63"/>
      <c r="CG604" s="63"/>
      <c r="CH604" s="63"/>
      <c r="CI604" s="63"/>
      <c r="CJ604" s="63"/>
      <c r="CK604" s="63"/>
      <c r="CL604" s="63"/>
      <c r="CM604" s="63"/>
      <c r="CN604" s="63"/>
      <c r="CO604" s="63"/>
      <c r="CP604" s="63"/>
      <c r="CQ604" s="63"/>
      <c r="CR604" s="63"/>
      <c r="CS604" s="63"/>
      <c r="CX604" s="35" t="s">
        <v>12</v>
      </c>
      <c r="CZ604" s="35"/>
      <c r="DC604" s="57" t="str">
        <f t="shared" si="494"/>
        <v/>
      </c>
      <c r="DD604" s="64" t="str">
        <f t="shared" si="490"/>
        <v/>
      </c>
      <c r="DE604" s="65" t="str">
        <f t="shared" si="491"/>
        <v/>
      </c>
      <c r="DF604" s="66" t="str">
        <f t="shared" si="452"/>
        <v/>
      </c>
    </row>
    <row r="605" spans="2:110">
      <c r="B605" s="54">
        <f t="shared" si="448"/>
        <v>47287</v>
      </c>
      <c r="C605" s="55" t="s">
        <v>1</v>
      </c>
      <c r="D605" s="56">
        <f t="shared" si="449"/>
        <v>47293</v>
      </c>
      <c r="E605" s="52">
        <f t="shared" si="450"/>
        <v>6</v>
      </c>
      <c r="F605" s="53">
        <f t="shared" si="451"/>
        <v>2029</v>
      </c>
      <c r="G605" s="62">
        <f t="shared" si="492"/>
        <v>15</v>
      </c>
      <c r="H605" s="63">
        <f t="shared" si="493"/>
        <v>96</v>
      </c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80"/>
      <c r="AG605" s="87">
        <f t="shared" si="453"/>
        <v>0</v>
      </c>
      <c r="AH605" s="87">
        <f t="shared" si="454"/>
        <v>0</v>
      </c>
      <c r="AI605" s="87">
        <f t="shared" si="455"/>
        <v>0</v>
      </c>
      <c r="AJ605" s="87">
        <f t="shared" si="456"/>
        <v>0</v>
      </c>
      <c r="AK605" s="87">
        <f t="shared" si="457"/>
        <v>0</v>
      </c>
      <c r="AL605" s="87">
        <f t="shared" si="458"/>
        <v>0</v>
      </c>
      <c r="AM605" s="87">
        <f t="shared" si="459"/>
        <v>0</v>
      </c>
      <c r="AN605" s="87">
        <f t="shared" si="460"/>
        <v>0</v>
      </c>
      <c r="AO605" s="87">
        <f t="shared" si="461"/>
        <v>0</v>
      </c>
      <c r="AP605" s="87">
        <f t="shared" si="462"/>
        <v>0</v>
      </c>
      <c r="AQ605" s="87">
        <f t="shared" si="463"/>
        <v>0</v>
      </c>
      <c r="AR605" s="81"/>
      <c r="AS605" s="85">
        <f t="shared" si="464"/>
        <v>0</v>
      </c>
      <c r="AT605" s="85">
        <f t="shared" si="465"/>
        <v>0</v>
      </c>
      <c r="AU605" s="85">
        <f t="shared" si="466"/>
        <v>0</v>
      </c>
      <c r="AV605" s="85">
        <f t="shared" si="467"/>
        <v>0</v>
      </c>
      <c r="AW605" s="85">
        <f t="shared" si="468"/>
        <v>0</v>
      </c>
      <c r="AX605" s="85">
        <f t="shared" si="469"/>
        <v>0</v>
      </c>
      <c r="AY605" s="85">
        <f t="shared" si="470"/>
        <v>0</v>
      </c>
      <c r="AZ605" s="85">
        <f t="shared" si="471"/>
        <v>0</v>
      </c>
      <c r="BA605" s="85">
        <f t="shared" si="472"/>
        <v>0</v>
      </c>
      <c r="BB605" s="85">
        <f t="shared" si="473"/>
        <v>0</v>
      </c>
      <c r="BC605" s="85">
        <f t="shared" si="474"/>
        <v>0</v>
      </c>
      <c r="BD605" s="85">
        <f t="shared" si="475"/>
        <v>0</v>
      </c>
      <c r="BE605" s="85">
        <f t="shared" si="476"/>
        <v>0</v>
      </c>
      <c r="BF605" s="85">
        <f t="shared" si="477"/>
        <v>0</v>
      </c>
      <c r="BG605" s="85">
        <f t="shared" si="478"/>
        <v>0</v>
      </c>
      <c r="BH605" s="85">
        <f t="shared" si="479"/>
        <v>0</v>
      </c>
      <c r="BI605" s="85">
        <f t="shared" si="480"/>
        <v>0</v>
      </c>
      <c r="BJ605" s="85">
        <f t="shared" si="481"/>
        <v>0</v>
      </c>
      <c r="BK605" s="85">
        <f t="shared" si="482"/>
        <v>0</v>
      </c>
      <c r="BL605" s="85">
        <f t="shared" si="483"/>
        <v>0</v>
      </c>
      <c r="BM605" s="85">
        <f t="shared" si="484"/>
        <v>0</v>
      </c>
      <c r="BN605" s="85">
        <f t="shared" si="485"/>
        <v>0</v>
      </c>
      <c r="BO605" s="85">
        <f t="shared" si="486"/>
        <v>0</v>
      </c>
      <c r="BP605" s="85">
        <f t="shared" si="487"/>
        <v>0</v>
      </c>
      <c r="BQ605" s="85">
        <f t="shared" si="488"/>
        <v>0</v>
      </c>
      <c r="BR605" s="85">
        <f t="shared" si="489"/>
        <v>0</v>
      </c>
      <c r="BT605" s="63"/>
      <c r="BU605" s="63"/>
      <c r="BV605" s="63"/>
      <c r="BW605" s="63"/>
      <c r="BX605" s="63"/>
      <c r="BY605" s="63"/>
      <c r="BZ605" s="63"/>
      <c r="CA605" s="63"/>
      <c r="CB605" s="63"/>
      <c r="CC605" s="63"/>
      <c r="CD605" s="63"/>
      <c r="CE605" s="63"/>
      <c r="CF605" s="63"/>
      <c r="CG605" s="63"/>
      <c r="CH605" s="63"/>
      <c r="CI605" s="63"/>
      <c r="CJ605" s="63"/>
      <c r="CK605" s="63"/>
      <c r="CL605" s="63"/>
      <c r="CM605" s="63"/>
      <c r="CN605" s="63"/>
      <c r="CO605" s="63"/>
      <c r="CP605" s="63"/>
      <c r="CQ605" s="63"/>
      <c r="CR605" s="63"/>
      <c r="CS605" s="63"/>
      <c r="CX605" s="35" t="s">
        <v>12</v>
      </c>
      <c r="CZ605" s="35"/>
      <c r="DC605" s="57" t="str">
        <f t="shared" si="494"/>
        <v/>
      </c>
      <c r="DD605" s="64" t="str">
        <f t="shared" si="490"/>
        <v/>
      </c>
      <c r="DE605" s="65" t="str">
        <f t="shared" si="491"/>
        <v/>
      </c>
      <c r="DF605" s="66" t="str">
        <f t="shared" si="452"/>
        <v/>
      </c>
    </row>
    <row r="606" spans="2:110">
      <c r="B606" s="54">
        <f t="shared" si="448"/>
        <v>47294</v>
      </c>
      <c r="C606" s="55" t="s">
        <v>1</v>
      </c>
      <c r="D606" s="56">
        <f t="shared" si="449"/>
        <v>47300</v>
      </c>
      <c r="E606" s="52">
        <f t="shared" si="450"/>
        <v>6</v>
      </c>
      <c r="F606" s="53">
        <f t="shared" si="451"/>
        <v>2029</v>
      </c>
      <c r="G606" s="62">
        <f t="shared" si="492"/>
        <v>15</v>
      </c>
      <c r="H606" s="63">
        <f t="shared" si="493"/>
        <v>96</v>
      </c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80"/>
      <c r="AG606" s="87">
        <f t="shared" si="453"/>
        <v>0</v>
      </c>
      <c r="AH606" s="87">
        <f t="shared" si="454"/>
        <v>0</v>
      </c>
      <c r="AI606" s="87">
        <f t="shared" si="455"/>
        <v>0</v>
      </c>
      <c r="AJ606" s="87">
        <f t="shared" si="456"/>
        <v>0</v>
      </c>
      <c r="AK606" s="87">
        <f t="shared" si="457"/>
        <v>0</v>
      </c>
      <c r="AL606" s="87">
        <f t="shared" si="458"/>
        <v>0</v>
      </c>
      <c r="AM606" s="87">
        <f t="shared" si="459"/>
        <v>0</v>
      </c>
      <c r="AN606" s="87">
        <f t="shared" si="460"/>
        <v>0</v>
      </c>
      <c r="AO606" s="87">
        <f t="shared" si="461"/>
        <v>0</v>
      </c>
      <c r="AP606" s="87">
        <f t="shared" si="462"/>
        <v>0</v>
      </c>
      <c r="AQ606" s="87">
        <f t="shared" si="463"/>
        <v>0</v>
      </c>
      <c r="AR606" s="81"/>
      <c r="AS606" s="85">
        <f t="shared" si="464"/>
        <v>0</v>
      </c>
      <c r="AT606" s="85">
        <f t="shared" si="465"/>
        <v>0</v>
      </c>
      <c r="AU606" s="85">
        <f t="shared" si="466"/>
        <v>0</v>
      </c>
      <c r="AV606" s="85">
        <f t="shared" si="467"/>
        <v>0</v>
      </c>
      <c r="AW606" s="85">
        <f t="shared" si="468"/>
        <v>0</v>
      </c>
      <c r="AX606" s="85">
        <f t="shared" si="469"/>
        <v>0</v>
      </c>
      <c r="AY606" s="85">
        <f t="shared" si="470"/>
        <v>0</v>
      </c>
      <c r="AZ606" s="85">
        <f t="shared" si="471"/>
        <v>0</v>
      </c>
      <c r="BA606" s="85">
        <f t="shared" si="472"/>
        <v>0</v>
      </c>
      <c r="BB606" s="85">
        <f t="shared" si="473"/>
        <v>0</v>
      </c>
      <c r="BC606" s="85">
        <f t="shared" si="474"/>
        <v>0</v>
      </c>
      <c r="BD606" s="85">
        <f t="shared" si="475"/>
        <v>0</v>
      </c>
      <c r="BE606" s="85">
        <f t="shared" si="476"/>
        <v>0</v>
      </c>
      <c r="BF606" s="85">
        <f t="shared" si="477"/>
        <v>0</v>
      </c>
      <c r="BG606" s="85">
        <f t="shared" si="478"/>
        <v>0</v>
      </c>
      <c r="BH606" s="85">
        <f t="shared" si="479"/>
        <v>0</v>
      </c>
      <c r="BI606" s="85">
        <f t="shared" si="480"/>
        <v>0</v>
      </c>
      <c r="BJ606" s="85">
        <f t="shared" si="481"/>
        <v>0</v>
      </c>
      <c r="BK606" s="85">
        <f t="shared" si="482"/>
        <v>0</v>
      </c>
      <c r="BL606" s="85">
        <f t="shared" si="483"/>
        <v>0</v>
      </c>
      <c r="BM606" s="85">
        <f t="shared" si="484"/>
        <v>0</v>
      </c>
      <c r="BN606" s="85">
        <f t="shared" si="485"/>
        <v>0</v>
      </c>
      <c r="BO606" s="85">
        <f t="shared" si="486"/>
        <v>0</v>
      </c>
      <c r="BP606" s="85">
        <f t="shared" si="487"/>
        <v>0</v>
      </c>
      <c r="BQ606" s="85">
        <f t="shared" si="488"/>
        <v>0</v>
      </c>
      <c r="BR606" s="85">
        <f t="shared" si="489"/>
        <v>0</v>
      </c>
      <c r="BT606" s="63"/>
      <c r="BU606" s="63"/>
      <c r="BV606" s="63"/>
      <c r="BW606" s="63"/>
      <c r="BX606" s="63"/>
      <c r="BY606" s="63"/>
      <c r="BZ606" s="63"/>
      <c r="CA606" s="63"/>
      <c r="CB606" s="63"/>
      <c r="CC606" s="63"/>
      <c r="CD606" s="63"/>
      <c r="CE606" s="63"/>
      <c r="CF606" s="63"/>
      <c r="CG606" s="63"/>
      <c r="CH606" s="63"/>
      <c r="CI606" s="63"/>
      <c r="CJ606" s="63"/>
      <c r="CK606" s="63"/>
      <c r="CL606" s="63"/>
      <c r="CM606" s="63"/>
      <c r="CN606" s="63"/>
      <c r="CO606" s="63"/>
      <c r="CP606" s="63"/>
      <c r="CQ606" s="63"/>
      <c r="CR606" s="63"/>
      <c r="CS606" s="63"/>
      <c r="CX606" s="35" t="s">
        <v>12</v>
      </c>
      <c r="CZ606" s="35"/>
      <c r="DC606" s="57" t="str">
        <f t="shared" si="494"/>
        <v/>
      </c>
      <c r="DD606" s="64" t="str">
        <f t="shared" si="490"/>
        <v/>
      </c>
      <c r="DE606" s="65" t="str">
        <f t="shared" si="491"/>
        <v/>
      </c>
      <c r="DF606" s="66" t="str">
        <f t="shared" si="452"/>
        <v/>
      </c>
    </row>
    <row r="607" spans="2:110">
      <c r="B607" s="54">
        <f t="shared" si="448"/>
        <v>47301</v>
      </c>
      <c r="C607" s="55" t="s">
        <v>1</v>
      </c>
      <c r="D607" s="56">
        <f t="shared" si="449"/>
        <v>47307</v>
      </c>
      <c r="E607" s="52">
        <f t="shared" si="450"/>
        <v>7</v>
      </c>
      <c r="F607" s="53">
        <f t="shared" si="451"/>
        <v>2029</v>
      </c>
      <c r="G607" s="62">
        <f t="shared" si="492"/>
        <v>15</v>
      </c>
      <c r="H607" s="63">
        <f t="shared" si="493"/>
        <v>96</v>
      </c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80"/>
      <c r="AG607" s="87">
        <f t="shared" si="453"/>
        <v>0</v>
      </c>
      <c r="AH607" s="87">
        <f t="shared" si="454"/>
        <v>0</v>
      </c>
      <c r="AI607" s="87">
        <f t="shared" si="455"/>
        <v>0</v>
      </c>
      <c r="AJ607" s="87">
        <f t="shared" si="456"/>
        <v>0</v>
      </c>
      <c r="AK607" s="87">
        <f t="shared" si="457"/>
        <v>0</v>
      </c>
      <c r="AL607" s="87">
        <f t="shared" si="458"/>
        <v>0</v>
      </c>
      <c r="AM607" s="87">
        <f t="shared" si="459"/>
        <v>0</v>
      </c>
      <c r="AN607" s="87">
        <f t="shared" si="460"/>
        <v>0</v>
      </c>
      <c r="AO607" s="87">
        <f t="shared" si="461"/>
        <v>0</v>
      </c>
      <c r="AP607" s="87">
        <f t="shared" si="462"/>
        <v>0</v>
      </c>
      <c r="AQ607" s="87">
        <f t="shared" si="463"/>
        <v>0</v>
      </c>
      <c r="AR607" s="81"/>
      <c r="AS607" s="85">
        <f t="shared" si="464"/>
        <v>0</v>
      </c>
      <c r="AT607" s="85">
        <f t="shared" si="465"/>
        <v>0</v>
      </c>
      <c r="AU607" s="85">
        <f t="shared" si="466"/>
        <v>0</v>
      </c>
      <c r="AV607" s="85">
        <f t="shared" si="467"/>
        <v>0</v>
      </c>
      <c r="AW607" s="85">
        <f t="shared" si="468"/>
        <v>0</v>
      </c>
      <c r="AX607" s="85">
        <f t="shared" si="469"/>
        <v>0</v>
      </c>
      <c r="AY607" s="85">
        <f t="shared" si="470"/>
        <v>0</v>
      </c>
      <c r="AZ607" s="85">
        <f t="shared" si="471"/>
        <v>0</v>
      </c>
      <c r="BA607" s="85">
        <f t="shared" si="472"/>
        <v>0</v>
      </c>
      <c r="BB607" s="85">
        <f t="shared" si="473"/>
        <v>0</v>
      </c>
      <c r="BC607" s="85">
        <f t="shared" si="474"/>
        <v>0</v>
      </c>
      <c r="BD607" s="85">
        <f t="shared" si="475"/>
        <v>0</v>
      </c>
      <c r="BE607" s="85">
        <f t="shared" si="476"/>
        <v>0</v>
      </c>
      <c r="BF607" s="85">
        <f t="shared" si="477"/>
        <v>0</v>
      </c>
      <c r="BG607" s="85">
        <f t="shared" si="478"/>
        <v>0</v>
      </c>
      <c r="BH607" s="85">
        <f t="shared" si="479"/>
        <v>0</v>
      </c>
      <c r="BI607" s="85">
        <f t="shared" si="480"/>
        <v>0</v>
      </c>
      <c r="BJ607" s="85">
        <f t="shared" si="481"/>
        <v>0</v>
      </c>
      <c r="BK607" s="85">
        <f t="shared" si="482"/>
        <v>0</v>
      </c>
      <c r="BL607" s="85">
        <f t="shared" si="483"/>
        <v>0</v>
      </c>
      <c r="BM607" s="85">
        <f t="shared" si="484"/>
        <v>0</v>
      </c>
      <c r="BN607" s="85">
        <f t="shared" si="485"/>
        <v>0</v>
      </c>
      <c r="BO607" s="85">
        <f t="shared" si="486"/>
        <v>0</v>
      </c>
      <c r="BP607" s="85">
        <f t="shared" si="487"/>
        <v>0</v>
      </c>
      <c r="BQ607" s="85">
        <f t="shared" si="488"/>
        <v>0</v>
      </c>
      <c r="BR607" s="85">
        <f t="shared" si="489"/>
        <v>0</v>
      </c>
      <c r="BT607" s="63"/>
      <c r="BU607" s="63"/>
      <c r="BV607" s="63"/>
      <c r="BW607" s="63"/>
      <c r="BX607" s="63"/>
      <c r="BY607" s="63"/>
      <c r="BZ607" s="63"/>
      <c r="CA607" s="63"/>
      <c r="CB607" s="63"/>
      <c r="CC607" s="63"/>
      <c r="CD607" s="63"/>
      <c r="CE607" s="63"/>
      <c r="CF607" s="63"/>
      <c r="CG607" s="63"/>
      <c r="CH607" s="63"/>
      <c r="CI607" s="63"/>
      <c r="CJ607" s="63"/>
      <c r="CK607" s="63"/>
      <c r="CL607" s="63"/>
      <c r="CM607" s="63"/>
      <c r="CN607" s="63"/>
      <c r="CO607" s="63"/>
      <c r="CP607" s="63"/>
      <c r="CQ607" s="63"/>
      <c r="CR607" s="63"/>
      <c r="CS607" s="63"/>
      <c r="CX607" s="35" t="s">
        <v>12</v>
      </c>
      <c r="CZ607" s="35"/>
      <c r="DC607" s="57" t="str">
        <f t="shared" si="494"/>
        <v/>
      </c>
      <c r="DD607" s="64" t="str">
        <f t="shared" si="490"/>
        <v/>
      </c>
      <c r="DE607" s="65" t="str">
        <f t="shared" si="491"/>
        <v/>
      </c>
      <c r="DF607" s="66" t="str">
        <f t="shared" si="452"/>
        <v/>
      </c>
    </row>
    <row r="608" spans="2:110">
      <c r="B608" s="54">
        <f t="shared" si="448"/>
        <v>47308</v>
      </c>
      <c r="C608" s="55" t="s">
        <v>1</v>
      </c>
      <c r="D608" s="56">
        <f t="shared" si="449"/>
        <v>47314</v>
      </c>
      <c r="E608" s="52">
        <f t="shared" si="450"/>
        <v>7</v>
      </c>
      <c r="F608" s="53">
        <f t="shared" si="451"/>
        <v>2029</v>
      </c>
      <c r="G608" s="62">
        <f t="shared" si="492"/>
        <v>15</v>
      </c>
      <c r="H608" s="63">
        <f t="shared" si="493"/>
        <v>96</v>
      </c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80"/>
      <c r="AG608" s="87">
        <f t="shared" si="453"/>
        <v>0</v>
      </c>
      <c r="AH608" s="87">
        <f t="shared" si="454"/>
        <v>0</v>
      </c>
      <c r="AI608" s="87">
        <f t="shared" si="455"/>
        <v>0</v>
      </c>
      <c r="AJ608" s="87">
        <f t="shared" si="456"/>
        <v>0</v>
      </c>
      <c r="AK608" s="87">
        <f t="shared" si="457"/>
        <v>0</v>
      </c>
      <c r="AL608" s="87">
        <f t="shared" si="458"/>
        <v>0</v>
      </c>
      <c r="AM608" s="87">
        <f t="shared" si="459"/>
        <v>0</v>
      </c>
      <c r="AN608" s="87">
        <f t="shared" si="460"/>
        <v>0</v>
      </c>
      <c r="AO608" s="87">
        <f t="shared" si="461"/>
        <v>0</v>
      </c>
      <c r="AP608" s="87">
        <f t="shared" si="462"/>
        <v>0</v>
      </c>
      <c r="AQ608" s="87">
        <f t="shared" si="463"/>
        <v>0</v>
      </c>
      <c r="AR608" s="81"/>
      <c r="AS608" s="85">
        <f t="shared" si="464"/>
        <v>0</v>
      </c>
      <c r="AT608" s="85">
        <f t="shared" si="465"/>
        <v>0</v>
      </c>
      <c r="AU608" s="85">
        <f t="shared" si="466"/>
        <v>0</v>
      </c>
      <c r="AV608" s="85">
        <f t="shared" si="467"/>
        <v>0</v>
      </c>
      <c r="AW608" s="85">
        <f t="shared" si="468"/>
        <v>0</v>
      </c>
      <c r="AX608" s="85">
        <f t="shared" si="469"/>
        <v>0</v>
      </c>
      <c r="AY608" s="85">
        <f t="shared" si="470"/>
        <v>0</v>
      </c>
      <c r="AZ608" s="85">
        <f t="shared" si="471"/>
        <v>0</v>
      </c>
      <c r="BA608" s="85">
        <f t="shared" si="472"/>
        <v>0</v>
      </c>
      <c r="BB608" s="85">
        <f t="shared" si="473"/>
        <v>0</v>
      </c>
      <c r="BC608" s="85">
        <f t="shared" si="474"/>
        <v>0</v>
      </c>
      <c r="BD608" s="85">
        <f t="shared" si="475"/>
        <v>0</v>
      </c>
      <c r="BE608" s="85">
        <f t="shared" si="476"/>
        <v>0</v>
      </c>
      <c r="BF608" s="85">
        <f t="shared" si="477"/>
        <v>0</v>
      </c>
      <c r="BG608" s="85">
        <f t="shared" si="478"/>
        <v>0</v>
      </c>
      <c r="BH608" s="85">
        <f t="shared" si="479"/>
        <v>0</v>
      </c>
      <c r="BI608" s="85">
        <f t="shared" si="480"/>
        <v>0</v>
      </c>
      <c r="BJ608" s="85">
        <f t="shared" si="481"/>
        <v>0</v>
      </c>
      <c r="BK608" s="85">
        <f t="shared" si="482"/>
        <v>0</v>
      </c>
      <c r="BL608" s="85">
        <f t="shared" si="483"/>
        <v>0</v>
      </c>
      <c r="BM608" s="85">
        <f t="shared" si="484"/>
        <v>0</v>
      </c>
      <c r="BN608" s="85">
        <f t="shared" si="485"/>
        <v>0</v>
      </c>
      <c r="BO608" s="85">
        <f t="shared" si="486"/>
        <v>0</v>
      </c>
      <c r="BP608" s="85">
        <f t="shared" si="487"/>
        <v>0</v>
      </c>
      <c r="BQ608" s="85">
        <f t="shared" si="488"/>
        <v>0</v>
      </c>
      <c r="BR608" s="85">
        <f t="shared" si="489"/>
        <v>0</v>
      </c>
      <c r="BT608" s="63"/>
      <c r="BU608" s="63"/>
      <c r="BV608" s="63"/>
      <c r="BW608" s="63"/>
      <c r="BX608" s="63"/>
      <c r="BY608" s="63"/>
      <c r="BZ608" s="63"/>
      <c r="CA608" s="63"/>
      <c r="CB608" s="63"/>
      <c r="CC608" s="63"/>
      <c r="CD608" s="63"/>
      <c r="CE608" s="63"/>
      <c r="CF608" s="63"/>
      <c r="CG608" s="63"/>
      <c r="CH608" s="63"/>
      <c r="CI608" s="63"/>
      <c r="CJ608" s="63"/>
      <c r="CK608" s="63"/>
      <c r="CL608" s="63"/>
      <c r="CM608" s="63"/>
      <c r="CN608" s="63"/>
      <c r="CO608" s="63"/>
      <c r="CP608" s="63"/>
      <c r="CQ608" s="63"/>
      <c r="CR608" s="63"/>
      <c r="CS608" s="63"/>
      <c r="CX608" s="35" t="s">
        <v>12</v>
      </c>
      <c r="CZ608" s="35"/>
      <c r="DC608" s="57" t="str">
        <f t="shared" si="494"/>
        <v/>
      </c>
      <c r="DD608" s="64" t="str">
        <f t="shared" si="490"/>
        <v/>
      </c>
      <c r="DE608" s="65" t="str">
        <f t="shared" si="491"/>
        <v/>
      </c>
      <c r="DF608" s="66" t="str">
        <f t="shared" si="452"/>
        <v/>
      </c>
    </row>
    <row r="609" spans="2:110">
      <c r="B609" s="54">
        <f t="shared" si="448"/>
        <v>47315</v>
      </c>
      <c r="C609" s="55" t="s">
        <v>1</v>
      </c>
      <c r="D609" s="56">
        <f t="shared" si="449"/>
        <v>47321</v>
      </c>
      <c r="E609" s="52">
        <f t="shared" si="450"/>
        <v>7</v>
      </c>
      <c r="F609" s="53">
        <f t="shared" si="451"/>
        <v>2029</v>
      </c>
      <c r="G609" s="62">
        <f t="shared" si="492"/>
        <v>15</v>
      </c>
      <c r="H609" s="63">
        <f t="shared" si="493"/>
        <v>96</v>
      </c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80"/>
      <c r="AG609" s="87">
        <f t="shared" si="453"/>
        <v>0</v>
      </c>
      <c r="AH609" s="87">
        <f t="shared" si="454"/>
        <v>0</v>
      </c>
      <c r="AI609" s="87">
        <f t="shared" si="455"/>
        <v>0</v>
      </c>
      <c r="AJ609" s="87">
        <f t="shared" si="456"/>
        <v>0</v>
      </c>
      <c r="AK609" s="87">
        <f t="shared" si="457"/>
        <v>0</v>
      </c>
      <c r="AL609" s="87">
        <f t="shared" si="458"/>
        <v>0</v>
      </c>
      <c r="AM609" s="87">
        <f t="shared" si="459"/>
        <v>0</v>
      </c>
      <c r="AN609" s="87">
        <f t="shared" si="460"/>
        <v>0</v>
      </c>
      <c r="AO609" s="87">
        <f t="shared" si="461"/>
        <v>0</v>
      </c>
      <c r="AP609" s="87">
        <f t="shared" si="462"/>
        <v>0</v>
      </c>
      <c r="AQ609" s="87">
        <f t="shared" si="463"/>
        <v>0</v>
      </c>
      <c r="AR609" s="81"/>
      <c r="AS609" s="85">
        <f t="shared" si="464"/>
        <v>0</v>
      </c>
      <c r="AT609" s="85">
        <f t="shared" si="465"/>
        <v>0</v>
      </c>
      <c r="AU609" s="85">
        <f t="shared" si="466"/>
        <v>0</v>
      </c>
      <c r="AV609" s="85">
        <f t="shared" si="467"/>
        <v>0</v>
      </c>
      <c r="AW609" s="85">
        <f t="shared" si="468"/>
        <v>0</v>
      </c>
      <c r="AX609" s="85">
        <f t="shared" si="469"/>
        <v>0</v>
      </c>
      <c r="AY609" s="85">
        <f t="shared" si="470"/>
        <v>0</v>
      </c>
      <c r="AZ609" s="85">
        <f t="shared" si="471"/>
        <v>0</v>
      </c>
      <c r="BA609" s="85">
        <f t="shared" si="472"/>
        <v>0</v>
      </c>
      <c r="BB609" s="85">
        <f t="shared" si="473"/>
        <v>0</v>
      </c>
      <c r="BC609" s="85">
        <f t="shared" si="474"/>
        <v>0</v>
      </c>
      <c r="BD609" s="85">
        <f t="shared" si="475"/>
        <v>0</v>
      </c>
      <c r="BE609" s="85">
        <f t="shared" si="476"/>
        <v>0</v>
      </c>
      <c r="BF609" s="85">
        <f t="shared" si="477"/>
        <v>0</v>
      </c>
      <c r="BG609" s="85">
        <f t="shared" si="478"/>
        <v>0</v>
      </c>
      <c r="BH609" s="85">
        <f t="shared" si="479"/>
        <v>0</v>
      </c>
      <c r="BI609" s="85">
        <f t="shared" si="480"/>
        <v>0</v>
      </c>
      <c r="BJ609" s="85">
        <f t="shared" si="481"/>
        <v>0</v>
      </c>
      <c r="BK609" s="85">
        <f t="shared" si="482"/>
        <v>0</v>
      </c>
      <c r="BL609" s="85">
        <f t="shared" si="483"/>
        <v>0</v>
      </c>
      <c r="BM609" s="85">
        <f t="shared" si="484"/>
        <v>0</v>
      </c>
      <c r="BN609" s="85">
        <f t="shared" si="485"/>
        <v>0</v>
      </c>
      <c r="BO609" s="85">
        <f t="shared" si="486"/>
        <v>0</v>
      </c>
      <c r="BP609" s="85">
        <f t="shared" si="487"/>
        <v>0</v>
      </c>
      <c r="BQ609" s="85">
        <f t="shared" si="488"/>
        <v>0</v>
      </c>
      <c r="BR609" s="85">
        <f t="shared" si="489"/>
        <v>0</v>
      </c>
      <c r="BT609" s="63"/>
      <c r="BU609" s="63"/>
      <c r="BV609" s="63"/>
      <c r="BW609" s="63"/>
      <c r="BX609" s="63"/>
      <c r="BY609" s="63"/>
      <c r="BZ609" s="63"/>
      <c r="CA609" s="63"/>
      <c r="CB609" s="63"/>
      <c r="CC609" s="63"/>
      <c r="CD609" s="63"/>
      <c r="CE609" s="63"/>
      <c r="CF609" s="63"/>
      <c r="CG609" s="63"/>
      <c r="CH609" s="63"/>
      <c r="CI609" s="63"/>
      <c r="CJ609" s="63"/>
      <c r="CK609" s="63"/>
      <c r="CL609" s="63"/>
      <c r="CM609" s="63"/>
      <c r="CN609" s="63"/>
      <c r="CO609" s="63"/>
      <c r="CP609" s="63"/>
      <c r="CQ609" s="63"/>
      <c r="CR609" s="63"/>
      <c r="CS609" s="63"/>
      <c r="CX609" s="35" t="s">
        <v>12</v>
      </c>
      <c r="CZ609" s="35"/>
      <c r="DC609" s="57" t="str">
        <f t="shared" si="494"/>
        <v/>
      </c>
      <c r="DD609" s="64" t="str">
        <f t="shared" si="490"/>
        <v/>
      </c>
      <c r="DE609" s="65" t="str">
        <f t="shared" si="491"/>
        <v/>
      </c>
      <c r="DF609" s="66" t="str">
        <f t="shared" si="452"/>
        <v/>
      </c>
    </row>
    <row r="610" spans="2:110">
      <c r="B610" s="54">
        <f t="shared" si="448"/>
        <v>47322</v>
      </c>
      <c r="C610" s="55" t="s">
        <v>1</v>
      </c>
      <c r="D610" s="56">
        <f t="shared" si="449"/>
        <v>47328</v>
      </c>
      <c r="E610" s="52">
        <f t="shared" si="450"/>
        <v>7</v>
      </c>
      <c r="F610" s="53">
        <f t="shared" si="451"/>
        <v>2029</v>
      </c>
      <c r="G610" s="62">
        <f t="shared" si="492"/>
        <v>15</v>
      </c>
      <c r="H610" s="63">
        <f t="shared" si="493"/>
        <v>96</v>
      </c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80"/>
      <c r="AG610" s="87">
        <f t="shared" si="453"/>
        <v>0</v>
      </c>
      <c r="AH610" s="87">
        <f t="shared" si="454"/>
        <v>0</v>
      </c>
      <c r="AI610" s="87">
        <f t="shared" si="455"/>
        <v>0</v>
      </c>
      <c r="AJ610" s="87">
        <f t="shared" si="456"/>
        <v>0</v>
      </c>
      <c r="AK610" s="87">
        <f t="shared" si="457"/>
        <v>0</v>
      </c>
      <c r="AL610" s="87">
        <f t="shared" si="458"/>
        <v>0</v>
      </c>
      <c r="AM610" s="87">
        <f t="shared" si="459"/>
        <v>0</v>
      </c>
      <c r="AN610" s="87">
        <f t="shared" si="460"/>
        <v>0</v>
      </c>
      <c r="AO610" s="87">
        <f t="shared" si="461"/>
        <v>0</v>
      </c>
      <c r="AP610" s="87">
        <f t="shared" si="462"/>
        <v>0</v>
      </c>
      <c r="AQ610" s="87">
        <f t="shared" si="463"/>
        <v>0</v>
      </c>
      <c r="AR610" s="81"/>
      <c r="AS610" s="85">
        <f t="shared" si="464"/>
        <v>0</v>
      </c>
      <c r="AT610" s="85">
        <f t="shared" si="465"/>
        <v>0</v>
      </c>
      <c r="AU610" s="85">
        <f t="shared" si="466"/>
        <v>0</v>
      </c>
      <c r="AV610" s="85">
        <f t="shared" si="467"/>
        <v>0</v>
      </c>
      <c r="AW610" s="85">
        <f t="shared" si="468"/>
        <v>0</v>
      </c>
      <c r="AX610" s="85">
        <f t="shared" si="469"/>
        <v>0</v>
      </c>
      <c r="AY610" s="85">
        <f t="shared" si="470"/>
        <v>0</v>
      </c>
      <c r="AZ610" s="85">
        <f t="shared" si="471"/>
        <v>0</v>
      </c>
      <c r="BA610" s="85">
        <f t="shared" si="472"/>
        <v>0</v>
      </c>
      <c r="BB610" s="85">
        <f t="shared" si="473"/>
        <v>0</v>
      </c>
      <c r="BC610" s="85">
        <f t="shared" si="474"/>
        <v>0</v>
      </c>
      <c r="BD610" s="85">
        <f t="shared" si="475"/>
        <v>0</v>
      </c>
      <c r="BE610" s="85">
        <f t="shared" si="476"/>
        <v>0</v>
      </c>
      <c r="BF610" s="85">
        <f t="shared" si="477"/>
        <v>0</v>
      </c>
      <c r="BG610" s="85">
        <f t="shared" si="478"/>
        <v>0</v>
      </c>
      <c r="BH610" s="85">
        <f t="shared" si="479"/>
        <v>0</v>
      </c>
      <c r="BI610" s="85">
        <f t="shared" si="480"/>
        <v>0</v>
      </c>
      <c r="BJ610" s="85">
        <f t="shared" si="481"/>
        <v>0</v>
      </c>
      <c r="BK610" s="85">
        <f t="shared" si="482"/>
        <v>0</v>
      </c>
      <c r="BL610" s="85">
        <f t="shared" si="483"/>
        <v>0</v>
      </c>
      <c r="BM610" s="85">
        <f t="shared" si="484"/>
        <v>0</v>
      </c>
      <c r="BN610" s="85">
        <f t="shared" si="485"/>
        <v>0</v>
      </c>
      <c r="BO610" s="85">
        <f t="shared" si="486"/>
        <v>0</v>
      </c>
      <c r="BP610" s="85">
        <f t="shared" si="487"/>
        <v>0</v>
      </c>
      <c r="BQ610" s="85">
        <f t="shared" si="488"/>
        <v>0</v>
      </c>
      <c r="BR610" s="85">
        <f t="shared" si="489"/>
        <v>0</v>
      </c>
      <c r="BT610" s="63"/>
      <c r="BU610" s="63"/>
      <c r="BV610" s="63"/>
      <c r="BW610" s="63"/>
      <c r="BX610" s="63"/>
      <c r="BY610" s="63"/>
      <c r="BZ610" s="63"/>
      <c r="CA610" s="63"/>
      <c r="CB610" s="63"/>
      <c r="CC610" s="63"/>
      <c r="CD610" s="63"/>
      <c r="CE610" s="63"/>
      <c r="CF610" s="63"/>
      <c r="CG610" s="63"/>
      <c r="CH610" s="63"/>
      <c r="CI610" s="63"/>
      <c r="CJ610" s="63"/>
      <c r="CK610" s="63"/>
      <c r="CL610" s="63"/>
      <c r="CM610" s="63"/>
      <c r="CN610" s="63"/>
      <c r="CO610" s="63"/>
      <c r="CP610" s="63"/>
      <c r="CQ610" s="63"/>
      <c r="CR610" s="63"/>
      <c r="CS610" s="63"/>
      <c r="CX610" s="35" t="s">
        <v>12</v>
      </c>
      <c r="CZ610" s="35"/>
      <c r="DC610" s="57" t="str">
        <f t="shared" si="494"/>
        <v/>
      </c>
      <c r="DD610" s="64" t="str">
        <f t="shared" si="490"/>
        <v/>
      </c>
      <c r="DE610" s="65" t="str">
        <f t="shared" si="491"/>
        <v/>
      </c>
      <c r="DF610" s="66" t="str">
        <f t="shared" si="452"/>
        <v/>
      </c>
    </row>
    <row r="611" spans="2:110">
      <c r="B611" s="54">
        <f t="shared" si="448"/>
        <v>47329</v>
      </c>
      <c r="C611" s="55" t="s">
        <v>1</v>
      </c>
      <c r="D611" s="56">
        <f t="shared" si="449"/>
        <v>47335</v>
      </c>
      <c r="E611" s="52">
        <f t="shared" si="450"/>
        <v>7</v>
      </c>
      <c r="F611" s="53">
        <f t="shared" si="451"/>
        <v>2029</v>
      </c>
      <c r="G611" s="62">
        <f t="shared" si="492"/>
        <v>15</v>
      </c>
      <c r="H611" s="63">
        <f t="shared" si="493"/>
        <v>96</v>
      </c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80"/>
      <c r="AG611" s="87">
        <f t="shared" si="453"/>
        <v>0</v>
      </c>
      <c r="AH611" s="87">
        <f t="shared" si="454"/>
        <v>0</v>
      </c>
      <c r="AI611" s="87">
        <f t="shared" si="455"/>
        <v>0</v>
      </c>
      <c r="AJ611" s="87">
        <f t="shared" si="456"/>
        <v>0</v>
      </c>
      <c r="AK611" s="87">
        <f t="shared" si="457"/>
        <v>0</v>
      </c>
      <c r="AL611" s="87">
        <f t="shared" si="458"/>
        <v>0</v>
      </c>
      <c r="AM611" s="87">
        <f t="shared" si="459"/>
        <v>0</v>
      </c>
      <c r="AN611" s="87">
        <f t="shared" si="460"/>
        <v>0</v>
      </c>
      <c r="AO611" s="87">
        <f t="shared" si="461"/>
        <v>0</v>
      </c>
      <c r="AP611" s="87">
        <f t="shared" si="462"/>
        <v>0</v>
      </c>
      <c r="AQ611" s="87">
        <f t="shared" si="463"/>
        <v>0</v>
      </c>
      <c r="AR611" s="81"/>
      <c r="AS611" s="85">
        <f t="shared" si="464"/>
        <v>0</v>
      </c>
      <c r="AT611" s="85">
        <f t="shared" si="465"/>
        <v>0</v>
      </c>
      <c r="AU611" s="85">
        <f t="shared" si="466"/>
        <v>0</v>
      </c>
      <c r="AV611" s="85">
        <f t="shared" si="467"/>
        <v>0</v>
      </c>
      <c r="AW611" s="85">
        <f t="shared" si="468"/>
        <v>0</v>
      </c>
      <c r="AX611" s="85">
        <f t="shared" si="469"/>
        <v>0</v>
      </c>
      <c r="AY611" s="85">
        <f t="shared" si="470"/>
        <v>0</v>
      </c>
      <c r="AZ611" s="85">
        <f t="shared" si="471"/>
        <v>0</v>
      </c>
      <c r="BA611" s="85">
        <f t="shared" si="472"/>
        <v>0</v>
      </c>
      <c r="BB611" s="85">
        <f t="shared" si="473"/>
        <v>0</v>
      </c>
      <c r="BC611" s="85">
        <f t="shared" si="474"/>
        <v>0</v>
      </c>
      <c r="BD611" s="85">
        <f t="shared" si="475"/>
        <v>0</v>
      </c>
      <c r="BE611" s="85">
        <f t="shared" si="476"/>
        <v>0</v>
      </c>
      <c r="BF611" s="85">
        <f t="shared" si="477"/>
        <v>0</v>
      </c>
      <c r="BG611" s="85">
        <f t="shared" si="478"/>
        <v>0</v>
      </c>
      <c r="BH611" s="85">
        <f t="shared" si="479"/>
        <v>0</v>
      </c>
      <c r="BI611" s="85">
        <f t="shared" si="480"/>
        <v>0</v>
      </c>
      <c r="BJ611" s="85">
        <f t="shared" si="481"/>
        <v>0</v>
      </c>
      <c r="BK611" s="85">
        <f t="shared" si="482"/>
        <v>0</v>
      </c>
      <c r="BL611" s="85">
        <f t="shared" si="483"/>
        <v>0</v>
      </c>
      <c r="BM611" s="85">
        <f t="shared" si="484"/>
        <v>0</v>
      </c>
      <c r="BN611" s="85">
        <f t="shared" si="485"/>
        <v>0</v>
      </c>
      <c r="BO611" s="85">
        <f t="shared" si="486"/>
        <v>0</v>
      </c>
      <c r="BP611" s="85">
        <f t="shared" si="487"/>
        <v>0</v>
      </c>
      <c r="BQ611" s="85">
        <f t="shared" si="488"/>
        <v>0</v>
      </c>
      <c r="BR611" s="85">
        <f t="shared" si="489"/>
        <v>0</v>
      </c>
      <c r="BT611" s="63"/>
      <c r="BU611" s="63"/>
      <c r="BV611" s="63"/>
      <c r="BW611" s="63"/>
      <c r="BX611" s="63"/>
      <c r="BY611" s="63"/>
      <c r="BZ611" s="63"/>
      <c r="CA611" s="63"/>
      <c r="CB611" s="63"/>
      <c r="CC611" s="63"/>
      <c r="CD611" s="63"/>
      <c r="CE611" s="63"/>
      <c r="CF611" s="63"/>
      <c r="CG611" s="63"/>
      <c r="CH611" s="63"/>
      <c r="CI611" s="63"/>
      <c r="CJ611" s="63"/>
      <c r="CK611" s="63"/>
      <c r="CL611" s="63"/>
      <c r="CM611" s="63"/>
      <c r="CN611" s="63"/>
      <c r="CO611" s="63"/>
      <c r="CP611" s="63"/>
      <c r="CQ611" s="63"/>
      <c r="CR611" s="63"/>
      <c r="CS611" s="63"/>
      <c r="CX611" s="35" t="s">
        <v>12</v>
      </c>
      <c r="CZ611" s="35"/>
      <c r="DC611" s="57" t="str">
        <f t="shared" si="494"/>
        <v/>
      </c>
      <c r="DD611" s="64" t="str">
        <f t="shared" si="490"/>
        <v/>
      </c>
      <c r="DE611" s="65" t="str">
        <f t="shared" si="491"/>
        <v/>
      </c>
      <c r="DF611" s="66" t="str">
        <f t="shared" si="452"/>
        <v/>
      </c>
    </row>
    <row r="612" spans="2:110">
      <c r="B612" s="54">
        <f t="shared" si="448"/>
        <v>47336</v>
      </c>
      <c r="C612" s="55" t="s">
        <v>1</v>
      </c>
      <c r="D612" s="56">
        <f t="shared" si="449"/>
        <v>47342</v>
      </c>
      <c r="E612" s="52">
        <f t="shared" si="450"/>
        <v>8</v>
      </c>
      <c r="F612" s="53">
        <f t="shared" si="451"/>
        <v>2029</v>
      </c>
      <c r="G612" s="62">
        <f t="shared" si="492"/>
        <v>15</v>
      </c>
      <c r="H612" s="63">
        <f t="shared" si="493"/>
        <v>96</v>
      </c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80"/>
      <c r="AG612" s="87">
        <f t="shared" si="453"/>
        <v>0</v>
      </c>
      <c r="AH612" s="87">
        <f t="shared" si="454"/>
        <v>0</v>
      </c>
      <c r="AI612" s="87">
        <f t="shared" si="455"/>
        <v>0</v>
      </c>
      <c r="AJ612" s="87">
        <f t="shared" si="456"/>
        <v>0</v>
      </c>
      <c r="AK612" s="87">
        <f t="shared" si="457"/>
        <v>0</v>
      </c>
      <c r="AL612" s="87">
        <f t="shared" si="458"/>
        <v>0</v>
      </c>
      <c r="AM612" s="87">
        <f t="shared" si="459"/>
        <v>0</v>
      </c>
      <c r="AN612" s="87">
        <f t="shared" si="460"/>
        <v>0</v>
      </c>
      <c r="AO612" s="87">
        <f t="shared" si="461"/>
        <v>0</v>
      </c>
      <c r="AP612" s="87">
        <f t="shared" si="462"/>
        <v>0</v>
      </c>
      <c r="AQ612" s="87">
        <f t="shared" si="463"/>
        <v>0</v>
      </c>
      <c r="AR612" s="81"/>
      <c r="AS612" s="85">
        <f t="shared" si="464"/>
        <v>0</v>
      </c>
      <c r="AT612" s="85">
        <f t="shared" si="465"/>
        <v>0</v>
      </c>
      <c r="AU612" s="85">
        <f t="shared" si="466"/>
        <v>0</v>
      </c>
      <c r="AV612" s="85">
        <f t="shared" si="467"/>
        <v>0</v>
      </c>
      <c r="AW612" s="85">
        <f t="shared" si="468"/>
        <v>0</v>
      </c>
      <c r="AX612" s="85">
        <f t="shared" si="469"/>
        <v>0</v>
      </c>
      <c r="AY612" s="85">
        <f t="shared" si="470"/>
        <v>0</v>
      </c>
      <c r="AZ612" s="85">
        <f t="shared" si="471"/>
        <v>0</v>
      </c>
      <c r="BA612" s="85">
        <f t="shared" si="472"/>
        <v>0</v>
      </c>
      <c r="BB612" s="85">
        <f t="shared" si="473"/>
        <v>0</v>
      </c>
      <c r="BC612" s="85">
        <f t="shared" si="474"/>
        <v>0</v>
      </c>
      <c r="BD612" s="85">
        <f t="shared" si="475"/>
        <v>0</v>
      </c>
      <c r="BE612" s="85">
        <f t="shared" si="476"/>
        <v>0</v>
      </c>
      <c r="BF612" s="85">
        <f t="shared" si="477"/>
        <v>0</v>
      </c>
      <c r="BG612" s="85">
        <f t="shared" si="478"/>
        <v>0</v>
      </c>
      <c r="BH612" s="85">
        <f t="shared" si="479"/>
        <v>0</v>
      </c>
      <c r="BI612" s="85">
        <f t="shared" si="480"/>
        <v>0</v>
      </c>
      <c r="BJ612" s="85">
        <f t="shared" si="481"/>
        <v>0</v>
      </c>
      <c r="BK612" s="85">
        <f t="shared" si="482"/>
        <v>0</v>
      </c>
      <c r="BL612" s="85">
        <f t="shared" si="483"/>
        <v>0</v>
      </c>
      <c r="BM612" s="85">
        <f t="shared" si="484"/>
        <v>0</v>
      </c>
      <c r="BN612" s="85">
        <f t="shared" si="485"/>
        <v>0</v>
      </c>
      <c r="BO612" s="85">
        <f t="shared" si="486"/>
        <v>0</v>
      </c>
      <c r="BP612" s="85">
        <f t="shared" si="487"/>
        <v>0</v>
      </c>
      <c r="BQ612" s="85">
        <f t="shared" si="488"/>
        <v>0</v>
      </c>
      <c r="BR612" s="85">
        <f t="shared" si="489"/>
        <v>0</v>
      </c>
      <c r="BT612" s="63"/>
      <c r="BU612" s="63"/>
      <c r="BV612" s="63"/>
      <c r="BW612" s="63"/>
      <c r="BX612" s="63"/>
      <c r="BY612" s="63"/>
      <c r="BZ612" s="63"/>
      <c r="CA612" s="63"/>
      <c r="CB612" s="63"/>
      <c r="CC612" s="63"/>
      <c r="CD612" s="63"/>
      <c r="CE612" s="63"/>
      <c r="CF612" s="63"/>
      <c r="CG612" s="63"/>
      <c r="CH612" s="63"/>
      <c r="CI612" s="63"/>
      <c r="CJ612" s="63"/>
      <c r="CK612" s="63"/>
      <c r="CL612" s="63"/>
      <c r="CM612" s="63"/>
      <c r="CN612" s="63"/>
      <c r="CO612" s="63"/>
      <c r="CP612" s="63"/>
      <c r="CQ612" s="63"/>
      <c r="CR612" s="63"/>
      <c r="CS612" s="63"/>
      <c r="CX612" s="35" t="s">
        <v>12</v>
      </c>
      <c r="CZ612" s="35"/>
      <c r="DC612" s="57" t="str">
        <f t="shared" si="494"/>
        <v/>
      </c>
      <c r="DD612" s="64" t="str">
        <f t="shared" si="490"/>
        <v/>
      </c>
      <c r="DE612" s="65" t="str">
        <f t="shared" si="491"/>
        <v/>
      </c>
      <c r="DF612" s="66" t="str">
        <f t="shared" si="452"/>
        <v/>
      </c>
    </row>
    <row r="613" spans="2:110">
      <c r="B613" s="54">
        <f t="shared" si="448"/>
        <v>47343</v>
      </c>
      <c r="C613" s="55" t="s">
        <v>1</v>
      </c>
      <c r="D613" s="56">
        <f t="shared" si="449"/>
        <v>47349</v>
      </c>
      <c r="E613" s="52">
        <f t="shared" si="450"/>
        <v>8</v>
      </c>
      <c r="F613" s="53">
        <f t="shared" si="451"/>
        <v>2029</v>
      </c>
      <c r="G613" s="62">
        <f t="shared" si="492"/>
        <v>15</v>
      </c>
      <c r="H613" s="63">
        <f t="shared" si="493"/>
        <v>96</v>
      </c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80"/>
      <c r="AG613" s="87">
        <f t="shared" si="453"/>
        <v>0</v>
      </c>
      <c r="AH613" s="87">
        <f t="shared" si="454"/>
        <v>0</v>
      </c>
      <c r="AI613" s="87">
        <f t="shared" si="455"/>
        <v>0</v>
      </c>
      <c r="AJ613" s="87">
        <f t="shared" si="456"/>
        <v>0</v>
      </c>
      <c r="AK613" s="87">
        <f t="shared" si="457"/>
        <v>0</v>
      </c>
      <c r="AL613" s="87">
        <f t="shared" si="458"/>
        <v>0</v>
      </c>
      <c r="AM613" s="87">
        <f t="shared" si="459"/>
        <v>0</v>
      </c>
      <c r="AN613" s="87">
        <f t="shared" si="460"/>
        <v>0</v>
      </c>
      <c r="AO613" s="87">
        <f t="shared" si="461"/>
        <v>0</v>
      </c>
      <c r="AP613" s="87">
        <f t="shared" si="462"/>
        <v>0</v>
      </c>
      <c r="AQ613" s="87">
        <f t="shared" si="463"/>
        <v>0</v>
      </c>
      <c r="AR613" s="81"/>
      <c r="AS613" s="85">
        <f t="shared" si="464"/>
        <v>0</v>
      </c>
      <c r="AT613" s="85">
        <f t="shared" si="465"/>
        <v>0</v>
      </c>
      <c r="AU613" s="85">
        <f t="shared" si="466"/>
        <v>0</v>
      </c>
      <c r="AV613" s="85">
        <f t="shared" si="467"/>
        <v>0</v>
      </c>
      <c r="AW613" s="85">
        <f t="shared" si="468"/>
        <v>0</v>
      </c>
      <c r="AX613" s="85">
        <f t="shared" si="469"/>
        <v>0</v>
      </c>
      <c r="AY613" s="85">
        <f t="shared" si="470"/>
        <v>0</v>
      </c>
      <c r="AZ613" s="85">
        <f t="shared" si="471"/>
        <v>0</v>
      </c>
      <c r="BA613" s="85">
        <f t="shared" si="472"/>
        <v>0</v>
      </c>
      <c r="BB613" s="85">
        <f t="shared" si="473"/>
        <v>0</v>
      </c>
      <c r="BC613" s="85">
        <f t="shared" si="474"/>
        <v>0</v>
      </c>
      <c r="BD613" s="85">
        <f t="shared" si="475"/>
        <v>0</v>
      </c>
      <c r="BE613" s="85">
        <f t="shared" si="476"/>
        <v>0</v>
      </c>
      <c r="BF613" s="85">
        <f t="shared" si="477"/>
        <v>0</v>
      </c>
      <c r="BG613" s="85">
        <f t="shared" si="478"/>
        <v>0</v>
      </c>
      <c r="BH613" s="85">
        <f t="shared" si="479"/>
        <v>0</v>
      </c>
      <c r="BI613" s="85">
        <f t="shared" si="480"/>
        <v>0</v>
      </c>
      <c r="BJ613" s="85">
        <f t="shared" si="481"/>
        <v>0</v>
      </c>
      <c r="BK613" s="85">
        <f t="shared" si="482"/>
        <v>0</v>
      </c>
      <c r="BL613" s="85">
        <f t="shared" si="483"/>
        <v>0</v>
      </c>
      <c r="BM613" s="85">
        <f t="shared" si="484"/>
        <v>0</v>
      </c>
      <c r="BN613" s="85">
        <f t="shared" si="485"/>
        <v>0</v>
      </c>
      <c r="BO613" s="85">
        <f t="shared" si="486"/>
        <v>0</v>
      </c>
      <c r="BP613" s="85">
        <f t="shared" si="487"/>
        <v>0</v>
      </c>
      <c r="BQ613" s="85">
        <f t="shared" si="488"/>
        <v>0</v>
      </c>
      <c r="BR613" s="85">
        <f t="shared" si="489"/>
        <v>0</v>
      </c>
      <c r="BT613" s="63"/>
      <c r="BU613" s="63"/>
      <c r="BV613" s="63"/>
      <c r="BW613" s="63"/>
      <c r="BX613" s="63"/>
      <c r="BY613" s="63"/>
      <c r="BZ613" s="63"/>
      <c r="CA613" s="63"/>
      <c r="CB613" s="63"/>
      <c r="CC613" s="63"/>
      <c r="CD613" s="63"/>
      <c r="CE613" s="63"/>
      <c r="CF613" s="63"/>
      <c r="CG613" s="63"/>
      <c r="CH613" s="63"/>
      <c r="CI613" s="63"/>
      <c r="CJ613" s="63"/>
      <c r="CK613" s="63"/>
      <c r="CL613" s="63"/>
      <c r="CM613" s="63"/>
      <c r="CN613" s="63"/>
      <c r="CO613" s="63"/>
      <c r="CP613" s="63"/>
      <c r="CQ613" s="63"/>
      <c r="CR613" s="63"/>
      <c r="CS613" s="63"/>
      <c r="CX613" s="35" t="s">
        <v>12</v>
      </c>
      <c r="CZ613" s="35"/>
      <c r="DC613" s="57" t="str">
        <f t="shared" si="494"/>
        <v/>
      </c>
      <c r="DD613" s="64" t="str">
        <f t="shared" si="490"/>
        <v/>
      </c>
      <c r="DE613" s="65" t="str">
        <f t="shared" si="491"/>
        <v/>
      </c>
      <c r="DF613" s="66" t="str">
        <f t="shared" si="452"/>
        <v/>
      </c>
    </row>
    <row r="614" spans="2:110">
      <c r="B614" s="54">
        <f t="shared" si="448"/>
        <v>47350</v>
      </c>
      <c r="C614" s="55" t="s">
        <v>1</v>
      </c>
      <c r="D614" s="56">
        <f t="shared" si="449"/>
        <v>47356</v>
      </c>
      <c r="E614" s="52">
        <f t="shared" si="450"/>
        <v>8</v>
      </c>
      <c r="F614" s="53">
        <f t="shared" si="451"/>
        <v>2029</v>
      </c>
      <c r="G614" s="62">
        <f t="shared" si="492"/>
        <v>15</v>
      </c>
      <c r="H614" s="63">
        <f t="shared" si="493"/>
        <v>96</v>
      </c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80"/>
      <c r="AG614" s="87">
        <f t="shared" si="453"/>
        <v>0</v>
      </c>
      <c r="AH614" s="87">
        <f t="shared" si="454"/>
        <v>0</v>
      </c>
      <c r="AI614" s="87">
        <f t="shared" si="455"/>
        <v>0</v>
      </c>
      <c r="AJ614" s="87">
        <f t="shared" si="456"/>
        <v>0</v>
      </c>
      <c r="AK614" s="87">
        <f t="shared" si="457"/>
        <v>0</v>
      </c>
      <c r="AL614" s="87">
        <f t="shared" si="458"/>
        <v>0</v>
      </c>
      <c r="AM614" s="87">
        <f t="shared" si="459"/>
        <v>0</v>
      </c>
      <c r="AN614" s="87">
        <f t="shared" si="460"/>
        <v>0</v>
      </c>
      <c r="AO614" s="87">
        <f t="shared" si="461"/>
        <v>0</v>
      </c>
      <c r="AP614" s="87">
        <f t="shared" si="462"/>
        <v>0</v>
      </c>
      <c r="AQ614" s="87">
        <f t="shared" si="463"/>
        <v>0</v>
      </c>
      <c r="AR614" s="81"/>
      <c r="AS614" s="85">
        <f t="shared" si="464"/>
        <v>0</v>
      </c>
      <c r="AT614" s="85">
        <f t="shared" si="465"/>
        <v>0</v>
      </c>
      <c r="AU614" s="85">
        <f t="shared" si="466"/>
        <v>0</v>
      </c>
      <c r="AV614" s="85">
        <f t="shared" si="467"/>
        <v>0</v>
      </c>
      <c r="AW614" s="85">
        <f t="shared" si="468"/>
        <v>0</v>
      </c>
      <c r="AX614" s="85">
        <f t="shared" si="469"/>
        <v>0</v>
      </c>
      <c r="AY614" s="85">
        <f t="shared" si="470"/>
        <v>0</v>
      </c>
      <c r="AZ614" s="85">
        <f t="shared" si="471"/>
        <v>0</v>
      </c>
      <c r="BA614" s="85">
        <f t="shared" si="472"/>
        <v>0</v>
      </c>
      <c r="BB614" s="85">
        <f t="shared" si="473"/>
        <v>0</v>
      </c>
      <c r="BC614" s="85">
        <f t="shared" si="474"/>
        <v>0</v>
      </c>
      <c r="BD614" s="85">
        <f t="shared" si="475"/>
        <v>0</v>
      </c>
      <c r="BE614" s="85">
        <f t="shared" si="476"/>
        <v>0</v>
      </c>
      <c r="BF614" s="85">
        <f t="shared" si="477"/>
        <v>0</v>
      </c>
      <c r="BG614" s="85">
        <f t="shared" si="478"/>
        <v>0</v>
      </c>
      <c r="BH614" s="85">
        <f t="shared" si="479"/>
        <v>0</v>
      </c>
      <c r="BI614" s="85">
        <f t="shared" si="480"/>
        <v>0</v>
      </c>
      <c r="BJ614" s="85">
        <f t="shared" si="481"/>
        <v>0</v>
      </c>
      <c r="BK614" s="85">
        <f t="shared" si="482"/>
        <v>0</v>
      </c>
      <c r="BL614" s="85">
        <f t="shared" si="483"/>
        <v>0</v>
      </c>
      <c r="BM614" s="85">
        <f t="shared" si="484"/>
        <v>0</v>
      </c>
      <c r="BN614" s="85">
        <f t="shared" si="485"/>
        <v>0</v>
      </c>
      <c r="BO614" s="85">
        <f t="shared" si="486"/>
        <v>0</v>
      </c>
      <c r="BP614" s="85">
        <f t="shared" si="487"/>
        <v>0</v>
      </c>
      <c r="BQ614" s="85">
        <f t="shared" si="488"/>
        <v>0</v>
      </c>
      <c r="BR614" s="85">
        <f t="shared" si="489"/>
        <v>0</v>
      </c>
      <c r="BT614" s="63"/>
      <c r="BU614" s="63"/>
      <c r="BV614" s="63"/>
      <c r="BW614" s="63"/>
      <c r="BX614" s="63"/>
      <c r="BY614" s="63"/>
      <c r="BZ614" s="63"/>
      <c r="CA614" s="63"/>
      <c r="CB614" s="63"/>
      <c r="CC614" s="63"/>
      <c r="CD614" s="63"/>
      <c r="CE614" s="63"/>
      <c r="CF614" s="63"/>
      <c r="CG614" s="63"/>
      <c r="CH614" s="63"/>
      <c r="CI614" s="63"/>
      <c r="CJ614" s="63"/>
      <c r="CK614" s="63"/>
      <c r="CL614" s="63"/>
      <c r="CM614" s="63"/>
      <c r="CN614" s="63"/>
      <c r="CO614" s="63"/>
      <c r="CP614" s="63"/>
      <c r="CQ614" s="63"/>
      <c r="CR614" s="63"/>
      <c r="CS614" s="63"/>
      <c r="CX614" s="35" t="s">
        <v>12</v>
      </c>
      <c r="CZ614" s="35"/>
      <c r="DC614" s="57" t="str">
        <f t="shared" si="494"/>
        <v/>
      </c>
      <c r="DD614" s="64" t="str">
        <f t="shared" si="490"/>
        <v/>
      </c>
      <c r="DE614" s="65" t="str">
        <f t="shared" si="491"/>
        <v/>
      </c>
      <c r="DF614" s="66" t="str">
        <f t="shared" si="452"/>
        <v/>
      </c>
    </row>
    <row r="615" spans="2:110">
      <c r="B615" s="54">
        <f t="shared" ref="B615:B678" si="495">D614+1</f>
        <v>47357</v>
      </c>
      <c r="C615" s="55" t="s">
        <v>1</v>
      </c>
      <c r="D615" s="56">
        <f t="shared" ref="D615:D678" si="496">B615+6</f>
        <v>47363</v>
      </c>
      <c r="E615" s="52">
        <f t="shared" ref="E615:E678" si="497">MONTH(B615)</f>
        <v>8</v>
      </c>
      <c r="F615" s="53">
        <f t="shared" ref="F615:F678" si="498">YEAR(D615)</f>
        <v>2029</v>
      </c>
      <c r="G615" s="62">
        <f t="shared" si="492"/>
        <v>15</v>
      </c>
      <c r="H615" s="63">
        <f t="shared" si="493"/>
        <v>96</v>
      </c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80"/>
      <c r="AG615" s="87">
        <f t="shared" si="453"/>
        <v>0</v>
      </c>
      <c r="AH615" s="87">
        <f t="shared" si="454"/>
        <v>0</v>
      </c>
      <c r="AI615" s="87">
        <f t="shared" si="455"/>
        <v>0</v>
      </c>
      <c r="AJ615" s="87">
        <f t="shared" si="456"/>
        <v>0</v>
      </c>
      <c r="AK615" s="87">
        <f t="shared" si="457"/>
        <v>0</v>
      </c>
      <c r="AL615" s="87">
        <f t="shared" si="458"/>
        <v>0</v>
      </c>
      <c r="AM615" s="87">
        <f t="shared" si="459"/>
        <v>0</v>
      </c>
      <c r="AN615" s="87">
        <f t="shared" si="460"/>
        <v>0</v>
      </c>
      <c r="AO615" s="87">
        <f t="shared" si="461"/>
        <v>0</v>
      </c>
      <c r="AP615" s="87">
        <f t="shared" si="462"/>
        <v>0</v>
      </c>
      <c r="AQ615" s="87">
        <f t="shared" si="463"/>
        <v>0</v>
      </c>
      <c r="AR615" s="81"/>
      <c r="AS615" s="85">
        <f t="shared" si="464"/>
        <v>0</v>
      </c>
      <c r="AT615" s="85">
        <f t="shared" si="465"/>
        <v>0</v>
      </c>
      <c r="AU615" s="85">
        <f t="shared" si="466"/>
        <v>0</v>
      </c>
      <c r="AV615" s="85">
        <f t="shared" si="467"/>
        <v>0</v>
      </c>
      <c r="AW615" s="85">
        <f t="shared" si="468"/>
        <v>0</v>
      </c>
      <c r="AX615" s="85">
        <f t="shared" si="469"/>
        <v>0</v>
      </c>
      <c r="AY615" s="85">
        <f t="shared" si="470"/>
        <v>0</v>
      </c>
      <c r="AZ615" s="85">
        <f t="shared" si="471"/>
        <v>0</v>
      </c>
      <c r="BA615" s="85">
        <f t="shared" si="472"/>
        <v>0</v>
      </c>
      <c r="BB615" s="85">
        <f t="shared" si="473"/>
        <v>0</v>
      </c>
      <c r="BC615" s="85">
        <f t="shared" si="474"/>
        <v>0</v>
      </c>
      <c r="BD615" s="85">
        <f t="shared" si="475"/>
        <v>0</v>
      </c>
      <c r="BE615" s="85">
        <f t="shared" si="476"/>
        <v>0</v>
      </c>
      <c r="BF615" s="85">
        <f t="shared" si="477"/>
        <v>0</v>
      </c>
      <c r="BG615" s="85">
        <f t="shared" si="478"/>
        <v>0</v>
      </c>
      <c r="BH615" s="85">
        <f t="shared" si="479"/>
        <v>0</v>
      </c>
      <c r="BI615" s="85">
        <f t="shared" si="480"/>
        <v>0</v>
      </c>
      <c r="BJ615" s="85">
        <f t="shared" si="481"/>
        <v>0</v>
      </c>
      <c r="BK615" s="85">
        <f t="shared" si="482"/>
        <v>0</v>
      </c>
      <c r="BL615" s="85">
        <f t="shared" si="483"/>
        <v>0</v>
      </c>
      <c r="BM615" s="85">
        <f t="shared" si="484"/>
        <v>0</v>
      </c>
      <c r="BN615" s="85">
        <f t="shared" si="485"/>
        <v>0</v>
      </c>
      <c r="BO615" s="85">
        <f t="shared" si="486"/>
        <v>0</v>
      </c>
      <c r="BP615" s="85">
        <f t="shared" si="487"/>
        <v>0</v>
      </c>
      <c r="BQ615" s="85">
        <f t="shared" si="488"/>
        <v>0</v>
      </c>
      <c r="BR615" s="85">
        <f t="shared" si="489"/>
        <v>0</v>
      </c>
      <c r="BT615" s="63"/>
      <c r="BU615" s="63"/>
      <c r="BV615" s="63"/>
      <c r="BW615" s="63"/>
      <c r="BX615" s="63"/>
      <c r="BY615" s="63"/>
      <c r="BZ615" s="63"/>
      <c r="CA615" s="63"/>
      <c r="CB615" s="63"/>
      <c r="CC615" s="63"/>
      <c r="CD615" s="63"/>
      <c r="CE615" s="63"/>
      <c r="CF615" s="63"/>
      <c r="CG615" s="63"/>
      <c r="CH615" s="63"/>
      <c r="CI615" s="63"/>
      <c r="CJ615" s="63"/>
      <c r="CK615" s="63"/>
      <c r="CL615" s="63"/>
      <c r="CM615" s="63"/>
      <c r="CN615" s="63"/>
      <c r="CO615" s="63"/>
      <c r="CP615" s="63"/>
      <c r="CQ615" s="63"/>
      <c r="CR615" s="63"/>
      <c r="CS615" s="63"/>
      <c r="CX615" s="35" t="s">
        <v>12</v>
      </c>
      <c r="CZ615" s="35"/>
      <c r="DC615" s="57" t="str">
        <f t="shared" si="494"/>
        <v/>
      </c>
      <c r="DD615" s="64" t="str">
        <f t="shared" si="490"/>
        <v/>
      </c>
      <c r="DE615" s="65" t="str">
        <f t="shared" si="491"/>
        <v/>
      </c>
      <c r="DF615" s="66" t="str">
        <f t="shared" si="452"/>
        <v/>
      </c>
    </row>
    <row r="616" spans="2:110">
      <c r="B616" s="54">
        <f t="shared" si="495"/>
        <v>47364</v>
      </c>
      <c r="C616" s="55" t="s">
        <v>1</v>
      </c>
      <c r="D616" s="56">
        <f t="shared" si="496"/>
        <v>47370</v>
      </c>
      <c r="E616" s="52">
        <f t="shared" si="497"/>
        <v>9</v>
      </c>
      <c r="F616" s="53">
        <f t="shared" si="498"/>
        <v>2029</v>
      </c>
      <c r="G616" s="62">
        <f t="shared" si="492"/>
        <v>15</v>
      </c>
      <c r="H616" s="63">
        <f t="shared" si="493"/>
        <v>96</v>
      </c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80"/>
      <c r="AG616" s="87">
        <f t="shared" si="453"/>
        <v>0</v>
      </c>
      <c r="AH616" s="87">
        <f t="shared" si="454"/>
        <v>0</v>
      </c>
      <c r="AI616" s="87">
        <f t="shared" si="455"/>
        <v>0</v>
      </c>
      <c r="AJ616" s="87">
        <f t="shared" si="456"/>
        <v>0</v>
      </c>
      <c r="AK616" s="87">
        <f t="shared" si="457"/>
        <v>0</v>
      </c>
      <c r="AL616" s="87">
        <f t="shared" si="458"/>
        <v>0</v>
      </c>
      <c r="AM616" s="87">
        <f t="shared" si="459"/>
        <v>0</v>
      </c>
      <c r="AN616" s="87">
        <f t="shared" si="460"/>
        <v>0</v>
      </c>
      <c r="AO616" s="87">
        <f t="shared" si="461"/>
        <v>0</v>
      </c>
      <c r="AP616" s="87">
        <f t="shared" si="462"/>
        <v>0</v>
      </c>
      <c r="AQ616" s="87">
        <f t="shared" si="463"/>
        <v>0</v>
      </c>
      <c r="AR616" s="81"/>
      <c r="AS616" s="85">
        <f t="shared" si="464"/>
        <v>0</v>
      </c>
      <c r="AT616" s="85">
        <f t="shared" si="465"/>
        <v>0</v>
      </c>
      <c r="AU616" s="85">
        <f t="shared" si="466"/>
        <v>0</v>
      </c>
      <c r="AV616" s="85">
        <f t="shared" si="467"/>
        <v>0</v>
      </c>
      <c r="AW616" s="85">
        <f t="shared" si="468"/>
        <v>0</v>
      </c>
      <c r="AX616" s="85">
        <f t="shared" si="469"/>
        <v>0</v>
      </c>
      <c r="AY616" s="85">
        <f t="shared" si="470"/>
        <v>0</v>
      </c>
      <c r="AZ616" s="85">
        <f t="shared" si="471"/>
        <v>0</v>
      </c>
      <c r="BA616" s="85">
        <f t="shared" si="472"/>
        <v>0</v>
      </c>
      <c r="BB616" s="85">
        <f t="shared" si="473"/>
        <v>0</v>
      </c>
      <c r="BC616" s="85">
        <f t="shared" si="474"/>
        <v>0</v>
      </c>
      <c r="BD616" s="85">
        <f t="shared" si="475"/>
        <v>0</v>
      </c>
      <c r="BE616" s="85">
        <f t="shared" si="476"/>
        <v>0</v>
      </c>
      <c r="BF616" s="85">
        <f t="shared" si="477"/>
        <v>0</v>
      </c>
      <c r="BG616" s="85">
        <f t="shared" si="478"/>
        <v>0</v>
      </c>
      <c r="BH616" s="85">
        <f t="shared" si="479"/>
        <v>0</v>
      </c>
      <c r="BI616" s="85">
        <f t="shared" si="480"/>
        <v>0</v>
      </c>
      <c r="BJ616" s="85">
        <f t="shared" si="481"/>
        <v>0</v>
      </c>
      <c r="BK616" s="85">
        <f t="shared" si="482"/>
        <v>0</v>
      </c>
      <c r="BL616" s="85">
        <f t="shared" si="483"/>
        <v>0</v>
      </c>
      <c r="BM616" s="85">
        <f t="shared" si="484"/>
        <v>0</v>
      </c>
      <c r="BN616" s="85">
        <f t="shared" si="485"/>
        <v>0</v>
      </c>
      <c r="BO616" s="85">
        <f t="shared" si="486"/>
        <v>0</v>
      </c>
      <c r="BP616" s="85">
        <f t="shared" si="487"/>
        <v>0</v>
      </c>
      <c r="BQ616" s="85">
        <f t="shared" si="488"/>
        <v>0</v>
      </c>
      <c r="BR616" s="85">
        <f t="shared" si="489"/>
        <v>0</v>
      </c>
      <c r="BT616" s="63"/>
      <c r="BU616" s="63"/>
      <c r="BV616" s="63"/>
      <c r="BW616" s="63"/>
      <c r="BX616" s="63"/>
      <c r="BY616" s="63"/>
      <c r="BZ616" s="63"/>
      <c r="CA616" s="63"/>
      <c r="CB616" s="63"/>
      <c r="CC616" s="63"/>
      <c r="CD616" s="63"/>
      <c r="CE616" s="63"/>
      <c r="CF616" s="63"/>
      <c r="CG616" s="63"/>
      <c r="CH616" s="63"/>
      <c r="CI616" s="63"/>
      <c r="CJ616" s="63"/>
      <c r="CK616" s="63"/>
      <c r="CL616" s="63"/>
      <c r="CM616" s="63"/>
      <c r="CN616" s="63"/>
      <c r="CO616" s="63"/>
      <c r="CP616" s="63"/>
      <c r="CQ616" s="63"/>
      <c r="CR616" s="63"/>
      <c r="CS616" s="63"/>
      <c r="CX616" s="35" t="s">
        <v>12</v>
      </c>
      <c r="CZ616" s="35"/>
      <c r="DC616" s="57" t="str">
        <f t="shared" si="494"/>
        <v/>
      </c>
      <c r="DD616" s="64" t="str">
        <f t="shared" si="490"/>
        <v/>
      </c>
      <c r="DE616" s="65" t="str">
        <f t="shared" si="491"/>
        <v/>
      </c>
      <c r="DF616" s="66" t="str">
        <f t="shared" si="452"/>
        <v/>
      </c>
    </row>
    <row r="617" spans="2:110">
      <c r="B617" s="54">
        <f t="shared" si="495"/>
        <v>47371</v>
      </c>
      <c r="C617" s="55" t="s">
        <v>1</v>
      </c>
      <c r="D617" s="56">
        <f t="shared" si="496"/>
        <v>47377</v>
      </c>
      <c r="E617" s="52">
        <f t="shared" si="497"/>
        <v>9</v>
      </c>
      <c r="F617" s="53">
        <f t="shared" si="498"/>
        <v>2029</v>
      </c>
      <c r="G617" s="62">
        <f t="shared" si="492"/>
        <v>15</v>
      </c>
      <c r="H617" s="63">
        <f t="shared" si="493"/>
        <v>96</v>
      </c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80"/>
      <c r="AG617" s="87">
        <f t="shared" si="453"/>
        <v>0</v>
      </c>
      <c r="AH617" s="87">
        <f t="shared" si="454"/>
        <v>0</v>
      </c>
      <c r="AI617" s="87">
        <f t="shared" si="455"/>
        <v>0</v>
      </c>
      <c r="AJ617" s="87">
        <f t="shared" si="456"/>
        <v>0</v>
      </c>
      <c r="AK617" s="87">
        <f t="shared" si="457"/>
        <v>0</v>
      </c>
      <c r="AL617" s="87">
        <f t="shared" si="458"/>
        <v>0</v>
      </c>
      <c r="AM617" s="87">
        <f t="shared" si="459"/>
        <v>0</v>
      </c>
      <c r="AN617" s="87">
        <f t="shared" si="460"/>
        <v>0</v>
      </c>
      <c r="AO617" s="87">
        <f t="shared" si="461"/>
        <v>0</v>
      </c>
      <c r="AP617" s="87">
        <f t="shared" si="462"/>
        <v>0</v>
      </c>
      <c r="AQ617" s="87">
        <f t="shared" si="463"/>
        <v>0</v>
      </c>
      <c r="AR617" s="81"/>
      <c r="AS617" s="85">
        <f t="shared" si="464"/>
        <v>0</v>
      </c>
      <c r="AT617" s="85">
        <f t="shared" si="465"/>
        <v>0</v>
      </c>
      <c r="AU617" s="85">
        <f t="shared" si="466"/>
        <v>0</v>
      </c>
      <c r="AV617" s="85">
        <f t="shared" si="467"/>
        <v>0</v>
      </c>
      <c r="AW617" s="85">
        <f t="shared" si="468"/>
        <v>0</v>
      </c>
      <c r="AX617" s="85">
        <f t="shared" si="469"/>
        <v>0</v>
      </c>
      <c r="AY617" s="85">
        <f t="shared" si="470"/>
        <v>0</v>
      </c>
      <c r="AZ617" s="85">
        <f t="shared" si="471"/>
        <v>0</v>
      </c>
      <c r="BA617" s="85">
        <f t="shared" si="472"/>
        <v>0</v>
      </c>
      <c r="BB617" s="85">
        <f t="shared" si="473"/>
        <v>0</v>
      </c>
      <c r="BC617" s="85">
        <f t="shared" si="474"/>
        <v>0</v>
      </c>
      <c r="BD617" s="85">
        <f t="shared" si="475"/>
        <v>0</v>
      </c>
      <c r="BE617" s="85">
        <f t="shared" si="476"/>
        <v>0</v>
      </c>
      <c r="BF617" s="85">
        <f t="shared" si="477"/>
        <v>0</v>
      </c>
      <c r="BG617" s="85">
        <f t="shared" si="478"/>
        <v>0</v>
      </c>
      <c r="BH617" s="85">
        <f t="shared" si="479"/>
        <v>0</v>
      </c>
      <c r="BI617" s="85">
        <f t="shared" si="480"/>
        <v>0</v>
      </c>
      <c r="BJ617" s="85">
        <f t="shared" si="481"/>
        <v>0</v>
      </c>
      <c r="BK617" s="85">
        <f t="shared" si="482"/>
        <v>0</v>
      </c>
      <c r="BL617" s="85">
        <f t="shared" si="483"/>
        <v>0</v>
      </c>
      <c r="BM617" s="85">
        <f t="shared" si="484"/>
        <v>0</v>
      </c>
      <c r="BN617" s="85">
        <f t="shared" si="485"/>
        <v>0</v>
      </c>
      <c r="BO617" s="85">
        <f t="shared" si="486"/>
        <v>0</v>
      </c>
      <c r="BP617" s="85">
        <f t="shared" si="487"/>
        <v>0</v>
      </c>
      <c r="BQ617" s="85">
        <f t="shared" si="488"/>
        <v>0</v>
      </c>
      <c r="BR617" s="85">
        <f t="shared" si="489"/>
        <v>0</v>
      </c>
      <c r="BT617" s="63"/>
      <c r="BU617" s="63"/>
      <c r="BV617" s="63"/>
      <c r="BW617" s="63"/>
      <c r="BX617" s="63"/>
      <c r="BY617" s="63"/>
      <c r="BZ617" s="63"/>
      <c r="CA617" s="63"/>
      <c r="CB617" s="63"/>
      <c r="CC617" s="63"/>
      <c r="CD617" s="63"/>
      <c r="CE617" s="63"/>
      <c r="CF617" s="63"/>
      <c r="CG617" s="63"/>
      <c r="CH617" s="63"/>
      <c r="CI617" s="63"/>
      <c r="CJ617" s="63"/>
      <c r="CK617" s="63"/>
      <c r="CL617" s="63"/>
      <c r="CM617" s="63"/>
      <c r="CN617" s="63"/>
      <c r="CO617" s="63"/>
      <c r="CP617" s="63"/>
      <c r="CQ617" s="63"/>
      <c r="CR617" s="63"/>
      <c r="CS617" s="63"/>
      <c r="CX617" s="35" t="s">
        <v>12</v>
      </c>
      <c r="CZ617" s="35"/>
      <c r="DC617" s="57" t="str">
        <f t="shared" si="494"/>
        <v/>
      </c>
      <c r="DD617" s="64" t="str">
        <f t="shared" si="490"/>
        <v/>
      </c>
      <c r="DE617" s="65" t="str">
        <f t="shared" si="491"/>
        <v/>
      </c>
      <c r="DF617" s="66" t="str">
        <f t="shared" si="452"/>
        <v/>
      </c>
    </row>
    <row r="618" spans="2:110">
      <c r="B618" s="54">
        <f t="shared" si="495"/>
        <v>47378</v>
      </c>
      <c r="C618" s="55" t="s">
        <v>1</v>
      </c>
      <c r="D618" s="56">
        <f t="shared" si="496"/>
        <v>47384</v>
      </c>
      <c r="E618" s="52">
        <f t="shared" si="497"/>
        <v>9</v>
      </c>
      <c r="F618" s="53">
        <f t="shared" si="498"/>
        <v>2029</v>
      </c>
      <c r="G618" s="62">
        <f t="shared" si="492"/>
        <v>15</v>
      </c>
      <c r="H618" s="63">
        <f t="shared" si="493"/>
        <v>96</v>
      </c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80"/>
      <c r="AG618" s="87">
        <f t="shared" si="453"/>
        <v>0</v>
      </c>
      <c r="AH618" s="87">
        <f t="shared" si="454"/>
        <v>0</v>
      </c>
      <c r="AI618" s="87">
        <f t="shared" si="455"/>
        <v>0</v>
      </c>
      <c r="AJ618" s="87">
        <f t="shared" si="456"/>
        <v>0</v>
      </c>
      <c r="AK618" s="87">
        <f t="shared" si="457"/>
        <v>0</v>
      </c>
      <c r="AL618" s="87">
        <f t="shared" si="458"/>
        <v>0</v>
      </c>
      <c r="AM618" s="87">
        <f t="shared" si="459"/>
        <v>0</v>
      </c>
      <c r="AN618" s="87">
        <f t="shared" si="460"/>
        <v>0</v>
      </c>
      <c r="AO618" s="87">
        <f t="shared" si="461"/>
        <v>0</v>
      </c>
      <c r="AP618" s="87">
        <f t="shared" si="462"/>
        <v>0</v>
      </c>
      <c r="AQ618" s="87">
        <f t="shared" si="463"/>
        <v>0</v>
      </c>
      <c r="AR618" s="81"/>
      <c r="AS618" s="85">
        <f t="shared" si="464"/>
        <v>0</v>
      </c>
      <c r="AT618" s="85">
        <f t="shared" si="465"/>
        <v>0</v>
      </c>
      <c r="AU618" s="85">
        <f t="shared" si="466"/>
        <v>0</v>
      </c>
      <c r="AV618" s="85">
        <f t="shared" si="467"/>
        <v>0</v>
      </c>
      <c r="AW618" s="85">
        <f t="shared" si="468"/>
        <v>0</v>
      </c>
      <c r="AX618" s="85">
        <f t="shared" si="469"/>
        <v>0</v>
      </c>
      <c r="AY618" s="85">
        <f t="shared" si="470"/>
        <v>0</v>
      </c>
      <c r="AZ618" s="85">
        <f t="shared" si="471"/>
        <v>0</v>
      </c>
      <c r="BA618" s="85">
        <f t="shared" si="472"/>
        <v>0</v>
      </c>
      <c r="BB618" s="85">
        <f t="shared" si="473"/>
        <v>0</v>
      </c>
      <c r="BC618" s="85">
        <f t="shared" si="474"/>
        <v>0</v>
      </c>
      <c r="BD618" s="85">
        <f t="shared" si="475"/>
        <v>0</v>
      </c>
      <c r="BE618" s="85">
        <f t="shared" si="476"/>
        <v>0</v>
      </c>
      <c r="BF618" s="85">
        <f t="shared" si="477"/>
        <v>0</v>
      </c>
      <c r="BG618" s="85">
        <f t="shared" si="478"/>
        <v>0</v>
      </c>
      <c r="BH618" s="85">
        <f t="shared" si="479"/>
        <v>0</v>
      </c>
      <c r="BI618" s="85">
        <f t="shared" si="480"/>
        <v>0</v>
      </c>
      <c r="BJ618" s="85">
        <f t="shared" si="481"/>
        <v>0</v>
      </c>
      <c r="BK618" s="85">
        <f t="shared" si="482"/>
        <v>0</v>
      </c>
      <c r="BL618" s="85">
        <f t="shared" si="483"/>
        <v>0</v>
      </c>
      <c r="BM618" s="85">
        <f t="shared" si="484"/>
        <v>0</v>
      </c>
      <c r="BN618" s="85">
        <f t="shared" si="485"/>
        <v>0</v>
      </c>
      <c r="BO618" s="85">
        <f t="shared" si="486"/>
        <v>0</v>
      </c>
      <c r="BP618" s="85">
        <f t="shared" si="487"/>
        <v>0</v>
      </c>
      <c r="BQ618" s="85">
        <f t="shared" si="488"/>
        <v>0</v>
      </c>
      <c r="BR618" s="85">
        <f t="shared" si="489"/>
        <v>0</v>
      </c>
      <c r="BT618" s="63"/>
      <c r="BU618" s="63"/>
      <c r="BV618" s="63"/>
      <c r="BW618" s="63"/>
      <c r="BX618" s="63"/>
      <c r="BY618" s="63"/>
      <c r="BZ618" s="63"/>
      <c r="CA618" s="63"/>
      <c r="CB618" s="63"/>
      <c r="CC618" s="63"/>
      <c r="CD618" s="63"/>
      <c r="CE618" s="63"/>
      <c r="CF618" s="63"/>
      <c r="CG618" s="63"/>
      <c r="CH618" s="63"/>
      <c r="CI618" s="63"/>
      <c r="CJ618" s="63"/>
      <c r="CK618" s="63"/>
      <c r="CL618" s="63"/>
      <c r="CM618" s="63"/>
      <c r="CN618" s="63"/>
      <c r="CO618" s="63"/>
      <c r="CP618" s="63"/>
      <c r="CQ618" s="63"/>
      <c r="CR618" s="63"/>
      <c r="CS618" s="63"/>
      <c r="CX618" s="35" t="s">
        <v>12</v>
      </c>
      <c r="CZ618" s="35"/>
      <c r="DC618" s="57" t="str">
        <f t="shared" si="494"/>
        <v/>
      </c>
      <c r="DD618" s="64" t="str">
        <f t="shared" si="490"/>
        <v/>
      </c>
      <c r="DE618" s="65" t="str">
        <f t="shared" si="491"/>
        <v/>
      </c>
      <c r="DF618" s="66" t="str">
        <f t="shared" si="452"/>
        <v/>
      </c>
    </row>
    <row r="619" spans="2:110">
      <c r="B619" s="54">
        <f t="shared" si="495"/>
        <v>47385</v>
      </c>
      <c r="C619" s="55" t="s">
        <v>1</v>
      </c>
      <c r="D619" s="56">
        <f t="shared" si="496"/>
        <v>47391</v>
      </c>
      <c r="E619" s="52">
        <f t="shared" si="497"/>
        <v>9</v>
      </c>
      <c r="F619" s="53">
        <f t="shared" si="498"/>
        <v>2029</v>
      </c>
      <c r="G619" s="62">
        <f t="shared" si="492"/>
        <v>15</v>
      </c>
      <c r="H619" s="63">
        <f t="shared" si="493"/>
        <v>96</v>
      </c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80"/>
      <c r="AG619" s="87">
        <f t="shared" si="453"/>
        <v>0</v>
      </c>
      <c r="AH619" s="87">
        <f t="shared" si="454"/>
        <v>0</v>
      </c>
      <c r="AI619" s="87">
        <f t="shared" si="455"/>
        <v>0</v>
      </c>
      <c r="AJ619" s="87">
        <f t="shared" si="456"/>
        <v>0</v>
      </c>
      <c r="AK619" s="87">
        <f t="shared" si="457"/>
        <v>0</v>
      </c>
      <c r="AL619" s="87">
        <f t="shared" si="458"/>
        <v>0</v>
      </c>
      <c r="AM619" s="87">
        <f t="shared" si="459"/>
        <v>0</v>
      </c>
      <c r="AN619" s="87">
        <f t="shared" si="460"/>
        <v>0</v>
      </c>
      <c r="AO619" s="87">
        <f t="shared" si="461"/>
        <v>0</v>
      </c>
      <c r="AP619" s="87">
        <f t="shared" si="462"/>
        <v>0</v>
      </c>
      <c r="AQ619" s="87">
        <f t="shared" si="463"/>
        <v>0</v>
      </c>
      <c r="AR619" s="81"/>
      <c r="AS619" s="85">
        <f t="shared" si="464"/>
        <v>0</v>
      </c>
      <c r="AT619" s="85">
        <f t="shared" si="465"/>
        <v>0</v>
      </c>
      <c r="AU619" s="85">
        <f t="shared" si="466"/>
        <v>0</v>
      </c>
      <c r="AV619" s="85">
        <f t="shared" si="467"/>
        <v>0</v>
      </c>
      <c r="AW619" s="85">
        <f t="shared" si="468"/>
        <v>0</v>
      </c>
      <c r="AX619" s="85">
        <f t="shared" si="469"/>
        <v>0</v>
      </c>
      <c r="AY619" s="85">
        <f t="shared" si="470"/>
        <v>0</v>
      </c>
      <c r="AZ619" s="85">
        <f t="shared" si="471"/>
        <v>0</v>
      </c>
      <c r="BA619" s="85">
        <f t="shared" si="472"/>
        <v>0</v>
      </c>
      <c r="BB619" s="85">
        <f t="shared" si="473"/>
        <v>0</v>
      </c>
      <c r="BC619" s="85">
        <f t="shared" si="474"/>
        <v>0</v>
      </c>
      <c r="BD619" s="85">
        <f t="shared" si="475"/>
        <v>0</v>
      </c>
      <c r="BE619" s="85">
        <f t="shared" si="476"/>
        <v>0</v>
      </c>
      <c r="BF619" s="85">
        <f t="shared" si="477"/>
        <v>0</v>
      </c>
      <c r="BG619" s="85">
        <f t="shared" si="478"/>
        <v>0</v>
      </c>
      <c r="BH619" s="85">
        <f t="shared" si="479"/>
        <v>0</v>
      </c>
      <c r="BI619" s="85">
        <f t="shared" si="480"/>
        <v>0</v>
      </c>
      <c r="BJ619" s="85">
        <f t="shared" si="481"/>
        <v>0</v>
      </c>
      <c r="BK619" s="85">
        <f t="shared" si="482"/>
        <v>0</v>
      </c>
      <c r="BL619" s="85">
        <f t="shared" si="483"/>
        <v>0</v>
      </c>
      <c r="BM619" s="85">
        <f t="shared" si="484"/>
        <v>0</v>
      </c>
      <c r="BN619" s="85">
        <f t="shared" si="485"/>
        <v>0</v>
      </c>
      <c r="BO619" s="85">
        <f t="shared" si="486"/>
        <v>0</v>
      </c>
      <c r="BP619" s="85">
        <f t="shared" si="487"/>
        <v>0</v>
      </c>
      <c r="BQ619" s="85">
        <f t="shared" si="488"/>
        <v>0</v>
      </c>
      <c r="BR619" s="85">
        <f t="shared" si="489"/>
        <v>0</v>
      </c>
      <c r="BT619" s="63"/>
      <c r="BU619" s="63"/>
      <c r="BV619" s="63"/>
      <c r="BW619" s="63"/>
      <c r="BX619" s="63"/>
      <c r="BY619" s="63"/>
      <c r="BZ619" s="63"/>
      <c r="CA619" s="63"/>
      <c r="CB619" s="63"/>
      <c r="CC619" s="63"/>
      <c r="CD619" s="63"/>
      <c r="CE619" s="63"/>
      <c r="CF619" s="63"/>
      <c r="CG619" s="63"/>
      <c r="CH619" s="63"/>
      <c r="CI619" s="63"/>
      <c r="CJ619" s="63"/>
      <c r="CK619" s="63"/>
      <c r="CL619" s="63"/>
      <c r="CM619" s="63"/>
      <c r="CN619" s="63"/>
      <c r="CO619" s="63"/>
      <c r="CP619" s="63"/>
      <c r="CQ619" s="63"/>
      <c r="CR619" s="63"/>
      <c r="CS619" s="63"/>
      <c r="CX619" s="35" t="s">
        <v>12</v>
      </c>
      <c r="CZ619" s="35"/>
      <c r="DC619" s="57" t="str">
        <f t="shared" si="494"/>
        <v/>
      </c>
      <c r="DD619" s="64" t="str">
        <f t="shared" si="490"/>
        <v/>
      </c>
      <c r="DE619" s="65" t="str">
        <f t="shared" si="491"/>
        <v/>
      </c>
      <c r="DF619" s="66" t="str">
        <f t="shared" si="452"/>
        <v/>
      </c>
    </row>
    <row r="620" spans="2:110">
      <c r="B620" s="54">
        <f t="shared" si="495"/>
        <v>47392</v>
      </c>
      <c r="C620" s="55" t="s">
        <v>1</v>
      </c>
      <c r="D620" s="56">
        <f t="shared" si="496"/>
        <v>47398</v>
      </c>
      <c r="E620" s="52">
        <f t="shared" si="497"/>
        <v>10</v>
      </c>
      <c r="F620" s="53">
        <f t="shared" si="498"/>
        <v>2029</v>
      </c>
      <c r="G620" s="62">
        <f t="shared" si="492"/>
        <v>15</v>
      </c>
      <c r="H620" s="63">
        <f t="shared" si="493"/>
        <v>96</v>
      </c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80"/>
      <c r="AG620" s="87">
        <f t="shared" si="453"/>
        <v>0</v>
      </c>
      <c r="AH620" s="87">
        <f t="shared" si="454"/>
        <v>0</v>
      </c>
      <c r="AI620" s="87">
        <f t="shared" si="455"/>
        <v>0</v>
      </c>
      <c r="AJ620" s="87">
        <f t="shared" si="456"/>
        <v>0</v>
      </c>
      <c r="AK620" s="87">
        <f t="shared" si="457"/>
        <v>0</v>
      </c>
      <c r="AL620" s="87">
        <f t="shared" si="458"/>
        <v>0</v>
      </c>
      <c r="AM620" s="87">
        <f t="shared" si="459"/>
        <v>0</v>
      </c>
      <c r="AN620" s="87">
        <f t="shared" si="460"/>
        <v>0</v>
      </c>
      <c r="AO620" s="87">
        <f t="shared" si="461"/>
        <v>0</v>
      </c>
      <c r="AP620" s="87">
        <f t="shared" si="462"/>
        <v>0</v>
      </c>
      <c r="AQ620" s="87">
        <f t="shared" si="463"/>
        <v>0</v>
      </c>
      <c r="AR620" s="81"/>
      <c r="AS620" s="85">
        <f t="shared" si="464"/>
        <v>0</v>
      </c>
      <c r="AT620" s="85">
        <f t="shared" si="465"/>
        <v>0</v>
      </c>
      <c r="AU620" s="85">
        <f t="shared" si="466"/>
        <v>0</v>
      </c>
      <c r="AV620" s="85">
        <f t="shared" si="467"/>
        <v>0</v>
      </c>
      <c r="AW620" s="85">
        <f t="shared" si="468"/>
        <v>0</v>
      </c>
      <c r="AX620" s="85">
        <f t="shared" si="469"/>
        <v>0</v>
      </c>
      <c r="AY620" s="85">
        <f t="shared" si="470"/>
        <v>0</v>
      </c>
      <c r="AZ620" s="85">
        <f t="shared" si="471"/>
        <v>0</v>
      </c>
      <c r="BA620" s="85">
        <f t="shared" si="472"/>
        <v>0</v>
      </c>
      <c r="BB620" s="85">
        <f t="shared" si="473"/>
        <v>0</v>
      </c>
      <c r="BC620" s="85">
        <f t="shared" si="474"/>
        <v>0</v>
      </c>
      <c r="BD620" s="85">
        <f t="shared" si="475"/>
        <v>0</v>
      </c>
      <c r="BE620" s="85">
        <f t="shared" si="476"/>
        <v>0</v>
      </c>
      <c r="BF620" s="85">
        <f t="shared" si="477"/>
        <v>0</v>
      </c>
      <c r="BG620" s="85">
        <f t="shared" si="478"/>
        <v>0</v>
      </c>
      <c r="BH620" s="85">
        <f t="shared" si="479"/>
        <v>0</v>
      </c>
      <c r="BI620" s="85">
        <f t="shared" si="480"/>
        <v>0</v>
      </c>
      <c r="BJ620" s="85">
        <f t="shared" si="481"/>
        <v>0</v>
      </c>
      <c r="BK620" s="85">
        <f t="shared" si="482"/>
        <v>0</v>
      </c>
      <c r="BL620" s="85">
        <f t="shared" si="483"/>
        <v>0</v>
      </c>
      <c r="BM620" s="85">
        <f t="shared" si="484"/>
        <v>0</v>
      </c>
      <c r="BN620" s="85">
        <f t="shared" si="485"/>
        <v>0</v>
      </c>
      <c r="BO620" s="85">
        <f t="shared" si="486"/>
        <v>0</v>
      </c>
      <c r="BP620" s="85">
        <f t="shared" si="487"/>
        <v>0</v>
      </c>
      <c r="BQ620" s="85">
        <f t="shared" si="488"/>
        <v>0</v>
      </c>
      <c r="BR620" s="85">
        <f t="shared" si="489"/>
        <v>0</v>
      </c>
      <c r="BT620" s="63"/>
      <c r="BU620" s="63"/>
      <c r="BV620" s="63"/>
      <c r="BW620" s="63"/>
      <c r="BX620" s="63"/>
      <c r="BY620" s="63"/>
      <c r="BZ620" s="63"/>
      <c r="CA620" s="63"/>
      <c r="CB620" s="63"/>
      <c r="CC620" s="63"/>
      <c r="CD620" s="63"/>
      <c r="CE620" s="63"/>
      <c r="CF620" s="63"/>
      <c r="CG620" s="63"/>
      <c r="CH620" s="63"/>
      <c r="CI620" s="63"/>
      <c r="CJ620" s="63"/>
      <c r="CK620" s="63"/>
      <c r="CL620" s="63"/>
      <c r="CM620" s="63"/>
      <c r="CN620" s="63"/>
      <c r="CO620" s="63"/>
      <c r="CP620" s="63"/>
      <c r="CQ620" s="63"/>
      <c r="CR620" s="63"/>
      <c r="CS620" s="63"/>
      <c r="CX620" s="35" t="s">
        <v>12</v>
      </c>
      <c r="CZ620" s="35"/>
      <c r="DC620" s="57" t="str">
        <f t="shared" si="494"/>
        <v/>
      </c>
      <c r="DD620" s="64" t="str">
        <f t="shared" si="490"/>
        <v/>
      </c>
      <c r="DE620" s="65" t="str">
        <f t="shared" si="491"/>
        <v/>
      </c>
      <c r="DF620" s="66" t="str">
        <f t="shared" si="452"/>
        <v/>
      </c>
    </row>
    <row r="621" spans="2:110">
      <c r="B621" s="54">
        <f t="shared" si="495"/>
        <v>47399</v>
      </c>
      <c r="C621" s="55" t="s">
        <v>1</v>
      </c>
      <c r="D621" s="56">
        <f t="shared" si="496"/>
        <v>47405</v>
      </c>
      <c r="E621" s="52">
        <f t="shared" si="497"/>
        <v>10</v>
      </c>
      <c r="F621" s="53">
        <f t="shared" si="498"/>
        <v>2029</v>
      </c>
      <c r="G621" s="62">
        <f t="shared" si="492"/>
        <v>15</v>
      </c>
      <c r="H621" s="63">
        <f t="shared" si="493"/>
        <v>96</v>
      </c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80"/>
      <c r="AG621" s="87">
        <f t="shared" si="453"/>
        <v>0</v>
      </c>
      <c r="AH621" s="87">
        <f t="shared" si="454"/>
        <v>0</v>
      </c>
      <c r="AI621" s="87">
        <f t="shared" si="455"/>
        <v>0</v>
      </c>
      <c r="AJ621" s="87">
        <f t="shared" si="456"/>
        <v>0</v>
      </c>
      <c r="AK621" s="87">
        <f t="shared" si="457"/>
        <v>0</v>
      </c>
      <c r="AL621" s="87">
        <f t="shared" si="458"/>
        <v>0</v>
      </c>
      <c r="AM621" s="87">
        <f t="shared" si="459"/>
        <v>0</v>
      </c>
      <c r="AN621" s="87">
        <f t="shared" si="460"/>
        <v>0</v>
      </c>
      <c r="AO621" s="87">
        <f t="shared" si="461"/>
        <v>0</v>
      </c>
      <c r="AP621" s="87">
        <f t="shared" si="462"/>
        <v>0</v>
      </c>
      <c r="AQ621" s="87">
        <f t="shared" si="463"/>
        <v>0</v>
      </c>
      <c r="AR621" s="81"/>
      <c r="AS621" s="85">
        <f t="shared" si="464"/>
        <v>0</v>
      </c>
      <c r="AT621" s="85">
        <f t="shared" si="465"/>
        <v>0</v>
      </c>
      <c r="AU621" s="85">
        <f t="shared" si="466"/>
        <v>0</v>
      </c>
      <c r="AV621" s="85">
        <f t="shared" si="467"/>
        <v>0</v>
      </c>
      <c r="AW621" s="85">
        <f t="shared" si="468"/>
        <v>0</v>
      </c>
      <c r="AX621" s="85">
        <f t="shared" si="469"/>
        <v>0</v>
      </c>
      <c r="AY621" s="85">
        <f t="shared" si="470"/>
        <v>0</v>
      </c>
      <c r="AZ621" s="85">
        <f t="shared" si="471"/>
        <v>0</v>
      </c>
      <c r="BA621" s="85">
        <f t="shared" si="472"/>
        <v>0</v>
      </c>
      <c r="BB621" s="85">
        <f t="shared" si="473"/>
        <v>0</v>
      </c>
      <c r="BC621" s="85">
        <f t="shared" si="474"/>
        <v>0</v>
      </c>
      <c r="BD621" s="85">
        <f t="shared" si="475"/>
        <v>0</v>
      </c>
      <c r="BE621" s="85">
        <f t="shared" si="476"/>
        <v>0</v>
      </c>
      <c r="BF621" s="85">
        <f t="shared" si="477"/>
        <v>0</v>
      </c>
      <c r="BG621" s="85">
        <f t="shared" si="478"/>
        <v>0</v>
      </c>
      <c r="BH621" s="85">
        <f t="shared" si="479"/>
        <v>0</v>
      </c>
      <c r="BI621" s="85">
        <f t="shared" si="480"/>
        <v>0</v>
      </c>
      <c r="BJ621" s="85">
        <f t="shared" si="481"/>
        <v>0</v>
      </c>
      <c r="BK621" s="85">
        <f t="shared" si="482"/>
        <v>0</v>
      </c>
      <c r="BL621" s="85">
        <f t="shared" si="483"/>
        <v>0</v>
      </c>
      <c r="BM621" s="85">
        <f t="shared" si="484"/>
        <v>0</v>
      </c>
      <c r="BN621" s="85">
        <f t="shared" si="485"/>
        <v>0</v>
      </c>
      <c r="BO621" s="85">
        <f t="shared" si="486"/>
        <v>0</v>
      </c>
      <c r="BP621" s="85">
        <f t="shared" si="487"/>
        <v>0</v>
      </c>
      <c r="BQ621" s="85">
        <f t="shared" si="488"/>
        <v>0</v>
      </c>
      <c r="BR621" s="85">
        <f t="shared" si="489"/>
        <v>0</v>
      </c>
      <c r="BT621" s="63"/>
      <c r="BU621" s="63"/>
      <c r="BV621" s="63"/>
      <c r="BW621" s="63"/>
      <c r="BX621" s="63"/>
      <c r="BY621" s="63"/>
      <c r="BZ621" s="63"/>
      <c r="CA621" s="63"/>
      <c r="CB621" s="63"/>
      <c r="CC621" s="63"/>
      <c r="CD621" s="63"/>
      <c r="CE621" s="63"/>
      <c r="CF621" s="63"/>
      <c r="CG621" s="63"/>
      <c r="CH621" s="63"/>
      <c r="CI621" s="63"/>
      <c r="CJ621" s="63"/>
      <c r="CK621" s="63"/>
      <c r="CL621" s="63"/>
      <c r="CM621" s="63"/>
      <c r="CN621" s="63"/>
      <c r="CO621" s="63"/>
      <c r="CP621" s="63"/>
      <c r="CQ621" s="63"/>
      <c r="CR621" s="63"/>
      <c r="CS621" s="63"/>
      <c r="CX621" s="35" t="s">
        <v>12</v>
      </c>
      <c r="CZ621" s="35"/>
      <c r="DC621" s="57" t="str">
        <f t="shared" si="494"/>
        <v/>
      </c>
      <c r="DD621" s="64" t="str">
        <f t="shared" si="490"/>
        <v/>
      </c>
      <c r="DE621" s="65" t="str">
        <f t="shared" si="491"/>
        <v/>
      </c>
      <c r="DF621" s="66" t="str">
        <f t="shared" si="452"/>
        <v/>
      </c>
    </row>
    <row r="622" spans="2:110">
      <c r="B622" s="54">
        <f t="shared" si="495"/>
        <v>47406</v>
      </c>
      <c r="C622" s="55" t="s">
        <v>1</v>
      </c>
      <c r="D622" s="56">
        <f t="shared" si="496"/>
        <v>47412</v>
      </c>
      <c r="E622" s="52">
        <f t="shared" si="497"/>
        <v>10</v>
      </c>
      <c r="F622" s="53">
        <f t="shared" si="498"/>
        <v>2029</v>
      </c>
      <c r="G622" s="62">
        <f t="shared" si="492"/>
        <v>15</v>
      </c>
      <c r="H622" s="63">
        <f t="shared" si="493"/>
        <v>96</v>
      </c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80"/>
      <c r="AG622" s="87">
        <f t="shared" si="453"/>
        <v>0</v>
      </c>
      <c r="AH622" s="87">
        <f t="shared" si="454"/>
        <v>0</v>
      </c>
      <c r="AI622" s="87">
        <f t="shared" si="455"/>
        <v>0</v>
      </c>
      <c r="AJ622" s="87">
        <f t="shared" si="456"/>
        <v>0</v>
      </c>
      <c r="AK622" s="87">
        <f t="shared" si="457"/>
        <v>0</v>
      </c>
      <c r="AL622" s="87">
        <f t="shared" si="458"/>
        <v>0</v>
      </c>
      <c r="AM622" s="87">
        <f t="shared" si="459"/>
        <v>0</v>
      </c>
      <c r="AN622" s="87">
        <f t="shared" si="460"/>
        <v>0</v>
      </c>
      <c r="AO622" s="87">
        <f t="shared" si="461"/>
        <v>0</v>
      </c>
      <c r="AP622" s="87">
        <f t="shared" si="462"/>
        <v>0</v>
      </c>
      <c r="AQ622" s="87">
        <f t="shared" si="463"/>
        <v>0</v>
      </c>
      <c r="AR622" s="81"/>
      <c r="AS622" s="85">
        <f t="shared" si="464"/>
        <v>0</v>
      </c>
      <c r="AT622" s="85">
        <f t="shared" si="465"/>
        <v>0</v>
      </c>
      <c r="AU622" s="85">
        <f t="shared" si="466"/>
        <v>0</v>
      </c>
      <c r="AV622" s="85">
        <f t="shared" si="467"/>
        <v>0</v>
      </c>
      <c r="AW622" s="85">
        <f t="shared" si="468"/>
        <v>0</v>
      </c>
      <c r="AX622" s="85">
        <f t="shared" si="469"/>
        <v>0</v>
      </c>
      <c r="AY622" s="85">
        <f t="shared" si="470"/>
        <v>0</v>
      </c>
      <c r="AZ622" s="85">
        <f t="shared" si="471"/>
        <v>0</v>
      </c>
      <c r="BA622" s="85">
        <f t="shared" si="472"/>
        <v>0</v>
      </c>
      <c r="BB622" s="85">
        <f t="shared" si="473"/>
        <v>0</v>
      </c>
      <c r="BC622" s="85">
        <f t="shared" si="474"/>
        <v>0</v>
      </c>
      <c r="BD622" s="85">
        <f t="shared" si="475"/>
        <v>0</v>
      </c>
      <c r="BE622" s="85">
        <f t="shared" si="476"/>
        <v>0</v>
      </c>
      <c r="BF622" s="85">
        <f t="shared" si="477"/>
        <v>0</v>
      </c>
      <c r="BG622" s="85">
        <f t="shared" si="478"/>
        <v>0</v>
      </c>
      <c r="BH622" s="85">
        <f t="shared" si="479"/>
        <v>0</v>
      </c>
      <c r="BI622" s="85">
        <f t="shared" si="480"/>
        <v>0</v>
      </c>
      <c r="BJ622" s="85">
        <f t="shared" si="481"/>
        <v>0</v>
      </c>
      <c r="BK622" s="85">
        <f t="shared" si="482"/>
        <v>0</v>
      </c>
      <c r="BL622" s="85">
        <f t="shared" si="483"/>
        <v>0</v>
      </c>
      <c r="BM622" s="85">
        <f t="shared" si="484"/>
        <v>0</v>
      </c>
      <c r="BN622" s="85">
        <f t="shared" si="485"/>
        <v>0</v>
      </c>
      <c r="BO622" s="85">
        <f t="shared" si="486"/>
        <v>0</v>
      </c>
      <c r="BP622" s="85">
        <f t="shared" si="487"/>
        <v>0</v>
      </c>
      <c r="BQ622" s="85">
        <f t="shared" si="488"/>
        <v>0</v>
      </c>
      <c r="BR622" s="85">
        <f t="shared" si="489"/>
        <v>0</v>
      </c>
      <c r="BT622" s="63"/>
      <c r="BU622" s="63"/>
      <c r="BV622" s="63"/>
      <c r="BW622" s="63"/>
      <c r="BX622" s="63"/>
      <c r="BY622" s="63"/>
      <c r="BZ622" s="63"/>
      <c r="CA622" s="63"/>
      <c r="CB622" s="63"/>
      <c r="CC622" s="63"/>
      <c r="CD622" s="63"/>
      <c r="CE622" s="63"/>
      <c r="CF622" s="63"/>
      <c r="CG622" s="63"/>
      <c r="CH622" s="63"/>
      <c r="CI622" s="63"/>
      <c r="CJ622" s="63"/>
      <c r="CK622" s="63"/>
      <c r="CL622" s="63"/>
      <c r="CM622" s="63"/>
      <c r="CN622" s="63"/>
      <c r="CO622" s="63"/>
      <c r="CP622" s="63"/>
      <c r="CQ622" s="63"/>
      <c r="CR622" s="63"/>
      <c r="CS622" s="63"/>
      <c r="CX622" s="35" t="s">
        <v>12</v>
      </c>
      <c r="CZ622" s="35"/>
      <c r="DC622" s="57" t="str">
        <f t="shared" si="494"/>
        <v/>
      </c>
      <c r="DD622" s="64" t="str">
        <f t="shared" si="490"/>
        <v/>
      </c>
      <c r="DE622" s="65" t="str">
        <f t="shared" si="491"/>
        <v/>
      </c>
      <c r="DF622" s="66" t="str">
        <f t="shared" si="452"/>
        <v/>
      </c>
    </row>
    <row r="623" spans="2:110">
      <c r="B623" s="54">
        <f t="shared" si="495"/>
        <v>47413</v>
      </c>
      <c r="C623" s="55" t="s">
        <v>1</v>
      </c>
      <c r="D623" s="56">
        <f t="shared" si="496"/>
        <v>47419</v>
      </c>
      <c r="E623" s="52">
        <f t="shared" si="497"/>
        <v>10</v>
      </c>
      <c r="F623" s="53">
        <f t="shared" si="498"/>
        <v>2029</v>
      </c>
      <c r="G623" s="62">
        <f t="shared" si="492"/>
        <v>15</v>
      </c>
      <c r="H623" s="63">
        <f t="shared" si="493"/>
        <v>96</v>
      </c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80"/>
      <c r="AG623" s="87">
        <f t="shared" si="453"/>
        <v>0</v>
      </c>
      <c r="AH623" s="87">
        <f t="shared" si="454"/>
        <v>0</v>
      </c>
      <c r="AI623" s="87">
        <f t="shared" si="455"/>
        <v>0</v>
      </c>
      <c r="AJ623" s="87">
        <f t="shared" si="456"/>
        <v>0</v>
      </c>
      <c r="AK623" s="87">
        <f t="shared" si="457"/>
        <v>0</v>
      </c>
      <c r="AL623" s="87">
        <f t="shared" si="458"/>
        <v>0</v>
      </c>
      <c r="AM623" s="87">
        <f t="shared" si="459"/>
        <v>0</v>
      </c>
      <c r="AN623" s="87">
        <f t="shared" si="460"/>
        <v>0</v>
      </c>
      <c r="AO623" s="87">
        <f t="shared" si="461"/>
        <v>0</v>
      </c>
      <c r="AP623" s="87">
        <f t="shared" si="462"/>
        <v>0</v>
      </c>
      <c r="AQ623" s="87">
        <f t="shared" si="463"/>
        <v>0</v>
      </c>
      <c r="AR623" s="81"/>
      <c r="AS623" s="85">
        <f t="shared" si="464"/>
        <v>0</v>
      </c>
      <c r="AT623" s="85">
        <f t="shared" si="465"/>
        <v>0</v>
      </c>
      <c r="AU623" s="85">
        <f t="shared" si="466"/>
        <v>0</v>
      </c>
      <c r="AV623" s="85">
        <f t="shared" si="467"/>
        <v>0</v>
      </c>
      <c r="AW623" s="85">
        <f t="shared" si="468"/>
        <v>0</v>
      </c>
      <c r="AX623" s="85">
        <f t="shared" si="469"/>
        <v>0</v>
      </c>
      <c r="AY623" s="85">
        <f t="shared" si="470"/>
        <v>0</v>
      </c>
      <c r="AZ623" s="85">
        <f t="shared" si="471"/>
        <v>0</v>
      </c>
      <c r="BA623" s="85">
        <f t="shared" si="472"/>
        <v>0</v>
      </c>
      <c r="BB623" s="85">
        <f t="shared" si="473"/>
        <v>0</v>
      </c>
      <c r="BC623" s="85">
        <f t="shared" si="474"/>
        <v>0</v>
      </c>
      <c r="BD623" s="85">
        <f t="shared" si="475"/>
        <v>0</v>
      </c>
      <c r="BE623" s="85">
        <f t="shared" si="476"/>
        <v>0</v>
      </c>
      <c r="BF623" s="85">
        <f t="shared" si="477"/>
        <v>0</v>
      </c>
      <c r="BG623" s="85">
        <f t="shared" si="478"/>
        <v>0</v>
      </c>
      <c r="BH623" s="85">
        <f t="shared" si="479"/>
        <v>0</v>
      </c>
      <c r="BI623" s="85">
        <f t="shared" si="480"/>
        <v>0</v>
      </c>
      <c r="BJ623" s="85">
        <f t="shared" si="481"/>
        <v>0</v>
      </c>
      <c r="BK623" s="85">
        <f t="shared" si="482"/>
        <v>0</v>
      </c>
      <c r="BL623" s="85">
        <f t="shared" si="483"/>
        <v>0</v>
      </c>
      <c r="BM623" s="85">
        <f t="shared" si="484"/>
        <v>0</v>
      </c>
      <c r="BN623" s="85">
        <f t="shared" si="485"/>
        <v>0</v>
      </c>
      <c r="BO623" s="85">
        <f t="shared" si="486"/>
        <v>0</v>
      </c>
      <c r="BP623" s="85">
        <f t="shared" si="487"/>
        <v>0</v>
      </c>
      <c r="BQ623" s="85">
        <f t="shared" si="488"/>
        <v>0</v>
      </c>
      <c r="BR623" s="85">
        <f t="shared" si="489"/>
        <v>0</v>
      </c>
      <c r="BT623" s="63"/>
      <c r="BU623" s="63"/>
      <c r="BV623" s="63"/>
      <c r="BW623" s="63"/>
      <c r="BX623" s="63"/>
      <c r="BY623" s="63"/>
      <c r="BZ623" s="63"/>
      <c r="CA623" s="63"/>
      <c r="CB623" s="63"/>
      <c r="CC623" s="63"/>
      <c r="CD623" s="63"/>
      <c r="CE623" s="63"/>
      <c r="CF623" s="63"/>
      <c r="CG623" s="63"/>
      <c r="CH623" s="63"/>
      <c r="CI623" s="63"/>
      <c r="CJ623" s="63"/>
      <c r="CK623" s="63"/>
      <c r="CL623" s="63"/>
      <c r="CM623" s="63"/>
      <c r="CN623" s="63"/>
      <c r="CO623" s="63"/>
      <c r="CP623" s="63"/>
      <c r="CQ623" s="63"/>
      <c r="CR623" s="63"/>
      <c r="CS623" s="63"/>
      <c r="CX623" s="35" t="s">
        <v>12</v>
      </c>
      <c r="CZ623" s="35"/>
      <c r="DC623" s="57" t="str">
        <f t="shared" si="494"/>
        <v/>
      </c>
      <c r="DD623" s="64" t="str">
        <f t="shared" si="490"/>
        <v/>
      </c>
      <c r="DE623" s="65" t="str">
        <f t="shared" si="491"/>
        <v/>
      </c>
      <c r="DF623" s="66" t="str">
        <f t="shared" si="452"/>
        <v/>
      </c>
    </row>
    <row r="624" spans="2:110">
      <c r="B624" s="54">
        <f t="shared" si="495"/>
        <v>47420</v>
      </c>
      <c r="C624" s="55" t="s">
        <v>1</v>
      </c>
      <c r="D624" s="56">
        <f t="shared" si="496"/>
        <v>47426</v>
      </c>
      <c r="E624" s="52">
        <f t="shared" si="497"/>
        <v>10</v>
      </c>
      <c r="F624" s="53">
        <f t="shared" si="498"/>
        <v>2029</v>
      </c>
      <c r="G624" s="62">
        <f t="shared" si="492"/>
        <v>15</v>
      </c>
      <c r="H624" s="63">
        <f t="shared" si="493"/>
        <v>96</v>
      </c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80"/>
      <c r="AG624" s="87">
        <f t="shared" si="453"/>
        <v>0</v>
      </c>
      <c r="AH624" s="87">
        <f t="shared" si="454"/>
        <v>0</v>
      </c>
      <c r="AI624" s="87">
        <f t="shared" si="455"/>
        <v>0</v>
      </c>
      <c r="AJ624" s="87">
        <f t="shared" si="456"/>
        <v>0</v>
      </c>
      <c r="AK624" s="87">
        <f t="shared" si="457"/>
        <v>0</v>
      </c>
      <c r="AL624" s="87">
        <f t="shared" si="458"/>
        <v>0</v>
      </c>
      <c r="AM624" s="87">
        <f t="shared" si="459"/>
        <v>0</v>
      </c>
      <c r="AN624" s="87">
        <f t="shared" si="460"/>
        <v>0</v>
      </c>
      <c r="AO624" s="87">
        <f t="shared" si="461"/>
        <v>0</v>
      </c>
      <c r="AP624" s="87">
        <f t="shared" si="462"/>
        <v>0</v>
      </c>
      <c r="AQ624" s="87">
        <f t="shared" si="463"/>
        <v>0</v>
      </c>
      <c r="AR624" s="81"/>
      <c r="AS624" s="85">
        <f t="shared" si="464"/>
        <v>0</v>
      </c>
      <c r="AT624" s="85">
        <f t="shared" si="465"/>
        <v>0</v>
      </c>
      <c r="AU624" s="85">
        <f t="shared" si="466"/>
        <v>0</v>
      </c>
      <c r="AV624" s="85">
        <f t="shared" si="467"/>
        <v>0</v>
      </c>
      <c r="AW624" s="85">
        <f t="shared" si="468"/>
        <v>0</v>
      </c>
      <c r="AX624" s="85">
        <f t="shared" si="469"/>
        <v>0</v>
      </c>
      <c r="AY624" s="85">
        <f t="shared" si="470"/>
        <v>0</v>
      </c>
      <c r="AZ624" s="85">
        <f t="shared" si="471"/>
        <v>0</v>
      </c>
      <c r="BA624" s="85">
        <f t="shared" si="472"/>
        <v>0</v>
      </c>
      <c r="BB624" s="85">
        <f t="shared" si="473"/>
        <v>0</v>
      </c>
      <c r="BC624" s="85">
        <f t="shared" si="474"/>
        <v>0</v>
      </c>
      <c r="BD624" s="85">
        <f t="shared" si="475"/>
        <v>0</v>
      </c>
      <c r="BE624" s="85">
        <f t="shared" si="476"/>
        <v>0</v>
      </c>
      <c r="BF624" s="85">
        <f t="shared" si="477"/>
        <v>0</v>
      </c>
      <c r="BG624" s="85">
        <f t="shared" si="478"/>
        <v>0</v>
      </c>
      <c r="BH624" s="85">
        <f t="shared" si="479"/>
        <v>0</v>
      </c>
      <c r="BI624" s="85">
        <f t="shared" si="480"/>
        <v>0</v>
      </c>
      <c r="BJ624" s="85">
        <f t="shared" si="481"/>
        <v>0</v>
      </c>
      <c r="BK624" s="85">
        <f t="shared" si="482"/>
        <v>0</v>
      </c>
      <c r="BL624" s="85">
        <f t="shared" si="483"/>
        <v>0</v>
      </c>
      <c r="BM624" s="85">
        <f t="shared" si="484"/>
        <v>0</v>
      </c>
      <c r="BN624" s="85">
        <f t="shared" si="485"/>
        <v>0</v>
      </c>
      <c r="BO624" s="85">
        <f t="shared" si="486"/>
        <v>0</v>
      </c>
      <c r="BP624" s="85">
        <f t="shared" si="487"/>
        <v>0</v>
      </c>
      <c r="BQ624" s="85">
        <f t="shared" si="488"/>
        <v>0</v>
      </c>
      <c r="BR624" s="85">
        <f t="shared" si="489"/>
        <v>0</v>
      </c>
      <c r="BT624" s="63"/>
      <c r="BU624" s="63"/>
      <c r="BV624" s="63"/>
      <c r="BW624" s="63"/>
      <c r="BX624" s="63"/>
      <c r="BY624" s="63"/>
      <c r="BZ624" s="63"/>
      <c r="CA624" s="63"/>
      <c r="CB624" s="63"/>
      <c r="CC624" s="63"/>
      <c r="CD624" s="63"/>
      <c r="CE624" s="63"/>
      <c r="CF624" s="63"/>
      <c r="CG624" s="63"/>
      <c r="CH624" s="63"/>
      <c r="CI624" s="63"/>
      <c r="CJ624" s="63"/>
      <c r="CK624" s="63"/>
      <c r="CL624" s="63"/>
      <c r="CM624" s="63"/>
      <c r="CN624" s="63"/>
      <c r="CO624" s="63"/>
      <c r="CP624" s="63"/>
      <c r="CQ624" s="63"/>
      <c r="CR624" s="63"/>
      <c r="CS624" s="63"/>
      <c r="CX624" s="35" t="s">
        <v>12</v>
      </c>
      <c r="CZ624" s="35"/>
      <c r="DC624" s="57" t="str">
        <f t="shared" si="494"/>
        <v/>
      </c>
      <c r="DD624" s="64" t="str">
        <f t="shared" si="490"/>
        <v/>
      </c>
      <c r="DE624" s="65" t="str">
        <f t="shared" si="491"/>
        <v/>
      </c>
      <c r="DF624" s="66" t="str">
        <f t="shared" si="452"/>
        <v/>
      </c>
    </row>
    <row r="625" spans="2:110">
      <c r="B625" s="54">
        <f t="shared" si="495"/>
        <v>47427</v>
      </c>
      <c r="C625" s="55" t="s">
        <v>1</v>
      </c>
      <c r="D625" s="56">
        <f t="shared" si="496"/>
        <v>47433</v>
      </c>
      <c r="E625" s="52">
        <f t="shared" si="497"/>
        <v>11</v>
      </c>
      <c r="F625" s="53">
        <f t="shared" si="498"/>
        <v>2029</v>
      </c>
      <c r="G625" s="62">
        <f t="shared" si="492"/>
        <v>15</v>
      </c>
      <c r="H625" s="63">
        <f t="shared" si="493"/>
        <v>96</v>
      </c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80"/>
      <c r="AG625" s="87">
        <f t="shared" si="453"/>
        <v>0</v>
      </c>
      <c r="AH625" s="87">
        <f t="shared" si="454"/>
        <v>0</v>
      </c>
      <c r="AI625" s="87">
        <f t="shared" si="455"/>
        <v>0</v>
      </c>
      <c r="AJ625" s="87">
        <f t="shared" si="456"/>
        <v>0</v>
      </c>
      <c r="AK625" s="87">
        <f t="shared" si="457"/>
        <v>0</v>
      </c>
      <c r="AL625" s="87">
        <f t="shared" si="458"/>
        <v>0</v>
      </c>
      <c r="AM625" s="87">
        <f t="shared" si="459"/>
        <v>0</v>
      </c>
      <c r="AN625" s="87">
        <f t="shared" si="460"/>
        <v>0</v>
      </c>
      <c r="AO625" s="87">
        <f t="shared" si="461"/>
        <v>0</v>
      </c>
      <c r="AP625" s="87">
        <f t="shared" si="462"/>
        <v>0</v>
      </c>
      <c r="AQ625" s="87">
        <f t="shared" si="463"/>
        <v>0</v>
      </c>
      <c r="AR625" s="81"/>
      <c r="AS625" s="85">
        <f t="shared" si="464"/>
        <v>0</v>
      </c>
      <c r="AT625" s="85">
        <f t="shared" si="465"/>
        <v>0</v>
      </c>
      <c r="AU625" s="85">
        <f t="shared" si="466"/>
        <v>0</v>
      </c>
      <c r="AV625" s="85">
        <f t="shared" si="467"/>
        <v>0</v>
      </c>
      <c r="AW625" s="85">
        <f t="shared" si="468"/>
        <v>0</v>
      </c>
      <c r="AX625" s="85">
        <f t="shared" si="469"/>
        <v>0</v>
      </c>
      <c r="AY625" s="85">
        <f t="shared" si="470"/>
        <v>0</v>
      </c>
      <c r="AZ625" s="85">
        <f t="shared" si="471"/>
        <v>0</v>
      </c>
      <c r="BA625" s="85">
        <f t="shared" si="472"/>
        <v>0</v>
      </c>
      <c r="BB625" s="85">
        <f t="shared" si="473"/>
        <v>0</v>
      </c>
      <c r="BC625" s="85">
        <f t="shared" si="474"/>
        <v>0</v>
      </c>
      <c r="BD625" s="85">
        <f t="shared" si="475"/>
        <v>0</v>
      </c>
      <c r="BE625" s="85">
        <f t="shared" si="476"/>
        <v>0</v>
      </c>
      <c r="BF625" s="85">
        <f t="shared" si="477"/>
        <v>0</v>
      </c>
      <c r="BG625" s="85">
        <f t="shared" si="478"/>
        <v>0</v>
      </c>
      <c r="BH625" s="85">
        <f t="shared" si="479"/>
        <v>0</v>
      </c>
      <c r="BI625" s="85">
        <f t="shared" si="480"/>
        <v>0</v>
      </c>
      <c r="BJ625" s="85">
        <f t="shared" si="481"/>
        <v>0</v>
      </c>
      <c r="BK625" s="85">
        <f t="shared" si="482"/>
        <v>0</v>
      </c>
      <c r="BL625" s="85">
        <f t="shared" si="483"/>
        <v>0</v>
      </c>
      <c r="BM625" s="85">
        <f t="shared" si="484"/>
        <v>0</v>
      </c>
      <c r="BN625" s="85">
        <f t="shared" si="485"/>
        <v>0</v>
      </c>
      <c r="BO625" s="85">
        <f t="shared" si="486"/>
        <v>0</v>
      </c>
      <c r="BP625" s="85">
        <f t="shared" si="487"/>
        <v>0</v>
      </c>
      <c r="BQ625" s="85">
        <f t="shared" si="488"/>
        <v>0</v>
      </c>
      <c r="BR625" s="85">
        <f t="shared" si="489"/>
        <v>0</v>
      </c>
      <c r="BT625" s="63"/>
      <c r="BU625" s="63"/>
      <c r="BV625" s="63"/>
      <c r="BW625" s="63"/>
      <c r="BX625" s="63"/>
      <c r="BY625" s="63"/>
      <c r="BZ625" s="63"/>
      <c r="CA625" s="63"/>
      <c r="CB625" s="63"/>
      <c r="CC625" s="63"/>
      <c r="CD625" s="63"/>
      <c r="CE625" s="63"/>
      <c r="CF625" s="63"/>
      <c r="CG625" s="63"/>
      <c r="CH625" s="63"/>
      <c r="CI625" s="63"/>
      <c r="CJ625" s="63"/>
      <c r="CK625" s="63"/>
      <c r="CL625" s="63"/>
      <c r="CM625" s="63"/>
      <c r="CN625" s="63"/>
      <c r="CO625" s="63"/>
      <c r="CP625" s="63"/>
      <c r="CQ625" s="63"/>
      <c r="CR625" s="63"/>
      <c r="CS625" s="63"/>
      <c r="CX625" s="35" t="s">
        <v>12</v>
      </c>
      <c r="CZ625" s="35"/>
      <c r="DC625" s="57" t="str">
        <f t="shared" si="494"/>
        <v/>
      </c>
      <c r="DD625" s="64" t="str">
        <f t="shared" si="490"/>
        <v/>
      </c>
      <c r="DE625" s="65" t="str">
        <f t="shared" si="491"/>
        <v/>
      </c>
      <c r="DF625" s="66" t="str">
        <f t="shared" si="452"/>
        <v/>
      </c>
    </row>
    <row r="626" spans="2:110">
      <c r="B626" s="54">
        <f t="shared" si="495"/>
        <v>47434</v>
      </c>
      <c r="C626" s="55" t="s">
        <v>1</v>
      </c>
      <c r="D626" s="56">
        <f t="shared" si="496"/>
        <v>47440</v>
      </c>
      <c r="E626" s="52">
        <f t="shared" si="497"/>
        <v>11</v>
      </c>
      <c r="F626" s="53">
        <f t="shared" si="498"/>
        <v>2029</v>
      </c>
      <c r="G626" s="62">
        <f t="shared" si="492"/>
        <v>15</v>
      </c>
      <c r="H626" s="63">
        <f t="shared" si="493"/>
        <v>96</v>
      </c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80"/>
      <c r="AG626" s="87">
        <f t="shared" si="453"/>
        <v>0</v>
      </c>
      <c r="AH626" s="87">
        <f t="shared" si="454"/>
        <v>0</v>
      </c>
      <c r="AI626" s="87">
        <f t="shared" si="455"/>
        <v>0</v>
      </c>
      <c r="AJ626" s="87">
        <f t="shared" si="456"/>
        <v>0</v>
      </c>
      <c r="AK626" s="87">
        <f t="shared" si="457"/>
        <v>0</v>
      </c>
      <c r="AL626" s="87">
        <f t="shared" si="458"/>
        <v>0</v>
      </c>
      <c r="AM626" s="87">
        <f t="shared" si="459"/>
        <v>0</v>
      </c>
      <c r="AN626" s="87">
        <f t="shared" si="460"/>
        <v>0</v>
      </c>
      <c r="AO626" s="87">
        <f t="shared" si="461"/>
        <v>0</v>
      </c>
      <c r="AP626" s="87">
        <f t="shared" si="462"/>
        <v>0</v>
      </c>
      <c r="AQ626" s="87">
        <f t="shared" si="463"/>
        <v>0</v>
      </c>
      <c r="AR626" s="81"/>
      <c r="AS626" s="85">
        <f t="shared" si="464"/>
        <v>0</v>
      </c>
      <c r="AT626" s="85">
        <f t="shared" si="465"/>
        <v>0</v>
      </c>
      <c r="AU626" s="85">
        <f t="shared" si="466"/>
        <v>0</v>
      </c>
      <c r="AV626" s="85">
        <f t="shared" si="467"/>
        <v>0</v>
      </c>
      <c r="AW626" s="85">
        <f t="shared" si="468"/>
        <v>0</v>
      </c>
      <c r="AX626" s="85">
        <f t="shared" si="469"/>
        <v>0</v>
      </c>
      <c r="AY626" s="85">
        <f t="shared" si="470"/>
        <v>0</v>
      </c>
      <c r="AZ626" s="85">
        <f t="shared" si="471"/>
        <v>0</v>
      </c>
      <c r="BA626" s="85">
        <f t="shared" si="472"/>
        <v>0</v>
      </c>
      <c r="BB626" s="85">
        <f t="shared" si="473"/>
        <v>0</v>
      </c>
      <c r="BC626" s="85">
        <f t="shared" si="474"/>
        <v>0</v>
      </c>
      <c r="BD626" s="85">
        <f t="shared" si="475"/>
        <v>0</v>
      </c>
      <c r="BE626" s="85">
        <f t="shared" si="476"/>
        <v>0</v>
      </c>
      <c r="BF626" s="85">
        <f t="shared" si="477"/>
        <v>0</v>
      </c>
      <c r="BG626" s="85">
        <f t="shared" si="478"/>
        <v>0</v>
      </c>
      <c r="BH626" s="85">
        <f t="shared" si="479"/>
        <v>0</v>
      </c>
      <c r="BI626" s="85">
        <f t="shared" si="480"/>
        <v>0</v>
      </c>
      <c r="BJ626" s="85">
        <f t="shared" si="481"/>
        <v>0</v>
      </c>
      <c r="BK626" s="85">
        <f t="shared" si="482"/>
        <v>0</v>
      </c>
      <c r="BL626" s="85">
        <f t="shared" si="483"/>
        <v>0</v>
      </c>
      <c r="BM626" s="85">
        <f t="shared" si="484"/>
        <v>0</v>
      </c>
      <c r="BN626" s="85">
        <f t="shared" si="485"/>
        <v>0</v>
      </c>
      <c r="BO626" s="85">
        <f t="shared" si="486"/>
        <v>0</v>
      </c>
      <c r="BP626" s="85">
        <f t="shared" si="487"/>
        <v>0</v>
      </c>
      <c r="BQ626" s="85">
        <f t="shared" si="488"/>
        <v>0</v>
      </c>
      <c r="BR626" s="85">
        <f t="shared" si="489"/>
        <v>0</v>
      </c>
      <c r="BT626" s="63"/>
      <c r="BU626" s="63"/>
      <c r="BV626" s="63"/>
      <c r="BW626" s="63"/>
      <c r="BX626" s="63"/>
      <c r="BY626" s="63"/>
      <c r="BZ626" s="63"/>
      <c r="CA626" s="63"/>
      <c r="CB626" s="63"/>
      <c r="CC626" s="63"/>
      <c r="CD626" s="63"/>
      <c r="CE626" s="63"/>
      <c r="CF626" s="63"/>
      <c r="CG626" s="63"/>
      <c r="CH626" s="63"/>
      <c r="CI626" s="63"/>
      <c r="CJ626" s="63"/>
      <c r="CK626" s="63"/>
      <c r="CL626" s="63"/>
      <c r="CM626" s="63"/>
      <c r="CN626" s="63"/>
      <c r="CO626" s="63"/>
      <c r="CP626" s="63"/>
      <c r="CQ626" s="63"/>
      <c r="CR626" s="63"/>
      <c r="CS626" s="63"/>
      <c r="CX626" s="35" t="s">
        <v>12</v>
      </c>
      <c r="CZ626" s="35"/>
      <c r="DC626" s="57" t="str">
        <f t="shared" si="494"/>
        <v/>
      </c>
      <c r="DD626" s="64" t="str">
        <f t="shared" si="490"/>
        <v/>
      </c>
      <c r="DE626" s="65" t="str">
        <f t="shared" si="491"/>
        <v/>
      </c>
      <c r="DF626" s="66" t="str">
        <f t="shared" si="452"/>
        <v/>
      </c>
    </row>
    <row r="627" spans="2:110">
      <c r="B627" s="54">
        <f t="shared" si="495"/>
        <v>47441</v>
      </c>
      <c r="C627" s="55" t="s">
        <v>1</v>
      </c>
      <c r="D627" s="56">
        <f t="shared" si="496"/>
        <v>47447</v>
      </c>
      <c r="E627" s="52">
        <f t="shared" si="497"/>
        <v>11</v>
      </c>
      <c r="F627" s="53">
        <f t="shared" si="498"/>
        <v>2029</v>
      </c>
      <c r="G627" s="62">
        <f t="shared" si="492"/>
        <v>15</v>
      </c>
      <c r="H627" s="63">
        <f t="shared" si="493"/>
        <v>96</v>
      </c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80"/>
      <c r="AG627" s="87">
        <f t="shared" si="453"/>
        <v>0</v>
      </c>
      <c r="AH627" s="87">
        <f t="shared" si="454"/>
        <v>0</v>
      </c>
      <c r="AI627" s="87">
        <f t="shared" si="455"/>
        <v>0</v>
      </c>
      <c r="AJ627" s="87">
        <f t="shared" si="456"/>
        <v>0</v>
      </c>
      <c r="AK627" s="87">
        <f t="shared" si="457"/>
        <v>0</v>
      </c>
      <c r="AL627" s="87">
        <f t="shared" si="458"/>
        <v>0</v>
      </c>
      <c r="AM627" s="87">
        <f t="shared" si="459"/>
        <v>0</v>
      </c>
      <c r="AN627" s="87">
        <f t="shared" si="460"/>
        <v>0</v>
      </c>
      <c r="AO627" s="87">
        <f t="shared" si="461"/>
        <v>0</v>
      </c>
      <c r="AP627" s="87">
        <f t="shared" si="462"/>
        <v>0</v>
      </c>
      <c r="AQ627" s="87">
        <f t="shared" si="463"/>
        <v>0</v>
      </c>
      <c r="AR627" s="81"/>
      <c r="AS627" s="85">
        <f t="shared" si="464"/>
        <v>0</v>
      </c>
      <c r="AT627" s="85">
        <f t="shared" si="465"/>
        <v>0</v>
      </c>
      <c r="AU627" s="85">
        <f t="shared" si="466"/>
        <v>0</v>
      </c>
      <c r="AV627" s="85">
        <f t="shared" si="467"/>
        <v>0</v>
      </c>
      <c r="AW627" s="85">
        <f t="shared" si="468"/>
        <v>0</v>
      </c>
      <c r="AX627" s="85">
        <f t="shared" si="469"/>
        <v>0</v>
      </c>
      <c r="AY627" s="85">
        <f t="shared" si="470"/>
        <v>0</v>
      </c>
      <c r="AZ627" s="85">
        <f t="shared" si="471"/>
        <v>0</v>
      </c>
      <c r="BA627" s="85">
        <f t="shared" si="472"/>
        <v>0</v>
      </c>
      <c r="BB627" s="85">
        <f t="shared" si="473"/>
        <v>0</v>
      </c>
      <c r="BC627" s="85">
        <f t="shared" si="474"/>
        <v>0</v>
      </c>
      <c r="BD627" s="85">
        <f t="shared" si="475"/>
        <v>0</v>
      </c>
      <c r="BE627" s="85">
        <f t="shared" si="476"/>
        <v>0</v>
      </c>
      <c r="BF627" s="85">
        <f t="shared" si="477"/>
        <v>0</v>
      </c>
      <c r="BG627" s="85">
        <f t="shared" si="478"/>
        <v>0</v>
      </c>
      <c r="BH627" s="85">
        <f t="shared" si="479"/>
        <v>0</v>
      </c>
      <c r="BI627" s="85">
        <f t="shared" si="480"/>
        <v>0</v>
      </c>
      <c r="BJ627" s="85">
        <f t="shared" si="481"/>
        <v>0</v>
      </c>
      <c r="BK627" s="85">
        <f t="shared" si="482"/>
        <v>0</v>
      </c>
      <c r="BL627" s="85">
        <f t="shared" si="483"/>
        <v>0</v>
      </c>
      <c r="BM627" s="85">
        <f t="shared" si="484"/>
        <v>0</v>
      </c>
      <c r="BN627" s="85">
        <f t="shared" si="485"/>
        <v>0</v>
      </c>
      <c r="BO627" s="85">
        <f t="shared" si="486"/>
        <v>0</v>
      </c>
      <c r="BP627" s="85">
        <f t="shared" si="487"/>
        <v>0</v>
      </c>
      <c r="BQ627" s="85">
        <f t="shared" si="488"/>
        <v>0</v>
      </c>
      <c r="BR627" s="85">
        <f t="shared" si="489"/>
        <v>0</v>
      </c>
      <c r="BT627" s="63"/>
      <c r="BU627" s="63"/>
      <c r="BV627" s="63"/>
      <c r="BW627" s="63"/>
      <c r="BX627" s="63"/>
      <c r="BY627" s="63"/>
      <c r="BZ627" s="63"/>
      <c r="CA627" s="63"/>
      <c r="CB627" s="63"/>
      <c r="CC627" s="63"/>
      <c r="CD627" s="63"/>
      <c r="CE627" s="63"/>
      <c r="CF627" s="63"/>
      <c r="CG627" s="63"/>
      <c r="CH627" s="63"/>
      <c r="CI627" s="63"/>
      <c r="CJ627" s="63"/>
      <c r="CK627" s="63"/>
      <c r="CL627" s="63"/>
      <c r="CM627" s="63"/>
      <c r="CN627" s="63"/>
      <c r="CO627" s="63"/>
      <c r="CP627" s="63"/>
      <c r="CQ627" s="63"/>
      <c r="CR627" s="63"/>
      <c r="CS627" s="63"/>
      <c r="CX627" s="35" t="s">
        <v>12</v>
      </c>
      <c r="CZ627" s="35"/>
      <c r="DC627" s="57" t="str">
        <f t="shared" si="494"/>
        <v/>
      </c>
      <c r="DD627" s="64" t="str">
        <f t="shared" si="490"/>
        <v/>
      </c>
      <c r="DE627" s="65" t="str">
        <f t="shared" si="491"/>
        <v/>
      </c>
      <c r="DF627" s="66" t="str">
        <f t="shared" si="452"/>
        <v/>
      </c>
    </row>
    <row r="628" spans="2:110">
      <c r="B628" s="54">
        <f t="shared" si="495"/>
        <v>47448</v>
      </c>
      <c r="C628" s="55" t="s">
        <v>1</v>
      </c>
      <c r="D628" s="56">
        <f t="shared" si="496"/>
        <v>47454</v>
      </c>
      <c r="E628" s="52">
        <f t="shared" si="497"/>
        <v>11</v>
      </c>
      <c r="F628" s="53">
        <f t="shared" si="498"/>
        <v>2029</v>
      </c>
      <c r="G628" s="62">
        <f t="shared" si="492"/>
        <v>15</v>
      </c>
      <c r="H628" s="63">
        <f t="shared" si="493"/>
        <v>96</v>
      </c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80"/>
      <c r="AG628" s="87">
        <f t="shared" si="453"/>
        <v>0</v>
      </c>
      <c r="AH628" s="87">
        <f t="shared" si="454"/>
        <v>0</v>
      </c>
      <c r="AI628" s="87">
        <f t="shared" si="455"/>
        <v>0</v>
      </c>
      <c r="AJ628" s="87">
        <f t="shared" si="456"/>
        <v>0</v>
      </c>
      <c r="AK628" s="87">
        <f t="shared" si="457"/>
        <v>0</v>
      </c>
      <c r="AL628" s="87">
        <f t="shared" si="458"/>
        <v>0</v>
      </c>
      <c r="AM628" s="87">
        <f t="shared" si="459"/>
        <v>0</v>
      </c>
      <c r="AN628" s="87">
        <f t="shared" si="460"/>
        <v>0</v>
      </c>
      <c r="AO628" s="87">
        <f t="shared" si="461"/>
        <v>0</v>
      </c>
      <c r="AP628" s="87">
        <f t="shared" si="462"/>
        <v>0</v>
      </c>
      <c r="AQ628" s="87">
        <f t="shared" si="463"/>
        <v>0</v>
      </c>
      <c r="AR628" s="81"/>
      <c r="AS628" s="85">
        <f t="shared" si="464"/>
        <v>0</v>
      </c>
      <c r="AT628" s="85">
        <f t="shared" si="465"/>
        <v>0</v>
      </c>
      <c r="AU628" s="85">
        <f t="shared" si="466"/>
        <v>0</v>
      </c>
      <c r="AV628" s="85">
        <f t="shared" si="467"/>
        <v>0</v>
      </c>
      <c r="AW628" s="85">
        <f t="shared" si="468"/>
        <v>0</v>
      </c>
      <c r="AX628" s="85">
        <f t="shared" si="469"/>
        <v>0</v>
      </c>
      <c r="AY628" s="85">
        <f t="shared" si="470"/>
        <v>0</v>
      </c>
      <c r="AZ628" s="85">
        <f t="shared" si="471"/>
        <v>0</v>
      </c>
      <c r="BA628" s="85">
        <f t="shared" si="472"/>
        <v>0</v>
      </c>
      <c r="BB628" s="85">
        <f t="shared" si="473"/>
        <v>0</v>
      </c>
      <c r="BC628" s="85">
        <f t="shared" si="474"/>
        <v>0</v>
      </c>
      <c r="BD628" s="85">
        <f t="shared" si="475"/>
        <v>0</v>
      </c>
      <c r="BE628" s="85">
        <f t="shared" si="476"/>
        <v>0</v>
      </c>
      <c r="BF628" s="85">
        <f t="shared" si="477"/>
        <v>0</v>
      </c>
      <c r="BG628" s="85">
        <f t="shared" si="478"/>
        <v>0</v>
      </c>
      <c r="BH628" s="85">
        <f t="shared" si="479"/>
        <v>0</v>
      </c>
      <c r="BI628" s="85">
        <f t="shared" si="480"/>
        <v>0</v>
      </c>
      <c r="BJ628" s="85">
        <f t="shared" si="481"/>
        <v>0</v>
      </c>
      <c r="BK628" s="85">
        <f t="shared" si="482"/>
        <v>0</v>
      </c>
      <c r="BL628" s="85">
        <f t="shared" si="483"/>
        <v>0</v>
      </c>
      <c r="BM628" s="85">
        <f t="shared" si="484"/>
        <v>0</v>
      </c>
      <c r="BN628" s="85">
        <f t="shared" si="485"/>
        <v>0</v>
      </c>
      <c r="BO628" s="85">
        <f t="shared" si="486"/>
        <v>0</v>
      </c>
      <c r="BP628" s="85">
        <f t="shared" si="487"/>
        <v>0</v>
      </c>
      <c r="BQ628" s="85">
        <f t="shared" si="488"/>
        <v>0</v>
      </c>
      <c r="BR628" s="85">
        <f t="shared" si="489"/>
        <v>0</v>
      </c>
      <c r="BT628" s="63"/>
      <c r="BU628" s="63"/>
      <c r="BV628" s="63"/>
      <c r="BW628" s="63"/>
      <c r="BX628" s="63"/>
      <c r="BY628" s="63"/>
      <c r="BZ628" s="63"/>
      <c r="CA628" s="63"/>
      <c r="CB628" s="63"/>
      <c r="CC628" s="63"/>
      <c r="CD628" s="63"/>
      <c r="CE628" s="63"/>
      <c r="CF628" s="63"/>
      <c r="CG628" s="63"/>
      <c r="CH628" s="63"/>
      <c r="CI628" s="63"/>
      <c r="CJ628" s="63"/>
      <c r="CK628" s="63"/>
      <c r="CL628" s="63"/>
      <c r="CM628" s="63"/>
      <c r="CN628" s="63"/>
      <c r="CO628" s="63"/>
      <c r="CP628" s="63"/>
      <c r="CQ628" s="63"/>
      <c r="CR628" s="63"/>
      <c r="CS628" s="63"/>
      <c r="CX628" s="35" t="s">
        <v>12</v>
      </c>
      <c r="CZ628" s="35"/>
      <c r="DC628" s="57" t="str">
        <f t="shared" si="494"/>
        <v/>
      </c>
      <c r="DD628" s="64" t="str">
        <f t="shared" si="490"/>
        <v/>
      </c>
      <c r="DE628" s="65" t="str">
        <f t="shared" si="491"/>
        <v/>
      </c>
      <c r="DF628" s="66" t="str">
        <f t="shared" si="452"/>
        <v/>
      </c>
    </row>
    <row r="629" spans="2:110">
      <c r="B629" s="54">
        <f t="shared" si="495"/>
        <v>47455</v>
      </c>
      <c r="C629" s="55" t="s">
        <v>1</v>
      </c>
      <c r="D629" s="56">
        <f t="shared" si="496"/>
        <v>47461</v>
      </c>
      <c r="E629" s="52">
        <f t="shared" si="497"/>
        <v>12</v>
      </c>
      <c r="F629" s="53">
        <f t="shared" si="498"/>
        <v>2029</v>
      </c>
      <c r="G629" s="62">
        <f t="shared" si="492"/>
        <v>15</v>
      </c>
      <c r="H629" s="63">
        <f t="shared" si="493"/>
        <v>96</v>
      </c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80"/>
      <c r="AG629" s="87">
        <f t="shared" si="453"/>
        <v>0</v>
      </c>
      <c r="AH629" s="87">
        <f t="shared" si="454"/>
        <v>0</v>
      </c>
      <c r="AI629" s="87">
        <f t="shared" si="455"/>
        <v>0</v>
      </c>
      <c r="AJ629" s="87">
        <f t="shared" si="456"/>
        <v>0</v>
      </c>
      <c r="AK629" s="87">
        <f t="shared" si="457"/>
        <v>0</v>
      </c>
      <c r="AL629" s="87">
        <f t="shared" si="458"/>
        <v>0</v>
      </c>
      <c r="AM629" s="87">
        <f t="shared" si="459"/>
        <v>0</v>
      </c>
      <c r="AN629" s="87">
        <f t="shared" si="460"/>
        <v>0</v>
      </c>
      <c r="AO629" s="87">
        <f t="shared" si="461"/>
        <v>0</v>
      </c>
      <c r="AP629" s="87">
        <f t="shared" si="462"/>
        <v>0</v>
      </c>
      <c r="AQ629" s="87">
        <f t="shared" si="463"/>
        <v>0</v>
      </c>
      <c r="AR629" s="81"/>
      <c r="AS629" s="85">
        <f t="shared" si="464"/>
        <v>0</v>
      </c>
      <c r="AT629" s="85">
        <f t="shared" si="465"/>
        <v>0</v>
      </c>
      <c r="AU629" s="85">
        <f t="shared" si="466"/>
        <v>0</v>
      </c>
      <c r="AV629" s="85">
        <f t="shared" si="467"/>
        <v>0</v>
      </c>
      <c r="AW629" s="85">
        <f t="shared" si="468"/>
        <v>0</v>
      </c>
      <c r="AX629" s="85">
        <f t="shared" si="469"/>
        <v>0</v>
      </c>
      <c r="AY629" s="85">
        <f t="shared" si="470"/>
        <v>0</v>
      </c>
      <c r="AZ629" s="85">
        <f t="shared" si="471"/>
        <v>0</v>
      </c>
      <c r="BA629" s="85">
        <f t="shared" si="472"/>
        <v>0</v>
      </c>
      <c r="BB629" s="85">
        <f t="shared" si="473"/>
        <v>0</v>
      </c>
      <c r="BC629" s="85">
        <f t="shared" si="474"/>
        <v>0</v>
      </c>
      <c r="BD629" s="85">
        <f t="shared" si="475"/>
        <v>0</v>
      </c>
      <c r="BE629" s="85">
        <f t="shared" si="476"/>
        <v>0</v>
      </c>
      <c r="BF629" s="85">
        <f t="shared" si="477"/>
        <v>0</v>
      </c>
      <c r="BG629" s="85">
        <f t="shared" si="478"/>
        <v>0</v>
      </c>
      <c r="BH629" s="85">
        <f t="shared" si="479"/>
        <v>0</v>
      </c>
      <c r="BI629" s="85">
        <f t="shared" si="480"/>
        <v>0</v>
      </c>
      <c r="BJ629" s="85">
        <f t="shared" si="481"/>
        <v>0</v>
      </c>
      <c r="BK629" s="85">
        <f t="shared" si="482"/>
        <v>0</v>
      </c>
      <c r="BL629" s="85">
        <f t="shared" si="483"/>
        <v>0</v>
      </c>
      <c r="BM629" s="85">
        <f t="shared" si="484"/>
        <v>0</v>
      </c>
      <c r="BN629" s="85">
        <f t="shared" si="485"/>
        <v>0</v>
      </c>
      <c r="BO629" s="85">
        <f t="shared" si="486"/>
        <v>0</v>
      </c>
      <c r="BP629" s="85">
        <f t="shared" si="487"/>
        <v>0</v>
      </c>
      <c r="BQ629" s="85">
        <f t="shared" si="488"/>
        <v>0</v>
      </c>
      <c r="BR629" s="85">
        <f t="shared" si="489"/>
        <v>0</v>
      </c>
      <c r="BT629" s="63"/>
      <c r="BU629" s="63"/>
      <c r="BV629" s="63"/>
      <c r="BW629" s="63"/>
      <c r="BX629" s="63"/>
      <c r="BY629" s="63"/>
      <c r="BZ629" s="63"/>
      <c r="CA629" s="63"/>
      <c r="CB629" s="63"/>
      <c r="CC629" s="63"/>
      <c r="CD629" s="63"/>
      <c r="CE629" s="63"/>
      <c r="CF629" s="63"/>
      <c r="CG629" s="63"/>
      <c r="CH629" s="63"/>
      <c r="CI629" s="63"/>
      <c r="CJ629" s="63"/>
      <c r="CK629" s="63"/>
      <c r="CL629" s="63"/>
      <c r="CM629" s="63"/>
      <c r="CN629" s="63"/>
      <c r="CO629" s="63"/>
      <c r="CP629" s="63"/>
      <c r="CQ629" s="63"/>
      <c r="CR629" s="63"/>
      <c r="CS629" s="63"/>
      <c r="CX629" s="35" t="s">
        <v>12</v>
      </c>
      <c r="CZ629" s="35"/>
      <c r="DC629" s="57" t="str">
        <f t="shared" si="494"/>
        <v/>
      </c>
      <c r="DD629" s="64" t="str">
        <f t="shared" si="490"/>
        <v/>
      </c>
      <c r="DE629" s="65" t="str">
        <f t="shared" si="491"/>
        <v/>
      </c>
      <c r="DF629" s="66" t="str">
        <f t="shared" si="452"/>
        <v/>
      </c>
    </row>
    <row r="630" spans="2:110">
      <c r="B630" s="54">
        <f t="shared" si="495"/>
        <v>47462</v>
      </c>
      <c r="C630" s="55" t="s">
        <v>1</v>
      </c>
      <c r="D630" s="56">
        <f t="shared" si="496"/>
        <v>47468</v>
      </c>
      <c r="E630" s="52">
        <f t="shared" si="497"/>
        <v>12</v>
      </c>
      <c r="F630" s="53">
        <f t="shared" si="498"/>
        <v>2029</v>
      </c>
      <c r="G630" s="62">
        <f t="shared" si="492"/>
        <v>15</v>
      </c>
      <c r="H630" s="63">
        <f t="shared" si="493"/>
        <v>96</v>
      </c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80"/>
      <c r="AG630" s="87">
        <f t="shared" si="453"/>
        <v>0</v>
      </c>
      <c r="AH630" s="87">
        <f t="shared" si="454"/>
        <v>0</v>
      </c>
      <c r="AI630" s="87">
        <f t="shared" si="455"/>
        <v>0</v>
      </c>
      <c r="AJ630" s="87">
        <f t="shared" si="456"/>
        <v>0</v>
      </c>
      <c r="AK630" s="87">
        <f t="shared" si="457"/>
        <v>0</v>
      </c>
      <c r="AL630" s="87">
        <f t="shared" si="458"/>
        <v>0</v>
      </c>
      <c r="AM630" s="87">
        <f t="shared" si="459"/>
        <v>0</v>
      </c>
      <c r="AN630" s="87">
        <f t="shared" si="460"/>
        <v>0</v>
      </c>
      <c r="AO630" s="87">
        <f t="shared" si="461"/>
        <v>0</v>
      </c>
      <c r="AP630" s="87">
        <f t="shared" si="462"/>
        <v>0</v>
      </c>
      <c r="AQ630" s="87">
        <f t="shared" si="463"/>
        <v>0</v>
      </c>
      <c r="AR630" s="81"/>
      <c r="AS630" s="85">
        <f t="shared" si="464"/>
        <v>0</v>
      </c>
      <c r="AT630" s="85">
        <f t="shared" si="465"/>
        <v>0</v>
      </c>
      <c r="AU630" s="85">
        <f t="shared" si="466"/>
        <v>0</v>
      </c>
      <c r="AV630" s="85">
        <f t="shared" si="467"/>
        <v>0</v>
      </c>
      <c r="AW630" s="85">
        <f t="shared" si="468"/>
        <v>0</v>
      </c>
      <c r="AX630" s="85">
        <f t="shared" si="469"/>
        <v>0</v>
      </c>
      <c r="AY630" s="85">
        <f t="shared" si="470"/>
        <v>0</v>
      </c>
      <c r="AZ630" s="85">
        <f t="shared" si="471"/>
        <v>0</v>
      </c>
      <c r="BA630" s="85">
        <f t="shared" si="472"/>
        <v>0</v>
      </c>
      <c r="BB630" s="85">
        <f t="shared" si="473"/>
        <v>0</v>
      </c>
      <c r="BC630" s="85">
        <f t="shared" si="474"/>
        <v>0</v>
      </c>
      <c r="BD630" s="85">
        <f t="shared" si="475"/>
        <v>0</v>
      </c>
      <c r="BE630" s="85">
        <f t="shared" si="476"/>
        <v>0</v>
      </c>
      <c r="BF630" s="85">
        <f t="shared" si="477"/>
        <v>0</v>
      </c>
      <c r="BG630" s="85">
        <f t="shared" si="478"/>
        <v>0</v>
      </c>
      <c r="BH630" s="85">
        <f t="shared" si="479"/>
        <v>0</v>
      </c>
      <c r="BI630" s="85">
        <f t="shared" si="480"/>
        <v>0</v>
      </c>
      <c r="BJ630" s="85">
        <f t="shared" si="481"/>
        <v>0</v>
      </c>
      <c r="BK630" s="85">
        <f t="shared" si="482"/>
        <v>0</v>
      </c>
      <c r="BL630" s="85">
        <f t="shared" si="483"/>
        <v>0</v>
      </c>
      <c r="BM630" s="85">
        <f t="shared" si="484"/>
        <v>0</v>
      </c>
      <c r="BN630" s="85">
        <f t="shared" si="485"/>
        <v>0</v>
      </c>
      <c r="BO630" s="85">
        <f t="shared" si="486"/>
        <v>0</v>
      </c>
      <c r="BP630" s="85">
        <f t="shared" si="487"/>
        <v>0</v>
      </c>
      <c r="BQ630" s="85">
        <f t="shared" si="488"/>
        <v>0</v>
      </c>
      <c r="BR630" s="85">
        <f t="shared" si="489"/>
        <v>0</v>
      </c>
      <c r="BT630" s="63"/>
      <c r="BU630" s="63"/>
      <c r="BV630" s="63"/>
      <c r="BW630" s="63"/>
      <c r="BX630" s="63"/>
      <c r="BY630" s="63"/>
      <c r="BZ630" s="63"/>
      <c r="CA630" s="63"/>
      <c r="CB630" s="63"/>
      <c r="CC630" s="63"/>
      <c r="CD630" s="63"/>
      <c r="CE630" s="63"/>
      <c r="CF630" s="63"/>
      <c r="CG630" s="63"/>
      <c r="CH630" s="63"/>
      <c r="CI630" s="63"/>
      <c r="CJ630" s="63"/>
      <c r="CK630" s="63"/>
      <c r="CL630" s="63"/>
      <c r="CM630" s="63"/>
      <c r="CN630" s="63"/>
      <c r="CO630" s="63"/>
      <c r="CP630" s="63"/>
      <c r="CQ630" s="63"/>
      <c r="CR630" s="63"/>
      <c r="CS630" s="63"/>
      <c r="CX630" s="35" t="s">
        <v>12</v>
      </c>
      <c r="CZ630" s="35"/>
      <c r="DC630" s="57" t="str">
        <f t="shared" si="494"/>
        <v/>
      </c>
      <c r="DD630" s="64" t="str">
        <f t="shared" si="490"/>
        <v/>
      </c>
      <c r="DE630" s="65" t="str">
        <f t="shared" si="491"/>
        <v/>
      </c>
      <c r="DF630" s="66" t="str">
        <f t="shared" si="452"/>
        <v/>
      </c>
    </row>
    <row r="631" spans="2:110">
      <c r="B631" s="54">
        <f t="shared" si="495"/>
        <v>47469</v>
      </c>
      <c r="C631" s="55" t="s">
        <v>1</v>
      </c>
      <c r="D631" s="56">
        <f t="shared" si="496"/>
        <v>47475</v>
      </c>
      <c r="E631" s="52">
        <f t="shared" si="497"/>
        <v>12</v>
      </c>
      <c r="F631" s="53">
        <f t="shared" si="498"/>
        <v>2029</v>
      </c>
      <c r="G631" s="62">
        <f t="shared" si="492"/>
        <v>15</v>
      </c>
      <c r="H631" s="63">
        <f t="shared" si="493"/>
        <v>96</v>
      </c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80"/>
      <c r="AG631" s="87">
        <f t="shared" si="453"/>
        <v>0</v>
      </c>
      <c r="AH631" s="87">
        <f t="shared" si="454"/>
        <v>0</v>
      </c>
      <c r="AI631" s="87">
        <f t="shared" si="455"/>
        <v>0</v>
      </c>
      <c r="AJ631" s="87">
        <f t="shared" si="456"/>
        <v>0</v>
      </c>
      <c r="AK631" s="87">
        <f t="shared" si="457"/>
        <v>0</v>
      </c>
      <c r="AL631" s="87">
        <f t="shared" si="458"/>
        <v>0</v>
      </c>
      <c r="AM631" s="87">
        <f t="shared" si="459"/>
        <v>0</v>
      </c>
      <c r="AN631" s="87">
        <f t="shared" si="460"/>
        <v>0</v>
      </c>
      <c r="AO631" s="87">
        <f t="shared" si="461"/>
        <v>0</v>
      </c>
      <c r="AP631" s="87">
        <f t="shared" si="462"/>
        <v>0</v>
      </c>
      <c r="AQ631" s="87">
        <f t="shared" si="463"/>
        <v>0</v>
      </c>
      <c r="AR631" s="81"/>
      <c r="AS631" s="85">
        <f t="shared" si="464"/>
        <v>0</v>
      </c>
      <c r="AT631" s="85">
        <f t="shared" si="465"/>
        <v>0</v>
      </c>
      <c r="AU631" s="85">
        <f t="shared" si="466"/>
        <v>0</v>
      </c>
      <c r="AV631" s="85">
        <f t="shared" si="467"/>
        <v>0</v>
      </c>
      <c r="AW631" s="85">
        <f t="shared" si="468"/>
        <v>0</v>
      </c>
      <c r="AX631" s="85">
        <f t="shared" si="469"/>
        <v>0</v>
      </c>
      <c r="AY631" s="85">
        <f t="shared" si="470"/>
        <v>0</v>
      </c>
      <c r="AZ631" s="85">
        <f t="shared" si="471"/>
        <v>0</v>
      </c>
      <c r="BA631" s="85">
        <f t="shared" si="472"/>
        <v>0</v>
      </c>
      <c r="BB631" s="85">
        <f t="shared" si="473"/>
        <v>0</v>
      </c>
      <c r="BC631" s="85">
        <f t="shared" si="474"/>
        <v>0</v>
      </c>
      <c r="BD631" s="85">
        <f t="shared" si="475"/>
        <v>0</v>
      </c>
      <c r="BE631" s="85">
        <f t="shared" si="476"/>
        <v>0</v>
      </c>
      <c r="BF631" s="85">
        <f t="shared" si="477"/>
        <v>0</v>
      </c>
      <c r="BG631" s="85">
        <f t="shared" si="478"/>
        <v>0</v>
      </c>
      <c r="BH631" s="85">
        <f t="shared" si="479"/>
        <v>0</v>
      </c>
      <c r="BI631" s="85">
        <f t="shared" si="480"/>
        <v>0</v>
      </c>
      <c r="BJ631" s="85">
        <f t="shared" si="481"/>
        <v>0</v>
      </c>
      <c r="BK631" s="85">
        <f t="shared" si="482"/>
        <v>0</v>
      </c>
      <c r="BL631" s="85">
        <f t="shared" si="483"/>
        <v>0</v>
      </c>
      <c r="BM631" s="85">
        <f t="shared" si="484"/>
        <v>0</v>
      </c>
      <c r="BN631" s="85">
        <f t="shared" si="485"/>
        <v>0</v>
      </c>
      <c r="BO631" s="85">
        <f t="shared" si="486"/>
        <v>0</v>
      </c>
      <c r="BP631" s="85">
        <f t="shared" si="487"/>
        <v>0</v>
      </c>
      <c r="BQ631" s="85">
        <f t="shared" si="488"/>
        <v>0</v>
      </c>
      <c r="BR631" s="85">
        <f t="shared" si="489"/>
        <v>0</v>
      </c>
      <c r="BT631" s="63"/>
      <c r="BU631" s="63"/>
      <c r="BV631" s="63"/>
      <c r="BW631" s="63"/>
      <c r="BX631" s="63"/>
      <c r="BY631" s="63"/>
      <c r="BZ631" s="63"/>
      <c r="CA631" s="63"/>
      <c r="CB631" s="63"/>
      <c r="CC631" s="63"/>
      <c r="CD631" s="63"/>
      <c r="CE631" s="63"/>
      <c r="CF631" s="63"/>
      <c r="CG631" s="63"/>
      <c r="CH631" s="63"/>
      <c r="CI631" s="63"/>
      <c r="CJ631" s="63"/>
      <c r="CK631" s="63"/>
      <c r="CL631" s="63"/>
      <c r="CM631" s="63"/>
      <c r="CN631" s="63"/>
      <c r="CO631" s="63"/>
      <c r="CP631" s="63"/>
      <c r="CQ631" s="63"/>
      <c r="CR631" s="63"/>
      <c r="CS631" s="63"/>
      <c r="CX631" s="35" t="s">
        <v>12</v>
      </c>
      <c r="CZ631" s="35"/>
      <c r="DC631" s="57" t="str">
        <f t="shared" si="494"/>
        <v/>
      </c>
      <c r="DD631" s="64" t="str">
        <f t="shared" si="490"/>
        <v/>
      </c>
      <c r="DE631" s="65" t="str">
        <f t="shared" si="491"/>
        <v/>
      </c>
      <c r="DF631" s="66" t="str">
        <f t="shared" ref="DF631:DF685" si="499">IF(AND(AS646&gt;0,AS645=0),$AS$1,IF(AND(AT646&gt;0,AT645=0),$AT$1,IF(AND(AU646&gt;0,AU645=0),$AU$1,IF(AND(AV646&gt;0,AV645=0),$AV$1,IF(AND(AW646&gt;0,AW645=0),$AW$1,IF(AND(AX646&gt;0,AX645=0),$AX$1,IF(AND(AY646&gt;0,AY645=0),$AY$1,IF(AND(AZ646&gt;0,AZ645=0),$AZ$1,IF(AND(BA646&gt;0,BA645=0),$BA$1,IF(AND(BB646&gt;0,BB645=0),$BB$1,IF(AND(BC646&gt;0,BC645=0),$BC$1,IF(AND(BD646&gt;0,BD645=0),$BD$1,IF(AND(BE646&gt;0,BE645=0),$BE$1,IF(AND(BF646&gt;0,BF645=0),$BF$1,IF(AND(BG646&gt;0,BG645=0),$BG$1,IF(AND(BH646&gt;0,BH645=0),$BH$1,IF(AND(BI646&gt;0,BI645=0),$BI$1,IF(AND(BJ646&gt;0,BJ645=0),$BJ$1,IF(AND(BK646&gt;0,BK645=0),$BK$1,IF(AND(BL646&gt;0,BL645=0),$BL$1,IF(AND(BM646&gt;0,BM645=0),$BM$1,IF(AND(BN646&gt;0,BN645=0),$BN$1,IF(AND(BO646&gt;0,BO645=0),$BO$1,IF(AND(BP646&gt;0,BP645=0),$BP$1,IF(AND(BQ646&gt;0,BQ645=0),$BQ$1,IF(AND(BR646&gt;0,BR645=0),$BQ$1,""))))))))))))))))&amp;(IF(COUNTA(BT646:CS646)&gt;1," ["&amp;COUNTA(BT646:CS646)&amp;"]",""))))))))))))</f>
        <v/>
      </c>
    </row>
    <row r="632" spans="2:110">
      <c r="B632" s="54">
        <f t="shared" si="495"/>
        <v>47476</v>
      </c>
      <c r="C632" s="55" t="s">
        <v>1</v>
      </c>
      <c r="D632" s="56">
        <f t="shared" si="496"/>
        <v>47482</v>
      </c>
      <c r="E632" s="52">
        <f t="shared" si="497"/>
        <v>12</v>
      </c>
      <c r="F632" s="53">
        <f t="shared" si="498"/>
        <v>2029</v>
      </c>
      <c r="G632" s="62">
        <f t="shared" si="492"/>
        <v>15</v>
      </c>
      <c r="H632" s="63">
        <f t="shared" si="493"/>
        <v>96</v>
      </c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80"/>
      <c r="AG632" s="87">
        <f t="shared" si="453"/>
        <v>0</v>
      </c>
      <c r="AH632" s="87">
        <f t="shared" si="454"/>
        <v>0</v>
      </c>
      <c r="AI632" s="87">
        <f t="shared" si="455"/>
        <v>0</v>
      </c>
      <c r="AJ632" s="87">
        <f t="shared" si="456"/>
        <v>0</v>
      </c>
      <c r="AK632" s="87">
        <f t="shared" si="457"/>
        <v>0</v>
      </c>
      <c r="AL632" s="87">
        <f t="shared" si="458"/>
        <v>0</v>
      </c>
      <c r="AM632" s="87">
        <f t="shared" si="459"/>
        <v>0</v>
      </c>
      <c r="AN632" s="87">
        <f t="shared" si="460"/>
        <v>0</v>
      </c>
      <c r="AO632" s="87">
        <f t="shared" si="461"/>
        <v>0</v>
      </c>
      <c r="AP632" s="87">
        <f t="shared" si="462"/>
        <v>0</v>
      </c>
      <c r="AQ632" s="87">
        <f t="shared" si="463"/>
        <v>0</v>
      </c>
      <c r="AR632" s="81"/>
      <c r="AS632" s="85">
        <f t="shared" si="464"/>
        <v>0</v>
      </c>
      <c r="AT632" s="85">
        <f t="shared" si="465"/>
        <v>0</v>
      </c>
      <c r="AU632" s="85">
        <f t="shared" si="466"/>
        <v>0</v>
      </c>
      <c r="AV632" s="85">
        <f t="shared" si="467"/>
        <v>0</v>
      </c>
      <c r="AW632" s="85">
        <f t="shared" si="468"/>
        <v>0</v>
      </c>
      <c r="AX632" s="85">
        <f t="shared" si="469"/>
        <v>0</v>
      </c>
      <c r="AY632" s="85">
        <f t="shared" si="470"/>
        <v>0</v>
      </c>
      <c r="AZ632" s="85">
        <f t="shared" si="471"/>
        <v>0</v>
      </c>
      <c r="BA632" s="85">
        <f t="shared" si="472"/>
        <v>0</v>
      </c>
      <c r="BB632" s="85">
        <f t="shared" si="473"/>
        <v>0</v>
      </c>
      <c r="BC632" s="85">
        <f t="shared" si="474"/>
        <v>0</v>
      </c>
      <c r="BD632" s="85">
        <f t="shared" si="475"/>
        <v>0</v>
      </c>
      <c r="BE632" s="85">
        <f t="shared" si="476"/>
        <v>0</v>
      </c>
      <c r="BF632" s="85">
        <f t="shared" si="477"/>
        <v>0</v>
      </c>
      <c r="BG632" s="85">
        <f t="shared" si="478"/>
        <v>0</v>
      </c>
      <c r="BH632" s="85">
        <f t="shared" si="479"/>
        <v>0</v>
      </c>
      <c r="BI632" s="85">
        <f t="shared" si="480"/>
        <v>0</v>
      </c>
      <c r="BJ632" s="85">
        <f t="shared" si="481"/>
        <v>0</v>
      </c>
      <c r="BK632" s="85">
        <f t="shared" si="482"/>
        <v>0</v>
      </c>
      <c r="BL632" s="85">
        <f t="shared" si="483"/>
        <v>0</v>
      </c>
      <c r="BM632" s="85">
        <f t="shared" si="484"/>
        <v>0</v>
      </c>
      <c r="BN632" s="85">
        <f t="shared" si="485"/>
        <v>0</v>
      </c>
      <c r="BO632" s="85">
        <f t="shared" si="486"/>
        <v>0</v>
      </c>
      <c r="BP632" s="85">
        <f t="shared" si="487"/>
        <v>0</v>
      </c>
      <c r="BQ632" s="85">
        <f t="shared" si="488"/>
        <v>0</v>
      </c>
      <c r="BR632" s="85">
        <f t="shared" si="489"/>
        <v>0</v>
      </c>
      <c r="BT632" s="63"/>
      <c r="BU632" s="63"/>
      <c r="BV632" s="63"/>
      <c r="BW632" s="63"/>
      <c r="BX632" s="63"/>
      <c r="BY632" s="63"/>
      <c r="BZ632" s="63"/>
      <c r="CA632" s="63"/>
      <c r="CB632" s="63"/>
      <c r="CC632" s="63"/>
      <c r="CD632" s="63"/>
      <c r="CE632" s="63"/>
      <c r="CF632" s="63"/>
      <c r="CG632" s="63"/>
      <c r="CH632" s="63"/>
      <c r="CI632" s="63"/>
      <c r="CJ632" s="63"/>
      <c r="CK632" s="63"/>
      <c r="CL632" s="63"/>
      <c r="CM632" s="63"/>
      <c r="CN632" s="63"/>
      <c r="CO632" s="63"/>
      <c r="CP632" s="63"/>
      <c r="CQ632" s="63"/>
      <c r="CR632" s="63"/>
      <c r="CS632" s="63"/>
      <c r="CX632" s="35" t="s">
        <v>12</v>
      </c>
      <c r="CZ632" s="35"/>
      <c r="DC632" s="57" t="str">
        <f t="shared" si="494"/>
        <v/>
      </c>
      <c r="DD632" s="64" t="str">
        <f t="shared" si="490"/>
        <v/>
      </c>
      <c r="DE632" s="65" t="str">
        <f t="shared" si="491"/>
        <v/>
      </c>
      <c r="DF632" s="66" t="str">
        <f t="shared" si="499"/>
        <v/>
      </c>
    </row>
    <row r="633" spans="2:110">
      <c r="B633" s="54">
        <f t="shared" si="495"/>
        <v>47483</v>
      </c>
      <c r="C633" s="55" t="s">
        <v>1</v>
      </c>
      <c r="D633" s="56">
        <f t="shared" si="496"/>
        <v>47489</v>
      </c>
      <c r="E633" s="52">
        <f t="shared" si="497"/>
        <v>12</v>
      </c>
      <c r="F633" s="53">
        <f t="shared" si="498"/>
        <v>2030</v>
      </c>
      <c r="G633" s="62">
        <f t="shared" si="492"/>
        <v>15</v>
      </c>
      <c r="H633" s="63">
        <f t="shared" si="493"/>
        <v>96</v>
      </c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80"/>
      <c r="AG633" s="87">
        <f t="shared" si="453"/>
        <v>0</v>
      </c>
      <c r="AH633" s="87">
        <f t="shared" si="454"/>
        <v>0</v>
      </c>
      <c r="AI633" s="87">
        <f t="shared" si="455"/>
        <v>0</v>
      </c>
      <c r="AJ633" s="87">
        <f t="shared" si="456"/>
        <v>0</v>
      </c>
      <c r="AK633" s="87">
        <f t="shared" si="457"/>
        <v>0</v>
      </c>
      <c r="AL633" s="87">
        <f t="shared" si="458"/>
        <v>0</v>
      </c>
      <c r="AM633" s="87">
        <f t="shared" si="459"/>
        <v>0</v>
      </c>
      <c r="AN633" s="87">
        <f t="shared" si="460"/>
        <v>0</v>
      </c>
      <c r="AO633" s="87">
        <f t="shared" si="461"/>
        <v>0</v>
      </c>
      <c r="AP633" s="87">
        <f t="shared" si="462"/>
        <v>0</v>
      </c>
      <c r="AQ633" s="87">
        <f t="shared" si="463"/>
        <v>0</v>
      </c>
      <c r="AR633" s="81"/>
      <c r="AS633" s="85">
        <f t="shared" si="464"/>
        <v>0</v>
      </c>
      <c r="AT633" s="85">
        <f t="shared" si="465"/>
        <v>0</v>
      </c>
      <c r="AU633" s="85">
        <f t="shared" si="466"/>
        <v>0</v>
      </c>
      <c r="AV633" s="85">
        <f t="shared" si="467"/>
        <v>0</v>
      </c>
      <c r="AW633" s="85">
        <f t="shared" si="468"/>
        <v>0</v>
      </c>
      <c r="AX633" s="85">
        <f t="shared" si="469"/>
        <v>0</v>
      </c>
      <c r="AY633" s="85">
        <f t="shared" si="470"/>
        <v>0</v>
      </c>
      <c r="AZ633" s="85">
        <f t="shared" si="471"/>
        <v>0</v>
      </c>
      <c r="BA633" s="85">
        <f t="shared" si="472"/>
        <v>0</v>
      </c>
      <c r="BB633" s="85">
        <f t="shared" si="473"/>
        <v>0</v>
      </c>
      <c r="BC633" s="85">
        <f t="shared" si="474"/>
        <v>0</v>
      </c>
      <c r="BD633" s="85">
        <f t="shared" si="475"/>
        <v>0</v>
      </c>
      <c r="BE633" s="85">
        <f t="shared" si="476"/>
        <v>0</v>
      </c>
      <c r="BF633" s="85">
        <f t="shared" si="477"/>
        <v>0</v>
      </c>
      <c r="BG633" s="85">
        <f t="shared" si="478"/>
        <v>0</v>
      </c>
      <c r="BH633" s="85">
        <f t="shared" si="479"/>
        <v>0</v>
      </c>
      <c r="BI633" s="85">
        <f t="shared" si="480"/>
        <v>0</v>
      </c>
      <c r="BJ633" s="85">
        <f t="shared" si="481"/>
        <v>0</v>
      </c>
      <c r="BK633" s="85">
        <f t="shared" si="482"/>
        <v>0</v>
      </c>
      <c r="BL633" s="85">
        <f t="shared" si="483"/>
        <v>0</v>
      </c>
      <c r="BM633" s="85">
        <f t="shared" si="484"/>
        <v>0</v>
      </c>
      <c r="BN633" s="85">
        <f t="shared" si="485"/>
        <v>0</v>
      </c>
      <c r="BO633" s="85">
        <f t="shared" si="486"/>
        <v>0</v>
      </c>
      <c r="BP633" s="85">
        <f t="shared" si="487"/>
        <v>0</v>
      </c>
      <c r="BQ633" s="85">
        <f t="shared" si="488"/>
        <v>0</v>
      </c>
      <c r="BR633" s="85">
        <f t="shared" si="489"/>
        <v>0</v>
      </c>
      <c r="BT633" s="63"/>
      <c r="BU633" s="63"/>
      <c r="BV633" s="63"/>
      <c r="BW633" s="63"/>
      <c r="BX633" s="63"/>
      <c r="BY633" s="63"/>
      <c r="BZ633" s="63"/>
      <c r="CA633" s="63"/>
      <c r="CB633" s="63"/>
      <c r="CC633" s="63"/>
      <c r="CD633" s="63"/>
      <c r="CE633" s="63"/>
      <c r="CF633" s="63"/>
      <c r="CG633" s="63"/>
      <c r="CH633" s="63"/>
      <c r="CI633" s="63"/>
      <c r="CJ633" s="63"/>
      <c r="CK633" s="63"/>
      <c r="CL633" s="63"/>
      <c r="CM633" s="63"/>
      <c r="CN633" s="63"/>
      <c r="CO633" s="63"/>
      <c r="CP633" s="63"/>
      <c r="CQ633" s="63"/>
      <c r="CR633" s="63"/>
      <c r="CS633" s="63"/>
      <c r="CX633" s="35" t="s">
        <v>12</v>
      </c>
      <c r="CZ633" s="35"/>
      <c r="DC633" s="57" t="str">
        <f t="shared" si="494"/>
        <v/>
      </c>
      <c r="DD633" s="64" t="str">
        <f t="shared" si="490"/>
        <v/>
      </c>
      <c r="DE633" s="65" t="str">
        <f t="shared" si="491"/>
        <v/>
      </c>
      <c r="DF633" s="66" t="str">
        <f t="shared" si="499"/>
        <v/>
      </c>
    </row>
    <row r="634" spans="2:110">
      <c r="B634" s="54">
        <f t="shared" si="495"/>
        <v>47490</v>
      </c>
      <c r="C634" s="55" t="s">
        <v>1</v>
      </c>
      <c r="D634" s="56">
        <f t="shared" si="496"/>
        <v>47496</v>
      </c>
      <c r="E634" s="52">
        <f t="shared" si="497"/>
        <v>1</v>
      </c>
      <c r="F634" s="53">
        <f t="shared" si="498"/>
        <v>2030</v>
      </c>
      <c r="G634" s="62">
        <f t="shared" si="492"/>
        <v>15</v>
      </c>
      <c r="H634" s="63">
        <f t="shared" si="493"/>
        <v>96</v>
      </c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80"/>
      <c r="AG634" s="87">
        <f t="shared" si="453"/>
        <v>0</v>
      </c>
      <c r="AH634" s="87">
        <f t="shared" si="454"/>
        <v>0</v>
      </c>
      <c r="AI634" s="87">
        <f t="shared" si="455"/>
        <v>0</v>
      </c>
      <c r="AJ634" s="87">
        <f t="shared" si="456"/>
        <v>0</v>
      </c>
      <c r="AK634" s="87">
        <f t="shared" si="457"/>
        <v>0</v>
      </c>
      <c r="AL634" s="87">
        <f t="shared" si="458"/>
        <v>0</v>
      </c>
      <c r="AM634" s="87">
        <f t="shared" si="459"/>
        <v>0</v>
      </c>
      <c r="AN634" s="87">
        <f t="shared" si="460"/>
        <v>0</v>
      </c>
      <c r="AO634" s="87">
        <f t="shared" si="461"/>
        <v>0</v>
      </c>
      <c r="AP634" s="87">
        <f t="shared" si="462"/>
        <v>0</v>
      </c>
      <c r="AQ634" s="87">
        <f t="shared" si="463"/>
        <v>0</v>
      </c>
      <c r="AR634" s="81"/>
      <c r="AS634" s="85">
        <f t="shared" si="464"/>
        <v>0</v>
      </c>
      <c r="AT634" s="85">
        <f t="shared" si="465"/>
        <v>0</v>
      </c>
      <c r="AU634" s="85">
        <f t="shared" si="466"/>
        <v>0</v>
      </c>
      <c r="AV634" s="85">
        <f t="shared" si="467"/>
        <v>0</v>
      </c>
      <c r="AW634" s="85">
        <f t="shared" si="468"/>
        <v>0</v>
      </c>
      <c r="AX634" s="85">
        <f t="shared" si="469"/>
        <v>0</v>
      </c>
      <c r="AY634" s="85">
        <f t="shared" si="470"/>
        <v>0</v>
      </c>
      <c r="AZ634" s="85">
        <f t="shared" si="471"/>
        <v>0</v>
      </c>
      <c r="BA634" s="85">
        <f t="shared" si="472"/>
        <v>0</v>
      </c>
      <c r="BB634" s="85">
        <f t="shared" si="473"/>
        <v>0</v>
      </c>
      <c r="BC634" s="85">
        <f t="shared" si="474"/>
        <v>0</v>
      </c>
      <c r="BD634" s="85">
        <f t="shared" si="475"/>
        <v>0</v>
      </c>
      <c r="BE634" s="85">
        <f t="shared" si="476"/>
        <v>0</v>
      </c>
      <c r="BF634" s="85">
        <f t="shared" si="477"/>
        <v>0</v>
      </c>
      <c r="BG634" s="85">
        <f t="shared" si="478"/>
        <v>0</v>
      </c>
      <c r="BH634" s="85">
        <f t="shared" si="479"/>
        <v>0</v>
      </c>
      <c r="BI634" s="85">
        <f t="shared" si="480"/>
        <v>0</v>
      </c>
      <c r="BJ634" s="85">
        <f t="shared" si="481"/>
        <v>0</v>
      </c>
      <c r="BK634" s="85">
        <f t="shared" si="482"/>
        <v>0</v>
      </c>
      <c r="BL634" s="85">
        <f t="shared" si="483"/>
        <v>0</v>
      </c>
      <c r="BM634" s="85">
        <f t="shared" si="484"/>
        <v>0</v>
      </c>
      <c r="BN634" s="85">
        <f t="shared" si="485"/>
        <v>0</v>
      </c>
      <c r="BO634" s="85">
        <f t="shared" si="486"/>
        <v>0</v>
      </c>
      <c r="BP634" s="85">
        <f t="shared" si="487"/>
        <v>0</v>
      </c>
      <c r="BQ634" s="85">
        <f t="shared" si="488"/>
        <v>0</v>
      </c>
      <c r="BR634" s="85">
        <f t="shared" si="489"/>
        <v>0</v>
      </c>
      <c r="BT634" s="63"/>
      <c r="BU634" s="63"/>
      <c r="BV634" s="63"/>
      <c r="BW634" s="63"/>
      <c r="BX634" s="63"/>
      <c r="BY634" s="63"/>
      <c r="BZ634" s="63"/>
      <c r="CA634" s="63"/>
      <c r="CB634" s="63"/>
      <c r="CC634" s="63"/>
      <c r="CD634" s="63"/>
      <c r="CE634" s="63"/>
      <c r="CF634" s="63"/>
      <c r="CG634" s="63"/>
      <c r="CH634" s="63"/>
      <c r="CI634" s="63"/>
      <c r="CJ634" s="63"/>
      <c r="CK634" s="63"/>
      <c r="CL634" s="63"/>
      <c r="CM634" s="63"/>
      <c r="CN634" s="63"/>
      <c r="CO634" s="63"/>
      <c r="CP634" s="63"/>
      <c r="CQ634" s="63"/>
      <c r="CR634" s="63"/>
      <c r="CS634" s="63"/>
      <c r="CX634" s="35" t="s">
        <v>12</v>
      </c>
      <c r="CZ634" s="35"/>
      <c r="DC634" s="57" t="str">
        <f t="shared" si="494"/>
        <v/>
      </c>
      <c r="DD634" s="64" t="str">
        <f t="shared" si="490"/>
        <v/>
      </c>
      <c r="DE634" s="65" t="str">
        <f t="shared" si="491"/>
        <v/>
      </c>
      <c r="DF634" s="66" t="str">
        <f t="shared" si="499"/>
        <v/>
      </c>
    </row>
    <row r="635" spans="2:110">
      <c r="B635" s="54">
        <f t="shared" si="495"/>
        <v>47497</v>
      </c>
      <c r="C635" s="55" t="s">
        <v>1</v>
      </c>
      <c r="D635" s="56">
        <f t="shared" si="496"/>
        <v>47503</v>
      </c>
      <c r="E635" s="52">
        <f t="shared" si="497"/>
        <v>1</v>
      </c>
      <c r="F635" s="53">
        <f t="shared" si="498"/>
        <v>2030</v>
      </c>
      <c r="G635" s="62">
        <f t="shared" si="492"/>
        <v>15</v>
      </c>
      <c r="H635" s="63">
        <f t="shared" si="493"/>
        <v>96</v>
      </c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80"/>
      <c r="AG635" s="87">
        <f t="shared" si="453"/>
        <v>0</v>
      </c>
      <c r="AH635" s="87">
        <f t="shared" si="454"/>
        <v>0</v>
      </c>
      <c r="AI635" s="87">
        <f t="shared" si="455"/>
        <v>0</v>
      </c>
      <c r="AJ635" s="87">
        <f t="shared" si="456"/>
        <v>0</v>
      </c>
      <c r="AK635" s="87">
        <f t="shared" si="457"/>
        <v>0</v>
      </c>
      <c r="AL635" s="87">
        <f t="shared" si="458"/>
        <v>0</v>
      </c>
      <c r="AM635" s="87">
        <f t="shared" si="459"/>
        <v>0</v>
      </c>
      <c r="AN635" s="87">
        <f t="shared" si="460"/>
        <v>0</v>
      </c>
      <c r="AO635" s="87">
        <f t="shared" si="461"/>
        <v>0</v>
      </c>
      <c r="AP635" s="87">
        <f t="shared" si="462"/>
        <v>0</v>
      </c>
      <c r="AQ635" s="87">
        <f t="shared" si="463"/>
        <v>0</v>
      </c>
      <c r="AR635" s="81"/>
      <c r="AS635" s="85">
        <f t="shared" si="464"/>
        <v>0</v>
      </c>
      <c r="AT635" s="85">
        <f t="shared" si="465"/>
        <v>0</v>
      </c>
      <c r="AU635" s="85">
        <f t="shared" si="466"/>
        <v>0</v>
      </c>
      <c r="AV635" s="85">
        <f t="shared" si="467"/>
        <v>0</v>
      </c>
      <c r="AW635" s="85">
        <f t="shared" si="468"/>
        <v>0</v>
      </c>
      <c r="AX635" s="85">
        <f t="shared" si="469"/>
        <v>0</v>
      </c>
      <c r="AY635" s="85">
        <f t="shared" si="470"/>
        <v>0</v>
      </c>
      <c r="AZ635" s="85">
        <f t="shared" si="471"/>
        <v>0</v>
      </c>
      <c r="BA635" s="85">
        <f t="shared" si="472"/>
        <v>0</v>
      </c>
      <c r="BB635" s="85">
        <f t="shared" si="473"/>
        <v>0</v>
      </c>
      <c r="BC635" s="85">
        <f t="shared" si="474"/>
        <v>0</v>
      </c>
      <c r="BD635" s="85">
        <f t="shared" si="475"/>
        <v>0</v>
      </c>
      <c r="BE635" s="85">
        <f t="shared" si="476"/>
        <v>0</v>
      </c>
      <c r="BF635" s="85">
        <f t="shared" si="477"/>
        <v>0</v>
      </c>
      <c r="BG635" s="85">
        <f t="shared" si="478"/>
        <v>0</v>
      </c>
      <c r="BH635" s="85">
        <f t="shared" si="479"/>
        <v>0</v>
      </c>
      <c r="BI635" s="85">
        <f t="shared" si="480"/>
        <v>0</v>
      </c>
      <c r="BJ635" s="85">
        <f t="shared" si="481"/>
        <v>0</v>
      </c>
      <c r="BK635" s="85">
        <f t="shared" si="482"/>
        <v>0</v>
      </c>
      <c r="BL635" s="85">
        <f t="shared" si="483"/>
        <v>0</v>
      </c>
      <c r="BM635" s="85">
        <f t="shared" si="484"/>
        <v>0</v>
      </c>
      <c r="BN635" s="85">
        <f t="shared" si="485"/>
        <v>0</v>
      </c>
      <c r="BO635" s="85">
        <f t="shared" si="486"/>
        <v>0</v>
      </c>
      <c r="BP635" s="85">
        <f t="shared" si="487"/>
        <v>0</v>
      </c>
      <c r="BQ635" s="85">
        <f t="shared" si="488"/>
        <v>0</v>
      </c>
      <c r="BR635" s="85">
        <f t="shared" si="489"/>
        <v>0</v>
      </c>
      <c r="BT635" s="63"/>
      <c r="BU635" s="63"/>
      <c r="BV635" s="63"/>
      <c r="BW635" s="63"/>
      <c r="BX635" s="63"/>
      <c r="BY635" s="63"/>
      <c r="BZ635" s="63"/>
      <c r="CA635" s="63"/>
      <c r="CB635" s="63"/>
      <c r="CC635" s="63"/>
      <c r="CD635" s="63"/>
      <c r="CE635" s="63"/>
      <c r="CF635" s="63"/>
      <c r="CG635" s="63"/>
      <c r="CH635" s="63"/>
      <c r="CI635" s="63"/>
      <c r="CJ635" s="63"/>
      <c r="CK635" s="63"/>
      <c r="CL635" s="63"/>
      <c r="CM635" s="63"/>
      <c r="CN635" s="63"/>
      <c r="CO635" s="63"/>
      <c r="CP635" s="63"/>
      <c r="CQ635" s="63"/>
      <c r="CR635" s="63"/>
      <c r="CS635" s="63"/>
      <c r="CX635" s="35" t="s">
        <v>12</v>
      </c>
      <c r="CZ635" s="35"/>
      <c r="DC635" s="57" t="str">
        <f t="shared" si="494"/>
        <v/>
      </c>
      <c r="DD635" s="64" t="str">
        <f t="shared" si="490"/>
        <v/>
      </c>
      <c r="DE635" s="65" t="str">
        <f t="shared" si="491"/>
        <v/>
      </c>
      <c r="DF635" s="66" t="str">
        <f t="shared" si="499"/>
        <v/>
      </c>
    </row>
    <row r="636" spans="2:110">
      <c r="B636" s="54">
        <f t="shared" si="495"/>
        <v>47504</v>
      </c>
      <c r="C636" s="55" t="s">
        <v>1</v>
      </c>
      <c r="D636" s="56">
        <f t="shared" si="496"/>
        <v>47510</v>
      </c>
      <c r="E636" s="52">
        <f t="shared" si="497"/>
        <v>1</v>
      </c>
      <c r="F636" s="53">
        <f t="shared" si="498"/>
        <v>2030</v>
      </c>
      <c r="G636" s="62">
        <f t="shared" si="492"/>
        <v>15</v>
      </c>
      <c r="H636" s="63">
        <f t="shared" si="493"/>
        <v>96</v>
      </c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80"/>
      <c r="AG636" s="87">
        <f t="shared" si="453"/>
        <v>0</v>
      </c>
      <c r="AH636" s="87">
        <f t="shared" si="454"/>
        <v>0</v>
      </c>
      <c r="AI636" s="87">
        <f t="shared" si="455"/>
        <v>0</v>
      </c>
      <c r="AJ636" s="87">
        <f t="shared" si="456"/>
        <v>0</v>
      </c>
      <c r="AK636" s="87">
        <f t="shared" si="457"/>
        <v>0</v>
      </c>
      <c r="AL636" s="87">
        <f t="shared" si="458"/>
        <v>0</v>
      </c>
      <c r="AM636" s="87">
        <f t="shared" si="459"/>
        <v>0</v>
      </c>
      <c r="AN636" s="87">
        <f t="shared" si="460"/>
        <v>0</v>
      </c>
      <c r="AO636" s="87">
        <f t="shared" si="461"/>
        <v>0</v>
      </c>
      <c r="AP636" s="87">
        <f t="shared" si="462"/>
        <v>0</v>
      </c>
      <c r="AQ636" s="87">
        <f t="shared" si="463"/>
        <v>0</v>
      </c>
      <c r="AR636" s="81"/>
      <c r="AS636" s="85">
        <f t="shared" si="464"/>
        <v>0</v>
      </c>
      <c r="AT636" s="85">
        <f t="shared" si="465"/>
        <v>0</v>
      </c>
      <c r="AU636" s="85">
        <f t="shared" si="466"/>
        <v>0</v>
      </c>
      <c r="AV636" s="85">
        <f t="shared" si="467"/>
        <v>0</v>
      </c>
      <c r="AW636" s="85">
        <f t="shared" si="468"/>
        <v>0</v>
      </c>
      <c r="AX636" s="85">
        <f t="shared" si="469"/>
        <v>0</v>
      </c>
      <c r="AY636" s="85">
        <f t="shared" si="470"/>
        <v>0</v>
      </c>
      <c r="AZ636" s="85">
        <f t="shared" si="471"/>
        <v>0</v>
      </c>
      <c r="BA636" s="85">
        <f t="shared" si="472"/>
        <v>0</v>
      </c>
      <c r="BB636" s="85">
        <f t="shared" si="473"/>
        <v>0</v>
      </c>
      <c r="BC636" s="85">
        <f t="shared" si="474"/>
        <v>0</v>
      </c>
      <c r="BD636" s="85">
        <f t="shared" si="475"/>
        <v>0</v>
      </c>
      <c r="BE636" s="85">
        <f t="shared" si="476"/>
        <v>0</v>
      </c>
      <c r="BF636" s="85">
        <f t="shared" si="477"/>
        <v>0</v>
      </c>
      <c r="BG636" s="85">
        <f t="shared" si="478"/>
        <v>0</v>
      </c>
      <c r="BH636" s="85">
        <f t="shared" si="479"/>
        <v>0</v>
      </c>
      <c r="BI636" s="85">
        <f t="shared" si="480"/>
        <v>0</v>
      </c>
      <c r="BJ636" s="85">
        <f t="shared" si="481"/>
        <v>0</v>
      </c>
      <c r="BK636" s="85">
        <f t="shared" si="482"/>
        <v>0</v>
      </c>
      <c r="BL636" s="85">
        <f t="shared" si="483"/>
        <v>0</v>
      </c>
      <c r="BM636" s="85">
        <f t="shared" si="484"/>
        <v>0</v>
      </c>
      <c r="BN636" s="85">
        <f t="shared" si="485"/>
        <v>0</v>
      </c>
      <c r="BO636" s="85">
        <f t="shared" si="486"/>
        <v>0</v>
      </c>
      <c r="BP636" s="85">
        <f t="shared" si="487"/>
        <v>0</v>
      </c>
      <c r="BQ636" s="85">
        <f t="shared" si="488"/>
        <v>0</v>
      </c>
      <c r="BR636" s="85">
        <f t="shared" si="489"/>
        <v>0</v>
      </c>
      <c r="BT636" s="63"/>
      <c r="BU636" s="63"/>
      <c r="BV636" s="63"/>
      <c r="BW636" s="63"/>
      <c r="BX636" s="63"/>
      <c r="BY636" s="63"/>
      <c r="BZ636" s="63"/>
      <c r="CA636" s="63"/>
      <c r="CB636" s="63"/>
      <c r="CC636" s="63"/>
      <c r="CD636" s="63"/>
      <c r="CE636" s="63"/>
      <c r="CF636" s="63"/>
      <c r="CG636" s="63"/>
      <c r="CH636" s="63"/>
      <c r="CI636" s="63"/>
      <c r="CJ636" s="63"/>
      <c r="CK636" s="63"/>
      <c r="CL636" s="63"/>
      <c r="CM636" s="63"/>
      <c r="CN636" s="63"/>
      <c r="CO636" s="63"/>
      <c r="CP636" s="63"/>
      <c r="CQ636" s="63"/>
      <c r="CR636" s="63"/>
      <c r="CS636" s="63"/>
      <c r="CX636" s="35" t="s">
        <v>12</v>
      </c>
      <c r="CZ636" s="35"/>
      <c r="DC636" s="57" t="str">
        <f t="shared" si="494"/>
        <v/>
      </c>
      <c r="DD636" s="64" t="str">
        <f t="shared" si="490"/>
        <v/>
      </c>
      <c r="DE636" s="65" t="str">
        <f t="shared" si="491"/>
        <v/>
      </c>
      <c r="DF636" s="66" t="str">
        <f t="shared" si="499"/>
        <v/>
      </c>
    </row>
    <row r="637" spans="2:110">
      <c r="B637" s="54">
        <f t="shared" si="495"/>
        <v>47511</v>
      </c>
      <c r="C637" s="55" t="s">
        <v>1</v>
      </c>
      <c r="D637" s="56">
        <f t="shared" si="496"/>
        <v>47517</v>
      </c>
      <c r="E637" s="52">
        <f t="shared" si="497"/>
        <v>1</v>
      </c>
      <c r="F637" s="53">
        <f t="shared" si="498"/>
        <v>2030</v>
      </c>
      <c r="G637" s="62">
        <f t="shared" si="492"/>
        <v>15</v>
      </c>
      <c r="H637" s="63">
        <f t="shared" si="493"/>
        <v>96</v>
      </c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80"/>
      <c r="AG637" s="87">
        <f t="shared" si="453"/>
        <v>0</v>
      </c>
      <c r="AH637" s="87">
        <f t="shared" si="454"/>
        <v>0</v>
      </c>
      <c r="AI637" s="87">
        <f t="shared" si="455"/>
        <v>0</v>
      </c>
      <c r="AJ637" s="87">
        <f t="shared" si="456"/>
        <v>0</v>
      </c>
      <c r="AK637" s="87">
        <f t="shared" si="457"/>
        <v>0</v>
      </c>
      <c r="AL637" s="87">
        <f t="shared" si="458"/>
        <v>0</v>
      </c>
      <c r="AM637" s="87">
        <f t="shared" si="459"/>
        <v>0</v>
      </c>
      <c r="AN637" s="87">
        <f t="shared" si="460"/>
        <v>0</v>
      </c>
      <c r="AO637" s="87">
        <f t="shared" si="461"/>
        <v>0</v>
      </c>
      <c r="AP637" s="87">
        <f t="shared" si="462"/>
        <v>0</v>
      </c>
      <c r="AQ637" s="87">
        <f t="shared" si="463"/>
        <v>0</v>
      </c>
      <c r="AR637" s="81"/>
      <c r="AS637" s="85">
        <f t="shared" si="464"/>
        <v>0</v>
      </c>
      <c r="AT637" s="85">
        <f t="shared" si="465"/>
        <v>0</v>
      </c>
      <c r="AU637" s="85">
        <f t="shared" si="466"/>
        <v>0</v>
      </c>
      <c r="AV637" s="85">
        <f t="shared" si="467"/>
        <v>0</v>
      </c>
      <c r="AW637" s="85">
        <f t="shared" si="468"/>
        <v>0</v>
      </c>
      <c r="AX637" s="85">
        <f t="shared" si="469"/>
        <v>0</v>
      </c>
      <c r="AY637" s="85">
        <f t="shared" si="470"/>
        <v>0</v>
      </c>
      <c r="AZ637" s="85">
        <f t="shared" si="471"/>
        <v>0</v>
      </c>
      <c r="BA637" s="85">
        <f t="shared" si="472"/>
        <v>0</v>
      </c>
      <c r="BB637" s="85">
        <f t="shared" si="473"/>
        <v>0</v>
      </c>
      <c r="BC637" s="85">
        <f t="shared" si="474"/>
        <v>0</v>
      </c>
      <c r="BD637" s="85">
        <f t="shared" si="475"/>
        <v>0</v>
      </c>
      <c r="BE637" s="85">
        <f t="shared" si="476"/>
        <v>0</v>
      </c>
      <c r="BF637" s="85">
        <f t="shared" si="477"/>
        <v>0</v>
      </c>
      <c r="BG637" s="85">
        <f t="shared" si="478"/>
        <v>0</v>
      </c>
      <c r="BH637" s="85">
        <f t="shared" si="479"/>
        <v>0</v>
      </c>
      <c r="BI637" s="85">
        <f t="shared" si="480"/>
        <v>0</v>
      </c>
      <c r="BJ637" s="85">
        <f t="shared" si="481"/>
        <v>0</v>
      </c>
      <c r="BK637" s="85">
        <f t="shared" si="482"/>
        <v>0</v>
      </c>
      <c r="BL637" s="85">
        <f t="shared" si="483"/>
        <v>0</v>
      </c>
      <c r="BM637" s="85">
        <f t="shared" si="484"/>
        <v>0</v>
      </c>
      <c r="BN637" s="85">
        <f t="shared" si="485"/>
        <v>0</v>
      </c>
      <c r="BO637" s="85">
        <f t="shared" si="486"/>
        <v>0</v>
      </c>
      <c r="BP637" s="85">
        <f t="shared" si="487"/>
        <v>0</v>
      </c>
      <c r="BQ637" s="85">
        <f t="shared" si="488"/>
        <v>0</v>
      </c>
      <c r="BR637" s="85">
        <f t="shared" si="489"/>
        <v>0</v>
      </c>
      <c r="BT637" s="63"/>
      <c r="BU637" s="63"/>
      <c r="BV637" s="63"/>
      <c r="BW637" s="63"/>
      <c r="BX637" s="63"/>
      <c r="BY637" s="63"/>
      <c r="BZ637" s="63"/>
      <c r="CA637" s="63"/>
      <c r="CB637" s="63"/>
      <c r="CC637" s="63"/>
      <c r="CD637" s="63"/>
      <c r="CE637" s="63"/>
      <c r="CF637" s="63"/>
      <c r="CG637" s="63"/>
      <c r="CH637" s="63"/>
      <c r="CI637" s="63"/>
      <c r="CJ637" s="63"/>
      <c r="CK637" s="63"/>
      <c r="CL637" s="63"/>
      <c r="CM637" s="63"/>
      <c r="CN637" s="63"/>
      <c r="CO637" s="63"/>
      <c r="CP637" s="63"/>
      <c r="CQ637" s="63"/>
      <c r="CR637" s="63"/>
      <c r="CS637" s="63"/>
      <c r="CX637" s="35" t="s">
        <v>12</v>
      </c>
      <c r="CZ637" s="35"/>
      <c r="DC637" s="57" t="str">
        <f t="shared" si="494"/>
        <v/>
      </c>
      <c r="DD637" s="64" t="str">
        <f t="shared" si="490"/>
        <v/>
      </c>
      <c r="DE637" s="65" t="str">
        <f t="shared" si="491"/>
        <v/>
      </c>
      <c r="DF637" s="66" t="str">
        <f t="shared" si="499"/>
        <v/>
      </c>
    </row>
    <row r="638" spans="2:110">
      <c r="B638" s="54">
        <f t="shared" si="495"/>
        <v>47518</v>
      </c>
      <c r="C638" s="55" t="s">
        <v>1</v>
      </c>
      <c r="D638" s="56">
        <f t="shared" si="496"/>
        <v>47524</v>
      </c>
      <c r="E638" s="52">
        <f t="shared" si="497"/>
        <v>2</v>
      </c>
      <c r="F638" s="53">
        <f t="shared" si="498"/>
        <v>2030</v>
      </c>
      <c r="G638" s="62">
        <f t="shared" si="492"/>
        <v>15</v>
      </c>
      <c r="H638" s="63">
        <f t="shared" si="493"/>
        <v>96</v>
      </c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80"/>
      <c r="AG638" s="87">
        <f t="shared" si="453"/>
        <v>0</v>
      </c>
      <c r="AH638" s="87">
        <f t="shared" si="454"/>
        <v>0</v>
      </c>
      <c r="AI638" s="87">
        <f t="shared" si="455"/>
        <v>0</v>
      </c>
      <c r="AJ638" s="87">
        <f t="shared" si="456"/>
        <v>0</v>
      </c>
      <c r="AK638" s="87">
        <f t="shared" si="457"/>
        <v>0</v>
      </c>
      <c r="AL638" s="87">
        <f t="shared" si="458"/>
        <v>0</v>
      </c>
      <c r="AM638" s="87">
        <f t="shared" si="459"/>
        <v>0</v>
      </c>
      <c r="AN638" s="87">
        <f t="shared" si="460"/>
        <v>0</v>
      </c>
      <c r="AO638" s="87">
        <f t="shared" si="461"/>
        <v>0</v>
      </c>
      <c r="AP638" s="87">
        <f t="shared" si="462"/>
        <v>0</v>
      </c>
      <c r="AQ638" s="87">
        <f t="shared" si="463"/>
        <v>0</v>
      </c>
      <c r="AR638" s="81"/>
      <c r="AS638" s="85">
        <f t="shared" si="464"/>
        <v>0</v>
      </c>
      <c r="AT638" s="85">
        <f t="shared" si="465"/>
        <v>0</v>
      </c>
      <c r="AU638" s="85">
        <f t="shared" si="466"/>
        <v>0</v>
      </c>
      <c r="AV638" s="85">
        <f t="shared" si="467"/>
        <v>0</v>
      </c>
      <c r="AW638" s="85">
        <f t="shared" si="468"/>
        <v>0</v>
      </c>
      <c r="AX638" s="85">
        <f t="shared" si="469"/>
        <v>0</v>
      </c>
      <c r="AY638" s="85">
        <f t="shared" si="470"/>
        <v>0</v>
      </c>
      <c r="AZ638" s="85">
        <f t="shared" si="471"/>
        <v>0</v>
      </c>
      <c r="BA638" s="85">
        <f t="shared" si="472"/>
        <v>0</v>
      </c>
      <c r="BB638" s="85">
        <f t="shared" si="473"/>
        <v>0</v>
      </c>
      <c r="BC638" s="85">
        <f t="shared" si="474"/>
        <v>0</v>
      </c>
      <c r="BD638" s="85">
        <f t="shared" si="475"/>
        <v>0</v>
      </c>
      <c r="BE638" s="85">
        <f t="shared" si="476"/>
        <v>0</v>
      </c>
      <c r="BF638" s="85">
        <f t="shared" si="477"/>
        <v>0</v>
      </c>
      <c r="BG638" s="85">
        <f t="shared" si="478"/>
        <v>0</v>
      </c>
      <c r="BH638" s="85">
        <f t="shared" si="479"/>
        <v>0</v>
      </c>
      <c r="BI638" s="85">
        <f t="shared" si="480"/>
        <v>0</v>
      </c>
      <c r="BJ638" s="85">
        <f t="shared" si="481"/>
        <v>0</v>
      </c>
      <c r="BK638" s="85">
        <f t="shared" si="482"/>
        <v>0</v>
      </c>
      <c r="BL638" s="85">
        <f t="shared" si="483"/>
        <v>0</v>
      </c>
      <c r="BM638" s="85">
        <f t="shared" si="484"/>
        <v>0</v>
      </c>
      <c r="BN638" s="85">
        <f t="shared" si="485"/>
        <v>0</v>
      </c>
      <c r="BO638" s="85">
        <f t="shared" si="486"/>
        <v>0</v>
      </c>
      <c r="BP638" s="85">
        <f t="shared" si="487"/>
        <v>0</v>
      </c>
      <c r="BQ638" s="85">
        <f t="shared" si="488"/>
        <v>0</v>
      </c>
      <c r="BR638" s="85">
        <f t="shared" si="489"/>
        <v>0</v>
      </c>
      <c r="BT638" s="63"/>
      <c r="BU638" s="63"/>
      <c r="BV638" s="63"/>
      <c r="BW638" s="63"/>
      <c r="BX638" s="63"/>
      <c r="BY638" s="63"/>
      <c r="BZ638" s="63"/>
      <c r="CA638" s="63"/>
      <c r="CB638" s="63"/>
      <c r="CC638" s="63"/>
      <c r="CD638" s="63"/>
      <c r="CE638" s="63"/>
      <c r="CF638" s="63"/>
      <c r="CG638" s="63"/>
      <c r="CH638" s="63"/>
      <c r="CI638" s="63"/>
      <c r="CJ638" s="63"/>
      <c r="CK638" s="63"/>
      <c r="CL638" s="63"/>
      <c r="CM638" s="63"/>
      <c r="CN638" s="63"/>
      <c r="CO638" s="63"/>
      <c r="CP638" s="63"/>
      <c r="CQ638" s="63"/>
      <c r="CR638" s="63"/>
      <c r="CS638" s="63"/>
      <c r="CX638" s="35" t="s">
        <v>12</v>
      </c>
      <c r="CZ638" s="35"/>
      <c r="DC638" s="57" t="str">
        <f t="shared" si="494"/>
        <v/>
      </c>
      <c r="DD638" s="64" t="str">
        <f t="shared" si="490"/>
        <v/>
      </c>
      <c r="DE638" s="65" t="str">
        <f t="shared" si="491"/>
        <v/>
      </c>
      <c r="DF638" s="66" t="str">
        <f t="shared" si="499"/>
        <v/>
      </c>
    </row>
    <row r="639" spans="2:110">
      <c r="B639" s="54">
        <f t="shared" si="495"/>
        <v>47525</v>
      </c>
      <c r="C639" s="55" t="s">
        <v>1</v>
      </c>
      <c r="D639" s="56">
        <f t="shared" si="496"/>
        <v>47531</v>
      </c>
      <c r="E639" s="52">
        <f t="shared" si="497"/>
        <v>2</v>
      </c>
      <c r="F639" s="53">
        <f t="shared" si="498"/>
        <v>2030</v>
      </c>
      <c r="G639" s="62">
        <f t="shared" si="492"/>
        <v>15</v>
      </c>
      <c r="H639" s="63">
        <f t="shared" si="493"/>
        <v>96</v>
      </c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80"/>
      <c r="AG639" s="87">
        <f t="shared" si="453"/>
        <v>0</v>
      </c>
      <c r="AH639" s="87">
        <f t="shared" si="454"/>
        <v>0</v>
      </c>
      <c r="AI639" s="87">
        <f t="shared" si="455"/>
        <v>0</v>
      </c>
      <c r="AJ639" s="87">
        <f t="shared" si="456"/>
        <v>0</v>
      </c>
      <c r="AK639" s="87">
        <f t="shared" si="457"/>
        <v>0</v>
      </c>
      <c r="AL639" s="87">
        <f t="shared" si="458"/>
        <v>0</v>
      </c>
      <c r="AM639" s="87">
        <f t="shared" si="459"/>
        <v>0</v>
      </c>
      <c r="AN639" s="87">
        <f t="shared" si="460"/>
        <v>0</v>
      </c>
      <c r="AO639" s="87">
        <f t="shared" si="461"/>
        <v>0</v>
      </c>
      <c r="AP639" s="87">
        <f t="shared" si="462"/>
        <v>0</v>
      </c>
      <c r="AQ639" s="87">
        <f t="shared" si="463"/>
        <v>0</v>
      </c>
      <c r="AR639" s="81"/>
      <c r="AS639" s="85">
        <f t="shared" si="464"/>
        <v>0</v>
      </c>
      <c r="AT639" s="85">
        <f t="shared" si="465"/>
        <v>0</v>
      </c>
      <c r="AU639" s="85">
        <f t="shared" si="466"/>
        <v>0</v>
      </c>
      <c r="AV639" s="85">
        <f t="shared" si="467"/>
        <v>0</v>
      </c>
      <c r="AW639" s="85">
        <f t="shared" si="468"/>
        <v>0</v>
      </c>
      <c r="AX639" s="85">
        <f t="shared" si="469"/>
        <v>0</v>
      </c>
      <c r="AY639" s="85">
        <f t="shared" si="470"/>
        <v>0</v>
      </c>
      <c r="AZ639" s="85">
        <f t="shared" si="471"/>
        <v>0</v>
      </c>
      <c r="BA639" s="85">
        <f t="shared" si="472"/>
        <v>0</v>
      </c>
      <c r="BB639" s="85">
        <f t="shared" si="473"/>
        <v>0</v>
      </c>
      <c r="BC639" s="85">
        <f t="shared" si="474"/>
        <v>0</v>
      </c>
      <c r="BD639" s="85">
        <f t="shared" si="475"/>
        <v>0</v>
      </c>
      <c r="BE639" s="85">
        <f t="shared" si="476"/>
        <v>0</v>
      </c>
      <c r="BF639" s="85">
        <f t="shared" si="477"/>
        <v>0</v>
      </c>
      <c r="BG639" s="85">
        <f t="shared" si="478"/>
        <v>0</v>
      </c>
      <c r="BH639" s="85">
        <f t="shared" si="479"/>
        <v>0</v>
      </c>
      <c r="BI639" s="85">
        <f t="shared" si="480"/>
        <v>0</v>
      </c>
      <c r="BJ639" s="85">
        <f t="shared" si="481"/>
        <v>0</v>
      </c>
      <c r="BK639" s="85">
        <f t="shared" si="482"/>
        <v>0</v>
      </c>
      <c r="BL639" s="85">
        <f t="shared" si="483"/>
        <v>0</v>
      </c>
      <c r="BM639" s="85">
        <f t="shared" si="484"/>
        <v>0</v>
      </c>
      <c r="BN639" s="85">
        <f t="shared" si="485"/>
        <v>0</v>
      </c>
      <c r="BO639" s="85">
        <f t="shared" si="486"/>
        <v>0</v>
      </c>
      <c r="BP639" s="85">
        <f t="shared" si="487"/>
        <v>0</v>
      </c>
      <c r="BQ639" s="85">
        <f t="shared" si="488"/>
        <v>0</v>
      </c>
      <c r="BR639" s="85">
        <f t="shared" si="489"/>
        <v>0</v>
      </c>
      <c r="BT639" s="63"/>
      <c r="BU639" s="63"/>
      <c r="BV639" s="63"/>
      <c r="BW639" s="63"/>
      <c r="BX639" s="63"/>
      <c r="BY639" s="63"/>
      <c r="BZ639" s="63"/>
      <c r="CA639" s="63"/>
      <c r="CB639" s="63"/>
      <c r="CC639" s="63"/>
      <c r="CD639" s="63"/>
      <c r="CE639" s="63"/>
      <c r="CF639" s="63"/>
      <c r="CG639" s="63"/>
      <c r="CH639" s="63"/>
      <c r="CI639" s="63"/>
      <c r="CJ639" s="63"/>
      <c r="CK639" s="63"/>
      <c r="CL639" s="63"/>
      <c r="CM639" s="63"/>
      <c r="CN639" s="63"/>
      <c r="CO639" s="63"/>
      <c r="CP639" s="63"/>
      <c r="CQ639" s="63"/>
      <c r="CR639" s="63"/>
      <c r="CS639" s="63"/>
      <c r="CX639" s="35" t="s">
        <v>12</v>
      </c>
      <c r="CZ639" s="35"/>
      <c r="DC639" s="57" t="str">
        <f t="shared" si="494"/>
        <v/>
      </c>
      <c r="DD639" s="64" t="str">
        <f t="shared" si="490"/>
        <v/>
      </c>
      <c r="DE639" s="65" t="str">
        <f t="shared" si="491"/>
        <v/>
      </c>
      <c r="DF639" s="66" t="str">
        <f t="shared" si="499"/>
        <v/>
      </c>
    </row>
    <row r="640" spans="2:110">
      <c r="B640" s="54">
        <f t="shared" si="495"/>
        <v>47532</v>
      </c>
      <c r="C640" s="55" t="s">
        <v>1</v>
      </c>
      <c r="D640" s="56">
        <f t="shared" si="496"/>
        <v>47538</v>
      </c>
      <c r="E640" s="52">
        <f t="shared" si="497"/>
        <v>2</v>
      </c>
      <c r="F640" s="53">
        <f t="shared" si="498"/>
        <v>2030</v>
      </c>
      <c r="G640" s="62">
        <f t="shared" si="492"/>
        <v>15</v>
      </c>
      <c r="H640" s="63">
        <f t="shared" si="493"/>
        <v>96</v>
      </c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80"/>
      <c r="AG640" s="87">
        <f t="shared" si="453"/>
        <v>0</v>
      </c>
      <c r="AH640" s="87">
        <f t="shared" si="454"/>
        <v>0</v>
      </c>
      <c r="AI640" s="87">
        <f t="shared" si="455"/>
        <v>0</v>
      </c>
      <c r="AJ640" s="87">
        <f t="shared" si="456"/>
        <v>0</v>
      </c>
      <c r="AK640" s="87">
        <f t="shared" si="457"/>
        <v>0</v>
      </c>
      <c r="AL640" s="87">
        <f t="shared" si="458"/>
        <v>0</v>
      </c>
      <c r="AM640" s="87">
        <f t="shared" si="459"/>
        <v>0</v>
      </c>
      <c r="AN640" s="87">
        <f t="shared" si="460"/>
        <v>0</v>
      </c>
      <c r="AO640" s="87">
        <f t="shared" si="461"/>
        <v>0</v>
      </c>
      <c r="AP640" s="87">
        <f t="shared" si="462"/>
        <v>0</v>
      </c>
      <c r="AQ640" s="87">
        <f t="shared" si="463"/>
        <v>0</v>
      </c>
      <c r="AR640" s="81"/>
      <c r="AS640" s="85">
        <f t="shared" si="464"/>
        <v>0</v>
      </c>
      <c r="AT640" s="85">
        <f t="shared" si="465"/>
        <v>0</v>
      </c>
      <c r="AU640" s="85">
        <f t="shared" si="466"/>
        <v>0</v>
      </c>
      <c r="AV640" s="85">
        <f t="shared" si="467"/>
        <v>0</v>
      </c>
      <c r="AW640" s="85">
        <f t="shared" si="468"/>
        <v>0</v>
      </c>
      <c r="AX640" s="85">
        <f t="shared" si="469"/>
        <v>0</v>
      </c>
      <c r="AY640" s="85">
        <f t="shared" si="470"/>
        <v>0</v>
      </c>
      <c r="AZ640" s="85">
        <f t="shared" si="471"/>
        <v>0</v>
      </c>
      <c r="BA640" s="85">
        <f t="shared" si="472"/>
        <v>0</v>
      </c>
      <c r="BB640" s="85">
        <f t="shared" si="473"/>
        <v>0</v>
      </c>
      <c r="BC640" s="85">
        <f t="shared" si="474"/>
        <v>0</v>
      </c>
      <c r="BD640" s="85">
        <f t="shared" si="475"/>
        <v>0</v>
      </c>
      <c r="BE640" s="85">
        <f t="shared" si="476"/>
        <v>0</v>
      </c>
      <c r="BF640" s="85">
        <f t="shared" si="477"/>
        <v>0</v>
      </c>
      <c r="BG640" s="85">
        <f t="shared" si="478"/>
        <v>0</v>
      </c>
      <c r="BH640" s="85">
        <f t="shared" si="479"/>
        <v>0</v>
      </c>
      <c r="BI640" s="85">
        <f t="shared" si="480"/>
        <v>0</v>
      </c>
      <c r="BJ640" s="85">
        <f t="shared" si="481"/>
        <v>0</v>
      </c>
      <c r="BK640" s="85">
        <f t="shared" si="482"/>
        <v>0</v>
      </c>
      <c r="BL640" s="85">
        <f t="shared" si="483"/>
        <v>0</v>
      </c>
      <c r="BM640" s="85">
        <f t="shared" si="484"/>
        <v>0</v>
      </c>
      <c r="BN640" s="85">
        <f t="shared" si="485"/>
        <v>0</v>
      </c>
      <c r="BO640" s="85">
        <f t="shared" si="486"/>
        <v>0</v>
      </c>
      <c r="BP640" s="85">
        <f t="shared" si="487"/>
        <v>0</v>
      </c>
      <c r="BQ640" s="85">
        <f t="shared" si="488"/>
        <v>0</v>
      </c>
      <c r="BR640" s="85">
        <f t="shared" si="489"/>
        <v>0</v>
      </c>
      <c r="BT640" s="63"/>
      <c r="BU640" s="63"/>
      <c r="BV640" s="63"/>
      <c r="BW640" s="63"/>
      <c r="BX640" s="63"/>
      <c r="BY640" s="63"/>
      <c r="BZ640" s="63"/>
      <c r="CA640" s="63"/>
      <c r="CB640" s="63"/>
      <c r="CC640" s="63"/>
      <c r="CD640" s="63"/>
      <c r="CE640" s="63"/>
      <c r="CF640" s="63"/>
      <c r="CG640" s="63"/>
      <c r="CH640" s="63"/>
      <c r="CI640" s="63"/>
      <c r="CJ640" s="63"/>
      <c r="CK640" s="63"/>
      <c r="CL640" s="63"/>
      <c r="CM640" s="63"/>
      <c r="CN640" s="63"/>
      <c r="CO640" s="63"/>
      <c r="CP640" s="63"/>
      <c r="CQ640" s="63"/>
      <c r="CR640" s="63"/>
      <c r="CS640" s="63"/>
      <c r="CX640" s="35" t="s">
        <v>12</v>
      </c>
      <c r="CZ640" s="35"/>
      <c r="DC640" s="57" t="str">
        <f t="shared" si="494"/>
        <v/>
      </c>
      <c r="DD640" s="64" t="str">
        <f t="shared" si="490"/>
        <v/>
      </c>
      <c r="DE640" s="65" t="str">
        <f t="shared" si="491"/>
        <v/>
      </c>
      <c r="DF640" s="66" t="str">
        <f t="shared" si="499"/>
        <v/>
      </c>
    </row>
    <row r="641" spans="2:110">
      <c r="B641" s="54">
        <f t="shared" si="495"/>
        <v>47539</v>
      </c>
      <c r="C641" s="55" t="s">
        <v>1</v>
      </c>
      <c r="D641" s="56">
        <f t="shared" si="496"/>
        <v>47545</v>
      </c>
      <c r="E641" s="52">
        <f t="shared" si="497"/>
        <v>2</v>
      </c>
      <c r="F641" s="53">
        <f t="shared" si="498"/>
        <v>2030</v>
      </c>
      <c r="G641" s="62">
        <f t="shared" si="492"/>
        <v>15</v>
      </c>
      <c r="H641" s="63">
        <f t="shared" si="493"/>
        <v>96</v>
      </c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80"/>
      <c r="AG641" s="87">
        <f t="shared" si="453"/>
        <v>0</v>
      </c>
      <c r="AH641" s="87">
        <f t="shared" si="454"/>
        <v>0</v>
      </c>
      <c r="AI641" s="87">
        <f t="shared" si="455"/>
        <v>0</v>
      </c>
      <c r="AJ641" s="87">
        <f t="shared" si="456"/>
        <v>0</v>
      </c>
      <c r="AK641" s="87">
        <f t="shared" si="457"/>
        <v>0</v>
      </c>
      <c r="AL641" s="87">
        <f t="shared" si="458"/>
        <v>0</v>
      </c>
      <c r="AM641" s="87">
        <f t="shared" si="459"/>
        <v>0</v>
      </c>
      <c r="AN641" s="87">
        <f t="shared" si="460"/>
        <v>0</v>
      </c>
      <c r="AO641" s="87">
        <f t="shared" si="461"/>
        <v>0</v>
      </c>
      <c r="AP641" s="87">
        <f t="shared" si="462"/>
        <v>0</v>
      </c>
      <c r="AQ641" s="87">
        <f t="shared" si="463"/>
        <v>0</v>
      </c>
      <c r="AR641" s="81"/>
      <c r="AS641" s="85">
        <f t="shared" si="464"/>
        <v>0</v>
      </c>
      <c r="AT641" s="85">
        <f t="shared" si="465"/>
        <v>0</v>
      </c>
      <c r="AU641" s="85">
        <f t="shared" si="466"/>
        <v>0</v>
      </c>
      <c r="AV641" s="85">
        <f t="shared" si="467"/>
        <v>0</v>
      </c>
      <c r="AW641" s="85">
        <f t="shared" si="468"/>
        <v>0</v>
      </c>
      <c r="AX641" s="85">
        <f t="shared" si="469"/>
        <v>0</v>
      </c>
      <c r="AY641" s="85">
        <f t="shared" si="470"/>
        <v>0</v>
      </c>
      <c r="AZ641" s="85">
        <f t="shared" si="471"/>
        <v>0</v>
      </c>
      <c r="BA641" s="85">
        <f t="shared" si="472"/>
        <v>0</v>
      </c>
      <c r="BB641" s="85">
        <f t="shared" si="473"/>
        <v>0</v>
      </c>
      <c r="BC641" s="85">
        <f t="shared" si="474"/>
        <v>0</v>
      </c>
      <c r="BD641" s="85">
        <f t="shared" si="475"/>
        <v>0</v>
      </c>
      <c r="BE641" s="85">
        <f t="shared" si="476"/>
        <v>0</v>
      </c>
      <c r="BF641" s="85">
        <f t="shared" si="477"/>
        <v>0</v>
      </c>
      <c r="BG641" s="85">
        <f t="shared" si="478"/>
        <v>0</v>
      </c>
      <c r="BH641" s="85">
        <f t="shared" si="479"/>
        <v>0</v>
      </c>
      <c r="BI641" s="85">
        <f t="shared" si="480"/>
        <v>0</v>
      </c>
      <c r="BJ641" s="85">
        <f t="shared" si="481"/>
        <v>0</v>
      </c>
      <c r="BK641" s="85">
        <f t="shared" si="482"/>
        <v>0</v>
      </c>
      <c r="BL641" s="85">
        <f t="shared" si="483"/>
        <v>0</v>
      </c>
      <c r="BM641" s="85">
        <f t="shared" si="484"/>
        <v>0</v>
      </c>
      <c r="BN641" s="85">
        <f t="shared" si="485"/>
        <v>0</v>
      </c>
      <c r="BO641" s="85">
        <f t="shared" si="486"/>
        <v>0</v>
      </c>
      <c r="BP641" s="85">
        <f t="shared" si="487"/>
        <v>0</v>
      </c>
      <c r="BQ641" s="85">
        <f t="shared" si="488"/>
        <v>0</v>
      </c>
      <c r="BR641" s="85">
        <f t="shared" si="489"/>
        <v>0</v>
      </c>
      <c r="BT641" s="63"/>
      <c r="BU641" s="63"/>
      <c r="BV641" s="63"/>
      <c r="BW641" s="63"/>
      <c r="BX641" s="63"/>
      <c r="BY641" s="63"/>
      <c r="BZ641" s="63"/>
      <c r="CA641" s="63"/>
      <c r="CB641" s="63"/>
      <c r="CC641" s="63"/>
      <c r="CD641" s="63"/>
      <c r="CE641" s="63"/>
      <c r="CF641" s="63"/>
      <c r="CG641" s="63"/>
      <c r="CH641" s="63"/>
      <c r="CI641" s="63"/>
      <c r="CJ641" s="63"/>
      <c r="CK641" s="63"/>
      <c r="CL641" s="63"/>
      <c r="CM641" s="63"/>
      <c r="CN641" s="63"/>
      <c r="CO641" s="63"/>
      <c r="CP641" s="63"/>
      <c r="CQ641" s="63"/>
      <c r="CR641" s="63"/>
      <c r="CS641" s="63"/>
      <c r="CX641" s="35" t="s">
        <v>12</v>
      </c>
      <c r="CZ641" s="35"/>
      <c r="DC641" s="57" t="str">
        <f t="shared" si="494"/>
        <v/>
      </c>
      <c r="DD641" s="64" t="str">
        <f t="shared" si="490"/>
        <v/>
      </c>
      <c r="DE641" s="65" t="str">
        <f t="shared" si="491"/>
        <v/>
      </c>
      <c r="DF641" s="66" t="str">
        <f t="shared" si="499"/>
        <v/>
      </c>
    </row>
    <row r="642" spans="2:110">
      <c r="B642" s="54">
        <f t="shared" si="495"/>
        <v>47546</v>
      </c>
      <c r="C642" s="55" t="s">
        <v>1</v>
      </c>
      <c r="D642" s="56">
        <f t="shared" si="496"/>
        <v>47552</v>
      </c>
      <c r="E642" s="52">
        <f t="shared" si="497"/>
        <v>3</v>
      </c>
      <c r="F642" s="53">
        <f t="shared" si="498"/>
        <v>2030</v>
      </c>
      <c r="G642" s="62">
        <f t="shared" si="492"/>
        <v>15</v>
      </c>
      <c r="H642" s="63">
        <f t="shared" si="493"/>
        <v>96</v>
      </c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80"/>
      <c r="AG642" s="87">
        <f t="shared" si="453"/>
        <v>0</v>
      </c>
      <c r="AH642" s="87">
        <f t="shared" si="454"/>
        <v>0</v>
      </c>
      <c r="AI642" s="87">
        <f t="shared" si="455"/>
        <v>0</v>
      </c>
      <c r="AJ642" s="87">
        <f t="shared" si="456"/>
        <v>0</v>
      </c>
      <c r="AK642" s="87">
        <f t="shared" si="457"/>
        <v>0</v>
      </c>
      <c r="AL642" s="87">
        <f t="shared" si="458"/>
        <v>0</v>
      </c>
      <c r="AM642" s="87">
        <f t="shared" si="459"/>
        <v>0</v>
      </c>
      <c r="AN642" s="87">
        <f t="shared" si="460"/>
        <v>0</v>
      </c>
      <c r="AO642" s="87">
        <f t="shared" si="461"/>
        <v>0</v>
      </c>
      <c r="AP642" s="87">
        <f t="shared" si="462"/>
        <v>0</v>
      </c>
      <c r="AQ642" s="87">
        <f t="shared" si="463"/>
        <v>0</v>
      </c>
      <c r="AR642" s="81"/>
      <c r="AS642" s="85">
        <f t="shared" si="464"/>
        <v>0</v>
      </c>
      <c r="AT642" s="85">
        <f t="shared" si="465"/>
        <v>0</v>
      </c>
      <c r="AU642" s="85">
        <f t="shared" si="466"/>
        <v>0</v>
      </c>
      <c r="AV642" s="85">
        <f t="shared" si="467"/>
        <v>0</v>
      </c>
      <c r="AW642" s="85">
        <f t="shared" si="468"/>
        <v>0</v>
      </c>
      <c r="AX642" s="85">
        <f t="shared" si="469"/>
        <v>0</v>
      </c>
      <c r="AY642" s="85">
        <f t="shared" si="470"/>
        <v>0</v>
      </c>
      <c r="AZ642" s="85">
        <f t="shared" si="471"/>
        <v>0</v>
      </c>
      <c r="BA642" s="85">
        <f t="shared" si="472"/>
        <v>0</v>
      </c>
      <c r="BB642" s="85">
        <f t="shared" si="473"/>
        <v>0</v>
      </c>
      <c r="BC642" s="85">
        <f t="shared" si="474"/>
        <v>0</v>
      </c>
      <c r="BD642" s="85">
        <f t="shared" si="475"/>
        <v>0</v>
      </c>
      <c r="BE642" s="85">
        <f t="shared" si="476"/>
        <v>0</v>
      </c>
      <c r="BF642" s="85">
        <f t="shared" si="477"/>
        <v>0</v>
      </c>
      <c r="BG642" s="85">
        <f t="shared" si="478"/>
        <v>0</v>
      </c>
      <c r="BH642" s="85">
        <f t="shared" si="479"/>
        <v>0</v>
      </c>
      <c r="BI642" s="85">
        <f t="shared" si="480"/>
        <v>0</v>
      </c>
      <c r="BJ642" s="85">
        <f t="shared" si="481"/>
        <v>0</v>
      </c>
      <c r="BK642" s="85">
        <f t="shared" si="482"/>
        <v>0</v>
      </c>
      <c r="BL642" s="85">
        <f t="shared" si="483"/>
        <v>0</v>
      </c>
      <c r="BM642" s="85">
        <f t="shared" si="484"/>
        <v>0</v>
      </c>
      <c r="BN642" s="85">
        <f t="shared" si="485"/>
        <v>0</v>
      </c>
      <c r="BO642" s="85">
        <f t="shared" si="486"/>
        <v>0</v>
      </c>
      <c r="BP642" s="85">
        <f t="shared" si="487"/>
        <v>0</v>
      </c>
      <c r="BQ642" s="85">
        <f t="shared" si="488"/>
        <v>0</v>
      </c>
      <c r="BR642" s="85">
        <f t="shared" si="489"/>
        <v>0</v>
      </c>
      <c r="BT642" s="63"/>
      <c r="BU642" s="63"/>
      <c r="BV642" s="63"/>
      <c r="BW642" s="63"/>
      <c r="BX642" s="63"/>
      <c r="BY642" s="63"/>
      <c r="BZ642" s="63"/>
      <c r="CA642" s="63"/>
      <c r="CB642" s="63"/>
      <c r="CC642" s="63"/>
      <c r="CD642" s="63"/>
      <c r="CE642" s="63"/>
      <c r="CF642" s="63"/>
      <c r="CG642" s="63"/>
      <c r="CH642" s="63"/>
      <c r="CI642" s="63"/>
      <c r="CJ642" s="63"/>
      <c r="CK642" s="63"/>
      <c r="CL642" s="63"/>
      <c r="CM642" s="63"/>
      <c r="CN642" s="63"/>
      <c r="CO642" s="63"/>
      <c r="CP642" s="63"/>
      <c r="CQ642" s="63"/>
      <c r="CR642" s="63"/>
      <c r="CS642" s="63"/>
      <c r="CX642" s="35" t="s">
        <v>12</v>
      </c>
      <c r="CZ642" s="35"/>
      <c r="DC642" s="57" t="str">
        <f t="shared" si="494"/>
        <v/>
      </c>
      <c r="DD642" s="64" t="str">
        <f t="shared" si="490"/>
        <v/>
      </c>
      <c r="DE642" s="65" t="str">
        <f t="shared" si="491"/>
        <v/>
      </c>
      <c r="DF642" s="66" t="str">
        <f t="shared" si="499"/>
        <v/>
      </c>
    </row>
    <row r="643" spans="2:110">
      <c r="B643" s="54">
        <f t="shared" si="495"/>
        <v>47553</v>
      </c>
      <c r="C643" s="55" t="s">
        <v>1</v>
      </c>
      <c r="D643" s="56">
        <f t="shared" si="496"/>
        <v>47559</v>
      </c>
      <c r="E643" s="52">
        <f t="shared" si="497"/>
        <v>3</v>
      </c>
      <c r="F643" s="53">
        <f t="shared" si="498"/>
        <v>2030</v>
      </c>
      <c r="G643" s="62">
        <f t="shared" si="492"/>
        <v>15</v>
      </c>
      <c r="H643" s="63">
        <f t="shared" si="493"/>
        <v>96</v>
      </c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80"/>
      <c r="AG643" s="87">
        <f t="shared" si="453"/>
        <v>0</v>
      </c>
      <c r="AH643" s="87">
        <f t="shared" si="454"/>
        <v>0</v>
      </c>
      <c r="AI643" s="87">
        <f t="shared" si="455"/>
        <v>0</v>
      </c>
      <c r="AJ643" s="87">
        <f t="shared" si="456"/>
        <v>0</v>
      </c>
      <c r="AK643" s="87">
        <f t="shared" si="457"/>
        <v>0</v>
      </c>
      <c r="AL643" s="87">
        <f t="shared" si="458"/>
        <v>0</v>
      </c>
      <c r="AM643" s="87">
        <f t="shared" si="459"/>
        <v>0</v>
      </c>
      <c r="AN643" s="87">
        <f t="shared" si="460"/>
        <v>0</v>
      </c>
      <c r="AO643" s="87">
        <f t="shared" si="461"/>
        <v>0</v>
      </c>
      <c r="AP643" s="87">
        <f t="shared" si="462"/>
        <v>0</v>
      </c>
      <c r="AQ643" s="87">
        <f t="shared" si="463"/>
        <v>0</v>
      </c>
      <c r="AR643" s="81"/>
      <c r="AS643" s="85">
        <f t="shared" si="464"/>
        <v>0</v>
      </c>
      <c r="AT643" s="85">
        <f t="shared" si="465"/>
        <v>0</v>
      </c>
      <c r="AU643" s="85">
        <f t="shared" si="466"/>
        <v>0</v>
      </c>
      <c r="AV643" s="85">
        <f t="shared" si="467"/>
        <v>0</v>
      </c>
      <c r="AW643" s="85">
        <f t="shared" si="468"/>
        <v>0</v>
      </c>
      <c r="AX643" s="85">
        <f t="shared" si="469"/>
        <v>0</v>
      </c>
      <c r="AY643" s="85">
        <f t="shared" si="470"/>
        <v>0</v>
      </c>
      <c r="AZ643" s="85">
        <f t="shared" si="471"/>
        <v>0</v>
      </c>
      <c r="BA643" s="85">
        <f t="shared" si="472"/>
        <v>0</v>
      </c>
      <c r="BB643" s="85">
        <f t="shared" si="473"/>
        <v>0</v>
      </c>
      <c r="BC643" s="85">
        <f t="shared" si="474"/>
        <v>0</v>
      </c>
      <c r="BD643" s="85">
        <f t="shared" si="475"/>
        <v>0</v>
      </c>
      <c r="BE643" s="85">
        <f t="shared" si="476"/>
        <v>0</v>
      </c>
      <c r="BF643" s="85">
        <f t="shared" si="477"/>
        <v>0</v>
      </c>
      <c r="BG643" s="85">
        <f t="shared" si="478"/>
        <v>0</v>
      </c>
      <c r="BH643" s="85">
        <f t="shared" si="479"/>
        <v>0</v>
      </c>
      <c r="BI643" s="85">
        <f t="shared" si="480"/>
        <v>0</v>
      </c>
      <c r="BJ643" s="85">
        <f t="shared" si="481"/>
        <v>0</v>
      </c>
      <c r="BK643" s="85">
        <f t="shared" si="482"/>
        <v>0</v>
      </c>
      <c r="BL643" s="85">
        <f t="shared" si="483"/>
        <v>0</v>
      </c>
      <c r="BM643" s="85">
        <f t="shared" si="484"/>
        <v>0</v>
      </c>
      <c r="BN643" s="85">
        <f t="shared" si="485"/>
        <v>0</v>
      </c>
      <c r="BO643" s="85">
        <f t="shared" si="486"/>
        <v>0</v>
      </c>
      <c r="BP643" s="85">
        <f t="shared" si="487"/>
        <v>0</v>
      </c>
      <c r="BQ643" s="85">
        <f t="shared" si="488"/>
        <v>0</v>
      </c>
      <c r="BR643" s="85">
        <f t="shared" si="489"/>
        <v>0</v>
      </c>
      <c r="BT643" s="63"/>
      <c r="BU643" s="63"/>
      <c r="BV643" s="63"/>
      <c r="BW643" s="63"/>
      <c r="BX643" s="63"/>
      <c r="BY643" s="63"/>
      <c r="BZ643" s="63"/>
      <c r="CA643" s="63"/>
      <c r="CB643" s="63"/>
      <c r="CC643" s="63"/>
      <c r="CD643" s="63"/>
      <c r="CE643" s="63"/>
      <c r="CF643" s="63"/>
      <c r="CG643" s="63"/>
      <c r="CH643" s="63"/>
      <c r="CI643" s="63"/>
      <c r="CJ643" s="63"/>
      <c r="CK643" s="63"/>
      <c r="CL643" s="63"/>
      <c r="CM643" s="63"/>
      <c r="CN643" s="63"/>
      <c r="CO643" s="63"/>
      <c r="CP643" s="63"/>
      <c r="CQ643" s="63"/>
      <c r="CR643" s="63"/>
      <c r="CS643" s="63"/>
      <c r="CX643" s="35" t="s">
        <v>12</v>
      </c>
      <c r="CZ643" s="35"/>
      <c r="DC643" s="57" t="str">
        <f t="shared" si="494"/>
        <v/>
      </c>
      <c r="DD643" s="64" t="str">
        <f t="shared" si="490"/>
        <v/>
      </c>
      <c r="DE643" s="65" t="str">
        <f t="shared" si="491"/>
        <v/>
      </c>
      <c r="DF643" s="66" t="str">
        <f t="shared" si="499"/>
        <v/>
      </c>
    </row>
    <row r="644" spans="2:110">
      <c r="B644" s="54">
        <f t="shared" si="495"/>
        <v>47560</v>
      </c>
      <c r="C644" s="55" t="s">
        <v>1</v>
      </c>
      <c r="D644" s="56">
        <f t="shared" si="496"/>
        <v>47566</v>
      </c>
      <c r="E644" s="52">
        <f t="shared" si="497"/>
        <v>3</v>
      </c>
      <c r="F644" s="53">
        <f t="shared" si="498"/>
        <v>2030</v>
      </c>
      <c r="G644" s="62">
        <f t="shared" si="492"/>
        <v>15</v>
      </c>
      <c r="H644" s="63">
        <f t="shared" si="493"/>
        <v>96</v>
      </c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80"/>
      <c r="AG644" s="87">
        <f t="shared" si="453"/>
        <v>0</v>
      </c>
      <c r="AH644" s="87">
        <f t="shared" si="454"/>
        <v>0</v>
      </c>
      <c r="AI644" s="87">
        <f t="shared" si="455"/>
        <v>0</v>
      </c>
      <c r="AJ644" s="87">
        <f t="shared" si="456"/>
        <v>0</v>
      </c>
      <c r="AK644" s="87">
        <f t="shared" si="457"/>
        <v>0</v>
      </c>
      <c r="AL644" s="87">
        <f t="shared" si="458"/>
        <v>0</v>
      </c>
      <c r="AM644" s="87">
        <f t="shared" si="459"/>
        <v>0</v>
      </c>
      <c r="AN644" s="87">
        <f t="shared" si="460"/>
        <v>0</v>
      </c>
      <c r="AO644" s="87">
        <f t="shared" si="461"/>
        <v>0</v>
      </c>
      <c r="AP644" s="87">
        <f t="shared" si="462"/>
        <v>0</v>
      </c>
      <c r="AQ644" s="87">
        <f t="shared" si="463"/>
        <v>0</v>
      </c>
      <c r="AR644" s="81"/>
      <c r="AS644" s="85">
        <f t="shared" si="464"/>
        <v>0</v>
      </c>
      <c r="AT644" s="85">
        <f t="shared" si="465"/>
        <v>0</v>
      </c>
      <c r="AU644" s="85">
        <f t="shared" si="466"/>
        <v>0</v>
      </c>
      <c r="AV644" s="85">
        <f t="shared" si="467"/>
        <v>0</v>
      </c>
      <c r="AW644" s="85">
        <f t="shared" si="468"/>
        <v>0</v>
      </c>
      <c r="AX644" s="85">
        <f t="shared" si="469"/>
        <v>0</v>
      </c>
      <c r="AY644" s="85">
        <f t="shared" si="470"/>
        <v>0</v>
      </c>
      <c r="AZ644" s="85">
        <f t="shared" si="471"/>
        <v>0</v>
      </c>
      <c r="BA644" s="85">
        <f t="shared" si="472"/>
        <v>0</v>
      </c>
      <c r="BB644" s="85">
        <f t="shared" si="473"/>
        <v>0</v>
      </c>
      <c r="BC644" s="85">
        <f t="shared" si="474"/>
        <v>0</v>
      </c>
      <c r="BD644" s="85">
        <f t="shared" si="475"/>
        <v>0</v>
      </c>
      <c r="BE644" s="85">
        <f t="shared" si="476"/>
        <v>0</v>
      </c>
      <c r="BF644" s="85">
        <f t="shared" si="477"/>
        <v>0</v>
      </c>
      <c r="BG644" s="85">
        <f t="shared" si="478"/>
        <v>0</v>
      </c>
      <c r="BH644" s="85">
        <f t="shared" si="479"/>
        <v>0</v>
      </c>
      <c r="BI644" s="85">
        <f t="shared" si="480"/>
        <v>0</v>
      </c>
      <c r="BJ644" s="85">
        <f t="shared" si="481"/>
        <v>0</v>
      </c>
      <c r="BK644" s="85">
        <f t="shared" si="482"/>
        <v>0</v>
      </c>
      <c r="BL644" s="85">
        <f t="shared" si="483"/>
        <v>0</v>
      </c>
      <c r="BM644" s="85">
        <f t="shared" si="484"/>
        <v>0</v>
      </c>
      <c r="BN644" s="85">
        <f t="shared" si="485"/>
        <v>0</v>
      </c>
      <c r="BO644" s="85">
        <f t="shared" si="486"/>
        <v>0</v>
      </c>
      <c r="BP644" s="85">
        <f t="shared" si="487"/>
        <v>0</v>
      </c>
      <c r="BQ644" s="85">
        <f t="shared" si="488"/>
        <v>0</v>
      </c>
      <c r="BR644" s="85">
        <f t="shared" si="489"/>
        <v>0</v>
      </c>
      <c r="BT644" s="63"/>
      <c r="BU644" s="63"/>
      <c r="BV644" s="63"/>
      <c r="BW644" s="63"/>
      <c r="BX644" s="63"/>
      <c r="BY644" s="63"/>
      <c r="BZ644" s="63"/>
      <c r="CA644" s="63"/>
      <c r="CB644" s="63"/>
      <c r="CC644" s="63"/>
      <c r="CD644" s="63"/>
      <c r="CE644" s="63"/>
      <c r="CF644" s="63"/>
      <c r="CG644" s="63"/>
      <c r="CH644" s="63"/>
      <c r="CI644" s="63"/>
      <c r="CJ644" s="63"/>
      <c r="CK644" s="63"/>
      <c r="CL644" s="63"/>
      <c r="CM644" s="63"/>
      <c r="CN644" s="63"/>
      <c r="CO644" s="63"/>
      <c r="CP644" s="63"/>
      <c r="CQ644" s="63"/>
      <c r="CR644" s="63"/>
      <c r="CS644" s="63"/>
      <c r="CX644" s="35" t="s">
        <v>12</v>
      </c>
      <c r="CZ644" s="35"/>
      <c r="DC644" s="57" t="str">
        <f t="shared" si="494"/>
        <v/>
      </c>
      <c r="DD644" s="64" t="str">
        <f t="shared" si="490"/>
        <v/>
      </c>
      <c r="DE644" s="65" t="str">
        <f t="shared" si="491"/>
        <v/>
      </c>
      <c r="DF644" s="66" t="str">
        <f t="shared" si="499"/>
        <v/>
      </c>
    </row>
    <row r="645" spans="2:110">
      <c r="B645" s="54">
        <f t="shared" si="495"/>
        <v>47567</v>
      </c>
      <c r="C645" s="55" t="s">
        <v>1</v>
      </c>
      <c r="D645" s="56">
        <f t="shared" si="496"/>
        <v>47573</v>
      </c>
      <c r="E645" s="52">
        <f t="shared" si="497"/>
        <v>3</v>
      </c>
      <c r="F645" s="53">
        <f t="shared" si="498"/>
        <v>2030</v>
      </c>
      <c r="G645" s="62">
        <f t="shared" si="492"/>
        <v>15</v>
      </c>
      <c r="H645" s="63">
        <f t="shared" si="493"/>
        <v>96</v>
      </c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80"/>
      <c r="AG645" s="87">
        <f t="shared" si="453"/>
        <v>0</v>
      </c>
      <c r="AH645" s="87">
        <f t="shared" si="454"/>
        <v>0</v>
      </c>
      <c r="AI645" s="87">
        <f t="shared" si="455"/>
        <v>0</v>
      </c>
      <c r="AJ645" s="87">
        <f t="shared" si="456"/>
        <v>0</v>
      </c>
      <c r="AK645" s="87">
        <f t="shared" si="457"/>
        <v>0</v>
      </c>
      <c r="AL645" s="87">
        <f t="shared" si="458"/>
        <v>0</v>
      </c>
      <c r="AM645" s="87">
        <f t="shared" si="459"/>
        <v>0</v>
      </c>
      <c r="AN645" s="87">
        <f t="shared" si="460"/>
        <v>0</v>
      </c>
      <c r="AO645" s="87">
        <f t="shared" si="461"/>
        <v>0</v>
      </c>
      <c r="AP645" s="87">
        <f t="shared" si="462"/>
        <v>0</v>
      </c>
      <c r="AQ645" s="87">
        <f t="shared" si="463"/>
        <v>0</v>
      </c>
      <c r="AR645" s="81"/>
      <c r="AS645" s="85">
        <f t="shared" si="464"/>
        <v>0</v>
      </c>
      <c r="AT645" s="85">
        <f t="shared" si="465"/>
        <v>0</v>
      </c>
      <c r="AU645" s="85">
        <f t="shared" si="466"/>
        <v>0</v>
      </c>
      <c r="AV645" s="85">
        <f t="shared" si="467"/>
        <v>0</v>
      </c>
      <c r="AW645" s="85">
        <f t="shared" si="468"/>
        <v>0</v>
      </c>
      <c r="AX645" s="85">
        <f t="shared" si="469"/>
        <v>0</v>
      </c>
      <c r="AY645" s="85">
        <f t="shared" si="470"/>
        <v>0</v>
      </c>
      <c r="AZ645" s="85">
        <f t="shared" si="471"/>
        <v>0</v>
      </c>
      <c r="BA645" s="85">
        <f t="shared" si="472"/>
        <v>0</v>
      </c>
      <c r="BB645" s="85">
        <f t="shared" si="473"/>
        <v>0</v>
      </c>
      <c r="BC645" s="85">
        <f t="shared" si="474"/>
        <v>0</v>
      </c>
      <c r="BD645" s="85">
        <f t="shared" si="475"/>
        <v>0</v>
      </c>
      <c r="BE645" s="85">
        <f t="shared" si="476"/>
        <v>0</v>
      </c>
      <c r="BF645" s="85">
        <f t="shared" si="477"/>
        <v>0</v>
      </c>
      <c r="BG645" s="85">
        <f t="shared" si="478"/>
        <v>0</v>
      </c>
      <c r="BH645" s="85">
        <f t="shared" si="479"/>
        <v>0</v>
      </c>
      <c r="BI645" s="85">
        <f t="shared" si="480"/>
        <v>0</v>
      </c>
      <c r="BJ645" s="85">
        <f t="shared" si="481"/>
        <v>0</v>
      </c>
      <c r="BK645" s="85">
        <f t="shared" si="482"/>
        <v>0</v>
      </c>
      <c r="BL645" s="85">
        <f t="shared" si="483"/>
        <v>0</v>
      </c>
      <c r="BM645" s="85">
        <f t="shared" si="484"/>
        <v>0</v>
      </c>
      <c r="BN645" s="85">
        <f t="shared" si="485"/>
        <v>0</v>
      </c>
      <c r="BO645" s="85">
        <f t="shared" si="486"/>
        <v>0</v>
      </c>
      <c r="BP645" s="85">
        <f t="shared" si="487"/>
        <v>0</v>
      </c>
      <c r="BQ645" s="85">
        <f t="shared" si="488"/>
        <v>0</v>
      </c>
      <c r="BR645" s="85">
        <f t="shared" si="489"/>
        <v>0</v>
      </c>
      <c r="BT645" s="63"/>
      <c r="BU645" s="63"/>
      <c r="BV645" s="63"/>
      <c r="BW645" s="63"/>
      <c r="BX645" s="63"/>
      <c r="BY645" s="63"/>
      <c r="BZ645" s="63"/>
      <c r="CA645" s="63"/>
      <c r="CB645" s="63"/>
      <c r="CC645" s="63"/>
      <c r="CD645" s="63"/>
      <c r="CE645" s="63"/>
      <c r="CF645" s="63"/>
      <c r="CG645" s="63"/>
      <c r="CH645" s="63"/>
      <c r="CI645" s="63"/>
      <c r="CJ645" s="63"/>
      <c r="CK645" s="63"/>
      <c r="CL645" s="63"/>
      <c r="CM645" s="63"/>
      <c r="CN645" s="63"/>
      <c r="CO645" s="63"/>
      <c r="CP645" s="63"/>
      <c r="CQ645" s="63"/>
      <c r="CR645" s="63"/>
      <c r="CS645" s="63"/>
      <c r="CX645" s="35" t="s">
        <v>12</v>
      </c>
      <c r="CZ645" s="35"/>
      <c r="DC645" s="57" t="str">
        <f t="shared" si="494"/>
        <v/>
      </c>
      <c r="DD645" s="64" t="str">
        <f t="shared" si="490"/>
        <v/>
      </c>
      <c r="DE645" s="65" t="str">
        <f t="shared" si="491"/>
        <v/>
      </c>
      <c r="DF645" s="66" t="str">
        <f t="shared" si="499"/>
        <v/>
      </c>
    </row>
    <row r="646" spans="2:110">
      <c r="B646" s="54">
        <f t="shared" si="495"/>
        <v>47574</v>
      </c>
      <c r="C646" s="55" t="s">
        <v>1</v>
      </c>
      <c r="D646" s="56">
        <f t="shared" si="496"/>
        <v>47580</v>
      </c>
      <c r="E646" s="52">
        <f t="shared" si="497"/>
        <v>4</v>
      </c>
      <c r="F646" s="53">
        <f t="shared" si="498"/>
        <v>2030</v>
      </c>
      <c r="G646" s="62">
        <f t="shared" si="492"/>
        <v>15</v>
      </c>
      <c r="H646" s="63">
        <f t="shared" si="493"/>
        <v>96</v>
      </c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80"/>
      <c r="AG646" s="87">
        <f t="shared" si="453"/>
        <v>0</v>
      </c>
      <c r="AH646" s="87">
        <f t="shared" si="454"/>
        <v>0</v>
      </c>
      <c r="AI646" s="87">
        <f t="shared" si="455"/>
        <v>0</v>
      </c>
      <c r="AJ646" s="87">
        <f t="shared" si="456"/>
        <v>0</v>
      </c>
      <c r="AK646" s="87">
        <f t="shared" si="457"/>
        <v>0</v>
      </c>
      <c r="AL646" s="87">
        <f t="shared" si="458"/>
        <v>0</v>
      </c>
      <c r="AM646" s="87">
        <f t="shared" si="459"/>
        <v>0</v>
      </c>
      <c r="AN646" s="87">
        <f t="shared" si="460"/>
        <v>0</v>
      </c>
      <c r="AO646" s="87">
        <f t="shared" si="461"/>
        <v>0</v>
      </c>
      <c r="AP646" s="87">
        <f t="shared" si="462"/>
        <v>0</v>
      </c>
      <c r="AQ646" s="87">
        <f t="shared" si="463"/>
        <v>0</v>
      </c>
      <c r="AR646" s="81"/>
      <c r="AS646" s="85">
        <f t="shared" si="464"/>
        <v>0</v>
      </c>
      <c r="AT646" s="85">
        <f t="shared" si="465"/>
        <v>0</v>
      </c>
      <c r="AU646" s="85">
        <f t="shared" si="466"/>
        <v>0</v>
      </c>
      <c r="AV646" s="85">
        <f t="shared" si="467"/>
        <v>0</v>
      </c>
      <c r="AW646" s="85">
        <f t="shared" si="468"/>
        <v>0</v>
      </c>
      <c r="AX646" s="85">
        <f t="shared" si="469"/>
        <v>0</v>
      </c>
      <c r="AY646" s="85">
        <f t="shared" si="470"/>
        <v>0</v>
      </c>
      <c r="AZ646" s="85">
        <f t="shared" si="471"/>
        <v>0</v>
      </c>
      <c r="BA646" s="85">
        <f t="shared" si="472"/>
        <v>0</v>
      </c>
      <c r="BB646" s="85">
        <f t="shared" si="473"/>
        <v>0</v>
      </c>
      <c r="BC646" s="85">
        <f t="shared" si="474"/>
        <v>0</v>
      </c>
      <c r="BD646" s="85">
        <f t="shared" si="475"/>
        <v>0</v>
      </c>
      <c r="BE646" s="85">
        <f t="shared" si="476"/>
        <v>0</v>
      </c>
      <c r="BF646" s="85">
        <f t="shared" si="477"/>
        <v>0</v>
      </c>
      <c r="BG646" s="85">
        <f t="shared" si="478"/>
        <v>0</v>
      </c>
      <c r="BH646" s="85">
        <f t="shared" si="479"/>
        <v>0</v>
      </c>
      <c r="BI646" s="85">
        <f t="shared" si="480"/>
        <v>0</v>
      </c>
      <c r="BJ646" s="85">
        <f t="shared" si="481"/>
        <v>0</v>
      </c>
      <c r="BK646" s="85">
        <f t="shared" si="482"/>
        <v>0</v>
      </c>
      <c r="BL646" s="85">
        <f t="shared" si="483"/>
        <v>0</v>
      </c>
      <c r="BM646" s="85">
        <f t="shared" si="484"/>
        <v>0</v>
      </c>
      <c r="BN646" s="85">
        <f t="shared" si="485"/>
        <v>0</v>
      </c>
      <c r="BO646" s="85">
        <f t="shared" si="486"/>
        <v>0</v>
      </c>
      <c r="BP646" s="85">
        <f t="shared" si="487"/>
        <v>0</v>
      </c>
      <c r="BQ646" s="85">
        <f t="shared" si="488"/>
        <v>0</v>
      </c>
      <c r="BR646" s="85">
        <f t="shared" si="489"/>
        <v>0</v>
      </c>
      <c r="BT646" s="63"/>
      <c r="BU646" s="63"/>
      <c r="BV646" s="63"/>
      <c r="BW646" s="63"/>
      <c r="BX646" s="63"/>
      <c r="BY646" s="63"/>
      <c r="BZ646" s="63"/>
      <c r="CA646" s="63"/>
      <c r="CB646" s="63"/>
      <c r="CC646" s="63"/>
      <c r="CD646" s="63"/>
      <c r="CE646" s="63"/>
      <c r="CF646" s="63"/>
      <c r="CG646" s="63"/>
      <c r="CH646" s="63"/>
      <c r="CI646" s="63"/>
      <c r="CJ646" s="63"/>
      <c r="CK646" s="63"/>
      <c r="CL646" s="63"/>
      <c r="CM646" s="63"/>
      <c r="CN646" s="63"/>
      <c r="CO646" s="63"/>
      <c r="CP646" s="63"/>
      <c r="CQ646" s="63"/>
      <c r="CR646" s="63"/>
      <c r="CS646" s="63"/>
      <c r="CX646" s="35" t="s">
        <v>12</v>
      </c>
      <c r="CZ646" s="35"/>
      <c r="DC646" s="57" t="str">
        <f t="shared" si="494"/>
        <v/>
      </c>
      <c r="DD646" s="64" t="str">
        <f t="shared" si="490"/>
        <v/>
      </c>
      <c r="DE646" s="65" t="str">
        <f t="shared" si="491"/>
        <v/>
      </c>
      <c r="DF646" s="66" t="str">
        <f t="shared" si="499"/>
        <v/>
      </c>
    </row>
    <row r="647" spans="2:110">
      <c r="B647" s="54">
        <f t="shared" si="495"/>
        <v>47581</v>
      </c>
      <c r="C647" s="55" t="s">
        <v>1</v>
      </c>
      <c r="D647" s="56">
        <f t="shared" si="496"/>
        <v>47587</v>
      </c>
      <c r="E647" s="52">
        <f t="shared" si="497"/>
        <v>4</v>
      </c>
      <c r="F647" s="53">
        <f t="shared" si="498"/>
        <v>2030</v>
      </c>
      <c r="G647" s="62">
        <f t="shared" si="492"/>
        <v>15</v>
      </c>
      <c r="H647" s="63">
        <f t="shared" si="493"/>
        <v>96</v>
      </c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80"/>
      <c r="AG647" s="87">
        <f t="shared" ref="AG647:AG685" si="500">IF(I647&gt;0,I647,IF(U647=1,$B647+2,IF(U646=1,1,IF(U646=2,0,IF(AG646=$G646,0,(IF(AG646&gt;=1,AG646+1,0)))))))</f>
        <v>0</v>
      </c>
      <c r="AH647" s="87">
        <f t="shared" ref="AH647:AH685" si="501">IF(J647&gt;0,J647,IF(V647=1,$B647+2,IF(V646=1,1,IF(V646=2,0,IF(AH646=$G646,0,(IF(AH646&gt;=1,AH646+1,0)))))))</f>
        <v>0</v>
      </c>
      <c r="AI647" s="87">
        <f t="shared" ref="AI647:AI685" si="502">IF(K647&gt;0,K647,IF(W647=1,$B647+2,IF(W646=1,1,IF(W646=2,0,IF(AI646=$G646,0,(IF(AI646&gt;=1,AI646+1,0)))))))</f>
        <v>0</v>
      </c>
      <c r="AJ647" s="87">
        <f t="shared" ref="AJ647:AJ685" si="503">IF(L647&gt;0,L647,IF(X647=1,$B647+2,IF(X646=1,1,IF(X646=2,0,IF(AJ646=$G646,0,(IF(AJ646&gt;=1,AJ646+1,0)))))))</f>
        <v>0</v>
      </c>
      <c r="AK647" s="87">
        <f t="shared" ref="AK647:AK685" si="504">IF(M647&gt;0,M647,IF(Y647=1,$B647+2,IF(Y646=1,1,IF(Y646=2,0,IF(AK646=$G646,0,(IF(AK646&gt;=1,AK646+1,0)))))))</f>
        <v>0</v>
      </c>
      <c r="AL647" s="87">
        <f t="shared" ref="AL647:AL685" si="505">IF(N647&gt;0,N647,IF(Z647=1,$B647+2,IF(Z646=1,1,IF(Z646=2,0,IF(AL646=$G646,0,(IF(AL646&gt;=1,AL646+1,0)))))))</f>
        <v>0</v>
      </c>
      <c r="AM647" s="87">
        <f t="shared" ref="AM647:AM685" si="506">IF(O647&gt;0,O647,IF(AA647=1,$B647+2,IF(AA646=1,1,IF(AA646=2,0,IF(AM646=$G646,0,(IF(AM646&gt;=1,AM646+1,0)))))))</f>
        <v>0</v>
      </c>
      <c r="AN647" s="87">
        <f t="shared" ref="AN647:AN685" si="507">IF(P647&gt;0,P647,IF(AB647=1,$B647+2,IF(AB646=1,1,IF(AB646=2,0,IF(AN646=$G646,0,(IF(AN646&gt;=1,AN646+1,0)))))))</f>
        <v>0</v>
      </c>
      <c r="AO647" s="87">
        <f t="shared" ref="AO647:AO685" si="508">IF(Q647&gt;0,Q647,IF(AC647=1,$B647+2,IF(AC646=1,1,IF(AC646=2,0,IF(AO646=$G646,0,(IF(AO646&gt;=1,AO646+1,0)))))))</f>
        <v>0</v>
      </c>
      <c r="AP647" s="87">
        <f t="shared" ref="AP647:AP685" si="509">IF(R647&gt;0,R647,IF(AD647=1,$B647+2,IF(AD646=1,1,IF(AD646=2,0,IF(AP646=$G646,0,(IF(AP646&gt;=1,AP646+1,0)))))))</f>
        <v>0</v>
      </c>
      <c r="AQ647" s="87">
        <f t="shared" ref="AQ647:AQ685" si="510">IF(S647&gt;0,S647,IF(AE647=1,$B647+2,IF(AE646=1,1,IF(AE646=2,0,IF(AQ646=$G646,0,(IF(AQ646&gt;=1,AQ646+1,0)))))))</f>
        <v>0</v>
      </c>
      <c r="AR647" s="81"/>
      <c r="AS647" s="85">
        <f t="shared" ref="AS647:AS685" si="511">IF(AND(BT647&gt;=$AG$5,BT647&lt;=$AQ$5),LOOKUP(BT647,$AG$5:$AQ$5,$AG647:$AQ647),IF(BT646="A",0,IF(AS646=$H647,0,IF(AS646=0,0,AS646+1))))</f>
        <v>0</v>
      </c>
      <c r="AT647" s="85">
        <f t="shared" ref="AT647:AT685" si="512">IF(AND(BU647&gt;=$AG$5,BU647&lt;=$AQ$5),LOOKUP(BU647,$AG$5:$AQ$5,$AG647:$AQ647),IF(BU646="A",0,IF(AT646=$H647,0,IF(AT646=0,0,AT646+1))))</f>
        <v>0</v>
      </c>
      <c r="AU647" s="85">
        <f t="shared" ref="AU647:AU685" si="513">IF(AND(BV647&gt;=$AG$5,BV647&lt;=$AQ$5),LOOKUP(BV647,$AG$5:$AQ$5,$AG647:$AQ647),IF(BV646="A",0,IF(AU646=$H647,0,IF(AU646=0,0,AU646+1))))</f>
        <v>0</v>
      </c>
      <c r="AV647" s="85">
        <f t="shared" ref="AV647:AV685" si="514">IF(AND(BW647&gt;=$AG$5,BW647&lt;=$AQ$5),LOOKUP(BW647,$AG$5:$AQ$5,$AG647:$AQ647),IF(BW646="A",0,IF(AV646=$H647,0,IF(AV646=0,0,AV646+1))))</f>
        <v>0</v>
      </c>
      <c r="AW647" s="85">
        <f t="shared" ref="AW647:AW685" si="515">IF(AND(BX647&gt;=$AG$5,BX647&lt;=$AQ$5),LOOKUP(BX647,$AG$5:$AQ$5,$AG647:$AQ647),IF(BX646="A",0,IF(AW646=$H647,0,IF(AW646=0,0,AW646+1))))</f>
        <v>0</v>
      </c>
      <c r="AX647" s="85">
        <f t="shared" ref="AX647:AX685" si="516">IF(AND(BY647&gt;=$AG$5,BY647&lt;=$AQ$5),LOOKUP(BY647,$AG$5:$AQ$5,$AG647:$AQ647),IF(BY646="A",0,IF(AX646=$H647,0,IF(AX646=0,0,AX646+1))))</f>
        <v>0</v>
      </c>
      <c r="AY647" s="85">
        <f t="shared" ref="AY647:AY685" si="517">IF(AND(BZ647&gt;=$AG$5,BZ647&lt;=$AQ$5),LOOKUP(BZ647,$AG$5:$AQ$5,$AG647:$AQ647),IF(BZ646="A",0,IF(AY646=$H647,0,IF(AY646=0,0,AY646+1))))</f>
        <v>0</v>
      </c>
      <c r="AZ647" s="85">
        <f t="shared" ref="AZ647:AZ685" si="518">IF(AND(CA647&gt;=$AG$5,CA647&lt;=$AQ$5),LOOKUP(CA647,$AG$5:$AQ$5,$AG647:$AQ647),IF(CA646="A",0,IF(AZ646=$H647,0,IF(AZ646=0,0,AZ646+1))))</f>
        <v>0</v>
      </c>
      <c r="BA647" s="85">
        <f t="shared" ref="BA647:BA685" si="519">IF(AND(CB647&gt;=$AG$5,CB647&lt;=$AQ$5),LOOKUP(CB647,$AG$5:$AQ$5,$AG647:$AQ647),IF(CB646="A",0,IF(BA646=$H647,0,IF(BA646=0,0,BA646+1))))</f>
        <v>0</v>
      </c>
      <c r="BB647" s="85">
        <f t="shared" ref="BB647:BB685" si="520">IF(AND(CC647&gt;=$AG$5,CC647&lt;=$AQ$5),LOOKUP(CC647,$AG$5:$AQ$5,$AG647:$AQ647),IF(CC646="A",0,IF(BB646=$H647,0,IF(BB646=0,0,BB646+1))))</f>
        <v>0</v>
      </c>
      <c r="BC647" s="85">
        <f t="shared" ref="BC647:BC685" si="521">IF(AND(CD647&gt;=$AG$5,CD647&lt;=$AQ$5),LOOKUP(CD647,$AG$5:$AQ$5,$AG647:$AQ647),IF(CD646="A",0,IF(BC646=$H647,0,IF(BC646=0,0,BC646+1))))</f>
        <v>0</v>
      </c>
      <c r="BD647" s="85">
        <f t="shared" ref="BD647:BD685" si="522">IF(AND(CE647&gt;=$AG$5,CE647&lt;=$AQ$5),LOOKUP(CE647,$AG$5:$AQ$5,$AG647:$AQ647),IF(CE646="A",0,IF(BD646=$H647,0,IF(BD646=0,0,BD646+1))))</f>
        <v>0</v>
      </c>
      <c r="BE647" s="85">
        <f t="shared" ref="BE647:BE685" si="523">IF(AND(CF647&gt;=$AG$5,CF647&lt;=$AQ$5),LOOKUP(CF647,$AG$5:$AQ$5,$AG647:$AQ647),IF(CF646="A",0,IF(BE646=$H647,0,IF(BE646=0,0,BE646+1))))</f>
        <v>0</v>
      </c>
      <c r="BF647" s="85">
        <f t="shared" ref="BF647:BF685" si="524">IF(AND(CG647&gt;=$AG$5,CG647&lt;=$AQ$5),LOOKUP(CG647,$AG$5:$AQ$5,$AG647:$AQ647),IF(CG646="A",0,IF(BF646=$H647,0,IF(BF646=0,0,BF646+1))))</f>
        <v>0</v>
      </c>
      <c r="BG647" s="85">
        <f t="shared" ref="BG647:BG685" si="525">IF(AND(CH647&gt;=$AG$5,CH647&lt;=$AQ$5),LOOKUP(CH647,$AG$5:$AQ$5,$AG647:$AQ647),IF(CH646="A",0,IF(BG646=$H647,0,IF(BG646=0,0,BG646+1))))</f>
        <v>0</v>
      </c>
      <c r="BH647" s="85">
        <f t="shared" ref="BH647:BH685" si="526">IF(AND(CI647&gt;=$AG$5,CI647&lt;=$AQ$5),LOOKUP(CI647,$AG$5:$AQ$5,$AG647:$AQ647),IF(CI646="A",0,IF(BH646=$H647,0,IF(BH646=0,0,BH646+1))))</f>
        <v>0</v>
      </c>
      <c r="BI647" s="85">
        <f t="shared" ref="BI647:BI685" si="527">IF(AND(CJ647&gt;=$AG$5,CJ647&lt;=$AQ$5),LOOKUP(CJ647,$AG$5:$AQ$5,$AG647:$AQ647),IF(CJ646="A",0,IF(BI646=$H647,0,IF(BI646=0,0,BI646+1))))</f>
        <v>0</v>
      </c>
      <c r="BJ647" s="85">
        <f t="shared" ref="BJ647:BJ685" si="528">IF(AND(CK647&gt;=$AG$5,CK647&lt;=$AQ$5),LOOKUP(CK647,$AG$5:$AQ$5,$AG647:$AQ647),IF(CK646="A",0,IF(BJ646=$H647,0,IF(BJ646=0,0,BJ646+1))))</f>
        <v>0</v>
      </c>
      <c r="BK647" s="85">
        <f t="shared" ref="BK647:BK685" si="529">IF(AND(CL647&gt;=$AG$5,CL647&lt;=$AQ$5),LOOKUP(CL647,$AG$5:$AQ$5,$AG647:$AQ647),IF(CL646="A",0,IF(BK646=$H647,0,IF(BK646=0,0,BK646+1))))</f>
        <v>0</v>
      </c>
      <c r="BL647" s="85">
        <f t="shared" ref="BL647:BL685" si="530">IF(AND(CM647&gt;=$AG$5,CM647&lt;=$AQ$5),LOOKUP(CM647,$AG$5:$AQ$5,$AG647:$AQ647),IF(CM646="A",0,IF(BL646=$H647,0,IF(BL646=0,0,BL646+1))))</f>
        <v>0</v>
      </c>
      <c r="BM647" s="85">
        <f t="shared" ref="BM647:BM685" si="531">IF(AND(CN647&gt;=$AG$5,CN647&lt;=$AQ$5),LOOKUP(CN647,$AG$5:$AQ$5,$AG647:$AQ647),IF(CN646="A",0,IF(BM646=$H647,0,IF(BM646=0,0,BM646+1))))</f>
        <v>0</v>
      </c>
      <c r="BN647" s="85">
        <f t="shared" ref="BN647:BN685" si="532">IF(AND(CO647&gt;=$AG$5,CO647&lt;=$AQ$5),LOOKUP(CO647,$AG$5:$AQ$5,$AG647:$AQ647),IF(CO646="A",0,IF(BN646=$H647,0,IF(BN646=0,0,BN646+1))))</f>
        <v>0</v>
      </c>
      <c r="BO647" s="85">
        <f t="shared" ref="BO647:BO685" si="533">IF(AND(CP647&gt;=$AG$5,CP647&lt;=$AQ$5),LOOKUP(CP647,$AG$5:$AQ$5,$AG647:$AQ647),IF(CP646="A",0,IF(BO646=$H647,0,IF(BO646=0,0,BO646+1))))</f>
        <v>0</v>
      </c>
      <c r="BP647" s="85">
        <f t="shared" ref="BP647:BP685" si="534">IF(AND(CQ647&gt;=$AG$5,CQ647&lt;=$AQ$5),LOOKUP(CQ647,$AG$5:$AQ$5,$AG647:$AQ647),IF(CQ646="A",0,IF(BP646=$H647,0,IF(BP646=0,0,BP646+1))))</f>
        <v>0</v>
      </c>
      <c r="BQ647" s="85">
        <f t="shared" ref="BQ647:BQ685" si="535">IF(AND(CR647&gt;=$AG$5,CR647&lt;=$AQ$5),LOOKUP(CR647,$AG$5:$AQ$5,$AG647:$AQ647),IF(CR646="A",0,IF(BQ646=$H647,0,IF(BQ646=0,0,BQ646+1))))</f>
        <v>0</v>
      </c>
      <c r="BR647" s="85">
        <f t="shared" ref="BR647:BR685" si="536">IF(AND(CS647&gt;=$AG$5,CS647&lt;=$AQ$5),LOOKUP(CS647,$AG$5:$AQ$5,$AG647:$AQ647),IF(CS646="A",0,IF(BR646=$H647,0,IF(BR646=0,0,BR646+1))))</f>
        <v>0</v>
      </c>
      <c r="BT647" s="63"/>
      <c r="BU647" s="63"/>
      <c r="BV647" s="63"/>
      <c r="BW647" s="63"/>
      <c r="BX647" s="63"/>
      <c r="BY647" s="63"/>
      <c r="BZ647" s="63"/>
      <c r="CA647" s="63"/>
      <c r="CB647" s="63"/>
      <c r="CC647" s="63"/>
      <c r="CD647" s="63"/>
      <c r="CE647" s="63"/>
      <c r="CF647" s="63"/>
      <c r="CG647" s="63"/>
      <c r="CH647" s="63"/>
      <c r="CI647" s="63"/>
      <c r="CJ647" s="63"/>
      <c r="CK647" s="63"/>
      <c r="CL647" s="63"/>
      <c r="CM647" s="63"/>
      <c r="CN647" s="63"/>
      <c r="CO647" s="63"/>
      <c r="CP647" s="63"/>
      <c r="CQ647" s="63"/>
      <c r="CR647" s="63"/>
      <c r="CS647" s="63"/>
      <c r="CX647" s="35" t="s">
        <v>12</v>
      </c>
      <c r="CZ647" s="35"/>
      <c r="DC647" s="57" t="str">
        <f t="shared" si="494"/>
        <v/>
      </c>
      <c r="DD647" s="64" t="str">
        <f t="shared" ref="DD647:DD685" si="537">IF(OR(AND($AG648=1,$AG649=2),OR(AND($AK648=1,$AK649=2),OR(AND($AO648=1,$AO649=2),OR(AND($AI648=1,$AI649=2),OR(AND($AJ648=1,$AJ649),OR(AND($AQ648=1,$AQ649=2,OR(AND($AL648=1,$AL649=2,OR(AND($AM648=1,$AM649=2,OR(AND($AN648=1,$AN649=2))))))))))))),$B647+2,"")</f>
        <v/>
      </c>
      <c r="DE647" s="65" t="str">
        <f t="shared" ref="DE647:DE685" si="538">IF(DD647="","",DD647+(15*7))</f>
        <v/>
      </c>
      <c r="DF647" s="66" t="str">
        <f t="shared" si="499"/>
        <v/>
      </c>
    </row>
    <row r="648" spans="2:110">
      <c r="B648" s="54">
        <f t="shared" si="495"/>
        <v>47588</v>
      </c>
      <c r="C648" s="55" t="s">
        <v>1</v>
      </c>
      <c r="D648" s="56">
        <f t="shared" si="496"/>
        <v>47594</v>
      </c>
      <c r="E648" s="52">
        <f t="shared" si="497"/>
        <v>4</v>
      </c>
      <c r="F648" s="53">
        <f t="shared" si="498"/>
        <v>2030</v>
      </c>
      <c r="G648" s="62">
        <f t="shared" si="492"/>
        <v>15</v>
      </c>
      <c r="H648" s="63">
        <f t="shared" si="493"/>
        <v>96</v>
      </c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80"/>
      <c r="AG648" s="87">
        <f t="shared" si="500"/>
        <v>0</v>
      </c>
      <c r="AH648" s="87">
        <f t="shared" si="501"/>
        <v>0</v>
      </c>
      <c r="AI648" s="87">
        <f t="shared" si="502"/>
        <v>0</v>
      </c>
      <c r="AJ648" s="87">
        <f t="shared" si="503"/>
        <v>0</v>
      </c>
      <c r="AK648" s="87">
        <f t="shared" si="504"/>
        <v>0</v>
      </c>
      <c r="AL648" s="87">
        <f t="shared" si="505"/>
        <v>0</v>
      </c>
      <c r="AM648" s="87">
        <f t="shared" si="506"/>
        <v>0</v>
      </c>
      <c r="AN648" s="87">
        <f t="shared" si="507"/>
        <v>0</v>
      </c>
      <c r="AO648" s="87">
        <f t="shared" si="508"/>
        <v>0</v>
      </c>
      <c r="AP648" s="87">
        <f t="shared" si="509"/>
        <v>0</v>
      </c>
      <c r="AQ648" s="87">
        <f t="shared" si="510"/>
        <v>0</v>
      </c>
      <c r="AR648" s="81"/>
      <c r="AS648" s="85">
        <f t="shared" si="511"/>
        <v>0</v>
      </c>
      <c r="AT648" s="85">
        <f t="shared" si="512"/>
        <v>0</v>
      </c>
      <c r="AU648" s="85">
        <f t="shared" si="513"/>
        <v>0</v>
      </c>
      <c r="AV648" s="85">
        <f t="shared" si="514"/>
        <v>0</v>
      </c>
      <c r="AW648" s="85">
        <f t="shared" si="515"/>
        <v>0</v>
      </c>
      <c r="AX648" s="85">
        <f t="shared" si="516"/>
        <v>0</v>
      </c>
      <c r="AY648" s="85">
        <f t="shared" si="517"/>
        <v>0</v>
      </c>
      <c r="AZ648" s="85">
        <f t="shared" si="518"/>
        <v>0</v>
      </c>
      <c r="BA648" s="85">
        <f t="shared" si="519"/>
        <v>0</v>
      </c>
      <c r="BB648" s="85">
        <f t="shared" si="520"/>
        <v>0</v>
      </c>
      <c r="BC648" s="85">
        <f t="shared" si="521"/>
        <v>0</v>
      </c>
      <c r="BD648" s="85">
        <f t="shared" si="522"/>
        <v>0</v>
      </c>
      <c r="BE648" s="85">
        <f t="shared" si="523"/>
        <v>0</v>
      </c>
      <c r="BF648" s="85">
        <f t="shared" si="524"/>
        <v>0</v>
      </c>
      <c r="BG648" s="85">
        <f t="shared" si="525"/>
        <v>0</v>
      </c>
      <c r="BH648" s="85">
        <f t="shared" si="526"/>
        <v>0</v>
      </c>
      <c r="BI648" s="85">
        <f t="shared" si="527"/>
        <v>0</v>
      </c>
      <c r="BJ648" s="85">
        <f t="shared" si="528"/>
        <v>0</v>
      </c>
      <c r="BK648" s="85">
        <f t="shared" si="529"/>
        <v>0</v>
      </c>
      <c r="BL648" s="85">
        <f t="shared" si="530"/>
        <v>0</v>
      </c>
      <c r="BM648" s="85">
        <f t="shared" si="531"/>
        <v>0</v>
      </c>
      <c r="BN648" s="85">
        <f t="shared" si="532"/>
        <v>0</v>
      </c>
      <c r="BO648" s="85">
        <f t="shared" si="533"/>
        <v>0</v>
      </c>
      <c r="BP648" s="85">
        <f t="shared" si="534"/>
        <v>0</v>
      </c>
      <c r="BQ648" s="85">
        <f t="shared" si="535"/>
        <v>0</v>
      </c>
      <c r="BR648" s="85">
        <f t="shared" si="536"/>
        <v>0</v>
      </c>
      <c r="BT648" s="63"/>
      <c r="BU648" s="63"/>
      <c r="BV648" s="63"/>
      <c r="BW648" s="63"/>
      <c r="BX648" s="63"/>
      <c r="BY648" s="63"/>
      <c r="BZ648" s="63"/>
      <c r="CA648" s="63"/>
      <c r="CB648" s="63"/>
      <c r="CC648" s="63"/>
      <c r="CD648" s="63"/>
      <c r="CE648" s="63"/>
      <c r="CF648" s="63"/>
      <c r="CG648" s="63"/>
      <c r="CH648" s="63"/>
      <c r="CI648" s="63"/>
      <c r="CJ648" s="63"/>
      <c r="CK648" s="63"/>
      <c r="CL648" s="63"/>
      <c r="CM648" s="63"/>
      <c r="CN648" s="63"/>
      <c r="CO648" s="63"/>
      <c r="CP648" s="63"/>
      <c r="CQ648" s="63"/>
      <c r="CR648" s="63"/>
      <c r="CS648" s="63"/>
      <c r="CX648" s="35" t="s">
        <v>12</v>
      </c>
      <c r="CZ648" s="35"/>
      <c r="DC648" s="57" t="str">
        <f t="shared" si="494"/>
        <v/>
      </c>
      <c r="DD648" s="64" t="str">
        <f t="shared" si="537"/>
        <v/>
      </c>
      <c r="DE648" s="65" t="str">
        <f t="shared" si="538"/>
        <v/>
      </c>
      <c r="DF648" s="66" t="str">
        <f t="shared" si="499"/>
        <v/>
      </c>
    </row>
    <row r="649" spans="2:110">
      <c r="B649" s="54">
        <f t="shared" si="495"/>
        <v>47595</v>
      </c>
      <c r="C649" s="55" t="s">
        <v>1</v>
      </c>
      <c r="D649" s="56">
        <f t="shared" si="496"/>
        <v>47601</v>
      </c>
      <c r="E649" s="52">
        <f t="shared" si="497"/>
        <v>4</v>
      </c>
      <c r="F649" s="53">
        <f t="shared" si="498"/>
        <v>2030</v>
      </c>
      <c r="G649" s="62">
        <f t="shared" ref="G649:G685" si="539">G648</f>
        <v>15</v>
      </c>
      <c r="H649" s="63">
        <f t="shared" ref="H649:H685" si="540">H648</f>
        <v>96</v>
      </c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80"/>
      <c r="AG649" s="87">
        <f t="shared" si="500"/>
        <v>0</v>
      </c>
      <c r="AH649" s="87">
        <f t="shared" si="501"/>
        <v>0</v>
      </c>
      <c r="AI649" s="87">
        <f t="shared" si="502"/>
        <v>0</v>
      </c>
      <c r="AJ649" s="87">
        <f t="shared" si="503"/>
        <v>0</v>
      </c>
      <c r="AK649" s="87">
        <f t="shared" si="504"/>
        <v>0</v>
      </c>
      <c r="AL649" s="87">
        <f t="shared" si="505"/>
        <v>0</v>
      </c>
      <c r="AM649" s="87">
        <f t="shared" si="506"/>
        <v>0</v>
      </c>
      <c r="AN649" s="87">
        <f t="shared" si="507"/>
        <v>0</v>
      </c>
      <c r="AO649" s="87">
        <f t="shared" si="508"/>
        <v>0</v>
      </c>
      <c r="AP649" s="87">
        <f t="shared" si="509"/>
        <v>0</v>
      </c>
      <c r="AQ649" s="87">
        <f t="shared" si="510"/>
        <v>0</v>
      </c>
      <c r="AR649" s="81"/>
      <c r="AS649" s="85">
        <f t="shared" si="511"/>
        <v>0</v>
      </c>
      <c r="AT649" s="85">
        <f t="shared" si="512"/>
        <v>0</v>
      </c>
      <c r="AU649" s="85">
        <f t="shared" si="513"/>
        <v>0</v>
      </c>
      <c r="AV649" s="85">
        <f t="shared" si="514"/>
        <v>0</v>
      </c>
      <c r="AW649" s="85">
        <f t="shared" si="515"/>
        <v>0</v>
      </c>
      <c r="AX649" s="85">
        <f t="shared" si="516"/>
        <v>0</v>
      </c>
      <c r="AY649" s="85">
        <f t="shared" si="517"/>
        <v>0</v>
      </c>
      <c r="AZ649" s="85">
        <f t="shared" si="518"/>
        <v>0</v>
      </c>
      <c r="BA649" s="85">
        <f t="shared" si="519"/>
        <v>0</v>
      </c>
      <c r="BB649" s="85">
        <f t="shared" si="520"/>
        <v>0</v>
      </c>
      <c r="BC649" s="85">
        <f t="shared" si="521"/>
        <v>0</v>
      </c>
      <c r="BD649" s="85">
        <f t="shared" si="522"/>
        <v>0</v>
      </c>
      <c r="BE649" s="85">
        <f t="shared" si="523"/>
        <v>0</v>
      </c>
      <c r="BF649" s="85">
        <f t="shared" si="524"/>
        <v>0</v>
      </c>
      <c r="BG649" s="85">
        <f t="shared" si="525"/>
        <v>0</v>
      </c>
      <c r="BH649" s="85">
        <f t="shared" si="526"/>
        <v>0</v>
      </c>
      <c r="BI649" s="85">
        <f t="shared" si="527"/>
        <v>0</v>
      </c>
      <c r="BJ649" s="85">
        <f t="shared" si="528"/>
        <v>0</v>
      </c>
      <c r="BK649" s="85">
        <f t="shared" si="529"/>
        <v>0</v>
      </c>
      <c r="BL649" s="85">
        <f t="shared" si="530"/>
        <v>0</v>
      </c>
      <c r="BM649" s="85">
        <f t="shared" si="531"/>
        <v>0</v>
      </c>
      <c r="BN649" s="85">
        <f t="shared" si="532"/>
        <v>0</v>
      </c>
      <c r="BO649" s="85">
        <f t="shared" si="533"/>
        <v>0</v>
      </c>
      <c r="BP649" s="85">
        <f t="shared" si="534"/>
        <v>0</v>
      </c>
      <c r="BQ649" s="85">
        <f t="shared" si="535"/>
        <v>0</v>
      </c>
      <c r="BR649" s="85">
        <f t="shared" si="536"/>
        <v>0</v>
      </c>
      <c r="BT649" s="63"/>
      <c r="BU649" s="63"/>
      <c r="BV649" s="63"/>
      <c r="BW649" s="63"/>
      <c r="BX649" s="63"/>
      <c r="BY649" s="63"/>
      <c r="BZ649" s="63"/>
      <c r="CA649" s="63"/>
      <c r="CB649" s="63"/>
      <c r="CC649" s="63"/>
      <c r="CD649" s="63"/>
      <c r="CE649" s="63"/>
      <c r="CF649" s="63"/>
      <c r="CG649" s="63"/>
      <c r="CH649" s="63"/>
      <c r="CI649" s="63"/>
      <c r="CJ649" s="63"/>
      <c r="CK649" s="63"/>
      <c r="CL649" s="63"/>
      <c r="CM649" s="63"/>
      <c r="CN649" s="63"/>
      <c r="CO649" s="63"/>
      <c r="CP649" s="63"/>
      <c r="CQ649" s="63"/>
      <c r="CR649" s="63"/>
      <c r="CS649" s="63"/>
      <c r="CX649" s="35" t="s">
        <v>12</v>
      </c>
      <c r="CZ649" s="35"/>
      <c r="DC649" s="57" t="str">
        <f t="shared" si="494"/>
        <v/>
      </c>
      <c r="DD649" s="64" t="str">
        <f t="shared" si="537"/>
        <v/>
      </c>
      <c r="DE649" s="65" t="str">
        <f t="shared" si="538"/>
        <v/>
      </c>
      <c r="DF649" s="66" t="str">
        <f t="shared" si="499"/>
        <v/>
      </c>
    </row>
    <row r="650" spans="2:110">
      <c r="B650" s="54">
        <f t="shared" si="495"/>
        <v>47602</v>
      </c>
      <c r="C650" s="55" t="s">
        <v>1</v>
      </c>
      <c r="D650" s="56">
        <f t="shared" si="496"/>
        <v>47608</v>
      </c>
      <c r="E650" s="52">
        <f t="shared" si="497"/>
        <v>4</v>
      </c>
      <c r="F650" s="53">
        <f t="shared" si="498"/>
        <v>2030</v>
      </c>
      <c r="G650" s="62">
        <f t="shared" si="539"/>
        <v>15</v>
      </c>
      <c r="H650" s="63">
        <f t="shared" si="540"/>
        <v>96</v>
      </c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80"/>
      <c r="AG650" s="87">
        <f t="shared" si="500"/>
        <v>0</v>
      </c>
      <c r="AH650" s="87">
        <f t="shared" si="501"/>
        <v>0</v>
      </c>
      <c r="AI650" s="87">
        <f t="shared" si="502"/>
        <v>0</v>
      </c>
      <c r="AJ650" s="87">
        <f t="shared" si="503"/>
        <v>0</v>
      </c>
      <c r="AK650" s="87">
        <f t="shared" si="504"/>
        <v>0</v>
      </c>
      <c r="AL650" s="87">
        <f t="shared" si="505"/>
        <v>0</v>
      </c>
      <c r="AM650" s="87">
        <f t="shared" si="506"/>
        <v>0</v>
      </c>
      <c r="AN650" s="87">
        <f t="shared" si="507"/>
        <v>0</v>
      </c>
      <c r="AO650" s="87">
        <f t="shared" si="508"/>
        <v>0</v>
      </c>
      <c r="AP650" s="87">
        <f t="shared" si="509"/>
        <v>0</v>
      </c>
      <c r="AQ650" s="87">
        <f t="shared" si="510"/>
        <v>0</v>
      </c>
      <c r="AR650" s="81"/>
      <c r="AS650" s="85">
        <f t="shared" si="511"/>
        <v>0</v>
      </c>
      <c r="AT650" s="85">
        <f t="shared" si="512"/>
        <v>0</v>
      </c>
      <c r="AU650" s="85">
        <f t="shared" si="513"/>
        <v>0</v>
      </c>
      <c r="AV650" s="85">
        <f t="shared" si="514"/>
        <v>0</v>
      </c>
      <c r="AW650" s="85">
        <f t="shared" si="515"/>
        <v>0</v>
      </c>
      <c r="AX650" s="85">
        <f t="shared" si="516"/>
        <v>0</v>
      </c>
      <c r="AY650" s="85">
        <f t="shared" si="517"/>
        <v>0</v>
      </c>
      <c r="AZ650" s="85">
        <f t="shared" si="518"/>
        <v>0</v>
      </c>
      <c r="BA650" s="85">
        <f t="shared" si="519"/>
        <v>0</v>
      </c>
      <c r="BB650" s="85">
        <f t="shared" si="520"/>
        <v>0</v>
      </c>
      <c r="BC650" s="85">
        <f t="shared" si="521"/>
        <v>0</v>
      </c>
      <c r="BD650" s="85">
        <f t="shared" si="522"/>
        <v>0</v>
      </c>
      <c r="BE650" s="85">
        <f t="shared" si="523"/>
        <v>0</v>
      </c>
      <c r="BF650" s="85">
        <f t="shared" si="524"/>
        <v>0</v>
      </c>
      <c r="BG650" s="85">
        <f t="shared" si="525"/>
        <v>0</v>
      </c>
      <c r="BH650" s="85">
        <f t="shared" si="526"/>
        <v>0</v>
      </c>
      <c r="BI650" s="85">
        <f t="shared" si="527"/>
        <v>0</v>
      </c>
      <c r="BJ650" s="85">
        <f t="shared" si="528"/>
        <v>0</v>
      </c>
      <c r="BK650" s="85">
        <f t="shared" si="529"/>
        <v>0</v>
      </c>
      <c r="BL650" s="85">
        <f t="shared" si="530"/>
        <v>0</v>
      </c>
      <c r="BM650" s="85">
        <f t="shared" si="531"/>
        <v>0</v>
      </c>
      <c r="BN650" s="85">
        <f t="shared" si="532"/>
        <v>0</v>
      </c>
      <c r="BO650" s="85">
        <f t="shared" si="533"/>
        <v>0</v>
      </c>
      <c r="BP650" s="85">
        <f t="shared" si="534"/>
        <v>0</v>
      </c>
      <c r="BQ650" s="85">
        <f t="shared" si="535"/>
        <v>0</v>
      </c>
      <c r="BR650" s="85">
        <f t="shared" si="536"/>
        <v>0</v>
      </c>
      <c r="BT650" s="63"/>
      <c r="BU650" s="63"/>
      <c r="BV650" s="63"/>
      <c r="BW650" s="63"/>
      <c r="BX650" s="63"/>
      <c r="BY650" s="63"/>
      <c r="BZ650" s="63"/>
      <c r="CA650" s="63"/>
      <c r="CB650" s="63"/>
      <c r="CC650" s="63"/>
      <c r="CD650" s="63"/>
      <c r="CE650" s="63"/>
      <c r="CF650" s="63"/>
      <c r="CG650" s="63"/>
      <c r="CH650" s="63"/>
      <c r="CI650" s="63"/>
      <c r="CJ650" s="63"/>
      <c r="CK650" s="63"/>
      <c r="CL650" s="63"/>
      <c r="CM650" s="63"/>
      <c r="CN650" s="63"/>
      <c r="CO650" s="63"/>
      <c r="CP650" s="63"/>
      <c r="CQ650" s="63"/>
      <c r="CR650" s="63"/>
      <c r="CS650" s="63"/>
      <c r="CX650" s="35" t="s">
        <v>12</v>
      </c>
      <c r="CZ650" s="35"/>
      <c r="DC650" s="57" t="str">
        <f t="shared" ref="DC650:DC685" si="541">IF(AND(AG650&gt;0,AG649=0),$AG$5,IF(AND(AK650&gt;0,AK649=0),$AK$5,IF(AND(AO650&gt;0,AO649=0),$AO$5,IF(AND(AI650&gt;0,AI649=0),$AI$5,IF(AND(AJ650&gt;0,AJ649=0),$AJ$5,IF(AND(AQ650&gt;0,AQ649=0),$AQ$5,IF(AND(AL650&gt;0,AL649=0),$AL$5,IF(AND(AM650&gt;0,AM649=0),$AM$5,IF(AND(AN650&gt;0,AN649=0),$AN$5,"")))))))))</f>
        <v/>
      </c>
      <c r="DD650" s="64" t="str">
        <f t="shared" si="537"/>
        <v/>
      </c>
      <c r="DE650" s="65" t="str">
        <f t="shared" si="538"/>
        <v/>
      </c>
      <c r="DF650" s="66" t="str">
        <f t="shared" si="499"/>
        <v/>
      </c>
    </row>
    <row r="651" spans="2:110">
      <c r="B651" s="54">
        <f t="shared" si="495"/>
        <v>47609</v>
      </c>
      <c r="C651" s="55" t="s">
        <v>1</v>
      </c>
      <c r="D651" s="56">
        <f t="shared" si="496"/>
        <v>47615</v>
      </c>
      <c r="E651" s="52">
        <f t="shared" si="497"/>
        <v>5</v>
      </c>
      <c r="F651" s="53">
        <f t="shared" si="498"/>
        <v>2030</v>
      </c>
      <c r="G651" s="62">
        <f t="shared" si="539"/>
        <v>15</v>
      </c>
      <c r="H651" s="63">
        <f t="shared" si="540"/>
        <v>96</v>
      </c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80"/>
      <c r="AG651" s="87">
        <f t="shared" si="500"/>
        <v>0</v>
      </c>
      <c r="AH651" s="87">
        <f t="shared" si="501"/>
        <v>0</v>
      </c>
      <c r="AI651" s="87">
        <f t="shared" si="502"/>
        <v>0</v>
      </c>
      <c r="AJ651" s="87">
        <f t="shared" si="503"/>
        <v>0</v>
      </c>
      <c r="AK651" s="87">
        <f t="shared" si="504"/>
        <v>0</v>
      </c>
      <c r="AL651" s="87">
        <f t="shared" si="505"/>
        <v>0</v>
      </c>
      <c r="AM651" s="87">
        <f t="shared" si="506"/>
        <v>0</v>
      </c>
      <c r="AN651" s="87">
        <f t="shared" si="507"/>
        <v>0</v>
      </c>
      <c r="AO651" s="87">
        <f t="shared" si="508"/>
        <v>0</v>
      </c>
      <c r="AP651" s="87">
        <f t="shared" si="509"/>
        <v>0</v>
      </c>
      <c r="AQ651" s="87">
        <f t="shared" si="510"/>
        <v>0</v>
      </c>
      <c r="AR651" s="81"/>
      <c r="AS651" s="85">
        <f t="shared" si="511"/>
        <v>0</v>
      </c>
      <c r="AT651" s="85">
        <f t="shared" si="512"/>
        <v>0</v>
      </c>
      <c r="AU651" s="85">
        <f t="shared" si="513"/>
        <v>0</v>
      </c>
      <c r="AV651" s="85">
        <f t="shared" si="514"/>
        <v>0</v>
      </c>
      <c r="AW651" s="85">
        <f t="shared" si="515"/>
        <v>0</v>
      </c>
      <c r="AX651" s="85">
        <f t="shared" si="516"/>
        <v>0</v>
      </c>
      <c r="AY651" s="85">
        <f t="shared" si="517"/>
        <v>0</v>
      </c>
      <c r="AZ651" s="85">
        <f t="shared" si="518"/>
        <v>0</v>
      </c>
      <c r="BA651" s="85">
        <f t="shared" si="519"/>
        <v>0</v>
      </c>
      <c r="BB651" s="85">
        <f t="shared" si="520"/>
        <v>0</v>
      </c>
      <c r="BC651" s="85">
        <f t="shared" si="521"/>
        <v>0</v>
      </c>
      <c r="BD651" s="85">
        <f t="shared" si="522"/>
        <v>0</v>
      </c>
      <c r="BE651" s="85">
        <f t="shared" si="523"/>
        <v>0</v>
      </c>
      <c r="BF651" s="85">
        <f t="shared" si="524"/>
        <v>0</v>
      </c>
      <c r="BG651" s="85">
        <f t="shared" si="525"/>
        <v>0</v>
      </c>
      <c r="BH651" s="85">
        <f t="shared" si="526"/>
        <v>0</v>
      </c>
      <c r="BI651" s="85">
        <f t="shared" si="527"/>
        <v>0</v>
      </c>
      <c r="BJ651" s="85">
        <f t="shared" si="528"/>
        <v>0</v>
      </c>
      <c r="BK651" s="85">
        <f t="shared" si="529"/>
        <v>0</v>
      </c>
      <c r="BL651" s="85">
        <f t="shared" si="530"/>
        <v>0</v>
      </c>
      <c r="BM651" s="85">
        <f t="shared" si="531"/>
        <v>0</v>
      </c>
      <c r="BN651" s="85">
        <f t="shared" si="532"/>
        <v>0</v>
      </c>
      <c r="BO651" s="85">
        <f t="shared" si="533"/>
        <v>0</v>
      </c>
      <c r="BP651" s="85">
        <f t="shared" si="534"/>
        <v>0</v>
      </c>
      <c r="BQ651" s="85">
        <f t="shared" si="535"/>
        <v>0</v>
      </c>
      <c r="BR651" s="85">
        <f t="shared" si="536"/>
        <v>0</v>
      </c>
      <c r="BT651" s="63"/>
      <c r="BU651" s="63"/>
      <c r="BV651" s="63"/>
      <c r="BW651" s="63"/>
      <c r="BX651" s="63"/>
      <c r="BY651" s="63"/>
      <c r="BZ651" s="63"/>
      <c r="CA651" s="63"/>
      <c r="CB651" s="63"/>
      <c r="CC651" s="63"/>
      <c r="CD651" s="63"/>
      <c r="CE651" s="63"/>
      <c r="CF651" s="63"/>
      <c r="CG651" s="63"/>
      <c r="CH651" s="63"/>
      <c r="CI651" s="63"/>
      <c r="CJ651" s="63"/>
      <c r="CK651" s="63"/>
      <c r="CL651" s="63"/>
      <c r="CM651" s="63"/>
      <c r="CN651" s="63"/>
      <c r="CO651" s="63"/>
      <c r="CP651" s="63"/>
      <c r="CQ651" s="63"/>
      <c r="CR651" s="63"/>
      <c r="CS651" s="63"/>
      <c r="CX651" s="35" t="s">
        <v>12</v>
      </c>
      <c r="CZ651" s="35"/>
      <c r="DC651" s="57" t="str">
        <f t="shared" si="541"/>
        <v/>
      </c>
      <c r="DD651" s="64" t="str">
        <f t="shared" si="537"/>
        <v/>
      </c>
      <c r="DE651" s="65" t="str">
        <f t="shared" si="538"/>
        <v/>
      </c>
      <c r="DF651" s="66" t="str">
        <f t="shared" si="499"/>
        <v/>
      </c>
    </row>
    <row r="652" spans="2:110">
      <c r="B652" s="54">
        <f t="shared" si="495"/>
        <v>47616</v>
      </c>
      <c r="C652" s="55" t="s">
        <v>1</v>
      </c>
      <c r="D652" s="56">
        <f t="shared" si="496"/>
        <v>47622</v>
      </c>
      <c r="E652" s="52">
        <f t="shared" si="497"/>
        <v>5</v>
      </c>
      <c r="F652" s="53">
        <f t="shared" si="498"/>
        <v>2030</v>
      </c>
      <c r="G652" s="62">
        <f t="shared" si="539"/>
        <v>15</v>
      </c>
      <c r="H652" s="63">
        <f t="shared" si="540"/>
        <v>96</v>
      </c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80"/>
      <c r="AG652" s="87">
        <f t="shared" si="500"/>
        <v>0</v>
      </c>
      <c r="AH652" s="87">
        <f t="shared" si="501"/>
        <v>0</v>
      </c>
      <c r="AI652" s="87">
        <f t="shared" si="502"/>
        <v>0</v>
      </c>
      <c r="AJ652" s="87">
        <f t="shared" si="503"/>
        <v>0</v>
      </c>
      <c r="AK652" s="87">
        <f t="shared" si="504"/>
        <v>0</v>
      </c>
      <c r="AL652" s="87">
        <f t="shared" si="505"/>
        <v>0</v>
      </c>
      <c r="AM652" s="87">
        <f t="shared" si="506"/>
        <v>0</v>
      </c>
      <c r="AN652" s="87">
        <f t="shared" si="507"/>
        <v>0</v>
      </c>
      <c r="AO652" s="87">
        <f t="shared" si="508"/>
        <v>0</v>
      </c>
      <c r="AP652" s="87">
        <f t="shared" si="509"/>
        <v>0</v>
      </c>
      <c r="AQ652" s="87">
        <f t="shared" si="510"/>
        <v>0</v>
      </c>
      <c r="AR652" s="81"/>
      <c r="AS652" s="85">
        <f t="shared" si="511"/>
        <v>0</v>
      </c>
      <c r="AT652" s="85">
        <f t="shared" si="512"/>
        <v>0</v>
      </c>
      <c r="AU652" s="85">
        <f t="shared" si="513"/>
        <v>0</v>
      </c>
      <c r="AV652" s="85">
        <f t="shared" si="514"/>
        <v>0</v>
      </c>
      <c r="AW652" s="85">
        <f t="shared" si="515"/>
        <v>0</v>
      </c>
      <c r="AX652" s="85">
        <f t="shared" si="516"/>
        <v>0</v>
      </c>
      <c r="AY652" s="85">
        <f t="shared" si="517"/>
        <v>0</v>
      </c>
      <c r="AZ652" s="85">
        <f t="shared" si="518"/>
        <v>0</v>
      </c>
      <c r="BA652" s="85">
        <f t="shared" si="519"/>
        <v>0</v>
      </c>
      <c r="BB652" s="85">
        <f t="shared" si="520"/>
        <v>0</v>
      </c>
      <c r="BC652" s="85">
        <f t="shared" si="521"/>
        <v>0</v>
      </c>
      <c r="BD652" s="85">
        <f t="shared" si="522"/>
        <v>0</v>
      </c>
      <c r="BE652" s="85">
        <f t="shared" si="523"/>
        <v>0</v>
      </c>
      <c r="BF652" s="85">
        <f t="shared" si="524"/>
        <v>0</v>
      </c>
      <c r="BG652" s="85">
        <f t="shared" si="525"/>
        <v>0</v>
      </c>
      <c r="BH652" s="85">
        <f t="shared" si="526"/>
        <v>0</v>
      </c>
      <c r="BI652" s="85">
        <f t="shared" si="527"/>
        <v>0</v>
      </c>
      <c r="BJ652" s="85">
        <f t="shared" si="528"/>
        <v>0</v>
      </c>
      <c r="BK652" s="85">
        <f t="shared" si="529"/>
        <v>0</v>
      </c>
      <c r="BL652" s="85">
        <f t="shared" si="530"/>
        <v>0</v>
      </c>
      <c r="BM652" s="85">
        <f t="shared" si="531"/>
        <v>0</v>
      </c>
      <c r="BN652" s="85">
        <f t="shared" si="532"/>
        <v>0</v>
      </c>
      <c r="BO652" s="85">
        <f t="shared" si="533"/>
        <v>0</v>
      </c>
      <c r="BP652" s="85">
        <f t="shared" si="534"/>
        <v>0</v>
      </c>
      <c r="BQ652" s="85">
        <f t="shared" si="535"/>
        <v>0</v>
      </c>
      <c r="BR652" s="85">
        <f t="shared" si="536"/>
        <v>0</v>
      </c>
      <c r="BT652" s="63"/>
      <c r="BU652" s="63"/>
      <c r="BV652" s="63"/>
      <c r="BW652" s="63"/>
      <c r="BX652" s="63"/>
      <c r="BY652" s="63"/>
      <c r="BZ652" s="63"/>
      <c r="CA652" s="63"/>
      <c r="CB652" s="63"/>
      <c r="CC652" s="63"/>
      <c r="CD652" s="63"/>
      <c r="CE652" s="63"/>
      <c r="CF652" s="63"/>
      <c r="CG652" s="63"/>
      <c r="CH652" s="63"/>
      <c r="CI652" s="63"/>
      <c r="CJ652" s="63"/>
      <c r="CK652" s="63"/>
      <c r="CL652" s="63"/>
      <c r="CM652" s="63"/>
      <c r="CN652" s="63"/>
      <c r="CO652" s="63"/>
      <c r="CP652" s="63"/>
      <c r="CQ652" s="63"/>
      <c r="CR652" s="63"/>
      <c r="CS652" s="63"/>
      <c r="CX652" s="35" t="s">
        <v>12</v>
      </c>
      <c r="CZ652" s="35"/>
      <c r="DC652" s="57" t="str">
        <f t="shared" si="541"/>
        <v/>
      </c>
      <c r="DD652" s="64" t="str">
        <f t="shared" si="537"/>
        <v/>
      </c>
      <c r="DE652" s="65" t="str">
        <f t="shared" si="538"/>
        <v/>
      </c>
      <c r="DF652" s="66" t="str">
        <f t="shared" si="499"/>
        <v/>
      </c>
    </row>
    <row r="653" spans="2:110">
      <c r="B653" s="54">
        <f t="shared" si="495"/>
        <v>47623</v>
      </c>
      <c r="C653" s="55" t="s">
        <v>1</v>
      </c>
      <c r="D653" s="56">
        <f t="shared" si="496"/>
        <v>47629</v>
      </c>
      <c r="E653" s="52">
        <f t="shared" si="497"/>
        <v>5</v>
      </c>
      <c r="F653" s="53">
        <f t="shared" si="498"/>
        <v>2030</v>
      </c>
      <c r="G653" s="62">
        <f t="shared" si="539"/>
        <v>15</v>
      </c>
      <c r="H653" s="63">
        <f t="shared" si="540"/>
        <v>96</v>
      </c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80"/>
      <c r="AG653" s="87">
        <f t="shared" si="500"/>
        <v>0</v>
      </c>
      <c r="AH653" s="87">
        <f t="shared" si="501"/>
        <v>0</v>
      </c>
      <c r="AI653" s="87">
        <f t="shared" si="502"/>
        <v>0</v>
      </c>
      <c r="AJ653" s="87">
        <f t="shared" si="503"/>
        <v>0</v>
      </c>
      <c r="AK653" s="87">
        <f t="shared" si="504"/>
        <v>0</v>
      </c>
      <c r="AL653" s="87">
        <f t="shared" si="505"/>
        <v>0</v>
      </c>
      <c r="AM653" s="87">
        <f t="shared" si="506"/>
        <v>0</v>
      </c>
      <c r="AN653" s="87">
        <f t="shared" si="507"/>
        <v>0</v>
      </c>
      <c r="AO653" s="87">
        <f t="shared" si="508"/>
        <v>0</v>
      </c>
      <c r="AP653" s="87">
        <f t="shared" si="509"/>
        <v>0</v>
      </c>
      <c r="AQ653" s="87">
        <f t="shared" si="510"/>
        <v>0</v>
      </c>
      <c r="AR653" s="81"/>
      <c r="AS653" s="85">
        <f t="shared" si="511"/>
        <v>0</v>
      </c>
      <c r="AT653" s="85">
        <f t="shared" si="512"/>
        <v>0</v>
      </c>
      <c r="AU653" s="85">
        <f t="shared" si="513"/>
        <v>0</v>
      </c>
      <c r="AV653" s="85">
        <f t="shared" si="514"/>
        <v>0</v>
      </c>
      <c r="AW653" s="85">
        <f t="shared" si="515"/>
        <v>0</v>
      </c>
      <c r="AX653" s="85">
        <f t="shared" si="516"/>
        <v>0</v>
      </c>
      <c r="AY653" s="85">
        <f t="shared" si="517"/>
        <v>0</v>
      </c>
      <c r="AZ653" s="85">
        <f t="shared" si="518"/>
        <v>0</v>
      </c>
      <c r="BA653" s="85">
        <f t="shared" si="519"/>
        <v>0</v>
      </c>
      <c r="BB653" s="85">
        <f t="shared" si="520"/>
        <v>0</v>
      </c>
      <c r="BC653" s="85">
        <f t="shared" si="521"/>
        <v>0</v>
      </c>
      <c r="BD653" s="85">
        <f t="shared" si="522"/>
        <v>0</v>
      </c>
      <c r="BE653" s="85">
        <f t="shared" si="523"/>
        <v>0</v>
      </c>
      <c r="BF653" s="85">
        <f t="shared" si="524"/>
        <v>0</v>
      </c>
      <c r="BG653" s="85">
        <f t="shared" si="525"/>
        <v>0</v>
      </c>
      <c r="BH653" s="85">
        <f t="shared" si="526"/>
        <v>0</v>
      </c>
      <c r="BI653" s="85">
        <f t="shared" si="527"/>
        <v>0</v>
      </c>
      <c r="BJ653" s="85">
        <f t="shared" si="528"/>
        <v>0</v>
      </c>
      <c r="BK653" s="85">
        <f t="shared" si="529"/>
        <v>0</v>
      </c>
      <c r="BL653" s="85">
        <f t="shared" si="530"/>
        <v>0</v>
      </c>
      <c r="BM653" s="85">
        <f t="shared" si="531"/>
        <v>0</v>
      </c>
      <c r="BN653" s="85">
        <f t="shared" si="532"/>
        <v>0</v>
      </c>
      <c r="BO653" s="85">
        <f t="shared" si="533"/>
        <v>0</v>
      </c>
      <c r="BP653" s="85">
        <f t="shared" si="534"/>
        <v>0</v>
      </c>
      <c r="BQ653" s="85">
        <f t="shared" si="535"/>
        <v>0</v>
      </c>
      <c r="BR653" s="85">
        <f t="shared" si="536"/>
        <v>0</v>
      </c>
      <c r="BT653" s="63"/>
      <c r="BU653" s="63"/>
      <c r="BV653" s="63"/>
      <c r="BW653" s="63"/>
      <c r="BX653" s="63"/>
      <c r="BY653" s="63"/>
      <c r="BZ653" s="63"/>
      <c r="CA653" s="63"/>
      <c r="CB653" s="63"/>
      <c r="CC653" s="63"/>
      <c r="CD653" s="63"/>
      <c r="CE653" s="63"/>
      <c r="CF653" s="63"/>
      <c r="CG653" s="63"/>
      <c r="CH653" s="63"/>
      <c r="CI653" s="63"/>
      <c r="CJ653" s="63"/>
      <c r="CK653" s="63"/>
      <c r="CL653" s="63"/>
      <c r="CM653" s="63"/>
      <c r="CN653" s="63"/>
      <c r="CO653" s="63"/>
      <c r="CP653" s="63"/>
      <c r="CQ653" s="63"/>
      <c r="CR653" s="63"/>
      <c r="CS653" s="63"/>
      <c r="CX653" s="35" t="s">
        <v>12</v>
      </c>
      <c r="CZ653" s="35"/>
      <c r="DC653" s="57" t="str">
        <f t="shared" si="541"/>
        <v/>
      </c>
      <c r="DD653" s="64" t="str">
        <f t="shared" si="537"/>
        <v/>
      </c>
      <c r="DE653" s="65" t="str">
        <f t="shared" si="538"/>
        <v/>
      </c>
      <c r="DF653" s="66" t="str">
        <f t="shared" si="499"/>
        <v/>
      </c>
    </row>
    <row r="654" spans="2:110">
      <c r="B654" s="54">
        <f t="shared" si="495"/>
        <v>47630</v>
      </c>
      <c r="C654" s="55" t="s">
        <v>1</v>
      </c>
      <c r="D654" s="56">
        <f t="shared" si="496"/>
        <v>47636</v>
      </c>
      <c r="E654" s="52">
        <f t="shared" si="497"/>
        <v>5</v>
      </c>
      <c r="F654" s="53">
        <f t="shared" si="498"/>
        <v>2030</v>
      </c>
      <c r="G654" s="62">
        <f t="shared" si="539"/>
        <v>15</v>
      </c>
      <c r="H654" s="63">
        <f t="shared" si="540"/>
        <v>96</v>
      </c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80"/>
      <c r="AG654" s="87">
        <f t="shared" si="500"/>
        <v>0</v>
      </c>
      <c r="AH654" s="87">
        <f t="shared" si="501"/>
        <v>0</v>
      </c>
      <c r="AI654" s="87">
        <f t="shared" si="502"/>
        <v>0</v>
      </c>
      <c r="AJ654" s="87">
        <f t="shared" si="503"/>
        <v>0</v>
      </c>
      <c r="AK654" s="87">
        <f t="shared" si="504"/>
        <v>0</v>
      </c>
      <c r="AL654" s="87">
        <f t="shared" si="505"/>
        <v>0</v>
      </c>
      <c r="AM654" s="87">
        <f t="shared" si="506"/>
        <v>0</v>
      </c>
      <c r="AN654" s="87">
        <f t="shared" si="507"/>
        <v>0</v>
      </c>
      <c r="AO654" s="87">
        <f t="shared" si="508"/>
        <v>0</v>
      </c>
      <c r="AP654" s="87">
        <f t="shared" si="509"/>
        <v>0</v>
      </c>
      <c r="AQ654" s="87">
        <f t="shared" si="510"/>
        <v>0</v>
      </c>
      <c r="AR654" s="81"/>
      <c r="AS654" s="85">
        <f t="shared" si="511"/>
        <v>0</v>
      </c>
      <c r="AT654" s="85">
        <f t="shared" si="512"/>
        <v>0</v>
      </c>
      <c r="AU654" s="85">
        <f t="shared" si="513"/>
        <v>0</v>
      </c>
      <c r="AV654" s="85">
        <f t="shared" si="514"/>
        <v>0</v>
      </c>
      <c r="AW654" s="85">
        <f t="shared" si="515"/>
        <v>0</v>
      </c>
      <c r="AX654" s="85">
        <f t="shared" si="516"/>
        <v>0</v>
      </c>
      <c r="AY654" s="85">
        <f t="shared" si="517"/>
        <v>0</v>
      </c>
      <c r="AZ654" s="85">
        <f t="shared" si="518"/>
        <v>0</v>
      </c>
      <c r="BA654" s="85">
        <f t="shared" si="519"/>
        <v>0</v>
      </c>
      <c r="BB654" s="85">
        <f t="shared" si="520"/>
        <v>0</v>
      </c>
      <c r="BC654" s="85">
        <f t="shared" si="521"/>
        <v>0</v>
      </c>
      <c r="BD654" s="85">
        <f t="shared" si="522"/>
        <v>0</v>
      </c>
      <c r="BE654" s="85">
        <f t="shared" si="523"/>
        <v>0</v>
      </c>
      <c r="BF654" s="85">
        <f t="shared" si="524"/>
        <v>0</v>
      </c>
      <c r="BG654" s="85">
        <f t="shared" si="525"/>
        <v>0</v>
      </c>
      <c r="BH654" s="85">
        <f t="shared" si="526"/>
        <v>0</v>
      </c>
      <c r="BI654" s="85">
        <f t="shared" si="527"/>
        <v>0</v>
      </c>
      <c r="BJ654" s="85">
        <f t="shared" si="528"/>
        <v>0</v>
      </c>
      <c r="BK654" s="85">
        <f t="shared" si="529"/>
        <v>0</v>
      </c>
      <c r="BL654" s="85">
        <f t="shared" si="530"/>
        <v>0</v>
      </c>
      <c r="BM654" s="85">
        <f t="shared" si="531"/>
        <v>0</v>
      </c>
      <c r="BN654" s="85">
        <f t="shared" si="532"/>
        <v>0</v>
      </c>
      <c r="BO654" s="85">
        <f t="shared" si="533"/>
        <v>0</v>
      </c>
      <c r="BP654" s="85">
        <f t="shared" si="534"/>
        <v>0</v>
      </c>
      <c r="BQ654" s="85">
        <f t="shared" si="535"/>
        <v>0</v>
      </c>
      <c r="BR654" s="85">
        <f t="shared" si="536"/>
        <v>0</v>
      </c>
      <c r="BT654" s="63"/>
      <c r="BU654" s="63"/>
      <c r="BV654" s="63"/>
      <c r="BW654" s="63"/>
      <c r="BX654" s="63"/>
      <c r="BY654" s="63"/>
      <c r="BZ654" s="63"/>
      <c r="CA654" s="63"/>
      <c r="CB654" s="63"/>
      <c r="CC654" s="63"/>
      <c r="CD654" s="63"/>
      <c r="CE654" s="63"/>
      <c r="CF654" s="63"/>
      <c r="CG654" s="63"/>
      <c r="CH654" s="63"/>
      <c r="CI654" s="63"/>
      <c r="CJ654" s="63"/>
      <c r="CK654" s="63"/>
      <c r="CL654" s="63"/>
      <c r="CM654" s="63"/>
      <c r="CN654" s="63"/>
      <c r="CO654" s="63"/>
      <c r="CP654" s="63"/>
      <c r="CQ654" s="63"/>
      <c r="CR654" s="63"/>
      <c r="CS654" s="63"/>
      <c r="CX654" s="35" t="s">
        <v>12</v>
      </c>
      <c r="CZ654" s="35"/>
      <c r="DC654" s="57" t="str">
        <f t="shared" si="541"/>
        <v/>
      </c>
      <c r="DD654" s="64" t="str">
        <f t="shared" si="537"/>
        <v/>
      </c>
      <c r="DE654" s="65" t="str">
        <f t="shared" si="538"/>
        <v/>
      </c>
      <c r="DF654" s="66" t="str">
        <f t="shared" si="499"/>
        <v/>
      </c>
    </row>
    <row r="655" spans="2:110">
      <c r="B655" s="54">
        <f t="shared" si="495"/>
        <v>47637</v>
      </c>
      <c r="C655" s="55" t="s">
        <v>1</v>
      </c>
      <c r="D655" s="56">
        <f t="shared" si="496"/>
        <v>47643</v>
      </c>
      <c r="E655" s="52">
        <f t="shared" si="497"/>
        <v>6</v>
      </c>
      <c r="F655" s="53">
        <f t="shared" si="498"/>
        <v>2030</v>
      </c>
      <c r="G655" s="62">
        <f t="shared" si="539"/>
        <v>15</v>
      </c>
      <c r="H655" s="63">
        <f t="shared" si="540"/>
        <v>96</v>
      </c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80"/>
      <c r="AG655" s="87">
        <f t="shared" si="500"/>
        <v>0</v>
      </c>
      <c r="AH655" s="87">
        <f t="shared" si="501"/>
        <v>0</v>
      </c>
      <c r="AI655" s="87">
        <f t="shared" si="502"/>
        <v>0</v>
      </c>
      <c r="AJ655" s="87">
        <f t="shared" si="503"/>
        <v>0</v>
      </c>
      <c r="AK655" s="87">
        <f t="shared" si="504"/>
        <v>0</v>
      </c>
      <c r="AL655" s="87">
        <f t="shared" si="505"/>
        <v>0</v>
      </c>
      <c r="AM655" s="87">
        <f t="shared" si="506"/>
        <v>0</v>
      </c>
      <c r="AN655" s="87">
        <f t="shared" si="507"/>
        <v>0</v>
      </c>
      <c r="AO655" s="87">
        <f t="shared" si="508"/>
        <v>0</v>
      </c>
      <c r="AP655" s="87">
        <f t="shared" si="509"/>
        <v>0</v>
      </c>
      <c r="AQ655" s="87">
        <f t="shared" si="510"/>
        <v>0</v>
      </c>
      <c r="AR655" s="81"/>
      <c r="AS655" s="85">
        <f t="shared" si="511"/>
        <v>0</v>
      </c>
      <c r="AT655" s="85">
        <f t="shared" si="512"/>
        <v>0</v>
      </c>
      <c r="AU655" s="85">
        <f t="shared" si="513"/>
        <v>0</v>
      </c>
      <c r="AV655" s="85">
        <f t="shared" si="514"/>
        <v>0</v>
      </c>
      <c r="AW655" s="85">
        <f t="shared" si="515"/>
        <v>0</v>
      </c>
      <c r="AX655" s="85">
        <f t="shared" si="516"/>
        <v>0</v>
      </c>
      <c r="AY655" s="85">
        <f t="shared" si="517"/>
        <v>0</v>
      </c>
      <c r="AZ655" s="85">
        <f t="shared" si="518"/>
        <v>0</v>
      </c>
      <c r="BA655" s="85">
        <f t="shared" si="519"/>
        <v>0</v>
      </c>
      <c r="BB655" s="85">
        <f t="shared" si="520"/>
        <v>0</v>
      </c>
      <c r="BC655" s="85">
        <f t="shared" si="521"/>
        <v>0</v>
      </c>
      <c r="BD655" s="85">
        <f t="shared" si="522"/>
        <v>0</v>
      </c>
      <c r="BE655" s="85">
        <f t="shared" si="523"/>
        <v>0</v>
      </c>
      <c r="BF655" s="85">
        <f t="shared" si="524"/>
        <v>0</v>
      </c>
      <c r="BG655" s="85">
        <f t="shared" si="525"/>
        <v>0</v>
      </c>
      <c r="BH655" s="85">
        <f t="shared" si="526"/>
        <v>0</v>
      </c>
      <c r="BI655" s="85">
        <f t="shared" si="527"/>
        <v>0</v>
      </c>
      <c r="BJ655" s="85">
        <f t="shared" si="528"/>
        <v>0</v>
      </c>
      <c r="BK655" s="85">
        <f t="shared" si="529"/>
        <v>0</v>
      </c>
      <c r="BL655" s="85">
        <f t="shared" si="530"/>
        <v>0</v>
      </c>
      <c r="BM655" s="85">
        <f t="shared" si="531"/>
        <v>0</v>
      </c>
      <c r="BN655" s="85">
        <f t="shared" si="532"/>
        <v>0</v>
      </c>
      <c r="BO655" s="85">
        <f t="shared" si="533"/>
        <v>0</v>
      </c>
      <c r="BP655" s="85">
        <f t="shared" si="534"/>
        <v>0</v>
      </c>
      <c r="BQ655" s="85">
        <f t="shared" si="535"/>
        <v>0</v>
      </c>
      <c r="BR655" s="85">
        <f t="shared" si="536"/>
        <v>0</v>
      </c>
      <c r="BT655" s="63"/>
      <c r="BU655" s="63"/>
      <c r="BV655" s="63"/>
      <c r="BW655" s="63"/>
      <c r="BX655" s="63"/>
      <c r="BY655" s="63"/>
      <c r="BZ655" s="63"/>
      <c r="CA655" s="63"/>
      <c r="CB655" s="63"/>
      <c r="CC655" s="63"/>
      <c r="CD655" s="63"/>
      <c r="CE655" s="63"/>
      <c r="CF655" s="63"/>
      <c r="CG655" s="63"/>
      <c r="CH655" s="63"/>
      <c r="CI655" s="63"/>
      <c r="CJ655" s="63"/>
      <c r="CK655" s="63"/>
      <c r="CL655" s="63"/>
      <c r="CM655" s="63"/>
      <c r="CN655" s="63"/>
      <c r="CO655" s="63"/>
      <c r="CP655" s="63"/>
      <c r="CQ655" s="63"/>
      <c r="CR655" s="63"/>
      <c r="CS655" s="63"/>
      <c r="CX655" s="35" t="s">
        <v>12</v>
      </c>
      <c r="CZ655" s="35"/>
      <c r="DC655" s="57" t="str">
        <f t="shared" si="541"/>
        <v/>
      </c>
      <c r="DD655" s="64" t="str">
        <f t="shared" si="537"/>
        <v/>
      </c>
      <c r="DE655" s="65" t="str">
        <f t="shared" si="538"/>
        <v/>
      </c>
      <c r="DF655" s="66" t="str">
        <f t="shared" si="499"/>
        <v/>
      </c>
    </row>
    <row r="656" spans="2:110">
      <c r="B656" s="54">
        <f t="shared" si="495"/>
        <v>47644</v>
      </c>
      <c r="C656" s="55" t="s">
        <v>1</v>
      </c>
      <c r="D656" s="56">
        <f t="shared" si="496"/>
        <v>47650</v>
      </c>
      <c r="E656" s="52">
        <f t="shared" si="497"/>
        <v>6</v>
      </c>
      <c r="F656" s="53">
        <f t="shared" si="498"/>
        <v>2030</v>
      </c>
      <c r="G656" s="62">
        <f t="shared" si="539"/>
        <v>15</v>
      </c>
      <c r="H656" s="63">
        <f t="shared" si="540"/>
        <v>96</v>
      </c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80"/>
      <c r="AG656" s="87">
        <f t="shared" si="500"/>
        <v>0</v>
      </c>
      <c r="AH656" s="87">
        <f t="shared" si="501"/>
        <v>0</v>
      </c>
      <c r="AI656" s="87">
        <f t="shared" si="502"/>
        <v>0</v>
      </c>
      <c r="AJ656" s="87">
        <f t="shared" si="503"/>
        <v>0</v>
      </c>
      <c r="AK656" s="87">
        <f t="shared" si="504"/>
        <v>0</v>
      </c>
      <c r="AL656" s="87">
        <f t="shared" si="505"/>
        <v>0</v>
      </c>
      <c r="AM656" s="87">
        <f t="shared" si="506"/>
        <v>0</v>
      </c>
      <c r="AN656" s="87">
        <f t="shared" si="507"/>
        <v>0</v>
      </c>
      <c r="AO656" s="87">
        <f t="shared" si="508"/>
        <v>0</v>
      </c>
      <c r="AP656" s="87">
        <f t="shared" si="509"/>
        <v>0</v>
      </c>
      <c r="AQ656" s="87">
        <f t="shared" si="510"/>
        <v>0</v>
      </c>
      <c r="AR656" s="81"/>
      <c r="AS656" s="85">
        <f t="shared" si="511"/>
        <v>0</v>
      </c>
      <c r="AT656" s="85">
        <f t="shared" si="512"/>
        <v>0</v>
      </c>
      <c r="AU656" s="85">
        <f t="shared" si="513"/>
        <v>0</v>
      </c>
      <c r="AV656" s="85">
        <f t="shared" si="514"/>
        <v>0</v>
      </c>
      <c r="AW656" s="85">
        <f t="shared" si="515"/>
        <v>0</v>
      </c>
      <c r="AX656" s="85">
        <f t="shared" si="516"/>
        <v>0</v>
      </c>
      <c r="AY656" s="85">
        <f t="shared" si="517"/>
        <v>0</v>
      </c>
      <c r="AZ656" s="85">
        <f t="shared" si="518"/>
        <v>0</v>
      </c>
      <c r="BA656" s="85">
        <f t="shared" si="519"/>
        <v>0</v>
      </c>
      <c r="BB656" s="85">
        <f t="shared" si="520"/>
        <v>0</v>
      </c>
      <c r="BC656" s="85">
        <f t="shared" si="521"/>
        <v>0</v>
      </c>
      <c r="BD656" s="85">
        <f t="shared" si="522"/>
        <v>0</v>
      </c>
      <c r="BE656" s="85">
        <f t="shared" si="523"/>
        <v>0</v>
      </c>
      <c r="BF656" s="85">
        <f t="shared" si="524"/>
        <v>0</v>
      </c>
      <c r="BG656" s="85">
        <f t="shared" si="525"/>
        <v>0</v>
      </c>
      <c r="BH656" s="85">
        <f t="shared" si="526"/>
        <v>0</v>
      </c>
      <c r="BI656" s="85">
        <f t="shared" si="527"/>
        <v>0</v>
      </c>
      <c r="BJ656" s="85">
        <f t="shared" si="528"/>
        <v>0</v>
      </c>
      <c r="BK656" s="85">
        <f t="shared" si="529"/>
        <v>0</v>
      </c>
      <c r="BL656" s="85">
        <f t="shared" si="530"/>
        <v>0</v>
      </c>
      <c r="BM656" s="85">
        <f t="shared" si="531"/>
        <v>0</v>
      </c>
      <c r="BN656" s="85">
        <f t="shared" si="532"/>
        <v>0</v>
      </c>
      <c r="BO656" s="85">
        <f t="shared" si="533"/>
        <v>0</v>
      </c>
      <c r="BP656" s="85">
        <f t="shared" si="534"/>
        <v>0</v>
      </c>
      <c r="BQ656" s="85">
        <f t="shared" si="535"/>
        <v>0</v>
      </c>
      <c r="BR656" s="85">
        <f t="shared" si="536"/>
        <v>0</v>
      </c>
      <c r="BT656" s="63"/>
      <c r="BU656" s="63"/>
      <c r="BV656" s="63"/>
      <c r="BW656" s="63"/>
      <c r="BX656" s="63"/>
      <c r="BY656" s="63"/>
      <c r="BZ656" s="63"/>
      <c r="CA656" s="63"/>
      <c r="CB656" s="63"/>
      <c r="CC656" s="63"/>
      <c r="CD656" s="63"/>
      <c r="CE656" s="63"/>
      <c r="CF656" s="63"/>
      <c r="CG656" s="63"/>
      <c r="CH656" s="63"/>
      <c r="CI656" s="63"/>
      <c r="CJ656" s="63"/>
      <c r="CK656" s="63"/>
      <c r="CL656" s="63"/>
      <c r="CM656" s="63"/>
      <c r="CN656" s="63"/>
      <c r="CO656" s="63"/>
      <c r="CP656" s="63"/>
      <c r="CQ656" s="63"/>
      <c r="CR656" s="63"/>
      <c r="CS656" s="63"/>
      <c r="CX656" s="35" t="s">
        <v>12</v>
      </c>
      <c r="CZ656" s="35"/>
      <c r="DC656" s="57" t="str">
        <f t="shared" si="541"/>
        <v/>
      </c>
      <c r="DD656" s="64" t="str">
        <f t="shared" si="537"/>
        <v/>
      </c>
      <c r="DE656" s="65" t="str">
        <f t="shared" si="538"/>
        <v/>
      </c>
      <c r="DF656" s="66" t="str">
        <f t="shared" si="499"/>
        <v/>
      </c>
    </row>
    <row r="657" spans="2:110">
      <c r="B657" s="54">
        <f t="shared" si="495"/>
        <v>47651</v>
      </c>
      <c r="C657" s="55" t="s">
        <v>1</v>
      </c>
      <c r="D657" s="56">
        <f t="shared" si="496"/>
        <v>47657</v>
      </c>
      <c r="E657" s="52">
        <f t="shared" si="497"/>
        <v>6</v>
      </c>
      <c r="F657" s="53">
        <f t="shared" si="498"/>
        <v>2030</v>
      </c>
      <c r="G657" s="62">
        <f t="shared" si="539"/>
        <v>15</v>
      </c>
      <c r="H657" s="63">
        <f t="shared" si="540"/>
        <v>96</v>
      </c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80"/>
      <c r="AG657" s="87">
        <f t="shared" si="500"/>
        <v>0</v>
      </c>
      <c r="AH657" s="87">
        <f t="shared" si="501"/>
        <v>0</v>
      </c>
      <c r="AI657" s="87">
        <f t="shared" si="502"/>
        <v>0</v>
      </c>
      <c r="AJ657" s="87">
        <f t="shared" si="503"/>
        <v>0</v>
      </c>
      <c r="AK657" s="87">
        <f t="shared" si="504"/>
        <v>0</v>
      </c>
      <c r="AL657" s="87">
        <f t="shared" si="505"/>
        <v>0</v>
      </c>
      <c r="AM657" s="87">
        <f t="shared" si="506"/>
        <v>0</v>
      </c>
      <c r="AN657" s="87">
        <f t="shared" si="507"/>
        <v>0</v>
      </c>
      <c r="AO657" s="87">
        <f t="shared" si="508"/>
        <v>0</v>
      </c>
      <c r="AP657" s="87">
        <f t="shared" si="509"/>
        <v>0</v>
      </c>
      <c r="AQ657" s="87">
        <f t="shared" si="510"/>
        <v>0</v>
      </c>
      <c r="AR657" s="81"/>
      <c r="AS657" s="85">
        <f t="shared" si="511"/>
        <v>0</v>
      </c>
      <c r="AT657" s="85">
        <f t="shared" si="512"/>
        <v>0</v>
      </c>
      <c r="AU657" s="85">
        <f t="shared" si="513"/>
        <v>0</v>
      </c>
      <c r="AV657" s="85">
        <f t="shared" si="514"/>
        <v>0</v>
      </c>
      <c r="AW657" s="85">
        <f t="shared" si="515"/>
        <v>0</v>
      </c>
      <c r="AX657" s="85">
        <f t="shared" si="516"/>
        <v>0</v>
      </c>
      <c r="AY657" s="85">
        <f t="shared" si="517"/>
        <v>0</v>
      </c>
      <c r="AZ657" s="85">
        <f t="shared" si="518"/>
        <v>0</v>
      </c>
      <c r="BA657" s="85">
        <f t="shared" si="519"/>
        <v>0</v>
      </c>
      <c r="BB657" s="85">
        <f t="shared" si="520"/>
        <v>0</v>
      </c>
      <c r="BC657" s="85">
        <f t="shared" si="521"/>
        <v>0</v>
      </c>
      <c r="BD657" s="85">
        <f t="shared" si="522"/>
        <v>0</v>
      </c>
      <c r="BE657" s="85">
        <f t="shared" si="523"/>
        <v>0</v>
      </c>
      <c r="BF657" s="85">
        <f t="shared" si="524"/>
        <v>0</v>
      </c>
      <c r="BG657" s="85">
        <f t="shared" si="525"/>
        <v>0</v>
      </c>
      <c r="BH657" s="85">
        <f t="shared" si="526"/>
        <v>0</v>
      </c>
      <c r="BI657" s="85">
        <f t="shared" si="527"/>
        <v>0</v>
      </c>
      <c r="BJ657" s="85">
        <f t="shared" si="528"/>
        <v>0</v>
      </c>
      <c r="BK657" s="85">
        <f t="shared" si="529"/>
        <v>0</v>
      </c>
      <c r="BL657" s="85">
        <f t="shared" si="530"/>
        <v>0</v>
      </c>
      <c r="BM657" s="85">
        <f t="shared" si="531"/>
        <v>0</v>
      </c>
      <c r="BN657" s="85">
        <f t="shared" si="532"/>
        <v>0</v>
      </c>
      <c r="BO657" s="85">
        <f t="shared" si="533"/>
        <v>0</v>
      </c>
      <c r="BP657" s="85">
        <f t="shared" si="534"/>
        <v>0</v>
      </c>
      <c r="BQ657" s="85">
        <f t="shared" si="535"/>
        <v>0</v>
      </c>
      <c r="BR657" s="85">
        <f t="shared" si="536"/>
        <v>0</v>
      </c>
      <c r="BT657" s="63"/>
      <c r="BU657" s="63"/>
      <c r="BV657" s="63"/>
      <c r="BW657" s="63"/>
      <c r="BX657" s="63"/>
      <c r="BY657" s="63"/>
      <c r="BZ657" s="63"/>
      <c r="CA657" s="63"/>
      <c r="CB657" s="63"/>
      <c r="CC657" s="63"/>
      <c r="CD657" s="63"/>
      <c r="CE657" s="63"/>
      <c r="CF657" s="63"/>
      <c r="CG657" s="63"/>
      <c r="CH657" s="63"/>
      <c r="CI657" s="63"/>
      <c r="CJ657" s="63"/>
      <c r="CK657" s="63"/>
      <c r="CL657" s="63"/>
      <c r="CM657" s="63"/>
      <c r="CN657" s="63"/>
      <c r="CO657" s="63"/>
      <c r="CP657" s="63"/>
      <c r="CQ657" s="63"/>
      <c r="CR657" s="63"/>
      <c r="CS657" s="63"/>
      <c r="CX657" s="35" t="s">
        <v>12</v>
      </c>
      <c r="CZ657" s="35"/>
      <c r="DC657" s="57" t="str">
        <f t="shared" si="541"/>
        <v/>
      </c>
      <c r="DD657" s="64" t="str">
        <f t="shared" si="537"/>
        <v/>
      </c>
      <c r="DE657" s="65" t="str">
        <f t="shared" si="538"/>
        <v/>
      </c>
      <c r="DF657" s="66" t="str">
        <f t="shared" si="499"/>
        <v/>
      </c>
    </row>
    <row r="658" spans="2:110">
      <c r="B658" s="54">
        <f t="shared" si="495"/>
        <v>47658</v>
      </c>
      <c r="C658" s="55" t="s">
        <v>1</v>
      </c>
      <c r="D658" s="56">
        <f t="shared" si="496"/>
        <v>47664</v>
      </c>
      <c r="E658" s="52">
        <f t="shared" si="497"/>
        <v>6</v>
      </c>
      <c r="F658" s="53">
        <f t="shared" si="498"/>
        <v>2030</v>
      </c>
      <c r="G658" s="62">
        <f t="shared" si="539"/>
        <v>15</v>
      </c>
      <c r="H658" s="63">
        <f t="shared" si="540"/>
        <v>96</v>
      </c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80"/>
      <c r="AG658" s="87">
        <f t="shared" si="500"/>
        <v>0</v>
      </c>
      <c r="AH658" s="87">
        <f t="shared" si="501"/>
        <v>0</v>
      </c>
      <c r="AI658" s="87">
        <f t="shared" si="502"/>
        <v>0</v>
      </c>
      <c r="AJ658" s="87">
        <f t="shared" si="503"/>
        <v>0</v>
      </c>
      <c r="AK658" s="87">
        <f t="shared" si="504"/>
        <v>0</v>
      </c>
      <c r="AL658" s="87">
        <f t="shared" si="505"/>
        <v>0</v>
      </c>
      <c r="AM658" s="87">
        <f t="shared" si="506"/>
        <v>0</v>
      </c>
      <c r="AN658" s="87">
        <f t="shared" si="507"/>
        <v>0</v>
      </c>
      <c r="AO658" s="87">
        <f t="shared" si="508"/>
        <v>0</v>
      </c>
      <c r="AP658" s="87">
        <f t="shared" si="509"/>
        <v>0</v>
      </c>
      <c r="AQ658" s="87">
        <f t="shared" si="510"/>
        <v>0</v>
      </c>
      <c r="AR658" s="81"/>
      <c r="AS658" s="85">
        <f t="shared" si="511"/>
        <v>0</v>
      </c>
      <c r="AT658" s="85">
        <f t="shared" si="512"/>
        <v>0</v>
      </c>
      <c r="AU658" s="85">
        <f t="shared" si="513"/>
        <v>0</v>
      </c>
      <c r="AV658" s="85">
        <f t="shared" si="514"/>
        <v>0</v>
      </c>
      <c r="AW658" s="85">
        <f t="shared" si="515"/>
        <v>0</v>
      </c>
      <c r="AX658" s="85">
        <f t="shared" si="516"/>
        <v>0</v>
      </c>
      <c r="AY658" s="85">
        <f t="shared" si="517"/>
        <v>0</v>
      </c>
      <c r="AZ658" s="85">
        <f t="shared" si="518"/>
        <v>0</v>
      </c>
      <c r="BA658" s="85">
        <f t="shared" si="519"/>
        <v>0</v>
      </c>
      <c r="BB658" s="85">
        <f t="shared" si="520"/>
        <v>0</v>
      </c>
      <c r="BC658" s="85">
        <f t="shared" si="521"/>
        <v>0</v>
      </c>
      <c r="BD658" s="85">
        <f t="shared" si="522"/>
        <v>0</v>
      </c>
      <c r="BE658" s="85">
        <f t="shared" si="523"/>
        <v>0</v>
      </c>
      <c r="BF658" s="85">
        <f t="shared" si="524"/>
        <v>0</v>
      </c>
      <c r="BG658" s="85">
        <f t="shared" si="525"/>
        <v>0</v>
      </c>
      <c r="BH658" s="85">
        <f t="shared" si="526"/>
        <v>0</v>
      </c>
      <c r="BI658" s="85">
        <f t="shared" si="527"/>
        <v>0</v>
      </c>
      <c r="BJ658" s="85">
        <f t="shared" si="528"/>
        <v>0</v>
      </c>
      <c r="BK658" s="85">
        <f t="shared" si="529"/>
        <v>0</v>
      </c>
      <c r="BL658" s="85">
        <f t="shared" si="530"/>
        <v>0</v>
      </c>
      <c r="BM658" s="85">
        <f t="shared" si="531"/>
        <v>0</v>
      </c>
      <c r="BN658" s="85">
        <f t="shared" si="532"/>
        <v>0</v>
      </c>
      <c r="BO658" s="85">
        <f t="shared" si="533"/>
        <v>0</v>
      </c>
      <c r="BP658" s="85">
        <f t="shared" si="534"/>
        <v>0</v>
      </c>
      <c r="BQ658" s="85">
        <f t="shared" si="535"/>
        <v>0</v>
      </c>
      <c r="BR658" s="85">
        <f t="shared" si="536"/>
        <v>0</v>
      </c>
      <c r="BT658" s="63"/>
      <c r="BU658" s="63"/>
      <c r="BV658" s="63"/>
      <c r="BW658" s="63"/>
      <c r="BX658" s="63"/>
      <c r="BY658" s="63"/>
      <c r="BZ658" s="63"/>
      <c r="CA658" s="63"/>
      <c r="CB658" s="63"/>
      <c r="CC658" s="63"/>
      <c r="CD658" s="63"/>
      <c r="CE658" s="63"/>
      <c r="CF658" s="63"/>
      <c r="CG658" s="63"/>
      <c r="CH658" s="63"/>
      <c r="CI658" s="63"/>
      <c r="CJ658" s="63"/>
      <c r="CK658" s="63"/>
      <c r="CL658" s="63"/>
      <c r="CM658" s="63"/>
      <c r="CN658" s="63"/>
      <c r="CO658" s="63"/>
      <c r="CP658" s="63"/>
      <c r="CQ658" s="63"/>
      <c r="CR658" s="63"/>
      <c r="CS658" s="63"/>
      <c r="CX658" s="35" t="s">
        <v>12</v>
      </c>
      <c r="CZ658" s="35"/>
      <c r="DC658" s="57" t="str">
        <f t="shared" si="541"/>
        <v/>
      </c>
      <c r="DD658" s="64" t="str">
        <f t="shared" si="537"/>
        <v/>
      </c>
      <c r="DE658" s="65" t="str">
        <f t="shared" si="538"/>
        <v/>
      </c>
      <c r="DF658" s="66" t="str">
        <f t="shared" si="499"/>
        <v/>
      </c>
    </row>
    <row r="659" spans="2:110">
      <c r="B659" s="54">
        <f t="shared" si="495"/>
        <v>47665</v>
      </c>
      <c r="C659" s="55" t="s">
        <v>1</v>
      </c>
      <c r="D659" s="56">
        <f t="shared" si="496"/>
        <v>47671</v>
      </c>
      <c r="E659" s="52">
        <f t="shared" si="497"/>
        <v>7</v>
      </c>
      <c r="F659" s="53">
        <f t="shared" si="498"/>
        <v>2030</v>
      </c>
      <c r="G659" s="62">
        <f t="shared" si="539"/>
        <v>15</v>
      </c>
      <c r="H659" s="63">
        <f t="shared" si="540"/>
        <v>96</v>
      </c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80"/>
      <c r="AG659" s="87">
        <f t="shared" si="500"/>
        <v>0</v>
      </c>
      <c r="AH659" s="87">
        <f t="shared" si="501"/>
        <v>0</v>
      </c>
      <c r="AI659" s="87">
        <f t="shared" si="502"/>
        <v>0</v>
      </c>
      <c r="AJ659" s="87">
        <f t="shared" si="503"/>
        <v>0</v>
      </c>
      <c r="AK659" s="87">
        <f t="shared" si="504"/>
        <v>0</v>
      </c>
      <c r="AL659" s="87">
        <f t="shared" si="505"/>
        <v>0</v>
      </c>
      <c r="AM659" s="87">
        <f t="shared" si="506"/>
        <v>0</v>
      </c>
      <c r="AN659" s="87">
        <f t="shared" si="507"/>
        <v>0</v>
      </c>
      <c r="AO659" s="87">
        <f t="shared" si="508"/>
        <v>0</v>
      </c>
      <c r="AP659" s="87">
        <f t="shared" si="509"/>
        <v>0</v>
      </c>
      <c r="AQ659" s="87">
        <f t="shared" si="510"/>
        <v>0</v>
      </c>
      <c r="AR659" s="81"/>
      <c r="AS659" s="85">
        <f t="shared" si="511"/>
        <v>0</v>
      </c>
      <c r="AT659" s="85">
        <f t="shared" si="512"/>
        <v>0</v>
      </c>
      <c r="AU659" s="85">
        <f t="shared" si="513"/>
        <v>0</v>
      </c>
      <c r="AV659" s="85">
        <f t="shared" si="514"/>
        <v>0</v>
      </c>
      <c r="AW659" s="85">
        <f t="shared" si="515"/>
        <v>0</v>
      </c>
      <c r="AX659" s="85">
        <f t="shared" si="516"/>
        <v>0</v>
      </c>
      <c r="AY659" s="85">
        <f t="shared" si="517"/>
        <v>0</v>
      </c>
      <c r="AZ659" s="85">
        <f t="shared" si="518"/>
        <v>0</v>
      </c>
      <c r="BA659" s="85">
        <f t="shared" si="519"/>
        <v>0</v>
      </c>
      <c r="BB659" s="85">
        <f t="shared" si="520"/>
        <v>0</v>
      </c>
      <c r="BC659" s="85">
        <f t="shared" si="521"/>
        <v>0</v>
      </c>
      <c r="BD659" s="85">
        <f t="shared" si="522"/>
        <v>0</v>
      </c>
      <c r="BE659" s="85">
        <f t="shared" si="523"/>
        <v>0</v>
      </c>
      <c r="BF659" s="85">
        <f t="shared" si="524"/>
        <v>0</v>
      </c>
      <c r="BG659" s="85">
        <f t="shared" si="525"/>
        <v>0</v>
      </c>
      <c r="BH659" s="85">
        <f t="shared" si="526"/>
        <v>0</v>
      </c>
      <c r="BI659" s="85">
        <f t="shared" si="527"/>
        <v>0</v>
      </c>
      <c r="BJ659" s="85">
        <f t="shared" si="528"/>
        <v>0</v>
      </c>
      <c r="BK659" s="85">
        <f t="shared" si="529"/>
        <v>0</v>
      </c>
      <c r="BL659" s="85">
        <f t="shared" si="530"/>
        <v>0</v>
      </c>
      <c r="BM659" s="85">
        <f t="shared" si="531"/>
        <v>0</v>
      </c>
      <c r="BN659" s="85">
        <f t="shared" si="532"/>
        <v>0</v>
      </c>
      <c r="BO659" s="85">
        <f t="shared" si="533"/>
        <v>0</v>
      </c>
      <c r="BP659" s="85">
        <f t="shared" si="534"/>
        <v>0</v>
      </c>
      <c r="BQ659" s="85">
        <f t="shared" si="535"/>
        <v>0</v>
      </c>
      <c r="BR659" s="85">
        <f t="shared" si="536"/>
        <v>0</v>
      </c>
      <c r="BT659" s="63"/>
      <c r="BU659" s="63"/>
      <c r="BV659" s="63"/>
      <c r="BW659" s="63"/>
      <c r="BX659" s="63"/>
      <c r="BY659" s="63"/>
      <c r="BZ659" s="63"/>
      <c r="CA659" s="63"/>
      <c r="CB659" s="63"/>
      <c r="CC659" s="63"/>
      <c r="CD659" s="63"/>
      <c r="CE659" s="63"/>
      <c r="CF659" s="63"/>
      <c r="CG659" s="63"/>
      <c r="CH659" s="63"/>
      <c r="CI659" s="63"/>
      <c r="CJ659" s="63"/>
      <c r="CK659" s="63"/>
      <c r="CL659" s="63"/>
      <c r="CM659" s="63"/>
      <c r="CN659" s="63"/>
      <c r="CO659" s="63"/>
      <c r="CP659" s="63"/>
      <c r="CQ659" s="63"/>
      <c r="CR659" s="63"/>
      <c r="CS659" s="63"/>
      <c r="CX659" s="35" t="s">
        <v>12</v>
      </c>
      <c r="CZ659" s="35"/>
      <c r="DC659" s="57" t="str">
        <f t="shared" si="541"/>
        <v/>
      </c>
      <c r="DD659" s="64" t="str">
        <f t="shared" si="537"/>
        <v/>
      </c>
      <c r="DE659" s="65" t="str">
        <f t="shared" si="538"/>
        <v/>
      </c>
      <c r="DF659" s="66" t="str">
        <f t="shared" si="499"/>
        <v/>
      </c>
    </row>
    <row r="660" spans="2:110">
      <c r="B660" s="54">
        <f t="shared" si="495"/>
        <v>47672</v>
      </c>
      <c r="C660" s="55" t="s">
        <v>1</v>
      </c>
      <c r="D660" s="56">
        <f t="shared" si="496"/>
        <v>47678</v>
      </c>
      <c r="E660" s="52">
        <f t="shared" si="497"/>
        <v>7</v>
      </c>
      <c r="F660" s="53">
        <f t="shared" si="498"/>
        <v>2030</v>
      </c>
      <c r="G660" s="62">
        <f t="shared" si="539"/>
        <v>15</v>
      </c>
      <c r="H660" s="63">
        <f t="shared" si="540"/>
        <v>96</v>
      </c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80"/>
      <c r="AG660" s="87">
        <f t="shared" si="500"/>
        <v>0</v>
      </c>
      <c r="AH660" s="87">
        <f t="shared" si="501"/>
        <v>0</v>
      </c>
      <c r="AI660" s="87">
        <f t="shared" si="502"/>
        <v>0</v>
      </c>
      <c r="AJ660" s="87">
        <f t="shared" si="503"/>
        <v>0</v>
      </c>
      <c r="AK660" s="87">
        <f t="shared" si="504"/>
        <v>0</v>
      </c>
      <c r="AL660" s="87">
        <f t="shared" si="505"/>
        <v>0</v>
      </c>
      <c r="AM660" s="87">
        <f t="shared" si="506"/>
        <v>0</v>
      </c>
      <c r="AN660" s="87">
        <f t="shared" si="507"/>
        <v>0</v>
      </c>
      <c r="AO660" s="87">
        <f t="shared" si="508"/>
        <v>0</v>
      </c>
      <c r="AP660" s="87">
        <f t="shared" si="509"/>
        <v>0</v>
      </c>
      <c r="AQ660" s="87">
        <f t="shared" si="510"/>
        <v>0</v>
      </c>
      <c r="AR660" s="81"/>
      <c r="AS660" s="85">
        <f t="shared" si="511"/>
        <v>0</v>
      </c>
      <c r="AT660" s="85">
        <f t="shared" si="512"/>
        <v>0</v>
      </c>
      <c r="AU660" s="85">
        <f t="shared" si="513"/>
        <v>0</v>
      </c>
      <c r="AV660" s="85">
        <f t="shared" si="514"/>
        <v>0</v>
      </c>
      <c r="AW660" s="85">
        <f t="shared" si="515"/>
        <v>0</v>
      </c>
      <c r="AX660" s="85">
        <f t="shared" si="516"/>
        <v>0</v>
      </c>
      <c r="AY660" s="85">
        <f t="shared" si="517"/>
        <v>0</v>
      </c>
      <c r="AZ660" s="85">
        <f t="shared" si="518"/>
        <v>0</v>
      </c>
      <c r="BA660" s="85">
        <f t="shared" si="519"/>
        <v>0</v>
      </c>
      <c r="BB660" s="85">
        <f t="shared" si="520"/>
        <v>0</v>
      </c>
      <c r="BC660" s="85">
        <f t="shared" si="521"/>
        <v>0</v>
      </c>
      <c r="BD660" s="85">
        <f t="shared" si="522"/>
        <v>0</v>
      </c>
      <c r="BE660" s="85">
        <f t="shared" si="523"/>
        <v>0</v>
      </c>
      <c r="BF660" s="85">
        <f t="shared" si="524"/>
        <v>0</v>
      </c>
      <c r="BG660" s="85">
        <f t="shared" si="525"/>
        <v>0</v>
      </c>
      <c r="BH660" s="85">
        <f t="shared" si="526"/>
        <v>0</v>
      </c>
      <c r="BI660" s="85">
        <f t="shared" si="527"/>
        <v>0</v>
      </c>
      <c r="BJ660" s="85">
        <f t="shared" si="528"/>
        <v>0</v>
      </c>
      <c r="BK660" s="85">
        <f t="shared" si="529"/>
        <v>0</v>
      </c>
      <c r="BL660" s="85">
        <f t="shared" si="530"/>
        <v>0</v>
      </c>
      <c r="BM660" s="85">
        <f t="shared" si="531"/>
        <v>0</v>
      </c>
      <c r="BN660" s="85">
        <f t="shared" si="532"/>
        <v>0</v>
      </c>
      <c r="BO660" s="85">
        <f t="shared" si="533"/>
        <v>0</v>
      </c>
      <c r="BP660" s="85">
        <f t="shared" si="534"/>
        <v>0</v>
      </c>
      <c r="BQ660" s="85">
        <f t="shared" si="535"/>
        <v>0</v>
      </c>
      <c r="BR660" s="85">
        <f t="shared" si="536"/>
        <v>0</v>
      </c>
      <c r="BT660" s="63"/>
      <c r="BU660" s="63"/>
      <c r="BV660" s="63"/>
      <c r="BW660" s="63"/>
      <c r="BX660" s="63"/>
      <c r="BY660" s="63"/>
      <c r="BZ660" s="63"/>
      <c r="CA660" s="63"/>
      <c r="CB660" s="63"/>
      <c r="CC660" s="63"/>
      <c r="CD660" s="63"/>
      <c r="CE660" s="63"/>
      <c r="CF660" s="63"/>
      <c r="CG660" s="63"/>
      <c r="CH660" s="63"/>
      <c r="CI660" s="63"/>
      <c r="CJ660" s="63"/>
      <c r="CK660" s="63"/>
      <c r="CL660" s="63"/>
      <c r="CM660" s="63"/>
      <c r="CN660" s="63"/>
      <c r="CO660" s="63"/>
      <c r="CP660" s="63"/>
      <c r="CQ660" s="63"/>
      <c r="CR660" s="63"/>
      <c r="CS660" s="63"/>
      <c r="CX660" s="35" t="s">
        <v>12</v>
      </c>
      <c r="CZ660" s="35"/>
      <c r="DC660" s="57" t="str">
        <f t="shared" si="541"/>
        <v/>
      </c>
      <c r="DD660" s="64" t="str">
        <f t="shared" si="537"/>
        <v/>
      </c>
      <c r="DE660" s="65" t="str">
        <f t="shared" si="538"/>
        <v/>
      </c>
      <c r="DF660" s="66" t="str">
        <f t="shared" si="499"/>
        <v/>
      </c>
    </row>
    <row r="661" spans="2:110">
      <c r="B661" s="54">
        <f t="shared" si="495"/>
        <v>47679</v>
      </c>
      <c r="C661" s="55" t="s">
        <v>1</v>
      </c>
      <c r="D661" s="56">
        <f t="shared" si="496"/>
        <v>47685</v>
      </c>
      <c r="E661" s="52">
        <f t="shared" si="497"/>
        <v>7</v>
      </c>
      <c r="F661" s="53">
        <f t="shared" si="498"/>
        <v>2030</v>
      </c>
      <c r="G661" s="62">
        <f t="shared" si="539"/>
        <v>15</v>
      </c>
      <c r="H661" s="63">
        <f t="shared" si="540"/>
        <v>96</v>
      </c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80"/>
      <c r="AG661" s="87">
        <f t="shared" si="500"/>
        <v>0</v>
      </c>
      <c r="AH661" s="87">
        <f t="shared" si="501"/>
        <v>0</v>
      </c>
      <c r="AI661" s="87">
        <f t="shared" si="502"/>
        <v>0</v>
      </c>
      <c r="AJ661" s="87">
        <f t="shared" si="503"/>
        <v>0</v>
      </c>
      <c r="AK661" s="87">
        <f t="shared" si="504"/>
        <v>0</v>
      </c>
      <c r="AL661" s="87">
        <f t="shared" si="505"/>
        <v>0</v>
      </c>
      <c r="AM661" s="87">
        <f t="shared" si="506"/>
        <v>0</v>
      </c>
      <c r="AN661" s="87">
        <f t="shared" si="507"/>
        <v>0</v>
      </c>
      <c r="AO661" s="87">
        <f t="shared" si="508"/>
        <v>0</v>
      </c>
      <c r="AP661" s="87">
        <f t="shared" si="509"/>
        <v>0</v>
      </c>
      <c r="AQ661" s="87">
        <f t="shared" si="510"/>
        <v>0</v>
      </c>
      <c r="AR661" s="81"/>
      <c r="AS661" s="85">
        <f t="shared" si="511"/>
        <v>0</v>
      </c>
      <c r="AT661" s="85">
        <f t="shared" si="512"/>
        <v>0</v>
      </c>
      <c r="AU661" s="85">
        <f t="shared" si="513"/>
        <v>0</v>
      </c>
      <c r="AV661" s="85">
        <f t="shared" si="514"/>
        <v>0</v>
      </c>
      <c r="AW661" s="85">
        <f t="shared" si="515"/>
        <v>0</v>
      </c>
      <c r="AX661" s="85">
        <f t="shared" si="516"/>
        <v>0</v>
      </c>
      <c r="AY661" s="85">
        <f t="shared" si="517"/>
        <v>0</v>
      </c>
      <c r="AZ661" s="85">
        <f t="shared" si="518"/>
        <v>0</v>
      </c>
      <c r="BA661" s="85">
        <f t="shared" si="519"/>
        <v>0</v>
      </c>
      <c r="BB661" s="85">
        <f t="shared" si="520"/>
        <v>0</v>
      </c>
      <c r="BC661" s="85">
        <f t="shared" si="521"/>
        <v>0</v>
      </c>
      <c r="BD661" s="85">
        <f t="shared" si="522"/>
        <v>0</v>
      </c>
      <c r="BE661" s="85">
        <f t="shared" si="523"/>
        <v>0</v>
      </c>
      <c r="BF661" s="85">
        <f t="shared" si="524"/>
        <v>0</v>
      </c>
      <c r="BG661" s="85">
        <f t="shared" si="525"/>
        <v>0</v>
      </c>
      <c r="BH661" s="85">
        <f t="shared" si="526"/>
        <v>0</v>
      </c>
      <c r="BI661" s="85">
        <f t="shared" si="527"/>
        <v>0</v>
      </c>
      <c r="BJ661" s="85">
        <f t="shared" si="528"/>
        <v>0</v>
      </c>
      <c r="BK661" s="85">
        <f t="shared" si="529"/>
        <v>0</v>
      </c>
      <c r="BL661" s="85">
        <f t="shared" si="530"/>
        <v>0</v>
      </c>
      <c r="BM661" s="85">
        <f t="shared" si="531"/>
        <v>0</v>
      </c>
      <c r="BN661" s="85">
        <f t="shared" si="532"/>
        <v>0</v>
      </c>
      <c r="BO661" s="85">
        <f t="shared" si="533"/>
        <v>0</v>
      </c>
      <c r="BP661" s="85">
        <f t="shared" si="534"/>
        <v>0</v>
      </c>
      <c r="BQ661" s="85">
        <f t="shared" si="535"/>
        <v>0</v>
      </c>
      <c r="BR661" s="85">
        <f t="shared" si="536"/>
        <v>0</v>
      </c>
      <c r="BT661" s="63"/>
      <c r="BU661" s="63"/>
      <c r="BV661" s="63"/>
      <c r="BW661" s="63"/>
      <c r="BX661" s="63"/>
      <c r="BY661" s="63"/>
      <c r="BZ661" s="63"/>
      <c r="CA661" s="63"/>
      <c r="CB661" s="63"/>
      <c r="CC661" s="63"/>
      <c r="CD661" s="63"/>
      <c r="CE661" s="63"/>
      <c r="CF661" s="63"/>
      <c r="CG661" s="63"/>
      <c r="CH661" s="63"/>
      <c r="CI661" s="63"/>
      <c r="CJ661" s="63"/>
      <c r="CK661" s="63"/>
      <c r="CL661" s="63"/>
      <c r="CM661" s="63"/>
      <c r="CN661" s="63"/>
      <c r="CO661" s="63"/>
      <c r="CP661" s="63"/>
      <c r="CQ661" s="63"/>
      <c r="CR661" s="63"/>
      <c r="CS661" s="63"/>
      <c r="CX661" s="35" t="s">
        <v>12</v>
      </c>
      <c r="CZ661" s="35"/>
      <c r="DC661" s="57" t="str">
        <f t="shared" si="541"/>
        <v/>
      </c>
      <c r="DD661" s="64" t="str">
        <f t="shared" si="537"/>
        <v/>
      </c>
      <c r="DE661" s="65" t="str">
        <f t="shared" si="538"/>
        <v/>
      </c>
      <c r="DF661" s="66" t="str">
        <f t="shared" si="499"/>
        <v/>
      </c>
    </row>
    <row r="662" spans="2:110">
      <c r="B662" s="54">
        <f t="shared" si="495"/>
        <v>47686</v>
      </c>
      <c r="C662" s="55" t="s">
        <v>1</v>
      </c>
      <c r="D662" s="56">
        <f t="shared" si="496"/>
        <v>47692</v>
      </c>
      <c r="E662" s="52">
        <f t="shared" si="497"/>
        <v>7</v>
      </c>
      <c r="F662" s="53">
        <f t="shared" si="498"/>
        <v>2030</v>
      </c>
      <c r="G662" s="62">
        <f t="shared" si="539"/>
        <v>15</v>
      </c>
      <c r="H662" s="63">
        <f t="shared" si="540"/>
        <v>96</v>
      </c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80"/>
      <c r="AG662" s="87">
        <f t="shared" si="500"/>
        <v>0</v>
      </c>
      <c r="AH662" s="87">
        <f t="shared" si="501"/>
        <v>0</v>
      </c>
      <c r="AI662" s="87">
        <f t="shared" si="502"/>
        <v>0</v>
      </c>
      <c r="AJ662" s="87">
        <f t="shared" si="503"/>
        <v>0</v>
      </c>
      <c r="AK662" s="87">
        <f t="shared" si="504"/>
        <v>0</v>
      </c>
      <c r="AL662" s="87">
        <f t="shared" si="505"/>
        <v>0</v>
      </c>
      <c r="AM662" s="87">
        <f t="shared" si="506"/>
        <v>0</v>
      </c>
      <c r="AN662" s="87">
        <f t="shared" si="507"/>
        <v>0</v>
      </c>
      <c r="AO662" s="87">
        <f t="shared" si="508"/>
        <v>0</v>
      </c>
      <c r="AP662" s="87">
        <f t="shared" si="509"/>
        <v>0</v>
      </c>
      <c r="AQ662" s="87">
        <f t="shared" si="510"/>
        <v>0</v>
      </c>
      <c r="AR662" s="81"/>
      <c r="AS662" s="85">
        <f t="shared" si="511"/>
        <v>0</v>
      </c>
      <c r="AT662" s="85">
        <f t="shared" si="512"/>
        <v>0</v>
      </c>
      <c r="AU662" s="85">
        <f t="shared" si="513"/>
        <v>0</v>
      </c>
      <c r="AV662" s="85">
        <f t="shared" si="514"/>
        <v>0</v>
      </c>
      <c r="AW662" s="85">
        <f t="shared" si="515"/>
        <v>0</v>
      </c>
      <c r="AX662" s="85">
        <f t="shared" si="516"/>
        <v>0</v>
      </c>
      <c r="AY662" s="85">
        <f t="shared" si="517"/>
        <v>0</v>
      </c>
      <c r="AZ662" s="85">
        <f t="shared" si="518"/>
        <v>0</v>
      </c>
      <c r="BA662" s="85">
        <f t="shared" si="519"/>
        <v>0</v>
      </c>
      <c r="BB662" s="85">
        <f t="shared" si="520"/>
        <v>0</v>
      </c>
      <c r="BC662" s="85">
        <f t="shared" si="521"/>
        <v>0</v>
      </c>
      <c r="BD662" s="85">
        <f t="shared" si="522"/>
        <v>0</v>
      </c>
      <c r="BE662" s="85">
        <f t="shared" si="523"/>
        <v>0</v>
      </c>
      <c r="BF662" s="85">
        <f t="shared" si="524"/>
        <v>0</v>
      </c>
      <c r="BG662" s="85">
        <f t="shared" si="525"/>
        <v>0</v>
      </c>
      <c r="BH662" s="85">
        <f t="shared" si="526"/>
        <v>0</v>
      </c>
      <c r="BI662" s="85">
        <f t="shared" si="527"/>
        <v>0</v>
      </c>
      <c r="BJ662" s="85">
        <f t="shared" si="528"/>
        <v>0</v>
      </c>
      <c r="BK662" s="85">
        <f t="shared" si="529"/>
        <v>0</v>
      </c>
      <c r="BL662" s="85">
        <f t="shared" si="530"/>
        <v>0</v>
      </c>
      <c r="BM662" s="85">
        <f t="shared" si="531"/>
        <v>0</v>
      </c>
      <c r="BN662" s="85">
        <f t="shared" si="532"/>
        <v>0</v>
      </c>
      <c r="BO662" s="85">
        <f t="shared" si="533"/>
        <v>0</v>
      </c>
      <c r="BP662" s="85">
        <f t="shared" si="534"/>
        <v>0</v>
      </c>
      <c r="BQ662" s="85">
        <f t="shared" si="535"/>
        <v>0</v>
      </c>
      <c r="BR662" s="85">
        <f t="shared" si="536"/>
        <v>0</v>
      </c>
      <c r="BT662" s="63"/>
      <c r="BU662" s="63"/>
      <c r="BV662" s="63"/>
      <c r="BW662" s="63"/>
      <c r="BX662" s="63"/>
      <c r="BY662" s="63"/>
      <c r="BZ662" s="63"/>
      <c r="CA662" s="63"/>
      <c r="CB662" s="63"/>
      <c r="CC662" s="63"/>
      <c r="CD662" s="63"/>
      <c r="CE662" s="63"/>
      <c r="CF662" s="63"/>
      <c r="CG662" s="63"/>
      <c r="CH662" s="63"/>
      <c r="CI662" s="63"/>
      <c r="CJ662" s="63"/>
      <c r="CK662" s="63"/>
      <c r="CL662" s="63"/>
      <c r="CM662" s="63"/>
      <c r="CN662" s="63"/>
      <c r="CO662" s="63"/>
      <c r="CP662" s="63"/>
      <c r="CQ662" s="63"/>
      <c r="CR662" s="63"/>
      <c r="CS662" s="63"/>
      <c r="CX662" s="35" t="s">
        <v>12</v>
      </c>
      <c r="CZ662" s="35"/>
      <c r="DC662" s="57" t="str">
        <f t="shared" si="541"/>
        <v/>
      </c>
      <c r="DD662" s="64" t="str">
        <f t="shared" si="537"/>
        <v/>
      </c>
      <c r="DE662" s="65" t="str">
        <f t="shared" si="538"/>
        <v/>
      </c>
      <c r="DF662" s="66" t="str">
        <f t="shared" si="499"/>
        <v/>
      </c>
    </row>
    <row r="663" spans="2:110">
      <c r="B663" s="54">
        <f t="shared" si="495"/>
        <v>47693</v>
      </c>
      <c r="C663" s="55" t="s">
        <v>1</v>
      </c>
      <c r="D663" s="56">
        <f t="shared" si="496"/>
        <v>47699</v>
      </c>
      <c r="E663" s="52">
        <f t="shared" si="497"/>
        <v>7</v>
      </c>
      <c r="F663" s="53">
        <f t="shared" si="498"/>
        <v>2030</v>
      </c>
      <c r="G663" s="62">
        <f t="shared" si="539"/>
        <v>15</v>
      </c>
      <c r="H663" s="63">
        <f t="shared" si="540"/>
        <v>96</v>
      </c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80"/>
      <c r="AG663" s="87">
        <f t="shared" si="500"/>
        <v>0</v>
      </c>
      <c r="AH663" s="87">
        <f t="shared" si="501"/>
        <v>0</v>
      </c>
      <c r="AI663" s="87">
        <f t="shared" si="502"/>
        <v>0</v>
      </c>
      <c r="AJ663" s="87">
        <f t="shared" si="503"/>
        <v>0</v>
      </c>
      <c r="AK663" s="87">
        <f t="shared" si="504"/>
        <v>0</v>
      </c>
      <c r="AL663" s="87">
        <f t="shared" si="505"/>
        <v>0</v>
      </c>
      <c r="AM663" s="87">
        <f t="shared" si="506"/>
        <v>0</v>
      </c>
      <c r="AN663" s="87">
        <f t="shared" si="507"/>
        <v>0</v>
      </c>
      <c r="AO663" s="87">
        <f t="shared" si="508"/>
        <v>0</v>
      </c>
      <c r="AP663" s="87">
        <f t="shared" si="509"/>
        <v>0</v>
      </c>
      <c r="AQ663" s="87">
        <f t="shared" si="510"/>
        <v>0</v>
      </c>
      <c r="AR663" s="81"/>
      <c r="AS663" s="85">
        <f t="shared" si="511"/>
        <v>0</v>
      </c>
      <c r="AT663" s="85">
        <f t="shared" si="512"/>
        <v>0</v>
      </c>
      <c r="AU663" s="85">
        <f t="shared" si="513"/>
        <v>0</v>
      </c>
      <c r="AV663" s="85">
        <f t="shared" si="514"/>
        <v>0</v>
      </c>
      <c r="AW663" s="85">
        <f t="shared" si="515"/>
        <v>0</v>
      </c>
      <c r="AX663" s="85">
        <f t="shared" si="516"/>
        <v>0</v>
      </c>
      <c r="AY663" s="85">
        <f t="shared" si="517"/>
        <v>0</v>
      </c>
      <c r="AZ663" s="85">
        <f t="shared" si="518"/>
        <v>0</v>
      </c>
      <c r="BA663" s="85">
        <f t="shared" si="519"/>
        <v>0</v>
      </c>
      <c r="BB663" s="85">
        <f t="shared" si="520"/>
        <v>0</v>
      </c>
      <c r="BC663" s="85">
        <f t="shared" si="521"/>
        <v>0</v>
      </c>
      <c r="BD663" s="85">
        <f t="shared" si="522"/>
        <v>0</v>
      </c>
      <c r="BE663" s="85">
        <f t="shared" si="523"/>
        <v>0</v>
      </c>
      <c r="BF663" s="85">
        <f t="shared" si="524"/>
        <v>0</v>
      </c>
      <c r="BG663" s="85">
        <f t="shared" si="525"/>
        <v>0</v>
      </c>
      <c r="BH663" s="85">
        <f t="shared" si="526"/>
        <v>0</v>
      </c>
      <c r="BI663" s="85">
        <f t="shared" si="527"/>
        <v>0</v>
      </c>
      <c r="BJ663" s="85">
        <f t="shared" si="528"/>
        <v>0</v>
      </c>
      <c r="BK663" s="85">
        <f t="shared" si="529"/>
        <v>0</v>
      </c>
      <c r="BL663" s="85">
        <f t="shared" si="530"/>
        <v>0</v>
      </c>
      <c r="BM663" s="85">
        <f t="shared" si="531"/>
        <v>0</v>
      </c>
      <c r="BN663" s="85">
        <f t="shared" si="532"/>
        <v>0</v>
      </c>
      <c r="BO663" s="85">
        <f t="shared" si="533"/>
        <v>0</v>
      </c>
      <c r="BP663" s="85">
        <f t="shared" si="534"/>
        <v>0</v>
      </c>
      <c r="BQ663" s="85">
        <f t="shared" si="535"/>
        <v>0</v>
      </c>
      <c r="BR663" s="85">
        <f t="shared" si="536"/>
        <v>0</v>
      </c>
      <c r="BT663" s="63"/>
      <c r="BU663" s="63"/>
      <c r="BV663" s="63"/>
      <c r="BW663" s="63"/>
      <c r="BX663" s="63"/>
      <c r="BY663" s="63"/>
      <c r="BZ663" s="63"/>
      <c r="CA663" s="63"/>
      <c r="CB663" s="63"/>
      <c r="CC663" s="63"/>
      <c r="CD663" s="63"/>
      <c r="CE663" s="63"/>
      <c r="CF663" s="63"/>
      <c r="CG663" s="63"/>
      <c r="CH663" s="63"/>
      <c r="CI663" s="63"/>
      <c r="CJ663" s="63"/>
      <c r="CK663" s="63"/>
      <c r="CL663" s="63"/>
      <c r="CM663" s="63"/>
      <c r="CN663" s="63"/>
      <c r="CO663" s="63"/>
      <c r="CP663" s="63"/>
      <c r="CQ663" s="63"/>
      <c r="CR663" s="63"/>
      <c r="CS663" s="63"/>
      <c r="CX663" s="35" t="s">
        <v>12</v>
      </c>
      <c r="CZ663" s="35"/>
      <c r="DC663" s="57" t="str">
        <f t="shared" si="541"/>
        <v/>
      </c>
      <c r="DD663" s="64" t="str">
        <f t="shared" si="537"/>
        <v/>
      </c>
      <c r="DE663" s="65" t="str">
        <f t="shared" si="538"/>
        <v/>
      </c>
      <c r="DF663" s="66" t="str">
        <f t="shared" si="499"/>
        <v/>
      </c>
    </row>
    <row r="664" spans="2:110">
      <c r="B664" s="54">
        <f t="shared" si="495"/>
        <v>47700</v>
      </c>
      <c r="C664" s="55" t="s">
        <v>1</v>
      </c>
      <c r="D664" s="56">
        <f t="shared" si="496"/>
        <v>47706</v>
      </c>
      <c r="E664" s="52">
        <f t="shared" si="497"/>
        <v>8</v>
      </c>
      <c r="F664" s="53">
        <f t="shared" si="498"/>
        <v>2030</v>
      </c>
      <c r="G664" s="62">
        <f t="shared" si="539"/>
        <v>15</v>
      </c>
      <c r="H664" s="63">
        <f t="shared" si="540"/>
        <v>96</v>
      </c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80"/>
      <c r="AG664" s="87">
        <f t="shared" si="500"/>
        <v>0</v>
      </c>
      <c r="AH664" s="87">
        <f t="shared" si="501"/>
        <v>0</v>
      </c>
      <c r="AI664" s="87">
        <f t="shared" si="502"/>
        <v>0</v>
      </c>
      <c r="AJ664" s="87">
        <f t="shared" si="503"/>
        <v>0</v>
      </c>
      <c r="AK664" s="87">
        <f t="shared" si="504"/>
        <v>0</v>
      </c>
      <c r="AL664" s="87">
        <f t="shared" si="505"/>
        <v>0</v>
      </c>
      <c r="AM664" s="87">
        <f t="shared" si="506"/>
        <v>0</v>
      </c>
      <c r="AN664" s="87">
        <f t="shared" si="507"/>
        <v>0</v>
      </c>
      <c r="AO664" s="87">
        <f t="shared" si="508"/>
        <v>0</v>
      </c>
      <c r="AP664" s="87">
        <f t="shared" si="509"/>
        <v>0</v>
      </c>
      <c r="AQ664" s="87">
        <f t="shared" si="510"/>
        <v>0</v>
      </c>
      <c r="AR664" s="81"/>
      <c r="AS664" s="85">
        <f t="shared" si="511"/>
        <v>0</v>
      </c>
      <c r="AT664" s="85">
        <f t="shared" si="512"/>
        <v>0</v>
      </c>
      <c r="AU664" s="85">
        <f t="shared" si="513"/>
        <v>0</v>
      </c>
      <c r="AV664" s="85">
        <f t="shared" si="514"/>
        <v>0</v>
      </c>
      <c r="AW664" s="85">
        <f t="shared" si="515"/>
        <v>0</v>
      </c>
      <c r="AX664" s="85">
        <f t="shared" si="516"/>
        <v>0</v>
      </c>
      <c r="AY664" s="85">
        <f t="shared" si="517"/>
        <v>0</v>
      </c>
      <c r="AZ664" s="85">
        <f t="shared" si="518"/>
        <v>0</v>
      </c>
      <c r="BA664" s="85">
        <f t="shared" si="519"/>
        <v>0</v>
      </c>
      <c r="BB664" s="85">
        <f t="shared" si="520"/>
        <v>0</v>
      </c>
      <c r="BC664" s="85">
        <f t="shared" si="521"/>
        <v>0</v>
      </c>
      <c r="BD664" s="85">
        <f t="shared" si="522"/>
        <v>0</v>
      </c>
      <c r="BE664" s="85">
        <f t="shared" si="523"/>
        <v>0</v>
      </c>
      <c r="BF664" s="85">
        <f t="shared" si="524"/>
        <v>0</v>
      </c>
      <c r="BG664" s="85">
        <f t="shared" si="525"/>
        <v>0</v>
      </c>
      <c r="BH664" s="85">
        <f t="shared" si="526"/>
        <v>0</v>
      </c>
      <c r="BI664" s="85">
        <f t="shared" si="527"/>
        <v>0</v>
      </c>
      <c r="BJ664" s="85">
        <f t="shared" si="528"/>
        <v>0</v>
      </c>
      <c r="BK664" s="85">
        <f t="shared" si="529"/>
        <v>0</v>
      </c>
      <c r="BL664" s="85">
        <f t="shared" si="530"/>
        <v>0</v>
      </c>
      <c r="BM664" s="85">
        <f t="shared" si="531"/>
        <v>0</v>
      </c>
      <c r="BN664" s="85">
        <f t="shared" si="532"/>
        <v>0</v>
      </c>
      <c r="BO664" s="85">
        <f t="shared" si="533"/>
        <v>0</v>
      </c>
      <c r="BP664" s="85">
        <f t="shared" si="534"/>
        <v>0</v>
      </c>
      <c r="BQ664" s="85">
        <f t="shared" si="535"/>
        <v>0</v>
      </c>
      <c r="BR664" s="85">
        <f t="shared" si="536"/>
        <v>0</v>
      </c>
      <c r="BT664" s="63"/>
      <c r="BU664" s="63"/>
      <c r="BV664" s="63"/>
      <c r="BW664" s="63"/>
      <c r="BX664" s="63"/>
      <c r="BY664" s="63"/>
      <c r="BZ664" s="63"/>
      <c r="CA664" s="63"/>
      <c r="CB664" s="63"/>
      <c r="CC664" s="63"/>
      <c r="CD664" s="63"/>
      <c r="CE664" s="63"/>
      <c r="CF664" s="63"/>
      <c r="CG664" s="63"/>
      <c r="CH664" s="63"/>
      <c r="CI664" s="63"/>
      <c r="CJ664" s="63"/>
      <c r="CK664" s="63"/>
      <c r="CL664" s="63"/>
      <c r="CM664" s="63"/>
      <c r="CN664" s="63"/>
      <c r="CO664" s="63"/>
      <c r="CP664" s="63"/>
      <c r="CQ664" s="63"/>
      <c r="CR664" s="63"/>
      <c r="CS664" s="63"/>
      <c r="CX664" s="35" t="s">
        <v>12</v>
      </c>
      <c r="CZ664" s="35"/>
      <c r="DC664" s="57" t="str">
        <f t="shared" si="541"/>
        <v/>
      </c>
      <c r="DD664" s="64" t="str">
        <f t="shared" si="537"/>
        <v/>
      </c>
      <c r="DE664" s="65" t="str">
        <f t="shared" si="538"/>
        <v/>
      </c>
      <c r="DF664" s="66" t="str">
        <f t="shared" si="499"/>
        <v/>
      </c>
    </row>
    <row r="665" spans="2:110">
      <c r="B665" s="54">
        <f t="shared" si="495"/>
        <v>47707</v>
      </c>
      <c r="C665" s="55" t="s">
        <v>1</v>
      </c>
      <c r="D665" s="56">
        <f t="shared" si="496"/>
        <v>47713</v>
      </c>
      <c r="E665" s="52">
        <f t="shared" si="497"/>
        <v>8</v>
      </c>
      <c r="F665" s="53">
        <f t="shared" si="498"/>
        <v>2030</v>
      </c>
      <c r="G665" s="62">
        <f t="shared" si="539"/>
        <v>15</v>
      </c>
      <c r="H665" s="63">
        <f t="shared" si="540"/>
        <v>96</v>
      </c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80"/>
      <c r="AG665" s="87">
        <f t="shared" si="500"/>
        <v>0</v>
      </c>
      <c r="AH665" s="87">
        <f t="shared" si="501"/>
        <v>0</v>
      </c>
      <c r="AI665" s="87">
        <f t="shared" si="502"/>
        <v>0</v>
      </c>
      <c r="AJ665" s="87">
        <f t="shared" si="503"/>
        <v>0</v>
      </c>
      <c r="AK665" s="87">
        <f t="shared" si="504"/>
        <v>0</v>
      </c>
      <c r="AL665" s="87">
        <f t="shared" si="505"/>
        <v>0</v>
      </c>
      <c r="AM665" s="87">
        <f t="shared" si="506"/>
        <v>0</v>
      </c>
      <c r="AN665" s="87">
        <f t="shared" si="507"/>
        <v>0</v>
      </c>
      <c r="AO665" s="87">
        <f t="shared" si="508"/>
        <v>0</v>
      </c>
      <c r="AP665" s="87">
        <f t="shared" si="509"/>
        <v>0</v>
      </c>
      <c r="AQ665" s="87">
        <f t="shared" si="510"/>
        <v>0</v>
      </c>
      <c r="AR665" s="81"/>
      <c r="AS665" s="85">
        <f t="shared" si="511"/>
        <v>0</v>
      </c>
      <c r="AT665" s="85">
        <f t="shared" si="512"/>
        <v>0</v>
      </c>
      <c r="AU665" s="85">
        <f t="shared" si="513"/>
        <v>0</v>
      </c>
      <c r="AV665" s="85">
        <f t="shared" si="514"/>
        <v>0</v>
      </c>
      <c r="AW665" s="85">
        <f t="shared" si="515"/>
        <v>0</v>
      </c>
      <c r="AX665" s="85">
        <f t="shared" si="516"/>
        <v>0</v>
      </c>
      <c r="AY665" s="85">
        <f t="shared" si="517"/>
        <v>0</v>
      </c>
      <c r="AZ665" s="85">
        <f t="shared" si="518"/>
        <v>0</v>
      </c>
      <c r="BA665" s="85">
        <f t="shared" si="519"/>
        <v>0</v>
      </c>
      <c r="BB665" s="85">
        <f t="shared" si="520"/>
        <v>0</v>
      </c>
      <c r="BC665" s="85">
        <f t="shared" si="521"/>
        <v>0</v>
      </c>
      <c r="BD665" s="85">
        <f t="shared" si="522"/>
        <v>0</v>
      </c>
      <c r="BE665" s="85">
        <f t="shared" si="523"/>
        <v>0</v>
      </c>
      <c r="BF665" s="85">
        <f t="shared" si="524"/>
        <v>0</v>
      </c>
      <c r="BG665" s="85">
        <f t="shared" si="525"/>
        <v>0</v>
      </c>
      <c r="BH665" s="85">
        <f t="shared" si="526"/>
        <v>0</v>
      </c>
      <c r="BI665" s="85">
        <f t="shared" si="527"/>
        <v>0</v>
      </c>
      <c r="BJ665" s="85">
        <f t="shared" si="528"/>
        <v>0</v>
      </c>
      <c r="BK665" s="85">
        <f t="shared" si="529"/>
        <v>0</v>
      </c>
      <c r="BL665" s="85">
        <f t="shared" si="530"/>
        <v>0</v>
      </c>
      <c r="BM665" s="85">
        <f t="shared" si="531"/>
        <v>0</v>
      </c>
      <c r="BN665" s="85">
        <f t="shared" si="532"/>
        <v>0</v>
      </c>
      <c r="BO665" s="85">
        <f t="shared" si="533"/>
        <v>0</v>
      </c>
      <c r="BP665" s="85">
        <f t="shared" si="534"/>
        <v>0</v>
      </c>
      <c r="BQ665" s="85">
        <f t="shared" si="535"/>
        <v>0</v>
      </c>
      <c r="BR665" s="85">
        <f t="shared" si="536"/>
        <v>0</v>
      </c>
      <c r="BT665" s="63"/>
      <c r="BU665" s="63"/>
      <c r="BV665" s="63"/>
      <c r="BW665" s="63"/>
      <c r="BX665" s="63"/>
      <c r="BY665" s="63"/>
      <c r="BZ665" s="63"/>
      <c r="CA665" s="63"/>
      <c r="CB665" s="63"/>
      <c r="CC665" s="63"/>
      <c r="CD665" s="63"/>
      <c r="CE665" s="63"/>
      <c r="CF665" s="63"/>
      <c r="CG665" s="63"/>
      <c r="CH665" s="63"/>
      <c r="CI665" s="63"/>
      <c r="CJ665" s="63"/>
      <c r="CK665" s="63"/>
      <c r="CL665" s="63"/>
      <c r="CM665" s="63"/>
      <c r="CN665" s="63"/>
      <c r="CO665" s="63"/>
      <c r="CP665" s="63"/>
      <c r="CQ665" s="63"/>
      <c r="CR665" s="63"/>
      <c r="CS665" s="63"/>
      <c r="CX665" s="35" t="s">
        <v>12</v>
      </c>
      <c r="CZ665" s="35"/>
      <c r="DC665" s="57" t="str">
        <f t="shared" si="541"/>
        <v/>
      </c>
      <c r="DD665" s="64" t="str">
        <f t="shared" si="537"/>
        <v/>
      </c>
      <c r="DE665" s="65" t="str">
        <f t="shared" si="538"/>
        <v/>
      </c>
      <c r="DF665" s="66" t="str">
        <f t="shared" si="499"/>
        <v/>
      </c>
    </row>
    <row r="666" spans="2:110">
      <c r="B666" s="54">
        <f t="shared" si="495"/>
        <v>47714</v>
      </c>
      <c r="C666" s="55" t="s">
        <v>1</v>
      </c>
      <c r="D666" s="56">
        <f t="shared" si="496"/>
        <v>47720</v>
      </c>
      <c r="E666" s="52">
        <f t="shared" si="497"/>
        <v>8</v>
      </c>
      <c r="F666" s="53">
        <f t="shared" si="498"/>
        <v>2030</v>
      </c>
      <c r="G666" s="62">
        <f t="shared" si="539"/>
        <v>15</v>
      </c>
      <c r="H666" s="63">
        <f t="shared" si="540"/>
        <v>96</v>
      </c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80"/>
      <c r="AG666" s="87">
        <f t="shared" si="500"/>
        <v>0</v>
      </c>
      <c r="AH666" s="87">
        <f t="shared" si="501"/>
        <v>0</v>
      </c>
      <c r="AI666" s="87">
        <f t="shared" si="502"/>
        <v>0</v>
      </c>
      <c r="AJ666" s="87">
        <f t="shared" si="503"/>
        <v>0</v>
      </c>
      <c r="AK666" s="87">
        <f t="shared" si="504"/>
        <v>0</v>
      </c>
      <c r="AL666" s="87">
        <f t="shared" si="505"/>
        <v>0</v>
      </c>
      <c r="AM666" s="87">
        <f t="shared" si="506"/>
        <v>0</v>
      </c>
      <c r="AN666" s="87">
        <f t="shared" si="507"/>
        <v>0</v>
      </c>
      <c r="AO666" s="87">
        <f t="shared" si="508"/>
        <v>0</v>
      </c>
      <c r="AP666" s="87">
        <f t="shared" si="509"/>
        <v>0</v>
      </c>
      <c r="AQ666" s="87">
        <f t="shared" si="510"/>
        <v>0</v>
      </c>
      <c r="AR666" s="81"/>
      <c r="AS666" s="85">
        <f t="shared" si="511"/>
        <v>0</v>
      </c>
      <c r="AT666" s="85">
        <f t="shared" si="512"/>
        <v>0</v>
      </c>
      <c r="AU666" s="85">
        <f t="shared" si="513"/>
        <v>0</v>
      </c>
      <c r="AV666" s="85">
        <f t="shared" si="514"/>
        <v>0</v>
      </c>
      <c r="AW666" s="85">
        <f t="shared" si="515"/>
        <v>0</v>
      </c>
      <c r="AX666" s="85">
        <f t="shared" si="516"/>
        <v>0</v>
      </c>
      <c r="AY666" s="85">
        <f t="shared" si="517"/>
        <v>0</v>
      </c>
      <c r="AZ666" s="85">
        <f t="shared" si="518"/>
        <v>0</v>
      </c>
      <c r="BA666" s="85">
        <f t="shared" si="519"/>
        <v>0</v>
      </c>
      <c r="BB666" s="85">
        <f t="shared" si="520"/>
        <v>0</v>
      </c>
      <c r="BC666" s="85">
        <f t="shared" si="521"/>
        <v>0</v>
      </c>
      <c r="BD666" s="85">
        <f t="shared" si="522"/>
        <v>0</v>
      </c>
      <c r="BE666" s="85">
        <f t="shared" si="523"/>
        <v>0</v>
      </c>
      <c r="BF666" s="85">
        <f t="shared" si="524"/>
        <v>0</v>
      </c>
      <c r="BG666" s="85">
        <f t="shared" si="525"/>
        <v>0</v>
      </c>
      <c r="BH666" s="85">
        <f t="shared" si="526"/>
        <v>0</v>
      </c>
      <c r="BI666" s="85">
        <f t="shared" si="527"/>
        <v>0</v>
      </c>
      <c r="BJ666" s="85">
        <f t="shared" si="528"/>
        <v>0</v>
      </c>
      <c r="BK666" s="85">
        <f t="shared" si="529"/>
        <v>0</v>
      </c>
      <c r="BL666" s="85">
        <f t="shared" si="530"/>
        <v>0</v>
      </c>
      <c r="BM666" s="85">
        <f t="shared" si="531"/>
        <v>0</v>
      </c>
      <c r="BN666" s="85">
        <f t="shared" si="532"/>
        <v>0</v>
      </c>
      <c r="BO666" s="85">
        <f t="shared" si="533"/>
        <v>0</v>
      </c>
      <c r="BP666" s="85">
        <f t="shared" si="534"/>
        <v>0</v>
      </c>
      <c r="BQ666" s="85">
        <f t="shared" si="535"/>
        <v>0</v>
      </c>
      <c r="BR666" s="85">
        <f t="shared" si="536"/>
        <v>0</v>
      </c>
      <c r="BT666" s="63"/>
      <c r="BU666" s="63"/>
      <c r="BV666" s="63"/>
      <c r="BW666" s="63"/>
      <c r="BX666" s="63"/>
      <c r="BY666" s="63"/>
      <c r="BZ666" s="63"/>
      <c r="CA666" s="63"/>
      <c r="CB666" s="63"/>
      <c r="CC666" s="63"/>
      <c r="CD666" s="63"/>
      <c r="CE666" s="63"/>
      <c r="CF666" s="63"/>
      <c r="CG666" s="63"/>
      <c r="CH666" s="63"/>
      <c r="CI666" s="63"/>
      <c r="CJ666" s="63"/>
      <c r="CK666" s="63"/>
      <c r="CL666" s="63"/>
      <c r="CM666" s="63"/>
      <c r="CN666" s="63"/>
      <c r="CO666" s="63"/>
      <c r="CP666" s="63"/>
      <c r="CQ666" s="63"/>
      <c r="CR666" s="63"/>
      <c r="CS666" s="63"/>
      <c r="CX666" s="35" t="s">
        <v>12</v>
      </c>
      <c r="CZ666" s="35"/>
      <c r="DC666" s="57" t="str">
        <f t="shared" si="541"/>
        <v/>
      </c>
      <c r="DD666" s="64" t="str">
        <f t="shared" si="537"/>
        <v/>
      </c>
      <c r="DE666" s="65" t="str">
        <f t="shared" si="538"/>
        <v/>
      </c>
      <c r="DF666" s="66" t="str">
        <f t="shared" si="499"/>
        <v/>
      </c>
    </row>
    <row r="667" spans="2:110">
      <c r="B667" s="54">
        <f t="shared" si="495"/>
        <v>47721</v>
      </c>
      <c r="C667" s="55" t="s">
        <v>1</v>
      </c>
      <c r="D667" s="56">
        <f t="shared" si="496"/>
        <v>47727</v>
      </c>
      <c r="E667" s="52">
        <f t="shared" si="497"/>
        <v>8</v>
      </c>
      <c r="F667" s="53">
        <f t="shared" si="498"/>
        <v>2030</v>
      </c>
      <c r="G667" s="62">
        <f t="shared" si="539"/>
        <v>15</v>
      </c>
      <c r="H667" s="63">
        <f t="shared" si="540"/>
        <v>96</v>
      </c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80"/>
      <c r="AG667" s="87">
        <f t="shared" si="500"/>
        <v>0</v>
      </c>
      <c r="AH667" s="87">
        <f t="shared" si="501"/>
        <v>0</v>
      </c>
      <c r="AI667" s="87">
        <f t="shared" si="502"/>
        <v>0</v>
      </c>
      <c r="AJ667" s="87">
        <f t="shared" si="503"/>
        <v>0</v>
      </c>
      <c r="AK667" s="87">
        <f t="shared" si="504"/>
        <v>0</v>
      </c>
      <c r="AL667" s="87">
        <f t="shared" si="505"/>
        <v>0</v>
      </c>
      <c r="AM667" s="87">
        <f t="shared" si="506"/>
        <v>0</v>
      </c>
      <c r="AN667" s="87">
        <f t="shared" si="507"/>
        <v>0</v>
      </c>
      <c r="AO667" s="87">
        <f t="shared" si="508"/>
        <v>0</v>
      </c>
      <c r="AP667" s="87">
        <f t="shared" si="509"/>
        <v>0</v>
      </c>
      <c r="AQ667" s="87">
        <f t="shared" si="510"/>
        <v>0</v>
      </c>
      <c r="AR667" s="81"/>
      <c r="AS667" s="85">
        <f t="shared" si="511"/>
        <v>0</v>
      </c>
      <c r="AT667" s="85">
        <f t="shared" si="512"/>
        <v>0</v>
      </c>
      <c r="AU667" s="85">
        <f t="shared" si="513"/>
        <v>0</v>
      </c>
      <c r="AV667" s="85">
        <f t="shared" si="514"/>
        <v>0</v>
      </c>
      <c r="AW667" s="85">
        <f t="shared" si="515"/>
        <v>0</v>
      </c>
      <c r="AX667" s="85">
        <f t="shared" si="516"/>
        <v>0</v>
      </c>
      <c r="AY667" s="85">
        <f t="shared" si="517"/>
        <v>0</v>
      </c>
      <c r="AZ667" s="85">
        <f t="shared" si="518"/>
        <v>0</v>
      </c>
      <c r="BA667" s="85">
        <f t="shared" si="519"/>
        <v>0</v>
      </c>
      <c r="BB667" s="85">
        <f t="shared" si="520"/>
        <v>0</v>
      </c>
      <c r="BC667" s="85">
        <f t="shared" si="521"/>
        <v>0</v>
      </c>
      <c r="BD667" s="85">
        <f t="shared" si="522"/>
        <v>0</v>
      </c>
      <c r="BE667" s="85">
        <f t="shared" si="523"/>
        <v>0</v>
      </c>
      <c r="BF667" s="85">
        <f t="shared" si="524"/>
        <v>0</v>
      </c>
      <c r="BG667" s="85">
        <f t="shared" si="525"/>
        <v>0</v>
      </c>
      <c r="BH667" s="85">
        <f t="shared" si="526"/>
        <v>0</v>
      </c>
      <c r="BI667" s="85">
        <f t="shared" si="527"/>
        <v>0</v>
      </c>
      <c r="BJ667" s="85">
        <f t="shared" si="528"/>
        <v>0</v>
      </c>
      <c r="BK667" s="85">
        <f t="shared" si="529"/>
        <v>0</v>
      </c>
      <c r="BL667" s="85">
        <f t="shared" si="530"/>
        <v>0</v>
      </c>
      <c r="BM667" s="85">
        <f t="shared" si="531"/>
        <v>0</v>
      </c>
      <c r="BN667" s="85">
        <f t="shared" si="532"/>
        <v>0</v>
      </c>
      <c r="BO667" s="85">
        <f t="shared" si="533"/>
        <v>0</v>
      </c>
      <c r="BP667" s="85">
        <f t="shared" si="534"/>
        <v>0</v>
      </c>
      <c r="BQ667" s="85">
        <f t="shared" si="535"/>
        <v>0</v>
      </c>
      <c r="BR667" s="85">
        <f t="shared" si="536"/>
        <v>0</v>
      </c>
      <c r="BT667" s="63"/>
      <c r="BU667" s="63"/>
      <c r="BV667" s="63"/>
      <c r="BW667" s="63"/>
      <c r="BX667" s="63"/>
      <c r="BY667" s="63"/>
      <c r="BZ667" s="63"/>
      <c r="CA667" s="63"/>
      <c r="CB667" s="63"/>
      <c r="CC667" s="63"/>
      <c r="CD667" s="63"/>
      <c r="CE667" s="63"/>
      <c r="CF667" s="63"/>
      <c r="CG667" s="63"/>
      <c r="CH667" s="63"/>
      <c r="CI667" s="63"/>
      <c r="CJ667" s="63"/>
      <c r="CK667" s="63"/>
      <c r="CL667" s="63"/>
      <c r="CM667" s="63"/>
      <c r="CN667" s="63"/>
      <c r="CO667" s="63"/>
      <c r="CP667" s="63"/>
      <c r="CQ667" s="63"/>
      <c r="CR667" s="63"/>
      <c r="CS667" s="63"/>
      <c r="CX667" s="35" t="s">
        <v>12</v>
      </c>
      <c r="CZ667" s="35"/>
      <c r="DC667" s="57" t="str">
        <f t="shared" si="541"/>
        <v/>
      </c>
      <c r="DD667" s="64" t="str">
        <f t="shared" si="537"/>
        <v/>
      </c>
      <c r="DE667" s="65" t="str">
        <f t="shared" si="538"/>
        <v/>
      </c>
      <c r="DF667" s="66" t="str">
        <f t="shared" si="499"/>
        <v/>
      </c>
    </row>
    <row r="668" spans="2:110">
      <c r="B668" s="54">
        <f t="shared" si="495"/>
        <v>47728</v>
      </c>
      <c r="C668" s="55" t="s">
        <v>1</v>
      </c>
      <c r="D668" s="56">
        <f t="shared" si="496"/>
        <v>47734</v>
      </c>
      <c r="E668" s="52">
        <f t="shared" si="497"/>
        <v>9</v>
      </c>
      <c r="F668" s="53">
        <f t="shared" si="498"/>
        <v>2030</v>
      </c>
      <c r="G668" s="62">
        <f t="shared" si="539"/>
        <v>15</v>
      </c>
      <c r="H668" s="63">
        <f t="shared" si="540"/>
        <v>96</v>
      </c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80"/>
      <c r="AG668" s="87">
        <f t="shared" si="500"/>
        <v>0</v>
      </c>
      <c r="AH668" s="87">
        <f t="shared" si="501"/>
        <v>0</v>
      </c>
      <c r="AI668" s="87">
        <f t="shared" si="502"/>
        <v>0</v>
      </c>
      <c r="AJ668" s="87">
        <f t="shared" si="503"/>
        <v>0</v>
      </c>
      <c r="AK668" s="87">
        <f t="shared" si="504"/>
        <v>0</v>
      </c>
      <c r="AL668" s="87">
        <f t="shared" si="505"/>
        <v>0</v>
      </c>
      <c r="AM668" s="87">
        <f t="shared" si="506"/>
        <v>0</v>
      </c>
      <c r="AN668" s="87">
        <f t="shared" si="507"/>
        <v>0</v>
      </c>
      <c r="AO668" s="87">
        <f t="shared" si="508"/>
        <v>0</v>
      </c>
      <c r="AP668" s="87">
        <f t="shared" si="509"/>
        <v>0</v>
      </c>
      <c r="AQ668" s="87">
        <f t="shared" si="510"/>
        <v>0</v>
      </c>
      <c r="AR668" s="81"/>
      <c r="AS668" s="85">
        <f t="shared" si="511"/>
        <v>0</v>
      </c>
      <c r="AT668" s="85">
        <f t="shared" si="512"/>
        <v>0</v>
      </c>
      <c r="AU668" s="85">
        <f t="shared" si="513"/>
        <v>0</v>
      </c>
      <c r="AV668" s="85">
        <f t="shared" si="514"/>
        <v>0</v>
      </c>
      <c r="AW668" s="85">
        <f t="shared" si="515"/>
        <v>0</v>
      </c>
      <c r="AX668" s="85">
        <f t="shared" si="516"/>
        <v>0</v>
      </c>
      <c r="AY668" s="85">
        <f t="shared" si="517"/>
        <v>0</v>
      </c>
      <c r="AZ668" s="85">
        <f t="shared" si="518"/>
        <v>0</v>
      </c>
      <c r="BA668" s="85">
        <f t="shared" si="519"/>
        <v>0</v>
      </c>
      <c r="BB668" s="85">
        <f t="shared" si="520"/>
        <v>0</v>
      </c>
      <c r="BC668" s="85">
        <f t="shared" si="521"/>
        <v>0</v>
      </c>
      <c r="BD668" s="85">
        <f t="shared" si="522"/>
        <v>0</v>
      </c>
      <c r="BE668" s="85">
        <f t="shared" si="523"/>
        <v>0</v>
      </c>
      <c r="BF668" s="85">
        <f t="shared" si="524"/>
        <v>0</v>
      </c>
      <c r="BG668" s="85">
        <f t="shared" si="525"/>
        <v>0</v>
      </c>
      <c r="BH668" s="85">
        <f t="shared" si="526"/>
        <v>0</v>
      </c>
      <c r="BI668" s="85">
        <f t="shared" si="527"/>
        <v>0</v>
      </c>
      <c r="BJ668" s="85">
        <f t="shared" si="528"/>
        <v>0</v>
      </c>
      <c r="BK668" s="85">
        <f t="shared" si="529"/>
        <v>0</v>
      </c>
      <c r="BL668" s="85">
        <f t="shared" si="530"/>
        <v>0</v>
      </c>
      <c r="BM668" s="85">
        <f t="shared" si="531"/>
        <v>0</v>
      </c>
      <c r="BN668" s="85">
        <f t="shared" si="532"/>
        <v>0</v>
      </c>
      <c r="BO668" s="85">
        <f t="shared" si="533"/>
        <v>0</v>
      </c>
      <c r="BP668" s="85">
        <f t="shared" si="534"/>
        <v>0</v>
      </c>
      <c r="BQ668" s="85">
        <f t="shared" si="535"/>
        <v>0</v>
      </c>
      <c r="BR668" s="85">
        <f t="shared" si="536"/>
        <v>0</v>
      </c>
      <c r="BT668" s="63"/>
      <c r="BU668" s="63"/>
      <c r="BV668" s="63"/>
      <c r="BW668" s="63"/>
      <c r="BX668" s="63"/>
      <c r="BY668" s="63"/>
      <c r="BZ668" s="63"/>
      <c r="CA668" s="63"/>
      <c r="CB668" s="63"/>
      <c r="CC668" s="63"/>
      <c r="CD668" s="63"/>
      <c r="CE668" s="63"/>
      <c r="CF668" s="63"/>
      <c r="CG668" s="63"/>
      <c r="CH668" s="63"/>
      <c r="CI668" s="63"/>
      <c r="CJ668" s="63"/>
      <c r="CK668" s="63"/>
      <c r="CL668" s="63"/>
      <c r="CM668" s="63"/>
      <c r="CN668" s="63"/>
      <c r="CO668" s="63"/>
      <c r="CP668" s="63"/>
      <c r="CQ668" s="63"/>
      <c r="CR668" s="63"/>
      <c r="CS668" s="63"/>
      <c r="CX668" s="35" t="s">
        <v>12</v>
      </c>
      <c r="CZ668" s="35"/>
      <c r="DC668" s="57" t="str">
        <f t="shared" si="541"/>
        <v/>
      </c>
      <c r="DD668" s="64" t="str">
        <f t="shared" si="537"/>
        <v/>
      </c>
      <c r="DE668" s="65" t="str">
        <f t="shared" si="538"/>
        <v/>
      </c>
      <c r="DF668" s="66" t="str">
        <f t="shared" si="499"/>
        <v/>
      </c>
    </row>
    <row r="669" spans="2:110">
      <c r="B669" s="54">
        <f t="shared" si="495"/>
        <v>47735</v>
      </c>
      <c r="C669" s="55" t="s">
        <v>1</v>
      </c>
      <c r="D669" s="56">
        <f t="shared" si="496"/>
        <v>47741</v>
      </c>
      <c r="E669" s="52">
        <f t="shared" si="497"/>
        <v>9</v>
      </c>
      <c r="F669" s="53">
        <f t="shared" si="498"/>
        <v>2030</v>
      </c>
      <c r="G669" s="62">
        <f t="shared" si="539"/>
        <v>15</v>
      </c>
      <c r="H669" s="63">
        <f t="shared" si="540"/>
        <v>96</v>
      </c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80"/>
      <c r="AG669" s="87">
        <f t="shared" si="500"/>
        <v>0</v>
      </c>
      <c r="AH669" s="87">
        <f t="shared" si="501"/>
        <v>0</v>
      </c>
      <c r="AI669" s="87">
        <f t="shared" si="502"/>
        <v>0</v>
      </c>
      <c r="AJ669" s="87">
        <f t="shared" si="503"/>
        <v>0</v>
      </c>
      <c r="AK669" s="87">
        <f t="shared" si="504"/>
        <v>0</v>
      </c>
      <c r="AL669" s="87">
        <f t="shared" si="505"/>
        <v>0</v>
      </c>
      <c r="AM669" s="87">
        <f t="shared" si="506"/>
        <v>0</v>
      </c>
      <c r="AN669" s="87">
        <f t="shared" si="507"/>
        <v>0</v>
      </c>
      <c r="AO669" s="87">
        <f t="shared" si="508"/>
        <v>0</v>
      </c>
      <c r="AP669" s="87">
        <f t="shared" si="509"/>
        <v>0</v>
      </c>
      <c r="AQ669" s="87">
        <f t="shared" si="510"/>
        <v>0</v>
      </c>
      <c r="AR669" s="81"/>
      <c r="AS669" s="85">
        <f t="shared" si="511"/>
        <v>0</v>
      </c>
      <c r="AT669" s="85">
        <f t="shared" si="512"/>
        <v>0</v>
      </c>
      <c r="AU669" s="85">
        <f t="shared" si="513"/>
        <v>0</v>
      </c>
      <c r="AV669" s="85">
        <f t="shared" si="514"/>
        <v>0</v>
      </c>
      <c r="AW669" s="85">
        <f t="shared" si="515"/>
        <v>0</v>
      </c>
      <c r="AX669" s="85">
        <f t="shared" si="516"/>
        <v>0</v>
      </c>
      <c r="AY669" s="85">
        <f t="shared" si="517"/>
        <v>0</v>
      </c>
      <c r="AZ669" s="85">
        <f t="shared" si="518"/>
        <v>0</v>
      </c>
      <c r="BA669" s="85">
        <f t="shared" si="519"/>
        <v>0</v>
      </c>
      <c r="BB669" s="85">
        <f t="shared" si="520"/>
        <v>0</v>
      </c>
      <c r="BC669" s="85">
        <f t="shared" si="521"/>
        <v>0</v>
      </c>
      <c r="BD669" s="85">
        <f t="shared" si="522"/>
        <v>0</v>
      </c>
      <c r="BE669" s="85">
        <f t="shared" si="523"/>
        <v>0</v>
      </c>
      <c r="BF669" s="85">
        <f t="shared" si="524"/>
        <v>0</v>
      </c>
      <c r="BG669" s="85">
        <f t="shared" si="525"/>
        <v>0</v>
      </c>
      <c r="BH669" s="85">
        <f t="shared" si="526"/>
        <v>0</v>
      </c>
      <c r="BI669" s="85">
        <f t="shared" si="527"/>
        <v>0</v>
      </c>
      <c r="BJ669" s="85">
        <f t="shared" si="528"/>
        <v>0</v>
      </c>
      <c r="BK669" s="85">
        <f t="shared" si="529"/>
        <v>0</v>
      </c>
      <c r="BL669" s="85">
        <f t="shared" si="530"/>
        <v>0</v>
      </c>
      <c r="BM669" s="85">
        <f t="shared" si="531"/>
        <v>0</v>
      </c>
      <c r="BN669" s="85">
        <f t="shared" si="532"/>
        <v>0</v>
      </c>
      <c r="BO669" s="85">
        <f t="shared" si="533"/>
        <v>0</v>
      </c>
      <c r="BP669" s="85">
        <f t="shared" si="534"/>
        <v>0</v>
      </c>
      <c r="BQ669" s="85">
        <f t="shared" si="535"/>
        <v>0</v>
      </c>
      <c r="BR669" s="85">
        <f t="shared" si="536"/>
        <v>0</v>
      </c>
      <c r="BT669" s="63"/>
      <c r="BU669" s="63"/>
      <c r="BV669" s="63"/>
      <c r="BW669" s="63"/>
      <c r="BX669" s="63"/>
      <c r="BY669" s="63"/>
      <c r="BZ669" s="63"/>
      <c r="CA669" s="63"/>
      <c r="CB669" s="63"/>
      <c r="CC669" s="63"/>
      <c r="CD669" s="63"/>
      <c r="CE669" s="63"/>
      <c r="CF669" s="63"/>
      <c r="CG669" s="63"/>
      <c r="CH669" s="63"/>
      <c r="CI669" s="63"/>
      <c r="CJ669" s="63"/>
      <c r="CK669" s="63"/>
      <c r="CL669" s="63"/>
      <c r="CM669" s="63"/>
      <c r="CN669" s="63"/>
      <c r="CO669" s="63"/>
      <c r="CP669" s="63"/>
      <c r="CQ669" s="63"/>
      <c r="CR669" s="63"/>
      <c r="CS669" s="63"/>
      <c r="CX669" s="35" t="s">
        <v>12</v>
      </c>
      <c r="CZ669" s="35"/>
      <c r="DC669" s="57" t="str">
        <f t="shared" si="541"/>
        <v/>
      </c>
      <c r="DD669" s="64" t="str">
        <f t="shared" si="537"/>
        <v/>
      </c>
      <c r="DE669" s="65" t="str">
        <f t="shared" si="538"/>
        <v/>
      </c>
      <c r="DF669" s="66" t="str">
        <f t="shared" si="499"/>
        <v/>
      </c>
    </row>
    <row r="670" spans="2:110">
      <c r="B670" s="54">
        <f t="shared" si="495"/>
        <v>47742</v>
      </c>
      <c r="C670" s="55" t="s">
        <v>1</v>
      </c>
      <c r="D670" s="56">
        <f t="shared" si="496"/>
        <v>47748</v>
      </c>
      <c r="E670" s="52">
        <f t="shared" si="497"/>
        <v>9</v>
      </c>
      <c r="F670" s="53">
        <f t="shared" si="498"/>
        <v>2030</v>
      </c>
      <c r="G670" s="62">
        <f t="shared" si="539"/>
        <v>15</v>
      </c>
      <c r="H670" s="63">
        <f t="shared" si="540"/>
        <v>96</v>
      </c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80"/>
      <c r="AG670" s="87">
        <f t="shared" si="500"/>
        <v>0</v>
      </c>
      <c r="AH670" s="87">
        <f t="shared" si="501"/>
        <v>0</v>
      </c>
      <c r="AI670" s="87">
        <f t="shared" si="502"/>
        <v>0</v>
      </c>
      <c r="AJ670" s="87">
        <f t="shared" si="503"/>
        <v>0</v>
      </c>
      <c r="AK670" s="87">
        <f t="shared" si="504"/>
        <v>0</v>
      </c>
      <c r="AL670" s="87">
        <f t="shared" si="505"/>
        <v>0</v>
      </c>
      <c r="AM670" s="87">
        <f t="shared" si="506"/>
        <v>0</v>
      </c>
      <c r="AN670" s="87">
        <f t="shared" si="507"/>
        <v>0</v>
      </c>
      <c r="AO670" s="87">
        <f t="shared" si="508"/>
        <v>0</v>
      </c>
      <c r="AP670" s="87">
        <f t="shared" si="509"/>
        <v>0</v>
      </c>
      <c r="AQ670" s="87">
        <f t="shared" si="510"/>
        <v>0</v>
      </c>
      <c r="AR670" s="81"/>
      <c r="AS670" s="85">
        <f t="shared" si="511"/>
        <v>0</v>
      </c>
      <c r="AT670" s="85">
        <f t="shared" si="512"/>
        <v>0</v>
      </c>
      <c r="AU670" s="85">
        <f t="shared" si="513"/>
        <v>0</v>
      </c>
      <c r="AV670" s="85">
        <f t="shared" si="514"/>
        <v>0</v>
      </c>
      <c r="AW670" s="85">
        <f t="shared" si="515"/>
        <v>0</v>
      </c>
      <c r="AX670" s="85">
        <f t="shared" si="516"/>
        <v>0</v>
      </c>
      <c r="AY670" s="85">
        <f t="shared" si="517"/>
        <v>0</v>
      </c>
      <c r="AZ670" s="85">
        <f t="shared" si="518"/>
        <v>0</v>
      </c>
      <c r="BA670" s="85">
        <f t="shared" si="519"/>
        <v>0</v>
      </c>
      <c r="BB670" s="85">
        <f t="shared" si="520"/>
        <v>0</v>
      </c>
      <c r="BC670" s="85">
        <f t="shared" si="521"/>
        <v>0</v>
      </c>
      <c r="BD670" s="85">
        <f t="shared" si="522"/>
        <v>0</v>
      </c>
      <c r="BE670" s="85">
        <f t="shared" si="523"/>
        <v>0</v>
      </c>
      <c r="BF670" s="85">
        <f t="shared" si="524"/>
        <v>0</v>
      </c>
      <c r="BG670" s="85">
        <f t="shared" si="525"/>
        <v>0</v>
      </c>
      <c r="BH670" s="85">
        <f t="shared" si="526"/>
        <v>0</v>
      </c>
      <c r="BI670" s="85">
        <f t="shared" si="527"/>
        <v>0</v>
      </c>
      <c r="BJ670" s="85">
        <f t="shared" si="528"/>
        <v>0</v>
      </c>
      <c r="BK670" s="85">
        <f t="shared" si="529"/>
        <v>0</v>
      </c>
      <c r="BL670" s="85">
        <f t="shared" si="530"/>
        <v>0</v>
      </c>
      <c r="BM670" s="85">
        <f t="shared" si="531"/>
        <v>0</v>
      </c>
      <c r="BN670" s="85">
        <f t="shared" si="532"/>
        <v>0</v>
      </c>
      <c r="BO670" s="85">
        <f t="shared" si="533"/>
        <v>0</v>
      </c>
      <c r="BP670" s="85">
        <f t="shared" si="534"/>
        <v>0</v>
      </c>
      <c r="BQ670" s="85">
        <f t="shared" si="535"/>
        <v>0</v>
      </c>
      <c r="BR670" s="85">
        <f t="shared" si="536"/>
        <v>0</v>
      </c>
      <c r="BT670" s="63"/>
      <c r="BU670" s="63"/>
      <c r="BV670" s="63"/>
      <c r="BW670" s="63"/>
      <c r="BX670" s="63"/>
      <c r="BY670" s="63"/>
      <c r="BZ670" s="63"/>
      <c r="CA670" s="63"/>
      <c r="CB670" s="63"/>
      <c r="CC670" s="63"/>
      <c r="CD670" s="63"/>
      <c r="CE670" s="63"/>
      <c r="CF670" s="63"/>
      <c r="CG670" s="63"/>
      <c r="CH670" s="63"/>
      <c r="CI670" s="63"/>
      <c r="CJ670" s="63"/>
      <c r="CK670" s="63"/>
      <c r="CL670" s="63"/>
      <c r="CM670" s="63"/>
      <c r="CN670" s="63"/>
      <c r="CO670" s="63"/>
      <c r="CP670" s="63"/>
      <c r="CQ670" s="63"/>
      <c r="CR670" s="63"/>
      <c r="CS670" s="63"/>
      <c r="CX670" s="35" t="s">
        <v>12</v>
      </c>
      <c r="CZ670" s="35"/>
      <c r="DC670" s="57" t="str">
        <f t="shared" si="541"/>
        <v/>
      </c>
      <c r="DD670" s="64" t="str">
        <f t="shared" si="537"/>
        <v/>
      </c>
      <c r="DE670" s="65" t="str">
        <f t="shared" si="538"/>
        <v/>
      </c>
      <c r="DF670" s="66" t="str">
        <f t="shared" si="499"/>
        <v/>
      </c>
    </row>
    <row r="671" spans="2:110">
      <c r="B671" s="54">
        <f t="shared" si="495"/>
        <v>47749</v>
      </c>
      <c r="C671" s="55" t="s">
        <v>1</v>
      </c>
      <c r="D671" s="56">
        <f t="shared" si="496"/>
        <v>47755</v>
      </c>
      <c r="E671" s="52">
        <f t="shared" si="497"/>
        <v>9</v>
      </c>
      <c r="F671" s="53">
        <f t="shared" si="498"/>
        <v>2030</v>
      </c>
      <c r="G671" s="62">
        <f t="shared" si="539"/>
        <v>15</v>
      </c>
      <c r="H671" s="63">
        <f t="shared" si="540"/>
        <v>96</v>
      </c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80"/>
      <c r="AG671" s="87">
        <f t="shared" si="500"/>
        <v>0</v>
      </c>
      <c r="AH671" s="87">
        <f t="shared" si="501"/>
        <v>0</v>
      </c>
      <c r="AI671" s="87">
        <f t="shared" si="502"/>
        <v>0</v>
      </c>
      <c r="AJ671" s="87">
        <f t="shared" si="503"/>
        <v>0</v>
      </c>
      <c r="AK671" s="87">
        <f t="shared" si="504"/>
        <v>0</v>
      </c>
      <c r="AL671" s="87">
        <f t="shared" si="505"/>
        <v>0</v>
      </c>
      <c r="AM671" s="87">
        <f t="shared" si="506"/>
        <v>0</v>
      </c>
      <c r="AN671" s="87">
        <f t="shared" si="507"/>
        <v>0</v>
      </c>
      <c r="AO671" s="87">
        <f t="shared" si="508"/>
        <v>0</v>
      </c>
      <c r="AP671" s="87">
        <f t="shared" si="509"/>
        <v>0</v>
      </c>
      <c r="AQ671" s="87">
        <f t="shared" si="510"/>
        <v>0</v>
      </c>
      <c r="AR671" s="81"/>
      <c r="AS671" s="85">
        <f t="shared" si="511"/>
        <v>0</v>
      </c>
      <c r="AT671" s="85">
        <f t="shared" si="512"/>
        <v>0</v>
      </c>
      <c r="AU671" s="85">
        <f t="shared" si="513"/>
        <v>0</v>
      </c>
      <c r="AV671" s="85">
        <f t="shared" si="514"/>
        <v>0</v>
      </c>
      <c r="AW671" s="85">
        <f t="shared" si="515"/>
        <v>0</v>
      </c>
      <c r="AX671" s="85">
        <f t="shared" si="516"/>
        <v>0</v>
      </c>
      <c r="AY671" s="85">
        <f t="shared" si="517"/>
        <v>0</v>
      </c>
      <c r="AZ671" s="85">
        <f t="shared" si="518"/>
        <v>0</v>
      </c>
      <c r="BA671" s="85">
        <f t="shared" si="519"/>
        <v>0</v>
      </c>
      <c r="BB671" s="85">
        <f t="shared" si="520"/>
        <v>0</v>
      </c>
      <c r="BC671" s="85">
        <f t="shared" si="521"/>
        <v>0</v>
      </c>
      <c r="BD671" s="85">
        <f t="shared" si="522"/>
        <v>0</v>
      </c>
      <c r="BE671" s="85">
        <f t="shared" si="523"/>
        <v>0</v>
      </c>
      <c r="BF671" s="85">
        <f t="shared" si="524"/>
        <v>0</v>
      </c>
      <c r="BG671" s="85">
        <f t="shared" si="525"/>
        <v>0</v>
      </c>
      <c r="BH671" s="85">
        <f t="shared" si="526"/>
        <v>0</v>
      </c>
      <c r="BI671" s="85">
        <f t="shared" si="527"/>
        <v>0</v>
      </c>
      <c r="BJ671" s="85">
        <f t="shared" si="528"/>
        <v>0</v>
      </c>
      <c r="BK671" s="85">
        <f t="shared" si="529"/>
        <v>0</v>
      </c>
      <c r="BL671" s="85">
        <f t="shared" si="530"/>
        <v>0</v>
      </c>
      <c r="BM671" s="85">
        <f t="shared" si="531"/>
        <v>0</v>
      </c>
      <c r="BN671" s="85">
        <f t="shared" si="532"/>
        <v>0</v>
      </c>
      <c r="BO671" s="85">
        <f t="shared" si="533"/>
        <v>0</v>
      </c>
      <c r="BP671" s="85">
        <f t="shared" si="534"/>
        <v>0</v>
      </c>
      <c r="BQ671" s="85">
        <f t="shared" si="535"/>
        <v>0</v>
      </c>
      <c r="BR671" s="85">
        <f t="shared" si="536"/>
        <v>0</v>
      </c>
      <c r="BT671" s="63"/>
      <c r="BU671" s="63"/>
      <c r="BV671" s="63"/>
      <c r="BW671" s="63"/>
      <c r="BX671" s="63"/>
      <c r="BY671" s="63"/>
      <c r="BZ671" s="63"/>
      <c r="CA671" s="63"/>
      <c r="CB671" s="63"/>
      <c r="CC671" s="63"/>
      <c r="CD671" s="63"/>
      <c r="CE671" s="63"/>
      <c r="CF671" s="63"/>
      <c r="CG671" s="63"/>
      <c r="CH671" s="63"/>
      <c r="CI671" s="63"/>
      <c r="CJ671" s="63"/>
      <c r="CK671" s="63"/>
      <c r="CL671" s="63"/>
      <c r="CM671" s="63"/>
      <c r="CN671" s="63"/>
      <c r="CO671" s="63"/>
      <c r="CP671" s="63"/>
      <c r="CQ671" s="63"/>
      <c r="CR671" s="63"/>
      <c r="CS671" s="63"/>
      <c r="CX671" s="35" t="s">
        <v>12</v>
      </c>
      <c r="CZ671" s="35"/>
      <c r="DC671" s="57" t="str">
        <f t="shared" si="541"/>
        <v/>
      </c>
      <c r="DD671" s="64" t="str">
        <f t="shared" si="537"/>
        <v/>
      </c>
      <c r="DE671" s="65" t="str">
        <f t="shared" si="538"/>
        <v/>
      </c>
      <c r="DF671" s="66" t="str">
        <f t="shared" si="499"/>
        <v/>
      </c>
    </row>
    <row r="672" spans="2:110">
      <c r="B672" s="54">
        <f t="shared" si="495"/>
        <v>47756</v>
      </c>
      <c r="C672" s="55" t="s">
        <v>1</v>
      </c>
      <c r="D672" s="56">
        <f t="shared" si="496"/>
        <v>47762</v>
      </c>
      <c r="E672" s="52">
        <f t="shared" si="497"/>
        <v>9</v>
      </c>
      <c r="F672" s="53">
        <f t="shared" si="498"/>
        <v>2030</v>
      </c>
      <c r="G672" s="62">
        <f t="shared" si="539"/>
        <v>15</v>
      </c>
      <c r="H672" s="63">
        <f t="shared" si="540"/>
        <v>96</v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80"/>
      <c r="AG672" s="87">
        <f t="shared" si="500"/>
        <v>0</v>
      </c>
      <c r="AH672" s="87">
        <f t="shared" si="501"/>
        <v>0</v>
      </c>
      <c r="AI672" s="87">
        <f t="shared" si="502"/>
        <v>0</v>
      </c>
      <c r="AJ672" s="87">
        <f t="shared" si="503"/>
        <v>0</v>
      </c>
      <c r="AK672" s="87">
        <f t="shared" si="504"/>
        <v>0</v>
      </c>
      <c r="AL672" s="87">
        <f t="shared" si="505"/>
        <v>0</v>
      </c>
      <c r="AM672" s="87">
        <f t="shared" si="506"/>
        <v>0</v>
      </c>
      <c r="AN672" s="87">
        <f t="shared" si="507"/>
        <v>0</v>
      </c>
      <c r="AO672" s="87">
        <f t="shared" si="508"/>
        <v>0</v>
      </c>
      <c r="AP672" s="87">
        <f t="shared" si="509"/>
        <v>0</v>
      </c>
      <c r="AQ672" s="87">
        <f t="shared" si="510"/>
        <v>0</v>
      </c>
      <c r="AR672" s="81"/>
      <c r="AS672" s="85">
        <f t="shared" si="511"/>
        <v>0</v>
      </c>
      <c r="AT672" s="85">
        <f t="shared" si="512"/>
        <v>0</v>
      </c>
      <c r="AU672" s="85">
        <f t="shared" si="513"/>
        <v>0</v>
      </c>
      <c r="AV672" s="85">
        <f t="shared" si="514"/>
        <v>0</v>
      </c>
      <c r="AW672" s="85">
        <f t="shared" si="515"/>
        <v>0</v>
      </c>
      <c r="AX672" s="85">
        <f t="shared" si="516"/>
        <v>0</v>
      </c>
      <c r="AY672" s="85">
        <f t="shared" si="517"/>
        <v>0</v>
      </c>
      <c r="AZ672" s="85">
        <f t="shared" si="518"/>
        <v>0</v>
      </c>
      <c r="BA672" s="85">
        <f t="shared" si="519"/>
        <v>0</v>
      </c>
      <c r="BB672" s="85">
        <f t="shared" si="520"/>
        <v>0</v>
      </c>
      <c r="BC672" s="85">
        <f t="shared" si="521"/>
        <v>0</v>
      </c>
      <c r="BD672" s="85">
        <f t="shared" si="522"/>
        <v>0</v>
      </c>
      <c r="BE672" s="85">
        <f t="shared" si="523"/>
        <v>0</v>
      </c>
      <c r="BF672" s="85">
        <f t="shared" si="524"/>
        <v>0</v>
      </c>
      <c r="BG672" s="85">
        <f t="shared" si="525"/>
        <v>0</v>
      </c>
      <c r="BH672" s="85">
        <f t="shared" si="526"/>
        <v>0</v>
      </c>
      <c r="BI672" s="85">
        <f t="shared" si="527"/>
        <v>0</v>
      </c>
      <c r="BJ672" s="85">
        <f t="shared" si="528"/>
        <v>0</v>
      </c>
      <c r="BK672" s="85">
        <f t="shared" si="529"/>
        <v>0</v>
      </c>
      <c r="BL672" s="85">
        <f t="shared" si="530"/>
        <v>0</v>
      </c>
      <c r="BM672" s="85">
        <f t="shared" si="531"/>
        <v>0</v>
      </c>
      <c r="BN672" s="85">
        <f t="shared" si="532"/>
        <v>0</v>
      </c>
      <c r="BO672" s="85">
        <f t="shared" si="533"/>
        <v>0</v>
      </c>
      <c r="BP672" s="85">
        <f t="shared" si="534"/>
        <v>0</v>
      </c>
      <c r="BQ672" s="85">
        <f t="shared" si="535"/>
        <v>0</v>
      </c>
      <c r="BR672" s="85">
        <f t="shared" si="536"/>
        <v>0</v>
      </c>
      <c r="BT672" s="63"/>
      <c r="BU672" s="63"/>
      <c r="BV672" s="63"/>
      <c r="BW672" s="63"/>
      <c r="BX672" s="63"/>
      <c r="BY672" s="63"/>
      <c r="BZ672" s="63"/>
      <c r="CA672" s="63"/>
      <c r="CB672" s="63"/>
      <c r="CC672" s="63"/>
      <c r="CD672" s="63"/>
      <c r="CE672" s="63"/>
      <c r="CF672" s="63"/>
      <c r="CG672" s="63"/>
      <c r="CH672" s="63"/>
      <c r="CI672" s="63"/>
      <c r="CJ672" s="63"/>
      <c r="CK672" s="63"/>
      <c r="CL672" s="63"/>
      <c r="CM672" s="63"/>
      <c r="CN672" s="63"/>
      <c r="CO672" s="63"/>
      <c r="CP672" s="63"/>
      <c r="CQ672" s="63"/>
      <c r="CR672" s="63"/>
      <c r="CS672" s="63"/>
      <c r="CX672" s="35" t="s">
        <v>12</v>
      </c>
      <c r="CZ672" s="35"/>
      <c r="DC672" s="57" t="str">
        <f t="shared" si="541"/>
        <v/>
      </c>
      <c r="DD672" s="64" t="str">
        <f t="shared" si="537"/>
        <v/>
      </c>
      <c r="DE672" s="65" t="str">
        <f t="shared" si="538"/>
        <v/>
      </c>
      <c r="DF672" s="66" t="str">
        <f t="shared" si="499"/>
        <v/>
      </c>
    </row>
    <row r="673" spans="2:110">
      <c r="B673" s="54">
        <f t="shared" si="495"/>
        <v>47763</v>
      </c>
      <c r="C673" s="55" t="s">
        <v>1</v>
      </c>
      <c r="D673" s="56">
        <f t="shared" si="496"/>
        <v>47769</v>
      </c>
      <c r="E673" s="52">
        <f t="shared" si="497"/>
        <v>10</v>
      </c>
      <c r="F673" s="53">
        <f t="shared" si="498"/>
        <v>2030</v>
      </c>
      <c r="G673" s="62">
        <f t="shared" si="539"/>
        <v>15</v>
      </c>
      <c r="H673" s="63">
        <f t="shared" si="540"/>
        <v>96</v>
      </c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80"/>
      <c r="AG673" s="87">
        <f t="shared" si="500"/>
        <v>0</v>
      </c>
      <c r="AH673" s="87">
        <f t="shared" si="501"/>
        <v>0</v>
      </c>
      <c r="AI673" s="87">
        <f t="shared" si="502"/>
        <v>0</v>
      </c>
      <c r="AJ673" s="87">
        <f t="shared" si="503"/>
        <v>0</v>
      </c>
      <c r="AK673" s="87">
        <f t="shared" si="504"/>
        <v>0</v>
      </c>
      <c r="AL673" s="87">
        <f t="shared" si="505"/>
        <v>0</v>
      </c>
      <c r="AM673" s="87">
        <f t="shared" si="506"/>
        <v>0</v>
      </c>
      <c r="AN673" s="87">
        <f t="shared" si="507"/>
        <v>0</v>
      </c>
      <c r="AO673" s="87">
        <f t="shared" si="508"/>
        <v>0</v>
      </c>
      <c r="AP673" s="87">
        <f t="shared" si="509"/>
        <v>0</v>
      </c>
      <c r="AQ673" s="87">
        <f t="shared" si="510"/>
        <v>0</v>
      </c>
      <c r="AR673" s="81"/>
      <c r="AS673" s="85">
        <f t="shared" si="511"/>
        <v>0</v>
      </c>
      <c r="AT673" s="85">
        <f t="shared" si="512"/>
        <v>0</v>
      </c>
      <c r="AU673" s="85">
        <f t="shared" si="513"/>
        <v>0</v>
      </c>
      <c r="AV673" s="85">
        <f t="shared" si="514"/>
        <v>0</v>
      </c>
      <c r="AW673" s="85">
        <f t="shared" si="515"/>
        <v>0</v>
      </c>
      <c r="AX673" s="85">
        <f t="shared" si="516"/>
        <v>0</v>
      </c>
      <c r="AY673" s="85">
        <f t="shared" si="517"/>
        <v>0</v>
      </c>
      <c r="AZ673" s="85">
        <f t="shared" si="518"/>
        <v>0</v>
      </c>
      <c r="BA673" s="85">
        <f t="shared" si="519"/>
        <v>0</v>
      </c>
      <c r="BB673" s="85">
        <f t="shared" si="520"/>
        <v>0</v>
      </c>
      <c r="BC673" s="85">
        <f t="shared" si="521"/>
        <v>0</v>
      </c>
      <c r="BD673" s="85">
        <f t="shared" si="522"/>
        <v>0</v>
      </c>
      <c r="BE673" s="85">
        <f t="shared" si="523"/>
        <v>0</v>
      </c>
      <c r="BF673" s="85">
        <f t="shared" si="524"/>
        <v>0</v>
      </c>
      <c r="BG673" s="85">
        <f t="shared" si="525"/>
        <v>0</v>
      </c>
      <c r="BH673" s="85">
        <f t="shared" si="526"/>
        <v>0</v>
      </c>
      <c r="BI673" s="85">
        <f t="shared" si="527"/>
        <v>0</v>
      </c>
      <c r="BJ673" s="85">
        <f t="shared" si="528"/>
        <v>0</v>
      </c>
      <c r="BK673" s="85">
        <f t="shared" si="529"/>
        <v>0</v>
      </c>
      <c r="BL673" s="85">
        <f t="shared" si="530"/>
        <v>0</v>
      </c>
      <c r="BM673" s="85">
        <f t="shared" si="531"/>
        <v>0</v>
      </c>
      <c r="BN673" s="85">
        <f t="shared" si="532"/>
        <v>0</v>
      </c>
      <c r="BO673" s="85">
        <f t="shared" si="533"/>
        <v>0</v>
      </c>
      <c r="BP673" s="85">
        <f t="shared" si="534"/>
        <v>0</v>
      </c>
      <c r="BQ673" s="85">
        <f t="shared" si="535"/>
        <v>0</v>
      </c>
      <c r="BR673" s="85">
        <f t="shared" si="536"/>
        <v>0</v>
      </c>
      <c r="BT673" s="63"/>
      <c r="BU673" s="63"/>
      <c r="BV673" s="63"/>
      <c r="BW673" s="63"/>
      <c r="BX673" s="63"/>
      <c r="BY673" s="63"/>
      <c r="BZ673" s="63"/>
      <c r="CA673" s="63"/>
      <c r="CB673" s="63"/>
      <c r="CC673" s="63"/>
      <c r="CD673" s="63"/>
      <c r="CE673" s="63"/>
      <c r="CF673" s="63"/>
      <c r="CG673" s="63"/>
      <c r="CH673" s="63"/>
      <c r="CI673" s="63"/>
      <c r="CJ673" s="63"/>
      <c r="CK673" s="63"/>
      <c r="CL673" s="63"/>
      <c r="CM673" s="63"/>
      <c r="CN673" s="63"/>
      <c r="CO673" s="63"/>
      <c r="CP673" s="63"/>
      <c r="CQ673" s="63"/>
      <c r="CR673" s="63"/>
      <c r="CS673" s="63"/>
      <c r="CX673" s="35" t="s">
        <v>12</v>
      </c>
      <c r="CZ673" s="35"/>
      <c r="DC673" s="57" t="str">
        <f t="shared" si="541"/>
        <v/>
      </c>
      <c r="DD673" s="64" t="str">
        <f t="shared" si="537"/>
        <v/>
      </c>
      <c r="DE673" s="65" t="str">
        <f t="shared" si="538"/>
        <v/>
      </c>
      <c r="DF673" s="66" t="str">
        <f t="shared" si="499"/>
        <v/>
      </c>
    </row>
    <row r="674" spans="2:110">
      <c r="B674" s="54">
        <f t="shared" si="495"/>
        <v>47770</v>
      </c>
      <c r="C674" s="55" t="s">
        <v>1</v>
      </c>
      <c r="D674" s="56">
        <f t="shared" si="496"/>
        <v>47776</v>
      </c>
      <c r="E674" s="52">
        <f t="shared" si="497"/>
        <v>10</v>
      </c>
      <c r="F674" s="53">
        <f t="shared" si="498"/>
        <v>2030</v>
      </c>
      <c r="G674" s="62">
        <f t="shared" si="539"/>
        <v>15</v>
      </c>
      <c r="H674" s="63">
        <f t="shared" si="540"/>
        <v>96</v>
      </c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80"/>
      <c r="AG674" s="87">
        <f t="shared" si="500"/>
        <v>0</v>
      </c>
      <c r="AH674" s="87">
        <f t="shared" si="501"/>
        <v>0</v>
      </c>
      <c r="AI674" s="87">
        <f t="shared" si="502"/>
        <v>0</v>
      </c>
      <c r="AJ674" s="87">
        <f t="shared" si="503"/>
        <v>0</v>
      </c>
      <c r="AK674" s="87">
        <f t="shared" si="504"/>
        <v>0</v>
      </c>
      <c r="AL674" s="87">
        <f t="shared" si="505"/>
        <v>0</v>
      </c>
      <c r="AM674" s="87">
        <f t="shared" si="506"/>
        <v>0</v>
      </c>
      <c r="AN674" s="87">
        <f t="shared" si="507"/>
        <v>0</v>
      </c>
      <c r="AO674" s="87">
        <f t="shared" si="508"/>
        <v>0</v>
      </c>
      <c r="AP674" s="87">
        <f t="shared" si="509"/>
        <v>0</v>
      </c>
      <c r="AQ674" s="87">
        <f t="shared" si="510"/>
        <v>0</v>
      </c>
      <c r="AR674" s="81"/>
      <c r="AS674" s="85">
        <f t="shared" si="511"/>
        <v>0</v>
      </c>
      <c r="AT674" s="85">
        <f t="shared" si="512"/>
        <v>0</v>
      </c>
      <c r="AU674" s="85">
        <f t="shared" si="513"/>
        <v>0</v>
      </c>
      <c r="AV674" s="85">
        <f t="shared" si="514"/>
        <v>0</v>
      </c>
      <c r="AW674" s="85">
        <f t="shared" si="515"/>
        <v>0</v>
      </c>
      <c r="AX674" s="85">
        <f t="shared" si="516"/>
        <v>0</v>
      </c>
      <c r="AY674" s="85">
        <f t="shared" si="517"/>
        <v>0</v>
      </c>
      <c r="AZ674" s="85">
        <f t="shared" si="518"/>
        <v>0</v>
      </c>
      <c r="BA674" s="85">
        <f t="shared" si="519"/>
        <v>0</v>
      </c>
      <c r="BB674" s="85">
        <f t="shared" si="520"/>
        <v>0</v>
      </c>
      <c r="BC674" s="85">
        <f t="shared" si="521"/>
        <v>0</v>
      </c>
      <c r="BD674" s="85">
        <f t="shared" si="522"/>
        <v>0</v>
      </c>
      <c r="BE674" s="85">
        <f t="shared" si="523"/>
        <v>0</v>
      </c>
      <c r="BF674" s="85">
        <f t="shared" si="524"/>
        <v>0</v>
      </c>
      <c r="BG674" s="85">
        <f t="shared" si="525"/>
        <v>0</v>
      </c>
      <c r="BH674" s="85">
        <f t="shared" si="526"/>
        <v>0</v>
      </c>
      <c r="BI674" s="85">
        <f t="shared" si="527"/>
        <v>0</v>
      </c>
      <c r="BJ674" s="85">
        <f t="shared" si="528"/>
        <v>0</v>
      </c>
      <c r="BK674" s="85">
        <f t="shared" si="529"/>
        <v>0</v>
      </c>
      <c r="BL674" s="85">
        <f t="shared" si="530"/>
        <v>0</v>
      </c>
      <c r="BM674" s="85">
        <f t="shared" si="531"/>
        <v>0</v>
      </c>
      <c r="BN674" s="85">
        <f t="shared" si="532"/>
        <v>0</v>
      </c>
      <c r="BO674" s="85">
        <f t="shared" si="533"/>
        <v>0</v>
      </c>
      <c r="BP674" s="85">
        <f t="shared" si="534"/>
        <v>0</v>
      </c>
      <c r="BQ674" s="85">
        <f t="shared" si="535"/>
        <v>0</v>
      </c>
      <c r="BR674" s="85">
        <f t="shared" si="536"/>
        <v>0</v>
      </c>
      <c r="BT674" s="63"/>
      <c r="BU674" s="63"/>
      <c r="BV674" s="63"/>
      <c r="BW674" s="63"/>
      <c r="BX674" s="63"/>
      <c r="BY674" s="63"/>
      <c r="BZ674" s="63"/>
      <c r="CA674" s="63"/>
      <c r="CB674" s="63"/>
      <c r="CC674" s="63"/>
      <c r="CD674" s="63"/>
      <c r="CE674" s="63"/>
      <c r="CF674" s="63"/>
      <c r="CG674" s="63"/>
      <c r="CH674" s="63"/>
      <c r="CI674" s="63"/>
      <c r="CJ674" s="63"/>
      <c r="CK674" s="63"/>
      <c r="CL674" s="63"/>
      <c r="CM674" s="63"/>
      <c r="CN674" s="63"/>
      <c r="CO674" s="63"/>
      <c r="CP674" s="63"/>
      <c r="CQ674" s="63"/>
      <c r="CR674" s="63"/>
      <c r="CS674" s="63"/>
      <c r="CX674" s="35" t="s">
        <v>12</v>
      </c>
      <c r="CZ674" s="35"/>
      <c r="DC674" s="57" t="str">
        <f t="shared" si="541"/>
        <v/>
      </c>
      <c r="DD674" s="64" t="str">
        <f t="shared" si="537"/>
        <v/>
      </c>
      <c r="DE674" s="65" t="str">
        <f t="shared" si="538"/>
        <v/>
      </c>
      <c r="DF674" s="66" t="str">
        <f t="shared" si="499"/>
        <v/>
      </c>
    </row>
    <row r="675" spans="2:110">
      <c r="B675" s="54">
        <f t="shared" si="495"/>
        <v>47777</v>
      </c>
      <c r="C675" s="55" t="s">
        <v>1</v>
      </c>
      <c r="D675" s="56">
        <f t="shared" si="496"/>
        <v>47783</v>
      </c>
      <c r="E675" s="52">
        <f t="shared" si="497"/>
        <v>10</v>
      </c>
      <c r="F675" s="53">
        <f t="shared" si="498"/>
        <v>2030</v>
      </c>
      <c r="G675" s="62">
        <f t="shared" si="539"/>
        <v>15</v>
      </c>
      <c r="H675" s="63">
        <f t="shared" si="540"/>
        <v>96</v>
      </c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80"/>
      <c r="AG675" s="87">
        <f t="shared" si="500"/>
        <v>0</v>
      </c>
      <c r="AH675" s="87">
        <f t="shared" si="501"/>
        <v>0</v>
      </c>
      <c r="AI675" s="87">
        <f t="shared" si="502"/>
        <v>0</v>
      </c>
      <c r="AJ675" s="87">
        <f t="shared" si="503"/>
        <v>0</v>
      </c>
      <c r="AK675" s="87">
        <f t="shared" si="504"/>
        <v>0</v>
      </c>
      <c r="AL675" s="87">
        <f t="shared" si="505"/>
        <v>0</v>
      </c>
      <c r="AM675" s="87">
        <f t="shared" si="506"/>
        <v>0</v>
      </c>
      <c r="AN675" s="87">
        <f t="shared" si="507"/>
        <v>0</v>
      </c>
      <c r="AO675" s="87">
        <f t="shared" si="508"/>
        <v>0</v>
      </c>
      <c r="AP675" s="87">
        <f t="shared" si="509"/>
        <v>0</v>
      </c>
      <c r="AQ675" s="87">
        <f t="shared" si="510"/>
        <v>0</v>
      </c>
      <c r="AR675" s="81"/>
      <c r="AS675" s="85">
        <f t="shared" si="511"/>
        <v>0</v>
      </c>
      <c r="AT675" s="85">
        <f t="shared" si="512"/>
        <v>0</v>
      </c>
      <c r="AU675" s="85">
        <f t="shared" si="513"/>
        <v>0</v>
      </c>
      <c r="AV675" s="85">
        <f t="shared" si="514"/>
        <v>0</v>
      </c>
      <c r="AW675" s="85">
        <f t="shared" si="515"/>
        <v>0</v>
      </c>
      <c r="AX675" s="85">
        <f t="shared" si="516"/>
        <v>0</v>
      </c>
      <c r="AY675" s="85">
        <f t="shared" si="517"/>
        <v>0</v>
      </c>
      <c r="AZ675" s="85">
        <f t="shared" si="518"/>
        <v>0</v>
      </c>
      <c r="BA675" s="85">
        <f t="shared" si="519"/>
        <v>0</v>
      </c>
      <c r="BB675" s="85">
        <f t="shared" si="520"/>
        <v>0</v>
      </c>
      <c r="BC675" s="85">
        <f t="shared" si="521"/>
        <v>0</v>
      </c>
      <c r="BD675" s="85">
        <f t="shared" si="522"/>
        <v>0</v>
      </c>
      <c r="BE675" s="85">
        <f t="shared" si="523"/>
        <v>0</v>
      </c>
      <c r="BF675" s="85">
        <f t="shared" si="524"/>
        <v>0</v>
      </c>
      <c r="BG675" s="85">
        <f t="shared" si="525"/>
        <v>0</v>
      </c>
      <c r="BH675" s="85">
        <f t="shared" si="526"/>
        <v>0</v>
      </c>
      <c r="BI675" s="85">
        <f t="shared" si="527"/>
        <v>0</v>
      </c>
      <c r="BJ675" s="85">
        <f t="shared" si="528"/>
        <v>0</v>
      </c>
      <c r="BK675" s="85">
        <f t="shared" si="529"/>
        <v>0</v>
      </c>
      <c r="BL675" s="85">
        <f t="shared" si="530"/>
        <v>0</v>
      </c>
      <c r="BM675" s="85">
        <f t="shared" si="531"/>
        <v>0</v>
      </c>
      <c r="BN675" s="85">
        <f t="shared" si="532"/>
        <v>0</v>
      </c>
      <c r="BO675" s="85">
        <f t="shared" si="533"/>
        <v>0</v>
      </c>
      <c r="BP675" s="85">
        <f t="shared" si="534"/>
        <v>0</v>
      </c>
      <c r="BQ675" s="85">
        <f t="shared" si="535"/>
        <v>0</v>
      </c>
      <c r="BR675" s="85">
        <f t="shared" si="536"/>
        <v>0</v>
      </c>
      <c r="BT675" s="63"/>
      <c r="BU675" s="63"/>
      <c r="BV675" s="63"/>
      <c r="BW675" s="63"/>
      <c r="BX675" s="63"/>
      <c r="BY675" s="63"/>
      <c r="BZ675" s="63"/>
      <c r="CA675" s="63"/>
      <c r="CB675" s="63"/>
      <c r="CC675" s="63"/>
      <c r="CD675" s="63"/>
      <c r="CE675" s="63"/>
      <c r="CF675" s="63"/>
      <c r="CG675" s="63"/>
      <c r="CH675" s="63"/>
      <c r="CI675" s="63"/>
      <c r="CJ675" s="63"/>
      <c r="CK675" s="63"/>
      <c r="CL675" s="63"/>
      <c r="CM675" s="63"/>
      <c r="CN675" s="63"/>
      <c r="CO675" s="63"/>
      <c r="CP675" s="63"/>
      <c r="CQ675" s="63"/>
      <c r="CR675" s="63"/>
      <c r="CS675" s="63"/>
      <c r="CX675" s="35" t="s">
        <v>12</v>
      </c>
      <c r="CZ675" s="35"/>
      <c r="DC675" s="57" t="str">
        <f t="shared" si="541"/>
        <v/>
      </c>
      <c r="DD675" s="64" t="str">
        <f t="shared" si="537"/>
        <v/>
      </c>
      <c r="DE675" s="65" t="str">
        <f t="shared" si="538"/>
        <v/>
      </c>
      <c r="DF675" s="66" t="str">
        <f t="shared" si="499"/>
        <v/>
      </c>
    </row>
    <row r="676" spans="2:110">
      <c r="B676" s="54">
        <f t="shared" si="495"/>
        <v>47784</v>
      </c>
      <c r="C676" s="55" t="s">
        <v>1</v>
      </c>
      <c r="D676" s="56">
        <f t="shared" si="496"/>
        <v>47790</v>
      </c>
      <c r="E676" s="52">
        <f t="shared" si="497"/>
        <v>10</v>
      </c>
      <c r="F676" s="53">
        <f t="shared" si="498"/>
        <v>2030</v>
      </c>
      <c r="G676" s="62">
        <f t="shared" si="539"/>
        <v>15</v>
      </c>
      <c r="H676" s="63">
        <f t="shared" si="540"/>
        <v>96</v>
      </c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80"/>
      <c r="AG676" s="87">
        <f t="shared" si="500"/>
        <v>0</v>
      </c>
      <c r="AH676" s="87">
        <f t="shared" si="501"/>
        <v>0</v>
      </c>
      <c r="AI676" s="87">
        <f t="shared" si="502"/>
        <v>0</v>
      </c>
      <c r="AJ676" s="87">
        <f t="shared" si="503"/>
        <v>0</v>
      </c>
      <c r="AK676" s="87">
        <f t="shared" si="504"/>
        <v>0</v>
      </c>
      <c r="AL676" s="87">
        <f t="shared" si="505"/>
        <v>0</v>
      </c>
      <c r="AM676" s="87">
        <f t="shared" si="506"/>
        <v>0</v>
      </c>
      <c r="AN676" s="87">
        <f t="shared" si="507"/>
        <v>0</v>
      </c>
      <c r="AO676" s="87">
        <f t="shared" si="508"/>
        <v>0</v>
      </c>
      <c r="AP676" s="87">
        <f t="shared" si="509"/>
        <v>0</v>
      </c>
      <c r="AQ676" s="87">
        <f t="shared" si="510"/>
        <v>0</v>
      </c>
      <c r="AR676" s="81"/>
      <c r="AS676" s="85">
        <f t="shared" si="511"/>
        <v>0</v>
      </c>
      <c r="AT676" s="85">
        <f t="shared" si="512"/>
        <v>0</v>
      </c>
      <c r="AU676" s="85">
        <f t="shared" si="513"/>
        <v>0</v>
      </c>
      <c r="AV676" s="85">
        <f t="shared" si="514"/>
        <v>0</v>
      </c>
      <c r="AW676" s="85">
        <f t="shared" si="515"/>
        <v>0</v>
      </c>
      <c r="AX676" s="85">
        <f t="shared" si="516"/>
        <v>0</v>
      </c>
      <c r="AY676" s="85">
        <f t="shared" si="517"/>
        <v>0</v>
      </c>
      <c r="AZ676" s="85">
        <f t="shared" si="518"/>
        <v>0</v>
      </c>
      <c r="BA676" s="85">
        <f t="shared" si="519"/>
        <v>0</v>
      </c>
      <c r="BB676" s="85">
        <f t="shared" si="520"/>
        <v>0</v>
      </c>
      <c r="BC676" s="85">
        <f t="shared" si="521"/>
        <v>0</v>
      </c>
      <c r="BD676" s="85">
        <f t="shared" si="522"/>
        <v>0</v>
      </c>
      <c r="BE676" s="85">
        <f t="shared" si="523"/>
        <v>0</v>
      </c>
      <c r="BF676" s="85">
        <f t="shared" si="524"/>
        <v>0</v>
      </c>
      <c r="BG676" s="85">
        <f t="shared" si="525"/>
        <v>0</v>
      </c>
      <c r="BH676" s="85">
        <f t="shared" si="526"/>
        <v>0</v>
      </c>
      <c r="BI676" s="85">
        <f t="shared" si="527"/>
        <v>0</v>
      </c>
      <c r="BJ676" s="85">
        <f t="shared" si="528"/>
        <v>0</v>
      </c>
      <c r="BK676" s="85">
        <f t="shared" si="529"/>
        <v>0</v>
      </c>
      <c r="BL676" s="85">
        <f t="shared" si="530"/>
        <v>0</v>
      </c>
      <c r="BM676" s="85">
        <f t="shared" si="531"/>
        <v>0</v>
      </c>
      <c r="BN676" s="85">
        <f t="shared" si="532"/>
        <v>0</v>
      </c>
      <c r="BO676" s="85">
        <f t="shared" si="533"/>
        <v>0</v>
      </c>
      <c r="BP676" s="85">
        <f t="shared" si="534"/>
        <v>0</v>
      </c>
      <c r="BQ676" s="85">
        <f t="shared" si="535"/>
        <v>0</v>
      </c>
      <c r="BR676" s="85">
        <f t="shared" si="536"/>
        <v>0</v>
      </c>
      <c r="BT676" s="63"/>
      <c r="BU676" s="63"/>
      <c r="BV676" s="63"/>
      <c r="BW676" s="63"/>
      <c r="BX676" s="63"/>
      <c r="BY676" s="63"/>
      <c r="BZ676" s="63"/>
      <c r="CA676" s="63"/>
      <c r="CB676" s="63"/>
      <c r="CC676" s="63"/>
      <c r="CD676" s="63"/>
      <c r="CE676" s="63"/>
      <c r="CF676" s="63"/>
      <c r="CG676" s="63"/>
      <c r="CH676" s="63"/>
      <c r="CI676" s="63"/>
      <c r="CJ676" s="63"/>
      <c r="CK676" s="63"/>
      <c r="CL676" s="63"/>
      <c r="CM676" s="63"/>
      <c r="CN676" s="63"/>
      <c r="CO676" s="63"/>
      <c r="CP676" s="63"/>
      <c r="CQ676" s="63"/>
      <c r="CR676" s="63"/>
      <c r="CS676" s="63"/>
      <c r="CX676" s="35" t="s">
        <v>12</v>
      </c>
      <c r="CZ676" s="35"/>
      <c r="DC676" s="57" t="str">
        <f t="shared" si="541"/>
        <v/>
      </c>
      <c r="DD676" s="64" t="str">
        <f t="shared" si="537"/>
        <v/>
      </c>
      <c r="DE676" s="65" t="str">
        <f t="shared" si="538"/>
        <v/>
      </c>
      <c r="DF676" s="66" t="str">
        <f t="shared" si="499"/>
        <v/>
      </c>
    </row>
    <row r="677" spans="2:110">
      <c r="B677" s="54">
        <f t="shared" si="495"/>
        <v>47791</v>
      </c>
      <c r="C677" s="55" t="s">
        <v>1</v>
      </c>
      <c r="D677" s="56">
        <f t="shared" si="496"/>
        <v>47797</v>
      </c>
      <c r="E677" s="52">
        <f t="shared" si="497"/>
        <v>11</v>
      </c>
      <c r="F677" s="53">
        <f t="shared" si="498"/>
        <v>2030</v>
      </c>
      <c r="G677" s="62">
        <f t="shared" si="539"/>
        <v>15</v>
      </c>
      <c r="H677" s="63">
        <f t="shared" si="540"/>
        <v>96</v>
      </c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80"/>
      <c r="AG677" s="87">
        <f t="shared" si="500"/>
        <v>0</v>
      </c>
      <c r="AH677" s="87">
        <f t="shared" si="501"/>
        <v>0</v>
      </c>
      <c r="AI677" s="87">
        <f t="shared" si="502"/>
        <v>0</v>
      </c>
      <c r="AJ677" s="87">
        <f t="shared" si="503"/>
        <v>0</v>
      </c>
      <c r="AK677" s="87">
        <f t="shared" si="504"/>
        <v>0</v>
      </c>
      <c r="AL677" s="87">
        <f t="shared" si="505"/>
        <v>0</v>
      </c>
      <c r="AM677" s="87">
        <f t="shared" si="506"/>
        <v>0</v>
      </c>
      <c r="AN677" s="87">
        <f t="shared" si="507"/>
        <v>0</v>
      </c>
      <c r="AO677" s="87">
        <f t="shared" si="508"/>
        <v>0</v>
      </c>
      <c r="AP677" s="87">
        <f t="shared" si="509"/>
        <v>0</v>
      </c>
      <c r="AQ677" s="87">
        <f t="shared" si="510"/>
        <v>0</v>
      </c>
      <c r="AR677" s="81"/>
      <c r="AS677" s="85">
        <f t="shared" si="511"/>
        <v>0</v>
      </c>
      <c r="AT677" s="85">
        <f t="shared" si="512"/>
        <v>0</v>
      </c>
      <c r="AU677" s="85">
        <f t="shared" si="513"/>
        <v>0</v>
      </c>
      <c r="AV677" s="85">
        <f t="shared" si="514"/>
        <v>0</v>
      </c>
      <c r="AW677" s="85">
        <f t="shared" si="515"/>
        <v>0</v>
      </c>
      <c r="AX677" s="85">
        <f t="shared" si="516"/>
        <v>0</v>
      </c>
      <c r="AY677" s="85">
        <f t="shared" si="517"/>
        <v>0</v>
      </c>
      <c r="AZ677" s="85">
        <f t="shared" si="518"/>
        <v>0</v>
      </c>
      <c r="BA677" s="85">
        <f t="shared" si="519"/>
        <v>0</v>
      </c>
      <c r="BB677" s="85">
        <f t="shared" si="520"/>
        <v>0</v>
      </c>
      <c r="BC677" s="85">
        <f t="shared" si="521"/>
        <v>0</v>
      </c>
      <c r="BD677" s="85">
        <f t="shared" si="522"/>
        <v>0</v>
      </c>
      <c r="BE677" s="85">
        <f t="shared" si="523"/>
        <v>0</v>
      </c>
      <c r="BF677" s="85">
        <f t="shared" si="524"/>
        <v>0</v>
      </c>
      <c r="BG677" s="85">
        <f t="shared" si="525"/>
        <v>0</v>
      </c>
      <c r="BH677" s="85">
        <f t="shared" si="526"/>
        <v>0</v>
      </c>
      <c r="BI677" s="85">
        <f t="shared" si="527"/>
        <v>0</v>
      </c>
      <c r="BJ677" s="85">
        <f t="shared" si="528"/>
        <v>0</v>
      </c>
      <c r="BK677" s="85">
        <f t="shared" si="529"/>
        <v>0</v>
      </c>
      <c r="BL677" s="85">
        <f t="shared" si="530"/>
        <v>0</v>
      </c>
      <c r="BM677" s="85">
        <f t="shared" si="531"/>
        <v>0</v>
      </c>
      <c r="BN677" s="85">
        <f t="shared" si="532"/>
        <v>0</v>
      </c>
      <c r="BO677" s="85">
        <f t="shared" si="533"/>
        <v>0</v>
      </c>
      <c r="BP677" s="85">
        <f t="shared" si="534"/>
        <v>0</v>
      </c>
      <c r="BQ677" s="85">
        <f t="shared" si="535"/>
        <v>0</v>
      </c>
      <c r="BR677" s="85">
        <f t="shared" si="536"/>
        <v>0</v>
      </c>
      <c r="BT677" s="63"/>
      <c r="BU677" s="63"/>
      <c r="BV677" s="63"/>
      <c r="BW677" s="63"/>
      <c r="BX677" s="63"/>
      <c r="BY677" s="63"/>
      <c r="BZ677" s="63"/>
      <c r="CA677" s="63"/>
      <c r="CB677" s="63"/>
      <c r="CC677" s="63"/>
      <c r="CD677" s="63"/>
      <c r="CE677" s="63"/>
      <c r="CF677" s="63"/>
      <c r="CG677" s="63"/>
      <c r="CH677" s="63"/>
      <c r="CI677" s="63"/>
      <c r="CJ677" s="63"/>
      <c r="CK677" s="63"/>
      <c r="CL677" s="63"/>
      <c r="CM677" s="63"/>
      <c r="CN677" s="63"/>
      <c r="CO677" s="63"/>
      <c r="CP677" s="63"/>
      <c r="CQ677" s="63"/>
      <c r="CR677" s="63"/>
      <c r="CS677" s="63"/>
      <c r="CX677" s="35" t="s">
        <v>12</v>
      </c>
      <c r="CZ677" s="35"/>
      <c r="DC677" s="57" t="str">
        <f t="shared" si="541"/>
        <v/>
      </c>
      <c r="DD677" s="64" t="str">
        <f t="shared" si="537"/>
        <v/>
      </c>
      <c r="DE677" s="65" t="str">
        <f t="shared" si="538"/>
        <v/>
      </c>
      <c r="DF677" s="66" t="str">
        <f t="shared" si="499"/>
        <v/>
      </c>
    </row>
    <row r="678" spans="2:110">
      <c r="B678" s="54">
        <f t="shared" si="495"/>
        <v>47798</v>
      </c>
      <c r="C678" s="55" t="s">
        <v>1</v>
      </c>
      <c r="D678" s="56">
        <f t="shared" si="496"/>
        <v>47804</v>
      </c>
      <c r="E678" s="52">
        <f t="shared" si="497"/>
        <v>11</v>
      </c>
      <c r="F678" s="53">
        <f t="shared" si="498"/>
        <v>2030</v>
      </c>
      <c r="G678" s="62">
        <f t="shared" si="539"/>
        <v>15</v>
      </c>
      <c r="H678" s="63">
        <f t="shared" si="540"/>
        <v>96</v>
      </c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80"/>
      <c r="AG678" s="87">
        <f t="shared" si="500"/>
        <v>0</v>
      </c>
      <c r="AH678" s="87">
        <f t="shared" si="501"/>
        <v>0</v>
      </c>
      <c r="AI678" s="87">
        <f t="shared" si="502"/>
        <v>0</v>
      </c>
      <c r="AJ678" s="87">
        <f t="shared" si="503"/>
        <v>0</v>
      </c>
      <c r="AK678" s="87">
        <f t="shared" si="504"/>
        <v>0</v>
      </c>
      <c r="AL678" s="87">
        <f t="shared" si="505"/>
        <v>0</v>
      </c>
      <c r="AM678" s="87">
        <f t="shared" si="506"/>
        <v>0</v>
      </c>
      <c r="AN678" s="87">
        <f t="shared" si="507"/>
        <v>0</v>
      </c>
      <c r="AO678" s="87">
        <f t="shared" si="508"/>
        <v>0</v>
      </c>
      <c r="AP678" s="87">
        <f t="shared" si="509"/>
        <v>0</v>
      </c>
      <c r="AQ678" s="87">
        <f t="shared" si="510"/>
        <v>0</v>
      </c>
      <c r="AR678" s="81"/>
      <c r="AS678" s="85">
        <f t="shared" si="511"/>
        <v>0</v>
      </c>
      <c r="AT678" s="85">
        <f t="shared" si="512"/>
        <v>0</v>
      </c>
      <c r="AU678" s="85">
        <f t="shared" si="513"/>
        <v>0</v>
      </c>
      <c r="AV678" s="85">
        <f t="shared" si="514"/>
        <v>0</v>
      </c>
      <c r="AW678" s="85">
        <f t="shared" si="515"/>
        <v>0</v>
      </c>
      <c r="AX678" s="85">
        <f t="shared" si="516"/>
        <v>0</v>
      </c>
      <c r="AY678" s="85">
        <f t="shared" si="517"/>
        <v>0</v>
      </c>
      <c r="AZ678" s="85">
        <f t="shared" si="518"/>
        <v>0</v>
      </c>
      <c r="BA678" s="85">
        <f t="shared" si="519"/>
        <v>0</v>
      </c>
      <c r="BB678" s="85">
        <f t="shared" si="520"/>
        <v>0</v>
      </c>
      <c r="BC678" s="85">
        <f t="shared" si="521"/>
        <v>0</v>
      </c>
      <c r="BD678" s="85">
        <f t="shared" si="522"/>
        <v>0</v>
      </c>
      <c r="BE678" s="85">
        <f t="shared" si="523"/>
        <v>0</v>
      </c>
      <c r="BF678" s="85">
        <f t="shared" si="524"/>
        <v>0</v>
      </c>
      <c r="BG678" s="85">
        <f t="shared" si="525"/>
        <v>0</v>
      </c>
      <c r="BH678" s="85">
        <f t="shared" si="526"/>
        <v>0</v>
      </c>
      <c r="BI678" s="85">
        <f t="shared" si="527"/>
        <v>0</v>
      </c>
      <c r="BJ678" s="85">
        <f t="shared" si="528"/>
        <v>0</v>
      </c>
      <c r="BK678" s="85">
        <f t="shared" si="529"/>
        <v>0</v>
      </c>
      <c r="BL678" s="85">
        <f t="shared" si="530"/>
        <v>0</v>
      </c>
      <c r="BM678" s="85">
        <f t="shared" si="531"/>
        <v>0</v>
      </c>
      <c r="BN678" s="85">
        <f t="shared" si="532"/>
        <v>0</v>
      </c>
      <c r="BO678" s="85">
        <f t="shared" si="533"/>
        <v>0</v>
      </c>
      <c r="BP678" s="85">
        <f t="shared" si="534"/>
        <v>0</v>
      </c>
      <c r="BQ678" s="85">
        <f t="shared" si="535"/>
        <v>0</v>
      </c>
      <c r="BR678" s="85">
        <f t="shared" si="536"/>
        <v>0</v>
      </c>
      <c r="BT678" s="63"/>
      <c r="BU678" s="63"/>
      <c r="BV678" s="63"/>
      <c r="BW678" s="63"/>
      <c r="BX678" s="63"/>
      <c r="BY678" s="63"/>
      <c r="BZ678" s="63"/>
      <c r="CA678" s="63"/>
      <c r="CB678" s="63"/>
      <c r="CC678" s="63"/>
      <c r="CD678" s="63"/>
      <c r="CE678" s="63"/>
      <c r="CF678" s="63"/>
      <c r="CG678" s="63"/>
      <c r="CH678" s="63"/>
      <c r="CI678" s="63"/>
      <c r="CJ678" s="63"/>
      <c r="CK678" s="63"/>
      <c r="CL678" s="63"/>
      <c r="CM678" s="63"/>
      <c r="CN678" s="63"/>
      <c r="CO678" s="63"/>
      <c r="CP678" s="63"/>
      <c r="CQ678" s="63"/>
      <c r="CR678" s="63"/>
      <c r="CS678" s="63"/>
      <c r="CX678" s="35" t="s">
        <v>12</v>
      </c>
      <c r="CZ678" s="35"/>
      <c r="DC678" s="57" t="str">
        <f t="shared" si="541"/>
        <v/>
      </c>
      <c r="DD678" s="64" t="str">
        <f t="shared" si="537"/>
        <v/>
      </c>
      <c r="DE678" s="65" t="str">
        <f t="shared" si="538"/>
        <v/>
      </c>
      <c r="DF678" s="66" t="str">
        <f t="shared" si="499"/>
        <v/>
      </c>
    </row>
    <row r="679" spans="2:110">
      <c r="B679" s="54">
        <f t="shared" ref="B679:B685" si="542">D678+1</f>
        <v>47805</v>
      </c>
      <c r="C679" s="55" t="s">
        <v>1</v>
      </c>
      <c r="D679" s="56">
        <f t="shared" ref="D679:D685" si="543">B679+6</f>
        <v>47811</v>
      </c>
      <c r="E679" s="52">
        <f t="shared" ref="E679:E685" si="544">MONTH(B679)</f>
        <v>11</v>
      </c>
      <c r="F679" s="53">
        <f t="shared" ref="F679:F685" si="545">YEAR(D679)</f>
        <v>2030</v>
      </c>
      <c r="G679" s="62">
        <f t="shared" si="539"/>
        <v>15</v>
      </c>
      <c r="H679" s="63">
        <f t="shared" si="540"/>
        <v>96</v>
      </c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80"/>
      <c r="AG679" s="87">
        <f t="shared" si="500"/>
        <v>0</v>
      </c>
      <c r="AH679" s="87">
        <f t="shared" si="501"/>
        <v>0</v>
      </c>
      <c r="AI679" s="87">
        <f t="shared" si="502"/>
        <v>0</v>
      </c>
      <c r="AJ679" s="87">
        <f t="shared" si="503"/>
        <v>0</v>
      </c>
      <c r="AK679" s="87">
        <f t="shared" si="504"/>
        <v>0</v>
      </c>
      <c r="AL679" s="87">
        <f t="shared" si="505"/>
        <v>0</v>
      </c>
      <c r="AM679" s="87">
        <f t="shared" si="506"/>
        <v>0</v>
      </c>
      <c r="AN679" s="87">
        <f t="shared" si="507"/>
        <v>0</v>
      </c>
      <c r="AO679" s="87">
        <f t="shared" si="508"/>
        <v>0</v>
      </c>
      <c r="AP679" s="87">
        <f t="shared" si="509"/>
        <v>0</v>
      </c>
      <c r="AQ679" s="87">
        <f t="shared" si="510"/>
        <v>0</v>
      </c>
      <c r="AR679" s="81"/>
      <c r="AS679" s="85">
        <f t="shared" si="511"/>
        <v>0</v>
      </c>
      <c r="AT679" s="85">
        <f t="shared" si="512"/>
        <v>0</v>
      </c>
      <c r="AU679" s="85">
        <f t="shared" si="513"/>
        <v>0</v>
      </c>
      <c r="AV679" s="85">
        <f t="shared" si="514"/>
        <v>0</v>
      </c>
      <c r="AW679" s="85">
        <f t="shared" si="515"/>
        <v>0</v>
      </c>
      <c r="AX679" s="85">
        <f t="shared" si="516"/>
        <v>0</v>
      </c>
      <c r="AY679" s="85">
        <f t="shared" si="517"/>
        <v>0</v>
      </c>
      <c r="AZ679" s="85">
        <f t="shared" si="518"/>
        <v>0</v>
      </c>
      <c r="BA679" s="85">
        <f t="shared" si="519"/>
        <v>0</v>
      </c>
      <c r="BB679" s="85">
        <f t="shared" si="520"/>
        <v>0</v>
      </c>
      <c r="BC679" s="85">
        <f t="shared" si="521"/>
        <v>0</v>
      </c>
      <c r="BD679" s="85">
        <f t="shared" si="522"/>
        <v>0</v>
      </c>
      <c r="BE679" s="85">
        <f t="shared" si="523"/>
        <v>0</v>
      </c>
      <c r="BF679" s="85">
        <f t="shared" si="524"/>
        <v>0</v>
      </c>
      <c r="BG679" s="85">
        <f t="shared" si="525"/>
        <v>0</v>
      </c>
      <c r="BH679" s="85">
        <f t="shared" si="526"/>
        <v>0</v>
      </c>
      <c r="BI679" s="85">
        <f t="shared" si="527"/>
        <v>0</v>
      </c>
      <c r="BJ679" s="85">
        <f t="shared" si="528"/>
        <v>0</v>
      </c>
      <c r="BK679" s="85">
        <f t="shared" si="529"/>
        <v>0</v>
      </c>
      <c r="BL679" s="85">
        <f t="shared" si="530"/>
        <v>0</v>
      </c>
      <c r="BM679" s="85">
        <f t="shared" si="531"/>
        <v>0</v>
      </c>
      <c r="BN679" s="85">
        <f t="shared" si="532"/>
        <v>0</v>
      </c>
      <c r="BO679" s="85">
        <f t="shared" si="533"/>
        <v>0</v>
      </c>
      <c r="BP679" s="85">
        <f t="shared" si="534"/>
        <v>0</v>
      </c>
      <c r="BQ679" s="85">
        <f t="shared" si="535"/>
        <v>0</v>
      </c>
      <c r="BR679" s="85">
        <f t="shared" si="536"/>
        <v>0</v>
      </c>
      <c r="BT679" s="63"/>
      <c r="BU679" s="63"/>
      <c r="BV679" s="63"/>
      <c r="BW679" s="63"/>
      <c r="BX679" s="63"/>
      <c r="BY679" s="63"/>
      <c r="BZ679" s="63"/>
      <c r="CA679" s="63"/>
      <c r="CB679" s="63"/>
      <c r="CC679" s="63"/>
      <c r="CD679" s="63"/>
      <c r="CE679" s="63"/>
      <c r="CF679" s="63"/>
      <c r="CG679" s="63"/>
      <c r="CH679" s="63"/>
      <c r="CI679" s="63"/>
      <c r="CJ679" s="63"/>
      <c r="CK679" s="63"/>
      <c r="CL679" s="63"/>
      <c r="CM679" s="63"/>
      <c r="CN679" s="63"/>
      <c r="CO679" s="63"/>
      <c r="CP679" s="63"/>
      <c r="CQ679" s="63"/>
      <c r="CR679" s="63"/>
      <c r="CS679" s="63"/>
      <c r="CX679" s="35" t="s">
        <v>12</v>
      </c>
      <c r="CZ679" s="35"/>
      <c r="DC679" s="57" t="str">
        <f t="shared" si="541"/>
        <v/>
      </c>
      <c r="DD679" s="64" t="str">
        <f t="shared" si="537"/>
        <v/>
      </c>
      <c r="DE679" s="65" t="str">
        <f t="shared" si="538"/>
        <v/>
      </c>
      <c r="DF679" s="66" t="str">
        <f t="shared" si="499"/>
        <v/>
      </c>
    </row>
    <row r="680" spans="2:110">
      <c r="B680" s="54">
        <f t="shared" si="542"/>
        <v>47812</v>
      </c>
      <c r="C680" s="55" t="s">
        <v>1</v>
      </c>
      <c r="D680" s="56">
        <f t="shared" si="543"/>
        <v>47818</v>
      </c>
      <c r="E680" s="52">
        <f t="shared" si="544"/>
        <v>11</v>
      </c>
      <c r="F680" s="53">
        <f t="shared" si="545"/>
        <v>2030</v>
      </c>
      <c r="G680" s="62">
        <f t="shared" si="539"/>
        <v>15</v>
      </c>
      <c r="H680" s="63">
        <f t="shared" si="540"/>
        <v>96</v>
      </c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80"/>
      <c r="AG680" s="87">
        <f t="shared" si="500"/>
        <v>0</v>
      </c>
      <c r="AH680" s="87">
        <f t="shared" si="501"/>
        <v>0</v>
      </c>
      <c r="AI680" s="87">
        <f t="shared" si="502"/>
        <v>0</v>
      </c>
      <c r="AJ680" s="87">
        <f t="shared" si="503"/>
        <v>0</v>
      </c>
      <c r="AK680" s="87">
        <f t="shared" si="504"/>
        <v>0</v>
      </c>
      <c r="AL680" s="87">
        <f t="shared" si="505"/>
        <v>0</v>
      </c>
      <c r="AM680" s="87">
        <f t="shared" si="506"/>
        <v>0</v>
      </c>
      <c r="AN680" s="87">
        <f t="shared" si="507"/>
        <v>0</v>
      </c>
      <c r="AO680" s="87">
        <f t="shared" si="508"/>
        <v>0</v>
      </c>
      <c r="AP680" s="87">
        <f t="shared" si="509"/>
        <v>0</v>
      </c>
      <c r="AQ680" s="87">
        <f t="shared" si="510"/>
        <v>0</v>
      </c>
      <c r="AR680" s="81"/>
      <c r="AS680" s="85">
        <f t="shared" si="511"/>
        <v>0</v>
      </c>
      <c r="AT680" s="85">
        <f t="shared" si="512"/>
        <v>0</v>
      </c>
      <c r="AU680" s="85">
        <f t="shared" si="513"/>
        <v>0</v>
      </c>
      <c r="AV680" s="85">
        <f t="shared" si="514"/>
        <v>0</v>
      </c>
      <c r="AW680" s="85">
        <f t="shared" si="515"/>
        <v>0</v>
      </c>
      <c r="AX680" s="85">
        <f t="shared" si="516"/>
        <v>0</v>
      </c>
      <c r="AY680" s="85">
        <f t="shared" si="517"/>
        <v>0</v>
      </c>
      <c r="AZ680" s="85">
        <f t="shared" si="518"/>
        <v>0</v>
      </c>
      <c r="BA680" s="85">
        <f t="shared" si="519"/>
        <v>0</v>
      </c>
      <c r="BB680" s="85">
        <f t="shared" si="520"/>
        <v>0</v>
      </c>
      <c r="BC680" s="85">
        <f t="shared" si="521"/>
        <v>0</v>
      </c>
      <c r="BD680" s="85">
        <f t="shared" si="522"/>
        <v>0</v>
      </c>
      <c r="BE680" s="85">
        <f t="shared" si="523"/>
        <v>0</v>
      </c>
      <c r="BF680" s="85">
        <f t="shared" si="524"/>
        <v>0</v>
      </c>
      <c r="BG680" s="85">
        <f t="shared" si="525"/>
        <v>0</v>
      </c>
      <c r="BH680" s="85">
        <f t="shared" si="526"/>
        <v>0</v>
      </c>
      <c r="BI680" s="85">
        <f t="shared" si="527"/>
        <v>0</v>
      </c>
      <c r="BJ680" s="85">
        <f t="shared" si="528"/>
        <v>0</v>
      </c>
      <c r="BK680" s="85">
        <f t="shared" si="529"/>
        <v>0</v>
      </c>
      <c r="BL680" s="85">
        <f t="shared" si="530"/>
        <v>0</v>
      </c>
      <c r="BM680" s="85">
        <f t="shared" si="531"/>
        <v>0</v>
      </c>
      <c r="BN680" s="85">
        <f t="shared" si="532"/>
        <v>0</v>
      </c>
      <c r="BO680" s="85">
        <f t="shared" si="533"/>
        <v>0</v>
      </c>
      <c r="BP680" s="85">
        <f t="shared" si="534"/>
        <v>0</v>
      </c>
      <c r="BQ680" s="85">
        <f t="shared" si="535"/>
        <v>0</v>
      </c>
      <c r="BR680" s="85">
        <f t="shared" si="536"/>
        <v>0</v>
      </c>
      <c r="BT680" s="63"/>
      <c r="BU680" s="63"/>
      <c r="BV680" s="63"/>
      <c r="BW680" s="63"/>
      <c r="BX680" s="63"/>
      <c r="BY680" s="63"/>
      <c r="BZ680" s="63"/>
      <c r="CA680" s="63"/>
      <c r="CB680" s="63"/>
      <c r="CC680" s="63"/>
      <c r="CD680" s="63"/>
      <c r="CE680" s="63"/>
      <c r="CF680" s="63"/>
      <c r="CG680" s="63"/>
      <c r="CH680" s="63"/>
      <c r="CI680" s="63"/>
      <c r="CJ680" s="63"/>
      <c r="CK680" s="63"/>
      <c r="CL680" s="63"/>
      <c r="CM680" s="63"/>
      <c r="CN680" s="63"/>
      <c r="CO680" s="63"/>
      <c r="CP680" s="63"/>
      <c r="CQ680" s="63"/>
      <c r="CR680" s="63"/>
      <c r="CS680" s="63"/>
      <c r="CX680" s="35" t="s">
        <v>12</v>
      </c>
      <c r="CZ680" s="35"/>
      <c r="DC680" s="57" t="str">
        <f t="shared" si="541"/>
        <v/>
      </c>
      <c r="DD680" s="64" t="str">
        <f t="shared" si="537"/>
        <v/>
      </c>
      <c r="DE680" s="65" t="str">
        <f t="shared" si="538"/>
        <v/>
      </c>
      <c r="DF680" s="66" t="str">
        <f t="shared" si="499"/>
        <v/>
      </c>
    </row>
    <row r="681" spans="2:110">
      <c r="B681" s="54">
        <f t="shared" si="542"/>
        <v>47819</v>
      </c>
      <c r="C681" s="55" t="s">
        <v>1</v>
      </c>
      <c r="D681" s="56">
        <f t="shared" si="543"/>
        <v>47825</v>
      </c>
      <c r="E681" s="52">
        <f t="shared" si="544"/>
        <v>12</v>
      </c>
      <c r="F681" s="53">
        <f t="shared" si="545"/>
        <v>2030</v>
      </c>
      <c r="G681" s="62">
        <f t="shared" si="539"/>
        <v>15</v>
      </c>
      <c r="H681" s="63">
        <f t="shared" si="540"/>
        <v>96</v>
      </c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80"/>
      <c r="AG681" s="87">
        <f t="shared" si="500"/>
        <v>0</v>
      </c>
      <c r="AH681" s="87">
        <f t="shared" si="501"/>
        <v>0</v>
      </c>
      <c r="AI681" s="87">
        <f t="shared" si="502"/>
        <v>0</v>
      </c>
      <c r="AJ681" s="87">
        <f t="shared" si="503"/>
        <v>0</v>
      </c>
      <c r="AK681" s="87">
        <f t="shared" si="504"/>
        <v>0</v>
      </c>
      <c r="AL681" s="87">
        <f t="shared" si="505"/>
        <v>0</v>
      </c>
      <c r="AM681" s="87">
        <f t="shared" si="506"/>
        <v>0</v>
      </c>
      <c r="AN681" s="87">
        <f t="shared" si="507"/>
        <v>0</v>
      </c>
      <c r="AO681" s="87">
        <f t="shared" si="508"/>
        <v>0</v>
      </c>
      <c r="AP681" s="87">
        <f t="shared" si="509"/>
        <v>0</v>
      </c>
      <c r="AQ681" s="87">
        <f t="shared" si="510"/>
        <v>0</v>
      </c>
      <c r="AR681" s="81"/>
      <c r="AS681" s="85">
        <f t="shared" si="511"/>
        <v>0</v>
      </c>
      <c r="AT681" s="85">
        <f t="shared" si="512"/>
        <v>0</v>
      </c>
      <c r="AU681" s="85">
        <f t="shared" si="513"/>
        <v>0</v>
      </c>
      <c r="AV681" s="85">
        <f t="shared" si="514"/>
        <v>0</v>
      </c>
      <c r="AW681" s="85">
        <f t="shared" si="515"/>
        <v>0</v>
      </c>
      <c r="AX681" s="85">
        <f t="shared" si="516"/>
        <v>0</v>
      </c>
      <c r="AY681" s="85">
        <f t="shared" si="517"/>
        <v>0</v>
      </c>
      <c r="AZ681" s="85">
        <f t="shared" si="518"/>
        <v>0</v>
      </c>
      <c r="BA681" s="85">
        <f t="shared" si="519"/>
        <v>0</v>
      </c>
      <c r="BB681" s="85">
        <f t="shared" si="520"/>
        <v>0</v>
      </c>
      <c r="BC681" s="85">
        <f t="shared" si="521"/>
        <v>0</v>
      </c>
      <c r="BD681" s="85">
        <f t="shared" si="522"/>
        <v>0</v>
      </c>
      <c r="BE681" s="85">
        <f t="shared" si="523"/>
        <v>0</v>
      </c>
      <c r="BF681" s="85">
        <f t="shared" si="524"/>
        <v>0</v>
      </c>
      <c r="BG681" s="85">
        <f t="shared" si="525"/>
        <v>0</v>
      </c>
      <c r="BH681" s="85">
        <f t="shared" si="526"/>
        <v>0</v>
      </c>
      <c r="BI681" s="85">
        <f t="shared" si="527"/>
        <v>0</v>
      </c>
      <c r="BJ681" s="85">
        <f t="shared" si="528"/>
        <v>0</v>
      </c>
      <c r="BK681" s="85">
        <f t="shared" si="529"/>
        <v>0</v>
      </c>
      <c r="BL681" s="85">
        <f t="shared" si="530"/>
        <v>0</v>
      </c>
      <c r="BM681" s="85">
        <f t="shared" si="531"/>
        <v>0</v>
      </c>
      <c r="BN681" s="85">
        <f t="shared" si="532"/>
        <v>0</v>
      </c>
      <c r="BO681" s="85">
        <f t="shared" si="533"/>
        <v>0</v>
      </c>
      <c r="BP681" s="85">
        <f t="shared" si="534"/>
        <v>0</v>
      </c>
      <c r="BQ681" s="85">
        <f t="shared" si="535"/>
        <v>0</v>
      </c>
      <c r="BR681" s="85">
        <f t="shared" si="536"/>
        <v>0</v>
      </c>
      <c r="BT681" s="63"/>
      <c r="BU681" s="63"/>
      <c r="BV681" s="63"/>
      <c r="BW681" s="63"/>
      <c r="BX681" s="63"/>
      <c r="BY681" s="63"/>
      <c r="BZ681" s="63"/>
      <c r="CA681" s="63"/>
      <c r="CB681" s="63"/>
      <c r="CC681" s="63"/>
      <c r="CD681" s="63"/>
      <c r="CE681" s="63"/>
      <c r="CF681" s="63"/>
      <c r="CG681" s="63"/>
      <c r="CH681" s="63"/>
      <c r="CI681" s="63"/>
      <c r="CJ681" s="63"/>
      <c r="CK681" s="63"/>
      <c r="CL681" s="63"/>
      <c r="CM681" s="63"/>
      <c r="CN681" s="63"/>
      <c r="CO681" s="63"/>
      <c r="CP681" s="63"/>
      <c r="CQ681" s="63"/>
      <c r="CR681" s="63"/>
      <c r="CS681" s="63"/>
      <c r="CX681" s="35" t="s">
        <v>12</v>
      </c>
      <c r="CZ681" s="35"/>
      <c r="DC681" s="57" t="str">
        <f t="shared" si="541"/>
        <v/>
      </c>
      <c r="DD681" s="64" t="str">
        <f t="shared" si="537"/>
        <v/>
      </c>
      <c r="DE681" s="65" t="str">
        <f t="shared" si="538"/>
        <v/>
      </c>
      <c r="DF681" s="66" t="str">
        <f t="shared" si="499"/>
        <v/>
      </c>
    </row>
    <row r="682" spans="2:110">
      <c r="B682" s="54">
        <f t="shared" si="542"/>
        <v>47826</v>
      </c>
      <c r="C682" s="55" t="s">
        <v>1</v>
      </c>
      <c r="D682" s="56">
        <f t="shared" si="543"/>
        <v>47832</v>
      </c>
      <c r="E682" s="52">
        <f t="shared" si="544"/>
        <v>12</v>
      </c>
      <c r="F682" s="53">
        <f t="shared" si="545"/>
        <v>2030</v>
      </c>
      <c r="G682" s="62">
        <f t="shared" si="539"/>
        <v>15</v>
      </c>
      <c r="H682" s="63">
        <f t="shared" si="540"/>
        <v>96</v>
      </c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80"/>
      <c r="AG682" s="87">
        <f t="shared" si="500"/>
        <v>0</v>
      </c>
      <c r="AH682" s="87">
        <f t="shared" si="501"/>
        <v>0</v>
      </c>
      <c r="AI682" s="87">
        <f t="shared" si="502"/>
        <v>0</v>
      </c>
      <c r="AJ682" s="87">
        <f t="shared" si="503"/>
        <v>0</v>
      </c>
      <c r="AK682" s="87">
        <f t="shared" si="504"/>
        <v>0</v>
      </c>
      <c r="AL682" s="87">
        <f t="shared" si="505"/>
        <v>0</v>
      </c>
      <c r="AM682" s="87">
        <f t="shared" si="506"/>
        <v>0</v>
      </c>
      <c r="AN682" s="87">
        <f t="shared" si="507"/>
        <v>0</v>
      </c>
      <c r="AO682" s="87">
        <f t="shared" si="508"/>
        <v>0</v>
      </c>
      <c r="AP682" s="87">
        <f t="shared" si="509"/>
        <v>0</v>
      </c>
      <c r="AQ682" s="87">
        <f t="shared" si="510"/>
        <v>0</v>
      </c>
      <c r="AR682" s="81"/>
      <c r="AS682" s="85">
        <f t="shared" si="511"/>
        <v>0</v>
      </c>
      <c r="AT682" s="85">
        <f t="shared" si="512"/>
        <v>0</v>
      </c>
      <c r="AU682" s="85">
        <f t="shared" si="513"/>
        <v>0</v>
      </c>
      <c r="AV682" s="85">
        <f t="shared" si="514"/>
        <v>0</v>
      </c>
      <c r="AW682" s="85">
        <f t="shared" si="515"/>
        <v>0</v>
      </c>
      <c r="AX682" s="85">
        <f t="shared" si="516"/>
        <v>0</v>
      </c>
      <c r="AY682" s="85">
        <f t="shared" si="517"/>
        <v>0</v>
      </c>
      <c r="AZ682" s="85">
        <f t="shared" si="518"/>
        <v>0</v>
      </c>
      <c r="BA682" s="85">
        <f t="shared" si="519"/>
        <v>0</v>
      </c>
      <c r="BB682" s="85">
        <f t="shared" si="520"/>
        <v>0</v>
      </c>
      <c r="BC682" s="85">
        <f t="shared" si="521"/>
        <v>0</v>
      </c>
      <c r="BD682" s="85">
        <f t="shared" si="522"/>
        <v>0</v>
      </c>
      <c r="BE682" s="85">
        <f t="shared" si="523"/>
        <v>0</v>
      </c>
      <c r="BF682" s="85">
        <f t="shared" si="524"/>
        <v>0</v>
      </c>
      <c r="BG682" s="85">
        <f t="shared" si="525"/>
        <v>0</v>
      </c>
      <c r="BH682" s="85">
        <f t="shared" si="526"/>
        <v>0</v>
      </c>
      <c r="BI682" s="85">
        <f t="shared" si="527"/>
        <v>0</v>
      </c>
      <c r="BJ682" s="85">
        <f t="shared" si="528"/>
        <v>0</v>
      </c>
      <c r="BK682" s="85">
        <f t="shared" si="529"/>
        <v>0</v>
      </c>
      <c r="BL682" s="85">
        <f t="shared" si="530"/>
        <v>0</v>
      </c>
      <c r="BM682" s="85">
        <f t="shared" si="531"/>
        <v>0</v>
      </c>
      <c r="BN682" s="85">
        <f t="shared" si="532"/>
        <v>0</v>
      </c>
      <c r="BO682" s="85">
        <f t="shared" si="533"/>
        <v>0</v>
      </c>
      <c r="BP682" s="85">
        <f t="shared" si="534"/>
        <v>0</v>
      </c>
      <c r="BQ682" s="85">
        <f t="shared" si="535"/>
        <v>0</v>
      </c>
      <c r="BR682" s="85">
        <f t="shared" si="536"/>
        <v>0</v>
      </c>
      <c r="BT682" s="63"/>
      <c r="BU682" s="63"/>
      <c r="BV682" s="63"/>
      <c r="BW682" s="63"/>
      <c r="BX682" s="63"/>
      <c r="BY682" s="63"/>
      <c r="BZ682" s="63"/>
      <c r="CA682" s="63"/>
      <c r="CB682" s="63"/>
      <c r="CC682" s="63"/>
      <c r="CD682" s="63"/>
      <c r="CE682" s="63"/>
      <c r="CF682" s="63"/>
      <c r="CG682" s="63"/>
      <c r="CH682" s="63"/>
      <c r="CI682" s="63"/>
      <c r="CJ682" s="63"/>
      <c r="CK682" s="63"/>
      <c r="CL682" s="63"/>
      <c r="CM682" s="63"/>
      <c r="CN682" s="63"/>
      <c r="CO682" s="63"/>
      <c r="CP682" s="63"/>
      <c r="CQ682" s="63"/>
      <c r="CR682" s="63"/>
      <c r="CS682" s="63"/>
      <c r="CX682" s="35" t="s">
        <v>12</v>
      </c>
      <c r="CZ682" s="35"/>
      <c r="DC682" s="57" t="str">
        <f t="shared" si="541"/>
        <v/>
      </c>
      <c r="DD682" s="64" t="str">
        <f t="shared" si="537"/>
        <v/>
      </c>
      <c r="DE682" s="65" t="str">
        <f t="shared" si="538"/>
        <v/>
      </c>
      <c r="DF682" s="66" t="str">
        <f t="shared" si="499"/>
        <v/>
      </c>
    </row>
    <row r="683" spans="2:110">
      <c r="B683" s="54">
        <f t="shared" si="542"/>
        <v>47833</v>
      </c>
      <c r="C683" s="55" t="s">
        <v>1</v>
      </c>
      <c r="D683" s="56">
        <f t="shared" si="543"/>
        <v>47839</v>
      </c>
      <c r="E683" s="52">
        <f t="shared" si="544"/>
        <v>12</v>
      </c>
      <c r="F683" s="53">
        <f t="shared" si="545"/>
        <v>2030</v>
      </c>
      <c r="G683" s="62">
        <f t="shared" si="539"/>
        <v>15</v>
      </c>
      <c r="H683" s="63">
        <f t="shared" si="540"/>
        <v>96</v>
      </c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80"/>
      <c r="AG683" s="87">
        <f t="shared" si="500"/>
        <v>0</v>
      </c>
      <c r="AH683" s="87">
        <f t="shared" si="501"/>
        <v>0</v>
      </c>
      <c r="AI683" s="87">
        <f t="shared" si="502"/>
        <v>0</v>
      </c>
      <c r="AJ683" s="87">
        <f t="shared" si="503"/>
        <v>0</v>
      </c>
      <c r="AK683" s="87">
        <f t="shared" si="504"/>
        <v>0</v>
      </c>
      <c r="AL683" s="87">
        <f t="shared" si="505"/>
        <v>0</v>
      </c>
      <c r="AM683" s="87">
        <f t="shared" si="506"/>
        <v>0</v>
      </c>
      <c r="AN683" s="87">
        <f t="shared" si="507"/>
        <v>0</v>
      </c>
      <c r="AO683" s="87">
        <f t="shared" si="508"/>
        <v>0</v>
      </c>
      <c r="AP683" s="87">
        <f t="shared" si="509"/>
        <v>0</v>
      </c>
      <c r="AQ683" s="87">
        <f t="shared" si="510"/>
        <v>0</v>
      </c>
      <c r="AR683" s="81"/>
      <c r="AS683" s="85">
        <f t="shared" si="511"/>
        <v>0</v>
      </c>
      <c r="AT683" s="85">
        <f t="shared" si="512"/>
        <v>0</v>
      </c>
      <c r="AU683" s="85">
        <f t="shared" si="513"/>
        <v>0</v>
      </c>
      <c r="AV683" s="85">
        <f t="shared" si="514"/>
        <v>0</v>
      </c>
      <c r="AW683" s="85">
        <f t="shared" si="515"/>
        <v>0</v>
      </c>
      <c r="AX683" s="85">
        <f t="shared" si="516"/>
        <v>0</v>
      </c>
      <c r="AY683" s="85">
        <f t="shared" si="517"/>
        <v>0</v>
      </c>
      <c r="AZ683" s="85">
        <f t="shared" si="518"/>
        <v>0</v>
      </c>
      <c r="BA683" s="85">
        <f t="shared" si="519"/>
        <v>0</v>
      </c>
      <c r="BB683" s="85">
        <f t="shared" si="520"/>
        <v>0</v>
      </c>
      <c r="BC683" s="85">
        <f t="shared" si="521"/>
        <v>0</v>
      </c>
      <c r="BD683" s="85">
        <f t="shared" si="522"/>
        <v>0</v>
      </c>
      <c r="BE683" s="85">
        <f t="shared" si="523"/>
        <v>0</v>
      </c>
      <c r="BF683" s="85">
        <f t="shared" si="524"/>
        <v>0</v>
      </c>
      <c r="BG683" s="85">
        <f t="shared" si="525"/>
        <v>0</v>
      </c>
      <c r="BH683" s="85">
        <f t="shared" si="526"/>
        <v>0</v>
      </c>
      <c r="BI683" s="85">
        <f t="shared" si="527"/>
        <v>0</v>
      </c>
      <c r="BJ683" s="85">
        <f t="shared" si="528"/>
        <v>0</v>
      </c>
      <c r="BK683" s="85">
        <f t="shared" si="529"/>
        <v>0</v>
      </c>
      <c r="BL683" s="85">
        <f t="shared" si="530"/>
        <v>0</v>
      </c>
      <c r="BM683" s="85">
        <f t="shared" si="531"/>
        <v>0</v>
      </c>
      <c r="BN683" s="85">
        <f t="shared" si="532"/>
        <v>0</v>
      </c>
      <c r="BO683" s="85">
        <f t="shared" si="533"/>
        <v>0</v>
      </c>
      <c r="BP683" s="85">
        <f t="shared" si="534"/>
        <v>0</v>
      </c>
      <c r="BQ683" s="85">
        <f t="shared" si="535"/>
        <v>0</v>
      </c>
      <c r="BR683" s="85">
        <f t="shared" si="536"/>
        <v>0</v>
      </c>
      <c r="BT683" s="63"/>
      <c r="BU683" s="63"/>
      <c r="BV683" s="63"/>
      <c r="BW683" s="63"/>
      <c r="BX683" s="63"/>
      <c r="BY683" s="63"/>
      <c r="BZ683" s="63"/>
      <c r="CA683" s="63"/>
      <c r="CB683" s="63"/>
      <c r="CC683" s="63"/>
      <c r="CD683" s="63"/>
      <c r="CE683" s="63"/>
      <c r="CF683" s="63"/>
      <c r="CG683" s="63"/>
      <c r="CH683" s="63"/>
      <c r="CI683" s="63"/>
      <c r="CJ683" s="63"/>
      <c r="CK683" s="63"/>
      <c r="CL683" s="63"/>
      <c r="CM683" s="63"/>
      <c r="CN683" s="63"/>
      <c r="CO683" s="63"/>
      <c r="CP683" s="63"/>
      <c r="CQ683" s="63"/>
      <c r="CR683" s="63"/>
      <c r="CS683" s="63"/>
      <c r="CX683" s="35" t="s">
        <v>12</v>
      </c>
      <c r="CZ683" s="35"/>
      <c r="DC683" s="57" t="str">
        <f t="shared" si="541"/>
        <v/>
      </c>
      <c r="DD683" s="64" t="str">
        <f t="shared" si="537"/>
        <v/>
      </c>
      <c r="DE683" s="65" t="str">
        <f t="shared" si="538"/>
        <v/>
      </c>
      <c r="DF683" s="66" t="str">
        <f t="shared" si="499"/>
        <v/>
      </c>
    </row>
    <row r="684" spans="2:110">
      <c r="B684" s="54">
        <f t="shared" si="542"/>
        <v>47840</v>
      </c>
      <c r="C684" s="55" t="s">
        <v>1</v>
      </c>
      <c r="D684" s="56">
        <f t="shared" si="543"/>
        <v>47846</v>
      </c>
      <c r="E684" s="52">
        <f t="shared" si="544"/>
        <v>12</v>
      </c>
      <c r="F684" s="53">
        <f t="shared" si="545"/>
        <v>2030</v>
      </c>
      <c r="G684" s="62">
        <f t="shared" si="539"/>
        <v>15</v>
      </c>
      <c r="H684" s="63">
        <f t="shared" si="540"/>
        <v>96</v>
      </c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80"/>
      <c r="AG684" s="87">
        <f t="shared" si="500"/>
        <v>0</v>
      </c>
      <c r="AH684" s="87">
        <f t="shared" si="501"/>
        <v>0</v>
      </c>
      <c r="AI684" s="87">
        <f t="shared" si="502"/>
        <v>0</v>
      </c>
      <c r="AJ684" s="87">
        <f t="shared" si="503"/>
        <v>0</v>
      </c>
      <c r="AK684" s="87">
        <f t="shared" si="504"/>
        <v>0</v>
      </c>
      <c r="AL684" s="87">
        <f t="shared" si="505"/>
        <v>0</v>
      </c>
      <c r="AM684" s="87">
        <f t="shared" si="506"/>
        <v>0</v>
      </c>
      <c r="AN684" s="87">
        <f t="shared" si="507"/>
        <v>0</v>
      </c>
      <c r="AO684" s="87">
        <f t="shared" si="508"/>
        <v>0</v>
      </c>
      <c r="AP684" s="87">
        <f t="shared" si="509"/>
        <v>0</v>
      </c>
      <c r="AQ684" s="87">
        <f t="shared" si="510"/>
        <v>0</v>
      </c>
      <c r="AR684" s="81"/>
      <c r="AS684" s="85">
        <f t="shared" si="511"/>
        <v>0</v>
      </c>
      <c r="AT684" s="85">
        <f t="shared" si="512"/>
        <v>0</v>
      </c>
      <c r="AU684" s="85">
        <f t="shared" si="513"/>
        <v>0</v>
      </c>
      <c r="AV684" s="85">
        <f t="shared" si="514"/>
        <v>0</v>
      </c>
      <c r="AW684" s="85">
        <f t="shared" si="515"/>
        <v>0</v>
      </c>
      <c r="AX684" s="85">
        <f t="shared" si="516"/>
        <v>0</v>
      </c>
      <c r="AY684" s="85">
        <f t="shared" si="517"/>
        <v>0</v>
      </c>
      <c r="AZ684" s="85">
        <f t="shared" si="518"/>
        <v>0</v>
      </c>
      <c r="BA684" s="85">
        <f t="shared" si="519"/>
        <v>0</v>
      </c>
      <c r="BB684" s="85">
        <f t="shared" si="520"/>
        <v>0</v>
      </c>
      <c r="BC684" s="85">
        <f t="shared" si="521"/>
        <v>0</v>
      </c>
      <c r="BD684" s="85">
        <f t="shared" si="522"/>
        <v>0</v>
      </c>
      <c r="BE684" s="85">
        <f t="shared" si="523"/>
        <v>0</v>
      </c>
      <c r="BF684" s="85">
        <f t="shared" si="524"/>
        <v>0</v>
      </c>
      <c r="BG684" s="85">
        <f t="shared" si="525"/>
        <v>0</v>
      </c>
      <c r="BH684" s="85">
        <f t="shared" si="526"/>
        <v>0</v>
      </c>
      <c r="BI684" s="85">
        <f t="shared" si="527"/>
        <v>0</v>
      </c>
      <c r="BJ684" s="85">
        <f t="shared" si="528"/>
        <v>0</v>
      </c>
      <c r="BK684" s="85">
        <f t="shared" si="529"/>
        <v>0</v>
      </c>
      <c r="BL684" s="85">
        <f t="shared" si="530"/>
        <v>0</v>
      </c>
      <c r="BM684" s="85">
        <f t="shared" si="531"/>
        <v>0</v>
      </c>
      <c r="BN684" s="85">
        <f t="shared" si="532"/>
        <v>0</v>
      </c>
      <c r="BO684" s="85">
        <f t="shared" si="533"/>
        <v>0</v>
      </c>
      <c r="BP684" s="85">
        <f t="shared" si="534"/>
        <v>0</v>
      </c>
      <c r="BQ684" s="85">
        <f t="shared" si="535"/>
        <v>0</v>
      </c>
      <c r="BR684" s="85">
        <f t="shared" si="536"/>
        <v>0</v>
      </c>
      <c r="BT684" s="63"/>
      <c r="BU684" s="63"/>
      <c r="BV684" s="63"/>
      <c r="BW684" s="63"/>
      <c r="BX684" s="63"/>
      <c r="BY684" s="63"/>
      <c r="BZ684" s="63"/>
      <c r="CA684" s="63"/>
      <c r="CB684" s="63"/>
      <c r="CC684" s="63"/>
      <c r="CD684" s="63"/>
      <c r="CE684" s="63"/>
      <c r="CF684" s="63"/>
      <c r="CG684" s="63"/>
      <c r="CH684" s="63"/>
      <c r="CI684" s="63"/>
      <c r="CJ684" s="63"/>
      <c r="CK684" s="63"/>
      <c r="CL684" s="63"/>
      <c r="CM684" s="63"/>
      <c r="CN684" s="63"/>
      <c r="CO684" s="63"/>
      <c r="CP684" s="63"/>
      <c r="CQ684" s="63"/>
      <c r="CR684" s="63"/>
      <c r="CS684" s="63"/>
      <c r="CX684" s="35" t="s">
        <v>12</v>
      </c>
      <c r="CZ684" s="35"/>
      <c r="DC684" s="57" t="str">
        <f t="shared" si="541"/>
        <v/>
      </c>
      <c r="DD684" s="64" t="str">
        <f t="shared" si="537"/>
        <v/>
      </c>
      <c r="DE684" s="65" t="str">
        <f t="shared" si="538"/>
        <v/>
      </c>
      <c r="DF684" s="66" t="str">
        <f t="shared" si="499"/>
        <v/>
      </c>
    </row>
    <row r="685" spans="2:110">
      <c r="B685" s="54">
        <f t="shared" si="542"/>
        <v>47847</v>
      </c>
      <c r="C685" s="55" t="s">
        <v>1</v>
      </c>
      <c r="D685" s="56">
        <f t="shared" si="543"/>
        <v>47853</v>
      </c>
      <c r="E685" s="52">
        <f t="shared" si="544"/>
        <v>12</v>
      </c>
      <c r="F685" s="53">
        <f t="shared" si="545"/>
        <v>2031</v>
      </c>
      <c r="G685" s="62">
        <f t="shared" si="539"/>
        <v>15</v>
      </c>
      <c r="H685" s="63">
        <f t="shared" si="540"/>
        <v>96</v>
      </c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80"/>
      <c r="AG685" s="87">
        <f t="shared" si="500"/>
        <v>0</v>
      </c>
      <c r="AH685" s="87">
        <f t="shared" si="501"/>
        <v>0</v>
      </c>
      <c r="AI685" s="87">
        <f t="shared" si="502"/>
        <v>0</v>
      </c>
      <c r="AJ685" s="87">
        <f t="shared" si="503"/>
        <v>0</v>
      </c>
      <c r="AK685" s="87">
        <f t="shared" si="504"/>
        <v>0</v>
      </c>
      <c r="AL685" s="87">
        <f t="shared" si="505"/>
        <v>0</v>
      </c>
      <c r="AM685" s="87">
        <f t="shared" si="506"/>
        <v>0</v>
      </c>
      <c r="AN685" s="87">
        <f t="shared" si="507"/>
        <v>0</v>
      </c>
      <c r="AO685" s="87">
        <f t="shared" si="508"/>
        <v>0</v>
      </c>
      <c r="AP685" s="87">
        <f t="shared" si="509"/>
        <v>0</v>
      </c>
      <c r="AQ685" s="87">
        <f t="shared" si="510"/>
        <v>0</v>
      </c>
      <c r="AR685" s="81"/>
      <c r="AS685" s="85">
        <f t="shared" si="511"/>
        <v>0</v>
      </c>
      <c r="AT685" s="85">
        <f t="shared" si="512"/>
        <v>0</v>
      </c>
      <c r="AU685" s="85">
        <f t="shared" si="513"/>
        <v>0</v>
      </c>
      <c r="AV685" s="85">
        <f t="shared" si="514"/>
        <v>0</v>
      </c>
      <c r="AW685" s="85">
        <f t="shared" si="515"/>
        <v>0</v>
      </c>
      <c r="AX685" s="85">
        <f t="shared" si="516"/>
        <v>0</v>
      </c>
      <c r="AY685" s="85">
        <f t="shared" si="517"/>
        <v>0</v>
      </c>
      <c r="AZ685" s="85">
        <f t="shared" si="518"/>
        <v>0</v>
      </c>
      <c r="BA685" s="85">
        <f t="shared" si="519"/>
        <v>0</v>
      </c>
      <c r="BB685" s="85">
        <f t="shared" si="520"/>
        <v>0</v>
      </c>
      <c r="BC685" s="85">
        <f t="shared" si="521"/>
        <v>0</v>
      </c>
      <c r="BD685" s="85">
        <f t="shared" si="522"/>
        <v>0</v>
      </c>
      <c r="BE685" s="85">
        <f t="shared" si="523"/>
        <v>0</v>
      </c>
      <c r="BF685" s="85">
        <f t="shared" si="524"/>
        <v>0</v>
      </c>
      <c r="BG685" s="85">
        <f t="shared" si="525"/>
        <v>0</v>
      </c>
      <c r="BH685" s="85">
        <f t="shared" si="526"/>
        <v>0</v>
      </c>
      <c r="BI685" s="85">
        <f t="shared" si="527"/>
        <v>0</v>
      </c>
      <c r="BJ685" s="85">
        <f t="shared" si="528"/>
        <v>0</v>
      </c>
      <c r="BK685" s="85">
        <f t="shared" si="529"/>
        <v>0</v>
      </c>
      <c r="BL685" s="85">
        <f t="shared" si="530"/>
        <v>0</v>
      </c>
      <c r="BM685" s="85">
        <f t="shared" si="531"/>
        <v>0</v>
      </c>
      <c r="BN685" s="85">
        <f t="shared" si="532"/>
        <v>0</v>
      </c>
      <c r="BO685" s="85">
        <f t="shared" si="533"/>
        <v>0</v>
      </c>
      <c r="BP685" s="85">
        <f t="shared" si="534"/>
        <v>0</v>
      </c>
      <c r="BQ685" s="85">
        <f t="shared" si="535"/>
        <v>0</v>
      </c>
      <c r="BR685" s="85">
        <f t="shared" si="536"/>
        <v>0</v>
      </c>
      <c r="BT685" s="63"/>
      <c r="BU685" s="63"/>
      <c r="BV685" s="63"/>
      <c r="BW685" s="63"/>
      <c r="BX685" s="63"/>
      <c r="BY685" s="63"/>
      <c r="BZ685" s="63"/>
      <c r="CA685" s="63"/>
      <c r="CB685" s="63"/>
      <c r="CC685" s="63"/>
      <c r="CD685" s="63"/>
      <c r="CE685" s="63"/>
      <c r="CF685" s="63"/>
      <c r="CG685" s="63"/>
      <c r="CH685" s="63"/>
      <c r="CI685" s="63"/>
      <c r="CJ685" s="63"/>
      <c r="CK685" s="63"/>
      <c r="CL685" s="63"/>
      <c r="CM685" s="63"/>
      <c r="CN685" s="63"/>
      <c r="CO685" s="63"/>
      <c r="CP685" s="63"/>
      <c r="CQ685" s="63"/>
      <c r="CR685" s="63"/>
      <c r="CS685" s="63"/>
      <c r="CX685" s="35" t="s">
        <v>12</v>
      </c>
      <c r="CZ685" s="35"/>
      <c r="DC685" s="57" t="str">
        <f t="shared" si="541"/>
        <v/>
      </c>
      <c r="DD685" s="64" t="str">
        <f t="shared" si="537"/>
        <v/>
      </c>
      <c r="DE685" s="65" t="str">
        <f t="shared" si="538"/>
        <v/>
      </c>
      <c r="DF685" s="66" t="str">
        <f t="shared" si="499"/>
        <v/>
      </c>
    </row>
  </sheetData>
  <mergeCells count="103">
    <mergeCell ref="B5:D5"/>
    <mergeCell ref="AG1:AH1"/>
    <mergeCell ref="AK1:AL1"/>
    <mergeCell ref="AO1:AP1"/>
    <mergeCell ref="AG2:AH2"/>
    <mergeCell ref="AK2:AL2"/>
    <mergeCell ref="AG3:AH3"/>
    <mergeCell ref="AK3:AL3"/>
    <mergeCell ref="AG4:AH4"/>
    <mergeCell ref="AK4:AL4"/>
    <mergeCell ref="AO2:AP2"/>
    <mergeCell ref="AO3:AP3"/>
    <mergeCell ref="AO4:AP4"/>
    <mergeCell ref="AC2:AD2"/>
    <mergeCell ref="U3:V3"/>
    <mergeCell ref="Y3:Z3"/>
    <mergeCell ref="AC3:AD3"/>
    <mergeCell ref="U4:V4"/>
    <mergeCell ref="Y4:Z4"/>
    <mergeCell ref="AC4:AD4"/>
    <mergeCell ref="DC3:DD3"/>
    <mergeCell ref="DE3:DF3"/>
    <mergeCell ref="AZ1:BA1"/>
    <mergeCell ref="AZ2:BA2"/>
    <mergeCell ref="AZ3:BA3"/>
    <mergeCell ref="AZ4:BA4"/>
    <mergeCell ref="BE1:BF1"/>
    <mergeCell ref="BE3:BF3"/>
    <mergeCell ref="BE4:BF4"/>
    <mergeCell ref="I3:J3"/>
    <mergeCell ref="M3:N3"/>
    <mergeCell ref="Q3:R3"/>
    <mergeCell ref="I4:J4"/>
    <mergeCell ref="M4:N4"/>
    <mergeCell ref="Q4:R4"/>
    <mergeCell ref="I1:J1"/>
    <mergeCell ref="M1:N1"/>
    <mergeCell ref="Q1:R1"/>
    <mergeCell ref="I2:J2"/>
    <mergeCell ref="M2:N2"/>
    <mergeCell ref="Q2:R2"/>
    <mergeCell ref="U1:V1"/>
    <mergeCell ref="Y1:Z1"/>
    <mergeCell ref="AC1:AD1"/>
    <mergeCell ref="U2:V2"/>
    <mergeCell ref="Y2:Z2"/>
    <mergeCell ref="BQ1:BR1"/>
    <mergeCell ref="BE2:BF2"/>
    <mergeCell ref="BG2:BH2"/>
    <mergeCell ref="BI2:BJ2"/>
    <mergeCell ref="BK2:BL2"/>
    <mergeCell ref="BM2:BN2"/>
    <mergeCell ref="BO2:BP2"/>
    <mergeCell ref="BQ2:BR2"/>
    <mergeCell ref="BG1:BH1"/>
    <mergeCell ref="BI1:BJ1"/>
    <mergeCell ref="BK1:BL1"/>
    <mergeCell ref="BM1:BN1"/>
    <mergeCell ref="BO1:BP1"/>
    <mergeCell ref="BM3:BN3"/>
    <mergeCell ref="BM4:BN4"/>
    <mergeCell ref="BO3:BP3"/>
    <mergeCell ref="BO4:BP4"/>
    <mergeCell ref="BQ3:BR3"/>
    <mergeCell ref="BQ4:BR4"/>
    <mergeCell ref="BG3:BH3"/>
    <mergeCell ref="BG4:BH4"/>
    <mergeCell ref="BI3:BJ3"/>
    <mergeCell ref="BI4:BJ4"/>
    <mergeCell ref="BK3:BL3"/>
    <mergeCell ref="BK4:BL4"/>
    <mergeCell ref="CP1:CQ1"/>
    <mergeCell ref="CR1:CS1"/>
    <mergeCell ref="CA2:CB2"/>
    <mergeCell ref="CF2:CG2"/>
    <mergeCell ref="CH2:CI2"/>
    <mergeCell ref="CJ2:CK2"/>
    <mergeCell ref="CL2:CM2"/>
    <mergeCell ref="CN2:CO2"/>
    <mergeCell ref="CP2:CQ2"/>
    <mergeCell ref="CR2:CS2"/>
    <mergeCell ref="CA1:CB1"/>
    <mergeCell ref="CF1:CG1"/>
    <mergeCell ref="CH1:CI1"/>
    <mergeCell ref="CJ1:CK1"/>
    <mergeCell ref="CL1:CM1"/>
    <mergeCell ref="CN1:CO1"/>
    <mergeCell ref="CP3:CQ3"/>
    <mergeCell ref="CR3:CS3"/>
    <mergeCell ref="CA4:CB4"/>
    <mergeCell ref="CF4:CG4"/>
    <mergeCell ref="CH4:CI4"/>
    <mergeCell ref="CJ4:CK4"/>
    <mergeCell ref="CL4:CM4"/>
    <mergeCell ref="CN4:CO4"/>
    <mergeCell ref="CP4:CQ4"/>
    <mergeCell ref="CR4:CS4"/>
    <mergeCell ref="CA3:CB3"/>
    <mergeCell ref="CF3:CG3"/>
    <mergeCell ref="CH3:CI3"/>
    <mergeCell ref="CJ3:CK3"/>
    <mergeCell ref="CL3:CM3"/>
    <mergeCell ref="CN3:CO3"/>
  </mergeCells>
  <phoneticPr fontId="16" type="noConversion"/>
  <conditionalFormatting sqref="O4:Q4 S4 I4 K4:M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{BAD7ADC3-BB65-A644-89B8-246D92414020}</x14:id>
        </ext>
      </extLst>
    </cfRule>
  </conditionalFormatting>
  <conditionalFormatting sqref="AA4:AC4 AE4 U4 W4:Y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{AAE089ED-BDB4-3545-80EC-12A4356C8E9A}</x14:id>
        </ext>
      </extLst>
    </cfRule>
  </conditionalFormatting>
  <conditionalFormatting sqref="AG6:AQ702">
    <cfRule type="cellIs" dxfId="1" priority="8" operator="greaterThanOrEqual">
      <formula>1</formula>
    </cfRule>
  </conditionalFormatting>
  <conditionalFormatting sqref="AM4:AO4 AQ4 AG4 AI4:AK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{0696A9C5-811B-C944-8982-A4317E008DEA}</x14:id>
        </ext>
      </extLst>
    </cfRule>
  </conditionalFormatting>
  <conditionalFormatting sqref="AS4:AZ4 BB4:BE4 BG4 BI4 BK4 BM4 BO4 BQ4 BS4:CA4 CC4:CF4 CH4 CJ4 CL4 CN4 CP4 CR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{5699FC84-151C-194E-9029-00DF1B832CAF}</x14:id>
        </ext>
      </extLst>
    </cfRule>
  </conditionalFormatting>
  <conditionalFormatting sqref="BS1:BS688 AS6:BS702">
    <cfRule type="cellIs" dxfId="0" priority="11" stopIfTrue="1" operator="greaterThanOrEqual">
      <formula>1</formula>
    </cfRule>
  </conditionalFormatting>
  <printOptions horizontalCentered="1"/>
  <pageMargins left="0.511811024" right="0.511811024" top="0.53740157499999996" bottom="0.53740157499999996" header="0.31496062000000002" footer="0.31496062000000002"/>
  <pageSetup paperSize="9" scale="35" fitToHeight="4" orientation="portrait" horizontalDpi="0" verticalDpi="0"/>
  <headerFooter>
    <oddFooter>&amp;R&amp;"Helvetica,Regular"&amp;12&amp;K000000&amp;D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D7ADC3-BB65-A644-89B8-246D924140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O4:Q4 S4 I4 K4:M4</xm:sqref>
        </x14:conditionalFormatting>
        <x14:conditionalFormatting xmlns:xm="http://schemas.microsoft.com/office/excel/2006/main">
          <x14:cfRule type="dataBar" id="{AAE089ED-BDB4-3545-80EC-12A4356C8E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AA4:AC4 AE4 U4 W4:Y4</xm:sqref>
        </x14:conditionalFormatting>
        <x14:conditionalFormatting xmlns:xm="http://schemas.microsoft.com/office/excel/2006/main">
          <x14:cfRule type="dataBar" id="{0696A9C5-811B-C944-8982-A4317E008D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AM4:AO4 AQ4 AG4 AI4:AK4</xm:sqref>
        </x14:conditionalFormatting>
        <x14:conditionalFormatting xmlns:xm="http://schemas.microsoft.com/office/excel/2006/main">
          <x14:cfRule type="dataBar" id="{5699FC84-151C-194E-9029-00DF1B832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AS4:AZ4 BB4:BE4 BG4 BI4 BK4 BM4 BO4 BQ4 BS4:CA4 CC4:CF4 CH4 CJ4 CL4 CN4 CP4 CR4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Modelo</vt:lpstr>
      <vt:lpstr>Simulador (5)</vt:lpstr>
      <vt:lpstr>Simulador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Cleber Souza Martins</cp:lastModifiedBy>
  <dcterms:created xsi:type="dcterms:W3CDTF">2018-07-27T15:05:14Z</dcterms:created>
  <dcterms:modified xsi:type="dcterms:W3CDTF">2026-02-20T04:26:47Z</dcterms:modified>
</cp:coreProperties>
</file>